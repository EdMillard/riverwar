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8.xml.rels" ContentType="application/vnd.openxmlformats-package.relationships+xml"/>
  <Override PartName="/xl/worksheets/_rels/sheet5.xml.rels" ContentType="application/vnd.openxmlformats-package.relationships+xml"/>
  <Override PartName="/xl/worksheets/_rels/sheet6.xml.rels" ContentType="application/vnd.openxmlformats-package.relationships+xml"/>
  <Override PartName="/xl/worksheets/_rels/sheet11.xml.rels" ContentType="application/vnd.openxmlformats-package.relationships+xml"/>
  <Override PartName="/xl/worksheets/_rels/sheet10.xml.rels" ContentType="application/vnd.openxmlformats-package.relationship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comments8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1"/>
  </bookViews>
  <sheets>
    <sheet name="NOV" sheetId="1" state="visible" r:id="rId2"/>
    <sheet name="DEC" sheetId="2" state="visible" r:id="rId3"/>
    <sheet name="JAN" sheetId="3" state="visible" r:id="rId4"/>
    <sheet name="FEB" sheetId="4" state="visible" r:id="rId5"/>
    <sheet name="MAR" sheetId="5" state="visible" r:id="rId6"/>
    <sheet name="APR" sheetId="6" state="visible" r:id="rId7"/>
    <sheet name="MAY" sheetId="7" state="visible" r:id="rId8"/>
    <sheet name="JUN" sheetId="8" state="visible" r:id="rId9"/>
    <sheet name="JUL" sheetId="9" state="visible" r:id="rId10"/>
    <sheet name="AUG" sheetId="10" state="visible" r:id="rId11"/>
    <sheet name="SEP" sheetId="11" state="visible" r:id="rId12"/>
    <sheet name="OCT" sheetId="12" state="visible" r:id="rId13"/>
  </sheets>
  <definedNames>
    <definedName function="false" hidden="false" localSheetId="5" name="_xlnm.Print_Area" vbProcedure="false">APR!$A$1:$AD$55</definedName>
    <definedName function="false" hidden="false" localSheetId="9" name="_xlnm.Print_Area" vbProcedure="false">AUG!$A$1:$AD$57</definedName>
    <definedName function="false" hidden="false" localSheetId="1" name="_xlnm.Print_Area" vbProcedure="false">DEC!$A$1:$AC$52</definedName>
    <definedName function="false" hidden="false" localSheetId="3" name="_xlnm.Print_Area" vbProcedure="false">FEB!$A$1:$AC$52</definedName>
    <definedName function="false" hidden="false" localSheetId="2" name="_xlnm.Print_Area" vbProcedure="false">JAN!$A$1:$AC$55</definedName>
    <definedName function="false" hidden="false" localSheetId="8" name="_xlnm.Print_Area" vbProcedure="false">JUL!$A$1:$AD$51</definedName>
    <definedName function="false" hidden="false" localSheetId="7" name="_xlnm.Print_Area" vbProcedure="false">JUN!$A$1:$AD$55</definedName>
    <definedName function="false" hidden="false" localSheetId="4" name="_xlnm.Print_Area" vbProcedure="false">MAR!$A$1:$AC$55</definedName>
    <definedName function="false" hidden="false" localSheetId="6" name="_xlnm.Print_Area" vbProcedure="false">MAY!$A$1:$AD$55</definedName>
    <definedName function="false" hidden="false" localSheetId="0" name="_xlnm.Print_Area" vbProcedure="false">NOV!$A$1:$AC$54</definedName>
    <definedName function="false" hidden="false" localSheetId="11" name="_xlnm.Print_Area" vbProcedure="false">OCT!$A$1:$AD$50</definedName>
    <definedName function="false" hidden="false" localSheetId="10" name="_xlnm.Print_Area" vbProcedure="false">SEP!$A$1:$AD$57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comments8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L50" authorId="0">
      <text>
        <r>
          <rPr>
            <sz val="8"/>
            <color rgb="FF000000"/>
            <rFont val="Tahoma"/>
            <family val="2"/>
          </rPr>
          <t xml:space="preserve">3,500 is the portion of the evap off a low reservoir during Apr - Oct
 + 2932 for 2002 M&amp;I use.</t>
        </r>
      </text>
    </comment>
    <comment ref="L52" authorId="0">
      <text>
        <r>
          <rPr>
            <sz val="8"/>
            <color rgb="FF000000"/>
            <rFont val="Tahoma"/>
            <family val="2"/>
          </rPr>
          <t xml:space="preserve">This is the number of days left until Oct 31</t>
        </r>
      </text>
    </comment>
    <comment ref="T52" authorId="0">
      <text>
        <r>
          <rPr>
            <sz val="8"/>
            <color rgb="FF000000"/>
            <rFont val="Tahoma"/>
            <family val="2"/>
          </rPr>
          <t xml:space="preserve">This adds back to MVIC the accumulated daily Ctz &amp; MWC diversion.</t>
        </r>
      </text>
    </comment>
    <comment ref="U52" authorId="0">
      <text>
        <r>
          <rPr>
            <sz val="8"/>
            <color rgb="FF000000"/>
            <rFont val="Tahoma"/>
            <family val="2"/>
          </rPr>
          <t xml:space="preserve">Since the DC Canal is to be charged for the entire season, M&amp;I will be used to cover the Evap &amp; Seep this year.  This number is the amount of water to be diverted at Gr Cut.  The components are: 14,562 FS allocation + 1,962 canal evap + 600 M&amp;I for DvCR &amp; M&amp;I users + 15 for B Mmanning + 25 for D Hancock</t>
        </r>
      </text>
    </comment>
  </commentList>
</comments>
</file>

<file path=xl/comments10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L51" authorId="0">
      <text>
        <r>
          <rPr>
            <sz val="8"/>
            <color rgb="FF000000"/>
            <rFont val="Tahoma"/>
            <family val="2"/>
          </rPr>
          <t xml:space="preserve">3,500 is the portion of the evap off a low reservoir during Apr - Oct
 + 2932 for 2002 M&amp;I use.</t>
        </r>
      </text>
    </comment>
    <comment ref="L53" authorId="0">
      <text>
        <r>
          <rPr>
            <sz val="8"/>
            <color rgb="FF000000"/>
            <rFont val="Tahoma"/>
            <family val="2"/>
          </rPr>
          <t xml:space="preserve">This is the number of days left until Oct 31</t>
        </r>
      </text>
    </comment>
    <comment ref="T53" authorId="0">
      <text>
        <r>
          <rPr>
            <sz val="8"/>
            <color rgb="FF000000"/>
            <rFont val="Tahoma"/>
            <family val="2"/>
          </rPr>
          <t xml:space="preserve">This adds back to MVIC the accumulated daily Ctz &amp; MWC diversion.</t>
        </r>
      </text>
    </comment>
    <comment ref="U53" authorId="0">
      <text>
        <r>
          <rPr>
            <sz val="8"/>
            <color rgb="FF000000"/>
            <rFont val="Tahoma"/>
            <family val="2"/>
          </rPr>
          <t xml:space="preserve">Since the DC Canal is to be charged for the entire season, M&amp;I will be used to cover the Evap &amp; Seep this year.  This number is the amount of water to be diverted at Gr Cut.  The components are: 14,562 FS allocation + 1,962 canal evap + 600 M&amp;I for DvCR &amp; M&amp;I users + 15 for B Mmanning + 25 for D Hancock</t>
        </r>
      </text>
    </comment>
  </commentList>
</comments>
</file>

<file path=xl/comments1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L50" authorId="0">
      <text>
        <r>
          <rPr>
            <sz val="8"/>
            <color rgb="FF000000"/>
            <rFont val="Tahoma"/>
            <family val="2"/>
          </rPr>
          <t xml:space="preserve">7,308 is the portion of the evap off a low reservoir during Apr - Oct
 + 2932 for 2002 M&amp;I use.</t>
        </r>
      </text>
    </comment>
    <comment ref="L52" authorId="0">
      <text>
        <r>
          <rPr>
            <sz val="8"/>
            <color rgb="FF000000"/>
            <rFont val="Tahoma"/>
            <family val="2"/>
          </rPr>
          <t xml:space="preserve">This is the number of days left until Oct 31</t>
        </r>
      </text>
    </comment>
    <comment ref="T52" authorId="0">
      <text>
        <r>
          <rPr>
            <sz val="8"/>
            <color rgb="FF000000"/>
            <rFont val="Tahoma"/>
            <family val="2"/>
          </rPr>
          <t xml:space="preserve">This adds back to MVIC the accumulated daily Ctz &amp; MWC diversion.</t>
        </r>
      </text>
    </comment>
    <comment ref="U52" authorId="0">
      <text>
        <r>
          <rPr>
            <sz val="8"/>
            <color rgb="FF000000"/>
            <rFont val="Tahoma"/>
            <family val="2"/>
          </rPr>
          <t xml:space="preserve">Since the DC Canal is to be charged for the entire season, M&amp;I will be used to cover the Evap &amp; Seep this year.  This number is the amount of water to be diverted at Gr Cut.  The components are: 14,562 FS allocation + 1,962 canal evap + 600 M&amp;I for DvCR &amp; M&amp;I users + 15 for B Mmanning + 25 for D Hancock</t>
        </r>
      </text>
    </comment>
  </commentList>
</comments>
</file>

<file path=xl/sharedStrings.xml><?xml version="1.0" encoding="utf-8"?>
<sst xmlns="http://schemas.openxmlformats.org/spreadsheetml/2006/main" count="870" uniqueCount="103">
  <si>
    <t xml:space="preserve">MC  PHEE  RESERVOIR  IN/OUT  FLOW  TABULATION</t>
  </si>
  <si>
    <t xml:space="preserve">AF/cfs  CONVERT FACTOR</t>
  </si>
  <si>
    <t xml:space="preserve">           NOVEMBER  "1886"</t>
  </si>
  <si>
    <t xml:space="preserve">DATE</t>
  </si>
  <si>
    <t xml:space="preserve">RESERV</t>
  </si>
  <si>
    <t xml:space="preserve">AC  FT</t>
  </si>
  <si>
    <t xml:space="preserve">ACTIVE</t>
  </si>
  <si>
    <t xml:space="preserve">CONV  TO</t>
  </si>
  <si>
    <t xml:space="preserve">DOLORES</t>
  </si>
  <si>
    <t xml:space="preserve">LOST</t>
  </si>
  <si>
    <t xml:space="preserve">RECORDED</t>
  </si>
  <si>
    <t xml:space="preserve">CALC</t>
  </si>
  <si>
    <t xml:space="preserve">TOTAL</t>
  </si>
  <si>
    <t xml:space="preserve">TUNNEL</t>
  </si>
  <si>
    <t xml:space="preserve">LONE</t>
  </si>
  <si>
    <t xml:space="preserve">U</t>
  </si>
  <si>
    <t xml:space="preserve">MVI</t>
  </si>
  <si>
    <t xml:space="preserve">DV  CR</t>
  </si>
  <si>
    <t xml:space="preserve">BELOW</t>
  </si>
  <si>
    <t xml:space="preserve">RAIN</t>
  </si>
  <si>
    <t xml:space="preserve">MAX</t>
  </si>
  <si>
    <t xml:space="preserve">MIN</t>
  </si>
  <si>
    <t xml:space="preserve">"NOV"</t>
  </si>
  <si>
    <t xml:space="preserve">ELEV</t>
  </si>
  <si>
    <t xml:space="preserve">CHANGE</t>
  </si>
  <si>
    <t xml:space="preserve">CAP</t>
  </si>
  <si>
    <t xml:space="preserve">CFS</t>
  </si>
  <si>
    <t xml:space="preserve">RIVER</t>
  </si>
  <si>
    <t xml:space="preserve">CANYON</t>
  </si>
  <si>
    <t xml:space="preserve">INFLOW</t>
  </si>
  <si>
    <t xml:space="preserve">INF/OTF</t>
  </si>
  <si>
    <t xml:space="preserve">TOT DIV</t>
  </si>
  <si>
    <t xml:space="preserve">WETLAND</t>
  </si>
  <si>
    <t xml:space="preserve">UTE F&amp;R</t>
  </si>
  <si>
    <t xml:space="preserve">MVI,CTZ</t>
  </si>
  <si>
    <t xml:space="preserve">PINE</t>
  </si>
  <si>
    <t xml:space="preserve">LAT</t>
  </si>
  <si>
    <t xml:space="preserve">CALL</t>
  </si>
  <si>
    <t xml:space="preserve">CANAL</t>
  </si>
  <si>
    <t xml:space="preserve">MC  PHEE</t>
  </si>
  <si>
    <t xml:space="preserve">OUTFLOW</t>
  </si>
  <si>
    <t xml:space="preserve">TMP</t>
  </si>
  <si>
    <t xml:space="preserve">SEASON BAL</t>
  </si>
  <si>
    <t xml:space="preserve">YTD</t>
  </si>
  <si>
    <t xml:space="preserve">MONTH / CFS</t>
  </si>
  <si>
    <t xml:space="preserve">Avg</t>
  </si>
  <si>
    <t xml:space="preserve">MONTH / AF</t>
  </si>
  <si>
    <t xml:space="preserve">HI</t>
  </si>
  <si>
    <t xml:space="preserve">SEASON / CFS</t>
  </si>
  <si>
    <t xml:space="preserve">LO</t>
  </si>
  <si>
    <t xml:space="preserve">SEASON / AF</t>
  </si>
  <si>
    <t xml:space="preserve">YTD / CFS</t>
  </si>
  <si>
    <t xml:space="preserve">YTD / AF</t>
  </si>
  <si>
    <t xml:space="preserve">DECEMBER  "1886"</t>
  </si>
  <si>
    <t xml:space="preserve">"DEC"</t>
  </si>
  <si>
    <t xml:space="preserve">JANUARY  "1887"</t>
  </si>
  <si>
    <t xml:space="preserve">"JAN"</t>
  </si>
  <si>
    <t xml:space="preserve">AVE</t>
  </si>
  <si>
    <t xml:space="preserve">FEBRUARY  "1887"</t>
  </si>
  <si>
    <t xml:space="preserve">FEB</t>
  </si>
  <si>
    <t xml:space="preserve">MARCH  "1887"</t>
  </si>
  <si>
    <t xml:space="preserve">MAR</t>
  </si>
  <si>
    <t xml:space="preserve">APRIL  "1887"</t>
  </si>
  <si>
    <t xml:space="preserve">MVI CALL</t>
  </si>
  <si>
    <t xml:space="preserve">"APR"</t>
  </si>
  <si>
    <t xml:space="preserve">MVI/CTZ/MWC</t>
  </si>
  <si>
    <t xml:space="preserve">Apr - Jun</t>
  </si>
  <si>
    <t xml:space="preserve">hi</t>
  </si>
  <si>
    <t xml:space="preserve">lo</t>
  </si>
  <si>
    <t xml:space="preserve">MAY  "1887"</t>
  </si>
  <si>
    <t xml:space="preserve">"MAY"</t>
  </si>
  <si>
    <t xml:space="preserve">AVG</t>
  </si>
  <si>
    <t xml:space="preserve">Slack (to cover evap &amp; M&amp;I)</t>
  </si>
  <si>
    <t xml:space="preserve">Should be </t>
  </si>
  <si>
    <t xml:space="preserve">Remaining  / based on 44,000 runoff</t>
  </si>
  <si>
    <t xml:space="preserve">Diff</t>
  </si>
  <si>
    <t xml:space="preserve">Daily M&amp;I &amp; Evap</t>
  </si>
  <si>
    <t xml:space="preserve">JUNE  "1887"</t>
  </si>
  <si>
    <t xml:space="preserve">MVIC</t>
  </si>
  <si>
    <t xml:space="preserve">"JUN"</t>
  </si>
  <si>
    <t xml:space="preserve">Daily Call</t>
  </si>
  <si>
    <t xml:space="preserve">Active Storage</t>
  </si>
  <si>
    <t xml:space="preserve">Apr 1 thru Oct 31 evap &amp; M&amp;I</t>
  </si>
  <si>
    <t xml:space="preserve">Users Balance</t>
  </si>
  <si>
    <t xml:space="preserve">AF / day</t>
  </si>
  <si>
    <t xml:space="preserve">Days since 4/1</t>
  </si>
  <si>
    <t xml:space="preserve">Day left to Oct 31</t>
  </si>
  <si>
    <t xml:space="preserve">M&amp;I thru MVIC sys / day</t>
  </si>
  <si>
    <t xml:space="preserve">Slack</t>
  </si>
  <si>
    <t xml:space="preserve">JULY  "1887"</t>
  </si>
  <si>
    <t xml:space="preserve">"JUL"</t>
  </si>
  <si>
    <t xml:space="preserve">AUGUST  "1887"</t>
  </si>
  <si>
    <t xml:space="preserve">"AUG"</t>
  </si>
  <si>
    <t xml:space="preserve">DAILY</t>
  </si>
  <si>
    <t xml:space="preserve"> </t>
  </si>
  <si>
    <t xml:space="preserve"># days to Mar 31</t>
  </si>
  <si>
    <t xml:space="preserve">SEPTEMBER  "1887"</t>
  </si>
  <si>
    <t xml:space="preserve">"SEP"</t>
  </si>
  <si>
    <t xml:space="preserve">APR/OCT</t>
  </si>
  <si>
    <t xml:space="preserve">Ute Avail</t>
  </si>
  <si>
    <t xml:space="preserve">Ute Left</t>
  </si>
  <si>
    <t xml:space="preserve">OCTOBER  "1887"</t>
  </si>
  <si>
    <t xml:space="preserve">"OCT"</t>
  </si>
</sst>
</file>

<file path=xl/styles.xml><?xml version="1.0" encoding="utf-8"?>
<styleSheet xmlns="http://schemas.openxmlformats.org/spreadsheetml/2006/main">
  <numFmts count="19">
    <numFmt numFmtId="164" formatCode="General"/>
    <numFmt numFmtId="165" formatCode="#,##0"/>
    <numFmt numFmtId="166" formatCode="0.00_);\(0.00\)"/>
    <numFmt numFmtId="167" formatCode="0.0"/>
    <numFmt numFmtId="168" formatCode="0"/>
    <numFmt numFmtId="169" formatCode="#,##0.0"/>
    <numFmt numFmtId="170" formatCode="##0.0"/>
    <numFmt numFmtId="171" formatCode="0.00"/>
    <numFmt numFmtId="172" formatCode="0.0000"/>
    <numFmt numFmtId="173" formatCode="0.000"/>
    <numFmt numFmtId="174" formatCode="#,##0.00"/>
    <numFmt numFmtId="175" formatCode="[$-409]d\-mmm"/>
    <numFmt numFmtId="176" formatCode="0%"/>
    <numFmt numFmtId="177" formatCode="0.0_);\(0.0\)"/>
    <numFmt numFmtId="178" formatCode="[$-409]mmm\-yy"/>
    <numFmt numFmtId="179" formatCode="General"/>
    <numFmt numFmtId="180" formatCode="#,##0.00000"/>
    <numFmt numFmtId="181" formatCode="#,##0.0000"/>
    <numFmt numFmtId="182" formatCode="0.0_);[RED]\(0.0\)"/>
  </numFmts>
  <fonts count="18">
    <font>
      <sz val="8"/>
      <name val="LinePrinter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name val="Arial Narrow"/>
      <family val="0"/>
    </font>
    <font>
      <b val="true"/>
      <i val="true"/>
      <sz val="12"/>
      <name val="Arial Narrow"/>
      <family val="0"/>
    </font>
    <font>
      <sz val="6"/>
      <name val="Arial Narrow"/>
      <family val="0"/>
    </font>
    <font>
      <b val="true"/>
      <sz val="6"/>
      <name val="Arial Narrow"/>
      <family val="0"/>
    </font>
    <font>
      <sz val="6"/>
      <name val="Arial Narrow"/>
      <family val="2"/>
    </font>
    <font>
      <b val="true"/>
      <sz val="9"/>
      <name val="Arial Narrow"/>
      <family val="0"/>
    </font>
    <font>
      <sz val="6"/>
      <name val="Arial"/>
      <family val="0"/>
    </font>
    <font>
      <sz val="8"/>
      <name val="Arial"/>
      <family val="0"/>
    </font>
    <font>
      <b val="true"/>
      <sz val="12"/>
      <name val="Arial Narrow"/>
      <family val="0"/>
    </font>
    <font>
      <sz val="4"/>
      <name val="LinePrinter"/>
      <family val="3"/>
    </font>
    <font>
      <sz val="8"/>
      <name val="Arial Narrow"/>
      <family val="2"/>
    </font>
    <font>
      <sz val="6"/>
      <name val="LinePrinter"/>
      <family val="0"/>
    </font>
    <font>
      <b val="true"/>
      <sz val="8"/>
      <name val="Arial Narrow"/>
      <family val="0"/>
    </font>
    <font>
      <sz val="8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464648"/>
        <bgColor rgb="FF333300"/>
      </patternFill>
    </fill>
    <fill>
      <patternFill patternType="solid">
        <fgColor rgb="FF1EFC1E"/>
        <bgColor rgb="FF33CCCC"/>
      </patternFill>
    </fill>
    <fill>
      <patternFill patternType="solid">
        <fgColor rgb="FFCC9CCC"/>
        <bgColor rgb="FFFF99CC"/>
      </patternFill>
    </fill>
  </fills>
  <borders count="11">
    <border diagonalUp="false" diagonalDown="false">
      <left/>
      <right/>
      <top/>
      <bottom/>
      <diagonal/>
    </border>
    <border diagonalUp="false" diagonalDown="false">
      <left/>
      <right/>
      <top style="thin">
        <color rgb="FFEEEEEC"/>
      </top>
      <bottom style="thin">
        <color rgb="FFEEEEEC"/>
      </bottom>
      <diagonal/>
    </border>
    <border diagonalUp="false" diagonalDown="false">
      <left/>
      <right/>
      <top style="thin">
        <color rgb="FFEEEEEC"/>
      </top>
      <bottom/>
      <diagonal/>
    </border>
    <border diagonalUp="false" diagonalDown="false">
      <left style="thin">
        <color rgb="FFEEEEEC"/>
      </left>
      <right/>
      <top style="thin">
        <color rgb="FFEEEEEC"/>
      </top>
      <bottom/>
      <diagonal/>
    </border>
    <border diagonalUp="false" diagonalDown="false">
      <left/>
      <right style="thin">
        <color rgb="FFEEEEEC"/>
      </right>
      <top style="thin">
        <color rgb="FFEEEEEC"/>
      </top>
      <bottom/>
      <diagonal/>
    </border>
    <border diagonalUp="false" diagonalDown="false">
      <left style="thin">
        <color rgb="FFEEEEEC"/>
      </left>
      <right/>
      <top/>
      <bottom/>
      <diagonal/>
    </border>
    <border diagonalUp="false" diagonalDown="false">
      <left/>
      <right style="thin">
        <color rgb="FFEEEEEC"/>
      </right>
      <top/>
      <bottom/>
      <diagonal/>
    </border>
    <border diagonalUp="false" diagonalDown="false">
      <left/>
      <right/>
      <top/>
      <bottom style="thin">
        <color rgb="FFEEEEEC"/>
      </bottom>
      <diagonal/>
    </border>
    <border diagonalUp="false" diagonalDown="false">
      <left style="thin">
        <color rgb="FFEEEEEC"/>
      </left>
      <right/>
      <top/>
      <bottom style="thin">
        <color rgb="FFEEEEEC"/>
      </bottom>
      <diagonal/>
    </border>
    <border diagonalUp="false" diagonalDown="false">
      <left/>
      <right style="thin">
        <color rgb="FFEEEEEC"/>
      </right>
      <top/>
      <bottom style="thin">
        <color rgb="FFEEEEEC"/>
      </bottom>
      <diagonal/>
    </border>
    <border diagonalUp="false" diagonalDown="false">
      <left/>
      <right/>
      <top style="thin">
        <color rgb="FFEEEEEC"/>
      </top>
      <bottom style="double">
        <color rgb="FFEEEEEC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74" fontId="0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76" fontId="0" fillId="0" borderId="0" applyFont="true" applyBorder="false" applyAlignment="false" applyProtection="false"/>
    <xf numFmtId="164" fontId="0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StyleXfs>
  <cellXfs count="19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4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4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2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6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4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4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2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4" fillId="2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2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2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2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2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3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6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4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4" fillId="2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4" fillId="3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2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2" borderId="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4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5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6" fillId="0" borderId="6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7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6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8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9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16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6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4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4" borderId="7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9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9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8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1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9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6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4" fillId="2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4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2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4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6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7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0" fontId="4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1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1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4" fillId="2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0" fillId="0" borderId="0" xfId="2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82" fontId="4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2" fontId="6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2" fontId="4" fillId="0" borderId="0" xfId="2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82" fontId="4" fillId="2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_RIVER054" xfId="20"/>
  </cellStyles>
  <colors>
    <indexedColors>
      <rgbColor rgb="FF000000"/>
      <rgbColor rgb="FFEEEEEC"/>
      <rgbColor rgb="FFFF0000"/>
      <rgbColor rgb="FF1EFC1E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CCC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6464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485280</xdr:colOff>
      <xdr:row>28</xdr:row>
      <xdr:rowOff>0</xdr:rowOff>
    </xdr:from>
    <xdr:to>
      <xdr:col>7</xdr:col>
      <xdr:colOff>21960</xdr:colOff>
      <xdr:row>29</xdr:row>
      <xdr:rowOff>28440</xdr:rowOff>
    </xdr:to>
    <xdr:sp>
      <xdr:nvSpPr>
        <xdr:cNvPr id="0" name="Text 1"/>
        <xdr:cNvSpPr/>
      </xdr:nvSpPr>
      <xdr:spPr>
        <a:xfrm>
          <a:off x="2802960" y="3920400"/>
          <a:ext cx="496080" cy="169560"/>
        </a:xfrm>
        <a:custGeom>
          <a:avLst/>
          <a:gdLst/>
          <a:ahLst/>
          <a:rect l="l" t="t" r="r" b="b"/>
          <a:pathLst>
            <a:path w="21600" h="21600">
              <a:moveTo>
                <a:pt x="0" y="0"/>
              </a:moveTo>
              <a:lnTo>
                <a:pt x="21600" y="0"/>
              </a:lnTo>
              <a:lnTo>
                <a:pt x="21600" y="21600"/>
              </a:lnTo>
              <a:lnTo>
                <a:pt x="0" y="21600"/>
              </a:lnTo>
              <a:lnTo>
                <a:pt x="0" y="0"/>
              </a:lnTo>
              <a:close/>
            </a:path>
          </a:pathLst>
        </a:custGeom>
        <a:solidFill>
          <a:srgbClr val="ffffff"/>
        </a:solidFill>
        <a:ln w="9360">
          <a:solidFill>
            <a:srgbClr val="eeeeec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pc="-1" strike="noStrike">
              <a:latin typeface="LinePrinter"/>
            </a:rPr>
            <a:t>thawed</a:t>
          </a:r>
          <a:endParaRPr b="0" lang="en-US" sz="800" spc="-1" strike="noStrike">
            <a:latin typeface="Times New Roman"/>
          </a:endParaRPr>
        </a:p>
        <a:p>
          <a:endParaRPr b="0" lang="en-US" sz="800" spc="-1" strike="noStrike">
            <a:latin typeface="Times New Roman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22</xdr:col>
      <xdr:colOff>0</xdr:colOff>
      <xdr:row>9</xdr:row>
      <xdr:rowOff>57240</xdr:rowOff>
    </xdr:from>
    <xdr:to>
      <xdr:col>22</xdr:col>
      <xdr:colOff>216000</xdr:colOff>
      <xdr:row>11</xdr:row>
      <xdr:rowOff>19440</xdr:rowOff>
    </xdr:to>
    <xdr:sp>
      <xdr:nvSpPr>
        <xdr:cNvPr id="1" name="Text 2"/>
        <xdr:cNvSpPr/>
      </xdr:nvSpPr>
      <xdr:spPr>
        <a:xfrm>
          <a:off x="8494560" y="1299240"/>
          <a:ext cx="216000" cy="244080"/>
        </a:xfrm>
        <a:custGeom>
          <a:avLst/>
          <a:gdLst/>
          <a:ahLst/>
          <a:rect l="l" t="t" r="r" b="b"/>
          <a:pathLst>
            <a:path w="21600" h="21600">
              <a:moveTo>
                <a:pt x="0" y="0"/>
              </a:moveTo>
              <a:lnTo>
                <a:pt x="21600" y="0"/>
              </a:lnTo>
              <a:lnTo>
                <a:pt x="21600" y="21600"/>
              </a:lnTo>
              <a:lnTo>
                <a:pt x="0" y="21600"/>
              </a:lnTo>
              <a:lnTo>
                <a:pt x="0" y="0"/>
              </a:lnTo>
              <a:close/>
            </a:path>
          </a:pathLst>
        </a:custGeom>
        <a:solidFill>
          <a:srgbClr val="ffffff"/>
        </a:solidFill>
        <a:ln w="9360">
          <a:solidFill>
            <a:srgbClr val="eeeeec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400" spc="-1" strike="noStrike">
              <a:latin typeface="LinePrinter"/>
            </a:rPr>
            <a:t>SPILL STARTED</a:t>
          </a:r>
          <a:endParaRPr b="0" lang="en-US" sz="400" spc="-1" strike="noStrike">
            <a:latin typeface="Times New Roman"/>
          </a:endParaRPr>
        </a:p>
        <a:p>
          <a:r>
            <a:rPr b="0" lang="en-US" sz="400" spc="-1" strike="noStrike">
              <a:latin typeface="LinePrinter"/>
            </a:rPr>
            <a:t>NO DEBIT</a:t>
          </a:r>
          <a:endParaRPr b="0" lang="en-US" sz="400" spc="-1" strike="noStrike">
            <a:latin typeface="Times New Roman"/>
          </a:endParaRPr>
        </a:p>
      </xdr:txBody>
    </xdr:sp>
    <xdr:clientData/>
  </xdr:twoCellAnchor>
</xdr:wsDr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1.v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vmlDrawing" Target="../drawings/vmlDrawing2.v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C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9" topLeftCell="J20" activePane="bottomRight" state="frozen"/>
      <selection pane="topLeft" activeCell="A1" activeCellId="0" sqref="A1"/>
      <selection pane="topRight" activeCell="J1" activeCellId="0" sqref="J1"/>
      <selection pane="bottomLeft" activeCell="A20" activeCellId="0" sqref="A20"/>
      <selection pane="bottomRight" activeCell="AB39" activeCellId="0" sqref="AB39"/>
    </sheetView>
  </sheetViews>
  <sheetFormatPr defaultColWidth="9.2890625" defaultRowHeight="11.1" zeroHeight="false" outlineLevelRow="0" outlineLevelCol="0"/>
  <cols>
    <col collapsed="false" customWidth="true" hidden="false" outlineLevel="0" max="1" min="1" style="0" width="5.66"/>
    <col collapsed="false" customWidth="true" hidden="false" outlineLevel="0" max="2" min="2" style="0" width="7.82"/>
    <col collapsed="false" customWidth="true" hidden="false" outlineLevel="0" max="3" min="3" style="1" width="7.49"/>
    <col collapsed="false" customWidth="true" hidden="false" outlineLevel="0" max="4" min="4" style="0" width="6.99"/>
    <col collapsed="false" customWidth="true" hidden="false" outlineLevel="0" max="5" min="5" style="1" width="7.66"/>
    <col collapsed="false" customWidth="true" hidden="false" outlineLevel="0" max="6" min="6" style="0" width="7.66"/>
    <col collapsed="false" customWidth="true" hidden="false" outlineLevel="0" max="7" min="7" style="0" width="7.16"/>
    <col collapsed="false" customWidth="true" hidden="false" outlineLevel="0" max="8" min="8" style="2" width="6.66"/>
    <col collapsed="false" customWidth="true" hidden="false" outlineLevel="0" max="9" min="9" style="0" width="7.99"/>
    <col collapsed="false" customWidth="true" hidden="false" outlineLevel="0" max="10" min="10" style="0" width="6.66"/>
    <col collapsed="false" customWidth="true" hidden="false" outlineLevel="0" max="12" min="11" style="0" width="7.16"/>
    <col collapsed="false" customWidth="true" hidden="false" outlineLevel="0" max="13" min="13" style="3" width="6.16"/>
    <col collapsed="false" customWidth="true" hidden="true" outlineLevel="0" max="14" min="14" style="3" width="7.32"/>
    <col collapsed="false" customWidth="true" hidden="true" outlineLevel="0" max="15" min="15" style="3" width="6.49"/>
    <col collapsed="false" customWidth="true" hidden="true" outlineLevel="0" max="16" min="16" style="0" width="7.16"/>
    <col collapsed="false" customWidth="true" hidden="false" outlineLevel="0" max="17" min="17" style="0" width="6.32"/>
    <col collapsed="false" customWidth="true" hidden="false" outlineLevel="0" max="18" min="18" style="0" width="5.82"/>
    <col collapsed="false" customWidth="true" hidden="false" outlineLevel="0" max="19" min="19" style="1" width="6.82"/>
    <col collapsed="false" customWidth="true" hidden="false" outlineLevel="0" max="20" min="20" style="0" width="7.66"/>
    <col collapsed="false" customWidth="true" hidden="false" outlineLevel="0" max="21" min="21" style="0" width="5.99"/>
    <col collapsed="false" customWidth="true" hidden="false" outlineLevel="0" max="22" min="22" style="1" width="6.66"/>
    <col collapsed="false" customWidth="true" hidden="false" outlineLevel="0" max="24" min="23" style="0" width="7.82"/>
    <col collapsed="false" customWidth="true" hidden="false" outlineLevel="0" max="25" min="25" style="2" width="8.16"/>
    <col collapsed="false" customWidth="true" hidden="false" outlineLevel="0" max="26" min="26" style="2" width="4.66"/>
    <col collapsed="false" customWidth="true" hidden="false" outlineLevel="0" max="27" min="27" style="4" width="4.66"/>
    <col collapsed="false" customWidth="true" hidden="false" outlineLevel="0" max="28" min="28" style="5" width="4.66"/>
    <col collapsed="false" customWidth="true" hidden="false" outlineLevel="0" max="29" min="29" style="0" width="5.66"/>
  </cols>
  <sheetData>
    <row r="1" customFormat="false" ht="14.1" hidden="false" customHeight="true" outlineLevel="0" collapsed="false">
      <c r="A1" s="6"/>
      <c r="B1" s="6"/>
      <c r="C1" s="7"/>
      <c r="D1" s="6"/>
      <c r="E1" s="7"/>
      <c r="F1" s="6"/>
      <c r="G1" s="6"/>
      <c r="H1" s="8"/>
      <c r="I1" s="6"/>
      <c r="J1" s="6"/>
      <c r="K1" s="9" t="s">
        <v>0</v>
      </c>
      <c r="L1" s="6"/>
      <c r="M1" s="6"/>
      <c r="N1" s="6"/>
      <c r="O1" s="6"/>
      <c r="P1" s="6"/>
      <c r="Q1" s="6"/>
      <c r="R1" s="6"/>
      <c r="S1" s="7"/>
      <c r="T1" s="6"/>
      <c r="U1" s="6"/>
      <c r="V1" s="7"/>
      <c r="W1" s="6"/>
      <c r="X1" s="6"/>
      <c r="Y1" s="10"/>
      <c r="Z1" s="11"/>
      <c r="AA1" s="12"/>
      <c r="AB1" s="13"/>
    </row>
    <row r="2" customFormat="false" ht="14.1" hidden="false" customHeight="true" outlineLevel="0" collapsed="false">
      <c r="A2" s="6" t="s">
        <v>1</v>
      </c>
      <c r="B2" s="6"/>
      <c r="C2" s="7"/>
      <c r="D2" s="14" t="n">
        <v>1.9835</v>
      </c>
      <c r="E2" s="7"/>
      <c r="F2" s="6"/>
      <c r="G2" s="6"/>
      <c r="H2" s="8"/>
      <c r="I2" s="6"/>
      <c r="J2" s="6"/>
      <c r="K2" s="6"/>
      <c r="L2" s="9" t="s">
        <v>2</v>
      </c>
      <c r="M2" s="6"/>
      <c r="N2" s="6"/>
      <c r="O2" s="6"/>
      <c r="P2" s="6"/>
      <c r="Q2" s="6"/>
      <c r="R2" s="6"/>
      <c r="S2" s="7"/>
      <c r="T2" s="6"/>
      <c r="U2" s="6"/>
      <c r="V2" s="7"/>
      <c r="W2" s="6"/>
      <c r="X2" s="6"/>
      <c r="Y2" s="10"/>
      <c r="Z2" s="11"/>
      <c r="AA2" s="12"/>
      <c r="AB2" s="13"/>
    </row>
    <row r="3" customFormat="false" ht="11.1" hidden="false" customHeight="true" outlineLevel="0" collapsed="false">
      <c r="A3" s="6"/>
      <c r="B3" s="6"/>
      <c r="C3" s="7"/>
      <c r="D3" s="15"/>
      <c r="E3" s="7"/>
      <c r="F3" s="6"/>
      <c r="G3" s="6"/>
      <c r="H3" s="8"/>
      <c r="I3" s="6"/>
      <c r="J3" s="6"/>
      <c r="K3" s="6"/>
      <c r="L3" s="6"/>
      <c r="M3" s="6"/>
      <c r="N3" s="6"/>
      <c r="O3" s="6"/>
      <c r="P3" s="6"/>
      <c r="Q3" s="6"/>
      <c r="R3" s="6"/>
      <c r="S3" s="7"/>
      <c r="T3" s="6"/>
      <c r="U3" s="6"/>
      <c r="V3" s="7"/>
      <c r="W3" s="6"/>
      <c r="X3" s="6"/>
      <c r="Y3" s="10"/>
      <c r="Z3" s="11"/>
      <c r="AA3" s="12"/>
      <c r="AB3" s="13"/>
    </row>
    <row r="4" customFormat="false" ht="11.1" hidden="false" customHeight="true" outlineLevel="0" collapsed="false">
      <c r="A4" s="16" t="s">
        <v>3</v>
      </c>
      <c r="B4" s="16" t="s">
        <v>4</v>
      </c>
      <c r="C4" s="17" t="s">
        <v>4</v>
      </c>
      <c r="D4" s="16" t="s">
        <v>5</v>
      </c>
      <c r="E4" s="17" t="s">
        <v>6</v>
      </c>
      <c r="F4" s="16" t="s">
        <v>7</v>
      </c>
      <c r="G4" s="16" t="s">
        <v>8</v>
      </c>
      <c r="H4" s="18" t="s">
        <v>9</v>
      </c>
      <c r="I4" s="16" t="s">
        <v>10</v>
      </c>
      <c r="J4" s="16" t="s">
        <v>11</v>
      </c>
      <c r="K4" s="16" t="s">
        <v>12</v>
      </c>
      <c r="L4" s="16" t="s">
        <v>11</v>
      </c>
      <c r="M4" s="19" t="s">
        <v>13</v>
      </c>
      <c r="N4" s="19"/>
      <c r="O4" s="19"/>
      <c r="P4" s="19"/>
      <c r="Q4" s="16" t="s">
        <v>14</v>
      </c>
      <c r="R4" s="16" t="s">
        <v>15</v>
      </c>
      <c r="S4" s="16" t="s">
        <v>12</v>
      </c>
      <c r="T4" s="17" t="s">
        <v>16</v>
      </c>
      <c r="U4" s="16" t="s">
        <v>17</v>
      </c>
      <c r="V4" s="16" t="s">
        <v>18</v>
      </c>
      <c r="W4" s="16" t="s">
        <v>10</v>
      </c>
      <c r="X4" s="16" t="s">
        <v>11</v>
      </c>
      <c r="Y4" s="16" t="s">
        <v>12</v>
      </c>
      <c r="Z4" s="20" t="s">
        <v>19</v>
      </c>
      <c r="AA4" s="21" t="s">
        <v>20</v>
      </c>
      <c r="AB4" s="21" t="s">
        <v>21</v>
      </c>
      <c r="AC4" s="21" t="s">
        <v>3</v>
      </c>
    </row>
    <row r="5" customFormat="false" ht="11.1" hidden="false" customHeight="true" outlineLevel="0" collapsed="false">
      <c r="A5" s="22" t="s">
        <v>22</v>
      </c>
      <c r="B5" s="16" t="s">
        <v>23</v>
      </c>
      <c r="C5" s="17" t="s">
        <v>5</v>
      </c>
      <c r="D5" s="16" t="s">
        <v>24</v>
      </c>
      <c r="E5" s="17" t="s">
        <v>25</v>
      </c>
      <c r="F5" s="16" t="s">
        <v>26</v>
      </c>
      <c r="G5" s="16" t="s">
        <v>27</v>
      </c>
      <c r="H5" s="18" t="s">
        <v>28</v>
      </c>
      <c r="I5" s="16" t="s">
        <v>29</v>
      </c>
      <c r="J5" s="16" t="s">
        <v>29</v>
      </c>
      <c r="K5" s="16" t="s">
        <v>29</v>
      </c>
      <c r="L5" s="16" t="s">
        <v>30</v>
      </c>
      <c r="M5" s="16" t="s">
        <v>31</v>
      </c>
      <c r="N5" s="16" t="s">
        <v>32</v>
      </c>
      <c r="O5" s="16" t="s">
        <v>33</v>
      </c>
      <c r="P5" s="23" t="s">
        <v>34</v>
      </c>
      <c r="Q5" s="16" t="s">
        <v>35</v>
      </c>
      <c r="R5" s="16" t="s">
        <v>36</v>
      </c>
      <c r="S5" s="16" t="s">
        <v>16</v>
      </c>
      <c r="T5" s="17" t="s">
        <v>37</v>
      </c>
      <c r="U5" s="16" t="s">
        <v>38</v>
      </c>
      <c r="V5" s="16" t="s">
        <v>39</v>
      </c>
      <c r="W5" s="16" t="s">
        <v>40</v>
      </c>
      <c r="X5" s="16" t="s">
        <v>40</v>
      </c>
      <c r="Y5" s="16" t="s">
        <v>40</v>
      </c>
      <c r="Z5" s="24"/>
      <c r="AA5" s="21" t="s">
        <v>41</v>
      </c>
      <c r="AB5" s="21" t="s">
        <v>41</v>
      </c>
      <c r="AC5" s="25" t="s">
        <v>22</v>
      </c>
    </row>
    <row r="6" customFormat="false" ht="11.1" hidden="false" customHeight="true" outlineLevel="0" collapsed="false">
      <c r="A6" s="26"/>
      <c r="B6" s="26"/>
      <c r="C6" s="27"/>
      <c r="D6" s="26"/>
      <c r="E6" s="27"/>
      <c r="F6" s="26"/>
      <c r="G6" s="26"/>
      <c r="H6" s="28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7"/>
      <c r="U6" s="26"/>
      <c r="V6" s="26"/>
      <c r="W6" s="26"/>
      <c r="X6" s="26"/>
      <c r="Y6" s="26"/>
      <c r="Z6" s="11"/>
      <c r="AA6" s="13"/>
      <c r="AB6" s="13"/>
      <c r="AC6" s="13"/>
    </row>
    <row r="7" customFormat="false" ht="11.1" hidden="false" customHeight="true" outlineLevel="0" collapsed="false">
      <c r="A7" s="6" t="s">
        <v>42</v>
      </c>
      <c r="B7" s="6"/>
      <c r="C7" s="7"/>
      <c r="D7" s="7"/>
      <c r="E7" s="7"/>
      <c r="F7" s="7"/>
      <c r="G7" s="7"/>
      <c r="H7" s="12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11"/>
      <c r="AA7" s="12"/>
      <c r="AB7" s="12"/>
      <c r="AC7" s="13"/>
    </row>
    <row r="8" s="1" customFormat="true" ht="11.1" hidden="false" customHeight="true" outlineLevel="0" collapsed="false">
      <c r="A8" s="7" t="s">
        <v>43</v>
      </c>
      <c r="B8" s="29" t="n">
        <v>6901.78</v>
      </c>
      <c r="C8" s="7" t="n">
        <v>290193</v>
      </c>
      <c r="D8" s="7"/>
      <c r="E8" s="7"/>
      <c r="F8" s="7"/>
      <c r="G8" s="7"/>
      <c r="H8" s="12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11"/>
      <c r="AA8" s="12"/>
      <c r="AB8" s="12"/>
      <c r="AC8" s="13"/>
    </row>
    <row r="9" customFormat="false" ht="3" hidden="false" customHeight="true" outlineLevel="0" collapsed="false">
      <c r="A9" s="30"/>
      <c r="B9" s="31"/>
      <c r="C9" s="32"/>
      <c r="D9" s="30"/>
      <c r="E9" s="32"/>
      <c r="F9" s="30"/>
      <c r="G9" s="30"/>
      <c r="H9" s="33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2"/>
      <c r="U9" s="30"/>
      <c r="V9" s="30"/>
      <c r="W9" s="30"/>
      <c r="X9" s="30"/>
      <c r="Y9" s="30"/>
      <c r="Z9" s="34"/>
      <c r="AA9" s="35"/>
      <c r="AB9" s="35"/>
      <c r="AC9" s="36"/>
    </row>
    <row r="10" customFormat="false" ht="11.1" hidden="false" customHeight="true" outlineLevel="0" collapsed="false">
      <c r="A10" s="13" t="n">
        <v>1</v>
      </c>
      <c r="B10" s="29" t="n">
        <v>6902.05</v>
      </c>
      <c r="C10" s="7" t="n">
        <v>291203</v>
      </c>
      <c r="D10" s="12" t="n">
        <f aca="false">C10-C8</f>
        <v>1010</v>
      </c>
      <c r="E10" s="7" t="n">
        <f aca="false">C10-152000</f>
        <v>139203</v>
      </c>
      <c r="F10" s="6" t="n">
        <f aca="false">D10/$D$2</f>
        <v>509.200907486766</v>
      </c>
      <c r="G10" s="6" t="n">
        <v>320</v>
      </c>
      <c r="H10" s="8" t="n">
        <v>29</v>
      </c>
      <c r="I10" s="6" t="n">
        <f aca="false">G10+H10</f>
        <v>349</v>
      </c>
      <c r="J10" s="37" t="n">
        <f aca="false">IF(L10&gt;0,L10,0)</f>
        <v>365.200907486766</v>
      </c>
      <c r="K10" s="6" t="n">
        <f aca="false">I10+J10</f>
        <v>714.200907486766</v>
      </c>
      <c r="L10" s="6" t="n">
        <f aca="false">F10-(I10-W10)</f>
        <v>365.200907486766</v>
      </c>
      <c r="M10" s="6" t="n">
        <v>34</v>
      </c>
      <c r="N10" s="6" t="n">
        <v>0</v>
      </c>
      <c r="O10" s="6" t="n">
        <v>0</v>
      </c>
      <c r="P10" s="6" t="n">
        <f aca="false">M10-(N10+O10)</f>
        <v>34</v>
      </c>
      <c r="Q10" s="6" t="n">
        <v>0</v>
      </c>
      <c r="R10" s="6" t="n">
        <v>14</v>
      </c>
      <c r="S10" s="6" t="n">
        <f aca="false">SUM(P10:R10)</f>
        <v>48</v>
      </c>
      <c r="T10" s="7"/>
      <c r="U10" s="6" t="n">
        <v>0</v>
      </c>
      <c r="V10" s="6" t="n">
        <v>157</v>
      </c>
      <c r="W10" s="6" t="n">
        <f aca="false">N10+O10+S10+U10+V10</f>
        <v>205</v>
      </c>
      <c r="X10" s="6" t="n">
        <f aca="false">IF(L10&lt;0,L10*-1,0)</f>
        <v>0</v>
      </c>
      <c r="Y10" s="6" t="n">
        <f aca="false">W10+X10</f>
        <v>205</v>
      </c>
      <c r="Z10" s="11" t="n">
        <v>0.3</v>
      </c>
      <c r="AA10" s="12" t="n">
        <v>48</v>
      </c>
      <c r="AB10" s="12" t="n">
        <v>32</v>
      </c>
      <c r="AC10" s="13" t="n">
        <v>1</v>
      </c>
    </row>
    <row r="11" customFormat="false" ht="11.1" hidden="false" customHeight="true" outlineLevel="0" collapsed="false">
      <c r="A11" s="13" t="n">
        <f aca="false">A10+1</f>
        <v>2</v>
      </c>
      <c r="B11" s="38" t="n">
        <v>6902.2</v>
      </c>
      <c r="C11" s="7" t="n">
        <v>291767</v>
      </c>
      <c r="D11" s="12" t="n">
        <f aca="false">C11-C10</f>
        <v>564</v>
      </c>
      <c r="E11" s="7" t="n">
        <f aca="false">C11-152000</f>
        <v>139767</v>
      </c>
      <c r="F11" s="6" t="n">
        <f aca="false">D11/$D$2</f>
        <v>284.34585328964</v>
      </c>
      <c r="G11" s="6" t="n">
        <v>302</v>
      </c>
      <c r="H11" s="8" t="n">
        <v>39</v>
      </c>
      <c r="I11" s="6" t="n">
        <f aca="false">G11+H11</f>
        <v>341</v>
      </c>
      <c r="J11" s="37" t="n">
        <f aca="false">IF(L11&gt;0,L11,0)</f>
        <v>147.34585328964</v>
      </c>
      <c r="K11" s="6" t="n">
        <f aca="false">I11+J11</f>
        <v>488.34585328964</v>
      </c>
      <c r="L11" s="6" t="n">
        <f aca="false">F11-(I11-W11)</f>
        <v>147.34585328964</v>
      </c>
      <c r="M11" s="6" t="n">
        <v>34</v>
      </c>
      <c r="N11" s="6" t="n">
        <v>0</v>
      </c>
      <c r="O11" s="6" t="n">
        <v>0</v>
      </c>
      <c r="P11" s="6" t="n">
        <f aca="false">M11-(N11+O11)</f>
        <v>34</v>
      </c>
      <c r="Q11" s="6" t="n">
        <v>0</v>
      </c>
      <c r="R11" s="6" t="n">
        <v>14</v>
      </c>
      <c r="S11" s="6" t="n">
        <f aca="false">SUM(P11:R11)</f>
        <v>48</v>
      </c>
      <c r="T11" s="7"/>
      <c r="U11" s="6" t="n">
        <v>0</v>
      </c>
      <c r="V11" s="6" t="n">
        <v>156</v>
      </c>
      <c r="W11" s="6" t="n">
        <f aca="false">N11+O11+S11+U11+V11</f>
        <v>204</v>
      </c>
      <c r="X11" s="6" t="n">
        <f aca="false">IF(L11&lt;0,L11*-1,0)</f>
        <v>0</v>
      </c>
      <c r="Y11" s="6" t="n">
        <f aca="false">W11+X11</f>
        <v>204</v>
      </c>
      <c r="Z11" s="11" t="n">
        <v>0.01</v>
      </c>
      <c r="AA11" s="12" t="n">
        <v>44</v>
      </c>
      <c r="AB11" s="12" t="n">
        <v>36</v>
      </c>
      <c r="AC11" s="13" t="n">
        <f aca="false">AC10+1</f>
        <v>2</v>
      </c>
    </row>
    <row r="12" customFormat="false" ht="11.1" hidden="false" customHeight="true" outlineLevel="0" collapsed="false">
      <c r="A12" s="13" t="n">
        <f aca="false">A11+1</f>
        <v>3</v>
      </c>
      <c r="B12" s="29" t="n">
        <v>6902.25</v>
      </c>
      <c r="C12" s="7" t="n">
        <v>291955</v>
      </c>
      <c r="D12" s="12" t="n">
        <f aca="false">C12-C11</f>
        <v>188</v>
      </c>
      <c r="E12" s="7" t="n">
        <f aca="false">C12-152000</f>
        <v>139955</v>
      </c>
      <c r="F12" s="6" t="n">
        <f aca="false">D12/$D$2</f>
        <v>94.7819510965465</v>
      </c>
      <c r="G12" s="6" t="n">
        <v>334</v>
      </c>
      <c r="H12" s="8" t="n">
        <v>34</v>
      </c>
      <c r="I12" s="6" t="n">
        <f aca="false">G12+H12</f>
        <v>368</v>
      </c>
      <c r="J12" s="37" t="n">
        <f aca="false">IF(L12&gt;0,L12,0)</f>
        <v>73.7819510965465</v>
      </c>
      <c r="K12" s="6" t="n">
        <f aca="false">I12+J12</f>
        <v>441.781951096547</v>
      </c>
      <c r="L12" s="6" t="n">
        <f aca="false">F12-(I12-W12)</f>
        <v>73.7819510965465</v>
      </c>
      <c r="M12" s="6" t="n">
        <v>34</v>
      </c>
      <c r="N12" s="6" t="n">
        <v>0</v>
      </c>
      <c r="O12" s="6" t="n">
        <v>0</v>
      </c>
      <c r="P12" s="6" t="n">
        <f aca="false">M12-(N12+O12)</f>
        <v>34</v>
      </c>
      <c r="Q12" s="6" t="n">
        <v>0</v>
      </c>
      <c r="R12" s="6" t="n">
        <v>14</v>
      </c>
      <c r="S12" s="6" t="n">
        <f aca="false">SUM(P12:R12)</f>
        <v>48</v>
      </c>
      <c r="T12" s="7"/>
      <c r="U12" s="6" t="n">
        <v>0</v>
      </c>
      <c r="V12" s="6" t="n">
        <v>299</v>
      </c>
      <c r="W12" s="6" t="n">
        <f aca="false">N12+O12+S12+U12+V12</f>
        <v>347</v>
      </c>
      <c r="X12" s="6" t="n">
        <f aca="false">IF(L12&lt;0,L12*-1,0)</f>
        <v>0</v>
      </c>
      <c r="Y12" s="6" t="n">
        <f aca="false">W12+X12</f>
        <v>347</v>
      </c>
      <c r="Z12" s="11" t="n">
        <v>0</v>
      </c>
      <c r="AA12" s="12" t="n">
        <v>45</v>
      </c>
      <c r="AB12" s="12" t="n">
        <v>30</v>
      </c>
      <c r="AC12" s="13" t="n">
        <f aca="false">AC11+1</f>
        <v>3</v>
      </c>
    </row>
    <row r="13" customFormat="false" ht="11.1" hidden="false" customHeight="true" outlineLevel="0" collapsed="false">
      <c r="A13" s="13" t="n">
        <f aca="false">A12+1</f>
        <v>4</v>
      </c>
      <c r="B13" s="29" t="n">
        <v>6902.23</v>
      </c>
      <c r="C13" s="7" t="n">
        <v>291880</v>
      </c>
      <c r="D13" s="12" t="n">
        <f aca="false">C13-C12</f>
        <v>-75</v>
      </c>
      <c r="E13" s="7" t="n">
        <f aca="false">C13-152000</f>
        <v>139880</v>
      </c>
      <c r="F13" s="6" t="n">
        <f aca="false">D13/$D$2</f>
        <v>-37.8119485757499</v>
      </c>
      <c r="G13" s="6" t="n">
        <v>345</v>
      </c>
      <c r="H13" s="8" t="n">
        <v>35</v>
      </c>
      <c r="I13" s="6" t="n">
        <f aca="false">G13+H13</f>
        <v>380</v>
      </c>
      <c r="J13" s="37" t="n">
        <f aca="false">IF(L13&gt;0,L13,0)</f>
        <v>72.1880514242501</v>
      </c>
      <c r="K13" s="6" t="n">
        <f aca="false">I13+J13</f>
        <v>452.18805142425</v>
      </c>
      <c r="L13" s="6" t="n">
        <f aca="false">F13-(I13-W13)</f>
        <v>72.1880514242501</v>
      </c>
      <c r="M13" s="6" t="n">
        <v>35</v>
      </c>
      <c r="N13" s="6" t="n">
        <v>0</v>
      </c>
      <c r="O13" s="6" t="n">
        <v>0</v>
      </c>
      <c r="P13" s="6" t="n">
        <f aca="false">M13-(N13+O13)</f>
        <v>35</v>
      </c>
      <c r="Q13" s="6" t="n">
        <v>0</v>
      </c>
      <c r="R13" s="6" t="n">
        <v>13</v>
      </c>
      <c r="S13" s="6" t="n">
        <f aca="false">SUM(P13:R13)</f>
        <v>48</v>
      </c>
      <c r="T13" s="7"/>
      <c r="U13" s="6" t="n">
        <v>0</v>
      </c>
      <c r="V13" s="6" t="n">
        <v>442</v>
      </c>
      <c r="W13" s="6" t="n">
        <f aca="false">N13+O13+S13+U13+V13</f>
        <v>490</v>
      </c>
      <c r="X13" s="6" t="n">
        <f aca="false">IF(L13&lt;0,L13*-1,0)</f>
        <v>0</v>
      </c>
      <c r="Y13" s="6" t="n">
        <f aca="false">W13+X13</f>
        <v>490</v>
      </c>
      <c r="Z13" s="11" t="n">
        <v>0</v>
      </c>
      <c r="AA13" s="12" t="n">
        <v>46</v>
      </c>
      <c r="AB13" s="12" t="n">
        <v>29</v>
      </c>
      <c r="AC13" s="13" t="n">
        <f aca="false">AC12+1</f>
        <v>4</v>
      </c>
    </row>
    <row r="14" customFormat="false" ht="11.1" hidden="false" customHeight="true" outlineLevel="0" collapsed="false">
      <c r="A14" s="13" t="n">
        <f aca="false">A13+1</f>
        <v>5</v>
      </c>
      <c r="B14" s="29" t="n">
        <v>6902.17</v>
      </c>
      <c r="C14" s="7" t="n">
        <v>291654</v>
      </c>
      <c r="D14" s="12" t="n">
        <f aca="false">C14-C13</f>
        <v>-226</v>
      </c>
      <c r="E14" s="7" t="n">
        <f aca="false">C14-152000</f>
        <v>139654</v>
      </c>
      <c r="F14" s="6" t="n">
        <f aca="false">D14/$D$2</f>
        <v>-113.940005041593</v>
      </c>
      <c r="G14" s="6" t="n">
        <v>323</v>
      </c>
      <c r="H14" s="8" t="n">
        <v>33</v>
      </c>
      <c r="I14" s="6" t="n">
        <f aca="false">G14+H14</f>
        <v>356</v>
      </c>
      <c r="J14" s="37" t="n">
        <f aca="false">IF(L14&gt;0,L14,0)</f>
        <v>40.0599949584069</v>
      </c>
      <c r="K14" s="6" t="n">
        <f aca="false">I14+J14</f>
        <v>396.059994958407</v>
      </c>
      <c r="L14" s="6" t="n">
        <f aca="false">F14-(I14-W14)</f>
        <v>40.0599949584069</v>
      </c>
      <c r="M14" s="6" t="n">
        <v>34</v>
      </c>
      <c r="N14" s="6" t="n">
        <v>0</v>
      </c>
      <c r="O14" s="6" t="n">
        <v>0</v>
      </c>
      <c r="P14" s="6" t="n">
        <f aca="false">M14-(N14+O14)</f>
        <v>34</v>
      </c>
      <c r="Q14" s="6" t="n">
        <v>0</v>
      </c>
      <c r="R14" s="6" t="n">
        <v>14</v>
      </c>
      <c r="S14" s="6" t="n">
        <f aca="false">SUM(P14:R14)</f>
        <v>48</v>
      </c>
      <c r="T14" s="7"/>
      <c r="U14" s="6" t="n">
        <v>0</v>
      </c>
      <c r="V14" s="6" t="n">
        <v>462</v>
      </c>
      <c r="W14" s="6" t="n">
        <f aca="false">N14+O14+S14+U14+V14</f>
        <v>510</v>
      </c>
      <c r="X14" s="6" t="n">
        <f aca="false">IF(L14&lt;0,L14*-1,0)</f>
        <v>0</v>
      </c>
      <c r="Y14" s="6" t="n">
        <f aca="false">W14+X14</f>
        <v>510</v>
      </c>
      <c r="Z14" s="11" t="n">
        <v>0</v>
      </c>
      <c r="AA14" s="12" t="n">
        <v>50</v>
      </c>
      <c r="AB14" s="12" t="n">
        <v>23</v>
      </c>
      <c r="AC14" s="13" t="n">
        <f aca="false">AC13+1</f>
        <v>5</v>
      </c>
    </row>
    <row r="15" customFormat="false" ht="11.1" hidden="false" customHeight="true" outlineLevel="0" collapsed="false">
      <c r="A15" s="13" t="n">
        <f aca="false">A14+1</f>
        <v>6</v>
      </c>
      <c r="B15" s="29" t="n">
        <v>6902.12</v>
      </c>
      <c r="C15" s="7" t="n">
        <v>291466</v>
      </c>
      <c r="D15" s="12" t="n">
        <f aca="false">C15-C14</f>
        <v>-188</v>
      </c>
      <c r="E15" s="7" t="n">
        <f aca="false">C15-152000</f>
        <v>139466</v>
      </c>
      <c r="F15" s="6" t="n">
        <f aca="false">D15/$D$2</f>
        <v>-94.7819510965465</v>
      </c>
      <c r="G15" s="6" t="n">
        <v>330</v>
      </c>
      <c r="H15" s="8" t="n">
        <v>30</v>
      </c>
      <c r="I15" s="6" t="n">
        <f aca="false">G15+H15</f>
        <v>360</v>
      </c>
      <c r="J15" s="37" t="n">
        <f aca="false">IF(L15&gt;0,L15,0)</f>
        <v>56.2180489034535</v>
      </c>
      <c r="K15" s="6" t="n">
        <f aca="false">I15+J15</f>
        <v>416.218048903454</v>
      </c>
      <c r="L15" s="6" t="n">
        <f aca="false">F15-(I15-W15)</f>
        <v>56.2180489034535</v>
      </c>
      <c r="M15" s="6" t="n">
        <v>34</v>
      </c>
      <c r="N15" s="6" t="n">
        <v>0</v>
      </c>
      <c r="O15" s="6" t="n">
        <v>0</v>
      </c>
      <c r="P15" s="6" t="n">
        <f aca="false">M15-(N15+O15)</f>
        <v>34</v>
      </c>
      <c r="Q15" s="6" t="n">
        <v>0</v>
      </c>
      <c r="R15" s="6" t="n">
        <v>14</v>
      </c>
      <c r="S15" s="6" t="n">
        <f aca="false">SUM(P15:R15)</f>
        <v>48</v>
      </c>
      <c r="T15" s="7"/>
      <c r="U15" s="6" t="n">
        <v>1</v>
      </c>
      <c r="V15" s="6" t="n">
        <v>462</v>
      </c>
      <c r="W15" s="6" t="n">
        <f aca="false">N15+O15+S15+U15+V15</f>
        <v>511</v>
      </c>
      <c r="X15" s="6" t="n">
        <f aca="false">IF(L15&lt;0,L15*-1,0)</f>
        <v>0</v>
      </c>
      <c r="Y15" s="6" t="n">
        <f aca="false">W15+X15</f>
        <v>511</v>
      </c>
      <c r="Z15" s="11" t="n">
        <v>0.28</v>
      </c>
      <c r="AA15" s="12" t="n">
        <v>50</v>
      </c>
      <c r="AB15" s="12" t="n">
        <v>27</v>
      </c>
      <c r="AC15" s="13" t="n">
        <f aca="false">AC14+1</f>
        <v>6</v>
      </c>
    </row>
    <row r="16" customFormat="false" ht="11.1" hidden="false" customHeight="true" outlineLevel="0" collapsed="false">
      <c r="A16" s="13" t="n">
        <f aca="false">A15+1</f>
        <v>7</v>
      </c>
      <c r="B16" s="29" t="n">
        <v>6902</v>
      </c>
      <c r="C16" s="7" t="n">
        <v>291014</v>
      </c>
      <c r="D16" s="12" t="n">
        <f aca="false">C16-C15</f>
        <v>-452</v>
      </c>
      <c r="E16" s="7" t="n">
        <f aca="false">C16-152000</f>
        <v>139014</v>
      </c>
      <c r="F16" s="6" t="n">
        <f aca="false">D16/$D$2</f>
        <v>-227.880010083186</v>
      </c>
      <c r="G16" s="6" t="n">
        <v>329</v>
      </c>
      <c r="H16" s="8" t="n">
        <v>28</v>
      </c>
      <c r="I16" s="6" t="n">
        <f aca="false">G16+H16</f>
        <v>357</v>
      </c>
      <c r="J16" s="37" t="n">
        <f aca="false">IF(L16&gt;0,L16,0)</f>
        <v>0</v>
      </c>
      <c r="K16" s="6" t="n">
        <f aca="false">I16+J16</f>
        <v>357</v>
      </c>
      <c r="L16" s="6" t="n">
        <f aca="false">F16-(I16-W16)</f>
        <v>-77.8800100831863</v>
      </c>
      <c r="M16" s="6" t="n">
        <v>31</v>
      </c>
      <c r="N16" s="6" t="n">
        <v>0</v>
      </c>
      <c r="O16" s="6" t="n">
        <v>0</v>
      </c>
      <c r="P16" s="6" t="n">
        <f aca="false">M16-(N16+O16)</f>
        <v>31</v>
      </c>
      <c r="Q16" s="6" t="n">
        <v>0</v>
      </c>
      <c r="R16" s="6" t="n">
        <v>14</v>
      </c>
      <c r="S16" s="6" t="n">
        <f aca="false">SUM(P16:R16)</f>
        <v>45</v>
      </c>
      <c r="T16" s="7"/>
      <c r="U16" s="6" t="n">
        <v>0</v>
      </c>
      <c r="V16" s="6" t="n">
        <v>462</v>
      </c>
      <c r="W16" s="6" t="n">
        <f aca="false">N16+O16+S16+U16+V16</f>
        <v>507</v>
      </c>
      <c r="X16" s="6" t="n">
        <f aca="false">IF(L16&lt;0,L16*-1,0)</f>
        <v>77.8800100831863</v>
      </c>
      <c r="Y16" s="6" t="n">
        <f aca="false">W16+X16</f>
        <v>584.880010083186</v>
      </c>
      <c r="Z16" s="11" t="n">
        <v>0.01</v>
      </c>
      <c r="AA16" s="12" t="n">
        <v>30</v>
      </c>
      <c r="AB16" s="12" t="n">
        <v>14</v>
      </c>
      <c r="AC16" s="13" t="n">
        <f aca="false">AC15+1</f>
        <v>7</v>
      </c>
    </row>
    <row r="17" customFormat="false" ht="11.1" hidden="false" customHeight="true" outlineLevel="0" collapsed="false">
      <c r="A17" s="13" t="n">
        <f aca="false">A16+1</f>
        <v>8</v>
      </c>
      <c r="B17" s="29" t="n">
        <v>6901.95</v>
      </c>
      <c r="C17" s="7" t="n">
        <v>290828</v>
      </c>
      <c r="D17" s="12" t="n">
        <f aca="false">C17-C16</f>
        <v>-186</v>
      </c>
      <c r="E17" s="7" t="n">
        <f aca="false">C17-152000</f>
        <v>138828</v>
      </c>
      <c r="F17" s="6" t="n">
        <f aca="false">D17/$D$2</f>
        <v>-93.7736324678598</v>
      </c>
      <c r="G17" s="6" t="n">
        <v>293</v>
      </c>
      <c r="H17" s="8" t="n">
        <v>21</v>
      </c>
      <c r="I17" s="6" t="n">
        <f aca="false">G17+H17</f>
        <v>314</v>
      </c>
      <c r="J17" s="37" t="n">
        <f aca="false">IF(L17&gt;0,L17,0)</f>
        <v>97.2263675321402</v>
      </c>
      <c r="K17" s="6" t="n">
        <f aca="false">I17+J17</f>
        <v>411.22636753214</v>
      </c>
      <c r="L17" s="6" t="n">
        <f aca="false">F17-(I17-W17)</f>
        <v>97.2263675321402</v>
      </c>
      <c r="M17" s="6" t="n">
        <v>30</v>
      </c>
      <c r="N17" s="6" t="n">
        <v>0</v>
      </c>
      <c r="O17" s="6" t="n">
        <v>0</v>
      </c>
      <c r="P17" s="6" t="n">
        <f aca="false">M17-(N17+O17)</f>
        <v>30</v>
      </c>
      <c r="Q17" s="6" t="n">
        <v>0</v>
      </c>
      <c r="R17" s="6" t="n">
        <v>13</v>
      </c>
      <c r="S17" s="6" t="n">
        <f aca="false">SUM(P17:R17)</f>
        <v>43</v>
      </c>
      <c r="T17" s="7"/>
      <c r="U17" s="6" t="n">
        <v>0</v>
      </c>
      <c r="V17" s="6" t="n">
        <v>462</v>
      </c>
      <c r="W17" s="6" t="n">
        <f aca="false">N17+O17+S17+U17+V17</f>
        <v>505</v>
      </c>
      <c r="X17" s="6" t="n">
        <f aca="false">IF(L17&lt;0,L17*-1,0)</f>
        <v>0</v>
      </c>
      <c r="Y17" s="6" t="n">
        <f aca="false">W17+X17</f>
        <v>505</v>
      </c>
      <c r="Z17" s="11" t="n">
        <v>0</v>
      </c>
      <c r="AA17" s="12" t="n">
        <v>28</v>
      </c>
      <c r="AB17" s="12" t="n">
        <v>10</v>
      </c>
      <c r="AC17" s="13" t="n">
        <f aca="false">AC16+1</f>
        <v>8</v>
      </c>
    </row>
    <row r="18" customFormat="false" ht="11.1" hidden="false" customHeight="true" outlineLevel="0" collapsed="false">
      <c r="A18" s="13" t="n">
        <f aca="false">A17+1</f>
        <v>9</v>
      </c>
      <c r="B18" s="29" t="n">
        <v>6901.87</v>
      </c>
      <c r="C18" s="7" t="n">
        <v>290529</v>
      </c>
      <c r="D18" s="12" t="n">
        <f aca="false">C18-C17</f>
        <v>-299</v>
      </c>
      <c r="E18" s="7" t="n">
        <f aca="false">C18-152000</f>
        <v>138529</v>
      </c>
      <c r="F18" s="6" t="n">
        <f aca="false">D18/$D$2</f>
        <v>-150.743634988656</v>
      </c>
      <c r="G18" s="6" t="n">
        <v>311</v>
      </c>
      <c r="H18" s="8" t="n">
        <v>26</v>
      </c>
      <c r="I18" s="6" t="n">
        <f aca="false">G18+H18</f>
        <v>337</v>
      </c>
      <c r="J18" s="37" t="n">
        <f aca="false">IF(L18&gt;0,L18,0)</f>
        <v>16.2563650113436</v>
      </c>
      <c r="K18" s="6" t="n">
        <f aca="false">I18+J18</f>
        <v>353.256365011344</v>
      </c>
      <c r="L18" s="6" t="n">
        <f aca="false">F18-(I18-W18)</f>
        <v>16.2563650113436</v>
      </c>
      <c r="M18" s="6" t="n">
        <v>30</v>
      </c>
      <c r="N18" s="6" t="n">
        <v>0</v>
      </c>
      <c r="O18" s="6" t="n">
        <v>0</v>
      </c>
      <c r="P18" s="6" t="n">
        <f aca="false">M18-(N18+O18)</f>
        <v>30</v>
      </c>
      <c r="Q18" s="6" t="n">
        <v>0</v>
      </c>
      <c r="R18" s="6" t="n">
        <v>13</v>
      </c>
      <c r="S18" s="6" t="n">
        <f aca="false">SUM(P18:R18)</f>
        <v>43</v>
      </c>
      <c r="T18" s="7"/>
      <c r="U18" s="6" t="n">
        <v>0</v>
      </c>
      <c r="V18" s="6" t="n">
        <v>461</v>
      </c>
      <c r="W18" s="6" t="n">
        <f aca="false">N18+O18+S18+U18+V18</f>
        <v>504</v>
      </c>
      <c r="X18" s="6" t="n">
        <f aca="false">IF(L18&lt;0,L18*-1,0)</f>
        <v>0</v>
      </c>
      <c r="Y18" s="6" t="n">
        <f aca="false">W18+X18</f>
        <v>504</v>
      </c>
      <c r="Z18" s="11" t="n">
        <v>0</v>
      </c>
      <c r="AA18" s="39" t="n">
        <v>34</v>
      </c>
      <c r="AB18" s="12" t="n">
        <v>16</v>
      </c>
      <c r="AC18" s="13" t="n">
        <f aca="false">AC17+1</f>
        <v>9</v>
      </c>
    </row>
    <row r="19" customFormat="false" ht="11.1" hidden="false" customHeight="true" outlineLevel="0" collapsed="false">
      <c r="A19" s="13" t="n">
        <f aca="false">A18+1</f>
        <v>10</v>
      </c>
      <c r="B19" s="29" t="n">
        <v>6901.78</v>
      </c>
      <c r="C19" s="7" t="n">
        <v>290193</v>
      </c>
      <c r="D19" s="12" t="n">
        <f aca="false">C19-C18</f>
        <v>-336</v>
      </c>
      <c r="E19" s="7" t="n">
        <f aca="false">C19-152000</f>
        <v>138193</v>
      </c>
      <c r="F19" s="6" t="n">
        <f aca="false">D19/$D$2</f>
        <v>-169.39752961936</v>
      </c>
      <c r="G19" s="6" t="n">
        <v>250</v>
      </c>
      <c r="H19" s="8" t="n">
        <v>28</v>
      </c>
      <c r="I19" s="6" t="n">
        <f aca="false">G19+H19</f>
        <v>278</v>
      </c>
      <c r="J19" s="37" t="n">
        <f aca="false">IF(L19&gt;0,L19,0)</f>
        <v>0</v>
      </c>
      <c r="K19" s="6" t="n">
        <f aca="false">I19+J19</f>
        <v>278</v>
      </c>
      <c r="L19" s="6" t="n">
        <f aca="false">F19-(I19-W19)</f>
        <v>-157.39752961936</v>
      </c>
      <c r="M19" s="6" t="n">
        <v>30</v>
      </c>
      <c r="N19" s="6" t="n">
        <v>0</v>
      </c>
      <c r="O19" s="6" t="n">
        <v>0</v>
      </c>
      <c r="P19" s="6" t="n">
        <f aca="false">M19-(N19+O19)</f>
        <v>30</v>
      </c>
      <c r="Q19" s="6" t="n">
        <v>0</v>
      </c>
      <c r="R19" s="6" t="n">
        <v>13</v>
      </c>
      <c r="S19" s="6" t="n">
        <f aca="false">SUM(P19:R19)</f>
        <v>43</v>
      </c>
      <c r="T19" s="7"/>
      <c r="U19" s="6" t="n">
        <v>0</v>
      </c>
      <c r="V19" s="6" t="n">
        <v>247</v>
      </c>
      <c r="W19" s="6" t="n">
        <f aca="false">N19+O19+S19+U19+V19</f>
        <v>290</v>
      </c>
      <c r="X19" s="6" t="n">
        <f aca="false">IF(L19&lt;0,L19*-1,0)</f>
        <v>157.39752961936</v>
      </c>
      <c r="Y19" s="6" t="n">
        <f aca="false">W19+X19</f>
        <v>447.39752961936</v>
      </c>
      <c r="Z19" s="11" t="n">
        <v>0</v>
      </c>
      <c r="AA19" s="12" t="n">
        <v>36</v>
      </c>
      <c r="AB19" s="12" t="n">
        <v>9</v>
      </c>
      <c r="AC19" s="13" t="n">
        <f aca="false">AC18+1</f>
        <v>10</v>
      </c>
    </row>
    <row r="20" customFormat="false" ht="11.1" hidden="false" customHeight="true" outlineLevel="0" collapsed="false">
      <c r="A20" s="13" t="n">
        <f aca="false">A19+1</f>
        <v>11</v>
      </c>
      <c r="B20" s="29" t="n">
        <v>6901.89</v>
      </c>
      <c r="C20" s="7" t="n">
        <v>290604</v>
      </c>
      <c r="D20" s="12" t="n">
        <f aca="false">C20-C19</f>
        <v>411</v>
      </c>
      <c r="E20" s="7" t="n">
        <f aca="false">C20-152000</f>
        <v>138604</v>
      </c>
      <c r="F20" s="6" t="n">
        <f aca="false">D20/$D$2</f>
        <v>207.20947819511</v>
      </c>
      <c r="G20" s="6" t="n">
        <v>223</v>
      </c>
      <c r="H20" s="8" t="n">
        <v>29</v>
      </c>
      <c r="I20" s="6" t="n">
        <f aca="false">G20+H20</f>
        <v>252</v>
      </c>
      <c r="J20" s="37" t="n">
        <f aca="false">IF(L20&gt;0,L20,0)</f>
        <v>87.2094781951096</v>
      </c>
      <c r="K20" s="6" t="n">
        <f aca="false">I20+J20</f>
        <v>339.20947819511</v>
      </c>
      <c r="L20" s="6" t="n">
        <f aca="false">F20-(I20-W20)</f>
        <v>87.2094781951096</v>
      </c>
      <c r="M20" s="6" t="n">
        <v>19</v>
      </c>
      <c r="N20" s="6" t="n">
        <v>0</v>
      </c>
      <c r="O20" s="6" t="n">
        <v>0</v>
      </c>
      <c r="P20" s="6" t="n">
        <f aca="false">M20-(N20+O20)</f>
        <v>19</v>
      </c>
      <c r="Q20" s="6" t="n">
        <v>0</v>
      </c>
      <c r="R20" s="6" t="n">
        <v>13</v>
      </c>
      <c r="S20" s="6" t="n">
        <f aca="false">SUM(P20:R20)</f>
        <v>32</v>
      </c>
      <c r="T20" s="7"/>
      <c r="U20" s="6" t="n">
        <v>0</v>
      </c>
      <c r="V20" s="6" t="n">
        <v>100</v>
      </c>
      <c r="W20" s="6" t="n">
        <f aca="false">N20+O20+S20+U20+V20</f>
        <v>132</v>
      </c>
      <c r="X20" s="6" t="n">
        <f aca="false">IF(L20&lt;0,L20*-1,0)</f>
        <v>0</v>
      </c>
      <c r="Y20" s="6" t="n">
        <f aca="false">W20+X20</f>
        <v>132</v>
      </c>
      <c r="Z20" s="11" t="n">
        <v>0</v>
      </c>
      <c r="AA20" s="12" t="n">
        <v>44</v>
      </c>
      <c r="AB20" s="12" t="n">
        <v>12</v>
      </c>
      <c r="AC20" s="13" t="n">
        <f aca="false">AC19+1</f>
        <v>11</v>
      </c>
    </row>
    <row r="21" customFormat="false" ht="11.1" hidden="false" customHeight="true" outlineLevel="0" collapsed="false">
      <c r="A21" s="13" t="n">
        <f aca="false">A20+1</f>
        <v>12</v>
      </c>
      <c r="B21" s="29" t="n">
        <v>6902</v>
      </c>
      <c r="C21" s="7" t="n">
        <v>291014</v>
      </c>
      <c r="D21" s="12" t="n">
        <f aca="false">C21-C20</f>
        <v>410</v>
      </c>
      <c r="E21" s="7" t="n">
        <f aca="false">C21-152000</f>
        <v>139014</v>
      </c>
      <c r="F21" s="6" t="n">
        <f aca="false">D21/$D$2</f>
        <v>206.705318880766</v>
      </c>
      <c r="G21" s="6" t="n">
        <v>268</v>
      </c>
      <c r="H21" s="8" t="n">
        <v>26</v>
      </c>
      <c r="I21" s="6" t="n">
        <f aca="false">G21+H21</f>
        <v>294</v>
      </c>
      <c r="J21" s="37" t="n">
        <f aca="false">IF(L21&gt;0,L21,0)</f>
        <v>42.7053188807663</v>
      </c>
      <c r="K21" s="6" t="n">
        <f aca="false">I21+J21</f>
        <v>336.705318880766</v>
      </c>
      <c r="L21" s="6" t="n">
        <f aca="false">F21-(I21-W21)</f>
        <v>42.7053188807663</v>
      </c>
      <c r="M21" s="6" t="n">
        <v>16</v>
      </c>
      <c r="N21" s="6" t="n">
        <v>0</v>
      </c>
      <c r="O21" s="6" t="n">
        <v>0</v>
      </c>
      <c r="P21" s="6" t="n">
        <f aca="false">M21-(N21+O21)</f>
        <v>16</v>
      </c>
      <c r="Q21" s="6" t="n">
        <v>0</v>
      </c>
      <c r="R21" s="6" t="n">
        <v>14</v>
      </c>
      <c r="S21" s="6" t="n">
        <f aca="false">SUM(P21:R21)</f>
        <v>30</v>
      </c>
      <c r="T21" s="7"/>
      <c r="U21" s="6" t="n">
        <v>0</v>
      </c>
      <c r="V21" s="6" t="n">
        <v>100</v>
      </c>
      <c r="W21" s="6" t="n">
        <f aca="false">N21+O21+S21+U21+V21</f>
        <v>130</v>
      </c>
      <c r="X21" s="6" t="n">
        <f aca="false">IF(L21&lt;0,L21*-1,0)</f>
        <v>0</v>
      </c>
      <c r="Y21" s="6" t="n">
        <f aca="false">W21+X21</f>
        <v>130</v>
      </c>
      <c r="Z21" s="11" t="n">
        <v>0</v>
      </c>
      <c r="AA21" s="12" t="n">
        <v>57</v>
      </c>
      <c r="AB21" s="12" t="n">
        <v>19</v>
      </c>
      <c r="AC21" s="13" t="n">
        <f aca="false">AC20+1</f>
        <v>12</v>
      </c>
    </row>
    <row r="22" customFormat="false" ht="11.1" hidden="false" customHeight="true" outlineLevel="0" collapsed="false">
      <c r="A22" s="13" t="n">
        <f aca="false">A21+1</f>
        <v>13</v>
      </c>
      <c r="B22" s="29" t="n">
        <v>6902.08</v>
      </c>
      <c r="C22" s="7" t="n">
        <v>291315</v>
      </c>
      <c r="D22" s="12" t="n">
        <f aca="false">C22-C21</f>
        <v>301</v>
      </c>
      <c r="E22" s="7" t="n">
        <f aca="false">C22-152000</f>
        <v>139315</v>
      </c>
      <c r="F22" s="6" t="n">
        <f aca="false">D22/$D$2</f>
        <v>151.751953617343</v>
      </c>
      <c r="G22" s="6" t="n">
        <v>260</v>
      </c>
      <c r="H22" s="8" t="n">
        <v>22</v>
      </c>
      <c r="I22" s="6" t="n">
        <f aca="false">G22+H22</f>
        <v>282</v>
      </c>
      <c r="J22" s="37" t="n">
        <f aca="false">IF(L22&gt;0,L22,0)</f>
        <v>28.7519536173431</v>
      </c>
      <c r="K22" s="6" t="n">
        <f aca="false">I22+J22</f>
        <v>310.751953617343</v>
      </c>
      <c r="L22" s="6" t="n">
        <f aca="false">F22-(I22-W22)</f>
        <v>28.7519536173431</v>
      </c>
      <c r="M22" s="6" t="n">
        <v>21</v>
      </c>
      <c r="N22" s="6" t="n">
        <v>0</v>
      </c>
      <c r="O22" s="6" t="n">
        <v>0</v>
      </c>
      <c r="P22" s="6" t="n">
        <f aca="false">M22-(N22+O22)</f>
        <v>21</v>
      </c>
      <c r="Q22" s="6" t="n">
        <v>0</v>
      </c>
      <c r="R22" s="6" t="n">
        <v>13</v>
      </c>
      <c r="S22" s="6" t="n">
        <f aca="false">SUM(P22:R22)</f>
        <v>34</v>
      </c>
      <c r="T22" s="7"/>
      <c r="U22" s="6" t="n">
        <v>0</v>
      </c>
      <c r="V22" s="6" t="n">
        <v>125</v>
      </c>
      <c r="W22" s="6" t="n">
        <f aca="false">N22+O22+S22+U22+V22</f>
        <v>159</v>
      </c>
      <c r="X22" s="6" t="n">
        <f aca="false">IF(L22&lt;0,L22*-1,0)</f>
        <v>0</v>
      </c>
      <c r="Y22" s="6" t="n">
        <f aca="false">W22+X22</f>
        <v>159</v>
      </c>
      <c r="Z22" s="11" t="n">
        <v>0</v>
      </c>
      <c r="AA22" s="12" t="n">
        <v>59</v>
      </c>
      <c r="AB22" s="12" t="n">
        <v>20</v>
      </c>
      <c r="AC22" s="13" t="n">
        <f aca="false">AC21+1</f>
        <v>13</v>
      </c>
    </row>
    <row r="23" customFormat="false" ht="11.1" hidden="false" customHeight="true" outlineLevel="0" collapsed="false">
      <c r="A23" s="13" t="n">
        <f aca="false">A22+1</f>
        <v>14</v>
      </c>
      <c r="B23" s="29" t="n">
        <v>6902.16</v>
      </c>
      <c r="C23" s="7" t="n">
        <v>291616</v>
      </c>
      <c r="D23" s="12" t="n">
        <f aca="false">C23-C22</f>
        <v>301</v>
      </c>
      <c r="E23" s="7" t="n">
        <f aca="false">C23-152000</f>
        <v>139616</v>
      </c>
      <c r="F23" s="6" t="n">
        <f aca="false">D23/$D$2</f>
        <v>151.751953617343</v>
      </c>
      <c r="G23" s="6" t="n">
        <v>261</v>
      </c>
      <c r="H23" s="8" t="n">
        <v>19</v>
      </c>
      <c r="I23" s="6" t="n">
        <f aca="false">G23+H23</f>
        <v>280</v>
      </c>
      <c r="J23" s="37" t="n">
        <f aca="false">IF(L23&gt;0,L23,0)</f>
        <v>54.7519536173431</v>
      </c>
      <c r="K23" s="6" t="n">
        <f aca="false">I23+J23</f>
        <v>334.751953617343</v>
      </c>
      <c r="L23" s="6" t="n">
        <f aca="false">F23-(I23-W23)</f>
        <v>54.7519536173431</v>
      </c>
      <c r="M23" s="6" t="n">
        <v>23</v>
      </c>
      <c r="N23" s="6" t="n">
        <v>0</v>
      </c>
      <c r="O23" s="6" t="n">
        <v>0</v>
      </c>
      <c r="P23" s="6" t="n">
        <f aca="false">M23-(N23+O23)</f>
        <v>23</v>
      </c>
      <c r="Q23" s="6" t="n">
        <v>0</v>
      </c>
      <c r="R23" s="6" t="n">
        <v>13</v>
      </c>
      <c r="S23" s="6" t="n">
        <f aca="false">SUM(P23:R23)</f>
        <v>36</v>
      </c>
      <c r="T23" s="7"/>
      <c r="U23" s="6" t="n">
        <v>0</v>
      </c>
      <c r="V23" s="6" t="n">
        <v>147</v>
      </c>
      <c r="W23" s="6" t="n">
        <f aca="false">N23+O23+S23+U23+V23</f>
        <v>183</v>
      </c>
      <c r="X23" s="6" t="n">
        <f aca="false">IF(L23&lt;0,L23*-1,0)</f>
        <v>0</v>
      </c>
      <c r="Y23" s="6" t="n">
        <f aca="false">W23+X23</f>
        <v>183</v>
      </c>
      <c r="Z23" s="11" t="n">
        <v>0</v>
      </c>
      <c r="AA23" s="39" t="n">
        <v>50</v>
      </c>
      <c r="AB23" s="12" t="n">
        <v>20</v>
      </c>
      <c r="AC23" s="13" t="n">
        <f aca="false">AC22+1</f>
        <v>14</v>
      </c>
    </row>
    <row r="24" customFormat="false" ht="11.1" hidden="false" customHeight="true" outlineLevel="0" collapsed="false">
      <c r="A24" s="13" t="n">
        <f aca="false">A23+1</f>
        <v>15</v>
      </c>
      <c r="B24" s="29" t="n">
        <v>6902.2</v>
      </c>
      <c r="C24" s="7" t="n">
        <v>291767</v>
      </c>
      <c r="D24" s="12" t="n">
        <f aca="false">C24-C23</f>
        <v>151</v>
      </c>
      <c r="E24" s="7" t="n">
        <f aca="false">C24-152000</f>
        <v>139767</v>
      </c>
      <c r="F24" s="6" t="n">
        <f aca="false">D24/$D$2</f>
        <v>76.1280564658432</v>
      </c>
      <c r="G24" s="6" t="n">
        <v>267</v>
      </c>
      <c r="H24" s="8" t="n">
        <v>17</v>
      </c>
      <c r="I24" s="6" t="n">
        <f aca="false">G24+H24</f>
        <v>284</v>
      </c>
      <c r="J24" s="37" t="n">
        <f aca="false">IF(L24&gt;0,L24,0)</f>
        <v>0</v>
      </c>
      <c r="K24" s="6" t="n">
        <f aca="false">I24+J24</f>
        <v>284</v>
      </c>
      <c r="L24" s="6" t="n">
        <f aca="false">F24-(I24-W24)</f>
        <v>-22.8719435341568</v>
      </c>
      <c r="M24" s="6" t="n">
        <v>24</v>
      </c>
      <c r="N24" s="6" t="n">
        <v>0</v>
      </c>
      <c r="O24" s="6" t="n">
        <v>0</v>
      </c>
      <c r="P24" s="6" t="n">
        <f aca="false">M24-(N24+O24)</f>
        <v>24</v>
      </c>
      <c r="Q24" s="6" t="n">
        <v>0</v>
      </c>
      <c r="R24" s="6" t="n">
        <v>14</v>
      </c>
      <c r="S24" s="6" t="n">
        <f aca="false">SUM(P24:R24)</f>
        <v>38</v>
      </c>
      <c r="T24" s="7"/>
      <c r="U24" s="6" t="n">
        <v>0</v>
      </c>
      <c r="V24" s="6" t="n">
        <v>147</v>
      </c>
      <c r="W24" s="6" t="n">
        <f aca="false">N24+O24+S24+U24+V24</f>
        <v>185</v>
      </c>
      <c r="X24" s="6" t="n">
        <f aca="false">IF(L24&lt;0,L24*-1,0)</f>
        <v>22.8719435341568</v>
      </c>
      <c r="Y24" s="6" t="n">
        <f aca="false">W24+X24</f>
        <v>207.871943534157</v>
      </c>
      <c r="Z24" s="11" t="n">
        <v>0</v>
      </c>
      <c r="AA24" s="39" t="n">
        <v>48</v>
      </c>
      <c r="AB24" s="12" t="n">
        <v>20</v>
      </c>
      <c r="AC24" s="13" t="n">
        <f aca="false">AC23+1</f>
        <v>15</v>
      </c>
    </row>
    <row r="25" customFormat="false" ht="11.1" hidden="false" customHeight="true" outlineLevel="0" collapsed="false">
      <c r="A25" s="13" t="n">
        <f aca="false">A24+1</f>
        <v>16</v>
      </c>
      <c r="B25" s="29" t="n">
        <v>6902.22</v>
      </c>
      <c r="C25" s="7" t="n">
        <v>291842</v>
      </c>
      <c r="D25" s="12" t="n">
        <f aca="false">C25-C24</f>
        <v>75</v>
      </c>
      <c r="E25" s="7" t="n">
        <f aca="false">C25-152000</f>
        <v>139842</v>
      </c>
      <c r="F25" s="6" t="n">
        <f aca="false">D25/$D$2</f>
        <v>37.8119485757499</v>
      </c>
      <c r="G25" s="6" t="n">
        <v>271</v>
      </c>
      <c r="H25" s="8" t="n">
        <v>17</v>
      </c>
      <c r="I25" s="6" t="n">
        <f aca="false">G25+H25</f>
        <v>288</v>
      </c>
      <c r="J25" s="37" t="n">
        <f aca="false">IF(L25&gt;0,L25,0)</f>
        <v>0</v>
      </c>
      <c r="K25" s="6" t="n">
        <f aca="false">I25+J25</f>
        <v>288</v>
      </c>
      <c r="L25" s="6" t="n">
        <f aca="false">F25-(I25-W25)</f>
        <v>-65.1880514242501</v>
      </c>
      <c r="M25" s="6" t="n">
        <v>24</v>
      </c>
      <c r="N25" s="6" t="n">
        <v>0</v>
      </c>
      <c r="O25" s="6" t="n">
        <v>0</v>
      </c>
      <c r="P25" s="6" t="n">
        <f aca="false">M25-(N25+O25)</f>
        <v>24</v>
      </c>
      <c r="Q25" s="6" t="n">
        <v>0</v>
      </c>
      <c r="R25" s="6" t="n">
        <v>14</v>
      </c>
      <c r="S25" s="6" t="n">
        <f aca="false">SUM(P25:R25)</f>
        <v>38</v>
      </c>
      <c r="T25" s="7"/>
      <c r="U25" s="6" t="n">
        <v>0</v>
      </c>
      <c r="V25" s="6" t="n">
        <v>147</v>
      </c>
      <c r="W25" s="6" t="n">
        <f aca="false">N25+O25+S25+U25+V25</f>
        <v>185</v>
      </c>
      <c r="X25" s="6" t="n">
        <f aca="false">IF(L25&lt;0,L25*-1,0)</f>
        <v>65.1880514242501</v>
      </c>
      <c r="Y25" s="6" t="n">
        <f aca="false">W25+X25</f>
        <v>250.18805142425</v>
      </c>
      <c r="Z25" s="11" t="n">
        <v>0</v>
      </c>
      <c r="AA25" s="39" t="n">
        <v>47</v>
      </c>
      <c r="AB25" s="12" t="n">
        <v>28</v>
      </c>
      <c r="AC25" s="13" t="n">
        <f aca="false">AC24+1</f>
        <v>16</v>
      </c>
    </row>
    <row r="26" customFormat="false" ht="11.1" hidden="false" customHeight="true" outlineLevel="0" collapsed="false">
      <c r="A26" s="13" t="n">
        <f aca="false">A25+1</f>
        <v>17</v>
      </c>
      <c r="B26" s="29" t="n">
        <v>6902.3</v>
      </c>
      <c r="C26" s="7" t="n">
        <v>292143</v>
      </c>
      <c r="D26" s="12" t="n">
        <f aca="false">C26-C25</f>
        <v>301</v>
      </c>
      <c r="E26" s="7" t="n">
        <f aca="false">C26-152000</f>
        <v>140143</v>
      </c>
      <c r="F26" s="6" t="n">
        <f aca="false">D26/$D$2</f>
        <v>151.751953617343</v>
      </c>
      <c r="G26" s="6" t="n">
        <v>266</v>
      </c>
      <c r="H26" s="8" t="n">
        <v>17</v>
      </c>
      <c r="I26" s="6" t="n">
        <f aca="false">G26+H26</f>
        <v>283</v>
      </c>
      <c r="J26" s="37" t="n">
        <f aca="false">IF(L26&gt;0,L26,0)</f>
        <v>97.7519536173431</v>
      </c>
      <c r="K26" s="6" t="n">
        <f aca="false">I26+J26</f>
        <v>380.751953617343</v>
      </c>
      <c r="L26" s="6" t="n">
        <f aca="false">F26-(I26-W26)</f>
        <v>97.7519536173431</v>
      </c>
      <c r="M26" s="6" t="n">
        <v>24</v>
      </c>
      <c r="N26" s="6" t="n">
        <v>0</v>
      </c>
      <c r="O26" s="6" t="n">
        <v>0</v>
      </c>
      <c r="P26" s="6" t="n">
        <f aca="false">M26-(N26+O26)</f>
        <v>24</v>
      </c>
      <c r="Q26" s="6" t="n">
        <v>0</v>
      </c>
      <c r="R26" s="6" t="n">
        <v>13</v>
      </c>
      <c r="S26" s="6" t="n">
        <f aca="false">SUM(P26:R26)</f>
        <v>37</v>
      </c>
      <c r="T26" s="7"/>
      <c r="U26" s="6" t="n">
        <v>0</v>
      </c>
      <c r="V26" s="6" t="n">
        <v>192</v>
      </c>
      <c r="W26" s="6" t="n">
        <f aca="false">N26+O26+S26+U26+V26</f>
        <v>229</v>
      </c>
      <c r="X26" s="6" t="n">
        <f aca="false">IF(L26&lt;0,L26*-1,0)</f>
        <v>0</v>
      </c>
      <c r="Y26" s="6" t="n">
        <f aca="false">W26+X26</f>
        <v>229</v>
      </c>
      <c r="Z26" s="11" t="n">
        <v>0</v>
      </c>
      <c r="AA26" s="39" t="n">
        <v>50</v>
      </c>
      <c r="AB26" s="12" t="n">
        <v>29</v>
      </c>
      <c r="AC26" s="13" t="n">
        <f aca="false">AC25+1</f>
        <v>17</v>
      </c>
    </row>
    <row r="27" customFormat="false" ht="11.1" hidden="false" customHeight="true" outlineLevel="0" collapsed="false">
      <c r="A27" s="13" t="n">
        <f aca="false">A26+1</f>
        <v>18</v>
      </c>
      <c r="B27" s="29" t="n">
        <v>6902.71</v>
      </c>
      <c r="C27" s="7" t="n">
        <v>293686</v>
      </c>
      <c r="D27" s="12" t="n">
        <f aca="false">C27-C26</f>
        <v>1543</v>
      </c>
      <c r="E27" s="7" t="n">
        <f aca="false">C27-152000</f>
        <v>141686</v>
      </c>
      <c r="F27" s="6" t="n">
        <f aca="false">D27/$D$2</f>
        <v>777.917822031762</v>
      </c>
      <c r="G27" s="6" t="n">
        <v>280</v>
      </c>
      <c r="H27" s="8" t="n">
        <v>20</v>
      </c>
      <c r="I27" s="6" t="n">
        <f aca="false">G27+H27</f>
        <v>300</v>
      </c>
      <c r="J27" s="37" t="n">
        <f aca="false">IF(L27&gt;0,L27,0)</f>
        <v>734.917822031762</v>
      </c>
      <c r="K27" s="6" t="n">
        <f aca="false">I27+J27</f>
        <v>1034.91782203176</v>
      </c>
      <c r="L27" s="6" t="n">
        <f aca="false">F27-(I27-W27)</f>
        <v>734.917822031762</v>
      </c>
      <c r="M27" s="6" t="n">
        <v>24</v>
      </c>
      <c r="N27" s="6" t="n">
        <v>0</v>
      </c>
      <c r="O27" s="6" t="n">
        <v>0</v>
      </c>
      <c r="P27" s="6" t="n">
        <f aca="false">M27-(N27+O27)</f>
        <v>24</v>
      </c>
      <c r="Q27" s="6" t="n">
        <v>0</v>
      </c>
      <c r="R27" s="6" t="n">
        <v>13</v>
      </c>
      <c r="S27" s="6" t="n">
        <f aca="false">SUM(P27:R27)</f>
        <v>37</v>
      </c>
      <c r="T27" s="7"/>
      <c r="U27" s="6" t="n">
        <v>0</v>
      </c>
      <c r="V27" s="6" t="n">
        <v>220</v>
      </c>
      <c r="W27" s="6" t="n">
        <f aca="false">N27+O27+S27+U27+V27</f>
        <v>257</v>
      </c>
      <c r="X27" s="6" t="n">
        <f aca="false">IF(L27&lt;0,L27*-1,0)</f>
        <v>0</v>
      </c>
      <c r="Y27" s="6" t="n">
        <f aca="false">W27+X27</f>
        <v>257</v>
      </c>
      <c r="Z27" s="11" t="n">
        <v>0.97</v>
      </c>
      <c r="AA27" s="39" t="n">
        <v>54</v>
      </c>
      <c r="AB27" s="12" t="n">
        <v>27</v>
      </c>
      <c r="AC27" s="13" t="n">
        <f aca="false">AC26+1</f>
        <v>18</v>
      </c>
    </row>
    <row r="28" customFormat="false" ht="11.1" hidden="false" customHeight="true" outlineLevel="0" collapsed="false">
      <c r="A28" s="13" t="n">
        <f aca="false">A27+1</f>
        <v>19</v>
      </c>
      <c r="B28" s="29" t="n">
        <v>6902.89</v>
      </c>
      <c r="C28" s="7" t="n">
        <v>294363</v>
      </c>
      <c r="D28" s="12" t="n">
        <f aca="false">C28-C27</f>
        <v>677</v>
      </c>
      <c r="E28" s="7" t="n">
        <f aca="false">C28-152000</f>
        <v>142363</v>
      </c>
      <c r="F28" s="6" t="n">
        <f aca="false">D28/$D$2</f>
        <v>341.315855810436</v>
      </c>
      <c r="G28" s="6" t="n">
        <v>622</v>
      </c>
      <c r="H28" s="8" t="n">
        <v>240</v>
      </c>
      <c r="I28" s="6" t="n">
        <f aca="false">G28+H28</f>
        <v>862</v>
      </c>
      <c r="J28" s="37" t="n">
        <f aca="false">IF(L28&gt;0,L28,0)</f>
        <v>173.315855810436</v>
      </c>
      <c r="K28" s="6" t="n">
        <f aca="false">I28+J28</f>
        <v>1035.31585581044</v>
      </c>
      <c r="L28" s="6" t="n">
        <f aca="false">F28-(I28-W28)</f>
        <v>173.315855810436</v>
      </c>
      <c r="M28" s="6" t="n">
        <v>24</v>
      </c>
      <c r="N28" s="6" t="n">
        <v>0</v>
      </c>
      <c r="O28" s="6" t="n">
        <v>0</v>
      </c>
      <c r="P28" s="6" t="n">
        <f aca="false">M28-(N28+O28)</f>
        <v>24</v>
      </c>
      <c r="Q28" s="6" t="n">
        <v>204</v>
      </c>
      <c r="R28" s="6" t="n">
        <v>13</v>
      </c>
      <c r="S28" s="6" t="n">
        <f aca="false">SUM(P28:R28)</f>
        <v>241</v>
      </c>
      <c r="T28" s="7"/>
      <c r="U28" s="6" t="n">
        <v>0</v>
      </c>
      <c r="V28" s="6" t="n">
        <v>453</v>
      </c>
      <c r="W28" s="6" t="n">
        <f aca="false">N28+O28+S28+U28+V28</f>
        <v>694</v>
      </c>
      <c r="X28" s="6" t="n">
        <f aca="false">IF(L28&lt;0,L28*-1,0)</f>
        <v>0</v>
      </c>
      <c r="Y28" s="6" t="n">
        <f aca="false">W28+X28</f>
        <v>694</v>
      </c>
      <c r="Z28" s="11" t="n">
        <v>0</v>
      </c>
      <c r="AA28" s="39" t="n">
        <v>42</v>
      </c>
      <c r="AB28" s="12" t="n">
        <v>34</v>
      </c>
      <c r="AC28" s="13" t="n">
        <f aca="false">AC27+1</f>
        <v>19</v>
      </c>
    </row>
    <row r="29" customFormat="false" ht="11.1" hidden="false" customHeight="true" outlineLevel="0" collapsed="false">
      <c r="A29" s="13" t="n">
        <f aca="false">A28+1</f>
        <v>20</v>
      </c>
      <c r="B29" s="29" t="n">
        <v>6902.87</v>
      </c>
      <c r="C29" s="7" t="n">
        <v>294288</v>
      </c>
      <c r="D29" s="12" t="n">
        <f aca="false">C29-C28</f>
        <v>-75</v>
      </c>
      <c r="E29" s="7" t="n">
        <f aca="false">C29-152000</f>
        <v>142288</v>
      </c>
      <c r="F29" s="6" t="n">
        <f aca="false">D29/$D$2</f>
        <v>-37.8119485757499</v>
      </c>
      <c r="G29" s="6" t="n">
        <v>497</v>
      </c>
      <c r="H29" s="8" t="n">
        <v>135</v>
      </c>
      <c r="I29" s="6" t="n">
        <f aca="false">G29+H29</f>
        <v>632</v>
      </c>
      <c r="J29" s="37" t="n">
        <f aca="false">IF(L29&gt;0,L29,0)</f>
        <v>174.18805142425</v>
      </c>
      <c r="K29" s="6" t="n">
        <f aca="false">I29+J29</f>
        <v>806.18805142425</v>
      </c>
      <c r="L29" s="6" t="n">
        <f aca="false">F29-(I29-W29)</f>
        <v>174.18805142425</v>
      </c>
      <c r="M29" s="6" t="n">
        <v>24</v>
      </c>
      <c r="N29" s="6" t="n">
        <v>0</v>
      </c>
      <c r="O29" s="6" t="n">
        <v>0</v>
      </c>
      <c r="P29" s="6" t="n">
        <f aca="false">M29-(N29+O29)</f>
        <v>24</v>
      </c>
      <c r="Q29" s="6" t="n">
        <v>301</v>
      </c>
      <c r="R29" s="6" t="n">
        <v>14</v>
      </c>
      <c r="S29" s="6" t="n">
        <f aca="false">SUM(P29:R29)</f>
        <v>339</v>
      </c>
      <c r="T29" s="7"/>
      <c r="U29" s="6" t="n">
        <v>0</v>
      </c>
      <c r="V29" s="6" t="n">
        <v>505</v>
      </c>
      <c r="W29" s="6" t="n">
        <f aca="false">N29+O29+S29+U29+V29</f>
        <v>844</v>
      </c>
      <c r="X29" s="6" t="n">
        <f aca="false">IF(L29&lt;0,L29*-1,0)</f>
        <v>0</v>
      </c>
      <c r="Y29" s="6" t="n">
        <f aca="false">W29+X29</f>
        <v>844</v>
      </c>
      <c r="Z29" s="11" t="n">
        <v>0</v>
      </c>
      <c r="AA29" s="39" t="n">
        <v>50</v>
      </c>
      <c r="AB29" s="12" t="n">
        <v>26</v>
      </c>
      <c r="AC29" s="13" t="n">
        <f aca="false">AC28+1</f>
        <v>20</v>
      </c>
    </row>
    <row r="30" customFormat="false" ht="11.1" hidden="false" customHeight="true" outlineLevel="0" collapsed="false">
      <c r="A30" s="13" t="n">
        <f aca="false">A29+1</f>
        <v>21</v>
      </c>
      <c r="B30" s="29" t="n">
        <v>6902.97</v>
      </c>
      <c r="C30" s="7" t="n">
        <v>294665</v>
      </c>
      <c r="D30" s="12" t="n">
        <f aca="false">C30-C29</f>
        <v>377</v>
      </c>
      <c r="E30" s="7" t="n">
        <f aca="false">C30-152000</f>
        <v>142665</v>
      </c>
      <c r="F30" s="6" t="n">
        <f aca="false">D30/$D$2</f>
        <v>190.068061507436</v>
      </c>
      <c r="G30" s="6" t="n">
        <v>443</v>
      </c>
      <c r="H30" s="8" t="n">
        <v>85</v>
      </c>
      <c r="I30" s="6" t="n">
        <f aca="false">G30+H30</f>
        <v>528</v>
      </c>
      <c r="J30" s="37" t="n">
        <f aca="false">IF(L30&gt;0,L30,0)</f>
        <v>216.068061507436</v>
      </c>
      <c r="K30" s="6" t="n">
        <f aca="false">I30+J30</f>
        <v>744.068061507436</v>
      </c>
      <c r="L30" s="6" t="n">
        <f aca="false">F30-(I30-W30)</f>
        <v>216.068061507436</v>
      </c>
      <c r="M30" s="6" t="n">
        <v>24</v>
      </c>
      <c r="N30" s="6" t="n">
        <v>0</v>
      </c>
      <c r="O30" s="6" t="n">
        <v>0</v>
      </c>
      <c r="P30" s="6" t="n">
        <f aca="false">M30-(N30+O30)</f>
        <v>24</v>
      </c>
      <c r="Q30" s="6" t="n">
        <v>111</v>
      </c>
      <c r="R30" s="6" t="n">
        <v>13</v>
      </c>
      <c r="S30" s="6" t="n">
        <f aca="false">SUM(P30:R30)</f>
        <v>148</v>
      </c>
      <c r="T30" s="7"/>
      <c r="U30" s="6" t="n">
        <v>0</v>
      </c>
      <c r="V30" s="6" t="n">
        <v>406</v>
      </c>
      <c r="W30" s="6" t="n">
        <f aca="false">N30+O30+S30+U30+V30</f>
        <v>554</v>
      </c>
      <c r="X30" s="6" t="n">
        <f aca="false">IF(L30&lt;0,L30*-1,0)</f>
        <v>0</v>
      </c>
      <c r="Y30" s="6" t="n">
        <f aca="false">W30+X30</f>
        <v>554</v>
      </c>
      <c r="Z30" s="11" t="n">
        <v>0.27</v>
      </c>
      <c r="AA30" s="12" t="n">
        <v>50</v>
      </c>
      <c r="AB30" s="12" t="n">
        <v>25</v>
      </c>
      <c r="AC30" s="13" t="n">
        <f aca="false">AC29+1</f>
        <v>21</v>
      </c>
    </row>
    <row r="31" customFormat="false" ht="11.1" hidden="false" customHeight="true" outlineLevel="0" collapsed="false">
      <c r="A31" s="13" t="n">
        <f aca="false">A30+1</f>
        <v>22</v>
      </c>
      <c r="B31" s="29" t="n">
        <v>6903.01</v>
      </c>
      <c r="C31" s="7" t="n">
        <v>294815</v>
      </c>
      <c r="D31" s="12" t="n">
        <f aca="false">C31-C30</f>
        <v>150</v>
      </c>
      <c r="E31" s="7" t="n">
        <f aca="false">C31-152000</f>
        <v>142815</v>
      </c>
      <c r="F31" s="6" t="n">
        <f aca="false">D31/$D$2</f>
        <v>75.6238971514999</v>
      </c>
      <c r="G31" s="6" t="n">
        <v>449</v>
      </c>
      <c r="H31" s="8" t="n">
        <v>73</v>
      </c>
      <c r="I31" s="6" t="n">
        <f aca="false">G31+H31</f>
        <v>522</v>
      </c>
      <c r="J31" s="37" t="n">
        <f aca="false">IF(L31&gt;0,L31,0)</f>
        <v>112.6238971515</v>
      </c>
      <c r="K31" s="6" t="n">
        <f aca="false">I31+J31</f>
        <v>634.6238971515</v>
      </c>
      <c r="L31" s="6" t="n">
        <f aca="false">F31-(I31-W31)</f>
        <v>112.6238971515</v>
      </c>
      <c r="M31" s="6" t="n">
        <v>24</v>
      </c>
      <c r="N31" s="6" t="n">
        <v>0</v>
      </c>
      <c r="O31" s="6" t="n">
        <v>0</v>
      </c>
      <c r="P31" s="6" t="n">
        <f aca="false">M31-(N31+O31)</f>
        <v>24</v>
      </c>
      <c r="Q31" s="6" t="n">
        <v>0</v>
      </c>
      <c r="R31" s="6" t="n">
        <v>13</v>
      </c>
      <c r="S31" s="6" t="n">
        <f aca="false">SUM(P31:R31)</f>
        <v>37</v>
      </c>
      <c r="T31" s="7"/>
      <c r="U31" s="6" t="n">
        <v>0</v>
      </c>
      <c r="V31" s="6" t="n">
        <v>522</v>
      </c>
      <c r="W31" s="6" t="n">
        <f aca="false">N31+O31+S31+U31+V31</f>
        <v>559</v>
      </c>
      <c r="X31" s="6" t="n">
        <f aca="false">IF(L31&lt;0,L31*-1,0)</f>
        <v>0</v>
      </c>
      <c r="Y31" s="6" t="n">
        <f aca="false">W31+X31</f>
        <v>559</v>
      </c>
      <c r="Z31" s="11" t="n">
        <v>0</v>
      </c>
      <c r="AA31" s="12" t="n">
        <v>39</v>
      </c>
      <c r="AB31" s="12" t="n">
        <v>28</v>
      </c>
      <c r="AC31" s="13" t="n">
        <f aca="false">AC30+1</f>
        <v>22</v>
      </c>
    </row>
    <row r="32" customFormat="false" ht="11.1" hidden="false" customHeight="true" outlineLevel="0" collapsed="false">
      <c r="A32" s="13" t="n">
        <f aca="false">A31+1</f>
        <v>23</v>
      </c>
      <c r="B32" s="29" t="n">
        <v>6902.93</v>
      </c>
      <c r="C32" s="7" t="n">
        <v>294514</v>
      </c>
      <c r="D32" s="12" t="n">
        <f aca="false">C32-C31</f>
        <v>-301</v>
      </c>
      <c r="E32" s="7" t="n">
        <f aca="false">C32-152000</f>
        <v>142514</v>
      </c>
      <c r="F32" s="6" t="n">
        <f aca="false">D32/$D$2</f>
        <v>-151.751953617343</v>
      </c>
      <c r="G32" s="6" t="n">
        <v>379</v>
      </c>
      <c r="H32" s="8" t="n">
        <v>58</v>
      </c>
      <c r="I32" s="6" t="n">
        <f aca="false">G32+H32</f>
        <v>437</v>
      </c>
      <c r="J32" s="37" t="n">
        <f aca="false">IF(L32&gt;0,L32,0)</f>
        <v>48.2480463826569</v>
      </c>
      <c r="K32" s="6" t="n">
        <f aca="false">I32+J32</f>
        <v>485.248046382657</v>
      </c>
      <c r="L32" s="6" t="n">
        <f aca="false">F32-(I32-W32)</f>
        <v>48.2480463826569</v>
      </c>
      <c r="M32" s="6" t="n">
        <v>24</v>
      </c>
      <c r="N32" s="6" t="n">
        <v>0</v>
      </c>
      <c r="O32" s="6" t="n">
        <v>0</v>
      </c>
      <c r="P32" s="6" t="n">
        <f aca="false">M32-(N32+O32)</f>
        <v>24</v>
      </c>
      <c r="Q32" s="6" t="n">
        <v>0</v>
      </c>
      <c r="R32" s="6" t="n">
        <v>13</v>
      </c>
      <c r="S32" s="6" t="n">
        <f aca="false">SUM(P32:R32)</f>
        <v>37</v>
      </c>
      <c r="T32" s="7"/>
      <c r="U32" s="6" t="n">
        <v>0</v>
      </c>
      <c r="V32" s="6" t="n">
        <v>600</v>
      </c>
      <c r="W32" s="6" t="n">
        <f aca="false">N32+O32+S32+U32+V32</f>
        <v>637</v>
      </c>
      <c r="X32" s="6" t="n">
        <f aca="false">IF(L32&lt;0,L32*-1,0)</f>
        <v>0</v>
      </c>
      <c r="Y32" s="6" t="n">
        <f aca="false">W32+X32</f>
        <v>637</v>
      </c>
      <c r="Z32" s="11" t="n">
        <v>0</v>
      </c>
      <c r="AA32" s="12" t="n">
        <v>38</v>
      </c>
      <c r="AB32" s="39" t="n">
        <v>24</v>
      </c>
      <c r="AC32" s="13" t="n">
        <f aca="false">AC31+1</f>
        <v>23</v>
      </c>
    </row>
    <row r="33" customFormat="false" ht="11.1" hidden="false" customHeight="true" outlineLevel="0" collapsed="false">
      <c r="A33" s="13" t="n">
        <f aca="false">A32+1</f>
        <v>24</v>
      </c>
      <c r="B33" s="29" t="n">
        <v>6902.8</v>
      </c>
      <c r="C33" s="7" t="n">
        <v>294025</v>
      </c>
      <c r="D33" s="12" t="n">
        <f aca="false">C33-C32</f>
        <v>-489</v>
      </c>
      <c r="E33" s="7" t="n">
        <f aca="false">C33-152000</f>
        <v>142025</v>
      </c>
      <c r="F33" s="6" t="n">
        <f aca="false">D33/$D$2</f>
        <v>-246.53390471389</v>
      </c>
      <c r="G33" s="6" t="n">
        <v>350</v>
      </c>
      <c r="H33" s="8" t="n">
        <v>50</v>
      </c>
      <c r="I33" s="6" t="n">
        <f aca="false">G33+H33</f>
        <v>400</v>
      </c>
      <c r="J33" s="37" t="n">
        <f aca="false">IF(L33&gt;0,L33,0)</f>
        <v>0</v>
      </c>
      <c r="K33" s="6" t="n">
        <f aca="false">I33+J33</f>
        <v>400</v>
      </c>
      <c r="L33" s="6" t="n">
        <f aca="false">F33-(I33-W33)</f>
        <v>-9.5339047138896</v>
      </c>
      <c r="M33" s="6" t="n">
        <v>24</v>
      </c>
      <c r="N33" s="6" t="n">
        <v>0</v>
      </c>
      <c r="O33" s="6" t="n">
        <v>0</v>
      </c>
      <c r="P33" s="6" t="n">
        <f aca="false">M33-(N33+O33)</f>
        <v>24</v>
      </c>
      <c r="Q33" s="6" t="n">
        <v>0</v>
      </c>
      <c r="R33" s="6" t="n">
        <v>13</v>
      </c>
      <c r="S33" s="6" t="n">
        <f aca="false">SUM(P33:R33)</f>
        <v>37</v>
      </c>
      <c r="T33" s="7"/>
      <c r="U33" s="6" t="n">
        <v>0</v>
      </c>
      <c r="V33" s="6" t="n">
        <v>600</v>
      </c>
      <c r="W33" s="6" t="n">
        <f aca="false">N33+O33+S33+U33+V33</f>
        <v>637</v>
      </c>
      <c r="X33" s="6" t="n">
        <f aca="false">IF(L33&lt;0,L33*-1,0)</f>
        <v>9.5339047138896</v>
      </c>
      <c r="Y33" s="6" t="n">
        <f aca="false">W33+X33</f>
        <v>646.53390471389</v>
      </c>
      <c r="Z33" s="11" t="n">
        <v>0</v>
      </c>
      <c r="AA33" s="12" t="n">
        <v>43</v>
      </c>
      <c r="AB33" s="39" t="n">
        <v>16</v>
      </c>
      <c r="AC33" s="13" t="n">
        <f aca="false">AC32+1</f>
        <v>24</v>
      </c>
    </row>
    <row r="34" customFormat="false" ht="11.1" hidden="false" customHeight="true" outlineLevel="0" collapsed="false">
      <c r="A34" s="13" t="n">
        <f aca="false">A33+1</f>
        <v>25</v>
      </c>
      <c r="B34" s="29" t="n">
        <v>6902.85</v>
      </c>
      <c r="C34" s="7" t="n">
        <v>294213</v>
      </c>
      <c r="D34" s="12" t="n">
        <f aca="false">C34-C33</f>
        <v>188</v>
      </c>
      <c r="E34" s="7" t="n">
        <f aca="false">C34-152000</f>
        <v>142213</v>
      </c>
      <c r="F34" s="6" t="n">
        <f aca="false">D34/$D$2</f>
        <v>94.7819510965465</v>
      </c>
      <c r="G34" s="6" t="n">
        <v>362</v>
      </c>
      <c r="H34" s="8" t="n">
        <v>49</v>
      </c>
      <c r="I34" s="6" t="n">
        <f aca="false">G34+H34</f>
        <v>411</v>
      </c>
      <c r="J34" s="37" t="n">
        <f aca="false">IF(L34&gt;0,L34,0)</f>
        <v>139.781951096547</v>
      </c>
      <c r="K34" s="6" t="n">
        <f aca="false">I34+J34</f>
        <v>550.781951096546</v>
      </c>
      <c r="L34" s="6" t="n">
        <f aca="false">F34-(I34-W34)</f>
        <v>139.781951096547</v>
      </c>
      <c r="M34" s="6" t="n">
        <v>24</v>
      </c>
      <c r="N34" s="6" t="n">
        <v>0</v>
      </c>
      <c r="O34" s="6" t="n">
        <v>0</v>
      </c>
      <c r="P34" s="6" t="n">
        <f aca="false">M34-(N34+O34)</f>
        <v>24</v>
      </c>
      <c r="Q34" s="6" t="n">
        <v>0</v>
      </c>
      <c r="R34" s="6" t="n">
        <v>10</v>
      </c>
      <c r="S34" s="6" t="n">
        <f aca="false">SUM(P34:R34)</f>
        <v>34</v>
      </c>
      <c r="T34" s="7"/>
      <c r="U34" s="6" t="n">
        <v>0</v>
      </c>
      <c r="V34" s="6" t="n">
        <v>422</v>
      </c>
      <c r="W34" s="6" t="n">
        <f aca="false">N34+O34+S34+U34+V34</f>
        <v>456</v>
      </c>
      <c r="X34" s="6" t="n">
        <f aca="false">IF(L34&lt;0,L34*-1,0)</f>
        <v>0</v>
      </c>
      <c r="Y34" s="6" t="n">
        <f aca="false">W34+X34</f>
        <v>456</v>
      </c>
      <c r="Z34" s="11" t="n">
        <v>0.22</v>
      </c>
      <c r="AA34" s="12" t="n">
        <v>35</v>
      </c>
      <c r="AB34" s="39" t="n">
        <v>19</v>
      </c>
      <c r="AC34" s="13" t="n">
        <f aca="false">AC33+1</f>
        <v>25</v>
      </c>
    </row>
    <row r="35" customFormat="false" ht="11.1" hidden="false" customHeight="true" outlineLevel="0" collapsed="false">
      <c r="A35" s="13" t="n">
        <f aca="false">A34+1</f>
        <v>26</v>
      </c>
      <c r="B35" s="29" t="n">
        <v>6902.86</v>
      </c>
      <c r="C35" s="7" t="n">
        <v>294251</v>
      </c>
      <c r="D35" s="12" t="n">
        <f aca="false">C35-C34</f>
        <v>38</v>
      </c>
      <c r="E35" s="7" t="n">
        <f aca="false">C35-152000</f>
        <v>142251</v>
      </c>
      <c r="F35" s="6" t="n">
        <f aca="false">D35/$D$2</f>
        <v>19.1580539450466</v>
      </c>
      <c r="G35" s="6" t="n">
        <v>357</v>
      </c>
      <c r="H35" s="8" t="n">
        <v>37</v>
      </c>
      <c r="I35" s="6" t="n">
        <f aca="false">G35+H35</f>
        <v>394</v>
      </c>
      <c r="J35" s="37" t="n">
        <f aca="false">IF(L35&gt;0,L35,0)</f>
        <v>0</v>
      </c>
      <c r="K35" s="6" t="n">
        <f aca="false">I35+J35</f>
        <v>394</v>
      </c>
      <c r="L35" s="6" t="n">
        <f aca="false">F35-(I35-W35)</f>
        <v>-26.8419460549534</v>
      </c>
      <c r="M35" s="6" t="n">
        <v>24</v>
      </c>
      <c r="N35" s="6" t="n">
        <v>0</v>
      </c>
      <c r="O35" s="6" t="n">
        <v>0</v>
      </c>
      <c r="P35" s="6" t="n">
        <f aca="false">M35-(N35+O35)</f>
        <v>24</v>
      </c>
      <c r="Q35" s="6" t="n">
        <v>0</v>
      </c>
      <c r="R35" s="6" t="n">
        <v>11</v>
      </c>
      <c r="S35" s="6" t="n">
        <f aca="false">SUM(P35:R35)</f>
        <v>35</v>
      </c>
      <c r="T35" s="7"/>
      <c r="U35" s="6" t="n">
        <v>0</v>
      </c>
      <c r="V35" s="6" t="n">
        <v>313</v>
      </c>
      <c r="W35" s="6" t="n">
        <f aca="false">N35+O35+S35+U35+V35</f>
        <v>348</v>
      </c>
      <c r="X35" s="6" t="n">
        <f aca="false">IF(L35&lt;0,L35*-1,0)</f>
        <v>26.8419460549534</v>
      </c>
      <c r="Y35" s="6" t="n">
        <f aca="false">W35+X35</f>
        <v>374.841946054953</v>
      </c>
      <c r="Z35" s="11" t="n">
        <v>0</v>
      </c>
      <c r="AA35" s="12" t="n">
        <v>37</v>
      </c>
      <c r="AB35" s="12" t="n">
        <v>20</v>
      </c>
      <c r="AC35" s="13" t="n">
        <f aca="false">AC34+1</f>
        <v>26</v>
      </c>
    </row>
    <row r="36" customFormat="false" ht="11.1" hidden="false" customHeight="true" outlineLevel="0" collapsed="false">
      <c r="A36" s="13" t="n">
        <f aca="false">A35+1</f>
        <v>27</v>
      </c>
      <c r="B36" s="29" t="n">
        <v>6902.86</v>
      </c>
      <c r="C36" s="7" t="n">
        <v>294251</v>
      </c>
      <c r="D36" s="12" t="n">
        <f aca="false">C36-C35</f>
        <v>0</v>
      </c>
      <c r="E36" s="7" t="n">
        <f aca="false">C36-152000</f>
        <v>142251</v>
      </c>
      <c r="F36" s="6" t="n">
        <f aca="false">D36/$D$2</f>
        <v>0</v>
      </c>
      <c r="G36" s="6" t="n">
        <v>299</v>
      </c>
      <c r="H36" s="8" t="n">
        <v>31</v>
      </c>
      <c r="I36" s="6" t="n">
        <f aca="false">G36+H36</f>
        <v>330</v>
      </c>
      <c r="J36" s="37" t="n">
        <f aca="false">IF(L36&gt;0,L36,0)</f>
        <v>18</v>
      </c>
      <c r="K36" s="6" t="n">
        <f aca="false">I36+J36</f>
        <v>348</v>
      </c>
      <c r="L36" s="6" t="n">
        <f aca="false">F36-(I36-W36)</f>
        <v>18</v>
      </c>
      <c r="M36" s="6" t="n">
        <v>24</v>
      </c>
      <c r="N36" s="6" t="n">
        <v>0</v>
      </c>
      <c r="O36" s="6" t="n">
        <v>0</v>
      </c>
      <c r="P36" s="6" t="n">
        <f aca="false">M36-(N36+O36)</f>
        <v>24</v>
      </c>
      <c r="Q36" s="6" t="n">
        <v>0</v>
      </c>
      <c r="R36" s="6" t="n">
        <v>11</v>
      </c>
      <c r="S36" s="6" t="n">
        <f aca="false">SUM(P36:R36)</f>
        <v>35</v>
      </c>
      <c r="T36" s="7"/>
      <c r="U36" s="6" t="n">
        <v>0</v>
      </c>
      <c r="V36" s="6" t="n">
        <v>313</v>
      </c>
      <c r="W36" s="6" t="n">
        <f aca="false">N36+O36+S36+U36+V36</f>
        <v>348</v>
      </c>
      <c r="X36" s="6" t="n">
        <f aca="false">IF(L36&lt;0,L36*-1,0)</f>
        <v>0</v>
      </c>
      <c r="Y36" s="6" t="n">
        <f aca="false">W36+X36</f>
        <v>348</v>
      </c>
      <c r="Z36" s="11" t="n">
        <v>0</v>
      </c>
      <c r="AA36" s="12" t="n">
        <v>41</v>
      </c>
      <c r="AB36" s="12" t="n">
        <v>21</v>
      </c>
      <c r="AC36" s="13" t="n">
        <f aca="false">AC35+1</f>
        <v>27</v>
      </c>
    </row>
    <row r="37" customFormat="false" ht="11.1" hidden="false" customHeight="true" outlineLevel="0" collapsed="false">
      <c r="A37" s="13" t="n">
        <f aca="false">A36+1</f>
        <v>28</v>
      </c>
      <c r="B37" s="29" t="n">
        <v>6902.87</v>
      </c>
      <c r="C37" s="7" t="n">
        <v>294288</v>
      </c>
      <c r="D37" s="12" t="n">
        <f aca="false">C37-C36</f>
        <v>37</v>
      </c>
      <c r="E37" s="7" t="n">
        <f aca="false">C37-152000</f>
        <v>142288</v>
      </c>
      <c r="F37" s="6" t="n">
        <f aca="false">D37/$D$2</f>
        <v>18.6538946307033</v>
      </c>
      <c r="G37" s="6" t="n">
        <v>311</v>
      </c>
      <c r="H37" s="8" t="n">
        <v>35</v>
      </c>
      <c r="I37" s="6" t="n">
        <f aca="false">G37+H37</f>
        <v>346</v>
      </c>
      <c r="J37" s="37" t="n">
        <f aca="false">IF(L37&gt;0,L37,0)</f>
        <v>20.6538946307033</v>
      </c>
      <c r="K37" s="6" t="n">
        <f aca="false">I37+J37</f>
        <v>366.653894630703</v>
      </c>
      <c r="L37" s="6" t="n">
        <f aca="false">F37-(I37-W37)</f>
        <v>20.6538946307033</v>
      </c>
      <c r="M37" s="6" t="n">
        <v>24</v>
      </c>
      <c r="N37" s="6" t="n">
        <v>0</v>
      </c>
      <c r="O37" s="6" t="n">
        <v>0</v>
      </c>
      <c r="P37" s="6" t="n">
        <f aca="false">M37-(N37+O37)</f>
        <v>24</v>
      </c>
      <c r="Q37" s="6" t="n">
        <v>0</v>
      </c>
      <c r="R37" s="6" t="n">
        <v>11</v>
      </c>
      <c r="S37" s="6" t="n">
        <f aca="false">SUM(P37:R37)</f>
        <v>35</v>
      </c>
      <c r="T37" s="7"/>
      <c r="U37" s="6" t="n">
        <v>0</v>
      </c>
      <c r="V37" s="6" t="n">
        <v>313</v>
      </c>
      <c r="W37" s="6" t="n">
        <f aca="false">N37+O37+S37+U37+V37</f>
        <v>348</v>
      </c>
      <c r="X37" s="6" t="n">
        <f aca="false">IF(L37&lt;0,L37*-1,0)</f>
        <v>0</v>
      </c>
      <c r="Y37" s="6" t="n">
        <f aca="false">W37+X37</f>
        <v>348</v>
      </c>
      <c r="Z37" s="11" t="n">
        <v>0</v>
      </c>
      <c r="AA37" s="12" t="n">
        <v>48</v>
      </c>
      <c r="AB37" s="12" t="n">
        <v>23</v>
      </c>
      <c r="AC37" s="13" t="n">
        <f aca="false">AC36+1</f>
        <v>28</v>
      </c>
    </row>
    <row r="38" customFormat="false" ht="11.1" hidden="false" customHeight="true" outlineLevel="0" collapsed="false">
      <c r="A38" s="13" t="n">
        <f aca="false">A37+1</f>
        <v>29</v>
      </c>
      <c r="B38" s="29" t="n">
        <v>6902.87</v>
      </c>
      <c r="C38" s="7" t="n">
        <v>294288</v>
      </c>
      <c r="D38" s="12" t="n">
        <f aca="false">C38-C37</f>
        <v>0</v>
      </c>
      <c r="E38" s="7" t="n">
        <f aca="false">C38-152000</f>
        <v>142288</v>
      </c>
      <c r="F38" s="6" t="n">
        <f aca="false">D38/$D$2</f>
        <v>0</v>
      </c>
      <c r="G38" s="6" t="n">
        <v>313</v>
      </c>
      <c r="H38" s="8" t="n">
        <v>34</v>
      </c>
      <c r="I38" s="6" t="n">
        <f aca="false">G38+H38</f>
        <v>347</v>
      </c>
      <c r="J38" s="37" t="n">
        <f aca="false">IF(L38&gt;0,L38,0)</f>
        <v>1</v>
      </c>
      <c r="K38" s="6" t="n">
        <f aca="false">I38+J38</f>
        <v>348</v>
      </c>
      <c r="L38" s="6" t="n">
        <f aca="false">F38-(I38-W38)</f>
        <v>1</v>
      </c>
      <c r="M38" s="6" t="n">
        <v>24</v>
      </c>
      <c r="N38" s="6" t="n">
        <v>0</v>
      </c>
      <c r="O38" s="6" t="n">
        <v>0</v>
      </c>
      <c r="P38" s="6" t="n">
        <f aca="false">M38-(N38+O38)</f>
        <v>24</v>
      </c>
      <c r="Q38" s="6" t="n">
        <v>0</v>
      </c>
      <c r="R38" s="6" t="n">
        <v>11</v>
      </c>
      <c r="S38" s="6" t="n">
        <f aca="false">SUM(P38:R38)</f>
        <v>35</v>
      </c>
      <c r="T38" s="7"/>
      <c r="U38" s="6" t="n">
        <v>0</v>
      </c>
      <c r="V38" s="6" t="n">
        <v>313</v>
      </c>
      <c r="W38" s="6" t="n">
        <f aca="false">N38+O38+S38+U38+V38</f>
        <v>348</v>
      </c>
      <c r="X38" s="6" t="n">
        <f aca="false">IF(L38&lt;0,L38*-1,0)</f>
        <v>0</v>
      </c>
      <c r="Y38" s="6" t="n">
        <f aca="false">W38+X38</f>
        <v>348</v>
      </c>
      <c r="Z38" s="11" t="n">
        <v>0</v>
      </c>
      <c r="AA38" s="39" t="n">
        <v>44</v>
      </c>
      <c r="AB38" s="12" t="n">
        <v>28</v>
      </c>
      <c r="AC38" s="13" t="n">
        <f aca="false">AC37+1</f>
        <v>29</v>
      </c>
    </row>
    <row r="39" customFormat="false" ht="11.1" hidden="false" customHeight="true" outlineLevel="0" collapsed="false">
      <c r="A39" s="13" t="n">
        <v>30</v>
      </c>
      <c r="B39" s="29" t="n">
        <v>6902.88</v>
      </c>
      <c r="C39" s="7" t="n">
        <v>294326</v>
      </c>
      <c r="D39" s="12" t="n">
        <f aca="false">C39-C38</f>
        <v>38</v>
      </c>
      <c r="E39" s="7" t="n">
        <f aca="false">C39-152000</f>
        <v>142326</v>
      </c>
      <c r="F39" s="6" t="n">
        <f aca="false">D39/$D$2</f>
        <v>19.1580539450466</v>
      </c>
      <c r="G39" s="6" t="n">
        <v>323</v>
      </c>
      <c r="H39" s="8" t="n">
        <v>29</v>
      </c>
      <c r="I39" s="6" t="n">
        <f aca="false">G39+H39</f>
        <v>352</v>
      </c>
      <c r="J39" s="37" t="n">
        <f aca="false">IF(L39&gt;0,L39,0)</f>
        <v>15.1580539450466</v>
      </c>
      <c r="K39" s="6" t="n">
        <f aca="false">I39+J39</f>
        <v>367.158053945047</v>
      </c>
      <c r="L39" s="6" t="n">
        <f aca="false">F39-(I39-W39)</f>
        <v>15.1580539450466</v>
      </c>
      <c r="M39" s="6" t="n">
        <v>24</v>
      </c>
      <c r="N39" s="6" t="n">
        <v>0</v>
      </c>
      <c r="O39" s="6" t="n">
        <v>0</v>
      </c>
      <c r="P39" s="6" t="n">
        <f aca="false">M39-(N39+O39)</f>
        <v>24</v>
      </c>
      <c r="Q39" s="6" t="n">
        <v>0</v>
      </c>
      <c r="R39" s="6" t="n">
        <v>11</v>
      </c>
      <c r="S39" s="6" t="n">
        <f aca="false">SUM(P39:R39)</f>
        <v>35</v>
      </c>
      <c r="T39" s="7"/>
      <c r="U39" s="6" t="n">
        <v>0</v>
      </c>
      <c r="V39" s="6" t="n">
        <v>313</v>
      </c>
      <c r="W39" s="6" t="n">
        <f aca="false">N39+O39+S39+U39+V39</f>
        <v>348</v>
      </c>
      <c r="X39" s="6" t="n">
        <f aca="false">IF(L39&lt;0,L39*-1,0)</f>
        <v>0</v>
      </c>
      <c r="Y39" s="6" t="n">
        <f aca="false">W39+X39</f>
        <v>348</v>
      </c>
      <c r="Z39" s="11" t="n">
        <v>0</v>
      </c>
      <c r="AA39" s="39" t="n">
        <v>36</v>
      </c>
      <c r="AB39" s="12" t="n">
        <v>24</v>
      </c>
      <c r="AC39" s="13" t="n">
        <v>30</v>
      </c>
    </row>
    <row r="40" customFormat="false" ht="3" hidden="false" customHeight="true" outlineLevel="0" collapsed="false">
      <c r="A40" s="30"/>
      <c r="B40" s="30"/>
      <c r="C40" s="32"/>
      <c r="D40" s="30"/>
      <c r="E40" s="32"/>
      <c r="F40" s="30"/>
      <c r="G40" s="30"/>
      <c r="H40" s="33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2"/>
      <c r="U40" s="30"/>
      <c r="V40" s="30"/>
      <c r="W40" s="30"/>
      <c r="X40" s="30"/>
      <c r="Y40" s="30"/>
      <c r="Z40" s="34"/>
      <c r="AA40" s="35"/>
      <c r="AB40" s="35"/>
      <c r="AC40" s="36"/>
    </row>
    <row r="41" customFormat="false" ht="11.1" hidden="false" customHeight="true" outlineLevel="0" collapsed="false">
      <c r="A41" s="6" t="s">
        <v>44</v>
      </c>
      <c r="B41" s="6"/>
      <c r="C41" s="7"/>
      <c r="D41" s="7"/>
      <c r="E41" s="7"/>
      <c r="F41" s="7" t="n">
        <f aca="false">SUM(F10:F39)</f>
        <v>2083.69044618099</v>
      </c>
      <c r="G41" s="7" t="n">
        <f aca="false">SUM(G10:G39)</f>
        <v>9938</v>
      </c>
      <c r="H41" s="7" t="n">
        <f aca="false">SUM(H10:H39)</f>
        <v>1326</v>
      </c>
      <c r="I41" s="7" t="n">
        <f aca="false">SUM(I10:I39)</f>
        <v>11264</v>
      </c>
      <c r="J41" s="7" t="n">
        <f aca="false">SUM(J10:J39)</f>
        <v>2833.40383161079</v>
      </c>
      <c r="K41" s="7" t="n">
        <f aca="false">SUM(K10:K39)</f>
        <v>14097.4038316108</v>
      </c>
      <c r="L41" s="7" t="n">
        <f aca="false">SUM(L10:L39)</f>
        <v>2473.69044618099</v>
      </c>
      <c r="M41" s="7" t="n">
        <f aca="false">SUM(M10:M39)</f>
        <v>789</v>
      </c>
      <c r="N41" s="7" t="n">
        <f aca="false">SUM(N10:N39)</f>
        <v>0</v>
      </c>
      <c r="O41" s="7" t="n">
        <f aca="false">SUM(O10:O39)</f>
        <v>0</v>
      </c>
      <c r="P41" s="7" t="n">
        <f aca="false">SUM(P10:P39)</f>
        <v>789</v>
      </c>
      <c r="Q41" s="7" t="n">
        <f aca="false">SUM(Q10:Q39)</f>
        <v>616</v>
      </c>
      <c r="R41" s="7" t="n">
        <f aca="false">SUM(R10:R39)</f>
        <v>387</v>
      </c>
      <c r="S41" s="7" t="n">
        <f aca="false">SUM(S10:S39)</f>
        <v>1792</v>
      </c>
      <c r="T41" s="7"/>
      <c r="U41" s="7" t="n">
        <f aca="false">SUM(U10:U39)</f>
        <v>1</v>
      </c>
      <c r="V41" s="7" t="n">
        <f aca="false">SUM(V10:V39)</f>
        <v>9861</v>
      </c>
      <c r="W41" s="7" t="n">
        <f aca="false">SUM(W10:W39)</f>
        <v>11654</v>
      </c>
      <c r="X41" s="7" t="n">
        <f aca="false">SUM(X10:X39)</f>
        <v>359.713385429796</v>
      </c>
      <c r="Y41" s="7" t="n">
        <f aca="false">SUM(Y10:Y39)</f>
        <v>12013.7133854298</v>
      </c>
      <c r="Z41" s="11" t="n">
        <f aca="false">SUM(Z10:Z39)</f>
        <v>2.06</v>
      </c>
      <c r="AA41" s="12" t="n">
        <f aca="false">AVERAGE(AA10:AA39)</f>
        <v>44.1</v>
      </c>
      <c r="AB41" s="12" t="n">
        <f aca="false">AVERAGE(AB10:AB39)</f>
        <v>22.9666666666667</v>
      </c>
      <c r="AC41" s="13" t="s">
        <v>45</v>
      </c>
    </row>
    <row r="42" customFormat="false" ht="11.1" hidden="false" customHeight="true" outlineLevel="0" collapsed="false">
      <c r="A42" s="6" t="s">
        <v>46</v>
      </c>
      <c r="B42" s="6"/>
      <c r="C42" s="7"/>
      <c r="D42" s="7" t="n">
        <f aca="false">SUM(D10:D39)</f>
        <v>4133</v>
      </c>
      <c r="E42" s="7"/>
      <c r="F42" s="7" t="n">
        <f aca="false">F41*$D$2</f>
        <v>4133</v>
      </c>
      <c r="G42" s="7" t="n">
        <f aca="false">G41*$D$2</f>
        <v>19712.023</v>
      </c>
      <c r="H42" s="7" t="n">
        <f aca="false">H41*$D$2</f>
        <v>2630.121</v>
      </c>
      <c r="I42" s="7" t="n">
        <f aca="false">I41*$D$2</f>
        <v>22342.144</v>
      </c>
      <c r="J42" s="7" t="n">
        <f aca="false">J41*$D$2</f>
        <v>5620.0565</v>
      </c>
      <c r="K42" s="7" t="n">
        <f aca="false">K41*$D$2</f>
        <v>27962.2005</v>
      </c>
      <c r="L42" s="7" t="n">
        <f aca="false">L41*$D$2</f>
        <v>4906.565</v>
      </c>
      <c r="M42" s="7" t="n">
        <f aca="false">M41*$D$2</f>
        <v>1564.9815</v>
      </c>
      <c r="N42" s="7" t="n">
        <f aca="false">N41*$D$2</f>
        <v>0</v>
      </c>
      <c r="O42" s="7" t="n">
        <f aca="false">O41*$D$2</f>
        <v>0</v>
      </c>
      <c r="P42" s="7" t="n">
        <f aca="false">P41*$D$2</f>
        <v>1564.9815</v>
      </c>
      <c r="Q42" s="7" t="n">
        <f aca="false">Q41*$D$2</f>
        <v>1221.836</v>
      </c>
      <c r="R42" s="7" t="n">
        <f aca="false">R41*$D$2</f>
        <v>767.6145</v>
      </c>
      <c r="S42" s="7" t="n">
        <f aca="false">S41*$D$2</f>
        <v>3554.432</v>
      </c>
      <c r="T42" s="7"/>
      <c r="U42" s="7" t="n">
        <f aca="false">U41*$D$2</f>
        <v>1.9835</v>
      </c>
      <c r="V42" s="7" t="n">
        <f aca="false">V41*$D$2</f>
        <v>19559.2935</v>
      </c>
      <c r="W42" s="7" t="n">
        <f aca="false">W41*$D$2</f>
        <v>23115.709</v>
      </c>
      <c r="X42" s="7" t="n">
        <f aca="false">X41*$D$2</f>
        <v>713.4915</v>
      </c>
      <c r="Y42" s="7" t="n">
        <f aca="false">Y41*$D$2</f>
        <v>23829.2005</v>
      </c>
      <c r="Z42" s="11"/>
      <c r="AA42" s="12" t="n">
        <f aca="false">MAX(AA10:AA39)</f>
        <v>59</v>
      </c>
      <c r="AB42" s="12" t="n">
        <f aca="false">MAX(AB10:AB39)</f>
        <v>36</v>
      </c>
      <c r="AC42" s="13" t="s">
        <v>47</v>
      </c>
    </row>
    <row r="43" customFormat="false" ht="3" hidden="false" customHeight="true" outlineLevel="0" collapsed="false">
      <c r="A43" s="30"/>
      <c r="B43" s="30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11"/>
      <c r="AA43" s="12"/>
      <c r="AB43" s="12"/>
      <c r="AC43" s="13"/>
    </row>
    <row r="44" customFormat="false" ht="11.1" hidden="false" customHeight="true" outlineLevel="0" collapsed="false">
      <c r="A44" s="6" t="s">
        <v>48</v>
      </c>
      <c r="B44" s="6"/>
      <c r="C44" s="7"/>
      <c r="D44" s="7"/>
      <c r="E44" s="7"/>
      <c r="F44" s="7"/>
      <c r="G44" s="7"/>
      <c r="H44" s="12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11"/>
      <c r="AA44" s="12" t="n">
        <f aca="false">MIN(AA10:AA39)</f>
        <v>28</v>
      </c>
      <c r="AB44" s="12" t="n">
        <f aca="false">MIN(AB10:AB39)</f>
        <v>9</v>
      </c>
      <c r="AC44" s="13" t="s">
        <v>49</v>
      </c>
    </row>
    <row r="45" customFormat="false" ht="11.1" hidden="false" customHeight="true" outlineLevel="0" collapsed="false">
      <c r="A45" s="6" t="s">
        <v>50</v>
      </c>
      <c r="B45" s="6"/>
      <c r="C45" s="7"/>
      <c r="D45" s="7"/>
      <c r="E45" s="7"/>
      <c r="F45" s="7"/>
      <c r="G45" s="7"/>
      <c r="H45" s="12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11"/>
      <c r="AA45" s="12"/>
      <c r="AB45" s="12"/>
      <c r="AC45" s="13"/>
    </row>
    <row r="46" customFormat="false" ht="3" hidden="false" customHeight="true" outlineLevel="0" collapsed="false">
      <c r="A46" s="30"/>
      <c r="B46" s="30"/>
      <c r="C46" s="32"/>
      <c r="D46" s="32"/>
      <c r="E46" s="32"/>
      <c r="F46" s="32"/>
      <c r="G46" s="32"/>
      <c r="H46" s="35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4"/>
      <c r="AA46" s="12"/>
      <c r="AB46" s="12"/>
      <c r="AC46" s="13"/>
    </row>
    <row r="47" customFormat="false" ht="11.1" hidden="false" customHeight="true" outlineLevel="0" collapsed="false">
      <c r="A47" s="6" t="s">
        <v>51</v>
      </c>
      <c r="B47" s="6"/>
      <c r="C47" s="7"/>
      <c r="D47" s="7"/>
      <c r="E47" s="7"/>
      <c r="F47" s="7" t="n">
        <f aca="false">F8+F41</f>
        <v>2083.69044618099</v>
      </c>
      <c r="G47" s="7" t="n">
        <f aca="false">G8+G41</f>
        <v>9938</v>
      </c>
      <c r="H47" s="12" t="n">
        <f aca="false">H8+H41</f>
        <v>1326</v>
      </c>
      <c r="I47" s="7" t="n">
        <f aca="false">I8+I41</f>
        <v>11264</v>
      </c>
      <c r="J47" s="7" t="n">
        <f aca="false">J8+J41</f>
        <v>2833.40383161079</v>
      </c>
      <c r="K47" s="7" t="n">
        <f aca="false">K8+K41</f>
        <v>14097.4038316108</v>
      </c>
      <c r="L47" s="7" t="n">
        <f aca="false">L8+L41</f>
        <v>2473.69044618099</v>
      </c>
      <c r="M47" s="7" t="n">
        <f aca="false">M8+M41</f>
        <v>789</v>
      </c>
      <c r="N47" s="7" t="n">
        <f aca="false">N8+N41</f>
        <v>0</v>
      </c>
      <c r="O47" s="7" t="n">
        <f aca="false">O8+O41</f>
        <v>0</v>
      </c>
      <c r="P47" s="7" t="n">
        <f aca="false">P8+P41</f>
        <v>789</v>
      </c>
      <c r="Q47" s="7" t="n">
        <f aca="false">Q8+Q41</f>
        <v>616</v>
      </c>
      <c r="R47" s="7" t="n">
        <f aca="false">R8+R41</f>
        <v>387</v>
      </c>
      <c r="S47" s="7" t="n">
        <f aca="false">S8+S41</f>
        <v>1792</v>
      </c>
      <c r="T47" s="7"/>
      <c r="U47" s="7" t="n">
        <f aca="false">U8+U41</f>
        <v>1</v>
      </c>
      <c r="V47" s="7" t="n">
        <f aca="false">V8+V41</f>
        <v>9861</v>
      </c>
      <c r="W47" s="7" t="n">
        <f aca="false">W8+W41</f>
        <v>11654</v>
      </c>
      <c r="X47" s="7" t="n">
        <f aca="false">X8+X41</f>
        <v>359.713385429796</v>
      </c>
      <c r="Y47" s="7" t="n">
        <f aca="false">Y8+Y41</f>
        <v>12013.7133854298</v>
      </c>
      <c r="Z47" s="11" t="n">
        <f aca="false">Z8+Z41</f>
        <v>2.06</v>
      </c>
      <c r="AA47" s="12"/>
      <c r="AB47" s="12"/>
      <c r="AC47" s="13"/>
    </row>
    <row r="48" customFormat="false" ht="11.1" hidden="false" customHeight="true" outlineLevel="0" collapsed="false">
      <c r="A48" s="6" t="s">
        <v>52</v>
      </c>
      <c r="B48" s="6"/>
      <c r="C48" s="7"/>
      <c r="D48" s="7" t="n">
        <f aca="false">D8+D42</f>
        <v>4133</v>
      </c>
      <c r="E48" s="7" t="n">
        <f aca="false">E39</f>
        <v>142326</v>
      </c>
      <c r="F48" s="7" t="n">
        <f aca="false">F47*$D$2</f>
        <v>4133</v>
      </c>
      <c r="G48" s="7" t="n">
        <f aca="false">G47*$D$2</f>
        <v>19712.023</v>
      </c>
      <c r="H48" s="12" t="n">
        <f aca="false">H47*$D$2</f>
        <v>2630.121</v>
      </c>
      <c r="I48" s="7" t="n">
        <f aca="false">I47*$D$2</f>
        <v>22342.144</v>
      </c>
      <c r="J48" s="7" t="n">
        <f aca="false">J47*$D$2</f>
        <v>5620.0565</v>
      </c>
      <c r="K48" s="7" t="n">
        <f aca="false">K47*$D$2</f>
        <v>27962.2005</v>
      </c>
      <c r="L48" s="7" t="n">
        <f aca="false">L47*$D$2</f>
        <v>4906.565</v>
      </c>
      <c r="M48" s="7" t="n">
        <f aca="false">M47*$D$2</f>
        <v>1564.9815</v>
      </c>
      <c r="N48" s="7" t="n">
        <f aca="false">N47*$D$2</f>
        <v>0</v>
      </c>
      <c r="O48" s="7" t="n">
        <f aca="false">O47*$D$2</f>
        <v>0</v>
      </c>
      <c r="P48" s="7" t="n">
        <f aca="false">P47*$D$2</f>
        <v>1564.9815</v>
      </c>
      <c r="Q48" s="7" t="n">
        <f aca="false">Q47*$D$2</f>
        <v>1221.836</v>
      </c>
      <c r="R48" s="7" t="n">
        <f aca="false">R47*$D$2</f>
        <v>767.6145</v>
      </c>
      <c r="S48" s="7" t="n">
        <f aca="false">S47*$D$2</f>
        <v>3554.432</v>
      </c>
      <c r="T48" s="7" t="n">
        <f aca="false">T47*$D$2</f>
        <v>0</v>
      </c>
      <c r="U48" s="7" t="n">
        <f aca="false">U47*$D$2</f>
        <v>1.9835</v>
      </c>
      <c r="V48" s="7" t="n">
        <f aca="false">V47*$D$2</f>
        <v>19559.2935</v>
      </c>
      <c r="W48" s="7" t="n">
        <f aca="false">W47*$D$2</f>
        <v>23115.709</v>
      </c>
      <c r="X48" s="7" t="n">
        <f aca="false">X47*$D$2</f>
        <v>713.4915</v>
      </c>
      <c r="Y48" s="7" t="n">
        <f aca="false">Y47*$D$2</f>
        <v>23829.2005</v>
      </c>
      <c r="Z48" s="11"/>
      <c r="AA48" s="12"/>
      <c r="AB48" s="12"/>
      <c r="AC48" s="13"/>
    </row>
    <row r="49" customFormat="false" ht="3" hidden="false" customHeight="true" outlineLevel="0" collapsed="false">
      <c r="A49" s="30"/>
      <c r="B49" s="30"/>
      <c r="C49" s="32"/>
      <c r="D49" s="30"/>
      <c r="E49" s="32"/>
      <c r="F49" s="30"/>
      <c r="G49" s="30"/>
      <c r="H49" s="33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2"/>
      <c r="U49" s="30"/>
      <c r="V49" s="30"/>
      <c r="W49" s="30"/>
      <c r="X49" s="30"/>
      <c r="Y49" s="30"/>
      <c r="Z49" s="11"/>
      <c r="AA49" s="12"/>
      <c r="AB49" s="12"/>
      <c r="AC49" s="13"/>
    </row>
    <row r="50" customFormat="false" ht="14.1" hidden="false" customHeight="true" outlineLevel="0" collapsed="false">
      <c r="A50" s="40"/>
      <c r="B50" s="41"/>
      <c r="C50" s="7"/>
      <c r="D50" s="6"/>
      <c r="E50" s="7"/>
      <c r="F50" s="6"/>
      <c r="G50" s="6"/>
      <c r="H50" s="11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7"/>
      <c r="U50" s="6"/>
      <c r="V50" s="6"/>
      <c r="W50" s="6"/>
      <c r="X50" s="6"/>
      <c r="Y50" s="11"/>
      <c r="Z50" s="11"/>
      <c r="AA50" s="12"/>
      <c r="AB50" s="12"/>
      <c r="AC50" s="13"/>
    </row>
    <row r="51" customFormat="false" ht="11.1" hidden="false" customHeight="true" outlineLevel="0" collapsed="false">
      <c r="A51" s="6"/>
      <c r="B51" s="29"/>
      <c r="C51" s="7"/>
      <c r="D51" s="39"/>
      <c r="E51" s="7"/>
      <c r="F51" s="6"/>
      <c r="G51" s="6"/>
      <c r="H51" s="11"/>
      <c r="I51" s="8"/>
      <c r="J51" s="6"/>
      <c r="K51" s="42"/>
      <c r="L51" s="6"/>
      <c r="M51" s="6"/>
      <c r="N51" s="6"/>
      <c r="O51" s="6"/>
      <c r="P51" s="6"/>
      <c r="Q51" s="6"/>
      <c r="R51" s="6"/>
      <c r="S51" s="6"/>
      <c r="T51" s="7"/>
      <c r="U51" s="6"/>
      <c r="V51" s="6"/>
      <c r="W51" s="6"/>
      <c r="X51" s="6"/>
      <c r="Y51" s="11"/>
      <c r="Z51" s="11"/>
      <c r="AA51" s="12"/>
      <c r="AB51" s="12"/>
      <c r="AC51" s="13"/>
    </row>
    <row r="52" customFormat="false" ht="11.1" hidden="false" customHeight="true" outlineLevel="0" collapsed="false">
      <c r="B52" s="39"/>
      <c r="C52" s="7"/>
      <c r="D52" s="7"/>
      <c r="E52" s="7"/>
      <c r="F52" s="39"/>
      <c r="G52" s="39"/>
      <c r="H52" s="11"/>
      <c r="I52" s="39"/>
      <c r="J52" s="39"/>
      <c r="K52" s="39"/>
      <c r="L52" s="39"/>
      <c r="M52" s="37"/>
      <c r="N52" s="37"/>
      <c r="O52" s="37"/>
      <c r="P52" s="37"/>
      <c r="Q52" s="39"/>
      <c r="R52" s="39"/>
      <c r="S52" s="39"/>
      <c r="T52" s="7"/>
      <c r="U52" s="39"/>
      <c r="V52" s="39"/>
      <c r="W52" s="39"/>
      <c r="X52" s="39"/>
      <c r="Y52" s="11"/>
      <c r="Z52" s="11"/>
      <c r="AA52" s="12"/>
      <c r="AB52" s="12"/>
      <c r="AC52" s="13"/>
    </row>
    <row r="53" customFormat="false" ht="11.1" hidden="false" customHeight="true" outlineLevel="0" collapsed="false">
      <c r="A53" s="39"/>
      <c r="B53" s="10"/>
      <c r="C53" s="7"/>
      <c r="D53" s="7"/>
      <c r="E53" s="7"/>
      <c r="F53" s="39"/>
      <c r="G53" s="39"/>
      <c r="H53" s="11"/>
      <c r="I53" s="39"/>
      <c r="J53" s="39"/>
      <c r="K53" s="39"/>
      <c r="L53" s="39"/>
      <c r="M53" s="37"/>
      <c r="N53" s="37"/>
      <c r="O53" s="37"/>
      <c r="P53" s="37"/>
      <c r="Q53" s="39"/>
      <c r="R53" s="39"/>
      <c r="S53" s="39"/>
      <c r="T53" s="7"/>
      <c r="U53" s="39"/>
      <c r="V53" s="39"/>
      <c r="W53" s="39"/>
      <c r="X53" s="39"/>
      <c r="Y53" s="11"/>
      <c r="Z53" s="11"/>
      <c r="AA53" s="12"/>
      <c r="AB53" s="12"/>
      <c r="AC53" s="13"/>
    </row>
    <row r="54" customFormat="false" ht="11.1" hidden="false" customHeight="true" outlineLevel="0" collapsed="false">
      <c r="A54" s="39"/>
      <c r="B54" s="39"/>
      <c r="C54" s="7"/>
      <c r="D54" s="39"/>
      <c r="E54" s="7"/>
      <c r="F54" s="39"/>
      <c r="G54" s="43"/>
      <c r="H54" s="11"/>
      <c r="I54" s="39"/>
      <c r="J54" s="39"/>
      <c r="K54" s="39"/>
      <c r="L54" s="39"/>
      <c r="M54" s="37"/>
      <c r="N54" s="37"/>
      <c r="O54" s="37"/>
      <c r="P54" s="39"/>
      <c r="Q54" s="39"/>
      <c r="R54" s="39"/>
      <c r="S54" s="7"/>
      <c r="T54" s="39"/>
      <c r="U54" s="39"/>
      <c r="V54" s="7"/>
      <c r="W54" s="39"/>
      <c r="X54" s="39"/>
      <c r="Y54" s="11"/>
      <c r="Z54" s="11"/>
      <c r="AA54" s="12"/>
      <c r="AB54" s="13"/>
    </row>
  </sheetData>
  <mergeCells count="1">
    <mergeCell ref="M4:P4"/>
  </mergeCells>
  <printOptions headings="true" gridLines="true" gridLinesSet="true" horizontalCentered="true" verticalCentered="false"/>
  <pageMargins left="0.25" right="0.25" top="0" bottom="0" header="0.511811023622047" footer="0.511811023622047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C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9" topLeftCell="J21" activePane="bottomRight" state="frozen"/>
      <selection pane="topLeft" activeCell="A1" activeCellId="0" sqref="A1"/>
      <selection pane="topRight" activeCell="J1" activeCellId="0" sqref="J1"/>
      <selection pane="bottomLeft" activeCell="A21" activeCellId="0" sqref="A21"/>
      <selection pane="bottomRight" activeCell="AB40" activeCellId="0" sqref="AB40"/>
    </sheetView>
  </sheetViews>
  <sheetFormatPr defaultColWidth="9.328125" defaultRowHeight="11.1" zeroHeight="false" outlineLevelRow="0" outlineLevelCol="0"/>
  <cols>
    <col collapsed="false" customWidth="true" hidden="false" outlineLevel="0" max="1" min="1" style="44" width="5.66"/>
    <col collapsed="false" customWidth="true" hidden="false" outlineLevel="0" max="2" min="2" style="44" width="7.82"/>
    <col collapsed="false" customWidth="true" hidden="false" outlineLevel="0" max="3" min="3" style="45" width="7.66"/>
    <col collapsed="false" customWidth="true" hidden="false" outlineLevel="0" max="4" min="4" style="44" width="6.99"/>
    <col collapsed="false" customWidth="true" hidden="false" outlineLevel="0" max="5" min="5" style="45" width="7.66"/>
    <col collapsed="false" customWidth="true" hidden="false" outlineLevel="0" max="6" min="6" style="44" width="7.66"/>
    <col collapsed="false" customWidth="true" hidden="false" outlineLevel="0" max="7" min="7" style="44" width="7.16"/>
    <col collapsed="false" customWidth="true" hidden="false" outlineLevel="0" max="8" min="8" style="46" width="6.66"/>
    <col collapsed="false" customWidth="true" hidden="false" outlineLevel="0" max="9" min="9" style="44" width="7.99"/>
    <col collapsed="false" customWidth="true" hidden="false" outlineLevel="0" max="10" min="10" style="44" width="6.66"/>
    <col collapsed="false" customWidth="true" hidden="false" outlineLevel="0" max="12" min="11" style="44" width="7.16"/>
    <col collapsed="false" customWidth="true" hidden="false" outlineLevel="0" max="13" min="13" style="47" width="6.16"/>
    <col collapsed="false" customWidth="true" hidden="true" outlineLevel="0" max="14" min="14" style="47" width="7.32"/>
    <col collapsed="false" customWidth="true" hidden="true" outlineLevel="0" max="15" min="15" style="47" width="6.49"/>
    <col collapsed="false" customWidth="true" hidden="true" outlineLevel="0" max="16" min="16" style="44" width="7.16"/>
    <col collapsed="false" customWidth="true" hidden="false" outlineLevel="0" max="17" min="17" style="44" width="6.32"/>
    <col collapsed="false" customWidth="true" hidden="false" outlineLevel="0" max="18" min="18" style="44" width="5.82"/>
    <col collapsed="false" customWidth="true" hidden="false" outlineLevel="0" max="19" min="19" style="45" width="6.82"/>
    <col collapsed="false" customWidth="true" hidden="false" outlineLevel="0" max="20" min="20" style="44" width="7.66"/>
    <col collapsed="false" customWidth="true" hidden="false" outlineLevel="0" max="21" min="21" style="44" width="5.99"/>
    <col collapsed="false" customWidth="true" hidden="false" outlineLevel="0" max="22" min="22" style="45" width="6.66"/>
    <col collapsed="false" customWidth="true" hidden="false" outlineLevel="0" max="24" min="23" style="44" width="7.82"/>
    <col collapsed="false" customWidth="true" hidden="false" outlineLevel="0" max="25" min="25" style="48" width="8.16"/>
    <col collapsed="false" customWidth="true" hidden="false" outlineLevel="0" max="26" min="26" style="46" width="4.66"/>
    <col collapsed="false" customWidth="true" hidden="false" outlineLevel="0" max="27" min="27" style="49" width="4.66"/>
    <col collapsed="false" customWidth="true" hidden="false" outlineLevel="0" max="28" min="28" style="50" width="4.66"/>
    <col collapsed="false" customWidth="true" hidden="false" outlineLevel="0" max="29" min="29" style="44" width="5.66"/>
    <col collapsed="false" customWidth="false" hidden="false" outlineLevel="0" max="257" min="30" style="44" width="9.32"/>
  </cols>
  <sheetData>
    <row r="1" customFormat="false" ht="14.1" hidden="false" customHeight="true" outlineLevel="0" collapsed="false">
      <c r="A1" s="51"/>
      <c r="B1" s="51"/>
      <c r="C1" s="52"/>
      <c r="D1" s="51"/>
      <c r="E1" s="52"/>
      <c r="F1" s="51"/>
      <c r="G1" s="51"/>
      <c r="H1" s="53"/>
      <c r="I1" s="51"/>
      <c r="J1" s="51"/>
      <c r="K1" s="54" t="s">
        <v>0</v>
      </c>
      <c r="L1" s="51"/>
      <c r="M1" s="51"/>
      <c r="N1" s="51"/>
      <c r="O1" s="51"/>
      <c r="P1" s="51"/>
      <c r="Q1" s="51"/>
      <c r="R1" s="51"/>
      <c r="S1" s="52"/>
      <c r="T1" s="51"/>
      <c r="U1" s="51"/>
      <c r="V1" s="52"/>
      <c r="W1" s="51"/>
      <c r="X1" s="51"/>
      <c r="Y1" s="55"/>
      <c r="Z1" s="56"/>
      <c r="AA1" s="57"/>
      <c r="AB1" s="58"/>
    </row>
    <row r="2" customFormat="false" ht="14.1" hidden="false" customHeight="true" outlineLevel="0" collapsed="false">
      <c r="A2" s="51" t="s">
        <v>1</v>
      </c>
      <c r="B2" s="51"/>
      <c r="C2" s="52"/>
      <c r="D2" s="59" t="n">
        <v>1.9835</v>
      </c>
      <c r="E2" s="52"/>
      <c r="F2" s="51"/>
      <c r="G2" s="51"/>
      <c r="H2" s="53"/>
      <c r="I2" s="51"/>
      <c r="J2" s="51"/>
      <c r="K2" s="60" t="s">
        <v>53</v>
      </c>
      <c r="L2" s="60"/>
      <c r="M2" s="60"/>
      <c r="N2" s="60"/>
      <c r="O2" s="60"/>
      <c r="P2" s="60"/>
      <c r="Q2" s="60"/>
      <c r="R2" s="60"/>
      <c r="S2" s="60"/>
      <c r="T2" s="60"/>
      <c r="U2" s="51"/>
      <c r="V2" s="52"/>
      <c r="W2" s="51"/>
      <c r="X2" s="51"/>
      <c r="Y2" s="55"/>
      <c r="Z2" s="56"/>
      <c r="AA2" s="57"/>
      <c r="AB2" s="58"/>
    </row>
    <row r="3" customFormat="false" ht="11.1" hidden="false" customHeight="true" outlineLevel="0" collapsed="false">
      <c r="A3" s="51"/>
      <c r="B3" s="51"/>
      <c r="C3" s="52"/>
      <c r="D3" s="61"/>
      <c r="E3" s="52"/>
      <c r="F3" s="51"/>
      <c r="G3" s="51"/>
      <c r="H3" s="53"/>
      <c r="I3" s="51"/>
      <c r="J3" s="51"/>
      <c r="K3" s="51"/>
      <c r="L3" s="51"/>
      <c r="M3" s="51"/>
      <c r="N3" s="51"/>
      <c r="O3" s="51"/>
      <c r="P3" s="51"/>
      <c r="Q3" s="51"/>
      <c r="R3" s="51"/>
      <c r="S3" s="52"/>
      <c r="T3" s="51"/>
      <c r="U3" s="51"/>
      <c r="V3" s="52"/>
      <c r="W3" s="51"/>
      <c r="X3" s="51"/>
      <c r="Y3" s="55"/>
      <c r="Z3" s="56"/>
      <c r="AA3" s="57"/>
      <c r="AB3" s="58"/>
    </row>
    <row r="4" customFormat="false" ht="11.1" hidden="false" customHeight="true" outlineLevel="0" collapsed="false">
      <c r="A4" s="62" t="s">
        <v>3</v>
      </c>
      <c r="B4" s="62" t="s">
        <v>4</v>
      </c>
      <c r="C4" s="63" t="s">
        <v>4</v>
      </c>
      <c r="D4" s="62" t="s">
        <v>5</v>
      </c>
      <c r="E4" s="63" t="s">
        <v>6</v>
      </c>
      <c r="F4" s="62" t="s">
        <v>7</v>
      </c>
      <c r="G4" s="62" t="s">
        <v>8</v>
      </c>
      <c r="H4" s="64" t="s">
        <v>9</v>
      </c>
      <c r="I4" s="62" t="s">
        <v>10</v>
      </c>
      <c r="J4" s="62" t="s">
        <v>11</v>
      </c>
      <c r="K4" s="62" t="s">
        <v>12</v>
      </c>
      <c r="L4" s="62" t="s">
        <v>11</v>
      </c>
      <c r="M4" s="62" t="s">
        <v>13</v>
      </c>
      <c r="N4" s="62"/>
      <c r="O4" s="62"/>
      <c r="P4" s="62"/>
      <c r="Q4" s="62" t="s">
        <v>14</v>
      </c>
      <c r="R4" s="62" t="s">
        <v>15</v>
      </c>
      <c r="S4" s="62" t="s">
        <v>12</v>
      </c>
      <c r="T4" s="63" t="s">
        <v>16</v>
      </c>
      <c r="U4" s="62" t="s">
        <v>17</v>
      </c>
      <c r="V4" s="62" t="s">
        <v>18</v>
      </c>
      <c r="W4" s="62" t="s">
        <v>10</v>
      </c>
      <c r="X4" s="62" t="s">
        <v>11</v>
      </c>
      <c r="Y4" s="62" t="s">
        <v>12</v>
      </c>
      <c r="Z4" s="65" t="s">
        <v>19</v>
      </c>
      <c r="AA4" s="66" t="s">
        <v>20</v>
      </c>
      <c r="AB4" s="66" t="s">
        <v>21</v>
      </c>
      <c r="AC4" s="66" t="s">
        <v>3</v>
      </c>
    </row>
    <row r="5" customFormat="false" ht="11.1" hidden="false" customHeight="true" outlineLevel="0" collapsed="false">
      <c r="A5" s="67" t="s">
        <v>54</v>
      </c>
      <c r="B5" s="62" t="s">
        <v>23</v>
      </c>
      <c r="C5" s="63" t="s">
        <v>5</v>
      </c>
      <c r="D5" s="62" t="s">
        <v>24</v>
      </c>
      <c r="E5" s="63" t="s">
        <v>25</v>
      </c>
      <c r="F5" s="62" t="s">
        <v>26</v>
      </c>
      <c r="G5" s="62" t="s">
        <v>27</v>
      </c>
      <c r="H5" s="64" t="s">
        <v>28</v>
      </c>
      <c r="I5" s="62" t="s">
        <v>29</v>
      </c>
      <c r="J5" s="62" t="s">
        <v>29</v>
      </c>
      <c r="K5" s="62" t="s">
        <v>29</v>
      </c>
      <c r="L5" s="62" t="s">
        <v>30</v>
      </c>
      <c r="M5" s="62" t="s">
        <v>31</v>
      </c>
      <c r="N5" s="62" t="s">
        <v>32</v>
      </c>
      <c r="O5" s="62" t="s">
        <v>33</v>
      </c>
      <c r="P5" s="62" t="s">
        <v>34</v>
      </c>
      <c r="Q5" s="62" t="s">
        <v>35</v>
      </c>
      <c r="R5" s="62" t="s">
        <v>36</v>
      </c>
      <c r="S5" s="62" t="s">
        <v>16</v>
      </c>
      <c r="T5" s="63" t="s">
        <v>37</v>
      </c>
      <c r="U5" s="62" t="s">
        <v>38</v>
      </c>
      <c r="V5" s="62" t="s">
        <v>39</v>
      </c>
      <c r="W5" s="62" t="s">
        <v>40</v>
      </c>
      <c r="X5" s="62" t="s">
        <v>40</v>
      </c>
      <c r="Y5" s="62" t="s">
        <v>40</v>
      </c>
      <c r="Z5" s="68"/>
      <c r="AA5" s="66" t="s">
        <v>41</v>
      </c>
      <c r="AB5" s="66" t="s">
        <v>41</v>
      </c>
      <c r="AC5" s="69" t="s">
        <v>54</v>
      </c>
    </row>
    <row r="6" customFormat="false" ht="11.1" hidden="false" customHeight="true" outlineLevel="0" collapsed="false">
      <c r="A6" s="70"/>
      <c r="B6" s="70"/>
      <c r="C6" s="71"/>
      <c r="D6" s="70"/>
      <c r="E6" s="71"/>
      <c r="F6" s="70"/>
      <c r="G6" s="70"/>
      <c r="H6" s="72"/>
      <c r="I6" s="70"/>
      <c r="J6" s="70"/>
      <c r="K6" s="70"/>
      <c r="L6" s="70"/>
      <c r="M6" s="70"/>
      <c r="N6" s="70"/>
      <c r="O6" s="70"/>
      <c r="P6" s="70"/>
      <c r="Q6" s="70"/>
      <c r="R6" s="70"/>
      <c r="S6" s="70"/>
      <c r="T6" s="71"/>
      <c r="U6" s="70"/>
      <c r="V6" s="70"/>
      <c r="W6" s="70"/>
      <c r="X6" s="70"/>
      <c r="Y6" s="70"/>
      <c r="Z6" s="56"/>
      <c r="AA6" s="58"/>
      <c r="AB6" s="58"/>
      <c r="AC6" s="58"/>
    </row>
    <row r="7" customFormat="false" ht="11.1" hidden="false" customHeight="true" outlineLevel="0" collapsed="false">
      <c r="A7" s="51" t="s">
        <v>42</v>
      </c>
      <c r="B7" s="51"/>
      <c r="C7" s="52"/>
      <c r="D7" s="52"/>
      <c r="E7" s="52"/>
      <c r="F7" s="52"/>
      <c r="G7" s="52"/>
      <c r="H7" s="57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6"/>
      <c r="AA7" s="57"/>
      <c r="AB7" s="57"/>
      <c r="AC7" s="58"/>
    </row>
    <row r="8" s="45" customFormat="true" ht="11.1" hidden="false" customHeight="true" outlineLevel="0" collapsed="false">
      <c r="A8" s="52" t="s">
        <v>43</v>
      </c>
      <c r="B8" s="73" t="n">
        <f aca="false">NOV!B39</f>
        <v>6902.88</v>
      </c>
      <c r="C8" s="52" t="n">
        <f aca="false">NOV!C39</f>
        <v>294326</v>
      </c>
      <c r="D8" s="52" t="n">
        <f aca="false">NOV!$D$48</f>
        <v>4133</v>
      </c>
      <c r="E8" s="52" t="n">
        <f aca="false">NOV!$E$39</f>
        <v>142326</v>
      </c>
      <c r="F8" s="52" t="n">
        <f aca="false">NOV!F47</f>
        <v>2083.69044618099</v>
      </c>
      <c r="G8" s="52" t="n">
        <f aca="false">NOV!G47</f>
        <v>9938</v>
      </c>
      <c r="H8" s="57" t="n">
        <f aca="false">NOV!H47</f>
        <v>1326</v>
      </c>
      <c r="I8" s="52" t="n">
        <f aca="false">NOV!I47</f>
        <v>11264</v>
      </c>
      <c r="J8" s="52" t="n">
        <f aca="false">NOV!J47</f>
        <v>2833.40383161079</v>
      </c>
      <c r="K8" s="52" t="n">
        <f aca="false">NOV!K47</f>
        <v>14097.4038316108</v>
      </c>
      <c r="L8" s="52" t="n">
        <f aca="false">NOV!L47</f>
        <v>2473.69044618099</v>
      </c>
      <c r="M8" s="52" t="n">
        <f aca="false">NOV!M47</f>
        <v>789</v>
      </c>
      <c r="N8" s="52" t="n">
        <f aca="false">NOV!N47</f>
        <v>0</v>
      </c>
      <c r="O8" s="52" t="n">
        <f aca="false">NOV!O47</f>
        <v>0</v>
      </c>
      <c r="P8" s="52" t="n">
        <f aca="false">NOV!P47</f>
        <v>789</v>
      </c>
      <c r="Q8" s="52" t="n">
        <f aca="false">NOV!Q47</f>
        <v>616</v>
      </c>
      <c r="R8" s="52" t="n">
        <f aca="false">NOV!R47</f>
        <v>387</v>
      </c>
      <c r="S8" s="52" t="n">
        <f aca="false">NOV!S47</f>
        <v>1792</v>
      </c>
      <c r="T8" s="52" t="n">
        <f aca="false">NOV!T47</f>
        <v>0</v>
      </c>
      <c r="U8" s="52" t="n">
        <f aca="false">NOV!U47</f>
        <v>1</v>
      </c>
      <c r="V8" s="52" t="n">
        <f aca="false">NOV!V47</f>
        <v>9861</v>
      </c>
      <c r="W8" s="52" t="n">
        <f aca="false">NOV!W47</f>
        <v>11654</v>
      </c>
      <c r="X8" s="52" t="n">
        <f aca="false">NOV!X47</f>
        <v>359.713385429796</v>
      </c>
      <c r="Y8" s="52" t="n">
        <f aca="false">NOV!Y47</f>
        <v>12013.7133854298</v>
      </c>
      <c r="Z8" s="56" t="n">
        <f aca="false">NOV!Z47</f>
        <v>2.06</v>
      </c>
      <c r="AA8" s="57"/>
      <c r="AB8" s="57"/>
      <c r="AC8" s="58"/>
    </row>
    <row r="9" customFormat="false" ht="3" hidden="false" customHeight="true" outlineLevel="0" collapsed="false">
      <c r="A9" s="74"/>
      <c r="B9" s="75"/>
      <c r="C9" s="76"/>
      <c r="D9" s="74"/>
      <c r="E9" s="76"/>
      <c r="F9" s="74"/>
      <c r="G9" s="74"/>
      <c r="H9" s="77"/>
      <c r="I9" s="74"/>
      <c r="J9" s="74"/>
      <c r="K9" s="74"/>
      <c r="L9" s="74"/>
      <c r="M9" s="74"/>
      <c r="N9" s="74"/>
      <c r="O9" s="74"/>
      <c r="P9" s="74"/>
      <c r="Q9" s="74"/>
      <c r="R9" s="74"/>
      <c r="S9" s="74"/>
      <c r="T9" s="76"/>
      <c r="U9" s="74"/>
      <c r="V9" s="74"/>
      <c r="W9" s="74"/>
      <c r="X9" s="74"/>
      <c r="Y9" s="74"/>
      <c r="Z9" s="78"/>
      <c r="AA9" s="79"/>
      <c r="AB9" s="79"/>
      <c r="AC9" s="80"/>
    </row>
    <row r="10" customFormat="false" ht="11.1" hidden="false" customHeight="true" outlineLevel="0" collapsed="false">
      <c r="A10" s="58" t="n">
        <v>1</v>
      </c>
      <c r="B10" s="73" t="n">
        <v>6902.84</v>
      </c>
      <c r="C10" s="52" t="n">
        <v>294175</v>
      </c>
      <c r="D10" s="57" t="n">
        <f aca="false">C10-C8</f>
        <v>-151</v>
      </c>
      <c r="E10" s="52" t="n">
        <f aca="false">C10-152000</f>
        <v>142175</v>
      </c>
      <c r="F10" s="51" t="n">
        <f aca="false">D10/$D$2</f>
        <v>-76.1280564658432</v>
      </c>
      <c r="G10" s="51" t="n">
        <v>247</v>
      </c>
      <c r="H10" s="53" t="n">
        <v>25</v>
      </c>
      <c r="I10" s="51" t="n">
        <f aca="false">G10+H10</f>
        <v>272</v>
      </c>
      <c r="J10" s="81" t="n">
        <f aca="false">IF(L10&gt;0,L10,0)</f>
        <v>0</v>
      </c>
      <c r="K10" s="51" t="n">
        <f aca="false">I10+J10</f>
        <v>272</v>
      </c>
      <c r="L10" s="51" t="n">
        <f aca="false">F10-(I10-W10)</f>
        <v>-2.1280564658432</v>
      </c>
      <c r="M10" s="51" t="n">
        <v>24</v>
      </c>
      <c r="N10" s="51" t="n">
        <v>0</v>
      </c>
      <c r="O10" s="51" t="n">
        <v>0</v>
      </c>
      <c r="P10" s="6" t="n">
        <f aca="false">M10-(N10+O10)</f>
        <v>24</v>
      </c>
      <c r="Q10" s="51" t="n">
        <v>0</v>
      </c>
      <c r="R10" s="51" t="n">
        <v>10</v>
      </c>
      <c r="S10" s="51" t="n">
        <f aca="false">SUM(P10:R10)</f>
        <v>34</v>
      </c>
      <c r="T10" s="52"/>
      <c r="U10" s="51" t="n">
        <v>0</v>
      </c>
      <c r="V10" s="51" t="n">
        <v>312</v>
      </c>
      <c r="W10" s="6" t="n">
        <f aca="false">N10+O10+S10+U10+V10</f>
        <v>346</v>
      </c>
      <c r="X10" s="51" t="n">
        <f aca="false">IF(L10&lt;0,L10*-1,0)</f>
        <v>2.1280564658432</v>
      </c>
      <c r="Y10" s="51" t="n">
        <f aca="false">W10+X10</f>
        <v>348.128056465843</v>
      </c>
      <c r="Z10" s="56" t="n">
        <v>0</v>
      </c>
      <c r="AA10" s="57" t="n">
        <v>46</v>
      </c>
      <c r="AB10" s="57" t="n">
        <v>22</v>
      </c>
      <c r="AC10" s="58" t="n">
        <v>1</v>
      </c>
    </row>
    <row r="11" customFormat="false" ht="11.1" hidden="false" customHeight="true" outlineLevel="0" collapsed="false">
      <c r="A11" s="58" t="n">
        <f aca="false">A10+1</f>
        <v>2</v>
      </c>
      <c r="B11" s="73" t="n">
        <v>6902.8</v>
      </c>
      <c r="C11" s="52" t="n">
        <v>294025</v>
      </c>
      <c r="D11" s="57" t="n">
        <f aca="false">C11-C10</f>
        <v>-150</v>
      </c>
      <c r="E11" s="52" t="n">
        <f aca="false">C11-152000</f>
        <v>142025</v>
      </c>
      <c r="F11" s="51" t="n">
        <f aca="false">D11/$D$2</f>
        <v>-75.6238971514999</v>
      </c>
      <c r="G11" s="51" t="n">
        <v>250</v>
      </c>
      <c r="H11" s="53" t="n">
        <v>30</v>
      </c>
      <c r="I11" s="51" t="n">
        <f aca="false">G11+H11</f>
        <v>280</v>
      </c>
      <c r="J11" s="81" t="n">
        <f aca="false">IF(L11&gt;0,L11,0)</f>
        <v>0</v>
      </c>
      <c r="K11" s="51" t="n">
        <f aca="false">I11+J11</f>
        <v>280</v>
      </c>
      <c r="L11" s="51" t="n">
        <f aca="false">F11-(I11-W11)</f>
        <v>-7.62389715149988</v>
      </c>
      <c r="M11" s="51" t="n">
        <v>24</v>
      </c>
      <c r="N11" s="51" t="n">
        <v>0</v>
      </c>
      <c r="O11" s="51" t="n">
        <v>0</v>
      </c>
      <c r="P11" s="6" t="n">
        <f aca="false">M11-(N11+O11)</f>
        <v>24</v>
      </c>
      <c r="Q11" s="51" t="n">
        <v>0</v>
      </c>
      <c r="R11" s="51" t="n">
        <v>11</v>
      </c>
      <c r="S11" s="51" t="n">
        <f aca="false">SUM(P11:R11)</f>
        <v>35</v>
      </c>
      <c r="T11" s="52"/>
      <c r="U11" s="51" t="n">
        <v>0</v>
      </c>
      <c r="V11" s="51" t="n">
        <v>313</v>
      </c>
      <c r="W11" s="6" t="n">
        <f aca="false">N11+O11+S11+U11+V11</f>
        <v>348</v>
      </c>
      <c r="X11" s="51" t="n">
        <f aca="false">IF(L11&lt;0,L11*-1,0)</f>
        <v>7.62389715149988</v>
      </c>
      <c r="Y11" s="51" t="n">
        <f aca="false">W11+X11</f>
        <v>355.6238971515</v>
      </c>
      <c r="Z11" s="56" t="n">
        <v>0</v>
      </c>
      <c r="AA11" s="57" t="n">
        <v>45</v>
      </c>
      <c r="AB11" s="57" t="n">
        <v>15</v>
      </c>
      <c r="AC11" s="58" t="n">
        <f aca="false">AC10+1</f>
        <v>2</v>
      </c>
    </row>
    <row r="12" customFormat="false" ht="11.1" hidden="false" customHeight="true" outlineLevel="0" collapsed="false">
      <c r="A12" s="58" t="n">
        <f aca="false">A11+1</f>
        <v>3</v>
      </c>
      <c r="B12" s="73" t="n">
        <v>6902.82</v>
      </c>
      <c r="C12" s="52" t="n">
        <v>294100</v>
      </c>
      <c r="D12" s="57" t="n">
        <f aca="false">C12-C11</f>
        <v>75</v>
      </c>
      <c r="E12" s="52" t="n">
        <f aca="false">C12-152000</f>
        <v>142100</v>
      </c>
      <c r="F12" s="51" t="n">
        <f aca="false">D12/$D$2</f>
        <v>37.8119485757499</v>
      </c>
      <c r="G12" s="51" t="n">
        <v>261</v>
      </c>
      <c r="H12" s="53" t="n">
        <v>30</v>
      </c>
      <c r="I12" s="51" t="n">
        <f aca="false">G12+H12</f>
        <v>291</v>
      </c>
      <c r="J12" s="81" t="n">
        <f aca="false">IF(L12&gt;0,L12,0)</f>
        <v>94.8119485757499</v>
      </c>
      <c r="K12" s="51" t="n">
        <f aca="false">I12+J12</f>
        <v>385.81194857575</v>
      </c>
      <c r="L12" s="51" t="n">
        <f aca="false">F12-(I12-W12)</f>
        <v>94.8119485757499</v>
      </c>
      <c r="M12" s="51" t="n">
        <v>24</v>
      </c>
      <c r="N12" s="51" t="n">
        <v>0</v>
      </c>
      <c r="O12" s="51" t="n">
        <v>0</v>
      </c>
      <c r="P12" s="6" t="n">
        <f aca="false">M12-(N12+O12)</f>
        <v>24</v>
      </c>
      <c r="Q12" s="51" t="n">
        <v>0</v>
      </c>
      <c r="R12" s="51" t="n">
        <v>11</v>
      </c>
      <c r="S12" s="51" t="n">
        <f aca="false">SUM(P12:R12)</f>
        <v>35</v>
      </c>
      <c r="T12" s="52"/>
      <c r="U12" s="51" t="n">
        <v>0</v>
      </c>
      <c r="V12" s="51" t="n">
        <v>313</v>
      </c>
      <c r="W12" s="6" t="n">
        <f aca="false">N12+O12+S12+U12+V12</f>
        <v>348</v>
      </c>
      <c r="X12" s="51" t="n">
        <f aca="false">IF(L12&lt;0,L12*-1,0)</f>
        <v>0</v>
      </c>
      <c r="Y12" s="51" t="n">
        <f aca="false">W12+X12</f>
        <v>348</v>
      </c>
      <c r="Z12" s="56" t="n">
        <v>0</v>
      </c>
      <c r="AA12" s="57" t="n">
        <v>46</v>
      </c>
      <c r="AB12" s="57" t="n">
        <v>21</v>
      </c>
      <c r="AC12" s="58" t="n">
        <f aca="false">AC11+1</f>
        <v>3</v>
      </c>
    </row>
    <row r="13" customFormat="false" ht="11.1" hidden="false" customHeight="true" outlineLevel="0" collapsed="false">
      <c r="A13" s="58" t="n">
        <f aca="false">A12+1</f>
        <v>4</v>
      </c>
      <c r="B13" s="73" t="n">
        <v>6902.77</v>
      </c>
      <c r="C13" s="52" t="n">
        <v>293912</v>
      </c>
      <c r="D13" s="57" t="n">
        <f aca="false">C13-C12</f>
        <v>-188</v>
      </c>
      <c r="E13" s="52" t="n">
        <f aca="false">C13-152000</f>
        <v>141912</v>
      </c>
      <c r="F13" s="51" t="n">
        <f aca="false">D13/$D$2</f>
        <v>-94.7819510965465</v>
      </c>
      <c r="G13" s="51" t="n">
        <v>269</v>
      </c>
      <c r="H13" s="53" t="n">
        <v>27</v>
      </c>
      <c r="I13" s="51" t="n">
        <f aca="false">G13+H13</f>
        <v>296</v>
      </c>
      <c r="J13" s="81" t="n">
        <f aca="false">IF(L13&gt;0,L13,0)</f>
        <v>0</v>
      </c>
      <c r="K13" s="51" t="n">
        <f aca="false">I13+J13</f>
        <v>296</v>
      </c>
      <c r="L13" s="51" t="n">
        <f aca="false">F13-(I13-W13)</f>
        <v>-42.7819510965465</v>
      </c>
      <c r="M13" s="51" t="n">
        <v>24</v>
      </c>
      <c r="N13" s="51" t="n">
        <v>0</v>
      </c>
      <c r="O13" s="51" t="n">
        <v>0</v>
      </c>
      <c r="P13" s="6" t="n">
        <f aca="false">M13-(N13+O13)</f>
        <v>24</v>
      </c>
      <c r="Q13" s="51" t="n">
        <v>0</v>
      </c>
      <c r="R13" s="51" t="n">
        <v>11</v>
      </c>
      <c r="S13" s="51" t="n">
        <f aca="false">SUM(P13:R13)</f>
        <v>35</v>
      </c>
      <c r="T13" s="52"/>
      <c r="U13" s="51" t="n">
        <v>0</v>
      </c>
      <c r="V13" s="51" t="n">
        <v>313</v>
      </c>
      <c r="W13" s="6" t="n">
        <f aca="false">N13+O13+S13+U13+V13</f>
        <v>348</v>
      </c>
      <c r="X13" s="51" t="n">
        <f aca="false">IF(L13&lt;0,L13*-1,0)</f>
        <v>42.7819510965465</v>
      </c>
      <c r="Y13" s="51" t="n">
        <f aca="false">W13+X13</f>
        <v>390.781951096546</v>
      </c>
      <c r="Z13" s="56" t="n">
        <v>0</v>
      </c>
      <c r="AA13" s="57" t="n">
        <v>46</v>
      </c>
      <c r="AB13" s="57" t="n">
        <v>22</v>
      </c>
      <c r="AC13" s="58" t="n">
        <f aca="false">AC12+1</f>
        <v>4</v>
      </c>
    </row>
    <row r="14" customFormat="false" ht="11.1" hidden="false" customHeight="true" outlineLevel="0" collapsed="false">
      <c r="A14" s="58" t="n">
        <f aca="false">A13+1</f>
        <v>5</v>
      </c>
      <c r="B14" s="73" t="n">
        <v>6902.77</v>
      </c>
      <c r="C14" s="52" t="n">
        <v>293912</v>
      </c>
      <c r="D14" s="57" t="n">
        <f aca="false">C14-C13</f>
        <v>0</v>
      </c>
      <c r="E14" s="52" t="n">
        <f aca="false">C14-152000</f>
        <v>141912</v>
      </c>
      <c r="F14" s="51" t="n">
        <f aca="false">D14/$D$2</f>
        <v>0</v>
      </c>
      <c r="G14" s="51" t="n">
        <v>271</v>
      </c>
      <c r="H14" s="53" t="n">
        <v>24</v>
      </c>
      <c r="I14" s="51" t="n">
        <f aca="false">G14+H14</f>
        <v>295</v>
      </c>
      <c r="J14" s="81" t="n">
        <f aca="false">IF(L14&gt;0,L14,0)</f>
        <v>53</v>
      </c>
      <c r="K14" s="51" t="n">
        <f aca="false">I14+J14</f>
        <v>348</v>
      </c>
      <c r="L14" s="51" t="n">
        <f aca="false">F14-(I14-W14)</f>
        <v>53</v>
      </c>
      <c r="M14" s="51" t="n">
        <v>24</v>
      </c>
      <c r="N14" s="51" t="n">
        <v>0</v>
      </c>
      <c r="O14" s="51" t="n">
        <v>0</v>
      </c>
      <c r="P14" s="6" t="n">
        <f aca="false">M14-(N14+O14)</f>
        <v>24</v>
      </c>
      <c r="Q14" s="51" t="n">
        <v>0</v>
      </c>
      <c r="R14" s="51" t="n">
        <v>11</v>
      </c>
      <c r="S14" s="51" t="n">
        <f aca="false">SUM(P14:R14)</f>
        <v>35</v>
      </c>
      <c r="T14" s="52"/>
      <c r="U14" s="51" t="n">
        <v>0</v>
      </c>
      <c r="V14" s="51" t="n">
        <v>313</v>
      </c>
      <c r="W14" s="6" t="n">
        <f aca="false">N14+O14+S14+U14+V14</f>
        <v>348</v>
      </c>
      <c r="X14" s="51" t="n">
        <f aca="false">IF(L14&lt;0,L14*-1,0)</f>
        <v>0</v>
      </c>
      <c r="Y14" s="51" t="n">
        <f aca="false">W14+X14</f>
        <v>348</v>
      </c>
      <c r="Z14" s="56" t="n">
        <v>0</v>
      </c>
      <c r="AA14" s="57" t="n">
        <v>48</v>
      </c>
      <c r="AB14" s="57" t="n">
        <v>29</v>
      </c>
      <c r="AC14" s="58" t="n">
        <f aca="false">AC13+1</f>
        <v>5</v>
      </c>
    </row>
    <row r="15" customFormat="false" ht="11.1" hidden="false" customHeight="true" outlineLevel="0" collapsed="false">
      <c r="A15" s="58" t="n">
        <f aca="false">A14+1</f>
        <v>6</v>
      </c>
      <c r="B15" s="73" t="n">
        <v>6902.76</v>
      </c>
      <c r="C15" s="52" t="n">
        <v>293874</v>
      </c>
      <c r="D15" s="57" t="n">
        <f aca="false">C15-C14</f>
        <v>-38</v>
      </c>
      <c r="E15" s="52" t="n">
        <f aca="false">C15-152000</f>
        <v>141874</v>
      </c>
      <c r="F15" s="51" t="n">
        <f aca="false">D15/$D$2</f>
        <v>-19.1580539450466</v>
      </c>
      <c r="G15" s="51" t="n">
        <v>266</v>
      </c>
      <c r="H15" s="53" t="n">
        <v>19</v>
      </c>
      <c r="I15" s="51" t="n">
        <f aca="false">G15+H15</f>
        <v>285</v>
      </c>
      <c r="J15" s="81" t="n">
        <f aca="false">IF(L15&gt;0,L15,0)</f>
        <v>31.8419460549534</v>
      </c>
      <c r="K15" s="51" t="n">
        <f aca="false">I15+J15</f>
        <v>316.841946054953</v>
      </c>
      <c r="L15" s="51" t="n">
        <f aca="false">F15-(I15-W15)</f>
        <v>31.8419460549534</v>
      </c>
      <c r="M15" s="51" t="n">
        <v>15</v>
      </c>
      <c r="N15" s="51" t="n">
        <v>0</v>
      </c>
      <c r="O15" s="51" t="n">
        <v>0</v>
      </c>
      <c r="P15" s="6" t="n">
        <f aca="false">M15-(N15+O15)</f>
        <v>15</v>
      </c>
      <c r="Q15" s="51" t="n">
        <v>0</v>
      </c>
      <c r="R15" s="51" t="n">
        <v>8</v>
      </c>
      <c r="S15" s="51" t="n">
        <f aca="false">SUM(P15:R15)</f>
        <v>23</v>
      </c>
      <c r="T15" s="52"/>
      <c r="U15" s="51" t="n">
        <v>0</v>
      </c>
      <c r="V15" s="51" t="n">
        <v>313</v>
      </c>
      <c r="W15" s="6" t="n">
        <f aca="false">N15+O15+S15+U15+V15</f>
        <v>336</v>
      </c>
      <c r="X15" s="51" t="n">
        <f aca="false">IF(L15&lt;0,L15*-1,0)</f>
        <v>0</v>
      </c>
      <c r="Y15" s="51" t="n">
        <f aca="false">W15+X15</f>
        <v>336</v>
      </c>
      <c r="Z15" s="56" t="n">
        <v>0.57</v>
      </c>
      <c r="AA15" s="57" t="n">
        <v>32</v>
      </c>
      <c r="AB15" s="57" t="n">
        <v>30</v>
      </c>
      <c r="AC15" s="58" t="n">
        <f aca="false">AC14+1</f>
        <v>6</v>
      </c>
    </row>
    <row r="16" customFormat="false" ht="11.1" hidden="false" customHeight="true" outlineLevel="0" collapsed="false">
      <c r="A16" s="58" t="n">
        <f aca="false">A15+1</f>
        <v>7</v>
      </c>
      <c r="B16" s="73" t="n">
        <v>6902.76</v>
      </c>
      <c r="C16" s="52" t="n">
        <v>293874</v>
      </c>
      <c r="D16" s="57" t="n">
        <f aca="false">C16-C15</f>
        <v>0</v>
      </c>
      <c r="E16" s="52" t="n">
        <f aca="false">C16-152000</f>
        <v>141874</v>
      </c>
      <c r="F16" s="51" t="n">
        <f aca="false">D16/$D$2</f>
        <v>0</v>
      </c>
      <c r="G16" s="51" t="n">
        <v>252</v>
      </c>
      <c r="H16" s="53" t="n">
        <v>18</v>
      </c>
      <c r="I16" s="51" t="n">
        <f aca="false">G16+H16</f>
        <v>270</v>
      </c>
      <c r="J16" s="81" t="n">
        <f aca="false">IF(L16&gt;0,L16,0)</f>
        <v>52</v>
      </c>
      <c r="K16" s="51" t="n">
        <f aca="false">I16+J16</f>
        <v>322</v>
      </c>
      <c r="L16" s="51" t="n">
        <f aca="false">F16-(I16-W16)</f>
        <v>52</v>
      </c>
      <c r="M16" s="51" t="n">
        <v>9</v>
      </c>
      <c r="N16" s="51" t="n">
        <v>0</v>
      </c>
      <c r="O16" s="51" t="n">
        <v>0</v>
      </c>
      <c r="P16" s="6" t="n">
        <f aca="false">M16-(N16+O16)</f>
        <v>9</v>
      </c>
      <c r="Q16" s="51" t="n">
        <v>0</v>
      </c>
      <c r="R16" s="51" t="n">
        <v>0</v>
      </c>
      <c r="S16" s="51" t="n">
        <f aca="false">SUM(P16:R16)</f>
        <v>9</v>
      </c>
      <c r="T16" s="52"/>
      <c r="U16" s="51" t="n">
        <v>0</v>
      </c>
      <c r="V16" s="51" t="n">
        <v>313</v>
      </c>
      <c r="W16" s="6" t="n">
        <f aca="false">N16+O16+S16+U16+V16</f>
        <v>322</v>
      </c>
      <c r="X16" s="51" t="n">
        <f aca="false">IF(L16&lt;0,L16*-1,0)</f>
        <v>0</v>
      </c>
      <c r="Y16" s="51" t="n">
        <f aca="false">W16+X16</f>
        <v>322</v>
      </c>
      <c r="Z16" s="56" t="n">
        <v>0</v>
      </c>
      <c r="AA16" s="57" t="n">
        <v>40</v>
      </c>
      <c r="AB16" s="57" t="n">
        <v>27</v>
      </c>
      <c r="AC16" s="58" t="n">
        <f aca="false">AC15+1</f>
        <v>7</v>
      </c>
    </row>
    <row r="17" customFormat="false" ht="11.1" hidden="false" customHeight="true" outlineLevel="0" collapsed="false">
      <c r="A17" s="58" t="n">
        <f aca="false">A16+1</f>
        <v>8</v>
      </c>
      <c r="B17" s="73" t="n">
        <v>6902.74</v>
      </c>
      <c r="C17" s="52" t="n">
        <v>293799</v>
      </c>
      <c r="D17" s="57" t="n">
        <f aca="false">C17-C16</f>
        <v>-75</v>
      </c>
      <c r="E17" s="52" t="n">
        <f aca="false">C17-152000</f>
        <v>141799</v>
      </c>
      <c r="F17" s="51" t="n">
        <f aca="false">D17/$D$2</f>
        <v>-37.8119485757499</v>
      </c>
      <c r="G17" s="51" t="n">
        <v>225</v>
      </c>
      <c r="H17" s="53" t="n">
        <v>18</v>
      </c>
      <c r="I17" s="51" t="n">
        <f aca="false">G17+H17</f>
        <v>243</v>
      </c>
      <c r="J17" s="81" t="n">
        <f aca="false">IF(L17&gt;0,L17,0)</f>
        <v>39.1880514242501</v>
      </c>
      <c r="K17" s="51" t="n">
        <f aca="false">I17+J17</f>
        <v>282.18805142425</v>
      </c>
      <c r="L17" s="51" t="n">
        <f aca="false">F17-(I17-W17)</f>
        <v>39.1880514242501</v>
      </c>
      <c r="M17" s="51" t="n">
        <v>7</v>
      </c>
      <c r="N17" s="51" t="n">
        <v>0</v>
      </c>
      <c r="O17" s="51" t="n">
        <v>0</v>
      </c>
      <c r="P17" s="6" t="n">
        <f aca="false">M17-(N17+O17)</f>
        <v>7</v>
      </c>
      <c r="Q17" s="51" t="n">
        <v>0</v>
      </c>
      <c r="R17" s="51" t="n">
        <v>0</v>
      </c>
      <c r="S17" s="51" t="n">
        <f aca="false">SUM(P17:R17)</f>
        <v>7</v>
      </c>
      <c r="T17" s="52"/>
      <c r="U17" s="51" t="n">
        <v>0</v>
      </c>
      <c r="V17" s="51" t="n">
        <v>313</v>
      </c>
      <c r="W17" s="6" t="n">
        <f aca="false">N17+O17+S17+U17+V17</f>
        <v>320</v>
      </c>
      <c r="X17" s="51" t="n">
        <f aca="false">IF(L17&lt;0,L17*-1,0)</f>
        <v>0</v>
      </c>
      <c r="Y17" s="51" t="n">
        <f aca="false">W17+X17</f>
        <v>320</v>
      </c>
      <c r="Z17" s="56" t="n">
        <v>0</v>
      </c>
      <c r="AA17" s="57" t="n">
        <v>35</v>
      </c>
      <c r="AB17" s="57" t="n">
        <v>23</v>
      </c>
      <c r="AC17" s="58" t="n">
        <f aca="false">AC16+1</f>
        <v>8</v>
      </c>
    </row>
    <row r="18" customFormat="false" ht="11.1" hidden="false" customHeight="true" outlineLevel="0" collapsed="false">
      <c r="A18" s="58" t="n">
        <f aca="false">A17+1</f>
        <v>9</v>
      </c>
      <c r="B18" s="73" t="n">
        <v>6902.72</v>
      </c>
      <c r="C18" s="52" t="n">
        <v>293724</v>
      </c>
      <c r="D18" s="57" t="n">
        <f aca="false">C18-C17</f>
        <v>-75</v>
      </c>
      <c r="E18" s="52" t="n">
        <f aca="false">C18-152000</f>
        <v>141724</v>
      </c>
      <c r="F18" s="51" t="n">
        <f aca="false">D18/$D$2</f>
        <v>-37.8119485757499</v>
      </c>
      <c r="G18" s="51" t="n">
        <v>229</v>
      </c>
      <c r="H18" s="53" t="n">
        <v>17</v>
      </c>
      <c r="I18" s="51" t="n">
        <f aca="false">G18+H18</f>
        <v>246</v>
      </c>
      <c r="J18" s="81" t="n">
        <f aca="false">IF(L18&gt;0,L18,0)</f>
        <v>0</v>
      </c>
      <c r="K18" s="51" t="n">
        <f aca="false">I18+J18</f>
        <v>246</v>
      </c>
      <c r="L18" s="51" t="n">
        <f aca="false">F18-(I18-W18)</f>
        <v>-147.81194857575</v>
      </c>
      <c r="M18" s="51" t="n">
        <v>5</v>
      </c>
      <c r="N18" s="51" t="n">
        <v>0</v>
      </c>
      <c r="O18" s="51" t="n">
        <v>0</v>
      </c>
      <c r="P18" s="6" t="n">
        <f aca="false">M18-(N18+O18)</f>
        <v>5</v>
      </c>
      <c r="Q18" s="51" t="n">
        <v>0</v>
      </c>
      <c r="R18" s="51" t="n">
        <v>0</v>
      </c>
      <c r="S18" s="51" t="n">
        <f aca="false">SUM(P18:R18)</f>
        <v>5</v>
      </c>
      <c r="T18" s="52"/>
      <c r="U18" s="51" t="n">
        <v>0</v>
      </c>
      <c r="V18" s="51" t="n">
        <v>131</v>
      </c>
      <c r="W18" s="6" t="n">
        <f aca="false">N18+O18+S18+U18+V18</f>
        <v>136</v>
      </c>
      <c r="X18" s="51" t="n">
        <f aca="false">IF(L18&lt;0,L18*-1,0)</f>
        <v>147.81194857575</v>
      </c>
      <c r="Y18" s="51" t="n">
        <f aca="false">W18+X18</f>
        <v>283.81194857575</v>
      </c>
      <c r="Z18" s="56" t="n">
        <v>0</v>
      </c>
      <c r="AA18" s="82" t="n">
        <v>26</v>
      </c>
      <c r="AB18" s="57" t="n">
        <v>20</v>
      </c>
      <c r="AC18" s="58" t="n">
        <f aca="false">AC17+1</f>
        <v>9</v>
      </c>
    </row>
    <row r="19" customFormat="false" ht="11.1" hidden="false" customHeight="true" outlineLevel="0" collapsed="false">
      <c r="A19" s="58" t="n">
        <f aca="false">A18+1</f>
        <v>10</v>
      </c>
      <c r="B19" s="73" t="n">
        <v>6902.69</v>
      </c>
      <c r="C19" s="52" t="n">
        <v>293611</v>
      </c>
      <c r="D19" s="57" t="n">
        <f aca="false">C19-C18</f>
        <v>-113</v>
      </c>
      <c r="E19" s="52" t="n">
        <f aca="false">C19-152000</f>
        <v>141611</v>
      </c>
      <c r="F19" s="51" t="n">
        <f aca="false">D19/$D$2</f>
        <v>-56.9700025207966</v>
      </c>
      <c r="G19" s="51" t="n">
        <v>149</v>
      </c>
      <c r="H19" s="53" t="n">
        <v>16</v>
      </c>
      <c r="I19" s="51" t="n">
        <f aca="false">G19+H19</f>
        <v>165</v>
      </c>
      <c r="J19" s="81" t="n">
        <f aca="false">IF(L19&gt;0,L19,0)</f>
        <v>8.02999747920343</v>
      </c>
      <c r="K19" s="51" t="n">
        <f aca="false">I19+J19</f>
        <v>173.029997479203</v>
      </c>
      <c r="L19" s="51" t="n">
        <f aca="false">F19-(I19-W19)</f>
        <v>8.02999747920343</v>
      </c>
      <c r="M19" s="51" t="n">
        <v>4</v>
      </c>
      <c r="N19" s="51" t="n">
        <v>0</v>
      </c>
      <c r="O19" s="51" t="n">
        <v>0</v>
      </c>
      <c r="P19" s="6" t="n">
        <f aca="false">M19-(N19+O19)</f>
        <v>4</v>
      </c>
      <c r="Q19" s="51" t="n">
        <v>0</v>
      </c>
      <c r="R19" s="51" t="n">
        <v>0</v>
      </c>
      <c r="S19" s="51" t="n">
        <f aca="false">SUM(P19:R19)</f>
        <v>4</v>
      </c>
      <c r="T19" s="52"/>
      <c r="U19" s="51" t="n">
        <v>0</v>
      </c>
      <c r="V19" s="51" t="n">
        <v>226</v>
      </c>
      <c r="W19" s="6" t="n">
        <f aca="false">N19+O19+S19+U19+V19</f>
        <v>230</v>
      </c>
      <c r="X19" s="51" t="n">
        <f aca="false">IF(L19&lt;0,L19*-1,0)</f>
        <v>0</v>
      </c>
      <c r="Y19" s="51" t="n">
        <f aca="false">W19+X19</f>
        <v>230</v>
      </c>
      <c r="Z19" s="56" t="n">
        <v>0</v>
      </c>
      <c r="AA19" s="57" t="n">
        <v>26</v>
      </c>
      <c r="AB19" s="57" t="n">
        <v>4</v>
      </c>
      <c r="AC19" s="58" t="n">
        <f aca="false">AC18+1</f>
        <v>10</v>
      </c>
    </row>
    <row r="20" customFormat="false" ht="11.1" hidden="false" customHeight="true" outlineLevel="0" collapsed="false">
      <c r="A20" s="58" t="n">
        <f aca="false">A19+1</f>
        <v>11</v>
      </c>
      <c r="B20" s="73" t="n">
        <v>6902.67</v>
      </c>
      <c r="C20" s="52" t="n">
        <v>293536</v>
      </c>
      <c r="D20" s="57" t="n">
        <f aca="false">C20-C19</f>
        <v>-75</v>
      </c>
      <c r="E20" s="52" t="n">
        <f aca="false">C20-152000</f>
        <v>141536</v>
      </c>
      <c r="F20" s="51" t="n">
        <f aca="false">D20/$D$2</f>
        <v>-37.8119485757499</v>
      </c>
      <c r="G20" s="51" t="n">
        <v>130</v>
      </c>
      <c r="H20" s="53" t="n">
        <v>12</v>
      </c>
      <c r="I20" s="51" t="n">
        <f aca="false">G20+H20</f>
        <v>142</v>
      </c>
      <c r="J20" s="81" t="n">
        <f aca="false">IF(L20&gt;0,L20,0)</f>
        <v>3.18805142425006</v>
      </c>
      <c r="K20" s="51" t="n">
        <f aca="false">I20+J20</f>
        <v>145.18805142425</v>
      </c>
      <c r="L20" s="51" t="n">
        <f aca="false">F20-(I20-W20)</f>
        <v>3.18805142425006</v>
      </c>
      <c r="M20" s="51" t="n">
        <v>4</v>
      </c>
      <c r="N20" s="51" t="n">
        <v>0</v>
      </c>
      <c r="O20" s="51" t="n">
        <v>0</v>
      </c>
      <c r="P20" s="6" t="n">
        <f aca="false">M20-(N20+O20)</f>
        <v>4</v>
      </c>
      <c r="Q20" s="51" t="n">
        <v>0</v>
      </c>
      <c r="R20" s="51" t="n">
        <v>0</v>
      </c>
      <c r="S20" s="51" t="n">
        <f aca="false">SUM(P20:R20)</f>
        <v>4</v>
      </c>
      <c r="T20" s="52"/>
      <c r="U20" s="51" t="n">
        <v>0</v>
      </c>
      <c r="V20" s="51" t="n">
        <v>179</v>
      </c>
      <c r="W20" s="6" t="n">
        <f aca="false">N20+O20+S20+U20+V20</f>
        <v>183</v>
      </c>
      <c r="X20" s="51" t="n">
        <f aca="false">IF(L20&lt;0,L20*-1,0)</f>
        <v>0</v>
      </c>
      <c r="Y20" s="51" t="n">
        <f aca="false">W20+X20</f>
        <v>183</v>
      </c>
      <c r="Z20" s="56" t="n">
        <v>0</v>
      </c>
      <c r="AA20" s="57" t="n">
        <v>32</v>
      </c>
      <c r="AB20" s="57" t="n">
        <v>4</v>
      </c>
      <c r="AC20" s="58" t="n">
        <f aca="false">AC19+1</f>
        <v>11</v>
      </c>
    </row>
    <row r="21" customFormat="false" ht="11.1" hidden="false" customHeight="true" outlineLevel="0" collapsed="false">
      <c r="A21" s="58" t="n">
        <f aca="false">A20+1</f>
        <v>12</v>
      </c>
      <c r="B21" s="73" t="n">
        <v>6902.67</v>
      </c>
      <c r="C21" s="52" t="n">
        <v>293536</v>
      </c>
      <c r="D21" s="57" t="n">
        <f aca="false">C21-C20</f>
        <v>0</v>
      </c>
      <c r="E21" s="52" t="n">
        <f aca="false">C21-152000</f>
        <v>141536</v>
      </c>
      <c r="F21" s="51" t="n">
        <f aca="false">D21/$D$2</f>
        <v>0</v>
      </c>
      <c r="G21" s="51" t="n">
        <v>180</v>
      </c>
      <c r="H21" s="53" t="n">
        <v>18</v>
      </c>
      <c r="I21" s="51" t="n">
        <f aca="false">G21+H21</f>
        <v>198</v>
      </c>
      <c r="J21" s="81" t="n">
        <f aca="false">IF(L21&gt;0,L21,0)</f>
        <v>0</v>
      </c>
      <c r="K21" s="51" t="n">
        <f aca="false">I21+J21</f>
        <v>198</v>
      </c>
      <c r="L21" s="51" t="n">
        <f aca="false">F21-(I21-W21)</f>
        <v>-15</v>
      </c>
      <c r="M21" s="51" t="n">
        <v>4</v>
      </c>
      <c r="N21" s="51" t="n">
        <v>0</v>
      </c>
      <c r="O21" s="51" t="n">
        <v>0</v>
      </c>
      <c r="P21" s="6" t="n">
        <f aca="false">M21-(N21+O21)</f>
        <v>4</v>
      </c>
      <c r="Q21" s="51" t="n">
        <v>0</v>
      </c>
      <c r="R21" s="51" t="n">
        <v>0</v>
      </c>
      <c r="S21" s="51" t="n">
        <f aca="false">SUM(P21:R21)</f>
        <v>4</v>
      </c>
      <c r="T21" s="52"/>
      <c r="U21" s="51" t="n">
        <v>0</v>
      </c>
      <c r="V21" s="51" t="n">
        <v>179</v>
      </c>
      <c r="W21" s="6" t="n">
        <f aca="false">N21+O21+S21+U21+V21</f>
        <v>183</v>
      </c>
      <c r="X21" s="51" t="n">
        <f aca="false">IF(L21&lt;0,L21*-1,0)</f>
        <v>15</v>
      </c>
      <c r="Y21" s="51" t="n">
        <f aca="false">W21+X21</f>
        <v>198</v>
      </c>
      <c r="Z21" s="56" t="n">
        <v>0</v>
      </c>
      <c r="AA21" s="57" t="n">
        <v>45</v>
      </c>
      <c r="AB21" s="57" t="n">
        <v>8</v>
      </c>
      <c r="AC21" s="58" t="n">
        <f aca="false">AC20+1</f>
        <v>12</v>
      </c>
    </row>
    <row r="22" customFormat="false" ht="11.1" hidden="false" customHeight="true" outlineLevel="0" collapsed="false">
      <c r="A22" s="58" t="n">
        <f aca="false">A21+1</f>
        <v>13</v>
      </c>
      <c r="B22" s="73" t="n">
        <v>6902.68</v>
      </c>
      <c r="C22" s="52" t="n">
        <v>293573</v>
      </c>
      <c r="D22" s="57" t="n">
        <f aca="false">C22-C21</f>
        <v>37</v>
      </c>
      <c r="E22" s="52" t="n">
        <f aca="false">C22-152000</f>
        <v>141573</v>
      </c>
      <c r="F22" s="51" t="n">
        <f aca="false">D22/$D$2</f>
        <v>18.6538946307033</v>
      </c>
      <c r="G22" s="51" t="n">
        <v>209</v>
      </c>
      <c r="H22" s="53" t="n">
        <v>16</v>
      </c>
      <c r="I22" s="51" t="n">
        <f aca="false">G22+H22</f>
        <v>225</v>
      </c>
      <c r="J22" s="81" t="n">
        <f aca="false">IF(L22&gt;0,L22,0)</f>
        <v>0</v>
      </c>
      <c r="K22" s="51" t="n">
        <f aca="false">I22+J22</f>
        <v>225</v>
      </c>
      <c r="L22" s="51" t="n">
        <f aca="false">F22-(I22-W22)</f>
        <v>-23.3461053692967</v>
      </c>
      <c r="M22" s="51" t="n">
        <v>4</v>
      </c>
      <c r="N22" s="51" t="n">
        <v>0</v>
      </c>
      <c r="O22" s="51" t="n">
        <v>0</v>
      </c>
      <c r="P22" s="6" t="n">
        <f aca="false">M22-(N22+O22)</f>
        <v>4</v>
      </c>
      <c r="Q22" s="51" t="n">
        <v>0</v>
      </c>
      <c r="R22" s="51" t="n">
        <v>0</v>
      </c>
      <c r="S22" s="51" t="n">
        <f aca="false">SUM(P22:R22)</f>
        <v>4</v>
      </c>
      <c r="T22" s="52"/>
      <c r="U22" s="51" t="n">
        <v>0</v>
      </c>
      <c r="V22" s="51" t="n">
        <v>179</v>
      </c>
      <c r="W22" s="6" t="n">
        <f aca="false">N22+O22+S22+U22+V22</f>
        <v>183</v>
      </c>
      <c r="X22" s="51" t="n">
        <f aca="false">IF(L22&lt;0,L22*-1,0)</f>
        <v>23.3461053692967</v>
      </c>
      <c r="Y22" s="51" t="n">
        <f aca="false">W22+X22</f>
        <v>206.346105369297</v>
      </c>
      <c r="Z22" s="56" t="n">
        <v>0</v>
      </c>
      <c r="AA22" s="57" t="n">
        <v>46</v>
      </c>
      <c r="AB22" s="57" t="n">
        <v>11</v>
      </c>
      <c r="AC22" s="58" t="n">
        <f aca="false">AC21+1</f>
        <v>13</v>
      </c>
    </row>
    <row r="23" customFormat="false" ht="11.1" hidden="false" customHeight="true" outlineLevel="0" collapsed="false">
      <c r="A23" s="58" t="n">
        <f aca="false">A22+1</f>
        <v>14</v>
      </c>
      <c r="B23" s="73" t="n">
        <v>6902.68</v>
      </c>
      <c r="C23" s="52" t="n">
        <v>293573</v>
      </c>
      <c r="D23" s="57" t="n">
        <f aca="false">C23-C22</f>
        <v>0</v>
      </c>
      <c r="E23" s="52" t="n">
        <f aca="false">C23-152000</f>
        <v>141573</v>
      </c>
      <c r="F23" s="51" t="n">
        <f aca="false">D23/$D$2</f>
        <v>0</v>
      </c>
      <c r="G23" s="51" t="n">
        <v>261</v>
      </c>
      <c r="H23" s="53" t="n">
        <v>15</v>
      </c>
      <c r="I23" s="51" t="n">
        <f aca="false">G23+H23</f>
        <v>276</v>
      </c>
      <c r="J23" s="81" t="n">
        <f aca="false">IF(L23&gt;0,L23,0)</f>
        <v>0</v>
      </c>
      <c r="K23" s="51" t="n">
        <f aca="false">I23+J23</f>
        <v>276</v>
      </c>
      <c r="L23" s="51" t="n">
        <f aca="false">F23-(I23-W23)</f>
        <v>-93</v>
      </c>
      <c r="M23" s="51" t="n">
        <v>4</v>
      </c>
      <c r="N23" s="51" t="n">
        <v>0</v>
      </c>
      <c r="O23" s="51" t="n">
        <v>0</v>
      </c>
      <c r="P23" s="6" t="n">
        <f aca="false">M23-(N23+O23)</f>
        <v>4</v>
      </c>
      <c r="Q23" s="51" t="n">
        <v>0</v>
      </c>
      <c r="R23" s="51" t="n">
        <v>0</v>
      </c>
      <c r="S23" s="51" t="n">
        <f aca="false">SUM(P23:R23)</f>
        <v>4</v>
      </c>
      <c r="T23" s="52"/>
      <c r="U23" s="51" t="n">
        <v>0</v>
      </c>
      <c r="V23" s="51" t="n">
        <v>179</v>
      </c>
      <c r="W23" s="6" t="n">
        <f aca="false">N23+O23+S23+U23+V23</f>
        <v>183</v>
      </c>
      <c r="X23" s="51" t="n">
        <f aca="false">IF(L23&lt;0,L23*-1,0)</f>
        <v>93</v>
      </c>
      <c r="Y23" s="51" t="n">
        <f aca="false">W23+X23</f>
        <v>276</v>
      </c>
      <c r="Z23" s="56" t="n">
        <v>0</v>
      </c>
      <c r="AA23" s="82" t="n">
        <v>46</v>
      </c>
      <c r="AB23" s="57" t="n">
        <v>12</v>
      </c>
      <c r="AC23" s="58" t="n">
        <f aca="false">AC22+1</f>
        <v>14</v>
      </c>
    </row>
    <row r="24" customFormat="false" ht="11.1" hidden="false" customHeight="true" outlineLevel="0" collapsed="false">
      <c r="A24" s="58" t="n">
        <f aca="false">A23+1</f>
        <v>15</v>
      </c>
      <c r="B24" s="73" t="n">
        <v>6902.71</v>
      </c>
      <c r="C24" s="52" t="n">
        <v>293686</v>
      </c>
      <c r="D24" s="57" t="n">
        <f aca="false">C24-C23</f>
        <v>113</v>
      </c>
      <c r="E24" s="52" t="n">
        <f aca="false">C24-152000</f>
        <v>141686</v>
      </c>
      <c r="F24" s="51" t="n">
        <f aca="false">D24/$D$2</f>
        <v>56.9700025207966</v>
      </c>
      <c r="G24" s="51" t="n">
        <v>258</v>
      </c>
      <c r="H24" s="53" t="n">
        <v>12</v>
      </c>
      <c r="I24" s="51" t="n">
        <f aca="false">G24+H24</f>
        <v>270</v>
      </c>
      <c r="J24" s="81" t="n">
        <f aca="false">IF(L24&gt;0,L24,0)</f>
        <v>0</v>
      </c>
      <c r="K24" s="51" t="n">
        <f aca="false">I24+J24</f>
        <v>270</v>
      </c>
      <c r="L24" s="51" t="n">
        <f aca="false">F24-(I24-W24)</f>
        <v>-29.0299974792034</v>
      </c>
      <c r="M24" s="51" t="n">
        <v>4</v>
      </c>
      <c r="N24" s="51" t="n">
        <v>0</v>
      </c>
      <c r="O24" s="51" t="n">
        <v>0</v>
      </c>
      <c r="P24" s="6" t="n">
        <f aca="false">M24-(N24+O24)</f>
        <v>4</v>
      </c>
      <c r="Q24" s="51" t="n">
        <v>0</v>
      </c>
      <c r="R24" s="51" t="n">
        <v>0</v>
      </c>
      <c r="S24" s="51" t="n">
        <f aca="false">SUM(P24:R24)</f>
        <v>4</v>
      </c>
      <c r="T24" s="52"/>
      <c r="U24" s="51" t="n">
        <v>0</v>
      </c>
      <c r="V24" s="51" t="n">
        <v>180</v>
      </c>
      <c r="W24" s="6" t="n">
        <f aca="false">N24+O24+S24+U24+V24</f>
        <v>184</v>
      </c>
      <c r="X24" s="51" t="n">
        <f aca="false">IF(L24&lt;0,L24*-1,0)</f>
        <v>29.0299974792034</v>
      </c>
      <c r="Y24" s="51" t="n">
        <f aca="false">W24+X24</f>
        <v>213.029997479203</v>
      </c>
      <c r="Z24" s="56" t="n">
        <v>0</v>
      </c>
      <c r="AA24" s="82" t="n">
        <v>46</v>
      </c>
      <c r="AB24" s="57" t="n">
        <v>22</v>
      </c>
      <c r="AC24" s="58" t="n">
        <f aca="false">AC23+1</f>
        <v>15</v>
      </c>
    </row>
    <row r="25" customFormat="false" ht="11.1" hidden="false" customHeight="true" outlineLevel="0" collapsed="false">
      <c r="A25" s="58" t="n">
        <f aca="false">A24+1</f>
        <v>16</v>
      </c>
      <c r="B25" s="73" t="n">
        <v>6902.75</v>
      </c>
      <c r="C25" s="52" t="n">
        <v>293837</v>
      </c>
      <c r="D25" s="57" t="n">
        <f aca="false">C25-C24</f>
        <v>151</v>
      </c>
      <c r="E25" s="52" t="n">
        <f aca="false">C25-152000</f>
        <v>141837</v>
      </c>
      <c r="F25" s="51" t="n">
        <f aca="false">D25/$D$2</f>
        <v>76.1280564658432</v>
      </c>
      <c r="G25" s="51" t="n">
        <v>237</v>
      </c>
      <c r="H25" s="53" t="n">
        <v>12</v>
      </c>
      <c r="I25" s="51" t="n">
        <f aca="false">G25+H25</f>
        <v>249</v>
      </c>
      <c r="J25" s="81" t="n">
        <f aca="false">IF(L25&gt;0,L25,0)</f>
        <v>11.1280564658432</v>
      </c>
      <c r="K25" s="51" t="n">
        <f aca="false">I25+J25</f>
        <v>260.128056465843</v>
      </c>
      <c r="L25" s="51" t="n">
        <f aca="false">F25-(I25-W25)</f>
        <v>11.1280564658432</v>
      </c>
      <c r="M25" s="51" t="n">
        <v>4</v>
      </c>
      <c r="N25" s="51" t="n">
        <v>0</v>
      </c>
      <c r="O25" s="51" t="n">
        <v>0</v>
      </c>
      <c r="P25" s="6" t="n">
        <f aca="false">M25-(N25+O25)</f>
        <v>4</v>
      </c>
      <c r="Q25" s="51" t="n">
        <v>0</v>
      </c>
      <c r="R25" s="51" t="n">
        <v>0</v>
      </c>
      <c r="S25" s="51" t="n">
        <f aca="false">SUM(P25:R25)</f>
        <v>4</v>
      </c>
      <c r="T25" s="52"/>
      <c r="U25" s="51" t="n">
        <v>0</v>
      </c>
      <c r="V25" s="51" t="n">
        <v>180</v>
      </c>
      <c r="W25" s="6" t="n">
        <f aca="false">N25+O25+S25+U25+V25</f>
        <v>184</v>
      </c>
      <c r="X25" s="51" t="n">
        <f aca="false">IF(L25&lt;0,L25*-1,0)</f>
        <v>0</v>
      </c>
      <c r="Y25" s="51" t="n">
        <f aca="false">W25+X25</f>
        <v>184</v>
      </c>
      <c r="Z25" s="56" t="n">
        <v>0</v>
      </c>
      <c r="AA25" s="82" t="n">
        <v>46</v>
      </c>
      <c r="AB25" s="57" t="n">
        <v>22</v>
      </c>
      <c r="AC25" s="58" t="n">
        <f aca="false">AC24+1</f>
        <v>16</v>
      </c>
    </row>
    <row r="26" customFormat="false" ht="11.1" hidden="false" customHeight="true" outlineLevel="0" collapsed="false">
      <c r="A26" s="58" t="n">
        <f aca="false">A25+1</f>
        <v>17</v>
      </c>
      <c r="B26" s="73" t="n">
        <v>6902.77</v>
      </c>
      <c r="C26" s="52" t="n">
        <v>293912</v>
      </c>
      <c r="D26" s="57" t="n">
        <f aca="false">C26-C25</f>
        <v>75</v>
      </c>
      <c r="E26" s="52" t="n">
        <f aca="false">C26-152000</f>
        <v>141912</v>
      </c>
      <c r="F26" s="51" t="n">
        <f aca="false">D26/$D$2</f>
        <v>37.8119485757499</v>
      </c>
      <c r="G26" s="51" t="n">
        <v>217</v>
      </c>
      <c r="H26" s="53" t="n">
        <v>13</v>
      </c>
      <c r="I26" s="51" t="n">
        <f aca="false">G26+H26</f>
        <v>230</v>
      </c>
      <c r="J26" s="81" t="n">
        <f aca="false">IF(L26&gt;0,L26,0)</f>
        <v>0</v>
      </c>
      <c r="K26" s="51" t="n">
        <f aca="false">I26+J26</f>
        <v>230</v>
      </c>
      <c r="L26" s="51" t="n">
        <f aca="false">F26-(I26-W26)</f>
        <v>-7.18805142425006</v>
      </c>
      <c r="M26" s="51" t="n">
        <v>4</v>
      </c>
      <c r="N26" s="51" t="n">
        <v>0</v>
      </c>
      <c r="O26" s="51" t="n">
        <v>0</v>
      </c>
      <c r="P26" s="6" t="n">
        <f aca="false">M26-(N26+O26)</f>
        <v>4</v>
      </c>
      <c r="Q26" s="51" t="n">
        <v>0</v>
      </c>
      <c r="R26" s="51" t="n">
        <v>0</v>
      </c>
      <c r="S26" s="51" t="n">
        <f aca="false">SUM(P26:R26)</f>
        <v>4</v>
      </c>
      <c r="T26" s="52"/>
      <c r="U26" s="51" t="n">
        <v>0</v>
      </c>
      <c r="V26" s="51" t="n">
        <v>181</v>
      </c>
      <c r="W26" s="6" t="n">
        <f aca="false">N26+O26+S26+U26+V26</f>
        <v>185</v>
      </c>
      <c r="X26" s="51" t="n">
        <f aca="false">IF(L26&lt;0,L26*-1,0)</f>
        <v>7.18805142425006</v>
      </c>
      <c r="Y26" s="51" t="n">
        <f aca="false">W26+X26</f>
        <v>192.18805142425</v>
      </c>
      <c r="Z26" s="56" t="n">
        <v>0</v>
      </c>
      <c r="AA26" s="82" t="n">
        <v>44</v>
      </c>
      <c r="AB26" s="57" t="n">
        <v>22</v>
      </c>
      <c r="AC26" s="58" t="n">
        <f aca="false">AC25+1</f>
        <v>17</v>
      </c>
    </row>
    <row r="27" customFormat="false" ht="11.1" hidden="false" customHeight="true" outlineLevel="0" collapsed="false">
      <c r="A27" s="58" t="n">
        <f aca="false">A26+1</f>
        <v>18</v>
      </c>
      <c r="B27" s="73" t="n">
        <v>6902.79</v>
      </c>
      <c r="C27" s="52" t="n">
        <v>293987</v>
      </c>
      <c r="D27" s="57" t="n">
        <f aca="false">C27-C26</f>
        <v>75</v>
      </c>
      <c r="E27" s="52" t="n">
        <f aca="false">C27-152000</f>
        <v>141987</v>
      </c>
      <c r="F27" s="51" t="n">
        <f aca="false">D27/$D$2</f>
        <v>37.8119485757499</v>
      </c>
      <c r="G27" s="51" t="n">
        <v>226</v>
      </c>
      <c r="H27" s="53" t="n">
        <v>9</v>
      </c>
      <c r="I27" s="51" t="n">
        <f aca="false">G27+H27</f>
        <v>235</v>
      </c>
      <c r="J27" s="81" t="n">
        <f aca="false">IF(L27&gt;0,L27,0)</f>
        <v>0</v>
      </c>
      <c r="K27" s="51" t="n">
        <f aca="false">I27+J27</f>
        <v>235</v>
      </c>
      <c r="L27" s="51" t="n">
        <f aca="false">F27-(I27-W27)</f>
        <v>-13.1880514242501</v>
      </c>
      <c r="M27" s="51" t="n">
        <v>5</v>
      </c>
      <c r="N27" s="51" t="n">
        <v>0</v>
      </c>
      <c r="O27" s="51" t="n">
        <v>0</v>
      </c>
      <c r="P27" s="6" t="n">
        <f aca="false">M27-(N27+O27)</f>
        <v>5</v>
      </c>
      <c r="Q27" s="51" t="n">
        <v>0</v>
      </c>
      <c r="R27" s="51" t="n">
        <v>0</v>
      </c>
      <c r="S27" s="51" t="n">
        <f aca="false">SUM(P27:R27)</f>
        <v>5</v>
      </c>
      <c r="T27" s="52"/>
      <c r="U27" s="51" t="n">
        <v>0</v>
      </c>
      <c r="V27" s="51" t="n">
        <v>179</v>
      </c>
      <c r="W27" s="6" t="n">
        <f aca="false">N27+O27+S27+U27+V27</f>
        <v>184</v>
      </c>
      <c r="X27" s="51" t="n">
        <f aca="false">IF(L27&lt;0,L27*-1,0)</f>
        <v>13.1880514242501</v>
      </c>
      <c r="Y27" s="51" t="n">
        <f aca="false">W27+X27</f>
        <v>197.18805142425</v>
      </c>
      <c r="Z27" s="56" t="n">
        <v>0</v>
      </c>
      <c r="AA27" s="82" t="n">
        <v>33</v>
      </c>
      <c r="AB27" s="57" t="n">
        <v>22</v>
      </c>
      <c r="AC27" s="58" t="n">
        <f aca="false">AC26+1</f>
        <v>18</v>
      </c>
    </row>
    <row r="28" customFormat="false" ht="11.1" hidden="false" customHeight="true" outlineLevel="0" collapsed="false">
      <c r="A28" s="58" t="n">
        <f aca="false">A27+1</f>
        <v>19</v>
      </c>
      <c r="B28" s="73" t="n">
        <v>6902.79</v>
      </c>
      <c r="C28" s="52" t="n">
        <v>293987</v>
      </c>
      <c r="D28" s="57" t="n">
        <f aca="false">C28-C27</f>
        <v>0</v>
      </c>
      <c r="E28" s="52" t="n">
        <f aca="false">C28-152000</f>
        <v>141987</v>
      </c>
      <c r="F28" s="51" t="n">
        <f aca="false">D28/$D$2</f>
        <v>0</v>
      </c>
      <c r="G28" s="51" t="n">
        <v>200</v>
      </c>
      <c r="H28" s="53" t="n">
        <v>9</v>
      </c>
      <c r="I28" s="51" t="n">
        <f aca="false">G28+H28</f>
        <v>209</v>
      </c>
      <c r="J28" s="81" t="n">
        <f aca="false">IF(L28&gt;0,L28,0)</f>
        <v>0</v>
      </c>
      <c r="K28" s="51" t="n">
        <f aca="false">I28+J28</f>
        <v>209</v>
      </c>
      <c r="L28" s="51" t="n">
        <f aca="false">F28-(I28-W28)</f>
        <v>-24</v>
      </c>
      <c r="M28" s="51" t="n">
        <v>4</v>
      </c>
      <c r="N28" s="51" t="n">
        <v>0</v>
      </c>
      <c r="O28" s="51" t="n">
        <v>0</v>
      </c>
      <c r="P28" s="6" t="n">
        <f aca="false">M28-(N28+O28)</f>
        <v>4</v>
      </c>
      <c r="Q28" s="51" t="n">
        <v>0</v>
      </c>
      <c r="R28" s="51" t="n">
        <v>0</v>
      </c>
      <c r="S28" s="51" t="n">
        <f aca="false">SUM(P28:R28)</f>
        <v>4</v>
      </c>
      <c r="T28" s="52"/>
      <c r="U28" s="51" t="n">
        <v>0</v>
      </c>
      <c r="V28" s="51" t="n">
        <v>181</v>
      </c>
      <c r="W28" s="6" t="n">
        <f aca="false">N28+O28+S28+U28+V28</f>
        <v>185</v>
      </c>
      <c r="X28" s="51" t="n">
        <f aca="false">IF(L28&lt;0,L28*-1,0)</f>
        <v>24</v>
      </c>
      <c r="Y28" s="51" t="n">
        <f aca="false">W28+X28</f>
        <v>209</v>
      </c>
      <c r="Z28" s="56" t="n">
        <v>0</v>
      </c>
      <c r="AA28" s="82" t="n">
        <v>38</v>
      </c>
      <c r="AB28" s="57" t="n">
        <v>22</v>
      </c>
      <c r="AC28" s="58" t="n">
        <f aca="false">AC27+1</f>
        <v>19</v>
      </c>
    </row>
    <row r="29" customFormat="false" ht="11.1" hidden="false" customHeight="true" outlineLevel="0" collapsed="false">
      <c r="A29" s="58" t="n">
        <f aca="false">A28+1</f>
        <v>20</v>
      </c>
      <c r="B29" s="73" t="n">
        <v>6902.79</v>
      </c>
      <c r="C29" s="52" t="n">
        <v>293987</v>
      </c>
      <c r="D29" s="57" t="n">
        <f aca="false">C29-C28</f>
        <v>0</v>
      </c>
      <c r="E29" s="52" t="n">
        <f aca="false">C29-152000</f>
        <v>141987</v>
      </c>
      <c r="F29" s="51" t="n">
        <f aca="false">D29/$D$2</f>
        <v>0</v>
      </c>
      <c r="G29" s="51" t="n">
        <v>162</v>
      </c>
      <c r="H29" s="53" t="n">
        <v>15</v>
      </c>
      <c r="I29" s="51" t="n">
        <f aca="false">G29+H29</f>
        <v>177</v>
      </c>
      <c r="J29" s="81" t="n">
        <f aca="false">IF(L29&gt;0,L29,0)</f>
        <v>7</v>
      </c>
      <c r="K29" s="51" t="n">
        <f aca="false">I29+J29</f>
        <v>184</v>
      </c>
      <c r="L29" s="51" t="n">
        <f aca="false">F29-(I29-W29)</f>
        <v>7</v>
      </c>
      <c r="M29" s="51" t="n">
        <v>4</v>
      </c>
      <c r="N29" s="51" t="n">
        <v>0</v>
      </c>
      <c r="O29" s="51" t="n">
        <v>0</v>
      </c>
      <c r="P29" s="6" t="n">
        <f aca="false">M29-(N29+O29)</f>
        <v>4</v>
      </c>
      <c r="Q29" s="51" t="n">
        <v>0</v>
      </c>
      <c r="R29" s="51" t="n">
        <v>0</v>
      </c>
      <c r="S29" s="51" t="n">
        <f aca="false">SUM(P29:R29)</f>
        <v>4</v>
      </c>
      <c r="T29" s="52"/>
      <c r="U29" s="51" t="n">
        <v>0</v>
      </c>
      <c r="V29" s="51" t="n">
        <v>180</v>
      </c>
      <c r="W29" s="6" t="n">
        <f aca="false">N29+O29+S29+U29+V29</f>
        <v>184</v>
      </c>
      <c r="X29" s="51" t="n">
        <f aca="false">IF(L29&lt;0,L29*-1,0)</f>
        <v>0</v>
      </c>
      <c r="Y29" s="51" t="n">
        <f aca="false">W29+X29</f>
        <v>184</v>
      </c>
      <c r="Z29" s="56" t="n">
        <v>0</v>
      </c>
      <c r="AA29" s="82" t="n">
        <v>36</v>
      </c>
      <c r="AB29" s="57" t="n">
        <v>22</v>
      </c>
      <c r="AC29" s="58" t="n">
        <f aca="false">AC28+1</f>
        <v>20</v>
      </c>
    </row>
    <row r="30" customFormat="false" ht="11.1" hidden="false" customHeight="true" outlineLevel="0" collapsed="false">
      <c r="A30" s="58" t="n">
        <f aca="false">A29+1</f>
        <v>21</v>
      </c>
      <c r="B30" s="73" t="n">
        <v>6902.79</v>
      </c>
      <c r="C30" s="52" t="n">
        <v>293987</v>
      </c>
      <c r="D30" s="57" t="n">
        <f aca="false">C30-C29</f>
        <v>0</v>
      </c>
      <c r="E30" s="52" t="n">
        <f aca="false">C30-152000</f>
        <v>141987</v>
      </c>
      <c r="F30" s="51" t="n">
        <f aca="false">D30/$D$2</f>
        <v>0</v>
      </c>
      <c r="G30" s="51" t="n">
        <v>179</v>
      </c>
      <c r="H30" s="53" t="n">
        <v>11</v>
      </c>
      <c r="I30" s="51" t="n">
        <f aca="false">G30+H30</f>
        <v>190</v>
      </c>
      <c r="J30" s="81" t="n">
        <f aca="false">IF(L30&gt;0,L30,0)</f>
        <v>0</v>
      </c>
      <c r="K30" s="51" t="n">
        <f aca="false">I30+J30</f>
        <v>190</v>
      </c>
      <c r="L30" s="51" t="n">
        <f aca="false">F30-(I30-W30)</f>
        <v>-6</v>
      </c>
      <c r="M30" s="51" t="n">
        <v>4</v>
      </c>
      <c r="N30" s="51" t="n">
        <v>0</v>
      </c>
      <c r="O30" s="51" t="n">
        <v>0</v>
      </c>
      <c r="P30" s="6" t="n">
        <f aca="false">M30-(N30+O30)</f>
        <v>4</v>
      </c>
      <c r="Q30" s="51" t="n">
        <v>0</v>
      </c>
      <c r="R30" s="51" t="n">
        <v>0</v>
      </c>
      <c r="S30" s="51" t="n">
        <f aca="false">SUM(P30:R30)</f>
        <v>4</v>
      </c>
      <c r="T30" s="52"/>
      <c r="U30" s="51" t="n">
        <v>0</v>
      </c>
      <c r="V30" s="51" t="n">
        <v>180</v>
      </c>
      <c r="W30" s="6" t="n">
        <f aca="false">N30+O30+S30+U30+V30</f>
        <v>184</v>
      </c>
      <c r="X30" s="51" t="n">
        <f aca="false">IF(L30&lt;0,L30*-1,0)</f>
        <v>6</v>
      </c>
      <c r="Y30" s="51" t="n">
        <f aca="false">W30+X30</f>
        <v>190</v>
      </c>
      <c r="Z30" s="56" t="n">
        <v>0</v>
      </c>
      <c r="AA30" s="57" t="n">
        <v>37</v>
      </c>
      <c r="AB30" s="57" t="n">
        <v>21</v>
      </c>
      <c r="AC30" s="58" t="n">
        <f aca="false">AC29+1</f>
        <v>21</v>
      </c>
    </row>
    <row r="31" customFormat="false" ht="11.1" hidden="false" customHeight="true" outlineLevel="0" collapsed="false">
      <c r="A31" s="58" t="n">
        <f aca="false">A30+1</f>
        <v>22</v>
      </c>
      <c r="B31" s="73" t="n">
        <v>6902.75</v>
      </c>
      <c r="C31" s="52" t="n">
        <v>293837</v>
      </c>
      <c r="D31" s="57" t="n">
        <f aca="false">C31-C30</f>
        <v>-150</v>
      </c>
      <c r="E31" s="52" t="n">
        <f aca="false">C31-152000</f>
        <v>141837</v>
      </c>
      <c r="F31" s="51" t="n">
        <f aca="false">D31/$D$2</f>
        <v>-75.6238971514999</v>
      </c>
      <c r="G31" s="51" t="n">
        <v>141</v>
      </c>
      <c r="H31" s="53" t="n">
        <v>12</v>
      </c>
      <c r="I31" s="51" t="n">
        <f aca="false">G31+H31</f>
        <v>153</v>
      </c>
      <c r="J31" s="81" t="n">
        <f aca="false">IF(L31&gt;0,L31,0)</f>
        <v>0</v>
      </c>
      <c r="K31" s="51" t="n">
        <f aca="false">I31+J31</f>
        <v>153</v>
      </c>
      <c r="L31" s="51" t="n">
        <f aca="false">F31-(I31-W31)</f>
        <v>-43.6238971514999</v>
      </c>
      <c r="M31" s="51" t="n">
        <v>4</v>
      </c>
      <c r="N31" s="51" t="n">
        <v>0</v>
      </c>
      <c r="O31" s="51" t="n">
        <v>0</v>
      </c>
      <c r="P31" s="6" t="n">
        <f aca="false">M31-(N31+O31)</f>
        <v>4</v>
      </c>
      <c r="Q31" s="51" t="n">
        <v>0</v>
      </c>
      <c r="R31" s="51" t="n">
        <v>0</v>
      </c>
      <c r="S31" s="51" t="n">
        <f aca="false">SUM(P31:R31)</f>
        <v>4</v>
      </c>
      <c r="T31" s="52"/>
      <c r="U31" s="51" t="n">
        <v>0</v>
      </c>
      <c r="V31" s="51" t="n">
        <v>181</v>
      </c>
      <c r="W31" s="6" t="n">
        <f aca="false">N31+O31+S31+U31+V31</f>
        <v>185</v>
      </c>
      <c r="X31" s="51" t="n">
        <f aca="false">IF(L31&lt;0,L31*-1,0)</f>
        <v>43.6238971514999</v>
      </c>
      <c r="Y31" s="51" t="n">
        <f aca="false">W31+X31</f>
        <v>228.6238971515</v>
      </c>
      <c r="Z31" s="56" t="n">
        <v>0</v>
      </c>
      <c r="AA31" s="57" t="n">
        <v>40</v>
      </c>
      <c r="AB31" s="57" t="n">
        <v>20</v>
      </c>
      <c r="AC31" s="58" t="n">
        <f aca="false">AC30+1</f>
        <v>22</v>
      </c>
    </row>
    <row r="32" customFormat="false" ht="11.1" hidden="false" customHeight="true" outlineLevel="0" collapsed="false">
      <c r="A32" s="58" t="n">
        <f aca="false">A31+1</f>
        <v>23</v>
      </c>
      <c r="B32" s="73" t="n">
        <v>6902.7</v>
      </c>
      <c r="C32" s="52" t="n">
        <v>293649</v>
      </c>
      <c r="D32" s="57" t="n">
        <f aca="false">C32-C31</f>
        <v>-188</v>
      </c>
      <c r="E32" s="52" t="n">
        <f aca="false">C32-152000</f>
        <v>141649</v>
      </c>
      <c r="F32" s="51" t="n">
        <f aca="false">D32/$D$2</f>
        <v>-94.7819510965465</v>
      </c>
      <c r="G32" s="51" t="n">
        <v>126</v>
      </c>
      <c r="H32" s="53" t="n">
        <v>12</v>
      </c>
      <c r="I32" s="51" t="n">
        <f aca="false">G32+H32</f>
        <v>138</v>
      </c>
      <c r="J32" s="81" t="n">
        <f aca="false">IF(L32&gt;0,L32,0)</f>
        <v>0</v>
      </c>
      <c r="K32" s="51" t="n">
        <f aca="false">I32+J32</f>
        <v>138</v>
      </c>
      <c r="L32" s="51" t="n">
        <f aca="false">F32-(I32-W32)</f>
        <v>-47.7819510965465</v>
      </c>
      <c r="M32" s="51" t="n">
        <v>4</v>
      </c>
      <c r="N32" s="51" t="n">
        <v>0</v>
      </c>
      <c r="O32" s="51" t="n">
        <v>0</v>
      </c>
      <c r="P32" s="6" t="n">
        <f aca="false">M32-(N32+O32)</f>
        <v>4</v>
      </c>
      <c r="Q32" s="51" t="n">
        <v>0</v>
      </c>
      <c r="R32" s="51" t="n">
        <v>0</v>
      </c>
      <c r="S32" s="51" t="n">
        <f aca="false">SUM(P32:R32)</f>
        <v>4</v>
      </c>
      <c r="T32" s="52"/>
      <c r="U32" s="51" t="n">
        <v>0</v>
      </c>
      <c r="V32" s="51" t="n">
        <v>181</v>
      </c>
      <c r="W32" s="6" t="n">
        <f aca="false">N32+O32+S32+U32+V32</f>
        <v>185</v>
      </c>
      <c r="X32" s="51" t="n">
        <f aca="false">IF(L32&lt;0,L32*-1,0)</f>
        <v>47.7819510965465</v>
      </c>
      <c r="Y32" s="51" t="n">
        <f aca="false">W32+X32</f>
        <v>232.781951096546</v>
      </c>
      <c r="Z32" s="56" t="n">
        <v>0</v>
      </c>
      <c r="AA32" s="57" t="n">
        <v>36</v>
      </c>
      <c r="AB32" s="82" t="n">
        <v>14</v>
      </c>
      <c r="AC32" s="58" t="n">
        <f aca="false">AC31+1</f>
        <v>23</v>
      </c>
    </row>
    <row r="33" customFormat="false" ht="11.1" hidden="false" customHeight="true" outlineLevel="0" collapsed="false">
      <c r="A33" s="58" t="n">
        <f aca="false">A32+1</f>
        <v>24</v>
      </c>
      <c r="B33" s="73" t="n">
        <v>6902.71</v>
      </c>
      <c r="C33" s="52" t="n">
        <v>293686</v>
      </c>
      <c r="D33" s="57" t="n">
        <f aca="false">C33-C32</f>
        <v>37</v>
      </c>
      <c r="E33" s="52" t="n">
        <f aca="false">C33-152000</f>
        <v>141686</v>
      </c>
      <c r="F33" s="51" t="n">
        <f aca="false">D33/$D$2</f>
        <v>18.6538946307033</v>
      </c>
      <c r="G33" s="51" t="n">
        <v>170</v>
      </c>
      <c r="H33" s="53" t="n">
        <v>9</v>
      </c>
      <c r="I33" s="51" t="n">
        <f aca="false">G33+H33</f>
        <v>179</v>
      </c>
      <c r="J33" s="81" t="n">
        <f aca="false">IF(L33&gt;0,L33,0)</f>
        <v>24.6538946307033</v>
      </c>
      <c r="K33" s="51" t="n">
        <f aca="false">I33+J33</f>
        <v>203.653894630703</v>
      </c>
      <c r="L33" s="51" t="n">
        <f aca="false">F33-(I33-W33)</f>
        <v>24.6538946307033</v>
      </c>
      <c r="M33" s="51" t="n">
        <v>4</v>
      </c>
      <c r="N33" s="51" t="n">
        <v>0</v>
      </c>
      <c r="O33" s="51" t="n">
        <v>0</v>
      </c>
      <c r="P33" s="6" t="n">
        <f aca="false">M33-(N33+O33)</f>
        <v>4</v>
      </c>
      <c r="Q33" s="51" t="n">
        <v>0</v>
      </c>
      <c r="R33" s="51" t="n">
        <v>0</v>
      </c>
      <c r="S33" s="51" t="n">
        <f aca="false">SUM(P33:R33)</f>
        <v>4</v>
      </c>
      <c r="T33" s="52"/>
      <c r="U33" s="51" t="n">
        <v>0</v>
      </c>
      <c r="V33" s="51" t="n">
        <v>181</v>
      </c>
      <c r="W33" s="6" t="n">
        <f aca="false">N33+O33+S33+U33+V33</f>
        <v>185</v>
      </c>
      <c r="X33" s="51" t="n">
        <f aca="false">IF(L33&lt;0,L33*-1,0)</f>
        <v>0</v>
      </c>
      <c r="Y33" s="51" t="n">
        <f aca="false">W33+X33</f>
        <v>185</v>
      </c>
      <c r="Z33" s="56" t="n">
        <v>0</v>
      </c>
      <c r="AA33" s="57" t="n">
        <v>38</v>
      </c>
      <c r="AB33" s="82" t="n">
        <v>12</v>
      </c>
      <c r="AC33" s="58" t="n">
        <f aca="false">AC32+1</f>
        <v>24</v>
      </c>
    </row>
    <row r="34" customFormat="false" ht="11.1" hidden="false" customHeight="true" outlineLevel="0" collapsed="false">
      <c r="A34" s="58" t="n">
        <f aca="false">A33+1</f>
        <v>25</v>
      </c>
      <c r="B34" s="73" t="n">
        <v>6902.72</v>
      </c>
      <c r="C34" s="52" t="n">
        <v>293724</v>
      </c>
      <c r="D34" s="57" t="n">
        <f aca="false">C34-C33</f>
        <v>38</v>
      </c>
      <c r="E34" s="52" t="n">
        <f aca="false">C34-152000</f>
        <v>141724</v>
      </c>
      <c r="F34" s="51" t="n">
        <f aca="false">D34/$D$2</f>
        <v>19.1580539450466</v>
      </c>
      <c r="G34" s="51" t="n">
        <v>166</v>
      </c>
      <c r="H34" s="53" t="n">
        <v>11</v>
      </c>
      <c r="I34" s="51" t="n">
        <f aca="false">G34+H34</f>
        <v>177</v>
      </c>
      <c r="J34" s="81" t="n">
        <f aca="false">IF(L34&gt;0,L34,0)</f>
        <v>27.1580539450466</v>
      </c>
      <c r="K34" s="51" t="n">
        <f aca="false">I34+J34</f>
        <v>204.158053945047</v>
      </c>
      <c r="L34" s="51" t="n">
        <f aca="false">F34-(I34-W34)</f>
        <v>27.1580539450466</v>
      </c>
      <c r="M34" s="51" t="n">
        <v>4</v>
      </c>
      <c r="N34" s="51" t="n">
        <v>0</v>
      </c>
      <c r="O34" s="51" t="n">
        <v>0</v>
      </c>
      <c r="P34" s="6" t="n">
        <f aca="false">M34-(N34+O34)</f>
        <v>4</v>
      </c>
      <c r="Q34" s="51" t="n">
        <v>0</v>
      </c>
      <c r="R34" s="51" t="n">
        <v>0</v>
      </c>
      <c r="S34" s="51" t="n">
        <f aca="false">SUM(P34:R34)</f>
        <v>4</v>
      </c>
      <c r="T34" s="52"/>
      <c r="U34" s="51" t="n">
        <v>0</v>
      </c>
      <c r="V34" s="51" t="n">
        <v>181</v>
      </c>
      <c r="W34" s="6" t="n">
        <f aca="false">N34+O34+S34+U34+V34</f>
        <v>185</v>
      </c>
      <c r="X34" s="51" t="n">
        <f aca="false">IF(L34&lt;0,L34*-1,0)</f>
        <v>0</v>
      </c>
      <c r="Y34" s="51" t="n">
        <f aca="false">W34+X34</f>
        <v>185</v>
      </c>
      <c r="Z34" s="56" t="n">
        <v>0</v>
      </c>
      <c r="AA34" s="57" t="n">
        <v>37</v>
      </c>
      <c r="AB34" s="82" t="n">
        <v>12</v>
      </c>
      <c r="AC34" s="58" t="n">
        <f aca="false">AC33+1</f>
        <v>25</v>
      </c>
    </row>
    <row r="35" customFormat="false" ht="11.1" hidden="false" customHeight="true" outlineLevel="0" collapsed="false">
      <c r="A35" s="58" t="n">
        <f aca="false">A34+1</f>
        <v>26</v>
      </c>
      <c r="B35" s="73" t="n">
        <v>6902.69</v>
      </c>
      <c r="C35" s="52" t="n">
        <v>293611</v>
      </c>
      <c r="D35" s="57" t="n">
        <f aca="false">C35-C34</f>
        <v>-113</v>
      </c>
      <c r="E35" s="52" t="n">
        <f aca="false">C35-152000</f>
        <v>141611</v>
      </c>
      <c r="F35" s="51" t="n">
        <f aca="false">D35/$D$2</f>
        <v>-56.9700025207966</v>
      </c>
      <c r="G35" s="51" t="n">
        <v>201</v>
      </c>
      <c r="H35" s="53" t="n">
        <v>12</v>
      </c>
      <c r="I35" s="51" t="n">
        <f aca="false">G35+H35</f>
        <v>213</v>
      </c>
      <c r="J35" s="81" t="n">
        <f aca="false">IF(L35&gt;0,L35,0)</f>
        <v>0</v>
      </c>
      <c r="K35" s="51" t="n">
        <f aca="false">I35+J35</f>
        <v>213</v>
      </c>
      <c r="L35" s="51" t="n">
        <f aca="false">F35-(I35-W35)</f>
        <v>-83.9700025207966</v>
      </c>
      <c r="M35" s="51" t="n">
        <v>4</v>
      </c>
      <c r="N35" s="51" t="n">
        <v>0</v>
      </c>
      <c r="O35" s="51" t="n">
        <v>0</v>
      </c>
      <c r="P35" s="6" t="n">
        <f aca="false">M35-(N35+O35)</f>
        <v>4</v>
      </c>
      <c r="Q35" s="51" t="n">
        <v>0</v>
      </c>
      <c r="R35" s="51" t="n">
        <v>0</v>
      </c>
      <c r="S35" s="51" t="n">
        <f aca="false">SUM(P35:R35)</f>
        <v>4</v>
      </c>
      <c r="T35" s="52"/>
      <c r="U35" s="51" t="n">
        <v>0</v>
      </c>
      <c r="V35" s="51" t="n">
        <v>182</v>
      </c>
      <c r="W35" s="6" t="n">
        <f aca="false">N35+O35+S35+U35+V35</f>
        <v>186</v>
      </c>
      <c r="X35" s="51" t="n">
        <f aca="false">IF(L35&lt;0,L35*-1,0)</f>
        <v>83.9700025207966</v>
      </c>
      <c r="Y35" s="51" t="n">
        <f aca="false">W35+X35</f>
        <v>269.970002520797</v>
      </c>
      <c r="Z35" s="56" t="n">
        <v>0</v>
      </c>
      <c r="AA35" s="57" t="n">
        <v>36</v>
      </c>
      <c r="AB35" s="57" t="n">
        <v>10</v>
      </c>
      <c r="AC35" s="58" t="n">
        <f aca="false">AC34+1</f>
        <v>26</v>
      </c>
    </row>
    <row r="36" customFormat="false" ht="11.1" hidden="false" customHeight="true" outlineLevel="0" collapsed="false">
      <c r="A36" s="58" t="n">
        <f aca="false">A35+1</f>
        <v>27</v>
      </c>
      <c r="B36" s="73" t="n">
        <v>6902.66</v>
      </c>
      <c r="C36" s="52" t="n">
        <v>293498</v>
      </c>
      <c r="D36" s="57" t="n">
        <f aca="false">C36-C35</f>
        <v>-113</v>
      </c>
      <c r="E36" s="52" t="n">
        <f aca="false">C36-152000</f>
        <v>141498</v>
      </c>
      <c r="F36" s="51" t="n">
        <f aca="false">D36/$D$2</f>
        <v>-56.9700025207966</v>
      </c>
      <c r="G36" s="51" t="n">
        <v>172</v>
      </c>
      <c r="H36" s="53" t="n">
        <v>6</v>
      </c>
      <c r="I36" s="51" t="n">
        <f aca="false">G36+H36</f>
        <v>178</v>
      </c>
      <c r="J36" s="81" t="n">
        <f aca="false">IF(L36&gt;0,L36,0)</f>
        <v>0</v>
      </c>
      <c r="K36" s="51" t="n">
        <f aca="false">I36+J36</f>
        <v>178</v>
      </c>
      <c r="L36" s="51" t="n">
        <f aca="false">F36-(I36-W36)</f>
        <v>-49.9700025207966</v>
      </c>
      <c r="M36" s="51" t="n">
        <v>4</v>
      </c>
      <c r="N36" s="51" t="n">
        <v>0</v>
      </c>
      <c r="O36" s="51" t="n">
        <v>0</v>
      </c>
      <c r="P36" s="6" t="n">
        <f aca="false">M36-(N36+O36)</f>
        <v>4</v>
      </c>
      <c r="Q36" s="51" t="n">
        <v>0</v>
      </c>
      <c r="R36" s="51" t="n">
        <v>0</v>
      </c>
      <c r="S36" s="51" t="n">
        <f aca="false">SUM(P36:R36)</f>
        <v>4</v>
      </c>
      <c r="T36" s="52"/>
      <c r="U36" s="51" t="n">
        <v>0</v>
      </c>
      <c r="V36" s="51" t="n">
        <v>181</v>
      </c>
      <c r="W36" s="6" t="n">
        <f aca="false">N36+O36+S36+U36+V36</f>
        <v>185</v>
      </c>
      <c r="X36" s="51" t="n">
        <f aca="false">IF(L36&lt;0,L36*-1,0)</f>
        <v>49.9700025207966</v>
      </c>
      <c r="Y36" s="51" t="n">
        <f aca="false">W36+X36</f>
        <v>234.970002520797</v>
      </c>
      <c r="Z36" s="56" t="n">
        <v>0</v>
      </c>
      <c r="AA36" s="57" t="n">
        <v>37</v>
      </c>
      <c r="AB36" s="57" t="n">
        <v>12</v>
      </c>
      <c r="AC36" s="58" t="n">
        <f aca="false">AC35+1</f>
        <v>27</v>
      </c>
    </row>
    <row r="37" customFormat="false" ht="11.1" hidden="false" customHeight="true" outlineLevel="0" collapsed="false">
      <c r="A37" s="58" t="n">
        <f aca="false">A36+1</f>
        <v>28</v>
      </c>
      <c r="B37" s="73" t="n">
        <v>6902.63</v>
      </c>
      <c r="C37" s="52" t="n">
        <v>293385</v>
      </c>
      <c r="D37" s="57" t="n">
        <f aca="false">C37-C36</f>
        <v>-113</v>
      </c>
      <c r="E37" s="52" t="n">
        <f aca="false">C37-152000</f>
        <v>141385</v>
      </c>
      <c r="F37" s="51" t="n">
        <f aca="false">D37/$D$2</f>
        <v>-56.9700025207966</v>
      </c>
      <c r="G37" s="51" t="n">
        <v>119</v>
      </c>
      <c r="H37" s="53" t="n">
        <v>9</v>
      </c>
      <c r="I37" s="51" t="n">
        <f aca="false">G37+H37</f>
        <v>128</v>
      </c>
      <c r="J37" s="81" t="n">
        <f aca="false">IF(L37&gt;0,L37,0)</f>
        <v>0.0299974792034305</v>
      </c>
      <c r="K37" s="51" t="n">
        <f aca="false">I37+J37</f>
        <v>128.029997479203</v>
      </c>
      <c r="L37" s="51" t="n">
        <f aca="false">F37-(I37-W37)</f>
        <v>0.0299974792034305</v>
      </c>
      <c r="M37" s="51" t="n">
        <v>4</v>
      </c>
      <c r="N37" s="51" t="n">
        <v>0</v>
      </c>
      <c r="O37" s="51" t="n">
        <v>0</v>
      </c>
      <c r="P37" s="6" t="n">
        <f aca="false">M37-(N37+O37)</f>
        <v>4</v>
      </c>
      <c r="Q37" s="51" t="n">
        <v>0</v>
      </c>
      <c r="R37" s="51" t="n">
        <v>0</v>
      </c>
      <c r="S37" s="51" t="n">
        <f aca="false">SUM(P37:R37)</f>
        <v>4</v>
      </c>
      <c r="T37" s="52"/>
      <c r="U37" s="51" t="n">
        <v>0</v>
      </c>
      <c r="V37" s="51" t="n">
        <v>181</v>
      </c>
      <c r="W37" s="6" t="n">
        <f aca="false">N37+O37+S37+U37+V37</f>
        <v>185</v>
      </c>
      <c r="X37" s="51" t="n">
        <f aca="false">IF(L37&lt;0,L37*-1,0)</f>
        <v>0</v>
      </c>
      <c r="Y37" s="51" t="n">
        <f aca="false">W37+X37</f>
        <v>185</v>
      </c>
      <c r="Z37" s="56" t="n">
        <v>0</v>
      </c>
      <c r="AA37" s="57" t="n">
        <v>39</v>
      </c>
      <c r="AB37" s="57" t="n">
        <v>11</v>
      </c>
      <c r="AC37" s="58" t="n">
        <f aca="false">AC36+1</f>
        <v>28</v>
      </c>
    </row>
    <row r="38" customFormat="false" ht="11.1" hidden="false" customHeight="true" outlineLevel="0" collapsed="false">
      <c r="A38" s="58" t="n">
        <f aca="false">A37+1</f>
        <v>29</v>
      </c>
      <c r="B38" s="73" t="n">
        <v>6902.65</v>
      </c>
      <c r="C38" s="52" t="n">
        <v>293460</v>
      </c>
      <c r="D38" s="57" t="n">
        <f aca="false">C38-C37</f>
        <v>75</v>
      </c>
      <c r="E38" s="52" t="n">
        <f aca="false">C38-152000</f>
        <v>141460</v>
      </c>
      <c r="F38" s="51" t="n">
        <f aca="false">D38/$D$2</f>
        <v>37.8119485757499</v>
      </c>
      <c r="G38" s="51" t="n">
        <v>177</v>
      </c>
      <c r="H38" s="53" t="n">
        <v>10</v>
      </c>
      <c r="I38" s="51" t="n">
        <f aca="false">G38+H38</f>
        <v>187</v>
      </c>
      <c r="J38" s="81" t="n">
        <f aca="false">IF(L38&gt;0,L38,0)</f>
        <v>0</v>
      </c>
      <c r="K38" s="51" t="n">
        <f aca="false">I38+J38</f>
        <v>187</v>
      </c>
      <c r="L38" s="51" t="n">
        <f aca="false">F38-(I38-W38)</f>
        <v>-0.188051424250062</v>
      </c>
      <c r="M38" s="51" t="n">
        <v>4</v>
      </c>
      <c r="N38" s="51" t="n">
        <v>0</v>
      </c>
      <c r="O38" s="51" t="n">
        <v>0</v>
      </c>
      <c r="P38" s="6" t="n">
        <f aca="false">M38-(N38+O38)</f>
        <v>4</v>
      </c>
      <c r="Q38" s="51" t="n">
        <v>0</v>
      </c>
      <c r="R38" s="51" t="n">
        <v>0</v>
      </c>
      <c r="S38" s="51" t="n">
        <f aca="false">SUM(P38:R38)</f>
        <v>4</v>
      </c>
      <c r="T38" s="52"/>
      <c r="U38" s="51" t="n">
        <v>0</v>
      </c>
      <c r="V38" s="51" t="n">
        <v>145</v>
      </c>
      <c r="W38" s="6" t="n">
        <f aca="false">N38+O38+S38+U38+V38</f>
        <v>149</v>
      </c>
      <c r="X38" s="51" t="n">
        <f aca="false">IF(L38&lt;0,L38*-1,0)</f>
        <v>0.188051424250062</v>
      </c>
      <c r="Y38" s="51" t="n">
        <f aca="false">W38+X38</f>
        <v>149.18805142425</v>
      </c>
      <c r="Z38" s="56" t="n">
        <v>0</v>
      </c>
      <c r="AA38" s="82" t="n">
        <v>40</v>
      </c>
      <c r="AB38" s="57" t="n">
        <v>12</v>
      </c>
      <c r="AC38" s="58" t="n">
        <f aca="false">AC37+1</f>
        <v>29</v>
      </c>
    </row>
    <row r="39" customFormat="false" ht="11.1" hidden="false" customHeight="true" outlineLevel="0" collapsed="false">
      <c r="A39" s="58" t="n">
        <v>30</v>
      </c>
      <c r="B39" s="73" t="n">
        <v>6902.64</v>
      </c>
      <c r="C39" s="52" t="n">
        <v>293423</v>
      </c>
      <c r="D39" s="57" t="n">
        <f aca="false">C39-C38</f>
        <v>-37</v>
      </c>
      <c r="E39" s="52" t="n">
        <f aca="false">C39-152000</f>
        <v>141423</v>
      </c>
      <c r="F39" s="51" t="n">
        <f aca="false">D39/$D$2</f>
        <v>-18.6538946307033</v>
      </c>
      <c r="G39" s="51" t="n">
        <v>96</v>
      </c>
      <c r="H39" s="53" t="n">
        <v>11</v>
      </c>
      <c r="I39" s="51" t="n">
        <f aca="false">G39+H39</f>
        <v>107</v>
      </c>
      <c r="J39" s="81" t="n">
        <f aca="false">IF(L39&gt;0,L39,0)</f>
        <v>0.346105369296698</v>
      </c>
      <c r="K39" s="51" t="n">
        <f aca="false">I39+J39</f>
        <v>107.346105369297</v>
      </c>
      <c r="L39" s="51" t="n">
        <f aca="false">F39-(I39-W39)</f>
        <v>0.346105369296698</v>
      </c>
      <c r="M39" s="51" t="n">
        <v>4</v>
      </c>
      <c r="N39" s="51" t="n">
        <v>0</v>
      </c>
      <c r="O39" s="51" t="n">
        <v>0</v>
      </c>
      <c r="P39" s="6" t="n">
        <f aca="false">M39-(N39+O39)</f>
        <v>4</v>
      </c>
      <c r="Q39" s="51" t="n">
        <v>0</v>
      </c>
      <c r="R39" s="51" t="n">
        <v>0</v>
      </c>
      <c r="S39" s="51" t="n">
        <f aca="false">SUM(P39:R39)</f>
        <v>4</v>
      </c>
      <c r="T39" s="52"/>
      <c r="U39" s="51" t="n">
        <v>0</v>
      </c>
      <c r="V39" s="51" t="n">
        <v>122</v>
      </c>
      <c r="W39" s="6" t="n">
        <f aca="false">N39+O39+S39+U39+V39</f>
        <v>126</v>
      </c>
      <c r="X39" s="51" t="n">
        <f aca="false">IF(L39&lt;0,L39*-1,0)</f>
        <v>0</v>
      </c>
      <c r="Y39" s="51" t="n">
        <f aca="false">W39+X39</f>
        <v>126</v>
      </c>
      <c r="Z39" s="56" t="n">
        <v>0</v>
      </c>
      <c r="AA39" s="82" t="n">
        <v>40</v>
      </c>
      <c r="AB39" s="57" t="n">
        <v>14</v>
      </c>
      <c r="AC39" s="58" t="n">
        <v>30</v>
      </c>
    </row>
    <row r="40" customFormat="false" ht="11.1" hidden="false" customHeight="true" outlineLevel="0" collapsed="false">
      <c r="A40" s="58" t="n">
        <v>31</v>
      </c>
      <c r="B40" s="73" t="n">
        <v>6902.63</v>
      </c>
      <c r="C40" s="52" t="n">
        <v>293385</v>
      </c>
      <c r="D40" s="57" t="n">
        <f aca="false">C40-C39</f>
        <v>-38</v>
      </c>
      <c r="E40" s="52" t="n">
        <f aca="false">C40-152000</f>
        <v>141385</v>
      </c>
      <c r="F40" s="51" t="n">
        <f aca="false">D40/$D$2</f>
        <v>-19.1580539450466</v>
      </c>
      <c r="G40" s="51" t="n">
        <v>100</v>
      </c>
      <c r="H40" s="53" t="n">
        <v>7</v>
      </c>
      <c r="I40" s="51" t="n">
        <f aca="false">G40+H40</f>
        <v>107</v>
      </c>
      <c r="J40" s="81" t="n">
        <f aca="false">IF(L40&gt;0,L40,0)</f>
        <v>0</v>
      </c>
      <c r="K40" s="51" t="n">
        <f aca="false">I40+J40</f>
        <v>107</v>
      </c>
      <c r="L40" s="51" t="n">
        <f aca="false">F40-(I40-W40)</f>
        <v>-0.158053945046635</v>
      </c>
      <c r="M40" s="51" t="n">
        <v>4</v>
      </c>
      <c r="N40" s="51" t="n">
        <v>0</v>
      </c>
      <c r="O40" s="51" t="n">
        <v>0</v>
      </c>
      <c r="P40" s="6" t="n">
        <f aca="false">M40-(N40+O40)</f>
        <v>4</v>
      </c>
      <c r="Q40" s="51" t="n">
        <v>0</v>
      </c>
      <c r="R40" s="51" t="n">
        <v>0</v>
      </c>
      <c r="S40" s="51" t="n">
        <f aca="false">SUM(P40:R40)</f>
        <v>4</v>
      </c>
      <c r="T40" s="52"/>
      <c r="U40" s="51" t="n">
        <v>0</v>
      </c>
      <c r="V40" s="51" t="n">
        <v>122</v>
      </c>
      <c r="W40" s="6" t="n">
        <f aca="false">N40+O40+S40+U40+V40</f>
        <v>126</v>
      </c>
      <c r="X40" s="51" t="n">
        <f aca="false">IF(L40&lt;0,L40*-1,0)</f>
        <v>0.158053945046635</v>
      </c>
      <c r="Y40" s="51" t="n">
        <f aca="false">W40+X40</f>
        <v>126.158053945047</v>
      </c>
      <c r="Z40" s="56" t="n">
        <v>0</v>
      </c>
      <c r="AA40" s="82" t="n">
        <v>38</v>
      </c>
      <c r="AB40" s="57" t="n">
        <v>11</v>
      </c>
      <c r="AC40" s="58" t="n">
        <v>31</v>
      </c>
    </row>
    <row r="41" customFormat="false" ht="3" hidden="false" customHeight="true" outlineLevel="0" collapsed="false">
      <c r="A41" s="74"/>
      <c r="B41" s="74"/>
      <c r="C41" s="76"/>
      <c r="D41" s="74"/>
      <c r="E41" s="76"/>
      <c r="F41" s="74"/>
      <c r="G41" s="74"/>
      <c r="H41" s="77"/>
      <c r="I41" s="74"/>
      <c r="J41" s="74"/>
      <c r="K41" s="74"/>
      <c r="L41" s="83"/>
      <c r="M41" s="83"/>
      <c r="N41" s="83"/>
      <c r="O41" s="74"/>
      <c r="P41" s="74"/>
      <c r="Q41" s="74"/>
      <c r="R41" s="74"/>
      <c r="S41" s="74"/>
      <c r="T41" s="76"/>
      <c r="U41" s="74"/>
      <c r="V41" s="83"/>
      <c r="W41" s="74"/>
      <c r="X41" s="74"/>
      <c r="Y41" s="74"/>
      <c r="Z41" s="78"/>
      <c r="AA41" s="79"/>
      <c r="AB41" s="79"/>
      <c r="AC41" s="80"/>
    </row>
    <row r="42" customFormat="false" ht="11.1" hidden="false" customHeight="true" outlineLevel="0" collapsed="false">
      <c r="A42" s="51" t="s">
        <v>44</v>
      </c>
      <c r="B42" s="51"/>
      <c r="C42" s="52"/>
      <c r="D42" s="52"/>
      <c r="E42" s="52"/>
      <c r="F42" s="52" t="n">
        <f aca="false">SUM(F10:F40)</f>
        <v>-474.413914797076</v>
      </c>
      <c r="G42" s="52" t="n">
        <f aca="false">SUM(G10:G40)</f>
        <v>6146</v>
      </c>
      <c r="H42" s="52" t="n">
        <f aca="false">SUM(H10:H40)</f>
        <v>465</v>
      </c>
      <c r="I42" s="52" t="n">
        <f aca="false">SUM(I10:I40)</f>
        <v>6611</v>
      </c>
      <c r="J42" s="52" t="n">
        <f aca="false">SUM(J10:J40)</f>
        <v>352.3761028485</v>
      </c>
      <c r="K42" s="52" t="n">
        <f aca="false">SUM(K10:K40)</f>
        <v>6963.3761028485</v>
      </c>
      <c r="L42" s="52" t="n">
        <f aca="false">SUM(L10:L40)</f>
        <v>-284.413914797076</v>
      </c>
      <c r="M42" s="52" t="n">
        <f aca="false">SUM(M10:M40)</f>
        <v>245</v>
      </c>
      <c r="N42" s="52" t="n">
        <f aca="false">SUM(N10:N40)</f>
        <v>0</v>
      </c>
      <c r="O42" s="52" t="n">
        <f aca="false">SUM(O10:O40)</f>
        <v>0</v>
      </c>
      <c r="P42" s="52" t="n">
        <f aca="false">SUM(P10:P40)</f>
        <v>245</v>
      </c>
      <c r="Q42" s="52" t="n">
        <f aca="false">SUM(Q10:Q40)</f>
        <v>0</v>
      </c>
      <c r="R42" s="52" t="n">
        <f aca="false">SUM(R10:R40)</f>
        <v>62</v>
      </c>
      <c r="S42" s="52" t="n">
        <f aca="false">SUM(S10:S40)</f>
        <v>307</v>
      </c>
      <c r="T42" s="52"/>
      <c r="U42" s="52" t="n">
        <f aca="false">SUM(U10:U40)</f>
        <v>0</v>
      </c>
      <c r="V42" s="52" t="n">
        <f aca="false">SUM(V10:V40)</f>
        <v>6494</v>
      </c>
      <c r="W42" s="52" t="n">
        <f aca="false">SUM(W10:W40)</f>
        <v>6801</v>
      </c>
      <c r="X42" s="52" t="n">
        <f aca="false">SUM(X10:X40)</f>
        <v>636.790017645576</v>
      </c>
      <c r="Y42" s="52" t="n">
        <f aca="false">SUM(Y10:Y40)</f>
        <v>7437.79001764558</v>
      </c>
      <c r="Z42" s="56" t="n">
        <f aca="false">SUM(Z10:Z40)</f>
        <v>0.57</v>
      </c>
      <c r="AA42" s="57" t="n">
        <f aca="false">AVERAGE(AA10:AA40)</f>
        <v>39.3548387096774</v>
      </c>
      <c r="AB42" s="57" t="n">
        <f aca="false">AVERAGE(AB10:AB40)</f>
        <v>17.0645161290323</v>
      </c>
      <c r="AC42" s="58" t="s">
        <v>45</v>
      </c>
    </row>
    <row r="43" customFormat="false" ht="11.1" hidden="false" customHeight="true" outlineLevel="0" collapsed="false">
      <c r="A43" s="51" t="s">
        <v>46</v>
      </c>
      <c r="B43" s="51"/>
      <c r="C43" s="52"/>
      <c r="D43" s="52" t="n">
        <f aca="false">SUM(D10:D40)</f>
        <v>-941</v>
      </c>
      <c r="E43" s="52"/>
      <c r="F43" s="52" t="n">
        <f aca="false">F42*$D$2</f>
        <v>-941</v>
      </c>
      <c r="G43" s="52" t="n">
        <f aca="false">G42*$D$2</f>
        <v>12190.591</v>
      </c>
      <c r="H43" s="52" t="n">
        <f aca="false">H42*$D$2</f>
        <v>922.3275</v>
      </c>
      <c r="I43" s="52" t="n">
        <f aca="false">I42*$D$2</f>
        <v>13112.9185</v>
      </c>
      <c r="J43" s="52" t="n">
        <f aca="false">J42*$D$2</f>
        <v>698.938</v>
      </c>
      <c r="K43" s="52" t="n">
        <f aca="false">K42*$D$2</f>
        <v>13811.8565</v>
      </c>
      <c r="L43" s="52" t="n">
        <f aca="false">L42*$D$2</f>
        <v>-564.135</v>
      </c>
      <c r="M43" s="52" t="n">
        <f aca="false">M42*$D$2</f>
        <v>485.9575</v>
      </c>
      <c r="N43" s="52" t="n">
        <f aca="false">N42*$D$2</f>
        <v>0</v>
      </c>
      <c r="O43" s="52" t="n">
        <f aca="false">O42*$D$2</f>
        <v>0</v>
      </c>
      <c r="P43" s="52" t="n">
        <f aca="false">P42*$D$2</f>
        <v>485.9575</v>
      </c>
      <c r="Q43" s="52" t="n">
        <f aca="false">Q42*$D$2</f>
        <v>0</v>
      </c>
      <c r="R43" s="52" t="n">
        <f aca="false">R42*$D$2</f>
        <v>122.977</v>
      </c>
      <c r="S43" s="52" t="n">
        <f aca="false">S42*$D$2</f>
        <v>608.9345</v>
      </c>
      <c r="T43" s="52"/>
      <c r="U43" s="52" t="n">
        <f aca="false">U42*$D$2</f>
        <v>0</v>
      </c>
      <c r="V43" s="52" t="n">
        <f aca="false">V42*$D$2</f>
        <v>12880.849</v>
      </c>
      <c r="W43" s="52" t="n">
        <f aca="false">W42*$D$2</f>
        <v>13489.7835</v>
      </c>
      <c r="X43" s="52" t="n">
        <f aca="false">X42*$D$2</f>
        <v>1263.073</v>
      </c>
      <c r="Y43" s="52" t="n">
        <f aca="false">Y42*$D$2</f>
        <v>14752.8565</v>
      </c>
      <c r="Z43" s="56"/>
      <c r="AA43" s="57" t="n">
        <f aca="false">MAX(AA10:AA40)</f>
        <v>48</v>
      </c>
      <c r="AB43" s="57" t="n">
        <f aca="false">MAX(AB10:AB40)</f>
        <v>30</v>
      </c>
      <c r="AC43" s="58" t="s">
        <v>47</v>
      </c>
    </row>
    <row r="44" customFormat="false" ht="3" hidden="false" customHeight="true" outlineLevel="0" collapsed="false">
      <c r="A44" s="74"/>
      <c r="B44" s="74"/>
      <c r="C44" s="76"/>
      <c r="D44" s="76"/>
      <c r="E44" s="76"/>
      <c r="F44" s="76"/>
      <c r="G44" s="76"/>
      <c r="H44" s="76"/>
      <c r="I44" s="76"/>
      <c r="J44" s="76"/>
      <c r="K44" s="76"/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76"/>
      <c r="W44" s="76"/>
      <c r="X44" s="76"/>
      <c r="Y44" s="76"/>
      <c r="Z44" s="56"/>
      <c r="AA44" s="57"/>
      <c r="AB44" s="57"/>
      <c r="AC44" s="58"/>
    </row>
    <row r="45" customFormat="false" ht="11.1" hidden="false" customHeight="true" outlineLevel="0" collapsed="false">
      <c r="A45" s="51" t="s">
        <v>48</v>
      </c>
      <c r="B45" s="51"/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6"/>
      <c r="AA45" s="57" t="n">
        <f aca="false">MIN(AA10:AA40)</f>
        <v>26</v>
      </c>
      <c r="AB45" s="57" t="n">
        <f aca="false">MIN(AB10:AB40)</f>
        <v>4</v>
      </c>
      <c r="AC45" s="58" t="s">
        <v>49</v>
      </c>
    </row>
    <row r="46" customFormat="false" ht="11.1" hidden="false" customHeight="true" outlineLevel="0" collapsed="false">
      <c r="A46" s="51" t="s">
        <v>50</v>
      </c>
      <c r="B46" s="51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6"/>
      <c r="AA46" s="57"/>
      <c r="AB46" s="57"/>
      <c r="AC46" s="58"/>
    </row>
    <row r="47" customFormat="false" ht="3" hidden="false" customHeight="true" outlineLevel="0" collapsed="false">
      <c r="A47" s="74"/>
      <c r="B47" s="74"/>
      <c r="C47" s="76"/>
      <c r="D47" s="76"/>
      <c r="E47" s="76"/>
      <c r="F47" s="76"/>
      <c r="G47" s="76"/>
      <c r="H47" s="79"/>
      <c r="I47" s="76"/>
      <c r="J47" s="76"/>
      <c r="K47" s="76"/>
      <c r="L47" s="76"/>
      <c r="M47" s="76"/>
      <c r="N47" s="76"/>
      <c r="O47" s="76"/>
      <c r="P47" s="76"/>
      <c r="Q47" s="76"/>
      <c r="R47" s="76"/>
      <c r="S47" s="76"/>
      <c r="T47" s="76"/>
      <c r="U47" s="76"/>
      <c r="V47" s="76"/>
      <c r="W47" s="76"/>
      <c r="X47" s="76"/>
      <c r="Y47" s="76"/>
      <c r="Z47" s="78"/>
      <c r="AA47" s="57"/>
      <c r="AB47" s="57"/>
      <c r="AC47" s="58"/>
    </row>
    <row r="48" customFormat="false" ht="11.1" hidden="false" customHeight="true" outlineLevel="0" collapsed="false">
      <c r="A48" s="51" t="s">
        <v>51</v>
      </c>
      <c r="B48" s="51"/>
      <c r="C48" s="52"/>
      <c r="D48" s="52"/>
      <c r="E48" s="52"/>
      <c r="F48" s="52" t="n">
        <f aca="false">F8+F42</f>
        <v>1609.27653138392</v>
      </c>
      <c r="G48" s="52" t="n">
        <f aca="false">G8+G42</f>
        <v>16084</v>
      </c>
      <c r="H48" s="57" t="n">
        <f aca="false">H8+H42</f>
        <v>1791</v>
      </c>
      <c r="I48" s="52" t="n">
        <f aca="false">I8+I42</f>
        <v>17875</v>
      </c>
      <c r="J48" s="52" t="n">
        <f aca="false">J8+J42</f>
        <v>3185.77993445929</v>
      </c>
      <c r="K48" s="52" t="n">
        <f aca="false">K8+K42</f>
        <v>21060.7799344593</v>
      </c>
      <c r="L48" s="52" t="n">
        <f aca="false">L8+L42</f>
        <v>2189.27653138392</v>
      </c>
      <c r="M48" s="52" t="n">
        <f aca="false">M8+M42</f>
        <v>1034</v>
      </c>
      <c r="N48" s="52" t="n">
        <f aca="false">N8+N42</f>
        <v>0</v>
      </c>
      <c r="O48" s="52" t="n">
        <f aca="false">O8+O42</f>
        <v>0</v>
      </c>
      <c r="P48" s="52" t="n">
        <f aca="false">P8+P42</f>
        <v>1034</v>
      </c>
      <c r="Q48" s="52" t="n">
        <f aca="false">Q8+Q42</f>
        <v>616</v>
      </c>
      <c r="R48" s="52" t="n">
        <f aca="false">R8+R42</f>
        <v>449</v>
      </c>
      <c r="S48" s="52" t="n">
        <f aca="false">S8+S42</f>
        <v>2099</v>
      </c>
      <c r="T48" s="52"/>
      <c r="U48" s="52" t="n">
        <f aca="false">U8+U42</f>
        <v>1</v>
      </c>
      <c r="V48" s="52" t="n">
        <f aca="false">V8+V42</f>
        <v>16355</v>
      </c>
      <c r="W48" s="52" t="n">
        <f aca="false">W8+W42</f>
        <v>18455</v>
      </c>
      <c r="X48" s="52" t="n">
        <f aca="false">X8+X42</f>
        <v>996.503403075372</v>
      </c>
      <c r="Y48" s="52" t="n">
        <f aca="false">Y8+Y42</f>
        <v>19451.5034030754</v>
      </c>
      <c r="Z48" s="56" t="n">
        <f aca="false">Z8+Z42</f>
        <v>2.63</v>
      </c>
      <c r="AA48" s="57"/>
      <c r="AB48" s="57"/>
      <c r="AC48" s="58"/>
    </row>
    <row r="49" customFormat="false" ht="11.1" hidden="false" customHeight="true" outlineLevel="0" collapsed="false">
      <c r="A49" s="51" t="s">
        <v>52</v>
      </c>
      <c r="B49" s="51"/>
      <c r="C49" s="52"/>
      <c r="D49" s="52" t="n">
        <f aca="false">D8+D43</f>
        <v>3192</v>
      </c>
      <c r="E49" s="52" t="n">
        <f aca="false">E40</f>
        <v>141385</v>
      </c>
      <c r="F49" s="52" t="n">
        <f aca="false">F48*$D$2</f>
        <v>3192</v>
      </c>
      <c r="G49" s="52" t="n">
        <f aca="false">G48*$D$2</f>
        <v>31902.614</v>
      </c>
      <c r="H49" s="57" t="n">
        <f aca="false">H48*$D$2</f>
        <v>3552.4485</v>
      </c>
      <c r="I49" s="52" t="n">
        <f aca="false">I48*$D$2</f>
        <v>35455.0625</v>
      </c>
      <c r="J49" s="52" t="n">
        <f aca="false">J48*$D$2</f>
        <v>6318.9945</v>
      </c>
      <c r="K49" s="52" t="n">
        <f aca="false">K48*$D$2</f>
        <v>41774.057</v>
      </c>
      <c r="L49" s="52" t="n">
        <f aca="false">L48*$D$2</f>
        <v>4342.43</v>
      </c>
      <c r="M49" s="52" t="n">
        <f aca="false">M48*$D$2</f>
        <v>2050.939</v>
      </c>
      <c r="N49" s="52" t="n">
        <f aca="false">N48*$D$2</f>
        <v>0</v>
      </c>
      <c r="O49" s="52" t="n">
        <f aca="false">O48*$D$2</f>
        <v>0</v>
      </c>
      <c r="P49" s="52" t="n">
        <f aca="false">P48*$D$2</f>
        <v>2050.939</v>
      </c>
      <c r="Q49" s="52" t="n">
        <f aca="false">Q48*$D$2</f>
        <v>1221.836</v>
      </c>
      <c r="R49" s="52" t="n">
        <f aca="false">R48*$D$2</f>
        <v>890.5915</v>
      </c>
      <c r="S49" s="52" t="n">
        <f aca="false">S48*$D$2</f>
        <v>4163.3665</v>
      </c>
      <c r="T49" s="52" t="n">
        <f aca="false">T48*$D$2</f>
        <v>0</v>
      </c>
      <c r="U49" s="52" t="n">
        <f aca="false">U48*$D$2</f>
        <v>1.9835</v>
      </c>
      <c r="V49" s="52" t="n">
        <f aca="false">V48*$D$2</f>
        <v>32440.1425</v>
      </c>
      <c r="W49" s="52" t="n">
        <f aca="false">W48*$D$2</f>
        <v>36605.4925</v>
      </c>
      <c r="X49" s="52" t="n">
        <f aca="false">X48*$D$2</f>
        <v>1976.5645</v>
      </c>
      <c r="Y49" s="52" t="n">
        <f aca="false">Y48*$D$2</f>
        <v>38582.057</v>
      </c>
      <c r="Z49" s="56"/>
      <c r="AA49" s="57"/>
      <c r="AB49" s="57"/>
      <c r="AC49" s="58"/>
    </row>
    <row r="50" customFormat="false" ht="3" hidden="false" customHeight="true" outlineLevel="0" collapsed="false">
      <c r="A50" s="74"/>
      <c r="B50" s="74"/>
      <c r="C50" s="76"/>
      <c r="D50" s="74"/>
      <c r="E50" s="76"/>
      <c r="F50" s="74"/>
      <c r="G50" s="74"/>
      <c r="H50" s="77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6"/>
      <c r="U50" s="74"/>
      <c r="V50" s="74"/>
      <c r="W50" s="74"/>
      <c r="X50" s="74"/>
      <c r="Y50" s="74"/>
      <c r="Z50" s="56"/>
      <c r="AA50" s="57"/>
      <c r="AB50" s="57"/>
      <c r="AC50" s="58"/>
    </row>
    <row r="51" customFormat="false" ht="11.1" hidden="false" customHeight="true" outlineLevel="0" collapsed="false">
      <c r="A51" s="51"/>
      <c r="B51" s="84"/>
      <c r="C51" s="52"/>
      <c r="D51" s="51"/>
      <c r="E51" s="52"/>
      <c r="F51" s="51"/>
      <c r="G51" s="51"/>
      <c r="H51" s="56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2"/>
      <c r="U51" s="51"/>
      <c r="V51" s="51"/>
      <c r="W51" s="51"/>
      <c r="X51" s="51"/>
      <c r="Y51" s="51"/>
      <c r="Z51" s="56"/>
      <c r="AA51" s="57"/>
      <c r="AB51" s="57"/>
      <c r="AC51" s="58"/>
    </row>
    <row r="52" customFormat="false" ht="11.1" hidden="false" customHeight="true" outlineLevel="0" collapsed="false">
      <c r="A52" s="51"/>
      <c r="B52" s="73"/>
      <c r="C52" s="52"/>
      <c r="D52" s="82"/>
      <c r="E52" s="52"/>
      <c r="F52" s="51"/>
      <c r="G52" s="51"/>
      <c r="H52" s="56"/>
      <c r="I52" s="53"/>
      <c r="J52" s="51"/>
      <c r="K52" s="42"/>
      <c r="L52" s="51"/>
      <c r="M52" s="51"/>
      <c r="N52" s="51"/>
      <c r="O52" s="51"/>
      <c r="P52" s="51"/>
      <c r="Q52" s="51"/>
      <c r="R52" s="51"/>
      <c r="S52" s="51"/>
      <c r="T52" s="52"/>
      <c r="U52" s="51"/>
      <c r="V52" s="51"/>
      <c r="W52" s="51"/>
      <c r="X52" s="51"/>
      <c r="Y52" s="51"/>
      <c r="Z52" s="56"/>
      <c r="AA52" s="57"/>
      <c r="AB52" s="57"/>
      <c r="AC52" s="58"/>
    </row>
    <row r="53" customFormat="false" ht="11.1" hidden="false" customHeight="true" outlineLevel="0" collapsed="false">
      <c r="A53" s="82"/>
      <c r="B53" s="82"/>
      <c r="C53" s="52"/>
      <c r="D53" s="52"/>
      <c r="E53" s="52"/>
      <c r="F53" s="82"/>
      <c r="G53" s="82"/>
      <c r="H53" s="56"/>
      <c r="I53" s="82"/>
      <c r="J53" s="82"/>
      <c r="K53" s="82"/>
      <c r="L53" s="82"/>
      <c r="M53" s="81"/>
      <c r="N53" s="81"/>
      <c r="O53" s="81"/>
      <c r="P53" s="81"/>
      <c r="Q53" s="82"/>
      <c r="R53" s="82"/>
      <c r="S53" s="82"/>
      <c r="T53" s="52"/>
      <c r="U53" s="82"/>
      <c r="V53" s="82"/>
      <c r="W53" s="82"/>
      <c r="X53" s="82"/>
      <c r="Y53" s="82"/>
      <c r="Z53" s="56"/>
      <c r="AA53" s="57"/>
      <c r="AB53" s="57"/>
      <c r="AC53" s="58"/>
    </row>
    <row r="54" customFormat="false" ht="11.1" hidden="false" customHeight="true" outlineLevel="0" collapsed="false">
      <c r="A54" s="82"/>
      <c r="B54" s="55"/>
      <c r="C54" s="52"/>
      <c r="D54" s="52"/>
      <c r="E54" s="52"/>
      <c r="F54" s="82"/>
      <c r="G54" s="82"/>
      <c r="H54" s="56"/>
      <c r="I54" s="82"/>
      <c r="J54" s="82"/>
      <c r="K54" s="82"/>
      <c r="L54" s="82"/>
      <c r="M54" s="81"/>
      <c r="N54" s="81"/>
      <c r="O54" s="81"/>
      <c r="P54" s="82"/>
      <c r="Q54" s="82"/>
      <c r="R54" s="82"/>
      <c r="S54" s="52"/>
      <c r="T54" s="82"/>
      <c r="U54" s="82"/>
      <c r="V54" s="52"/>
      <c r="W54" s="82"/>
      <c r="X54" s="82"/>
      <c r="Y54" s="55"/>
      <c r="Z54" s="56"/>
      <c r="AA54" s="57"/>
      <c r="AB54" s="58"/>
    </row>
    <row r="55" customFormat="false" ht="11.1" hidden="false" customHeight="true" outlineLevel="0" collapsed="false">
      <c r="A55" s="82"/>
      <c r="B55" s="82"/>
      <c r="C55" s="52"/>
      <c r="D55" s="82"/>
      <c r="E55" s="52"/>
      <c r="F55" s="82"/>
      <c r="G55" s="85"/>
      <c r="H55" s="56"/>
      <c r="I55" s="82"/>
      <c r="J55" s="82"/>
      <c r="K55" s="82"/>
      <c r="L55" s="82"/>
      <c r="M55" s="81"/>
      <c r="N55" s="81"/>
      <c r="O55" s="81"/>
      <c r="P55" s="82"/>
      <c r="Q55" s="82"/>
      <c r="R55" s="82"/>
      <c r="S55" s="52"/>
      <c r="T55" s="82"/>
      <c r="U55" s="82"/>
      <c r="V55" s="52"/>
      <c r="W55" s="82"/>
      <c r="X55" s="82"/>
      <c r="Y55" s="55"/>
      <c r="Z55" s="56"/>
      <c r="AA55" s="57"/>
      <c r="AB55" s="58"/>
    </row>
  </sheetData>
  <mergeCells count="2">
    <mergeCell ref="K2:T2"/>
    <mergeCell ref="M4:P4"/>
  </mergeCells>
  <printOptions headings="true" gridLines="true" gridLinesSet="true" horizontalCentered="true" verticalCentered="false"/>
  <pageMargins left="0.25" right="0.25" top="0" bottom="0" header="0.511811023622047" footer="0.511811023622047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F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9" topLeftCell="Q21" activePane="bottomRight" state="frozen"/>
      <selection pane="topLeft" activeCell="A1" activeCellId="0" sqref="A1"/>
      <selection pane="topRight" activeCell="Q1" activeCellId="0" sqref="Q1"/>
      <selection pane="bottomLeft" activeCell="A21" activeCellId="0" sqref="A21"/>
      <selection pane="bottomRight" activeCell="AB40" activeCellId="0" sqref="AB40"/>
    </sheetView>
  </sheetViews>
  <sheetFormatPr defaultColWidth="9.328125" defaultRowHeight="11.1" zeroHeight="false" outlineLevelRow="0" outlineLevelCol="0"/>
  <cols>
    <col collapsed="false" customWidth="true" hidden="false" outlineLevel="0" max="1" min="1" style="44" width="5.66"/>
    <col collapsed="false" customWidth="true" hidden="false" outlineLevel="0" max="2" min="2" style="44" width="7.82"/>
    <col collapsed="false" customWidth="true" hidden="false" outlineLevel="0" max="3" min="3" style="45" width="7.66"/>
    <col collapsed="false" customWidth="true" hidden="false" outlineLevel="0" max="4" min="4" style="44" width="6.99"/>
    <col collapsed="false" customWidth="true" hidden="false" outlineLevel="0" max="5" min="5" style="45" width="7.66"/>
    <col collapsed="false" customWidth="true" hidden="false" outlineLevel="0" max="6" min="6" style="44" width="7.66"/>
    <col collapsed="false" customWidth="true" hidden="false" outlineLevel="0" max="7" min="7" style="44" width="7.16"/>
    <col collapsed="false" customWidth="true" hidden="false" outlineLevel="0" max="8" min="8" style="86" width="6.66"/>
    <col collapsed="false" customWidth="true" hidden="false" outlineLevel="0" max="9" min="9" style="44" width="7.99"/>
    <col collapsed="false" customWidth="true" hidden="false" outlineLevel="0" max="10" min="10" style="44" width="6.66"/>
    <col collapsed="false" customWidth="true" hidden="false" outlineLevel="0" max="12" min="11" style="44" width="7.16"/>
    <col collapsed="false" customWidth="true" hidden="false" outlineLevel="0" max="13" min="13" style="86" width="6.16"/>
    <col collapsed="false" customWidth="true" hidden="true" outlineLevel="0" max="14" min="14" style="47" width="7.32"/>
    <col collapsed="false" customWidth="true" hidden="true" outlineLevel="0" max="15" min="15" style="47" width="6.49"/>
    <col collapsed="false" customWidth="true" hidden="true" outlineLevel="0" max="16" min="16" style="44" width="7.16"/>
    <col collapsed="false" customWidth="true" hidden="false" outlineLevel="0" max="17" min="17" style="44" width="6.32"/>
    <col collapsed="false" customWidth="true" hidden="false" outlineLevel="0" max="18" min="18" style="44" width="5.82"/>
    <col collapsed="false" customWidth="true" hidden="false" outlineLevel="0" max="19" min="19" style="45" width="6.82"/>
    <col collapsed="false" customWidth="true" hidden="false" outlineLevel="0" max="20" min="20" style="44" width="7.66"/>
    <col collapsed="false" customWidth="true" hidden="false" outlineLevel="0" max="21" min="21" style="44" width="5.99"/>
    <col collapsed="false" customWidth="true" hidden="false" outlineLevel="0" max="22" min="22" style="45" width="6.66"/>
    <col collapsed="false" customWidth="true" hidden="false" outlineLevel="0" max="24" min="23" style="44" width="7.82"/>
    <col collapsed="false" customWidth="true" hidden="false" outlineLevel="0" max="25" min="25" style="48" width="8.16"/>
    <col collapsed="false" customWidth="true" hidden="false" outlineLevel="0" max="26" min="26" style="46" width="4.66"/>
    <col collapsed="false" customWidth="true" hidden="false" outlineLevel="0" max="27" min="27" style="49" width="4.66"/>
    <col collapsed="false" customWidth="true" hidden="false" outlineLevel="0" max="28" min="28" style="50" width="4.66"/>
    <col collapsed="false" customWidth="true" hidden="false" outlineLevel="0" max="29" min="29" style="44" width="5.66"/>
    <col collapsed="false" customWidth="false" hidden="false" outlineLevel="0" max="257" min="30" style="44" width="9.32"/>
  </cols>
  <sheetData>
    <row r="1" customFormat="false" ht="14.1" hidden="false" customHeight="true" outlineLevel="0" collapsed="false">
      <c r="A1" s="51"/>
      <c r="B1" s="51"/>
      <c r="C1" s="52"/>
      <c r="D1" s="51"/>
      <c r="E1" s="52"/>
      <c r="F1" s="51"/>
      <c r="G1" s="51"/>
      <c r="H1" s="87"/>
      <c r="I1" s="51"/>
      <c r="J1" s="51"/>
      <c r="K1" s="54" t="s">
        <v>0</v>
      </c>
      <c r="L1" s="51"/>
      <c r="M1" s="87"/>
      <c r="N1" s="51"/>
      <c r="O1" s="51"/>
      <c r="P1" s="51"/>
      <c r="Q1" s="51"/>
      <c r="R1" s="51"/>
      <c r="S1" s="52"/>
      <c r="T1" s="51"/>
      <c r="U1" s="51"/>
      <c r="V1" s="52"/>
      <c r="W1" s="51"/>
      <c r="X1" s="51"/>
      <c r="Y1" s="55"/>
      <c r="Z1" s="56"/>
      <c r="AA1" s="57"/>
      <c r="AB1" s="58"/>
      <c r="AC1" s="88"/>
      <c r="AD1" s="88"/>
    </row>
    <row r="2" customFormat="false" ht="14.1" hidden="false" customHeight="true" outlineLevel="0" collapsed="false">
      <c r="A2" s="51" t="s">
        <v>1</v>
      </c>
      <c r="B2" s="51"/>
      <c r="C2" s="52"/>
      <c r="D2" s="59" t="n">
        <v>1.9835</v>
      </c>
      <c r="E2" s="52"/>
      <c r="F2" s="51"/>
      <c r="G2" s="51"/>
      <c r="H2" s="87"/>
      <c r="I2" s="51"/>
      <c r="J2" s="51"/>
      <c r="K2" s="60" t="s">
        <v>55</v>
      </c>
      <c r="L2" s="60"/>
      <c r="M2" s="60"/>
      <c r="N2" s="60"/>
      <c r="O2" s="60"/>
      <c r="P2" s="60"/>
      <c r="Q2" s="60"/>
      <c r="R2" s="60"/>
      <c r="S2" s="60"/>
      <c r="T2" s="60"/>
      <c r="U2" s="51"/>
      <c r="V2" s="52"/>
      <c r="W2" s="51"/>
      <c r="X2" s="51"/>
      <c r="Y2" s="55"/>
      <c r="Z2" s="56"/>
      <c r="AA2" s="57"/>
      <c r="AB2" s="58"/>
      <c r="AC2" s="88"/>
      <c r="AD2" s="88"/>
    </row>
    <row r="3" customFormat="false" ht="11.1" hidden="false" customHeight="true" outlineLevel="0" collapsed="false">
      <c r="A3" s="51"/>
      <c r="B3" s="51"/>
      <c r="C3" s="52"/>
      <c r="D3" s="61"/>
      <c r="E3" s="52"/>
      <c r="F3" s="51"/>
      <c r="G3" s="51"/>
      <c r="H3" s="87"/>
      <c r="I3" s="51"/>
      <c r="J3" s="51"/>
      <c r="K3" s="51"/>
      <c r="L3" s="51"/>
      <c r="M3" s="87"/>
      <c r="N3" s="51"/>
      <c r="O3" s="51"/>
      <c r="P3" s="51"/>
      <c r="Q3" s="51"/>
      <c r="R3" s="51"/>
      <c r="S3" s="52"/>
      <c r="T3" s="51"/>
      <c r="U3" s="51"/>
      <c r="V3" s="52"/>
      <c r="W3" s="51"/>
      <c r="X3" s="51"/>
      <c r="Y3" s="55"/>
      <c r="Z3" s="56"/>
      <c r="AA3" s="57"/>
      <c r="AB3" s="58"/>
      <c r="AC3" s="88"/>
      <c r="AD3" s="88"/>
    </row>
    <row r="4" customFormat="false" ht="11.1" hidden="false" customHeight="true" outlineLevel="0" collapsed="false">
      <c r="A4" s="62" t="s">
        <v>3</v>
      </c>
      <c r="B4" s="62" t="s">
        <v>4</v>
      </c>
      <c r="C4" s="63" t="s">
        <v>4</v>
      </c>
      <c r="D4" s="62" t="s">
        <v>5</v>
      </c>
      <c r="E4" s="63" t="s">
        <v>6</v>
      </c>
      <c r="F4" s="62" t="s">
        <v>7</v>
      </c>
      <c r="G4" s="62" t="s">
        <v>8</v>
      </c>
      <c r="H4" s="89" t="s">
        <v>9</v>
      </c>
      <c r="I4" s="62" t="s">
        <v>10</v>
      </c>
      <c r="J4" s="62" t="s">
        <v>11</v>
      </c>
      <c r="K4" s="62" t="s">
        <v>12</v>
      </c>
      <c r="L4" s="62" t="s">
        <v>11</v>
      </c>
      <c r="M4" s="89" t="s">
        <v>13</v>
      </c>
      <c r="N4" s="89"/>
      <c r="O4" s="89"/>
      <c r="P4" s="89"/>
      <c r="Q4" s="62" t="s">
        <v>14</v>
      </c>
      <c r="R4" s="62" t="s">
        <v>15</v>
      </c>
      <c r="S4" s="62" t="s">
        <v>12</v>
      </c>
      <c r="T4" s="63" t="s">
        <v>16</v>
      </c>
      <c r="U4" s="62" t="s">
        <v>17</v>
      </c>
      <c r="V4" s="62" t="s">
        <v>18</v>
      </c>
      <c r="W4" s="62" t="s">
        <v>10</v>
      </c>
      <c r="X4" s="62" t="s">
        <v>11</v>
      </c>
      <c r="Y4" s="62" t="s">
        <v>12</v>
      </c>
      <c r="Z4" s="65" t="s">
        <v>19</v>
      </c>
      <c r="AA4" s="66" t="s">
        <v>20</v>
      </c>
      <c r="AB4" s="66" t="s">
        <v>21</v>
      </c>
      <c r="AC4" s="66" t="s">
        <v>3</v>
      </c>
      <c r="AD4" s="88"/>
      <c r="AE4" s="88"/>
    </row>
    <row r="5" customFormat="false" ht="11.1" hidden="false" customHeight="true" outlineLevel="0" collapsed="false">
      <c r="A5" s="67" t="s">
        <v>56</v>
      </c>
      <c r="B5" s="62" t="s">
        <v>23</v>
      </c>
      <c r="C5" s="63" t="s">
        <v>5</v>
      </c>
      <c r="D5" s="62" t="s">
        <v>24</v>
      </c>
      <c r="E5" s="63" t="s">
        <v>25</v>
      </c>
      <c r="F5" s="62" t="s">
        <v>26</v>
      </c>
      <c r="G5" s="62" t="s">
        <v>27</v>
      </c>
      <c r="H5" s="89" t="s">
        <v>28</v>
      </c>
      <c r="I5" s="62" t="s">
        <v>29</v>
      </c>
      <c r="J5" s="62" t="s">
        <v>29</v>
      </c>
      <c r="K5" s="62" t="s">
        <v>29</v>
      </c>
      <c r="L5" s="62" t="s">
        <v>30</v>
      </c>
      <c r="M5" s="89" t="s">
        <v>31</v>
      </c>
      <c r="N5" s="62" t="s">
        <v>32</v>
      </c>
      <c r="O5" s="62" t="s">
        <v>33</v>
      </c>
      <c r="P5" s="62" t="s">
        <v>34</v>
      </c>
      <c r="Q5" s="62" t="s">
        <v>35</v>
      </c>
      <c r="R5" s="62" t="s">
        <v>36</v>
      </c>
      <c r="S5" s="62" t="s">
        <v>16</v>
      </c>
      <c r="T5" s="63" t="s">
        <v>37</v>
      </c>
      <c r="U5" s="62" t="s">
        <v>38</v>
      </c>
      <c r="V5" s="62" t="s">
        <v>39</v>
      </c>
      <c r="W5" s="62" t="s">
        <v>40</v>
      </c>
      <c r="X5" s="62" t="s">
        <v>40</v>
      </c>
      <c r="Y5" s="62" t="s">
        <v>40</v>
      </c>
      <c r="Z5" s="68"/>
      <c r="AA5" s="66" t="s">
        <v>41</v>
      </c>
      <c r="AB5" s="66" t="s">
        <v>41</v>
      </c>
      <c r="AC5" s="69" t="s">
        <v>56</v>
      </c>
      <c r="AD5" s="88"/>
      <c r="AE5" s="88"/>
    </row>
    <row r="6" customFormat="false" ht="11.1" hidden="false" customHeight="true" outlineLevel="0" collapsed="false">
      <c r="A6" s="70"/>
      <c r="B6" s="70"/>
      <c r="C6" s="71"/>
      <c r="D6" s="70"/>
      <c r="E6" s="71"/>
      <c r="F6" s="70"/>
      <c r="G6" s="70"/>
      <c r="H6" s="90"/>
      <c r="I6" s="70"/>
      <c r="J6" s="70"/>
      <c r="K6" s="70"/>
      <c r="L6" s="70"/>
      <c r="M6" s="90"/>
      <c r="N6" s="70"/>
      <c r="O6" s="70"/>
      <c r="P6" s="70"/>
      <c r="Q6" s="70"/>
      <c r="R6" s="70"/>
      <c r="S6" s="70"/>
      <c r="T6" s="71"/>
      <c r="U6" s="70"/>
      <c r="V6" s="70"/>
      <c r="W6" s="70"/>
      <c r="X6" s="70"/>
      <c r="Y6" s="70"/>
      <c r="Z6" s="56"/>
      <c r="AA6" s="58"/>
      <c r="AB6" s="58"/>
      <c r="AC6" s="58"/>
      <c r="AD6" s="91"/>
      <c r="AE6" s="91"/>
      <c r="AF6" s="92"/>
    </row>
    <row r="7" customFormat="false" ht="11.1" hidden="false" customHeight="true" outlineLevel="0" collapsed="false">
      <c r="A7" s="51" t="s">
        <v>42</v>
      </c>
      <c r="B7" s="51"/>
      <c r="C7" s="52"/>
      <c r="D7" s="52"/>
      <c r="E7" s="52"/>
      <c r="F7" s="52"/>
      <c r="G7" s="52"/>
      <c r="H7" s="87"/>
      <c r="I7" s="52"/>
      <c r="J7" s="52"/>
      <c r="K7" s="52"/>
      <c r="L7" s="52"/>
      <c r="M7" s="87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6"/>
      <c r="AA7" s="57"/>
      <c r="AB7" s="57"/>
      <c r="AC7" s="58"/>
      <c r="AD7" s="91"/>
      <c r="AE7" s="92"/>
      <c r="AF7" s="92"/>
    </row>
    <row r="8" s="45" customFormat="true" ht="11.1" hidden="false" customHeight="true" outlineLevel="0" collapsed="false">
      <c r="A8" s="52" t="s">
        <v>43</v>
      </c>
      <c r="B8" s="73" t="n">
        <f aca="false">DEC!B40</f>
        <v>6902.63</v>
      </c>
      <c r="C8" s="52" t="n">
        <f aca="false">DEC!C40</f>
        <v>293385</v>
      </c>
      <c r="D8" s="52" t="n">
        <f aca="false">DEC!$D$49</f>
        <v>3192</v>
      </c>
      <c r="E8" s="52" t="n">
        <f aca="false">DEC!$E$40</f>
        <v>141385</v>
      </c>
      <c r="F8" s="52" t="n">
        <f aca="false">DEC!F48</f>
        <v>1609.27653138392</v>
      </c>
      <c r="G8" s="52" t="n">
        <f aca="false">DEC!G48</f>
        <v>16084</v>
      </c>
      <c r="H8" s="87" t="n">
        <f aca="false">DEC!H48</f>
        <v>1791</v>
      </c>
      <c r="I8" s="52" t="n">
        <f aca="false">DEC!I48</f>
        <v>17875</v>
      </c>
      <c r="J8" s="52" t="n">
        <f aca="false">DEC!J48</f>
        <v>3185.77993445929</v>
      </c>
      <c r="K8" s="52" t="n">
        <f aca="false">DEC!K48</f>
        <v>21060.7799344593</v>
      </c>
      <c r="L8" s="52" t="n">
        <f aca="false">DEC!L48</f>
        <v>2189.27653138392</v>
      </c>
      <c r="M8" s="87" t="n">
        <f aca="false">DEC!M48</f>
        <v>1034</v>
      </c>
      <c r="N8" s="52" t="n">
        <f aca="false">DEC!N48</f>
        <v>0</v>
      </c>
      <c r="O8" s="52" t="n">
        <f aca="false">DEC!O48</f>
        <v>0</v>
      </c>
      <c r="P8" s="52" t="n">
        <f aca="false">DEC!P48</f>
        <v>1034</v>
      </c>
      <c r="Q8" s="52" t="n">
        <f aca="false">DEC!Q48</f>
        <v>616</v>
      </c>
      <c r="R8" s="52" t="n">
        <f aca="false">DEC!R48</f>
        <v>449</v>
      </c>
      <c r="S8" s="52" t="n">
        <f aca="false">DEC!S48</f>
        <v>2099</v>
      </c>
      <c r="T8" s="52" t="n">
        <f aca="false">DEC!T48</f>
        <v>0</v>
      </c>
      <c r="U8" s="52" t="n">
        <f aca="false">DEC!U48</f>
        <v>1</v>
      </c>
      <c r="V8" s="52" t="n">
        <f aca="false">DEC!V48</f>
        <v>16355</v>
      </c>
      <c r="W8" s="52" t="n">
        <f aca="false">DEC!W48</f>
        <v>18455</v>
      </c>
      <c r="X8" s="52" t="n">
        <f aca="false">DEC!X48</f>
        <v>996.503403075372</v>
      </c>
      <c r="Y8" s="52" t="n">
        <f aca="false">DEC!Y48</f>
        <v>19451.5034030754</v>
      </c>
      <c r="Z8" s="56" t="n">
        <f aca="false">DEC!Z48</f>
        <v>2.63</v>
      </c>
      <c r="AA8" s="57"/>
      <c r="AB8" s="57"/>
      <c r="AC8" s="58"/>
      <c r="AD8" s="93"/>
      <c r="AE8" s="91"/>
      <c r="AF8" s="93"/>
    </row>
    <row r="9" customFormat="false" ht="3" hidden="false" customHeight="true" outlineLevel="0" collapsed="false">
      <c r="A9" s="74"/>
      <c r="B9" s="75"/>
      <c r="C9" s="76"/>
      <c r="D9" s="74"/>
      <c r="E9" s="76"/>
      <c r="F9" s="74"/>
      <c r="G9" s="74"/>
      <c r="H9" s="94"/>
      <c r="I9" s="74"/>
      <c r="J9" s="74"/>
      <c r="K9" s="74"/>
      <c r="L9" s="74"/>
      <c r="M9" s="94"/>
      <c r="N9" s="74"/>
      <c r="O9" s="74"/>
      <c r="P9" s="74"/>
      <c r="Q9" s="74"/>
      <c r="R9" s="74"/>
      <c r="S9" s="74"/>
      <c r="T9" s="76"/>
      <c r="U9" s="74"/>
      <c r="V9" s="74"/>
      <c r="W9" s="74"/>
      <c r="X9" s="74"/>
      <c r="Y9" s="74"/>
      <c r="Z9" s="78"/>
      <c r="AA9" s="79"/>
      <c r="AB9" s="79"/>
      <c r="AC9" s="80"/>
      <c r="AD9" s="91"/>
      <c r="AE9" s="91"/>
      <c r="AF9" s="92"/>
    </row>
    <row r="10" customFormat="false" ht="11.1" hidden="false" customHeight="true" outlineLevel="0" collapsed="false">
      <c r="A10" s="58" t="n">
        <v>1</v>
      </c>
      <c r="B10" s="73" t="n">
        <v>6902.64</v>
      </c>
      <c r="C10" s="52" t="n">
        <v>293423</v>
      </c>
      <c r="D10" s="57" t="n">
        <f aca="false">C10-C8</f>
        <v>38</v>
      </c>
      <c r="E10" s="52" t="n">
        <f aca="false">C10-152000</f>
        <v>141423</v>
      </c>
      <c r="F10" s="51" t="n">
        <f aca="false">D10/$D$2</f>
        <v>19.1580539450466</v>
      </c>
      <c r="G10" s="51" t="n">
        <v>140</v>
      </c>
      <c r="H10" s="87" t="n">
        <v>4</v>
      </c>
      <c r="I10" s="51" t="n">
        <f aca="false">G10+H10</f>
        <v>144</v>
      </c>
      <c r="J10" s="81" t="n">
        <f aca="false">IF(L10&gt;0,L10,0)</f>
        <v>5.15805394504664</v>
      </c>
      <c r="K10" s="51" t="n">
        <f aca="false">I10+J10</f>
        <v>149.158053945047</v>
      </c>
      <c r="L10" s="51" t="n">
        <f aca="false">F10-(I10-W10)</f>
        <v>5.15805394504664</v>
      </c>
      <c r="M10" s="87" t="n">
        <v>4</v>
      </c>
      <c r="N10" s="51" t="n">
        <v>0</v>
      </c>
      <c r="O10" s="51" t="n">
        <v>0</v>
      </c>
      <c r="P10" s="6" t="n">
        <f aca="false">M10-(N10+O10)</f>
        <v>4</v>
      </c>
      <c r="Q10" s="51" t="n">
        <v>0</v>
      </c>
      <c r="R10" s="51" t="n">
        <v>0</v>
      </c>
      <c r="S10" s="51" t="n">
        <f aca="false">SUM(P10:R10)</f>
        <v>4</v>
      </c>
      <c r="T10" s="52"/>
      <c r="U10" s="51" t="n">
        <v>0</v>
      </c>
      <c r="V10" s="51" t="n">
        <v>126</v>
      </c>
      <c r="W10" s="6" t="n">
        <f aca="false">N10+O10+S10+U10+V10</f>
        <v>130</v>
      </c>
      <c r="X10" s="51" t="n">
        <f aca="false">IF(L10&lt;0,L10*-1,0)</f>
        <v>0</v>
      </c>
      <c r="Y10" s="51" t="n">
        <f aca="false">W10+X10</f>
        <v>130</v>
      </c>
      <c r="Z10" s="56" t="n">
        <v>0</v>
      </c>
      <c r="AA10" s="57" t="n">
        <v>38</v>
      </c>
      <c r="AB10" s="57" t="n">
        <v>10</v>
      </c>
      <c r="AC10" s="58" t="n">
        <v>1</v>
      </c>
      <c r="AD10" s="92"/>
      <c r="AE10" s="93"/>
      <c r="AF10" s="92"/>
    </row>
    <row r="11" customFormat="false" ht="11.1" hidden="false" customHeight="true" outlineLevel="0" collapsed="false">
      <c r="A11" s="58" t="n">
        <f aca="false">A10+1</f>
        <v>2</v>
      </c>
      <c r="B11" s="73" t="n">
        <v>6902.65</v>
      </c>
      <c r="C11" s="52" t="n">
        <v>293460</v>
      </c>
      <c r="D11" s="57" t="n">
        <f aca="false">C11-C10</f>
        <v>37</v>
      </c>
      <c r="E11" s="52" t="n">
        <f aca="false">C11-152000</f>
        <v>141460</v>
      </c>
      <c r="F11" s="51" t="n">
        <f aca="false">D11/$D$2</f>
        <v>18.6538946307033</v>
      </c>
      <c r="G11" s="51" t="n">
        <v>144</v>
      </c>
      <c r="H11" s="87" t="n">
        <v>2</v>
      </c>
      <c r="I11" s="51" t="n">
        <f aca="false">G11+H11</f>
        <v>146</v>
      </c>
      <c r="J11" s="81" t="n">
        <f aca="false">IF(L11&gt;0,L11,0)</f>
        <v>3.6538946307033</v>
      </c>
      <c r="K11" s="51" t="n">
        <f aca="false">I11+J11</f>
        <v>149.653894630703</v>
      </c>
      <c r="L11" s="51" t="n">
        <f aca="false">F11-(I11-W11)</f>
        <v>3.6538946307033</v>
      </c>
      <c r="M11" s="87" t="n">
        <v>4</v>
      </c>
      <c r="N11" s="51" t="n">
        <v>0</v>
      </c>
      <c r="O11" s="51" t="n">
        <v>0</v>
      </c>
      <c r="P11" s="6" t="n">
        <f aca="false">M11-(N11+O11)</f>
        <v>4</v>
      </c>
      <c r="Q11" s="51" t="n">
        <v>0</v>
      </c>
      <c r="R11" s="51" t="n">
        <v>0</v>
      </c>
      <c r="S11" s="51" t="n">
        <f aca="false">SUM(P11:R11)</f>
        <v>4</v>
      </c>
      <c r="T11" s="52"/>
      <c r="U11" s="51" t="n">
        <v>0</v>
      </c>
      <c r="V11" s="51" t="n">
        <v>127</v>
      </c>
      <c r="W11" s="6" t="n">
        <f aca="false">N11+O11+S11+U11+V11</f>
        <v>131</v>
      </c>
      <c r="X11" s="51" t="n">
        <f aca="false">IF(L11&lt;0,L11*-1,0)</f>
        <v>0</v>
      </c>
      <c r="Y11" s="51" t="n">
        <f aca="false">W11+X11</f>
        <v>131</v>
      </c>
      <c r="Z11" s="56" t="n">
        <v>0</v>
      </c>
      <c r="AA11" s="57" t="n">
        <v>40</v>
      </c>
      <c r="AB11" s="57" t="n">
        <v>12</v>
      </c>
      <c r="AC11" s="58" t="n">
        <f aca="false">AC10+1</f>
        <v>2</v>
      </c>
      <c r="AD11" s="92"/>
      <c r="AE11" s="93"/>
      <c r="AF11" s="92"/>
    </row>
    <row r="12" customFormat="false" ht="11.1" hidden="false" customHeight="true" outlineLevel="0" collapsed="false">
      <c r="A12" s="58" t="n">
        <f aca="false">A11+1</f>
        <v>3</v>
      </c>
      <c r="B12" s="73" t="n">
        <v>6902.67</v>
      </c>
      <c r="C12" s="52" t="n">
        <v>293536</v>
      </c>
      <c r="D12" s="57" t="n">
        <f aca="false">C12-C11</f>
        <v>76</v>
      </c>
      <c r="E12" s="52" t="n">
        <f aca="false">C12-152000</f>
        <v>141536</v>
      </c>
      <c r="F12" s="51" t="n">
        <f aca="false">D12/$D$2</f>
        <v>38.3161078900933</v>
      </c>
      <c r="G12" s="51" t="n">
        <v>151</v>
      </c>
      <c r="H12" s="87" t="n">
        <v>14</v>
      </c>
      <c r="I12" s="51" t="n">
        <f aca="false">G12+H12</f>
        <v>165</v>
      </c>
      <c r="J12" s="81" t="n">
        <f aca="false">IF(L12&gt;0,L12,0)</f>
        <v>4.31610789009327</v>
      </c>
      <c r="K12" s="51" t="n">
        <f aca="false">I12+J12</f>
        <v>169.316107890093</v>
      </c>
      <c r="L12" s="51" t="n">
        <f aca="false">F12-(I12-W12)</f>
        <v>4.31610789009327</v>
      </c>
      <c r="M12" s="87" t="n">
        <v>4</v>
      </c>
      <c r="N12" s="51" t="n">
        <v>0</v>
      </c>
      <c r="O12" s="51" t="n">
        <v>0</v>
      </c>
      <c r="P12" s="6" t="n">
        <f aca="false">M12-(N12+O12)</f>
        <v>4</v>
      </c>
      <c r="Q12" s="51" t="n">
        <v>0</v>
      </c>
      <c r="R12" s="51" t="n">
        <v>0</v>
      </c>
      <c r="S12" s="51" t="n">
        <f aca="false">SUM(P12:R12)</f>
        <v>4</v>
      </c>
      <c r="T12" s="52"/>
      <c r="U12" s="51" t="n">
        <v>0</v>
      </c>
      <c r="V12" s="51" t="n">
        <v>127</v>
      </c>
      <c r="W12" s="6" t="n">
        <f aca="false">N12+O12+S12+U12+V12</f>
        <v>131</v>
      </c>
      <c r="X12" s="51" t="n">
        <f aca="false">IF(L12&lt;0,L12*-1,0)</f>
        <v>0</v>
      </c>
      <c r="Y12" s="51" t="n">
        <f aca="false">W12+X12</f>
        <v>131</v>
      </c>
      <c r="Z12" s="56" t="n">
        <v>0</v>
      </c>
      <c r="AA12" s="57" t="n">
        <v>44</v>
      </c>
      <c r="AB12" s="57" t="n">
        <v>13</v>
      </c>
      <c r="AC12" s="58" t="n">
        <f aca="false">AC11+1</f>
        <v>3</v>
      </c>
      <c r="AD12" s="92"/>
      <c r="AE12" s="93"/>
      <c r="AF12" s="92"/>
    </row>
    <row r="13" customFormat="false" ht="11.1" hidden="false" customHeight="true" outlineLevel="0" collapsed="false">
      <c r="A13" s="58" t="n">
        <f aca="false">A12+1</f>
        <v>4</v>
      </c>
      <c r="B13" s="73" t="n">
        <v>6902.69</v>
      </c>
      <c r="C13" s="52" t="n">
        <v>293611</v>
      </c>
      <c r="D13" s="57" t="n">
        <f aca="false">C13-C12</f>
        <v>75</v>
      </c>
      <c r="E13" s="52" t="n">
        <f aca="false">C13-152000</f>
        <v>141611</v>
      </c>
      <c r="F13" s="51" t="n">
        <f aca="false">D13/$D$2</f>
        <v>37.8119485757499</v>
      </c>
      <c r="G13" s="51" t="n">
        <v>162</v>
      </c>
      <c r="H13" s="87" t="n">
        <v>3</v>
      </c>
      <c r="I13" s="51" t="n">
        <f aca="false">G13+H13</f>
        <v>165</v>
      </c>
      <c r="J13" s="81" t="n">
        <f aca="false">IF(L13&gt;0,L13,0)</f>
        <v>3.81194857574994</v>
      </c>
      <c r="K13" s="51" t="n">
        <f aca="false">I13+J13</f>
        <v>168.81194857575</v>
      </c>
      <c r="L13" s="51" t="n">
        <f aca="false">F13-(I13-W13)</f>
        <v>3.81194857574994</v>
      </c>
      <c r="M13" s="87" t="n">
        <v>4</v>
      </c>
      <c r="N13" s="51" t="n">
        <v>0</v>
      </c>
      <c r="O13" s="51" t="n">
        <v>0</v>
      </c>
      <c r="P13" s="6" t="n">
        <f aca="false">M13-(N13+O13)</f>
        <v>4</v>
      </c>
      <c r="Q13" s="51" t="n">
        <v>0</v>
      </c>
      <c r="R13" s="51" t="n">
        <v>0</v>
      </c>
      <c r="S13" s="51" t="n">
        <f aca="false">SUM(P13:R13)</f>
        <v>4</v>
      </c>
      <c r="T13" s="52"/>
      <c r="U13" s="51" t="n">
        <v>0</v>
      </c>
      <c r="V13" s="51" t="n">
        <v>127</v>
      </c>
      <c r="W13" s="6" t="n">
        <f aca="false">N13+O13+S13+U13+V13</f>
        <v>131</v>
      </c>
      <c r="X13" s="51" t="n">
        <f aca="false">IF(L13&lt;0,L13*-1,0)</f>
        <v>0</v>
      </c>
      <c r="Y13" s="51" t="n">
        <f aca="false">W13+X13</f>
        <v>131</v>
      </c>
      <c r="Z13" s="56" t="n">
        <v>0</v>
      </c>
      <c r="AA13" s="57" t="n">
        <v>47</v>
      </c>
      <c r="AB13" s="57" t="n">
        <v>26</v>
      </c>
      <c r="AC13" s="58" t="n">
        <f aca="false">AC12+1</f>
        <v>4</v>
      </c>
      <c r="AD13" s="92"/>
      <c r="AE13" s="93"/>
      <c r="AF13" s="92"/>
    </row>
    <row r="14" customFormat="false" ht="11.1" hidden="false" customHeight="true" outlineLevel="0" collapsed="false">
      <c r="A14" s="58" t="n">
        <f aca="false">A13+1</f>
        <v>5</v>
      </c>
      <c r="B14" s="73" t="n">
        <v>6902.68</v>
      </c>
      <c r="C14" s="52" t="n">
        <v>293573</v>
      </c>
      <c r="D14" s="57" t="n">
        <f aca="false">C14-C13</f>
        <v>-38</v>
      </c>
      <c r="E14" s="52" t="n">
        <f aca="false">C14-152000</f>
        <v>141573</v>
      </c>
      <c r="F14" s="51" t="n">
        <f aca="false">D14/$D$2</f>
        <v>-19.1580539450466</v>
      </c>
      <c r="G14" s="51" t="n">
        <v>105</v>
      </c>
      <c r="H14" s="87" t="n">
        <v>3</v>
      </c>
      <c r="I14" s="51" t="n">
        <f aca="false">G14+H14</f>
        <v>108</v>
      </c>
      <c r="J14" s="81" t="n">
        <f aca="false">IF(L14&gt;0,L14,0)</f>
        <v>3.84194605495336</v>
      </c>
      <c r="K14" s="51" t="n">
        <f aca="false">I14+J14</f>
        <v>111.841946054953</v>
      </c>
      <c r="L14" s="51" t="n">
        <f aca="false">F14-(I14-W14)</f>
        <v>3.84194605495336</v>
      </c>
      <c r="M14" s="87" t="n">
        <v>4</v>
      </c>
      <c r="N14" s="51" t="n">
        <v>0</v>
      </c>
      <c r="O14" s="51" t="n">
        <v>0</v>
      </c>
      <c r="P14" s="6" t="n">
        <f aca="false">M14-(N14+O14)</f>
        <v>4</v>
      </c>
      <c r="Q14" s="51" t="n">
        <v>0</v>
      </c>
      <c r="R14" s="51" t="n">
        <v>0</v>
      </c>
      <c r="S14" s="51" t="n">
        <f aca="false">SUM(P14:R14)</f>
        <v>4</v>
      </c>
      <c r="T14" s="52"/>
      <c r="U14" s="51" t="n">
        <v>0</v>
      </c>
      <c r="V14" s="51" t="n">
        <v>127</v>
      </c>
      <c r="W14" s="6" t="n">
        <f aca="false">N14+O14+S14+U14+V14</f>
        <v>131</v>
      </c>
      <c r="X14" s="51" t="n">
        <f aca="false">IF(L14&lt;0,L14*-1,0)</f>
        <v>0</v>
      </c>
      <c r="Y14" s="51" t="n">
        <f aca="false">W14+X14</f>
        <v>131</v>
      </c>
      <c r="Z14" s="56" t="n">
        <v>0.07</v>
      </c>
      <c r="AA14" s="57" t="n">
        <v>40</v>
      </c>
      <c r="AB14" s="57" t="n">
        <v>34</v>
      </c>
      <c r="AC14" s="58" t="n">
        <f aca="false">AC13+1</f>
        <v>5</v>
      </c>
      <c r="AD14" s="92"/>
      <c r="AE14" s="93"/>
      <c r="AF14" s="92"/>
    </row>
    <row r="15" customFormat="false" ht="11.1" hidden="false" customHeight="true" outlineLevel="0" collapsed="false">
      <c r="A15" s="58" t="n">
        <f aca="false">A14+1</f>
        <v>6</v>
      </c>
      <c r="B15" s="73" t="n">
        <v>6902.68</v>
      </c>
      <c r="C15" s="52" t="n">
        <v>293573</v>
      </c>
      <c r="D15" s="57" t="n">
        <f aca="false">C15-C14</f>
        <v>0</v>
      </c>
      <c r="E15" s="52" t="n">
        <f aca="false">C15-152000</f>
        <v>141573</v>
      </c>
      <c r="F15" s="51" t="n">
        <f aca="false">D15/$D$2</f>
        <v>0</v>
      </c>
      <c r="G15" s="51" t="n">
        <v>124</v>
      </c>
      <c r="H15" s="87" t="n">
        <v>3</v>
      </c>
      <c r="I15" s="51" t="n">
        <f aca="false">G15+H15</f>
        <v>127</v>
      </c>
      <c r="J15" s="81" t="n">
        <f aca="false">IF(L15&gt;0,L15,0)</f>
        <v>4</v>
      </c>
      <c r="K15" s="51" t="n">
        <f aca="false">I15+J15</f>
        <v>131</v>
      </c>
      <c r="L15" s="51" t="n">
        <f aca="false">F15-(I15-W15)</f>
        <v>4</v>
      </c>
      <c r="M15" s="87" t="n">
        <v>4</v>
      </c>
      <c r="N15" s="51" t="n">
        <v>0</v>
      </c>
      <c r="O15" s="51" t="n">
        <v>0</v>
      </c>
      <c r="P15" s="6" t="n">
        <f aca="false">M15-(N15+O15)</f>
        <v>4</v>
      </c>
      <c r="Q15" s="51" t="n">
        <v>0</v>
      </c>
      <c r="R15" s="51" t="n">
        <v>0</v>
      </c>
      <c r="S15" s="51" t="n">
        <f aca="false">SUM(P15:R15)</f>
        <v>4</v>
      </c>
      <c r="T15" s="52"/>
      <c r="U15" s="51" t="n">
        <v>0</v>
      </c>
      <c r="V15" s="51" t="n">
        <v>127</v>
      </c>
      <c r="W15" s="6" t="n">
        <f aca="false">N15+O15+S15+U15+V15</f>
        <v>131</v>
      </c>
      <c r="X15" s="51" t="n">
        <f aca="false">IF(L15&lt;0,L15*-1,0)</f>
        <v>0</v>
      </c>
      <c r="Y15" s="51" t="n">
        <f aca="false">W15+X15</f>
        <v>131</v>
      </c>
      <c r="Z15" s="56" t="n">
        <v>0</v>
      </c>
      <c r="AA15" s="57" t="n">
        <v>30</v>
      </c>
      <c r="AB15" s="57" t="n">
        <v>22</v>
      </c>
      <c r="AC15" s="58" t="n">
        <f aca="false">AC14+1</f>
        <v>6</v>
      </c>
      <c r="AD15" s="91"/>
      <c r="AE15" s="93"/>
      <c r="AF15" s="92"/>
    </row>
    <row r="16" customFormat="false" ht="11.1" hidden="false" customHeight="true" outlineLevel="0" collapsed="false">
      <c r="A16" s="58" t="n">
        <f aca="false">A15+1</f>
        <v>7</v>
      </c>
      <c r="B16" s="73" t="n">
        <v>6902.69</v>
      </c>
      <c r="C16" s="52" t="n">
        <v>293611</v>
      </c>
      <c r="D16" s="57" t="n">
        <f aca="false">C16-C15</f>
        <v>38</v>
      </c>
      <c r="E16" s="52" t="n">
        <f aca="false">C16-152000</f>
        <v>141611</v>
      </c>
      <c r="F16" s="51" t="n">
        <f aca="false">D16/$D$2</f>
        <v>19.1580539450466</v>
      </c>
      <c r="G16" s="51" t="n">
        <v>142</v>
      </c>
      <c r="H16" s="87" t="n">
        <v>4</v>
      </c>
      <c r="I16" s="51" t="n">
        <f aca="false">G16+H16</f>
        <v>146</v>
      </c>
      <c r="J16" s="81" t="n">
        <f aca="false">IF(L16&gt;0,L16,0)</f>
        <v>4.15805394504664</v>
      </c>
      <c r="K16" s="51" t="n">
        <f aca="false">I16+J16</f>
        <v>150.158053945047</v>
      </c>
      <c r="L16" s="51" t="n">
        <f aca="false">F16-(I16-W16)</f>
        <v>4.15805394504664</v>
      </c>
      <c r="M16" s="87" t="n">
        <v>4</v>
      </c>
      <c r="N16" s="51" t="n">
        <v>0</v>
      </c>
      <c r="O16" s="51" t="n">
        <v>0</v>
      </c>
      <c r="P16" s="6" t="n">
        <f aca="false">M16-(N16+O16)</f>
        <v>4</v>
      </c>
      <c r="Q16" s="51" t="n">
        <v>0</v>
      </c>
      <c r="R16" s="51" t="n">
        <v>0</v>
      </c>
      <c r="S16" s="51" t="n">
        <f aca="false">SUM(P16:R16)</f>
        <v>4</v>
      </c>
      <c r="T16" s="52"/>
      <c r="U16" s="51" t="n">
        <v>0</v>
      </c>
      <c r="V16" s="51" t="n">
        <v>127</v>
      </c>
      <c r="W16" s="6" t="n">
        <f aca="false">N16+O16+S16+U16+V16</f>
        <v>131</v>
      </c>
      <c r="X16" s="51" t="n">
        <f aca="false">IF(L16&lt;0,L16*-1,0)</f>
        <v>0</v>
      </c>
      <c r="Y16" s="51" t="n">
        <f aca="false">W16+X16</f>
        <v>131</v>
      </c>
      <c r="Z16" s="56" t="n">
        <v>0.42</v>
      </c>
      <c r="AA16" s="57" t="n">
        <v>32</v>
      </c>
      <c r="AB16" s="57" t="n">
        <v>18</v>
      </c>
      <c r="AC16" s="58" t="n">
        <f aca="false">AC15+1</f>
        <v>7</v>
      </c>
      <c r="AD16" s="91"/>
      <c r="AE16" s="93"/>
      <c r="AF16" s="92"/>
    </row>
    <row r="17" customFormat="false" ht="11.1" hidden="false" customHeight="true" outlineLevel="0" collapsed="false">
      <c r="A17" s="58" t="n">
        <f aca="false">A16+1</f>
        <v>8</v>
      </c>
      <c r="B17" s="73" t="n">
        <v>6902.7</v>
      </c>
      <c r="C17" s="52" t="n">
        <v>293649</v>
      </c>
      <c r="D17" s="57" t="n">
        <f aca="false">C17-C16</f>
        <v>38</v>
      </c>
      <c r="E17" s="52" t="n">
        <f aca="false">C17-152000</f>
        <v>141649</v>
      </c>
      <c r="F17" s="51" t="n">
        <f aca="false">D17/$D$2</f>
        <v>19.1580539450466</v>
      </c>
      <c r="G17" s="51" t="n">
        <v>142</v>
      </c>
      <c r="H17" s="87" t="n">
        <v>4</v>
      </c>
      <c r="I17" s="51" t="n">
        <v>36</v>
      </c>
      <c r="J17" s="81" t="n">
        <f aca="false">IF(L17&gt;0,L17,0)</f>
        <v>114.158053945047</v>
      </c>
      <c r="K17" s="51" t="n">
        <f aca="false">I17+J17</f>
        <v>150.158053945047</v>
      </c>
      <c r="L17" s="51" t="n">
        <f aca="false">F17-(I17-W17)</f>
        <v>114.158053945047</v>
      </c>
      <c r="M17" s="87" t="n">
        <v>4</v>
      </c>
      <c r="N17" s="51" t="n">
        <v>0</v>
      </c>
      <c r="O17" s="51" t="n">
        <v>0</v>
      </c>
      <c r="P17" s="6" t="n">
        <f aca="false">M17-(N17+O17)</f>
        <v>4</v>
      </c>
      <c r="Q17" s="51" t="n">
        <v>0</v>
      </c>
      <c r="R17" s="51" t="n">
        <v>0</v>
      </c>
      <c r="S17" s="51" t="n">
        <f aca="false">SUM(P17:R17)</f>
        <v>4</v>
      </c>
      <c r="T17" s="52"/>
      <c r="U17" s="51" t="n">
        <v>0</v>
      </c>
      <c r="V17" s="51" t="n">
        <v>127</v>
      </c>
      <c r="W17" s="6" t="n">
        <f aca="false">N17+O17+S17+U17+V17</f>
        <v>131</v>
      </c>
      <c r="X17" s="51" t="n">
        <f aca="false">IF(L17&lt;0,L17*-1,0)</f>
        <v>0</v>
      </c>
      <c r="Y17" s="51" t="n">
        <f aca="false">W17+X17</f>
        <v>131</v>
      </c>
      <c r="Z17" s="56" t="n">
        <v>0</v>
      </c>
      <c r="AA17" s="57" t="n">
        <v>29</v>
      </c>
      <c r="AB17" s="57" t="n">
        <v>19</v>
      </c>
      <c r="AC17" s="58" t="n">
        <f aca="false">AC16+1</f>
        <v>8</v>
      </c>
      <c r="AD17" s="91"/>
      <c r="AE17" s="93"/>
      <c r="AF17" s="92"/>
    </row>
    <row r="18" customFormat="false" ht="11.1" hidden="false" customHeight="true" outlineLevel="0" collapsed="false">
      <c r="A18" s="58" t="n">
        <f aca="false">A17+1</f>
        <v>9</v>
      </c>
      <c r="B18" s="73" t="n">
        <v>6902.69</v>
      </c>
      <c r="C18" s="52" t="n">
        <v>293611</v>
      </c>
      <c r="D18" s="57" t="n">
        <f aca="false">C18-C17</f>
        <v>-38</v>
      </c>
      <c r="E18" s="52" t="n">
        <f aca="false">C18-152000</f>
        <v>141611</v>
      </c>
      <c r="F18" s="51" t="n">
        <f aca="false">D18/$D$2</f>
        <v>-19.1580539450466</v>
      </c>
      <c r="G18" s="51" t="n">
        <v>97</v>
      </c>
      <c r="H18" s="87" t="n">
        <v>11</v>
      </c>
      <c r="I18" s="51" t="n">
        <v>36</v>
      </c>
      <c r="J18" s="81" t="n">
        <f aca="false">IF(L18&gt;0,L18,0)</f>
        <v>75.8419460549534</v>
      </c>
      <c r="K18" s="51" t="n">
        <f aca="false">I18+J18</f>
        <v>111.841946054953</v>
      </c>
      <c r="L18" s="51" t="n">
        <f aca="false">F18-(I18-W18)</f>
        <v>75.8419460549534</v>
      </c>
      <c r="M18" s="87" t="n">
        <v>4</v>
      </c>
      <c r="N18" s="51" t="n">
        <v>0</v>
      </c>
      <c r="O18" s="51" t="n">
        <v>0</v>
      </c>
      <c r="P18" s="6" t="n">
        <f aca="false">M18-(N18+O18)</f>
        <v>4</v>
      </c>
      <c r="Q18" s="51" t="n">
        <v>0</v>
      </c>
      <c r="R18" s="51" t="n">
        <v>0</v>
      </c>
      <c r="S18" s="51" t="n">
        <f aca="false">SUM(P18:R18)</f>
        <v>4</v>
      </c>
      <c r="T18" s="52"/>
      <c r="U18" s="51" t="n">
        <v>0</v>
      </c>
      <c r="V18" s="51" t="n">
        <v>127</v>
      </c>
      <c r="W18" s="6" t="n">
        <f aca="false">N18+O18+S18+U18+V18</f>
        <v>131</v>
      </c>
      <c r="X18" s="51" t="n">
        <f aca="false">IF(L18&lt;0,L18*-1,0)</f>
        <v>0</v>
      </c>
      <c r="Y18" s="51" t="n">
        <f aca="false">W18+X18</f>
        <v>131</v>
      </c>
      <c r="Z18" s="56" t="n">
        <v>0</v>
      </c>
      <c r="AA18" s="82" t="n">
        <v>32</v>
      </c>
      <c r="AB18" s="57" t="n">
        <v>-2</v>
      </c>
      <c r="AC18" s="58" t="n">
        <f aca="false">AC17+1</f>
        <v>9</v>
      </c>
      <c r="AD18" s="91"/>
      <c r="AE18" s="93"/>
      <c r="AF18" s="92"/>
    </row>
    <row r="19" customFormat="false" ht="11.1" hidden="false" customHeight="true" outlineLevel="0" collapsed="false">
      <c r="A19" s="58" t="n">
        <f aca="false">A18+1</f>
        <v>10</v>
      </c>
      <c r="B19" s="73" t="n">
        <v>6902.683</v>
      </c>
      <c r="C19" s="52" t="n">
        <v>293573</v>
      </c>
      <c r="D19" s="57" t="n">
        <f aca="false">C19-C18</f>
        <v>-38</v>
      </c>
      <c r="E19" s="52" t="n">
        <f aca="false">C19-152000</f>
        <v>141573</v>
      </c>
      <c r="F19" s="51" t="n">
        <f aca="false">D19/$D$2</f>
        <v>-19.1580539450466</v>
      </c>
      <c r="G19" s="51" t="n">
        <v>96</v>
      </c>
      <c r="H19" s="87" t="n">
        <v>12</v>
      </c>
      <c r="I19" s="51" t="n">
        <v>49.6</v>
      </c>
      <c r="J19" s="81" t="n">
        <f aca="false">IF(L19&gt;0,L19,0)</f>
        <v>62.2419460549534</v>
      </c>
      <c r="K19" s="51" t="n">
        <f aca="false">I19+J19</f>
        <v>111.841946054953</v>
      </c>
      <c r="L19" s="51" t="n">
        <f aca="false">F19-(I19-W19)</f>
        <v>62.2419460549534</v>
      </c>
      <c r="M19" s="87" t="n">
        <v>4</v>
      </c>
      <c r="N19" s="51" t="n">
        <v>0</v>
      </c>
      <c r="O19" s="51" t="n">
        <v>0</v>
      </c>
      <c r="P19" s="6" t="n">
        <f aca="false">M19-(N19+O19)</f>
        <v>4</v>
      </c>
      <c r="Q19" s="51" t="n">
        <v>0</v>
      </c>
      <c r="R19" s="51" t="n">
        <v>0</v>
      </c>
      <c r="S19" s="51" t="n">
        <f aca="false">SUM(P19:R19)</f>
        <v>4</v>
      </c>
      <c r="T19" s="52"/>
      <c r="U19" s="51" t="n">
        <v>0</v>
      </c>
      <c r="V19" s="51" t="n">
        <v>127</v>
      </c>
      <c r="W19" s="6" t="n">
        <f aca="false">N19+O19+S19+U19+V19</f>
        <v>131</v>
      </c>
      <c r="X19" s="51" t="n">
        <f aca="false">IF(L19&lt;0,L19*-1,0)</f>
        <v>0</v>
      </c>
      <c r="Y19" s="51" t="n">
        <f aca="false">W19+X19</f>
        <v>131</v>
      </c>
      <c r="Z19" s="56" t="n">
        <v>0</v>
      </c>
      <c r="AA19" s="57" t="n">
        <v>36</v>
      </c>
      <c r="AB19" s="57" t="n">
        <v>0</v>
      </c>
      <c r="AC19" s="58" t="n">
        <f aca="false">AC18+1</f>
        <v>10</v>
      </c>
      <c r="AD19" s="91"/>
      <c r="AE19" s="93"/>
      <c r="AF19" s="92"/>
    </row>
    <row r="20" customFormat="false" ht="11.1" hidden="false" customHeight="true" outlineLevel="0" collapsed="false">
      <c r="A20" s="58" t="n">
        <f aca="false">A19+1</f>
        <v>11</v>
      </c>
      <c r="B20" s="73" t="n">
        <v>6902.67</v>
      </c>
      <c r="C20" s="52" t="n">
        <v>293536</v>
      </c>
      <c r="D20" s="57" t="n">
        <f aca="false">C20-C19</f>
        <v>-37</v>
      </c>
      <c r="E20" s="52" t="n">
        <f aca="false">C20-152000</f>
        <v>141536</v>
      </c>
      <c r="F20" s="51" t="n">
        <f aca="false">D20/$D$2</f>
        <v>-18.6538946307033</v>
      </c>
      <c r="G20" s="51" t="n">
        <v>101</v>
      </c>
      <c r="H20" s="87" t="n">
        <v>6</v>
      </c>
      <c r="I20" s="51" t="n">
        <v>31.1</v>
      </c>
      <c r="J20" s="81" t="n">
        <f aca="false">IF(L20&gt;0,L20,0)</f>
        <v>81.2461053692967</v>
      </c>
      <c r="K20" s="51" t="n">
        <f aca="false">I20+J20</f>
        <v>112.346105369297</v>
      </c>
      <c r="L20" s="51" t="n">
        <f aca="false">F20-(I20-W20)</f>
        <v>81.2461053692967</v>
      </c>
      <c r="M20" s="87" t="n">
        <v>4</v>
      </c>
      <c r="N20" s="51" t="n">
        <v>0</v>
      </c>
      <c r="O20" s="51" t="n">
        <v>0</v>
      </c>
      <c r="P20" s="6" t="n">
        <f aca="false">M20-(N20+O20)</f>
        <v>4</v>
      </c>
      <c r="Q20" s="51" t="n">
        <v>0</v>
      </c>
      <c r="R20" s="51" t="n">
        <v>0</v>
      </c>
      <c r="S20" s="51" t="n">
        <f aca="false">SUM(P20:R20)</f>
        <v>4</v>
      </c>
      <c r="T20" s="52"/>
      <c r="U20" s="51" t="n">
        <v>0</v>
      </c>
      <c r="V20" s="51" t="n">
        <v>127</v>
      </c>
      <c r="W20" s="6" t="n">
        <f aca="false">N20+O20+S20+U20+V20</f>
        <v>131</v>
      </c>
      <c r="X20" s="51" t="n">
        <f aca="false">IF(L20&lt;0,L20*-1,0)</f>
        <v>0</v>
      </c>
      <c r="Y20" s="51" t="n">
        <f aca="false">W20+X20</f>
        <v>131</v>
      </c>
      <c r="Z20" s="56" t="n">
        <v>0</v>
      </c>
      <c r="AA20" s="57" t="n">
        <v>40</v>
      </c>
      <c r="AB20" s="57" t="n">
        <v>10</v>
      </c>
      <c r="AC20" s="58" t="n">
        <f aca="false">AC19+1</f>
        <v>11</v>
      </c>
      <c r="AD20" s="91"/>
      <c r="AE20" s="93"/>
      <c r="AF20" s="92"/>
    </row>
    <row r="21" customFormat="false" ht="11.1" hidden="false" customHeight="true" outlineLevel="0" collapsed="false">
      <c r="A21" s="58" t="n">
        <f aca="false">A20+1</f>
        <v>12</v>
      </c>
      <c r="B21" s="73" t="n">
        <v>6902.68</v>
      </c>
      <c r="C21" s="52" t="n">
        <v>293573</v>
      </c>
      <c r="D21" s="57" t="n">
        <f aca="false">C21-C20</f>
        <v>37</v>
      </c>
      <c r="E21" s="52" t="n">
        <f aca="false">C21-152000</f>
        <v>141573</v>
      </c>
      <c r="F21" s="51" t="n">
        <f aca="false">D21/$D$2</f>
        <v>18.6538946307033</v>
      </c>
      <c r="G21" s="51" t="n">
        <v>141</v>
      </c>
      <c r="H21" s="87" t="n">
        <v>5</v>
      </c>
      <c r="I21" s="51" t="n">
        <v>34.1</v>
      </c>
      <c r="J21" s="81" t="n">
        <f aca="false">IF(L21&gt;0,L21,0)</f>
        <v>115.553894630703</v>
      </c>
      <c r="K21" s="51" t="n">
        <f aca="false">I21+J21</f>
        <v>149.653894630703</v>
      </c>
      <c r="L21" s="51" t="n">
        <f aca="false">F21-(I21-W21)</f>
        <v>115.553894630703</v>
      </c>
      <c r="M21" s="87" t="n">
        <v>4</v>
      </c>
      <c r="N21" s="51" t="n">
        <v>0</v>
      </c>
      <c r="O21" s="51" t="n">
        <v>0</v>
      </c>
      <c r="P21" s="6" t="n">
        <f aca="false">M21-(N21+O21)</f>
        <v>4</v>
      </c>
      <c r="Q21" s="51" t="n">
        <v>0</v>
      </c>
      <c r="R21" s="51" t="n">
        <v>0</v>
      </c>
      <c r="S21" s="51" t="n">
        <f aca="false">SUM(P21:R21)</f>
        <v>4</v>
      </c>
      <c r="T21" s="52"/>
      <c r="U21" s="51" t="n">
        <v>0</v>
      </c>
      <c r="V21" s="51" t="n">
        <v>127</v>
      </c>
      <c r="W21" s="6" t="n">
        <f aca="false">N21+O21+S21+U21+V21</f>
        <v>131</v>
      </c>
      <c r="X21" s="51" t="n">
        <f aca="false">IF(L21&lt;0,L21*-1,0)</f>
        <v>0</v>
      </c>
      <c r="Y21" s="51" t="n">
        <f aca="false">W21+X21</f>
        <v>131</v>
      </c>
      <c r="Z21" s="56" t="n">
        <v>0</v>
      </c>
      <c r="AA21" s="57" t="n">
        <v>48</v>
      </c>
      <c r="AB21" s="57" t="n">
        <v>10</v>
      </c>
      <c r="AC21" s="58" t="n">
        <f aca="false">AC20+1</f>
        <v>12</v>
      </c>
      <c r="AD21" s="91"/>
      <c r="AE21" s="93"/>
      <c r="AF21" s="92"/>
    </row>
    <row r="22" customFormat="false" ht="11.1" hidden="false" customHeight="true" outlineLevel="0" collapsed="false">
      <c r="A22" s="58" t="n">
        <v>13</v>
      </c>
      <c r="B22" s="73" t="n">
        <v>6902.69</v>
      </c>
      <c r="C22" s="52" t="n">
        <v>293611</v>
      </c>
      <c r="D22" s="57" t="n">
        <f aca="false">C22-C21</f>
        <v>38</v>
      </c>
      <c r="E22" s="52" t="n">
        <f aca="false">C22-152000</f>
        <v>141611</v>
      </c>
      <c r="F22" s="51" t="n">
        <f aca="false">D22/$D$2</f>
        <v>19.1580539450466</v>
      </c>
      <c r="G22" s="51" t="n">
        <v>143</v>
      </c>
      <c r="H22" s="87" t="n">
        <v>4</v>
      </c>
      <c r="I22" s="51" t="n">
        <v>34.1</v>
      </c>
      <c r="J22" s="81" t="n">
        <f aca="false">IF(L22&gt;0,L22,0)</f>
        <v>117.058053945047</v>
      </c>
      <c r="K22" s="51" t="n">
        <f aca="false">I22+J22</f>
        <v>151.158053945047</v>
      </c>
      <c r="L22" s="51" t="n">
        <f aca="false">F22-(I22-W22)</f>
        <v>117.058053945047</v>
      </c>
      <c r="M22" s="87" t="n">
        <v>4</v>
      </c>
      <c r="N22" s="51" t="n">
        <v>0</v>
      </c>
      <c r="O22" s="51" t="n">
        <v>0</v>
      </c>
      <c r="P22" s="6" t="n">
        <f aca="false">M22-(N22+O22)</f>
        <v>4</v>
      </c>
      <c r="Q22" s="51" t="n">
        <v>0</v>
      </c>
      <c r="R22" s="51" t="n">
        <v>0</v>
      </c>
      <c r="S22" s="51" t="n">
        <f aca="false">SUM(P22:R22)</f>
        <v>4</v>
      </c>
      <c r="T22" s="52"/>
      <c r="U22" s="51" t="n">
        <v>0</v>
      </c>
      <c r="V22" s="51" t="n">
        <v>128</v>
      </c>
      <c r="W22" s="6" t="n">
        <f aca="false">N22+O22+S22+U22+V22</f>
        <v>132</v>
      </c>
      <c r="X22" s="51" t="n">
        <f aca="false">IF(L22&lt;0,L22*-1,0)</f>
        <v>0</v>
      </c>
      <c r="Y22" s="51" t="n">
        <f aca="false">W22+X22</f>
        <v>132</v>
      </c>
      <c r="Z22" s="56" t="n">
        <v>0</v>
      </c>
      <c r="AA22" s="57" t="n">
        <v>46</v>
      </c>
      <c r="AB22" s="57" t="n">
        <v>12</v>
      </c>
      <c r="AC22" s="58" t="n">
        <f aca="false">AC21+1</f>
        <v>13</v>
      </c>
      <c r="AD22" s="91"/>
      <c r="AE22" s="93"/>
      <c r="AF22" s="92"/>
    </row>
    <row r="23" customFormat="false" ht="11.1" hidden="false" customHeight="true" outlineLevel="0" collapsed="false">
      <c r="A23" s="58" t="n">
        <f aca="false">A22+1</f>
        <v>14</v>
      </c>
      <c r="B23" s="73" t="n">
        <v>6902.72</v>
      </c>
      <c r="C23" s="52" t="n">
        <v>293724</v>
      </c>
      <c r="D23" s="57" t="n">
        <f aca="false">C23-C22</f>
        <v>113</v>
      </c>
      <c r="E23" s="52" t="n">
        <f aca="false">C23-152000</f>
        <v>141724</v>
      </c>
      <c r="F23" s="51" t="n">
        <f aca="false">D23/$D$2</f>
        <v>56.9700025207966</v>
      </c>
      <c r="G23" s="51" t="n">
        <v>181</v>
      </c>
      <c r="H23" s="87" t="n">
        <v>4</v>
      </c>
      <c r="I23" s="51" t="n">
        <f aca="false">G23+H23</f>
        <v>185</v>
      </c>
      <c r="J23" s="81" t="n">
        <f aca="false">IF(L23&gt;0,L23,0)</f>
        <v>3.97000252079657</v>
      </c>
      <c r="K23" s="51" t="n">
        <f aca="false">I23+J23</f>
        <v>188.970002520797</v>
      </c>
      <c r="L23" s="51" t="n">
        <f aca="false">F23-(I23-W23)</f>
        <v>3.97000252079657</v>
      </c>
      <c r="M23" s="87" t="n">
        <v>4</v>
      </c>
      <c r="N23" s="51" t="n">
        <v>0</v>
      </c>
      <c r="O23" s="51" t="n">
        <v>0</v>
      </c>
      <c r="P23" s="6" t="n">
        <f aca="false">M23-(N23+O23)</f>
        <v>4</v>
      </c>
      <c r="Q23" s="51" t="n">
        <v>0</v>
      </c>
      <c r="R23" s="51" t="n">
        <v>0</v>
      </c>
      <c r="S23" s="51" t="n">
        <f aca="false">SUM(P23:R23)</f>
        <v>4</v>
      </c>
      <c r="T23" s="52"/>
      <c r="U23" s="51" t="n">
        <v>0</v>
      </c>
      <c r="V23" s="51" t="n">
        <v>128</v>
      </c>
      <c r="W23" s="6" t="n">
        <f aca="false">N23+O23+S23+U23+V23</f>
        <v>132</v>
      </c>
      <c r="X23" s="51" t="n">
        <f aca="false">IF(L23&lt;0,L23*-1,0)</f>
        <v>0</v>
      </c>
      <c r="Y23" s="51" t="n">
        <f aca="false">W23+X23</f>
        <v>132</v>
      </c>
      <c r="Z23" s="56" t="n">
        <v>0</v>
      </c>
      <c r="AA23" s="82" t="n">
        <v>32</v>
      </c>
      <c r="AB23" s="57" t="n">
        <v>10</v>
      </c>
      <c r="AC23" s="58" t="n">
        <f aca="false">AC22+1</f>
        <v>14</v>
      </c>
      <c r="AD23" s="91"/>
      <c r="AE23" s="93"/>
      <c r="AF23" s="92"/>
    </row>
    <row r="24" customFormat="false" ht="11.1" hidden="false" customHeight="true" outlineLevel="0" collapsed="false">
      <c r="A24" s="58" t="n">
        <f aca="false">A23+1</f>
        <v>15</v>
      </c>
      <c r="B24" s="73" t="n">
        <v>6902.75</v>
      </c>
      <c r="C24" s="52" t="n">
        <v>293799</v>
      </c>
      <c r="D24" s="57" t="n">
        <f aca="false">C24-C23</f>
        <v>75</v>
      </c>
      <c r="E24" s="52" t="n">
        <f aca="false">C24-152000</f>
        <v>141799</v>
      </c>
      <c r="F24" s="51" t="n">
        <f aca="false">D24/$D$2</f>
        <v>37.8119485757499</v>
      </c>
      <c r="G24" s="51" t="n">
        <v>182</v>
      </c>
      <c r="H24" s="87" t="n">
        <v>4</v>
      </c>
      <c r="I24" s="51" t="n">
        <f aca="false">G24+H24</f>
        <v>186</v>
      </c>
      <c r="J24" s="81" t="n">
        <f aca="false">IF(L24&gt;0,L24,0)</f>
        <v>0</v>
      </c>
      <c r="K24" s="51" t="n">
        <f aca="false">I24+J24</f>
        <v>186</v>
      </c>
      <c r="L24" s="51" t="n">
        <f aca="false">F24-(I24-W24)</f>
        <v>-15.1880514242501</v>
      </c>
      <c r="M24" s="87" t="n">
        <v>4</v>
      </c>
      <c r="N24" s="51" t="n">
        <v>0</v>
      </c>
      <c r="O24" s="51" t="n">
        <v>0</v>
      </c>
      <c r="P24" s="6" t="n">
        <f aca="false">M24-(N24+O24)</f>
        <v>4</v>
      </c>
      <c r="Q24" s="51" t="n">
        <v>0</v>
      </c>
      <c r="R24" s="51" t="n">
        <v>0</v>
      </c>
      <c r="S24" s="51" t="n">
        <f aca="false">SUM(P24:R24)</f>
        <v>4</v>
      </c>
      <c r="T24" s="52"/>
      <c r="U24" s="51" t="n">
        <v>0</v>
      </c>
      <c r="V24" s="51" t="n">
        <v>129</v>
      </c>
      <c r="W24" s="6" t="n">
        <f aca="false">N24+O24+S24+U24+V24</f>
        <v>133</v>
      </c>
      <c r="X24" s="51" t="n">
        <f aca="false">IF(L24&lt;0,L24*-1,0)</f>
        <v>15.1880514242501</v>
      </c>
      <c r="Y24" s="51" t="n">
        <f aca="false">W24+X24</f>
        <v>148.18805142425</v>
      </c>
      <c r="Z24" s="56" t="n">
        <v>0.15</v>
      </c>
      <c r="AA24" s="82" t="n">
        <v>31</v>
      </c>
      <c r="AB24" s="57" t="n">
        <v>11</v>
      </c>
      <c r="AC24" s="58" t="n">
        <f aca="false">AC23+1</f>
        <v>15</v>
      </c>
      <c r="AD24" s="91"/>
      <c r="AE24" s="93"/>
      <c r="AF24" s="92"/>
    </row>
    <row r="25" customFormat="false" ht="11.1" hidden="false" customHeight="true" outlineLevel="0" collapsed="false">
      <c r="A25" s="58" t="n">
        <f aca="false">A24+1</f>
        <v>16</v>
      </c>
      <c r="B25" s="73" t="n">
        <v>6902.73</v>
      </c>
      <c r="C25" s="52" t="n">
        <v>293761</v>
      </c>
      <c r="D25" s="57" t="n">
        <f aca="false">C25-C24</f>
        <v>-38</v>
      </c>
      <c r="E25" s="52" t="n">
        <f aca="false">C25-152000</f>
        <v>141761</v>
      </c>
      <c r="F25" s="51" t="n">
        <f aca="false">D25/$D$2</f>
        <v>-19.1580539450466</v>
      </c>
      <c r="G25" s="51" t="n">
        <v>86</v>
      </c>
      <c r="H25" s="87" t="n">
        <v>5</v>
      </c>
      <c r="I25" s="51" t="n">
        <f aca="false">G25+H25</f>
        <v>91</v>
      </c>
      <c r="J25" s="81" t="n">
        <f aca="false">IF(L25&gt;0,L25,0)</f>
        <v>22.8419460549534</v>
      </c>
      <c r="K25" s="51" t="n">
        <f aca="false">I25+J25</f>
        <v>113.841946054953</v>
      </c>
      <c r="L25" s="51" t="n">
        <f aca="false">F25-(I25-W25)</f>
        <v>22.8419460549534</v>
      </c>
      <c r="M25" s="87" t="n">
        <v>4</v>
      </c>
      <c r="N25" s="51" t="n">
        <v>0</v>
      </c>
      <c r="O25" s="51" t="n">
        <v>0</v>
      </c>
      <c r="P25" s="6" t="n">
        <f aca="false">M25-(N25+O25)</f>
        <v>4</v>
      </c>
      <c r="Q25" s="51" t="n">
        <v>0</v>
      </c>
      <c r="R25" s="51" t="n">
        <v>0</v>
      </c>
      <c r="S25" s="51" t="n">
        <f aca="false">SUM(P25:R25)</f>
        <v>4</v>
      </c>
      <c r="T25" s="52"/>
      <c r="U25" s="51" t="n">
        <v>0</v>
      </c>
      <c r="V25" s="51" t="n">
        <v>129</v>
      </c>
      <c r="W25" s="6" t="n">
        <f aca="false">N25+O25+S25+U25+V25</f>
        <v>133</v>
      </c>
      <c r="X25" s="51" t="n">
        <f aca="false">IF(L25&lt;0,L25*-1,0)</f>
        <v>0</v>
      </c>
      <c r="Y25" s="51" t="n">
        <f aca="false">W25+X25</f>
        <v>133</v>
      </c>
      <c r="Z25" s="56" t="n">
        <v>0</v>
      </c>
      <c r="AA25" s="82" t="n">
        <v>22</v>
      </c>
      <c r="AB25" s="57" t="n">
        <v>14</v>
      </c>
      <c r="AC25" s="58" t="n">
        <f aca="false">AC24+1</f>
        <v>16</v>
      </c>
      <c r="AD25" s="91"/>
      <c r="AE25" s="0"/>
      <c r="AF25" s="92"/>
    </row>
    <row r="26" customFormat="false" ht="11.1" hidden="false" customHeight="true" outlineLevel="0" collapsed="false">
      <c r="A26" s="58" t="n">
        <f aca="false">A25+1</f>
        <v>17</v>
      </c>
      <c r="B26" s="73" t="n">
        <v>6902.71</v>
      </c>
      <c r="C26" s="52" t="n">
        <v>293686</v>
      </c>
      <c r="D26" s="57" t="n">
        <f aca="false">C26-C25</f>
        <v>-75</v>
      </c>
      <c r="E26" s="52" t="n">
        <f aca="false">C26-152000</f>
        <v>141686</v>
      </c>
      <c r="F26" s="51" t="n">
        <f aca="false">D26/$D$2</f>
        <v>-37.8119485757499</v>
      </c>
      <c r="G26" s="51" t="n">
        <v>85</v>
      </c>
      <c r="H26" s="87" t="n">
        <v>5</v>
      </c>
      <c r="I26" s="51" t="n">
        <f aca="false">G26+H26</f>
        <v>90</v>
      </c>
      <c r="J26" s="81" t="n">
        <f aca="false">IF(L26&gt;0,L26,0)</f>
        <v>5.18805142425006</v>
      </c>
      <c r="K26" s="51" t="n">
        <f aca="false">I26+J26</f>
        <v>95.1880514242501</v>
      </c>
      <c r="L26" s="51" t="n">
        <f aca="false">F26-(I26-W26)</f>
        <v>5.18805142425006</v>
      </c>
      <c r="M26" s="87" t="n">
        <v>4</v>
      </c>
      <c r="N26" s="51" t="n">
        <v>0</v>
      </c>
      <c r="O26" s="51" t="n">
        <v>0</v>
      </c>
      <c r="P26" s="6" t="n">
        <f aca="false">M26-(N26+O26)</f>
        <v>4</v>
      </c>
      <c r="Q26" s="51" t="n">
        <v>0</v>
      </c>
      <c r="R26" s="51" t="n">
        <v>0</v>
      </c>
      <c r="S26" s="51" t="n">
        <f aca="false">SUM(P26:R26)</f>
        <v>4</v>
      </c>
      <c r="T26" s="52"/>
      <c r="U26" s="51" t="n">
        <v>0</v>
      </c>
      <c r="V26" s="51" t="n">
        <v>129</v>
      </c>
      <c r="W26" s="6" t="n">
        <f aca="false">N26+O26+S26+U26+V26</f>
        <v>133</v>
      </c>
      <c r="X26" s="51" t="n">
        <f aca="false">IF(L26&lt;0,L26*-1,0)</f>
        <v>0</v>
      </c>
      <c r="Y26" s="51" t="n">
        <f aca="false">W26+X26</f>
        <v>133</v>
      </c>
      <c r="Z26" s="56" t="n">
        <v>0</v>
      </c>
      <c r="AA26" s="82" t="n">
        <v>23</v>
      </c>
      <c r="AB26" s="57" t="n">
        <v>-4</v>
      </c>
      <c r="AC26" s="58" t="n">
        <f aca="false">AC25+1</f>
        <v>17</v>
      </c>
      <c r="AD26" s="91"/>
      <c r="AE26" s="93"/>
      <c r="AF26" s="92"/>
    </row>
    <row r="27" customFormat="false" ht="11.1" hidden="false" customHeight="true" outlineLevel="0" collapsed="false">
      <c r="A27" s="58" t="n">
        <f aca="false">A26+1</f>
        <v>18</v>
      </c>
      <c r="B27" s="73" t="n">
        <v>6902.7</v>
      </c>
      <c r="C27" s="52" t="n">
        <v>293649</v>
      </c>
      <c r="D27" s="57" t="n">
        <f aca="false">C27-C26</f>
        <v>-37</v>
      </c>
      <c r="E27" s="52" t="n">
        <f aca="false">C27-152000</f>
        <v>141649</v>
      </c>
      <c r="F27" s="51" t="n">
        <f aca="false">D27/$D$2</f>
        <v>-18.6538946307033</v>
      </c>
      <c r="G27" s="51" t="n">
        <v>106</v>
      </c>
      <c r="H27" s="87" t="n">
        <v>5</v>
      </c>
      <c r="I27" s="51" t="n">
        <f aca="false">G27+H27</f>
        <v>111</v>
      </c>
      <c r="J27" s="81" t="n">
        <f aca="false">IF(L27&gt;0,L27,0)</f>
        <v>3.3461053692967</v>
      </c>
      <c r="K27" s="51" t="n">
        <f aca="false">I27+J27</f>
        <v>114.346105369297</v>
      </c>
      <c r="L27" s="51" t="n">
        <f aca="false">F27-(I27-W27)</f>
        <v>3.3461053692967</v>
      </c>
      <c r="M27" s="87" t="n">
        <v>4</v>
      </c>
      <c r="N27" s="51" t="n">
        <v>0</v>
      </c>
      <c r="O27" s="51" t="n">
        <v>0</v>
      </c>
      <c r="P27" s="6" t="n">
        <f aca="false">M27-(N27+O27)</f>
        <v>4</v>
      </c>
      <c r="Q27" s="51" t="n">
        <v>0</v>
      </c>
      <c r="R27" s="51" t="n">
        <v>0</v>
      </c>
      <c r="S27" s="51" t="n">
        <f aca="false">SUM(P27:R27)</f>
        <v>4</v>
      </c>
      <c r="T27" s="52"/>
      <c r="U27" s="51" t="n">
        <v>0</v>
      </c>
      <c r="V27" s="51" t="n">
        <v>129</v>
      </c>
      <c r="W27" s="6" t="n">
        <f aca="false">N27+O27+S27+U27+V27</f>
        <v>133</v>
      </c>
      <c r="X27" s="51" t="n">
        <f aca="false">IF(L27&lt;0,L27*-1,0)</f>
        <v>0</v>
      </c>
      <c r="Y27" s="51" t="n">
        <f aca="false">W27+X27</f>
        <v>133</v>
      </c>
      <c r="Z27" s="56" t="n">
        <v>0.27</v>
      </c>
      <c r="AA27" s="82" t="n">
        <v>30</v>
      </c>
      <c r="AB27" s="57" t="n">
        <v>-6</v>
      </c>
      <c r="AC27" s="58" t="n">
        <f aca="false">AC26+1</f>
        <v>18</v>
      </c>
      <c r="AD27" s="91"/>
      <c r="AE27" s="93"/>
      <c r="AF27" s="92"/>
    </row>
    <row r="28" customFormat="false" ht="11.1" hidden="false" customHeight="true" outlineLevel="0" collapsed="false">
      <c r="A28" s="58" t="n">
        <f aca="false">A27+1</f>
        <v>19</v>
      </c>
      <c r="B28" s="73" t="n">
        <v>6902.72</v>
      </c>
      <c r="C28" s="52" t="n">
        <v>293724</v>
      </c>
      <c r="D28" s="57" t="n">
        <f aca="false">C28-C27</f>
        <v>75</v>
      </c>
      <c r="E28" s="52" t="n">
        <f aca="false">C28-152000</f>
        <v>141724</v>
      </c>
      <c r="F28" s="51" t="n">
        <f aca="false">D28/$D$2</f>
        <v>37.8119485757499</v>
      </c>
      <c r="G28" s="51" t="n">
        <v>163</v>
      </c>
      <c r="H28" s="87" t="n">
        <v>4</v>
      </c>
      <c r="I28" s="51" t="n">
        <f aca="false">G28+H28</f>
        <v>167</v>
      </c>
      <c r="J28" s="81" t="n">
        <f aca="false">IF(L28&gt;0,L28,0)</f>
        <v>3.81194857574994</v>
      </c>
      <c r="K28" s="51" t="n">
        <f aca="false">I28+J28</f>
        <v>170.81194857575</v>
      </c>
      <c r="L28" s="51" t="n">
        <f aca="false">F28-(I28-W28)</f>
        <v>3.81194857574994</v>
      </c>
      <c r="M28" s="87" t="n">
        <v>4</v>
      </c>
      <c r="N28" s="51" t="n">
        <v>0</v>
      </c>
      <c r="O28" s="51" t="n">
        <v>0</v>
      </c>
      <c r="P28" s="6" t="n">
        <f aca="false">M28-(N28+O28)</f>
        <v>4</v>
      </c>
      <c r="Q28" s="51" t="n">
        <v>0</v>
      </c>
      <c r="R28" s="51" t="n">
        <v>0</v>
      </c>
      <c r="S28" s="51" t="n">
        <f aca="false">SUM(P28:R28)</f>
        <v>4</v>
      </c>
      <c r="T28" s="52"/>
      <c r="U28" s="51" t="n">
        <v>0</v>
      </c>
      <c r="V28" s="51" t="n">
        <v>129</v>
      </c>
      <c r="W28" s="6" t="n">
        <f aca="false">N28+O28+S28+U28+V28</f>
        <v>133</v>
      </c>
      <c r="X28" s="51" t="n">
        <f aca="false">IF(L28&lt;0,L28*-1,0)</f>
        <v>0</v>
      </c>
      <c r="Y28" s="51" t="n">
        <f aca="false">W28+X28</f>
        <v>133</v>
      </c>
      <c r="Z28" s="56" t="n">
        <v>0.04</v>
      </c>
      <c r="AA28" s="82" t="n">
        <v>24</v>
      </c>
      <c r="AB28" s="57" t="n">
        <v>11</v>
      </c>
      <c r="AC28" s="58" t="n">
        <f aca="false">AC27+1</f>
        <v>19</v>
      </c>
      <c r="AD28" s="91"/>
      <c r="AE28" s="93"/>
      <c r="AF28" s="92"/>
    </row>
    <row r="29" customFormat="false" ht="11.1" hidden="false" customHeight="true" outlineLevel="0" collapsed="false">
      <c r="A29" s="58" t="n">
        <f aca="false">A28+1</f>
        <v>20</v>
      </c>
      <c r="B29" s="73" t="n">
        <v>6902.71</v>
      </c>
      <c r="C29" s="52" t="n">
        <v>293686</v>
      </c>
      <c r="D29" s="57" t="n">
        <f aca="false">C29-C28</f>
        <v>-38</v>
      </c>
      <c r="E29" s="52" t="n">
        <f aca="false">C29-152000</f>
        <v>141686</v>
      </c>
      <c r="F29" s="51" t="n">
        <f aca="false">D29/$D$2</f>
        <v>-19.1580539450466</v>
      </c>
      <c r="G29" s="51" t="n">
        <v>108</v>
      </c>
      <c r="H29" s="87" t="n">
        <v>3</v>
      </c>
      <c r="I29" s="51" t="n">
        <f aca="false">G29+H29</f>
        <v>111</v>
      </c>
      <c r="J29" s="81" t="n">
        <f aca="false">IF(L29&gt;0,L29,0)</f>
        <v>4.84194605495336</v>
      </c>
      <c r="K29" s="51" t="n">
        <f aca="false">I29+J29</f>
        <v>115.841946054953</v>
      </c>
      <c r="L29" s="51" t="n">
        <f aca="false">F29-(I29-W29)</f>
        <v>4.84194605495336</v>
      </c>
      <c r="M29" s="87" t="n">
        <v>5</v>
      </c>
      <c r="N29" s="51" t="n">
        <v>0</v>
      </c>
      <c r="O29" s="51" t="n">
        <v>0</v>
      </c>
      <c r="P29" s="6" t="n">
        <f aca="false">M29-(N29+O29)</f>
        <v>5</v>
      </c>
      <c r="Q29" s="51" t="n">
        <v>0</v>
      </c>
      <c r="R29" s="51" t="n">
        <v>0</v>
      </c>
      <c r="S29" s="51" t="n">
        <f aca="false">SUM(P29:R29)</f>
        <v>5</v>
      </c>
      <c r="T29" s="52"/>
      <c r="U29" s="51" t="n">
        <v>0</v>
      </c>
      <c r="V29" s="51" t="n">
        <v>130</v>
      </c>
      <c r="W29" s="6" t="n">
        <f aca="false">N29+O29+S29+U29+V29</f>
        <v>135</v>
      </c>
      <c r="X29" s="51" t="n">
        <f aca="false">IF(L29&lt;0,L29*-1,0)</f>
        <v>0</v>
      </c>
      <c r="Y29" s="51" t="n">
        <f aca="false">W29+X29</f>
        <v>135</v>
      </c>
      <c r="Z29" s="56" t="n">
        <v>0</v>
      </c>
      <c r="AA29" s="82" t="n">
        <v>28</v>
      </c>
      <c r="AB29" s="57" t="n">
        <v>6</v>
      </c>
      <c r="AC29" s="58" t="n">
        <f aca="false">AC28+1</f>
        <v>20</v>
      </c>
      <c r="AD29" s="91"/>
      <c r="AE29" s="93"/>
      <c r="AF29" s="92"/>
    </row>
    <row r="30" customFormat="false" ht="11.1" hidden="false" customHeight="true" outlineLevel="0" collapsed="false">
      <c r="A30" s="58" t="n">
        <f aca="false">A29+1</f>
        <v>21</v>
      </c>
      <c r="B30" s="73" t="n">
        <v>6902.69</v>
      </c>
      <c r="C30" s="52" t="n">
        <v>293611</v>
      </c>
      <c r="D30" s="57" t="n">
        <f aca="false">C30-C29</f>
        <v>-75</v>
      </c>
      <c r="E30" s="52" t="n">
        <f aca="false">C30-152000</f>
        <v>141611</v>
      </c>
      <c r="F30" s="51" t="n">
        <f aca="false">D30/$D$2</f>
        <v>-37.8119485757499</v>
      </c>
      <c r="G30" s="51" t="n">
        <v>90</v>
      </c>
      <c r="H30" s="87" t="n">
        <v>3</v>
      </c>
      <c r="I30" s="51" t="n">
        <f aca="false">G30+H30</f>
        <v>93</v>
      </c>
      <c r="J30" s="81" t="n">
        <f aca="false">IF(L30&gt;0,L30,0)</f>
        <v>4.18805142425006</v>
      </c>
      <c r="K30" s="51" t="n">
        <f aca="false">I30+J30</f>
        <v>97.1880514242501</v>
      </c>
      <c r="L30" s="51" t="n">
        <f aca="false">F30-(I30-W30)</f>
        <v>4.18805142425006</v>
      </c>
      <c r="M30" s="87" t="n">
        <v>5</v>
      </c>
      <c r="N30" s="51" t="n">
        <v>0</v>
      </c>
      <c r="O30" s="51" t="n">
        <v>0</v>
      </c>
      <c r="P30" s="6" t="n">
        <f aca="false">M30-(N30+O30)</f>
        <v>5</v>
      </c>
      <c r="Q30" s="51" t="n">
        <v>0</v>
      </c>
      <c r="R30" s="51" t="n">
        <v>0</v>
      </c>
      <c r="S30" s="51" t="n">
        <f aca="false">SUM(P30:R30)</f>
        <v>5</v>
      </c>
      <c r="T30" s="52"/>
      <c r="U30" s="51" t="n">
        <v>0</v>
      </c>
      <c r="V30" s="51" t="n">
        <v>130</v>
      </c>
      <c r="W30" s="6" t="n">
        <f aca="false">N30+O30+S30+U30+V30</f>
        <v>135</v>
      </c>
      <c r="X30" s="51" t="n">
        <f aca="false">IF(L30&lt;0,L30*-1,0)</f>
        <v>0</v>
      </c>
      <c r="Y30" s="51" t="n">
        <f aca="false">W30+X30</f>
        <v>135</v>
      </c>
      <c r="Z30" s="56" t="n">
        <v>0</v>
      </c>
      <c r="AA30" s="57" t="n">
        <v>38</v>
      </c>
      <c r="AB30" s="57" t="n">
        <v>-4</v>
      </c>
      <c r="AC30" s="58" t="n">
        <f aca="false">AC29+1</f>
        <v>21</v>
      </c>
      <c r="AD30" s="91"/>
      <c r="AE30" s="93"/>
      <c r="AF30" s="92"/>
    </row>
    <row r="31" customFormat="false" ht="11.1" hidden="false" customHeight="true" outlineLevel="0" collapsed="false">
      <c r="A31" s="58" t="n">
        <f aca="false">A30+1</f>
        <v>22</v>
      </c>
      <c r="B31" s="73" t="n">
        <v>6902.67</v>
      </c>
      <c r="C31" s="52" t="n">
        <v>293536</v>
      </c>
      <c r="D31" s="57" t="n">
        <f aca="false">C31-C30</f>
        <v>-75</v>
      </c>
      <c r="E31" s="52" t="n">
        <f aca="false">C31-152000</f>
        <v>141536</v>
      </c>
      <c r="F31" s="51" t="n">
        <f aca="false">D31/$D$2</f>
        <v>-37.8119485757499</v>
      </c>
      <c r="G31" s="51" t="n">
        <v>89</v>
      </c>
      <c r="H31" s="87" t="n">
        <v>3</v>
      </c>
      <c r="I31" s="51" t="n">
        <f aca="false">G31+H31</f>
        <v>92</v>
      </c>
      <c r="J31" s="81" t="n">
        <f aca="false">IF(L31&gt;0,L31,0)</f>
        <v>5.18805142425006</v>
      </c>
      <c r="K31" s="51" t="n">
        <f aca="false">I31+J31</f>
        <v>97.1880514242501</v>
      </c>
      <c r="L31" s="51" t="n">
        <f aca="false">F31-(I31-W31)</f>
        <v>5.18805142425006</v>
      </c>
      <c r="M31" s="87" t="n">
        <v>5</v>
      </c>
      <c r="N31" s="51" t="n">
        <v>0</v>
      </c>
      <c r="O31" s="51" t="n">
        <v>0</v>
      </c>
      <c r="P31" s="6" t="n">
        <f aca="false">M31-(N31+O31)</f>
        <v>5</v>
      </c>
      <c r="Q31" s="51" t="n">
        <v>0</v>
      </c>
      <c r="R31" s="51" t="n">
        <v>0</v>
      </c>
      <c r="S31" s="51" t="n">
        <f aca="false">SUM(P31:R31)</f>
        <v>5</v>
      </c>
      <c r="T31" s="52"/>
      <c r="U31" s="51" t="n">
        <v>0</v>
      </c>
      <c r="V31" s="51" t="n">
        <v>130</v>
      </c>
      <c r="W31" s="6" t="n">
        <f aca="false">N31+O31+S31+U31+V31</f>
        <v>135</v>
      </c>
      <c r="X31" s="51" t="n">
        <f aca="false">IF(L31&lt;0,L31*-1,0)</f>
        <v>0</v>
      </c>
      <c r="Y31" s="51" t="n">
        <f aca="false">W31+X31</f>
        <v>135</v>
      </c>
      <c r="Z31" s="56" t="n">
        <v>0</v>
      </c>
      <c r="AA31" s="57" t="n">
        <v>37</v>
      </c>
      <c r="AB31" s="57" t="n">
        <v>0</v>
      </c>
      <c r="AC31" s="58" t="n">
        <f aca="false">AC30+1</f>
        <v>22</v>
      </c>
      <c r="AD31" s="91"/>
      <c r="AE31" s="93"/>
      <c r="AF31" s="92"/>
    </row>
    <row r="32" customFormat="false" ht="11.1" hidden="false" customHeight="true" outlineLevel="0" collapsed="false">
      <c r="A32" s="58" t="n">
        <f aca="false">A31+1</f>
        <v>23</v>
      </c>
      <c r="B32" s="73" t="n">
        <v>6902.68</v>
      </c>
      <c r="C32" s="52" t="n">
        <v>293573</v>
      </c>
      <c r="D32" s="57" t="n">
        <f aca="false">C32-C31</f>
        <v>37</v>
      </c>
      <c r="E32" s="52" t="n">
        <f aca="false">C32-152000</f>
        <v>141573</v>
      </c>
      <c r="F32" s="51" t="n">
        <f aca="false">D32/$D$2</f>
        <v>18.6538946307033</v>
      </c>
      <c r="G32" s="51" t="n">
        <v>147</v>
      </c>
      <c r="H32" s="87" t="n">
        <v>2</v>
      </c>
      <c r="I32" s="51" t="n">
        <f aca="false">G32+H32</f>
        <v>149</v>
      </c>
      <c r="J32" s="81" t="n">
        <f aca="false">IF(L32&gt;0,L32,0)</f>
        <v>4.6538946307033</v>
      </c>
      <c r="K32" s="51" t="n">
        <f aca="false">I32+J32</f>
        <v>153.653894630703</v>
      </c>
      <c r="L32" s="51" t="n">
        <f aca="false">F32-(I32-W32)</f>
        <v>4.6538946307033</v>
      </c>
      <c r="M32" s="87" t="n">
        <v>5</v>
      </c>
      <c r="N32" s="51" t="n">
        <v>0</v>
      </c>
      <c r="O32" s="51" t="n">
        <v>0</v>
      </c>
      <c r="P32" s="6" t="n">
        <f aca="false">M32-(N32+O32)</f>
        <v>5</v>
      </c>
      <c r="Q32" s="51" t="n">
        <v>0</v>
      </c>
      <c r="R32" s="51" t="n">
        <v>0</v>
      </c>
      <c r="S32" s="51" t="n">
        <f aca="false">SUM(P32:R32)</f>
        <v>5</v>
      </c>
      <c r="T32" s="52"/>
      <c r="U32" s="51" t="n">
        <v>0</v>
      </c>
      <c r="V32" s="51" t="n">
        <v>130</v>
      </c>
      <c r="W32" s="6" t="n">
        <f aca="false">N32+O32+S32+U32+V32</f>
        <v>135</v>
      </c>
      <c r="X32" s="51" t="n">
        <f aca="false">IF(L32&lt;0,L32*-1,0)</f>
        <v>0</v>
      </c>
      <c r="Y32" s="51" t="n">
        <f aca="false">W32+X32</f>
        <v>135</v>
      </c>
      <c r="Z32" s="56" t="n">
        <v>0</v>
      </c>
      <c r="AA32" s="57" t="n">
        <v>41</v>
      </c>
      <c r="AB32" s="82" t="n">
        <v>8</v>
      </c>
      <c r="AC32" s="58" t="n">
        <f aca="false">AC31+1</f>
        <v>23</v>
      </c>
      <c r="AD32" s="91"/>
      <c r="AE32" s="93"/>
      <c r="AF32" s="92"/>
    </row>
    <row r="33" customFormat="false" ht="11.1" hidden="false" customHeight="true" outlineLevel="0" collapsed="false">
      <c r="A33" s="58" t="n">
        <f aca="false">A32+1</f>
        <v>24</v>
      </c>
      <c r="B33" s="73" t="n">
        <v>6902.69</v>
      </c>
      <c r="C33" s="52" t="n">
        <v>293611</v>
      </c>
      <c r="D33" s="57" t="n">
        <f aca="false">C33-C32</f>
        <v>38</v>
      </c>
      <c r="E33" s="52" t="n">
        <f aca="false">C33-152000</f>
        <v>141611</v>
      </c>
      <c r="F33" s="51" t="n">
        <f aca="false">D33/$D$2</f>
        <v>19.1580539450466</v>
      </c>
      <c r="G33" s="51" t="n">
        <v>148</v>
      </c>
      <c r="H33" s="87" t="n">
        <v>2</v>
      </c>
      <c r="I33" s="51" t="n">
        <f aca="false">G33+H33</f>
        <v>150</v>
      </c>
      <c r="J33" s="81" t="n">
        <f aca="false">IF(L33&gt;0,L33,0)</f>
        <v>4.15805394504664</v>
      </c>
      <c r="K33" s="51" t="n">
        <f aca="false">I33+J33</f>
        <v>154.158053945047</v>
      </c>
      <c r="L33" s="51" t="n">
        <f aca="false">F33-(I33-W33)</f>
        <v>4.15805394504664</v>
      </c>
      <c r="M33" s="87" t="n">
        <v>5</v>
      </c>
      <c r="N33" s="51" t="n">
        <v>0</v>
      </c>
      <c r="O33" s="51" t="n">
        <v>0</v>
      </c>
      <c r="P33" s="6" t="n">
        <f aca="false">M33-(N33+O33)</f>
        <v>5</v>
      </c>
      <c r="Q33" s="51" t="n">
        <v>0</v>
      </c>
      <c r="R33" s="51" t="n">
        <v>0</v>
      </c>
      <c r="S33" s="51" t="n">
        <f aca="false">SUM(P33:R33)</f>
        <v>5</v>
      </c>
      <c r="T33" s="52"/>
      <c r="U33" s="51" t="n">
        <v>0</v>
      </c>
      <c r="V33" s="51" t="n">
        <v>130</v>
      </c>
      <c r="W33" s="6" t="n">
        <f aca="false">N33+O33+S33+U33+V33</f>
        <v>135</v>
      </c>
      <c r="X33" s="51" t="n">
        <f aca="false">IF(L33&lt;0,L33*-1,0)</f>
        <v>0</v>
      </c>
      <c r="Y33" s="51" t="n">
        <f aca="false">W33+X33</f>
        <v>135</v>
      </c>
      <c r="Z33" s="56" t="n">
        <v>0</v>
      </c>
      <c r="AA33" s="57" t="n">
        <v>47</v>
      </c>
      <c r="AB33" s="82" t="n">
        <v>11</v>
      </c>
      <c r="AC33" s="58" t="n">
        <f aca="false">AC32+1</f>
        <v>24</v>
      </c>
      <c r="AD33" s="91"/>
      <c r="AE33" s="93"/>
      <c r="AF33" s="92"/>
    </row>
    <row r="34" customFormat="false" ht="11.1" hidden="false" customHeight="true" outlineLevel="0" collapsed="false">
      <c r="A34" s="58" t="n">
        <f aca="false">A33+1</f>
        <v>25</v>
      </c>
      <c r="B34" s="73" t="n">
        <v>6902.7</v>
      </c>
      <c r="C34" s="52" t="n">
        <v>293649</v>
      </c>
      <c r="D34" s="57" t="n">
        <f aca="false">C34-C33</f>
        <v>38</v>
      </c>
      <c r="E34" s="52" t="n">
        <f aca="false">C34-152000</f>
        <v>141649</v>
      </c>
      <c r="F34" s="51" t="n">
        <f aca="false">D34/$D$2</f>
        <v>19.1580539450466</v>
      </c>
      <c r="G34" s="51" t="n">
        <v>148</v>
      </c>
      <c r="H34" s="87" t="n">
        <v>1</v>
      </c>
      <c r="I34" s="51" t="n">
        <f aca="false">G34+H34</f>
        <v>149</v>
      </c>
      <c r="J34" s="81" t="n">
        <f aca="false">IF(L34&gt;0,L34,0)</f>
        <v>5.15805394504664</v>
      </c>
      <c r="K34" s="51" t="n">
        <f aca="false">I34+J34</f>
        <v>154.158053945047</v>
      </c>
      <c r="L34" s="51" t="n">
        <f aca="false">F34-(I34-W34)</f>
        <v>5.15805394504664</v>
      </c>
      <c r="M34" s="87" t="n">
        <v>5</v>
      </c>
      <c r="N34" s="51" t="n">
        <v>0</v>
      </c>
      <c r="O34" s="51" t="n">
        <v>0</v>
      </c>
      <c r="P34" s="6" t="n">
        <f aca="false">M34-(N34+O34)</f>
        <v>5</v>
      </c>
      <c r="Q34" s="51" t="n">
        <v>0</v>
      </c>
      <c r="R34" s="51" t="n">
        <v>0</v>
      </c>
      <c r="S34" s="51" t="n">
        <f aca="false">SUM(P34:R34)</f>
        <v>5</v>
      </c>
      <c r="T34" s="52"/>
      <c r="U34" s="51" t="n">
        <v>0</v>
      </c>
      <c r="V34" s="51" t="n">
        <v>130</v>
      </c>
      <c r="W34" s="6" t="n">
        <f aca="false">N34+O34+S34+U34+V34</f>
        <v>135</v>
      </c>
      <c r="X34" s="51" t="n">
        <f aca="false">IF(L34&lt;0,L34*-1,0)</f>
        <v>0</v>
      </c>
      <c r="Y34" s="51" t="n">
        <f aca="false">W34+X34</f>
        <v>135</v>
      </c>
      <c r="Z34" s="56" t="n">
        <v>0</v>
      </c>
      <c r="AA34" s="57" t="n">
        <v>49</v>
      </c>
      <c r="AB34" s="82" t="n">
        <v>17</v>
      </c>
      <c r="AC34" s="58" t="n">
        <f aca="false">AC33+1</f>
        <v>25</v>
      </c>
      <c r="AD34" s="91"/>
      <c r="AE34" s="93"/>
      <c r="AF34" s="92"/>
    </row>
    <row r="35" customFormat="false" ht="11.1" hidden="false" customHeight="true" outlineLevel="0" collapsed="false">
      <c r="A35" s="58" t="n">
        <f aca="false">A34+1</f>
        <v>26</v>
      </c>
      <c r="B35" s="73" t="n">
        <v>6902.68</v>
      </c>
      <c r="C35" s="52" t="n">
        <v>293573</v>
      </c>
      <c r="D35" s="57" t="n">
        <f aca="false">C35-C34</f>
        <v>-76</v>
      </c>
      <c r="E35" s="52" t="n">
        <f aca="false">C35-152000</f>
        <v>141573</v>
      </c>
      <c r="F35" s="51" t="n">
        <f aca="false">D35/$D$2</f>
        <v>-38.3161078900933</v>
      </c>
      <c r="G35" s="51" t="n">
        <v>90</v>
      </c>
      <c r="H35" s="87" t="n">
        <v>1</v>
      </c>
      <c r="I35" s="51" t="n">
        <f aca="false">G35+H35</f>
        <v>91</v>
      </c>
      <c r="J35" s="81" t="n">
        <f aca="false">IF(L35&gt;0,L35,0)</f>
        <v>5.68389210990673</v>
      </c>
      <c r="K35" s="51" t="n">
        <f aca="false">I35+J35</f>
        <v>96.6838921099067</v>
      </c>
      <c r="L35" s="51" t="n">
        <f aca="false">F35-(I35-W35)</f>
        <v>5.68389210990673</v>
      </c>
      <c r="M35" s="87" t="n">
        <v>5</v>
      </c>
      <c r="N35" s="51" t="n">
        <v>0</v>
      </c>
      <c r="O35" s="51" t="n">
        <v>0</v>
      </c>
      <c r="P35" s="6" t="n">
        <f aca="false">M35-(N35+O35)</f>
        <v>5</v>
      </c>
      <c r="Q35" s="51" t="n">
        <v>0</v>
      </c>
      <c r="R35" s="51" t="n">
        <v>0</v>
      </c>
      <c r="S35" s="51" t="n">
        <f aca="false">SUM(P35:R35)</f>
        <v>5</v>
      </c>
      <c r="T35" s="52"/>
      <c r="U35" s="51" t="n">
        <v>0</v>
      </c>
      <c r="V35" s="51" t="n">
        <v>130</v>
      </c>
      <c r="W35" s="6" t="n">
        <f aca="false">N35+O35+S35+U35+V35</f>
        <v>135</v>
      </c>
      <c r="X35" s="51" t="n">
        <f aca="false">IF(L35&lt;0,L35*-1,0)</f>
        <v>0</v>
      </c>
      <c r="Y35" s="51" t="n">
        <f aca="false">W35+X35</f>
        <v>135</v>
      </c>
      <c r="Z35" s="56" t="n">
        <v>0</v>
      </c>
      <c r="AA35" s="57" t="n">
        <v>50</v>
      </c>
      <c r="AB35" s="57" t="n">
        <v>20</v>
      </c>
      <c r="AC35" s="58" t="n">
        <f aca="false">AC34+1</f>
        <v>26</v>
      </c>
      <c r="AD35" s="91"/>
      <c r="AE35" s="93"/>
      <c r="AF35" s="92"/>
    </row>
    <row r="36" customFormat="false" ht="11.1" hidden="false" customHeight="true" outlineLevel="0" collapsed="false">
      <c r="A36" s="58" t="n">
        <f aca="false">A35+1</f>
        <v>27</v>
      </c>
      <c r="B36" s="73" t="n">
        <v>6902.69</v>
      </c>
      <c r="C36" s="52" t="n">
        <v>293611</v>
      </c>
      <c r="D36" s="57" t="n">
        <f aca="false">C36-C35</f>
        <v>38</v>
      </c>
      <c r="E36" s="52" t="n">
        <f aca="false">C36-152000</f>
        <v>141611</v>
      </c>
      <c r="F36" s="51" t="n">
        <f aca="false">D36/$D$2</f>
        <v>19.1580539450466</v>
      </c>
      <c r="G36" s="51" t="n">
        <v>148</v>
      </c>
      <c r="H36" s="87" t="n">
        <v>1</v>
      </c>
      <c r="I36" s="51" t="n">
        <f aca="false">G36+H36</f>
        <v>149</v>
      </c>
      <c r="J36" s="81" t="n">
        <f aca="false">IF(L36&gt;0,L36,0)</f>
        <v>5.15805394504664</v>
      </c>
      <c r="K36" s="51" t="n">
        <f aca="false">I36+J36</f>
        <v>154.158053945047</v>
      </c>
      <c r="L36" s="51" t="n">
        <f aca="false">F36-(I36-W36)</f>
        <v>5.15805394504664</v>
      </c>
      <c r="M36" s="87" t="n">
        <v>5</v>
      </c>
      <c r="N36" s="51" t="n">
        <v>0</v>
      </c>
      <c r="O36" s="51" t="n">
        <v>0</v>
      </c>
      <c r="P36" s="6" t="n">
        <f aca="false">M36-(N36+O36)</f>
        <v>5</v>
      </c>
      <c r="Q36" s="51" t="n">
        <v>0</v>
      </c>
      <c r="R36" s="51" t="n">
        <v>0</v>
      </c>
      <c r="S36" s="51" t="n">
        <f aca="false">SUM(P36:R36)</f>
        <v>5</v>
      </c>
      <c r="T36" s="52"/>
      <c r="U36" s="51" t="n">
        <v>0</v>
      </c>
      <c r="V36" s="51" t="n">
        <v>130</v>
      </c>
      <c r="W36" s="6" t="n">
        <f aca="false">N36+O36+S36+U36+V36</f>
        <v>135</v>
      </c>
      <c r="X36" s="51" t="n">
        <f aca="false">IF(L36&lt;0,L36*-1,0)</f>
        <v>0</v>
      </c>
      <c r="Y36" s="51" t="n">
        <f aca="false">W36+X36</f>
        <v>135</v>
      </c>
      <c r="Z36" s="56" t="n">
        <v>0</v>
      </c>
      <c r="AA36" s="57" t="n">
        <v>55</v>
      </c>
      <c r="AB36" s="57" t="n">
        <v>18</v>
      </c>
      <c r="AC36" s="58" t="n">
        <f aca="false">AC35+1</f>
        <v>27</v>
      </c>
      <c r="AD36" s="91"/>
      <c r="AE36" s="93"/>
      <c r="AF36" s="92"/>
    </row>
    <row r="37" customFormat="false" ht="11.1" hidden="false" customHeight="true" outlineLevel="0" collapsed="false">
      <c r="A37" s="58" t="n">
        <f aca="false">A36+1</f>
        <v>28</v>
      </c>
      <c r="B37" s="73" t="n">
        <v>6902.7</v>
      </c>
      <c r="C37" s="52" t="n">
        <v>293649</v>
      </c>
      <c r="D37" s="57" t="n">
        <f aca="false">C37-C36</f>
        <v>38</v>
      </c>
      <c r="E37" s="52" t="n">
        <f aca="false">C37-152000</f>
        <v>141649</v>
      </c>
      <c r="F37" s="51" t="n">
        <f aca="false">D37/$D$2</f>
        <v>19.1580539450466</v>
      </c>
      <c r="G37" s="51" t="n">
        <v>148</v>
      </c>
      <c r="H37" s="87" t="n">
        <v>1</v>
      </c>
      <c r="I37" s="51" t="n">
        <f aca="false">G37+H37</f>
        <v>149</v>
      </c>
      <c r="J37" s="81" t="n">
        <f aca="false">IF(L37&gt;0,L37,0)</f>
        <v>5.15805394504664</v>
      </c>
      <c r="K37" s="51" t="n">
        <f aca="false">I37+J37</f>
        <v>154.158053945047</v>
      </c>
      <c r="L37" s="51" t="n">
        <f aca="false">F37-(I37-W37)</f>
        <v>5.15805394504664</v>
      </c>
      <c r="M37" s="87" t="n">
        <v>5</v>
      </c>
      <c r="N37" s="51" t="n">
        <v>0</v>
      </c>
      <c r="O37" s="51" t="n">
        <v>0</v>
      </c>
      <c r="P37" s="6" t="n">
        <f aca="false">M37-(N37+O37)</f>
        <v>5</v>
      </c>
      <c r="Q37" s="51" t="n">
        <v>0</v>
      </c>
      <c r="R37" s="51" t="n">
        <v>0</v>
      </c>
      <c r="S37" s="51" t="n">
        <f aca="false">SUM(P37:R37)</f>
        <v>5</v>
      </c>
      <c r="T37" s="52"/>
      <c r="U37" s="51" t="n">
        <v>0</v>
      </c>
      <c r="V37" s="51" t="n">
        <v>130</v>
      </c>
      <c r="W37" s="6" t="n">
        <f aca="false">N37+O37+S37+U37+V37</f>
        <v>135</v>
      </c>
      <c r="X37" s="51" t="n">
        <f aca="false">IF(L37&lt;0,L37*-1,0)</f>
        <v>0</v>
      </c>
      <c r="Y37" s="51" t="n">
        <f aca="false">W37+X37</f>
        <v>135</v>
      </c>
      <c r="Z37" s="56" t="n">
        <v>0.13</v>
      </c>
      <c r="AA37" s="57" t="n">
        <v>44</v>
      </c>
      <c r="AB37" s="57" t="n">
        <v>34</v>
      </c>
      <c r="AC37" s="58" t="n">
        <f aca="false">AC36+1</f>
        <v>28</v>
      </c>
      <c r="AD37" s="91"/>
      <c r="AE37" s="93"/>
      <c r="AF37" s="92"/>
    </row>
    <row r="38" customFormat="false" ht="11.1" hidden="false" customHeight="true" outlineLevel="0" collapsed="false">
      <c r="A38" s="58" t="n">
        <f aca="false">A37+1</f>
        <v>29</v>
      </c>
      <c r="B38" s="73" t="n">
        <v>6902.71</v>
      </c>
      <c r="C38" s="52" t="n">
        <v>293686</v>
      </c>
      <c r="D38" s="57" t="n">
        <f aca="false">C38-C37</f>
        <v>37</v>
      </c>
      <c r="E38" s="52" t="n">
        <f aca="false">C38-152000</f>
        <v>141686</v>
      </c>
      <c r="F38" s="51" t="n">
        <f aca="false">D38/$D$2</f>
        <v>18.6538946307033</v>
      </c>
      <c r="G38" s="51" t="n">
        <v>147</v>
      </c>
      <c r="H38" s="87" t="n">
        <v>1</v>
      </c>
      <c r="I38" s="51" t="n">
        <f aca="false">G38+H38</f>
        <v>148</v>
      </c>
      <c r="J38" s="81" t="n">
        <f aca="false">IF(L38&gt;0,L38,0)</f>
        <v>5.6538946307033</v>
      </c>
      <c r="K38" s="51" t="n">
        <f aca="false">I38+J38</f>
        <v>153.653894630703</v>
      </c>
      <c r="L38" s="51" t="n">
        <f aca="false">F38-(I38-W38)</f>
        <v>5.6538946307033</v>
      </c>
      <c r="M38" s="87" t="n">
        <v>5</v>
      </c>
      <c r="N38" s="51" t="n">
        <v>0</v>
      </c>
      <c r="O38" s="51" t="n">
        <v>0</v>
      </c>
      <c r="P38" s="6" t="n">
        <f aca="false">M38-(N38+O38)</f>
        <v>5</v>
      </c>
      <c r="Q38" s="51" t="n">
        <v>0</v>
      </c>
      <c r="R38" s="51" t="n">
        <v>0</v>
      </c>
      <c r="S38" s="51" t="n">
        <f aca="false">SUM(P38:R38)</f>
        <v>5</v>
      </c>
      <c r="T38" s="52"/>
      <c r="U38" s="51" t="n">
        <v>0</v>
      </c>
      <c r="V38" s="51" t="n">
        <v>130</v>
      </c>
      <c r="W38" s="6" t="n">
        <f aca="false">N38+O38+S38+U38+V38</f>
        <v>135</v>
      </c>
      <c r="X38" s="51" t="n">
        <f aca="false">IF(L38&lt;0,L38*-1,0)</f>
        <v>0</v>
      </c>
      <c r="Y38" s="51" t="n">
        <f aca="false">W38+X38</f>
        <v>135</v>
      </c>
      <c r="Z38" s="56" t="n">
        <v>0</v>
      </c>
      <c r="AA38" s="82" t="n">
        <v>44</v>
      </c>
      <c r="AB38" s="57" t="n">
        <v>22</v>
      </c>
      <c r="AC38" s="58" t="n">
        <f aca="false">AC37+1</f>
        <v>29</v>
      </c>
      <c r="AD38" s="91"/>
      <c r="AE38" s="93"/>
      <c r="AF38" s="92"/>
    </row>
    <row r="39" customFormat="false" ht="11.1" hidden="false" customHeight="true" outlineLevel="0" collapsed="false">
      <c r="A39" s="58" t="n">
        <v>30</v>
      </c>
      <c r="B39" s="73" t="n">
        <v>6902.7</v>
      </c>
      <c r="C39" s="52" t="n">
        <v>293649</v>
      </c>
      <c r="D39" s="57" t="n">
        <f aca="false">C39-C38</f>
        <v>-37</v>
      </c>
      <c r="E39" s="52" t="n">
        <f aca="false">C39-152000</f>
        <v>141649</v>
      </c>
      <c r="F39" s="51" t="n">
        <f aca="false">D39/$D$2</f>
        <v>-18.6538946307033</v>
      </c>
      <c r="G39" s="51" t="n">
        <v>110</v>
      </c>
      <c r="H39" s="87" t="n">
        <v>1</v>
      </c>
      <c r="I39" s="51" t="n">
        <f aca="false">G39+H39</f>
        <v>111</v>
      </c>
      <c r="J39" s="81" t="n">
        <f aca="false">IF(L39&gt;0,L39,0)</f>
        <v>5.3461053692967</v>
      </c>
      <c r="K39" s="51" t="n">
        <f aca="false">I39+J39</f>
        <v>116.346105369297</v>
      </c>
      <c r="L39" s="51" t="n">
        <f aca="false">F39-(I39-W39)</f>
        <v>5.3461053692967</v>
      </c>
      <c r="M39" s="87" t="n">
        <v>5</v>
      </c>
      <c r="N39" s="51" t="n">
        <v>0</v>
      </c>
      <c r="O39" s="51" t="n">
        <v>0</v>
      </c>
      <c r="P39" s="6" t="n">
        <f aca="false">M39-(N39+O39)</f>
        <v>5</v>
      </c>
      <c r="Q39" s="51" t="n">
        <v>0</v>
      </c>
      <c r="R39" s="51" t="n">
        <v>0</v>
      </c>
      <c r="S39" s="51" t="n">
        <f aca="false">SUM(P39:R39)</f>
        <v>5</v>
      </c>
      <c r="T39" s="52"/>
      <c r="U39" s="51" t="n">
        <v>0</v>
      </c>
      <c r="V39" s="51" t="n">
        <v>130</v>
      </c>
      <c r="W39" s="6" t="n">
        <f aca="false">N39+O39+S39+U39+V39</f>
        <v>135</v>
      </c>
      <c r="X39" s="51" t="n">
        <f aca="false">IF(L39&lt;0,L39*-1,0)</f>
        <v>0</v>
      </c>
      <c r="Y39" s="51" t="n">
        <f aca="false">W39+X39</f>
        <v>135</v>
      </c>
      <c r="Z39" s="56" t="n">
        <v>0</v>
      </c>
      <c r="AA39" s="82" t="n">
        <v>47</v>
      </c>
      <c r="AB39" s="57" t="n">
        <v>22</v>
      </c>
      <c r="AC39" s="58" t="n">
        <v>30</v>
      </c>
      <c r="AD39" s="91"/>
      <c r="AE39" s="93"/>
      <c r="AF39" s="92"/>
    </row>
    <row r="40" customFormat="false" ht="11.1" hidden="false" customHeight="true" outlineLevel="0" collapsed="false">
      <c r="A40" s="58" t="n">
        <v>31</v>
      </c>
      <c r="B40" s="73" t="n">
        <v>6902.68</v>
      </c>
      <c r="C40" s="52" t="n">
        <v>293573</v>
      </c>
      <c r="D40" s="57" t="n">
        <f aca="false">C40-C39</f>
        <v>-76</v>
      </c>
      <c r="E40" s="52" t="n">
        <f aca="false">C40-152000</f>
        <v>141573</v>
      </c>
      <c r="F40" s="51" t="n">
        <f aca="false">D40/$D$2</f>
        <v>-38.3161078900933</v>
      </c>
      <c r="G40" s="51" t="n">
        <v>100</v>
      </c>
      <c r="H40" s="87" t="n">
        <v>1</v>
      </c>
      <c r="I40" s="51" t="n">
        <f aca="false">G40+H40</f>
        <v>101</v>
      </c>
      <c r="J40" s="81" t="n">
        <f aca="false">IF(L40&gt;0,L40,0)</f>
        <v>15.6838921099067</v>
      </c>
      <c r="K40" s="51" t="n">
        <f aca="false">I40+J40</f>
        <v>116.683892109907</v>
      </c>
      <c r="L40" s="51" t="n">
        <f aca="false">F40-(I40-W40)</f>
        <v>15.6838921099067</v>
      </c>
      <c r="M40" s="87" t="n">
        <v>15</v>
      </c>
      <c r="N40" s="51" t="n">
        <v>0</v>
      </c>
      <c r="O40" s="51" t="n">
        <v>0</v>
      </c>
      <c r="P40" s="6" t="n">
        <f aca="false">M40-(N40+O40)</f>
        <v>15</v>
      </c>
      <c r="Q40" s="51" t="n">
        <v>0</v>
      </c>
      <c r="R40" s="51" t="n">
        <v>0</v>
      </c>
      <c r="S40" s="51" t="n">
        <f aca="false">SUM(P40:R40)</f>
        <v>15</v>
      </c>
      <c r="T40" s="52"/>
      <c r="U40" s="51" t="n">
        <v>0</v>
      </c>
      <c r="V40" s="51" t="n">
        <v>140</v>
      </c>
      <c r="W40" s="6" t="n">
        <f aca="false">N40+O40+S40+U40+V40</f>
        <v>155</v>
      </c>
      <c r="X40" s="51" t="n">
        <f aca="false">IF(L40&lt;0,L40*-1,0)</f>
        <v>0</v>
      </c>
      <c r="Y40" s="51" t="n">
        <f aca="false">W40+X40</f>
        <v>155</v>
      </c>
      <c r="Z40" s="56" t="n">
        <v>0</v>
      </c>
      <c r="AA40" s="82" t="n">
        <v>42</v>
      </c>
      <c r="AB40" s="57" t="n">
        <v>30</v>
      </c>
      <c r="AC40" s="58" t="n">
        <v>31</v>
      </c>
      <c r="AD40" s="91"/>
      <c r="AE40" s="91"/>
      <c r="AF40" s="92"/>
    </row>
    <row r="41" customFormat="false" ht="3" hidden="false" customHeight="true" outlineLevel="0" collapsed="false">
      <c r="A41" s="74"/>
      <c r="B41" s="83"/>
      <c r="C41" s="76"/>
      <c r="D41" s="74"/>
      <c r="E41" s="76"/>
      <c r="F41" s="74"/>
      <c r="G41" s="83"/>
      <c r="H41" s="94"/>
      <c r="I41" s="74"/>
      <c r="J41" s="74"/>
      <c r="K41" s="74"/>
      <c r="L41" s="74"/>
      <c r="M41" s="95"/>
      <c r="N41" s="83"/>
      <c r="O41" s="74"/>
      <c r="P41" s="74"/>
      <c r="Q41" s="74"/>
      <c r="R41" s="74"/>
      <c r="S41" s="74"/>
      <c r="T41" s="76"/>
      <c r="U41" s="74"/>
      <c r="V41" s="83"/>
      <c r="W41" s="74"/>
      <c r="X41" s="74"/>
      <c r="Y41" s="74"/>
      <c r="Z41" s="78"/>
      <c r="AA41" s="79" t="n">
        <v>39</v>
      </c>
      <c r="AB41" s="79"/>
      <c r="AC41" s="80"/>
      <c r="AD41" s="91"/>
      <c r="AE41" s="91"/>
      <c r="AF41" s="92"/>
    </row>
    <row r="42" customFormat="false" ht="11.1" hidden="false" customHeight="true" outlineLevel="0" collapsed="false">
      <c r="A42" s="51" t="s">
        <v>44</v>
      </c>
      <c r="B42" s="51"/>
      <c r="C42" s="52"/>
      <c r="D42" s="52"/>
      <c r="E42" s="52"/>
      <c r="F42" s="52" t="n">
        <f aca="false">SUM(F10:F40)</f>
        <v>94.7819510965465</v>
      </c>
      <c r="G42" s="52" t="n">
        <f aca="false">SUM(G10:G40)</f>
        <v>3964</v>
      </c>
      <c r="H42" s="87" t="n">
        <f aca="false">SUM(H10:H40)</f>
        <v>122</v>
      </c>
      <c r="I42" s="52" t="n">
        <f aca="false">SUM(I10:I40)</f>
        <v>3544.9</v>
      </c>
      <c r="J42" s="52" t="n">
        <f aca="false">SUM(J10:J40)</f>
        <v>705.070002520797</v>
      </c>
      <c r="K42" s="52" t="n">
        <f aca="false">SUM(K10:K40)</f>
        <v>4249.9700025208</v>
      </c>
      <c r="L42" s="52" t="n">
        <f aca="false">SUM(L10:L40)</f>
        <v>689.881951096547</v>
      </c>
      <c r="M42" s="87" t="n">
        <f aca="false">SUM(M10:M40)</f>
        <v>146</v>
      </c>
      <c r="N42" s="52" t="n">
        <f aca="false">SUM(N10:N40)</f>
        <v>0</v>
      </c>
      <c r="O42" s="52" t="n">
        <f aca="false">SUM(O10:O40)</f>
        <v>0</v>
      </c>
      <c r="P42" s="52" t="n">
        <f aca="false">SUM(P10:P40)</f>
        <v>146</v>
      </c>
      <c r="Q42" s="52" t="n">
        <f aca="false">SUM(Q10:Q40)</f>
        <v>0</v>
      </c>
      <c r="R42" s="52" t="n">
        <f aca="false">SUM(R10:R40)</f>
        <v>0</v>
      </c>
      <c r="S42" s="52" t="n">
        <f aca="false">SUM(S10:S40)</f>
        <v>146</v>
      </c>
      <c r="T42" s="52"/>
      <c r="U42" s="52" t="n">
        <f aca="false">SUM(U10:U40)</f>
        <v>0</v>
      </c>
      <c r="V42" s="52" t="n">
        <f aca="false">SUM(V10:V40)</f>
        <v>3994</v>
      </c>
      <c r="W42" s="52" t="n">
        <f aca="false">SUM(W10:W40)</f>
        <v>4140</v>
      </c>
      <c r="X42" s="52" t="n">
        <f aca="false">SUM(X10:X40)</f>
        <v>15.1880514242501</v>
      </c>
      <c r="Y42" s="52" t="n">
        <f aca="false">SUM(Y10:Y40)</f>
        <v>4155.18805142425</v>
      </c>
      <c r="Z42" s="56" t="n">
        <f aca="false">SUM(Z10:Z40)</f>
        <v>1.08</v>
      </c>
      <c r="AA42" s="57" t="n">
        <f aca="false">AVERAGE(AA10:AA40)</f>
        <v>38.258064516129</v>
      </c>
      <c r="AB42" s="57" t="n">
        <f aca="false">AVERAGE(AB10:AB40)</f>
        <v>13.0322580645161</v>
      </c>
      <c r="AC42" s="58" t="s">
        <v>57</v>
      </c>
      <c r="AD42" s="91"/>
      <c r="AE42" s="91"/>
      <c r="AF42" s="92"/>
    </row>
    <row r="43" customFormat="false" ht="11.1" hidden="false" customHeight="true" outlineLevel="0" collapsed="false">
      <c r="A43" s="51" t="s">
        <v>46</v>
      </c>
      <c r="B43" s="51"/>
      <c r="C43" s="52"/>
      <c r="D43" s="52" t="n">
        <f aca="false">SUM(D10:D40)</f>
        <v>188</v>
      </c>
      <c r="E43" s="52"/>
      <c r="F43" s="52" t="n">
        <f aca="false">F42*$D$2</f>
        <v>188</v>
      </c>
      <c r="G43" s="52" t="n">
        <f aca="false">G42*$D$2</f>
        <v>7862.594</v>
      </c>
      <c r="H43" s="87" t="n">
        <f aca="false">H42*$D$2</f>
        <v>241.987</v>
      </c>
      <c r="I43" s="52" t="n">
        <f aca="false">I42*$D$2</f>
        <v>7031.30915</v>
      </c>
      <c r="J43" s="52" t="n">
        <f aca="false">J42*$D$2</f>
        <v>1398.50635</v>
      </c>
      <c r="K43" s="52" t="n">
        <f aca="false">K42*$D$2</f>
        <v>8429.8155</v>
      </c>
      <c r="L43" s="52" t="n">
        <f aca="false">L42*$D$2</f>
        <v>1368.38085</v>
      </c>
      <c r="M43" s="87" t="n">
        <f aca="false">M42*$D$2</f>
        <v>289.591</v>
      </c>
      <c r="N43" s="52" t="n">
        <f aca="false">N42*$D$2</f>
        <v>0</v>
      </c>
      <c r="O43" s="52" t="n">
        <f aca="false">O42*$D$2</f>
        <v>0</v>
      </c>
      <c r="P43" s="52" t="n">
        <f aca="false">P42*$D$2</f>
        <v>289.591</v>
      </c>
      <c r="Q43" s="52" t="n">
        <f aca="false">Q42*$D$2</f>
        <v>0</v>
      </c>
      <c r="R43" s="52" t="n">
        <f aca="false">R42*$D$2</f>
        <v>0</v>
      </c>
      <c r="S43" s="52" t="n">
        <f aca="false">S42*$D$2</f>
        <v>289.591</v>
      </c>
      <c r="T43" s="52"/>
      <c r="U43" s="52" t="n">
        <f aca="false">U42*$D$2</f>
        <v>0</v>
      </c>
      <c r="V43" s="52" t="n">
        <f aca="false">V42*$D$2</f>
        <v>7922.099</v>
      </c>
      <c r="W43" s="52" t="n">
        <f aca="false">W42*$D$2</f>
        <v>8211.69</v>
      </c>
      <c r="X43" s="52" t="n">
        <f aca="false">X42*$D$2</f>
        <v>30.1255</v>
      </c>
      <c r="Y43" s="52" t="n">
        <f aca="false">Y42*$D$2</f>
        <v>8241.8155</v>
      </c>
      <c r="Z43" s="56"/>
      <c r="AA43" s="57" t="n">
        <f aca="false">MAX(AA10:AA40)</f>
        <v>55</v>
      </c>
      <c r="AB43" s="57" t="n">
        <f aca="false">MAX(AB10:AB40)</f>
        <v>34</v>
      </c>
      <c r="AC43" s="58" t="s">
        <v>47</v>
      </c>
      <c r="AD43" s="91"/>
      <c r="AE43" s="91"/>
      <c r="AF43" s="92"/>
    </row>
    <row r="44" customFormat="false" ht="3" hidden="false" customHeight="true" outlineLevel="0" collapsed="false">
      <c r="A44" s="74"/>
      <c r="B44" s="74"/>
      <c r="C44" s="76"/>
      <c r="D44" s="76"/>
      <c r="E44" s="76"/>
      <c r="F44" s="76"/>
      <c r="G44" s="76"/>
      <c r="H44" s="94"/>
      <c r="I44" s="76"/>
      <c r="J44" s="76"/>
      <c r="K44" s="76"/>
      <c r="L44" s="76"/>
      <c r="M44" s="94"/>
      <c r="N44" s="76"/>
      <c r="O44" s="76"/>
      <c r="P44" s="76"/>
      <c r="Q44" s="76"/>
      <c r="R44" s="76"/>
      <c r="S44" s="76"/>
      <c r="T44" s="76"/>
      <c r="U44" s="76"/>
      <c r="V44" s="76"/>
      <c r="W44" s="76"/>
      <c r="X44" s="76"/>
      <c r="Y44" s="76"/>
      <c r="Z44" s="56"/>
      <c r="AA44" s="57"/>
      <c r="AB44" s="57"/>
      <c r="AC44" s="58"/>
      <c r="AD44" s="91"/>
      <c r="AE44" s="91"/>
      <c r="AF44" s="92"/>
    </row>
    <row r="45" customFormat="false" ht="11.1" hidden="false" customHeight="true" outlineLevel="0" collapsed="false">
      <c r="A45" s="51" t="s">
        <v>48</v>
      </c>
      <c r="B45" s="51"/>
      <c r="C45" s="52"/>
      <c r="D45" s="52"/>
      <c r="E45" s="52"/>
      <c r="F45" s="52"/>
      <c r="G45" s="52"/>
      <c r="H45" s="87"/>
      <c r="I45" s="52"/>
      <c r="J45" s="52"/>
      <c r="K45" s="52"/>
      <c r="L45" s="52"/>
      <c r="M45" s="87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6"/>
      <c r="AA45" s="57" t="n">
        <f aca="false">MIN(AA10:AA40)</f>
        <v>22</v>
      </c>
      <c r="AB45" s="57" t="n">
        <f aca="false">MIN(AB10:AB40)</f>
        <v>-6</v>
      </c>
      <c r="AC45" s="58" t="s">
        <v>49</v>
      </c>
      <c r="AD45" s="91"/>
      <c r="AE45" s="91"/>
      <c r="AF45" s="92"/>
    </row>
    <row r="46" customFormat="false" ht="11.1" hidden="false" customHeight="true" outlineLevel="0" collapsed="false">
      <c r="A46" s="51" t="s">
        <v>50</v>
      </c>
      <c r="B46" s="51"/>
      <c r="C46" s="52"/>
      <c r="D46" s="52"/>
      <c r="E46" s="52"/>
      <c r="F46" s="52"/>
      <c r="G46" s="52"/>
      <c r="H46" s="87"/>
      <c r="I46" s="52"/>
      <c r="J46" s="52"/>
      <c r="K46" s="52"/>
      <c r="L46" s="52"/>
      <c r="M46" s="87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6"/>
      <c r="AA46" s="57"/>
      <c r="AB46" s="57"/>
      <c r="AC46" s="58"/>
      <c r="AD46" s="91"/>
      <c r="AE46" s="91"/>
      <c r="AF46" s="92"/>
    </row>
    <row r="47" customFormat="false" ht="3" hidden="false" customHeight="true" outlineLevel="0" collapsed="false">
      <c r="A47" s="74"/>
      <c r="B47" s="74"/>
      <c r="C47" s="76"/>
      <c r="D47" s="76"/>
      <c r="E47" s="76"/>
      <c r="F47" s="76"/>
      <c r="G47" s="76"/>
      <c r="H47" s="94"/>
      <c r="I47" s="76"/>
      <c r="J47" s="76"/>
      <c r="K47" s="76"/>
      <c r="L47" s="76"/>
      <c r="M47" s="94"/>
      <c r="N47" s="76"/>
      <c r="O47" s="76"/>
      <c r="P47" s="76"/>
      <c r="Q47" s="76"/>
      <c r="R47" s="76"/>
      <c r="S47" s="76"/>
      <c r="T47" s="76"/>
      <c r="U47" s="76"/>
      <c r="V47" s="76"/>
      <c r="W47" s="76"/>
      <c r="X47" s="76"/>
      <c r="Y47" s="76"/>
      <c r="Z47" s="78"/>
      <c r="AA47" s="57"/>
      <c r="AB47" s="57"/>
      <c r="AC47" s="58"/>
      <c r="AD47" s="91"/>
      <c r="AE47" s="91"/>
      <c r="AF47" s="92"/>
    </row>
    <row r="48" customFormat="false" ht="11.1" hidden="false" customHeight="true" outlineLevel="0" collapsed="false">
      <c r="A48" s="51" t="s">
        <v>51</v>
      </c>
      <c r="B48" s="51"/>
      <c r="C48" s="52"/>
      <c r="D48" s="52"/>
      <c r="E48" s="52"/>
      <c r="F48" s="52" t="n">
        <f aca="false">F8+F42</f>
        <v>1704.05848248046</v>
      </c>
      <c r="G48" s="52" t="n">
        <f aca="false">G8+G42</f>
        <v>20048</v>
      </c>
      <c r="H48" s="87" t="n">
        <f aca="false">H8+H42</f>
        <v>1913</v>
      </c>
      <c r="I48" s="52" t="n">
        <f aca="false">I8+I42</f>
        <v>21419.9</v>
      </c>
      <c r="J48" s="52" t="n">
        <f aca="false">J8+J42</f>
        <v>3890.84993698009</v>
      </c>
      <c r="K48" s="52" t="n">
        <f aca="false">K8+K42</f>
        <v>25310.7499369801</v>
      </c>
      <c r="L48" s="52" t="n">
        <f aca="false">L8+L42</f>
        <v>2879.15848248046</v>
      </c>
      <c r="M48" s="87" t="n">
        <f aca="false">M8+M42</f>
        <v>1180</v>
      </c>
      <c r="N48" s="52" t="n">
        <f aca="false">N8+N42</f>
        <v>0</v>
      </c>
      <c r="O48" s="52" t="n">
        <f aca="false">O8+O42</f>
        <v>0</v>
      </c>
      <c r="P48" s="52" t="n">
        <f aca="false">P8+P42</f>
        <v>1180</v>
      </c>
      <c r="Q48" s="52" t="n">
        <f aca="false">Q8+Q42</f>
        <v>616</v>
      </c>
      <c r="R48" s="52" t="n">
        <f aca="false">R8+R42</f>
        <v>449</v>
      </c>
      <c r="S48" s="52" t="n">
        <f aca="false">S8+S42</f>
        <v>2245</v>
      </c>
      <c r="T48" s="52"/>
      <c r="U48" s="52" t="n">
        <f aca="false">U8+U42</f>
        <v>1</v>
      </c>
      <c r="V48" s="52" t="n">
        <f aca="false">V8+V42</f>
        <v>20349</v>
      </c>
      <c r="W48" s="52" t="n">
        <f aca="false">W8+W42</f>
        <v>22595</v>
      </c>
      <c r="X48" s="52" t="n">
        <f aca="false">X8+X42</f>
        <v>1011.69145449962</v>
      </c>
      <c r="Y48" s="52" t="n">
        <f aca="false">Y8+Y42</f>
        <v>23606.6914544996</v>
      </c>
      <c r="Z48" s="56" t="n">
        <f aca="false">Z8+Z42</f>
        <v>3.71</v>
      </c>
      <c r="AA48" s="57"/>
      <c r="AB48" s="57"/>
      <c r="AC48" s="58"/>
      <c r="AD48" s="91"/>
      <c r="AE48" s="91"/>
      <c r="AF48" s="92"/>
    </row>
    <row r="49" customFormat="false" ht="11.1" hidden="false" customHeight="true" outlineLevel="0" collapsed="false">
      <c r="A49" s="51" t="s">
        <v>52</v>
      </c>
      <c r="B49" s="51"/>
      <c r="C49" s="52"/>
      <c r="D49" s="52" t="n">
        <f aca="false">D8+D43</f>
        <v>3380</v>
      </c>
      <c r="E49" s="52" t="n">
        <f aca="false">E40</f>
        <v>141573</v>
      </c>
      <c r="F49" s="52" t="n">
        <f aca="false">F48*$D$2</f>
        <v>3380</v>
      </c>
      <c r="G49" s="52" t="n">
        <f aca="false">G48*$D$2</f>
        <v>39765.208</v>
      </c>
      <c r="H49" s="87" t="n">
        <f aca="false">H48*$D$2</f>
        <v>3794.4355</v>
      </c>
      <c r="I49" s="52" t="n">
        <f aca="false">I48*$D$2</f>
        <v>42486.37165</v>
      </c>
      <c r="J49" s="52" t="n">
        <f aca="false">J48*$D$2</f>
        <v>7717.50085</v>
      </c>
      <c r="K49" s="52" t="n">
        <f aca="false">K48*$D$2</f>
        <v>50203.8725</v>
      </c>
      <c r="L49" s="52" t="n">
        <f aca="false">L48*$D$2</f>
        <v>5710.81085</v>
      </c>
      <c r="M49" s="87" t="n">
        <f aca="false">M48*$D$2</f>
        <v>2340.53</v>
      </c>
      <c r="N49" s="52" t="n">
        <f aca="false">N48*$D$2</f>
        <v>0</v>
      </c>
      <c r="O49" s="52" t="n">
        <f aca="false">O48*$D$2</f>
        <v>0</v>
      </c>
      <c r="P49" s="52" t="n">
        <f aca="false">P48*$D$2</f>
        <v>2340.53</v>
      </c>
      <c r="Q49" s="52" t="n">
        <f aca="false">Q48*$D$2</f>
        <v>1221.836</v>
      </c>
      <c r="R49" s="52" t="n">
        <f aca="false">R48*$D$2</f>
        <v>890.5915</v>
      </c>
      <c r="S49" s="52" t="n">
        <f aca="false">S48*$D$2</f>
        <v>4452.9575</v>
      </c>
      <c r="T49" s="52" t="n">
        <f aca="false">T48*$D$2</f>
        <v>0</v>
      </c>
      <c r="U49" s="52" t="n">
        <f aca="false">U48*$D$2</f>
        <v>1.9835</v>
      </c>
      <c r="V49" s="52" t="n">
        <f aca="false">V48*$D$2</f>
        <v>40362.2415</v>
      </c>
      <c r="W49" s="52" t="n">
        <f aca="false">W48*$D$2</f>
        <v>44817.1825</v>
      </c>
      <c r="X49" s="52" t="n">
        <f aca="false">X48*$D$2</f>
        <v>2006.69</v>
      </c>
      <c r="Y49" s="52" t="n">
        <f aca="false">Y48*$D$2</f>
        <v>46823.8725</v>
      </c>
      <c r="Z49" s="56"/>
      <c r="AA49" s="57"/>
      <c r="AB49" s="57"/>
      <c r="AC49" s="58"/>
      <c r="AD49" s="91"/>
      <c r="AE49" s="91"/>
      <c r="AF49" s="92"/>
    </row>
    <row r="50" customFormat="false" ht="3" hidden="false" customHeight="true" outlineLevel="0" collapsed="false">
      <c r="A50" s="74"/>
      <c r="B50" s="74"/>
      <c r="C50" s="76"/>
      <c r="D50" s="74"/>
      <c r="E50" s="76"/>
      <c r="F50" s="74"/>
      <c r="G50" s="74"/>
      <c r="H50" s="94"/>
      <c r="I50" s="74"/>
      <c r="J50" s="74"/>
      <c r="K50" s="74"/>
      <c r="L50" s="74"/>
      <c r="M50" s="94"/>
      <c r="N50" s="74"/>
      <c r="O50" s="74"/>
      <c r="P50" s="74"/>
      <c r="Q50" s="74"/>
      <c r="R50" s="74"/>
      <c r="S50" s="74"/>
      <c r="T50" s="76"/>
      <c r="U50" s="74"/>
      <c r="V50" s="74"/>
      <c r="W50" s="74"/>
      <c r="X50" s="74"/>
      <c r="Y50" s="74"/>
      <c r="Z50" s="56"/>
      <c r="AA50" s="57"/>
      <c r="AB50" s="57"/>
      <c r="AC50" s="58"/>
      <c r="AD50" s="91"/>
      <c r="AE50" s="91"/>
      <c r="AF50" s="92"/>
    </row>
    <row r="51" customFormat="false" ht="11.1" hidden="false" customHeight="true" outlineLevel="0" collapsed="false">
      <c r="A51" s="51"/>
      <c r="B51" s="84"/>
      <c r="C51" s="52"/>
      <c r="D51" s="51"/>
      <c r="E51" s="52"/>
      <c r="F51" s="51"/>
      <c r="G51" s="51"/>
      <c r="H51" s="87"/>
      <c r="I51" s="51"/>
      <c r="J51" s="51"/>
      <c r="K51" s="51"/>
      <c r="L51" s="51"/>
      <c r="M51" s="87"/>
      <c r="N51" s="51"/>
      <c r="O51" s="51"/>
      <c r="P51" s="51"/>
      <c r="Q51" s="51"/>
      <c r="R51" s="51"/>
      <c r="S51" s="51"/>
      <c r="T51" s="52"/>
      <c r="U51" s="51"/>
      <c r="V51" s="51"/>
      <c r="W51" s="51"/>
      <c r="X51" s="51"/>
      <c r="Y51" s="51"/>
      <c r="Z51" s="56"/>
      <c r="AA51" s="57"/>
      <c r="AB51" s="57"/>
      <c r="AC51" s="58"/>
      <c r="AD51" s="88"/>
      <c r="AE51" s="88"/>
    </row>
    <row r="52" customFormat="false" ht="11.1" hidden="false" customHeight="true" outlineLevel="0" collapsed="false">
      <c r="A52" s="51"/>
      <c r="B52" s="73"/>
      <c r="C52" s="52"/>
      <c r="D52" s="82"/>
      <c r="E52" s="52"/>
      <c r="F52" s="51"/>
      <c r="G52" s="51"/>
      <c r="H52" s="87"/>
      <c r="I52" s="53"/>
      <c r="J52" s="51"/>
      <c r="K52" s="42"/>
      <c r="L52" s="51"/>
      <c r="M52" s="87"/>
      <c r="N52" s="51"/>
      <c r="O52" s="51"/>
      <c r="P52" s="51"/>
      <c r="Q52" s="51"/>
      <c r="R52" s="51"/>
      <c r="S52" s="51"/>
      <c r="T52" s="52"/>
      <c r="U52" s="51"/>
      <c r="V52" s="51"/>
      <c r="W52" s="51"/>
      <c r="X52" s="51"/>
      <c r="Y52" s="51"/>
      <c r="Z52" s="56"/>
      <c r="AA52" s="57"/>
      <c r="AB52" s="57"/>
      <c r="AC52" s="58"/>
      <c r="AD52" s="88"/>
      <c r="AE52" s="88"/>
    </row>
    <row r="53" customFormat="false" ht="11.1" hidden="false" customHeight="true" outlineLevel="0" collapsed="false">
      <c r="A53" s="82"/>
      <c r="B53" s="82"/>
      <c r="C53" s="52"/>
      <c r="D53" s="52"/>
      <c r="E53" s="52"/>
      <c r="F53" s="82"/>
      <c r="G53" s="82"/>
      <c r="H53" s="87"/>
      <c r="I53" s="82"/>
      <c r="J53" s="82"/>
      <c r="K53" s="82"/>
      <c r="L53" s="82"/>
      <c r="M53" s="87"/>
      <c r="N53" s="81"/>
      <c r="O53" s="81"/>
      <c r="P53" s="81"/>
      <c r="Q53" s="82"/>
      <c r="R53" s="82"/>
      <c r="S53" s="82"/>
      <c r="T53" s="52"/>
      <c r="U53" s="82"/>
      <c r="V53" s="82"/>
      <c r="W53" s="82"/>
      <c r="X53" s="82"/>
      <c r="Y53" s="82"/>
      <c r="Z53" s="56"/>
      <c r="AA53" s="57"/>
      <c r="AB53" s="57"/>
      <c r="AC53" s="58"/>
      <c r="AD53" s="96"/>
      <c r="AE53" s="96"/>
    </row>
    <row r="54" customFormat="false" ht="11.1" hidden="false" customHeight="true" outlineLevel="0" collapsed="false">
      <c r="A54" s="82"/>
      <c r="B54" s="55"/>
      <c r="C54" s="52"/>
      <c r="D54" s="52"/>
      <c r="E54" s="52"/>
      <c r="F54" s="82"/>
      <c r="G54" s="82"/>
      <c r="H54" s="87"/>
      <c r="I54" s="82"/>
      <c r="J54" s="82"/>
      <c r="K54" s="82"/>
      <c r="L54" s="82"/>
      <c r="M54" s="87"/>
      <c r="N54" s="81"/>
      <c r="O54" s="81"/>
      <c r="P54" s="82"/>
      <c r="Q54" s="82"/>
      <c r="R54" s="82"/>
      <c r="S54" s="52"/>
      <c r="T54" s="82"/>
      <c r="U54" s="82"/>
      <c r="V54" s="52"/>
      <c r="W54" s="82"/>
      <c r="X54" s="82"/>
      <c r="Y54" s="55"/>
      <c r="Z54" s="56"/>
      <c r="AA54" s="57"/>
      <c r="AB54" s="58"/>
      <c r="AC54" s="96"/>
      <c r="AD54" s="96"/>
    </row>
    <row r="55" customFormat="false" ht="11.1" hidden="false" customHeight="true" outlineLevel="0" collapsed="false">
      <c r="A55" s="82"/>
      <c r="B55" s="82"/>
      <c r="C55" s="52"/>
      <c r="D55" s="82"/>
      <c r="E55" s="52"/>
      <c r="F55" s="82"/>
      <c r="G55" s="85"/>
      <c r="H55" s="87"/>
      <c r="I55" s="82"/>
      <c r="J55" s="82"/>
      <c r="K55" s="82"/>
      <c r="L55" s="82"/>
      <c r="M55" s="87"/>
      <c r="N55" s="81"/>
      <c r="O55" s="81"/>
      <c r="P55" s="82"/>
      <c r="Q55" s="82"/>
      <c r="R55" s="82"/>
      <c r="S55" s="52"/>
      <c r="T55" s="82"/>
      <c r="U55" s="82"/>
      <c r="V55" s="52"/>
      <c r="W55" s="82"/>
      <c r="X55" s="82"/>
      <c r="Y55" s="55"/>
      <c r="Z55" s="56"/>
      <c r="AA55" s="57"/>
      <c r="AB55" s="58"/>
      <c r="AC55" s="96"/>
      <c r="AD55" s="96"/>
    </row>
  </sheetData>
  <mergeCells count="2">
    <mergeCell ref="K2:T2"/>
    <mergeCell ref="M4:P4"/>
  </mergeCells>
  <printOptions headings="true" gridLines="true" gridLinesSet="true" horizontalCentered="true" verticalCentered="false"/>
  <pageMargins left="0.25" right="0.25" top="0" bottom="0" header="0.511811023622047" footer="0.511811023622047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F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9" topLeftCell="K18" activePane="bottomRight" state="frozen"/>
      <selection pane="topLeft" activeCell="A1" activeCellId="0" sqref="A1"/>
      <selection pane="topRight" activeCell="K1" activeCellId="0" sqref="K1"/>
      <selection pane="bottomLeft" activeCell="A18" activeCellId="0" sqref="A18"/>
      <selection pane="bottomRight" activeCell="AB38" activeCellId="0" sqref="AB38"/>
    </sheetView>
  </sheetViews>
  <sheetFormatPr defaultColWidth="9.328125" defaultRowHeight="11.1" zeroHeight="false" outlineLevelRow="0" outlineLevelCol="0"/>
  <cols>
    <col collapsed="false" customWidth="true" hidden="false" outlineLevel="0" max="1" min="1" style="44" width="5.66"/>
    <col collapsed="false" customWidth="true" hidden="false" outlineLevel="0" max="2" min="2" style="44" width="7.82"/>
    <col collapsed="false" customWidth="true" hidden="false" outlineLevel="0" max="3" min="3" style="45" width="7.66"/>
    <col collapsed="false" customWidth="true" hidden="false" outlineLevel="0" max="4" min="4" style="44" width="6.99"/>
    <col collapsed="false" customWidth="true" hidden="false" outlineLevel="0" max="5" min="5" style="45" width="7.66"/>
    <col collapsed="false" customWidth="true" hidden="false" outlineLevel="0" max="6" min="6" style="44" width="7.66"/>
    <col collapsed="false" customWidth="true" hidden="false" outlineLevel="0" max="7" min="7" style="44" width="7.16"/>
    <col collapsed="false" customWidth="true" hidden="false" outlineLevel="0" max="8" min="8" style="86" width="6.66"/>
    <col collapsed="false" customWidth="true" hidden="false" outlineLevel="0" max="9" min="9" style="44" width="7.99"/>
    <col collapsed="false" customWidth="true" hidden="false" outlineLevel="0" max="10" min="10" style="44" width="6.66"/>
    <col collapsed="false" customWidth="true" hidden="false" outlineLevel="0" max="12" min="11" style="44" width="7.16"/>
    <col collapsed="false" customWidth="true" hidden="false" outlineLevel="0" max="13" min="13" style="47" width="6.16"/>
    <col collapsed="false" customWidth="true" hidden="true" outlineLevel="0" max="14" min="14" style="47" width="7.32"/>
    <col collapsed="false" customWidth="true" hidden="true" outlineLevel="0" max="15" min="15" style="47" width="6.49"/>
    <col collapsed="false" customWidth="true" hidden="true" outlineLevel="0" max="16" min="16" style="44" width="7.16"/>
    <col collapsed="false" customWidth="true" hidden="false" outlineLevel="0" max="17" min="17" style="44" width="6.32"/>
    <col collapsed="false" customWidth="true" hidden="false" outlineLevel="0" max="18" min="18" style="44" width="5.82"/>
    <col collapsed="false" customWidth="true" hidden="false" outlineLevel="0" max="19" min="19" style="45" width="6.82"/>
    <col collapsed="false" customWidth="true" hidden="false" outlineLevel="0" max="20" min="20" style="44" width="7.66"/>
    <col collapsed="false" customWidth="true" hidden="false" outlineLevel="0" max="21" min="21" style="44" width="5.99"/>
    <col collapsed="false" customWidth="true" hidden="false" outlineLevel="0" max="22" min="22" style="45" width="6.66"/>
    <col collapsed="false" customWidth="true" hidden="false" outlineLevel="0" max="24" min="23" style="44" width="7.82"/>
    <col collapsed="false" customWidth="true" hidden="false" outlineLevel="0" max="25" min="25" style="48" width="8.16"/>
    <col collapsed="false" customWidth="true" hidden="false" outlineLevel="0" max="26" min="26" style="46" width="4.66"/>
    <col collapsed="false" customWidth="true" hidden="false" outlineLevel="0" max="27" min="27" style="49" width="4.66"/>
    <col collapsed="false" customWidth="true" hidden="false" outlineLevel="0" max="28" min="28" style="50" width="4.66"/>
    <col collapsed="false" customWidth="true" hidden="false" outlineLevel="0" max="29" min="29" style="44" width="5.66"/>
    <col collapsed="false" customWidth="false" hidden="false" outlineLevel="0" max="257" min="30" style="44" width="9.32"/>
  </cols>
  <sheetData>
    <row r="1" customFormat="false" ht="14.1" hidden="false" customHeight="true" outlineLevel="0" collapsed="false">
      <c r="A1" s="51"/>
      <c r="B1" s="51"/>
      <c r="C1" s="52"/>
      <c r="D1" s="51"/>
      <c r="E1" s="52"/>
      <c r="F1" s="51"/>
      <c r="G1" s="51"/>
      <c r="H1" s="87"/>
      <c r="I1" s="51"/>
      <c r="J1" s="51"/>
      <c r="K1" s="54" t="s">
        <v>0</v>
      </c>
      <c r="L1" s="51"/>
      <c r="M1" s="51"/>
      <c r="N1" s="51"/>
      <c r="O1" s="51"/>
      <c r="P1" s="51"/>
      <c r="Q1" s="51"/>
      <c r="R1" s="51"/>
      <c r="S1" s="52"/>
      <c r="T1" s="51"/>
      <c r="U1" s="51"/>
      <c r="V1" s="52"/>
      <c r="W1" s="51"/>
      <c r="X1" s="51"/>
      <c r="Y1" s="55"/>
      <c r="Z1" s="56"/>
      <c r="AA1" s="57"/>
      <c r="AB1" s="58"/>
      <c r="AC1" s="88"/>
      <c r="AD1" s="88"/>
    </row>
    <row r="2" customFormat="false" ht="14.1" hidden="false" customHeight="true" outlineLevel="0" collapsed="false">
      <c r="A2" s="51" t="s">
        <v>1</v>
      </c>
      <c r="B2" s="51"/>
      <c r="C2" s="52"/>
      <c r="D2" s="59" t="n">
        <v>1.9835</v>
      </c>
      <c r="E2" s="52"/>
      <c r="F2" s="51"/>
      <c r="G2" s="51"/>
      <c r="H2" s="87"/>
      <c r="I2" s="51"/>
      <c r="J2" s="51"/>
      <c r="K2" s="60" t="s">
        <v>58</v>
      </c>
      <c r="L2" s="60"/>
      <c r="M2" s="60"/>
      <c r="N2" s="60"/>
      <c r="O2" s="60"/>
      <c r="P2" s="60"/>
      <c r="Q2" s="60"/>
      <c r="R2" s="60"/>
      <c r="S2" s="60"/>
      <c r="T2" s="60"/>
      <c r="U2" s="51"/>
      <c r="V2" s="52"/>
      <c r="W2" s="51"/>
      <c r="X2" s="51"/>
      <c r="Y2" s="55"/>
      <c r="Z2" s="56"/>
      <c r="AA2" s="57"/>
      <c r="AB2" s="58"/>
      <c r="AC2" s="88"/>
      <c r="AD2" s="88"/>
    </row>
    <row r="3" customFormat="false" ht="11.1" hidden="false" customHeight="true" outlineLevel="0" collapsed="false">
      <c r="A3" s="51"/>
      <c r="B3" s="51"/>
      <c r="C3" s="52"/>
      <c r="D3" s="61"/>
      <c r="E3" s="52"/>
      <c r="F3" s="51"/>
      <c r="G3" s="51"/>
      <c r="H3" s="87"/>
      <c r="I3" s="51"/>
      <c r="J3" s="51"/>
      <c r="K3" s="51"/>
      <c r="L3" s="51"/>
      <c r="M3" s="51"/>
      <c r="N3" s="51"/>
      <c r="O3" s="51"/>
      <c r="P3" s="51"/>
      <c r="Q3" s="51"/>
      <c r="R3" s="51"/>
      <c r="S3" s="52"/>
      <c r="T3" s="51"/>
      <c r="U3" s="51"/>
      <c r="V3" s="52"/>
      <c r="W3" s="51"/>
      <c r="X3" s="51"/>
      <c r="Y3" s="55"/>
      <c r="Z3" s="56"/>
      <c r="AA3" s="57"/>
      <c r="AB3" s="58"/>
      <c r="AC3" s="88"/>
      <c r="AD3" s="88"/>
    </row>
    <row r="4" customFormat="false" ht="11.1" hidden="false" customHeight="true" outlineLevel="0" collapsed="false">
      <c r="A4" s="62" t="s">
        <v>3</v>
      </c>
      <c r="B4" s="62" t="s">
        <v>4</v>
      </c>
      <c r="C4" s="63" t="s">
        <v>4</v>
      </c>
      <c r="D4" s="62" t="s">
        <v>5</v>
      </c>
      <c r="E4" s="63" t="s">
        <v>6</v>
      </c>
      <c r="F4" s="62" t="s">
        <v>7</v>
      </c>
      <c r="G4" s="62" t="s">
        <v>8</v>
      </c>
      <c r="H4" s="89" t="s">
        <v>9</v>
      </c>
      <c r="I4" s="62" t="s">
        <v>10</v>
      </c>
      <c r="J4" s="62" t="s">
        <v>11</v>
      </c>
      <c r="K4" s="62" t="s">
        <v>12</v>
      </c>
      <c r="L4" s="62" t="s">
        <v>11</v>
      </c>
      <c r="M4" s="62" t="s">
        <v>13</v>
      </c>
      <c r="N4" s="62"/>
      <c r="O4" s="62"/>
      <c r="P4" s="62"/>
      <c r="Q4" s="62" t="s">
        <v>14</v>
      </c>
      <c r="R4" s="62" t="s">
        <v>15</v>
      </c>
      <c r="S4" s="62" t="s">
        <v>12</v>
      </c>
      <c r="T4" s="63" t="s">
        <v>16</v>
      </c>
      <c r="U4" s="62" t="s">
        <v>17</v>
      </c>
      <c r="V4" s="62" t="s">
        <v>18</v>
      </c>
      <c r="W4" s="62" t="s">
        <v>10</v>
      </c>
      <c r="X4" s="62" t="s">
        <v>11</v>
      </c>
      <c r="Y4" s="62" t="s">
        <v>12</v>
      </c>
      <c r="Z4" s="65" t="s">
        <v>19</v>
      </c>
      <c r="AA4" s="66" t="s">
        <v>20</v>
      </c>
      <c r="AB4" s="66" t="s">
        <v>21</v>
      </c>
      <c r="AC4" s="66" t="s">
        <v>3</v>
      </c>
      <c r="AD4" s="88"/>
      <c r="AE4" s="88"/>
    </row>
    <row r="5" customFormat="false" ht="11.1" hidden="false" customHeight="true" outlineLevel="0" collapsed="false">
      <c r="A5" s="67" t="s">
        <v>59</v>
      </c>
      <c r="B5" s="62" t="s">
        <v>23</v>
      </c>
      <c r="C5" s="63" t="s">
        <v>5</v>
      </c>
      <c r="D5" s="62" t="s">
        <v>24</v>
      </c>
      <c r="E5" s="63" t="s">
        <v>25</v>
      </c>
      <c r="F5" s="62" t="s">
        <v>26</v>
      </c>
      <c r="G5" s="62" t="s">
        <v>27</v>
      </c>
      <c r="H5" s="89" t="s">
        <v>28</v>
      </c>
      <c r="I5" s="62" t="s">
        <v>29</v>
      </c>
      <c r="J5" s="62" t="s">
        <v>29</v>
      </c>
      <c r="K5" s="62" t="s">
        <v>29</v>
      </c>
      <c r="L5" s="62" t="s">
        <v>30</v>
      </c>
      <c r="M5" s="62" t="s">
        <v>31</v>
      </c>
      <c r="N5" s="62" t="s">
        <v>32</v>
      </c>
      <c r="O5" s="62" t="s">
        <v>33</v>
      </c>
      <c r="P5" s="62" t="s">
        <v>34</v>
      </c>
      <c r="Q5" s="62" t="s">
        <v>35</v>
      </c>
      <c r="R5" s="62" t="s">
        <v>36</v>
      </c>
      <c r="S5" s="62" t="s">
        <v>16</v>
      </c>
      <c r="T5" s="63" t="s">
        <v>37</v>
      </c>
      <c r="U5" s="62" t="s">
        <v>38</v>
      </c>
      <c r="V5" s="62" t="s">
        <v>39</v>
      </c>
      <c r="W5" s="62" t="s">
        <v>40</v>
      </c>
      <c r="X5" s="62" t="s">
        <v>40</v>
      </c>
      <c r="Y5" s="62" t="s">
        <v>40</v>
      </c>
      <c r="Z5" s="68"/>
      <c r="AA5" s="66" t="s">
        <v>41</v>
      </c>
      <c r="AB5" s="66" t="s">
        <v>41</v>
      </c>
      <c r="AC5" s="69" t="s">
        <v>59</v>
      </c>
      <c r="AD5" s="88"/>
      <c r="AE5" s="88"/>
    </row>
    <row r="6" customFormat="false" ht="11.1" hidden="false" customHeight="true" outlineLevel="0" collapsed="false">
      <c r="A6" s="70"/>
      <c r="B6" s="70"/>
      <c r="C6" s="71"/>
      <c r="D6" s="70"/>
      <c r="E6" s="71"/>
      <c r="F6" s="70"/>
      <c r="G6" s="70"/>
      <c r="H6" s="90"/>
      <c r="I6" s="70"/>
      <c r="J6" s="70"/>
      <c r="K6" s="70"/>
      <c r="L6" s="70"/>
      <c r="M6" s="70"/>
      <c r="N6" s="70"/>
      <c r="O6" s="70"/>
      <c r="P6" s="70"/>
      <c r="Q6" s="70"/>
      <c r="R6" s="70"/>
      <c r="S6" s="70"/>
      <c r="T6" s="71"/>
      <c r="U6" s="70"/>
      <c r="V6" s="70"/>
      <c r="W6" s="70"/>
      <c r="X6" s="70"/>
      <c r="Y6" s="70"/>
      <c r="Z6" s="56"/>
      <c r="AA6" s="58"/>
      <c r="AB6" s="58"/>
      <c r="AC6" s="58"/>
      <c r="AD6" s="91"/>
      <c r="AE6" s="91"/>
      <c r="AF6" s="92"/>
    </row>
    <row r="7" customFormat="false" ht="11.1" hidden="false" customHeight="true" outlineLevel="0" collapsed="false">
      <c r="A7" s="51" t="s">
        <v>42</v>
      </c>
      <c r="B7" s="51"/>
      <c r="C7" s="52"/>
      <c r="D7" s="52"/>
      <c r="E7" s="52"/>
      <c r="F7" s="52"/>
      <c r="G7" s="52"/>
      <c r="H7" s="87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6"/>
      <c r="AA7" s="57"/>
      <c r="AB7" s="57"/>
      <c r="AC7" s="58"/>
      <c r="AD7" s="91"/>
      <c r="AE7" s="92"/>
      <c r="AF7" s="92"/>
    </row>
    <row r="8" s="45" customFormat="true" ht="11.1" hidden="false" customHeight="true" outlineLevel="0" collapsed="false">
      <c r="A8" s="52" t="s">
        <v>43</v>
      </c>
      <c r="B8" s="73" t="n">
        <f aca="false">JAN!B40</f>
        <v>6902.68</v>
      </c>
      <c r="C8" s="52" t="n">
        <f aca="false">JAN!C40</f>
        <v>293573</v>
      </c>
      <c r="D8" s="52" t="n">
        <f aca="false">JAN!$D$49</f>
        <v>3380</v>
      </c>
      <c r="E8" s="52" t="n">
        <f aca="false">JAN!$E$40</f>
        <v>141573</v>
      </c>
      <c r="F8" s="52" t="n">
        <f aca="false">JAN!F48</f>
        <v>1704.05848248046</v>
      </c>
      <c r="G8" s="52" t="n">
        <f aca="false">JAN!G48</f>
        <v>20048</v>
      </c>
      <c r="H8" s="87" t="n">
        <f aca="false">JAN!H48</f>
        <v>1913</v>
      </c>
      <c r="I8" s="52" t="n">
        <f aca="false">JAN!I48</f>
        <v>21419.9</v>
      </c>
      <c r="J8" s="52" t="n">
        <f aca="false">JAN!J48</f>
        <v>3890.84993698009</v>
      </c>
      <c r="K8" s="52" t="n">
        <f aca="false">JAN!K48</f>
        <v>25310.7499369801</v>
      </c>
      <c r="L8" s="52" t="n">
        <f aca="false">JAN!L48</f>
        <v>2879.15848248046</v>
      </c>
      <c r="M8" s="52" t="n">
        <f aca="false">JAN!M48</f>
        <v>1180</v>
      </c>
      <c r="N8" s="52" t="n">
        <f aca="false">JAN!N48</f>
        <v>0</v>
      </c>
      <c r="O8" s="52" t="n">
        <f aca="false">JAN!O48</f>
        <v>0</v>
      </c>
      <c r="P8" s="52" t="n">
        <f aca="false">JAN!P48</f>
        <v>1180</v>
      </c>
      <c r="Q8" s="52" t="n">
        <f aca="false">JAN!Q48</f>
        <v>616</v>
      </c>
      <c r="R8" s="52" t="n">
        <f aca="false">JAN!R48</f>
        <v>449</v>
      </c>
      <c r="S8" s="52" t="n">
        <f aca="false">JAN!S48</f>
        <v>2245</v>
      </c>
      <c r="T8" s="52" t="n">
        <f aca="false">JAN!T48</f>
        <v>0</v>
      </c>
      <c r="U8" s="52" t="n">
        <f aca="false">JAN!U48</f>
        <v>1</v>
      </c>
      <c r="V8" s="52" t="n">
        <f aca="false">JAN!V48</f>
        <v>20349</v>
      </c>
      <c r="W8" s="52" t="n">
        <f aca="false">JAN!W48</f>
        <v>22595</v>
      </c>
      <c r="X8" s="52" t="n">
        <f aca="false">JAN!X48</f>
        <v>1011.69145449962</v>
      </c>
      <c r="Y8" s="52" t="n">
        <f aca="false">JAN!Y48</f>
        <v>23606.6914544996</v>
      </c>
      <c r="Z8" s="56" t="n">
        <f aca="false">JAN!Z48</f>
        <v>3.71</v>
      </c>
      <c r="AA8" s="57"/>
      <c r="AB8" s="57"/>
      <c r="AC8" s="58"/>
      <c r="AD8" s="93"/>
      <c r="AE8" s="91"/>
      <c r="AF8" s="93"/>
    </row>
    <row r="9" customFormat="false" ht="3" hidden="false" customHeight="true" outlineLevel="0" collapsed="false">
      <c r="A9" s="74"/>
      <c r="B9" s="75"/>
      <c r="C9" s="76"/>
      <c r="D9" s="74"/>
      <c r="E9" s="76"/>
      <c r="F9" s="74"/>
      <c r="G9" s="74"/>
      <c r="H9" s="94"/>
      <c r="I9" s="74"/>
      <c r="J9" s="74"/>
      <c r="K9" s="74"/>
      <c r="L9" s="74"/>
      <c r="M9" s="74"/>
      <c r="N9" s="74"/>
      <c r="O9" s="74"/>
      <c r="P9" s="74"/>
      <c r="Q9" s="74"/>
      <c r="R9" s="74"/>
      <c r="S9" s="74"/>
      <c r="T9" s="76"/>
      <c r="U9" s="74"/>
      <c r="V9" s="74"/>
      <c r="W9" s="74"/>
      <c r="X9" s="74"/>
      <c r="Y9" s="74"/>
      <c r="Z9" s="78"/>
      <c r="AA9" s="79"/>
      <c r="AB9" s="79"/>
      <c r="AC9" s="80"/>
      <c r="AD9" s="91"/>
      <c r="AE9" s="91"/>
      <c r="AF9" s="92"/>
    </row>
    <row r="10" customFormat="false" ht="11.1" hidden="false" customHeight="true" outlineLevel="0" collapsed="false">
      <c r="A10" s="58" t="n">
        <v>1</v>
      </c>
      <c r="B10" s="73" t="n">
        <v>6902.66</v>
      </c>
      <c r="C10" s="52" t="n">
        <v>293498</v>
      </c>
      <c r="D10" s="57" t="n">
        <f aca="false">C10-C8</f>
        <v>-75</v>
      </c>
      <c r="E10" s="52" t="n">
        <f aca="false">C10-152000</f>
        <v>141498</v>
      </c>
      <c r="F10" s="51" t="n">
        <f aca="false">D10/$D$2</f>
        <v>-37.8119485757499</v>
      </c>
      <c r="G10" s="51" t="n">
        <v>107</v>
      </c>
      <c r="H10" s="87" t="n">
        <v>0</v>
      </c>
      <c r="I10" s="51" t="n">
        <f aca="false">G10+H10</f>
        <v>107</v>
      </c>
      <c r="J10" s="81" t="n">
        <f aca="false">IF(L10&gt;0,L10,0)</f>
        <v>0.188051424250062</v>
      </c>
      <c r="K10" s="51" t="n">
        <f aca="false">I10+J10</f>
        <v>107.18805142425</v>
      </c>
      <c r="L10" s="51" t="n">
        <f aca="false">F10-(I10-W10)</f>
        <v>0.188051424250062</v>
      </c>
      <c r="M10" s="51" t="n">
        <v>20</v>
      </c>
      <c r="N10" s="51" t="n">
        <v>0</v>
      </c>
      <c r="O10" s="51" t="n">
        <v>0</v>
      </c>
      <c r="P10" s="6" t="n">
        <f aca="false">M10-(N10+O10)</f>
        <v>20</v>
      </c>
      <c r="Q10" s="51" t="n">
        <v>0</v>
      </c>
      <c r="R10" s="51" t="n">
        <v>0</v>
      </c>
      <c r="S10" s="51" t="n">
        <f aca="false">SUM(P10:R10)</f>
        <v>20</v>
      </c>
      <c r="T10" s="52"/>
      <c r="U10" s="51" t="n">
        <v>0</v>
      </c>
      <c r="V10" s="51" t="n">
        <v>125</v>
      </c>
      <c r="W10" s="6" t="n">
        <f aca="false">N10+O10+S10+U10+V10</f>
        <v>145</v>
      </c>
      <c r="X10" s="51" t="n">
        <f aca="false">IF(L10&lt;0,L10*-1,0)</f>
        <v>0</v>
      </c>
      <c r="Y10" s="51" t="n">
        <f aca="false">W10+X10</f>
        <v>145</v>
      </c>
      <c r="Z10" s="56" t="n">
        <v>0</v>
      </c>
      <c r="AA10" s="57" t="n">
        <v>53</v>
      </c>
      <c r="AB10" s="57" t="n">
        <v>22</v>
      </c>
      <c r="AC10" s="58" t="n">
        <v>1</v>
      </c>
      <c r="AD10" s="92"/>
      <c r="AE10" s="93"/>
      <c r="AF10" s="92"/>
    </row>
    <row r="11" customFormat="false" ht="11.1" hidden="false" customHeight="true" outlineLevel="0" collapsed="false">
      <c r="A11" s="58" t="n">
        <f aca="false">A10+1</f>
        <v>2</v>
      </c>
      <c r="B11" s="73" t="n">
        <v>6902.65</v>
      </c>
      <c r="C11" s="52" t="n">
        <v>293460</v>
      </c>
      <c r="D11" s="57" t="n">
        <f aca="false">C11-C10</f>
        <v>-38</v>
      </c>
      <c r="E11" s="52" t="n">
        <f aca="false">C11-152000</f>
        <v>141460</v>
      </c>
      <c r="F11" s="51" t="n">
        <f aca="false">D11/$D$2</f>
        <v>-19.1580539450466</v>
      </c>
      <c r="G11" s="51" t="n">
        <v>126</v>
      </c>
      <c r="H11" s="87" t="n">
        <v>0</v>
      </c>
      <c r="I11" s="51" t="n">
        <f aca="false">G11+H11</f>
        <v>126</v>
      </c>
      <c r="J11" s="81" t="n">
        <f aca="false">IF(L11&gt;0,L11,0)</f>
        <v>0</v>
      </c>
      <c r="K11" s="51" t="n">
        <f aca="false">I11+J11</f>
        <v>126</v>
      </c>
      <c r="L11" s="51" t="n">
        <f aca="false">F11-(I11-W11)</f>
        <v>-0.158053945046635</v>
      </c>
      <c r="M11" s="51" t="n">
        <v>20</v>
      </c>
      <c r="N11" s="51" t="n">
        <v>0</v>
      </c>
      <c r="O11" s="51" t="n">
        <v>0</v>
      </c>
      <c r="P11" s="6" t="n">
        <f aca="false">M11-(N11+O11)</f>
        <v>20</v>
      </c>
      <c r="Q11" s="51" t="n">
        <v>0</v>
      </c>
      <c r="R11" s="51" t="n">
        <v>0</v>
      </c>
      <c r="S11" s="51" t="n">
        <f aca="false">SUM(P11:R11)</f>
        <v>20</v>
      </c>
      <c r="T11" s="52"/>
      <c r="U11" s="51" t="n">
        <v>0</v>
      </c>
      <c r="V11" s="51" t="n">
        <v>125</v>
      </c>
      <c r="W11" s="6" t="n">
        <f aca="false">N11+O11+S11+U11+V11</f>
        <v>145</v>
      </c>
      <c r="X11" s="51" t="n">
        <f aca="false">IF(L11&lt;0,L11*-1,0)</f>
        <v>0.158053945046635</v>
      </c>
      <c r="Y11" s="51" t="n">
        <f aca="false">W11+X11</f>
        <v>145.158053945047</v>
      </c>
      <c r="Z11" s="56" t="n">
        <v>0</v>
      </c>
      <c r="AA11" s="57" t="n">
        <v>53</v>
      </c>
      <c r="AB11" s="57" t="n">
        <v>26</v>
      </c>
      <c r="AC11" s="58" t="n">
        <f aca="false">AC10+1</f>
        <v>2</v>
      </c>
      <c r="AD11" s="92"/>
      <c r="AE11" s="93"/>
      <c r="AF11" s="92"/>
    </row>
    <row r="12" customFormat="false" ht="11.1" hidden="false" customHeight="true" outlineLevel="0" collapsed="false">
      <c r="A12" s="58" t="n">
        <f aca="false">A11+1</f>
        <v>3</v>
      </c>
      <c r="B12" s="73" t="n">
        <v>6902.64</v>
      </c>
      <c r="C12" s="52" t="n">
        <v>293423</v>
      </c>
      <c r="D12" s="57" t="n">
        <f aca="false">C12-C11</f>
        <v>-37</v>
      </c>
      <c r="E12" s="52" t="n">
        <f aca="false">C12-152000</f>
        <v>141423</v>
      </c>
      <c r="F12" s="51" t="n">
        <f aca="false">D12/$D$2</f>
        <v>-18.6538946307033</v>
      </c>
      <c r="G12" s="51" t="n">
        <v>124</v>
      </c>
      <c r="H12" s="87" t="n">
        <v>0</v>
      </c>
      <c r="I12" s="51" t="n">
        <f aca="false">G12+H12</f>
        <v>124</v>
      </c>
      <c r="J12" s="81" t="n">
        <f aca="false">IF(L12&gt;0,L12,0)</f>
        <v>0.346105369296698</v>
      </c>
      <c r="K12" s="51" t="n">
        <f aca="false">I12+J12</f>
        <v>124.346105369297</v>
      </c>
      <c r="L12" s="51" t="n">
        <f aca="false">F12-(I12-W12)</f>
        <v>0.346105369296698</v>
      </c>
      <c r="M12" s="51" t="n">
        <v>20</v>
      </c>
      <c r="N12" s="51" t="n">
        <v>0</v>
      </c>
      <c r="O12" s="51" t="n">
        <v>0</v>
      </c>
      <c r="P12" s="6" t="n">
        <f aca="false">M12-(N12+O12)</f>
        <v>20</v>
      </c>
      <c r="Q12" s="51" t="n">
        <v>0</v>
      </c>
      <c r="R12" s="51" t="n">
        <v>0</v>
      </c>
      <c r="S12" s="51" t="n">
        <f aca="false">SUM(P12:R12)</f>
        <v>20</v>
      </c>
      <c r="T12" s="52"/>
      <c r="U12" s="51" t="n">
        <v>0</v>
      </c>
      <c r="V12" s="51" t="n">
        <v>123</v>
      </c>
      <c r="W12" s="6" t="n">
        <f aca="false">N12+O12+S12+U12+V12</f>
        <v>143</v>
      </c>
      <c r="X12" s="51" t="n">
        <f aca="false">IF(L12&lt;0,L12*-1,0)</f>
        <v>0</v>
      </c>
      <c r="Y12" s="51" t="n">
        <f aca="false">W12+X12</f>
        <v>143</v>
      </c>
      <c r="Z12" s="56" t="n">
        <v>0</v>
      </c>
      <c r="AA12" s="57" t="n">
        <v>52</v>
      </c>
      <c r="AB12" s="57" t="n">
        <v>25</v>
      </c>
      <c r="AC12" s="58" t="n">
        <f aca="false">AC11+1</f>
        <v>3</v>
      </c>
      <c r="AD12" s="92"/>
      <c r="AE12" s="93"/>
      <c r="AF12" s="92"/>
    </row>
    <row r="13" customFormat="false" ht="11.1" hidden="false" customHeight="true" outlineLevel="0" collapsed="false">
      <c r="A13" s="58" t="n">
        <f aca="false">A12+1</f>
        <v>4</v>
      </c>
      <c r="B13" s="73" t="n">
        <v>6902.62</v>
      </c>
      <c r="C13" s="52" t="n">
        <v>293347</v>
      </c>
      <c r="D13" s="57" t="n">
        <f aca="false">C13-C12</f>
        <v>-76</v>
      </c>
      <c r="E13" s="52" t="n">
        <f aca="false">C13-152000</f>
        <v>141347</v>
      </c>
      <c r="F13" s="51" t="n">
        <f aca="false">D13/$D$2</f>
        <v>-38.3161078900933</v>
      </c>
      <c r="G13" s="51" t="n">
        <v>117</v>
      </c>
      <c r="H13" s="87" t="n">
        <v>0</v>
      </c>
      <c r="I13" s="51" t="n">
        <f aca="false">G13+H13</f>
        <v>117</v>
      </c>
      <c r="J13" s="81" t="n">
        <f aca="false">IF(L13&gt;0,L13,0)</f>
        <v>0</v>
      </c>
      <c r="K13" s="51" t="n">
        <f aca="false">I13+J13</f>
        <v>117</v>
      </c>
      <c r="L13" s="51" t="n">
        <f aca="false">F13-(I13-W13)</f>
        <v>-0.316107890093271</v>
      </c>
      <c r="M13" s="51" t="n">
        <v>30</v>
      </c>
      <c r="N13" s="51" t="n">
        <v>0</v>
      </c>
      <c r="O13" s="51" t="n">
        <v>0</v>
      </c>
      <c r="P13" s="6" t="n">
        <f aca="false">M13-(N13+O13)</f>
        <v>30</v>
      </c>
      <c r="Q13" s="51" t="n">
        <v>0</v>
      </c>
      <c r="R13" s="51" t="n">
        <v>0</v>
      </c>
      <c r="S13" s="51" t="n">
        <f aca="false">SUM(P13:R13)</f>
        <v>30</v>
      </c>
      <c r="T13" s="52"/>
      <c r="U13" s="51" t="n">
        <v>0</v>
      </c>
      <c r="V13" s="51" t="n">
        <v>125</v>
      </c>
      <c r="W13" s="6" t="n">
        <f aca="false">N13+O13+S13+U13+V13</f>
        <v>155</v>
      </c>
      <c r="X13" s="51" t="n">
        <f aca="false">IF(L13&lt;0,L13*-1,0)</f>
        <v>0.316107890093271</v>
      </c>
      <c r="Y13" s="51" t="n">
        <f aca="false">W13+X13</f>
        <v>155.316107890093</v>
      </c>
      <c r="Z13" s="56" t="n">
        <v>0</v>
      </c>
      <c r="AA13" s="57" t="n">
        <v>46</v>
      </c>
      <c r="AB13" s="57" t="n">
        <v>30</v>
      </c>
      <c r="AC13" s="58" t="n">
        <f aca="false">AC12+1</f>
        <v>4</v>
      </c>
      <c r="AD13" s="92"/>
      <c r="AE13" s="93"/>
      <c r="AF13" s="92"/>
    </row>
    <row r="14" customFormat="false" ht="11.1" hidden="false" customHeight="true" outlineLevel="0" collapsed="false">
      <c r="A14" s="58" t="n">
        <f aca="false">A13+1</f>
        <v>5</v>
      </c>
      <c r="B14" s="73" t="n">
        <v>6902.61</v>
      </c>
      <c r="C14" s="52" t="n">
        <v>293310</v>
      </c>
      <c r="D14" s="57" t="n">
        <f aca="false">C14-C13</f>
        <v>-37</v>
      </c>
      <c r="E14" s="52" t="n">
        <f aca="false">C14-152000</f>
        <v>141310</v>
      </c>
      <c r="F14" s="51" t="n">
        <f aca="false">D14/$D$2</f>
        <v>-18.6538946307033</v>
      </c>
      <c r="G14" s="51" t="n">
        <v>118</v>
      </c>
      <c r="H14" s="87" t="n">
        <v>0</v>
      </c>
      <c r="I14" s="51" t="n">
        <f aca="false">G14+H14</f>
        <v>118</v>
      </c>
      <c r="J14" s="81" t="n">
        <f aca="false">IF(L14&gt;0,L14,0)</f>
        <v>0.346105369296698</v>
      </c>
      <c r="K14" s="51" t="n">
        <f aca="false">I14+J14</f>
        <v>118.346105369297</v>
      </c>
      <c r="L14" s="51" t="n">
        <f aca="false">F14-(I14-W14)</f>
        <v>0.346105369296698</v>
      </c>
      <c r="M14" s="51" t="n">
        <v>12</v>
      </c>
      <c r="N14" s="51" t="n">
        <v>0</v>
      </c>
      <c r="O14" s="51" t="n">
        <v>0</v>
      </c>
      <c r="P14" s="6" t="n">
        <f aca="false">M14-(N14+O14)</f>
        <v>12</v>
      </c>
      <c r="Q14" s="51" t="n">
        <v>0</v>
      </c>
      <c r="R14" s="51" t="n">
        <v>0</v>
      </c>
      <c r="S14" s="51" t="n">
        <f aca="false">SUM(P14:R14)</f>
        <v>12</v>
      </c>
      <c r="T14" s="52"/>
      <c r="U14" s="51" t="n">
        <v>0</v>
      </c>
      <c r="V14" s="51" t="n">
        <v>125</v>
      </c>
      <c r="W14" s="6" t="n">
        <f aca="false">N14+O14+S14+U14+V14</f>
        <v>137</v>
      </c>
      <c r="X14" s="51" t="n">
        <f aca="false">IF(L14&lt;0,L14*-1,0)</f>
        <v>0</v>
      </c>
      <c r="Y14" s="51" t="n">
        <f aca="false">W14+X14</f>
        <v>137</v>
      </c>
      <c r="Z14" s="56" t="n">
        <v>0</v>
      </c>
      <c r="AA14" s="57" t="n">
        <v>57</v>
      </c>
      <c r="AB14" s="57" t="n">
        <v>22</v>
      </c>
      <c r="AC14" s="58" t="n">
        <f aca="false">AC13+1</f>
        <v>5</v>
      </c>
      <c r="AD14" s="92"/>
      <c r="AE14" s="93"/>
      <c r="AF14" s="92"/>
    </row>
    <row r="15" customFormat="false" ht="11.1" hidden="false" customHeight="true" outlineLevel="0" collapsed="false">
      <c r="A15" s="58" t="n">
        <f aca="false">A14+1</f>
        <v>6</v>
      </c>
      <c r="B15" s="73" t="n">
        <v>6902.61</v>
      </c>
      <c r="C15" s="52" t="n">
        <v>293310</v>
      </c>
      <c r="D15" s="57" t="n">
        <f aca="false">C15-C14</f>
        <v>0</v>
      </c>
      <c r="E15" s="52" t="n">
        <f aca="false">C15-152000</f>
        <v>141310</v>
      </c>
      <c r="F15" s="51" t="n">
        <f aca="false">D15/$D$2</f>
        <v>0</v>
      </c>
      <c r="G15" s="51" t="n">
        <v>128</v>
      </c>
      <c r="H15" s="87" t="n">
        <v>0</v>
      </c>
      <c r="I15" s="51" t="n">
        <f aca="false">G15+H15</f>
        <v>128</v>
      </c>
      <c r="J15" s="81" t="n">
        <f aca="false">IF(L15&gt;0,L15,0)</f>
        <v>1</v>
      </c>
      <c r="K15" s="51" t="n">
        <f aca="false">I15+J15</f>
        <v>129</v>
      </c>
      <c r="L15" s="51" t="n">
        <f aca="false">F15-(I15-W15)</f>
        <v>1</v>
      </c>
      <c r="M15" s="51" t="n">
        <v>4</v>
      </c>
      <c r="N15" s="51" t="n">
        <v>0</v>
      </c>
      <c r="O15" s="51" t="n">
        <v>0</v>
      </c>
      <c r="P15" s="6" t="n">
        <f aca="false">M15-(N15+O15)</f>
        <v>4</v>
      </c>
      <c r="Q15" s="51" t="n">
        <v>0</v>
      </c>
      <c r="R15" s="51" t="n">
        <v>0</v>
      </c>
      <c r="S15" s="51" t="n">
        <f aca="false">SUM(P15:R15)</f>
        <v>4</v>
      </c>
      <c r="T15" s="52"/>
      <c r="U15" s="51" t="n">
        <v>0</v>
      </c>
      <c r="V15" s="51" t="n">
        <v>125</v>
      </c>
      <c r="W15" s="6" t="n">
        <f aca="false">N15+O15+S15+U15+V15</f>
        <v>129</v>
      </c>
      <c r="X15" s="51" t="n">
        <f aca="false">IF(L15&lt;0,L15*-1,0)</f>
        <v>0</v>
      </c>
      <c r="Y15" s="51" t="n">
        <f aca="false">W15+X15</f>
        <v>129</v>
      </c>
      <c r="Z15" s="56" t="n">
        <v>0</v>
      </c>
      <c r="AA15" s="57" t="n">
        <v>50</v>
      </c>
      <c r="AB15" s="57" t="n">
        <v>24</v>
      </c>
      <c r="AC15" s="58" t="n">
        <f aca="false">AC14+1</f>
        <v>6</v>
      </c>
      <c r="AD15" s="91"/>
      <c r="AE15" s="93"/>
      <c r="AF15" s="92"/>
    </row>
    <row r="16" customFormat="false" ht="11.1" hidden="false" customHeight="true" outlineLevel="0" collapsed="false">
      <c r="A16" s="58" t="n">
        <f aca="false">A15+1</f>
        <v>7</v>
      </c>
      <c r="B16" s="73" t="n">
        <v>6902.61</v>
      </c>
      <c r="C16" s="52" t="n">
        <v>293310</v>
      </c>
      <c r="D16" s="57" t="n">
        <f aca="false">C16-C15</f>
        <v>0</v>
      </c>
      <c r="E16" s="52" t="n">
        <f aca="false">C16-152000</f>
        <v>141310</v>
      </c>
      <c r="F16" s="51" t="n">
        <f aca="false">D16/$D$2</f>
        <v>0</v>
      </c>
      <c r="G16" s="51" t="n">
        <v>128</v>
      </c>
      <c r="H16" s="87" t="n">
        <v>0</v>
      </c>
      <c r="I16" s="51" t="n">
        <f aca="false">G16+H16</f>
        <v>128</v>
      </c>
      <c r="J16" s="81" t="n">
        <f aca="false">IF(L16&gt;0,L16,0)</f>
        <v>0</v>
      </c>
      <c r="K16" s="51" t="n">
        <f aca="false">I16+J16</f>
        <v>128</v>
      </c>
      <c r="L16" s="51" t="n">
        <f aca="false">F16-(I16-W16)</f>
        <v>0</v>
      </c>
      <c r="M16" s="51" t="n">
        <v>4</v>
      </c>
      <c r="N16" s="51" t="n">
        <v>0</v>
      </c>
      <c r="O16" s="51" t="n">
        <v>0</v>
      </c>
      <c r="P16" s="6" t="n">
        <f aca="false">M16-(N16+O16)</f>
        <v>4</v>
      </c>
      <c r="Q16" s="51" t="n">
        <v>0</v>
      </c>
      <c r="R16" s="51" t="n">
        <v>0</v>
      </c>
      <c r="S16" s="51" t="n">
        <f aca="false">SUM(P16:R16)</f>
        <v>4</v>
      </c>
      <c r="T16" s="52"/>
      <c r="U16" s="51" t="n">
        <v>0</v>
      </c>
      <c r="V16" s="51" t="n">
        <v>124</v>
      </c>
      <c r="W16" s="6" t="n">
        <f aca="false">N16+O16+S16+U16+V16</f>
        <v>128</v>
      </c>
      <c r="X16" s="51" t="n">
        <f aca="false">IF(L16&lt;0,L16*-1,0)</f>
        <v>0</v>
      </c>
      <c r="Y16" s="51" t="n">
        <f aca="false">W16+X16</f>
        <v>128</v>
      </c>
      <c r="Z16" s="56" t="n">
        <v>0</v>
      </c>
      <c r="AA16" s="57" t="n">
        <v>52</v>
      </c>
      <c r="AB16" s="57" t="n">
        <v>20</v>
      </c>
      <c r="AC16" s="58" t="n">
        <f aca="false">AC15+1</f>
        <v>7</v>
      </c>
      <c r="AD16" s="91"/>
      <c r="AE16" s="93"/>
      <c r="AF16" s="92"/>
    </row>
    <row r="17" customFormat="false" ht="11.1" hidden="false" customHeight="true" outlineLevel="0" collapsed="false">
      <c r="A17" s="58" t="n">
        <f aca="false">A16+1</f>
        <v>8</v>
      </c>
      <c r="B17" s="73" t="n">
        <v>6902.62</v>
      </c>
      <c r="C17" s="52" t="n">
        <v>293347</v>
      </c>
      <c r="D17" s="57" t="n">
        <f aca="false">C17-C16</f>
        <v>37</v>
      </c>
      <c r="E17" s="52" t="n">
        <f aca="false">C17-152000</f>
        <v>141347</v>
      </c>
      <c r="F17" s="51" t="n">
        <f aca="false">D17/$D$2</f>
        <v>18.6538946307033</v>
      </c>
      <c r="G17" s="51" t="n">
        <v>147</v>
      </c>
      <c r="H17" s="87" t="n">
        <v>0</v>
      </c>
      <c r="I17" s="51" t="n">
        <f aca="false">G17+H17</f>
        <v>147</v>
      </c>
      <c r="J17" s="81" t="n">
        <f aca="false">IF(L17&gt;0,L17,0)</f>
        <v>0</v>
      </c>
      <c r="K17" s="51" t="n">
        <f aca="false">I17+J17</f>
        <v>147</v>
      </c>
      <c r="L17" s="51" t="n">
        <f aca="false">F17-(I17-W17)</f>
        <v>-0.346105369296698</v>
      </c>
      <c r="M17" s="51" t="n">
        <v>4</v>
      </c>
      <c r="N17" s="51" t="n">
        <v>0</v>
      </c>
      <c r="O17" s="51" t="n">
        <v>0</v>
      </c>
      <c r="P17" s="6" t="n">
        <f aca="false">M17-(N17+O17)</f>
        <v>4</v>
      </c>
      <c r="Q17" s="51" t="n">
        <v>0</v>
      </c>
      <c r="R17" s="51" t="n">
        <v>0</v>
      </c>
      <c r="S17" s="51" t="n">
        <f aca="false">SUM(P17:R17)</f>
        <v>4</v>
      </c>
      <c r="T17" s="52"/>
      <c r="U17" s="51" t="n">
        <v>0</v>
      </c>
      <c r="V17" s="51" t="n">
        <v>124</v>
      </c>
      <c r="W17" s="6" t="n">
        <f aca="false">N17+O17+S17+U17+V17</f>
        <v>128</v>
      </c>
      <c r="X17" s="51" t="n">
        <f aca="false">IF(L17&lt;0,L17*-1,0)</f>
        <v>0.346105369296698</v>
      </c>
      <c r="Y17" s="51" t="n">
        <f aca="false">W17+X17</f>
        <v>128.346105369297</v>
      </c>
      <c r="Z17" s="56" t="n">
        <v>0</v>
      </c>
      <c r="AA17" s="57" t="n">
        <v>54</v>
      </c>
      <c r="AB17" s="57" t="n">
        <v>22</v>
      </c>
      <c r="AC17" s="58" t="n">
        <f aca="false">AC16+1</f>
        <v>8</v>
      </c>
      <c r="AD17" s="91"/>
      <c r="AE17" s="93"/>
      <c r="AF17" s="92"/>
    </row>
    <row r="18" customFormat="false" ht="11.1" hidden="false" customHeight="true" outlineLevel="0" collapsed="false">
      <c r="A18" s="58" t="n">
        <f aca="false">A17+1</f>
        <v>9</v>
      </c>
      <c r="B18" s="73" t="n">
        <v>6902.64</v>
      </c>
      <c r="C18" s="52" t="n">
        <v>293423</v>
      </c>
      <c r="D18" s="57" t="n">
        <f aca="false">C18-C17</f>
        <v>76</v>
      </c>
      <c r="E18" s="52" t="n">
        <f aca="false">C18-152000</f>
        <v>141423</v>
      </c>
      <c r="F18" s="51" t="n">
        <f aca="false">D18/$D$2</f>
        <v>38.3161078900933</v>
      </c>
      <c r="G18" s="51" t="n">
        <v>146</v>
      </c>
      <c r="H18" s="87" t="n">
        <v>0</v>
      </c>
      <c r="I18" s="51" t="n">
        <f aca="false">G18+H18</f>
        <v>146</v>
      </c>
      <c r="J18" s="81" t="n">
        <f aca="false">IF(L18&gt;0,L18,0)</f>
        <v>0.316107890093271</v>
      </c>
      <c r="K18" s="51" t="n">
        <f aca="false">I18+J18</f>
        <v>146.316107890093</v>
      </c>
      <c r="L18" s="51" t="n">
        <f aca="false">F18-(I18-W18)</f>
        <v>0.316107890093271</v>
      </c>
      <c r="M18" s="51" t="n">
        <v>4</v>
      </c>
      <c r="N18" s="51" t="n">
        <v>0</v>
      </c>
      <c r="O18" s="51" t="n">
        <v>0</v>
      </c>
      <c r="P18" s="6" t="n">
        <f aca="false">M18-(N18+O18)</f>
        <v>4</v>
      </c>
      <c r="Q18" s="51" t="n">
        <v>0</v>
      </c>
      <c r="R18" s="51" t="n">
        <v>0</v>
      </c>
      <c r="S18" s="51" t="n">
        <f aca="false">SUM(P18:R18)</f>
        <v>4</v>
      </c>
      <c r="T18" s="52"/>
      <c r="U18" s="51" t="n">
        <v>0</v>
      </c>
      <c r="V18" s="51" t="n">
        <v>104</v>
      </c>
      <c r="W18" s="6" t="n">
        <f aca="false">N18+O18+S18+U18+V18</f>
        <v>108</v>
      </c>
      <c r="X18" s="51" t="n">
        <f aca="false">IF(L18&lt;0,L18*-1,0)</f>
        <v>0</v>
      </c>
      <c r="Y18" s="51" t="n">
        <f aca="false">W18+X18</f>
        <v>108</v>
      </c>
      <c r="Z18" s="56" t="n">
        <v>0</v>
      </c>
      <c r="AA18" s="82" t="n">
        <v>51</v>
      </c>
      <c r="AB18" s="57" t="n">
        <v>24</v>
      </c>
      <c r="AC18" s="58" t="n">
        <f aca="false">AC17+1</f>
        <v>9</v>
      </c>
      <c r="AD18" s="91"/>
      <c r="AE18" s="93"/>
      <c r="AF18" s="92"/>
    </row>
    <row r="19" customFormat="false" ht="11.1" hidden="false" customHeight="true" outlineLevel="0" collapsed="false">
      <c r="A19" s="58" t="n">
        <f aca="false">A18+1</f>
        <v>10</v>
      </c>
      <c r="B19" s="73" t="n">
        <v>6902.72</v>
      </c>
      <c r="C19" s="52" t="n">
        <v>293724</v>
      </c>
      <c r="D19" s="57" t="n">
        <f aca="false">C19-C18</f>
        <v>301</v>
      </c>
      <c r="E19" s="52" t="n">
        <f aca="false">C19-152000</f>
        <v>141724</v>
      </c>
      <c r="F19" s="51" t="n">
        <f aca="false">D19/$D$2</f>
        <v>151.751953617343</v>
      </c>
      <c r="G19" s="51" t="n">
        <v>229</v>
      </c>
      <c r="H19" s="87" t="n">
        <v>0</v>
      </c>
      <c r="I19" s="51" t="n">
        <f aca="false">G19+H19</f>
        <v>229</v>
      </c>
      <c r="J19" s="81" t="n">
        <f aca="false">IF(L19&gt;0,L19,0)</f>
        <v>0.751953617343077</v>
      </c>
      <c r="K19" s="51" t="n">
        <f aca="false">I19+J19</f>
        <v>229.751953617343</v>
      </c>
      <c r="L19" s="51" t="n">
        <f aca="false">F19-(I19-W19)</f>
        <v>0.751953617343077</v>
      </c>
      <c r="M19" s="51" t="n">
        <v>4</v>
      </c>
      <c r="N19" s="51" t="n">
        <v>0</v>
      </c>
      <c r="O19" s="51" t="n">
        <v>0</v>
      </c>
      <c r="P19" s="6" t="n">
        <f aca="false">M19-(N19+O19)</f>
        <v>4</v>
      </c>
      <c r="Q19" s="51" t="n">
        <v>0</v>
      </c>
      <c r="R19" s="51" t="n">
        <v>0</v>
      </c>
      <c r="S19" s="51" t="n">
        <f aca="false">SUM(P19:R19)</f>
        <v>4</v>
      </c>
      <c r="T19" s="52"/>
      <c r="U19" s="51" t="n">
        <v>0</v>
      </c>
      <c r="V19" s="51" t="n">
        <v>74</v>
      </c>
      <c r="W19" s="6" t="n">
        <f aca="false">N19+O19+S19+U19+V19</f>
        <v>78</v>
      </c>
      <c r="X19" s="51" t="n">
        <f aca="false">IF(L19&lt;0,L19*-1,0)</f>
        <v>0</v>
      </c>
      <c r="Y19" s="51" t="n">
        <f aca="false">W19+X19</f>
        <v>78</v>
      </c>
      <c r="Z19" s="56" t="n">
        <v>0</v>
      </c>
      <c r="AA19" s="57" t="n">
        <v>42</v>
      </c>
      <c r="AB19" s="57" t="n">
        <v>20</v>
      </c>
      <c r="AC19" s="58" t="n">
        <f aca="false">AC18+1</f>
        <v>10</v>
      </c>
      <c r="AD19" s="91"/>
      <c r="AE19" s="93"/>
      <c r="AF19" s="92"/>
    </row>
    <row r="20" customFormat="false" ht="11.1" hidden="false" customHeight="true" outlineLevel="0" collapsed="false">
      <c r="A20" s="58" t="n">
        <f aca="false">A19+1</f>
        <v>11</v>
      </c>
      <c r="B20" s="73" t="n">
        <v>6902.74</v>
      </c>
      <c r="C20" s="52" t="n">
        <v>293799</v>
      </c>
      <c r="D20" s="57" t="n">
        <f aca="false">C20-C19</f>
        <v>75</v>
      </c>
      <c r="E20" s="52" t="n">
        <f aca="false">C20-152000</f>
        <v>141799</v>
      </c>
      <c r="F20" s="51" t="n">
        <f aca="false">D20/$D$2</f>
        <v>37.8119485757499</v>
      </c>
      <c r="G20" s="51" t="n">
        <v>113</v>
      </c>
      <c r="H20" s="87" t="n">
        <v>0</v>
      </c>
      <c r="I20" s="51" t="n">
        <f aca="false">G20+H20</f>
        <v>113</v>
      </c>
      <c r="J20" s="81" t="n">
        <f aca="false">IF(L20&gt;0,L20,0)</f>
        <v>0</v>
      </c>
      <c r="K20" s="51" t="n">
        <f aca="false">I20+J20</f>
        <v>113</v>
      </c>
      <c r="L20" s="51" t="n">
        <f aca="false">F20-(I20-W20)</f>
        <v>-0.188051424250062</v>
      </c>
      <c r="M20" s="51" t="n">
        <v>4</v>
      </c>
      <c r="N20" s="51" t="n">
        <v>0</v>
      </c>
      <c r="O20" s="51" t="n">
        <v>0</v>
      </c>
      <c r="P20" s="6" t="n">
        <f aca="false">M20-(N20+O20)</f>
        <v>4</v>
      </c>
      <c r="Q20" s="51" t="n">
        <v>0</v>
      </c>
      <c r="R20" s="51" t="n">
        <v>0</v>
      </c>
      <c r="S20" s="51" t="n">
        <f aca="false">SUM(P20:R20)</f>
        <v>4</v>
      </c>
      <c r="T20" s="52"/>
      <c r="U20" s="51" t="n">
        <v>0</v>
      </c>
      <c r="V20" s="51" t="n">
        <v>71</v>
      </c>
      <c r="W20" s="6" t="n">
        <f aca="false">N20+O20+S20+U20+V20</f>
        <v>75</v>
      </c>
      <c r="X20" s="51" t="n">
        <f aca="false">IF(L20&lt;0,L20*-1,0)</f>
        <v>0.188051424250062</v>
      </c>
      <c r="Y20" s="51" t="n">
        <f aca="false">W20+X20</f>
        <v>75.1880514242501</v>
      </c>
      <c r="Z20" s="56" t="n">
        <v>0</v>
      </c>
      <c r="AA20" s="57" t="n">
        <v>48</v>
      </c>
      <c r="AB20" s="57" t="n">
        <v>26</v>
      </c>
      <c r="AC20" s="58" t="n">
        <f aca="false">AC19+1</f>
        <v>11</v>
      </c>
      <c r="AD20" s="91"/>
      <c r="AE20" s="93"/>
      <c r="AF20" s="92"/>
    </row>
    <row r="21" customFormat="false" ht="11.1" hidden="false" customHeight="true" outlineLevel="0" collapsed="false">
      <c r="A21" s="58" t="n">
        <f aca="false">A20+1</f>
        <v>12</v>
      </c>
      <c r="B21" s="73" t="n">
        <v>6902.79</v>
      </c>
      <c r="C21" s="52" t="n">
        <v>293987</v>
      </c>
      <c r="D21" s="57" t="n">
        <f aca="false">C21-C20</f>
        <v>188</v>
      </c>
      <c r="E21" s="52" t="n">
        <f aca="false">C21-152000</f>
        <v>141987</v>
      </c>
      <c r="F21" s="51" t="n">
        <f aca="false">D21/$D$2</f>
        <v>94.7819510965465</v>
      </c>
      <c r="G21" s="51" t="n">
        <v>174</v>
      </c>
      <c r="H21" s="87" t="n">
        <v>0</v>
      </c>
      <c r="I21" s="51" t="n">
        <f aca="false">G21+H21</f>
        <v>174</v>
      </c>
      <c r="J21" s="81" t="n">
        <f aca="false">IF(L21&gt;0,L21,0)</f>
        <v>0.781951096546507</v>
      </c>
      <c r="K21" s="51" t="n">
        <f aca="false">I21+J21</f>
        <v>174.781951096546</v>
      </c>
      <c r="L21" s="51" t="n">
        <f aca="false">F21-(I21-W21)</f>
        <v>0.781951096546507</v>
      </c>
      <c r="M21" s="51" t="n">
        <v>4</v>
      </c>
      <c r="N21" s="51" t="n">
        <v>0</v>
      </c>
      <c r="O21" s="51" t="n">
        <v>0</v>
      </c>
      <c r="P21" s="6" t="n">
        <f aca="false">M21-(N21+O21)</f>
        <v>4</v>
      </c>
      <c r="Q21" s="51" t="n">
        <v>0</v>
      </c>
      <c r="R21" s="51" t="n">
        <v>0</v>
      </c>
      <c r="S21" s="51" t="n">
        <f aca="false">SUM(P21:R21)</f>
        <v>4</v>
      </c>
      <c r="T21" s="52"/>
      <c r="U21" s="51" t="n">
        <v>0</v>
      </c>
      <c r="V21" s="51" t="n">
        <v>76</v>
      </c>
      <c r="W21" s="6" t="n">
        <f aca="false">N21+O21+S21+U21+V21</f>
        <v>80</v>
      </c>
      <c r="X21" s="51" t="n">
        <f aca="false">IF(L21&lt;0,L21*-1,0)</f>
        <v>0</v>
      </c>
      <c r="Y21" s="51" t="n">
        <f aca="false">W21+X21</f>
        <v>80</v>
      </c>
      <c r="Z21" s="56" t="n">
        <v>0</v>
      </c>
      <c r="AA21" s="57" t="n">
        <v>49</v>
      </c>
      <c r="AB21" s="57" t="n">
        <v>28</v>
      </c>
      <c r="AC21" s="58" t="n">
        <f aca="false">AC20+1</f>
        <v>12</v>
      </c>
      <c r="AD21" s="91"/>
      <c r="AE21" s="93"/>
      <c r="AF21" s="92"/>
    </row>
    <row r="22" customFormat="false" ht="11.1" hidden="false" customHeight="true" outlineLevel="0" collapsed="false">
      <c r="A22" s="58" t="n">
        <f aca="false">A21+1</f>
        <v>13</v>
      </c>
      <c r="B22" s="73" t="n">
        <v>6902.84</v>
      </c>
      <c r="C22" s="52" t="n">
        <v>294175</v>
      </c>
      <c r="D22" s="57" t="n">
        <f aca="false">C22-C21</f>
        <v>188</v>
      </c>
      <c r="E22" s="52" t="n">
        <f aca="false">C22-152000</f>
        <v>142175</v>
      </c>
      <c r="F22" s="51" t="n">
        <f aca="false">D22/$D$2</f>
        <v>94.7819510965465</v>
      </c>
      <c r="G22" s="51" t="n">
        <v>198</v>
      </c>
      <c r="H22" s="87" t="n">
        <v>0</v>
      </c>
      <c r="I22" s="51" t="n">
        <f aca="false">G22+H22</f>
        <v>198</v>
      </c>
      <c r="J22" s="81" t="n">
        <f aca="false">IF(L22&gt;0,L22,0)</f>
        <v>0</v>
      </c>
      <c r="K22" s="51" t="n">
        <f aca="false">I22+J22</f>
        <v>198</v>
      </c>
      <c r="L22" s="51" t="n">
        <f aca="false">F22-(I22-W22)</f>
        <v>-0.218048903453493</v>
      </c>
      <c r="M22" s="51" t="n">
        <v>4</v>
      </c>
      <c r="N22" s="51" t="n">
        <v>0</v>
      </c>
      <c r="O22" s="51" t="n">
        <v>0</v>
      </c>
      <c r="P22" s="6" t="n">
        <f aca="false">M22-(N22+O22)</f>
        <v>4</v>
      </c>
      <c r="Q22" s="51" t="n">
        <v>0</v>
      </c>
      <c r="R22" s="51" t="n">
        <v>0</v>
      </c>
      <c r="S22" s="51" t="n">
        <f aca="false">SUM(P22:R22)</f>
        <v>4</v>
      </c>
      <c r="T22" s="52"/>
      <c r="U22" s="51" t="n">
        <v>0</v>
      </c>
      <c r="V22" s="51" t="n">
        <v>99</v>
      </c>
      <c r="W22" s="6" t="n">
        <f aca="false">N22+O22+S22+U22+V22</f>
        <v>103</v>
      </c>
      <c r="X22" s="51" t="n">
        <f aca="false">IF(L22&lt;0,L22*-1,0)</f>
        <v>0.218048903453493</v>
      </c>
      <c r="Y22" s="51" t="n">
        <f aca="false">W22+X22</f>
        <v>103.218048903454</v>
      </c>
      <c r="Z22" s="56" t="n">
        <v>0</v>
      </c>
      <c r="AA22" s="57" t="n">
        <v>48</v>
      </c>
      <c r="AB22" s="57" t="n">
        <v>30</v>
      </c>
      <c r="AC22" s="58" t="n">
        <f aca="false">AC21+1</f>
        <v>13</v>
      </c>
      <c r="AD22" s="91"/>
      <c r="AE22" s="93"/>
      <c r="AF22" s="92"/>
    </row>
    <row r="23" customFormat="false" ht="11.1" hidden="false" customHeight="true" outlineLevel="0" collapsed="false">
      <c r="A23" s="58" t="n">
        <f aca="false">A22+1</f>
        <v>14</v>
      </c>
      <c r="B23" s="73" t="n">
        <v>6902.89</v>
      </c>
      <c r="C23" s="52" t="n">
        <v>294363</v>
      </c>
      <c r="D23" s="57" t="n">
        <f aca="false">C23-C22</f>
        <v>188</v>
      </c>
      <c r="E23" s="52" t="n">
        <f aca="false">C23-152000</f>
        <v>142363</v>
      </c>
      <c r="F23" s="51" t="n">
        <f aca="false">D23/$D$2</f>
        <v>94.7819510965465</v>
      </c>
      <c r="G23" s="51" t="n">
        <v>227</v>
      </c>
      <c r="H23" s="87" t="n">
        <v>0</v>
      </c>
      <c r="I23" s="51" t="n">
        <f aca="false">G23+H23</f>
        <v>227</v>
      </c>
      <c r="J23" s="81" t="n">
        <f aca="false">IF(L23&gt;0,L23,0)</f>
        <v>0</v>
      </c>
      <c r="K23" s="51" t="n">
        <f aca="false">I23+J23</f>
        <v>227</v>
      </c>
      <c r="L23" s="51" t="n">
        <f aca="false">F23-(I23-W23)</f>
        <v>-0.218048903453493</v>
      </c>
      <c r="M23" s="51" t="n">
        <v>4</v>
      </c>
      <c r="N23" s="51" t="n">
        <v>0</v>
      </c>
      <c r="O23" s="51" t="n">
        <v>0</v>
      </c>
      <c r="P23" s="6" t="n">
        <f aca="false">M23-(N23+O23)</f>
        <v>4</v>
      </c>
      <c r="Q23" s="51" t="n">
        <v>0</v>
      </c>
      <c r="R23" s="51" t="n">
        <v>0</v>
      </c>
      <c r="S23" s="51" t="n">
        <f aca="false">SUM(P23:R23)</f>
        <v>4</v>
      </c>
      <c r="T23" s="52"/>
      <c r="U23" s="51" t="n">
        <v>0</v>
      </c>
      <c r="V23" s="51" t="n">
        <v>128</v>
      </c>
      <c r="W23" s="6" t="n">
        <f aca="false">N23+O23+S23+U23+V23</f>
        <v>132</v>
      </c>
      <c r="X23" s="51" t="n">
        <f aca="false">IF(L23&lt;0,L23*-1,0)</f>
        <v>0.218048903453493</v>
      </c>
      <c r="Y23" s="51" t="n">
        <f aca="false">W23+X23</f>
        <v>132.218048903454</v>
      </c>
      <c r="Z23" s="56" t="n">
        <v>0.4</v>
      </c>
      <c r="AA23" s="82" t="n">
        <v>40</v>
      </c>
      <c r="AB23" s="57" t="n">
        <v>28</v>
      </c>
      <c r="AC23" s="58" t="n">
        <f aca="false">AC22+1</f>
        <v>14</v>
      </c>
      <c r="AD23" s="91"/>
      <c r="AE23" s="93"/>
      <c r="AF23" s="92"/>
    </row>
    <row r="24" customFormat="false" ht="11.1" hidden="false" customHeight="true" outlineLevel="0" collapsed="false">
      <c r="A24" s="58" t="n">
        <f aca="false">A23+1</f>
        <v>15</v>
      </c>
      <c r="B24" s="73" t="n">
        <v>6902.94</v>
      </c>
      <c r="C24" s="52" t="n">
        <v>294552</v>
      </c>
      <c r="D24" s="57" t="n">
        <f aca="false">C24-C23</f>
        <v>189</v>
      </c>
      <c r="E24" s="52" t="n">
        <f aca="false">C24-152000</f>
        <v>142552</v>
      </c>
      <c r="F24" s="51" t="n">
        <f aca="false">D24/$D$2</f>
        <v>95.2861104108898</v>
      </c>
      <c r="G24" s="51" t="n">
        <v>226</v>
      </c>
      <c r="H24" s="87" t="n">
        <v>0</v>
      </c>
      <c r="I24" s="51" t="n">
        <f aca="false">G24+H24</f>
        <v>226</v>
      </c>
      <c r="J24" s="81" t="n">
        <f aca="false">IF(L24&gt;0,L24,0)</f>
        <v>1.28611041088983</v>
      </c>
      <c r="K24" s="51" t="n">
        <f aca="false">I24+J24</f>
        <v>227.28611041089</v>
      </c>
      <c r="L24" s="51" t="n">
        <f aca="false">F24-(I24-W24)</f>
        <v>1.28611041088983</v>
      </c>
      <c r="M24" s="51" t="n">
        <v>4</v>
      </c>
      <c r="N24" s="51" t="n">
        <v>0</v>
      </c>
      <c r="O24" s="51" t="n">
        <v>0</v>
      </c>
      <c r="P24" s="6" t="n">
        <f aca="false">M24-(N24+O24)</f>
        <v>4</v>
      </c>
      <c r="Q24" s="51" t="n">
        <v>0</v>
      </c>
      <c r="R24" s="51" t="n">
        <v>0</v>
      </c>
      <c r="S24" s="51" t="n">
        <f aca="false">SUM(P24:R24)</f>
        <v>4</v>
      </c>
      <c r="T24" s="52"/>
      <c r="U24" s="51" t="n">
        <v>0</v>
      </c>
      <c r="V24" s="51" t="n">
        <v>128</v>
      </c>
      <c r="W24" s="6" t="n">
        <f aca="false">N24+O24+S24+U24+V24</f>
        <v>132</v>
      </c>
      <c r="X24" s="51" t="n">
        <f aca="false">IF(L24&lt;0,L24*-1,0)</f>
        <v>0</v>
      </c>
      <c r="Y24" s="51" t="n">
        <f aca="false">W24+X24</f>
        <v>132</v>
      </c>
      <c r="Z24" s="56" t="n">
        <v>0.19</v>
      </c>
      <c r="AA24" s="82" t="n">
        <v>46</v>
      </c>
      <c r="AB24" s="57" t="n">
        <v>18</v>
      </c>
      <c r="AC24" s="58" t="n">
        <f aca="false">AC23+1</f>
        <v>15</v>
      </c>
      <c r="AD24" s="91"/>
      <c r="AE24" s="93"/>
      <c r="AF24" s="92"/>
    </row>
    <row r="25" customFormat="false" ht="11.1" hidden="false" customHeight="true" outlineLevel="0" collapsed="false">
      <c r="A25" s="58" t="n">
        <f aca="false">A24+1</f>
        <v>16</v>
      </c>
      <c r="B25" s="73" t="n">
        <v>6902.94</v>
      </c>
      <c r="C25" s="52" t="n">
        <v>294552</v>
      </c>
      <c r="D25" s="57" t="n">
        <f aca="false">C25-C24</f>
        <v>0</v>
      </c>
      <c r="E25" s="52" t="n">
        <f aca="false">C25-152000</f>
        <v>142552</v>
      </c>
      <c r="F25" s="51" t="n">
        <f aca="false">D25/$D$2</f>
        <v>0</v>
      </c>
      <c r="G25" s="51" t="n">
        <v>164</v>
      </c>
      <c r="H25" s="87" t="n">
        <v>0</v>
      </c>
      <c r="I25" s="51" t="n">
        <f aca="false">G25+H25</f>
        <v>164</v>
      </c>
      <c r="J25" s="81" t="n">
        <f aca="false">IF(L25&gt;0,L25,0)</f>
        <v>0</v>
      </c>
      <c r="K25" s="51" t="n">
        <f aca="false">I25+J25</f>
        <v>164</v>
      </c>
      <c r="L25" s="51" t="n">
        <f aca="false">F25-(I25-W25)</f>
        <v>0</v>
      </c>
      <c r="M25" s="51" t="n">
        <v>4</v>
      </c>
      <c r="N25" s="51" t="n">
        <v>0</v>
      </c>
      <c r="O25" s="51" t="n">
        <v>0</v>
      </c>
      <c r="P25" s="6" t="n">
        <f aca="false">M25-(N25+O25)</f>
        <v>4</v>
      </c>
      <c r="Q25" s="51" t="n">
        <v>0</v>
      </c>
      <c r="R25" s="51" t="n">
        <v>0</v>
      </c>
      <c r="S25" s="51" t="n">
        <f aca="false">SUM(P25:R25)</f>
        <v>4</v>
      </c>
      <c r="T25" s="52"/>
      <c r="U25" s="51" t="n">
        <v>0</v>
      </c>
      <c r="V25" s="51" t="n">
        <v>160</v>
      </c>
      <c r="W25" s="6" t="n">
        <f aca="false">N25+O25+S25+U25+V25</f>
        <v>164</v>
      </c>
      <c r="X25" s="51" t="n">
        <f aca="false">IF(L25&lt;0,L25*-1,0)</f>
        <v>0</v>
      </c>
      <c r="Y25" s="51" t="n">
        <f aca="false">W25+X25</f>
        <v>164</v>
      </c>
      <c r="Z25" s="56" t="n">
        <v>0</v>
      </c>
      <c r="AA25" s="82" t="n">
        <v>36</v>
      </c>
      <c r="AB25" s="57" t="n">
        <v>24</v>
      </c>
      <c r="AC25" s="58" t="n">
        <f aca="false">AC24+1</f>
        <v>16</v>
      </c>
      <c r="AD25" s="91"/>
      <c r="AE25" s="93"/>
      <c r="AF25" s="92"/>
    </row>
    <row r="26" customFormat="false" ht="11.1" hidden="false" customHeight="true" outlineLevel="0" collapsed="false">
      <c r="A26" s="58" t="n">
        <f aca="false">A25+1</f>
        <v>17</v>
      </c>
      <c r="B26" s="73" t="n">
        <v>6902.92</v>
      </c>
      <c r="C26" s="52" t="n">
        <v>294476</v>
      </c>
      <c r="D26" s="57" t="n">
        <f aca="false">C26-C25</f>
        <v>-76</v>
      </c>
      <c r="E26" s="52" t="n">
        <f aca="false">C26-152000</f>
        <v>142476</v>
      </c>
      <c r="F26" s="51" t="n">
        <f aca="false">D26/$D$2</f>
        <v>-38.3161078900933</v>
      </c>
      <c r="G26" s="51" t="n">
        <v>144</v>
      </c>
      <c r="H26" s="87" t="n">
        <v>0</v>
      </c>
      <c r="I26" s="51" t="n">
        <f aca="false">G26+H26</f>
        <v>144</v>
      </c>
      <c r="J26" s="81" t="n">
        <f aca="false">IF(L26&gt;0,L26,0)</f>
        <v>0</v>
      </c>
      <c r="K26" s="51" t="n">
        <f aca="false">I26+J26</f>
        <v>144</v>
      </c>
      <c r="L26" s="51" t="n">
        <f aca="false">F26-(I26-W26)</f>
        <v>-0.316107890093271</v>
      </c>
      <c r="M26" s="51" t="n">
        <v>4</v>
      </c>
      <c r="N26" s="51" t="n">
        <v>0</v>
      </c>
      <c r="O26" s="51" t="n">
        <v>0</v>
      </c>
      <c r="P26" s="6" t="n">
        <f aca="false">M26-(N26+O26)</f>
        <v>4</v>
      </c>
      <c r="Q26" s="51" t="n">
        <v>0</v>
      </c>
      <c r="R26" s="51" t="n">
        <v>0</v>
      </c>
      <c r="S26" s="51" t="n">
        <f aca="false">SUM(P26:R26)</f>
        <v>4</v>
      </c>
      <c r="T26" s="52"/>
      <c r="U26" s="51" t="n">
        <v>0</v>
      </c>
      <c r="V26" s="51" t="n">
        <v>178</v>
      </c>
      <c r="W26" s="6" t="n">
        <f aca="false">N26+O26+S26+U26+V26</f>
        <v>182</v>
      </c>
      <c r="X26" s="51" t="n">
        <f aca="false">IF(L26&lt;0,L26*-1,0)</f>
        <v>0.316107890093271</v>
      </c>
      <c r="Y26" s="51" t="n">
        <f aca="false">W26+X26</f>
        <v>182.316107890093</v>
      </c>
      <c r="Z26" s="56" t="n">
        <v>0</v>
      </c>
      <c r="AA26" s="82" t="n">
        <v>39</v>
      </c>
      <c r="AB26" s="57" t="n">
        <v>17</v>
      </c>
      <c r="AC26" s="58" t="n">
        <f aca="false">AC25+1</f>
        <v>17</v>
      </c>
      <c r="AD26" s="91"/>
      <c r="AE26" s="93"/>
      <c r="AF26" s="92"/>
    </row>
    <row r="27" customFormat="false" ht="11.1" hidden="false" customHeight="true" outlineLevel="0" collapsed="false">
      <c r="A27" s="58" t="n">
        <f aca="false">A26+1</f>
        <v>18</v>
      </c>
      <c r="B27" s="73" t="n">
        <v>6902.88</v>
      </c>
      <c r="C27" s="52" t="n">
        <v>294326</v>
      </c>
      <c r="D27" s="57" t="n">
        <f aca="false">C27-C26</f>
        <v>-150</v>
      </c>
      <c r="E27" s="52" t="n">
        <f aca="false">C27-152000</f>
        <v>142326</v>
      </c>
      <c r="F27" s="51" t="n">
        <f aca="false">D27/$D$2</f>
        <v>-75.6238971514999</v>
      </c>
      <c r="G27" s="51" t="n">
        <v>106</v>
      </c>
      <c r="H27" s="87" t="n">
        <v>0</v>
      </c>
      <c r="I27" s="51" t="n">
        <f aca="false">G27+H27</f>
        <v>106</v>
      </c>
      <c r="J27" s="81" t="n">
        <f aca="false">IF(L27&gt;0,L27,0)</f>
        <v>0.376102848500125</v>
      </c>
      <c r="K27" s="51" t="n">
        <f aca="false">I27+J27</f>
        <v>106.3761028485</v>
      </c>
      <c r="L27" s="51" t="n">
        <f aca="false">F27-(I27-W27)</f>
        <v>0.376102848500125</v>
      </c>
      <c r="M27" s="51" t="n">
        <v>4</v>
      </c>
      <c r="N27" s="51" t="n">
        <v>0</v>
      </c>
      <c r="O27" s="51" t="n">
        <v>0</v>
      </c>
      <c r="P27" s="6" t="n">
        <f aca="false">M27-(N27+O27)</f>
        <v>4</v>
      </c>
      <c r="Q27" s="51" t="n">
        <v>0</v>
      </c>
      <c r="R27" s="51" t="n">
        <v>0</v>
      </c>
      <c r="S27" s="51" t="n">
        <f aca="false">SUM(P27:R27)</f>
        <v>4</v>
      </c>
      <c r="T27" s="52"/>
      <c r="U27" s="51" t="n">
        <v>0</v>
      </c>
      <c r="V27" s="51" t="n">
        <v>178</v>
      </c>
      <c r="W27" s="6" t="n">
        <f aca="false">N27+O27+S27+U27+V27</f>
        <v>182</v>
      </c>
      <c r="X27" s="51" t="n">
        <f aca="false">IF(L27&lt;0,L27*-1,0)</f>
        <v>0</v>
      </c>
      <c r="Y27" s="51" t="n">
        <f aca="false">W27+X27</f>
        <v>182</v>
      </c>
      <c r="Z27" s="97" t="n">
        <v>0</v>
      </c>
      <c r="AA27" s="82" t="n">
        <v>38</v>
      </c>
      <c r="AB27" s="57" t="n">
        <v>18</v>
      </c>
      <c r="AC27" s="58" t="n">
        <f aca="false">AC26+1</f>
        <v>18</v>
      </c>
      <c r="AD27" s="91"/>
      <c r="AE27" s="93"/>
      <c r="AF27" s="92"/>
    </row>
    <row r="28" customFormat="false" ht="11.1" hidden="false" customHeight="true" outlineLevel="0" collapsed="false">
      <c r="A28" s="58" t="n">
        <f aca="false">A27+1</f>
        <v>19</v>
      </c>
      <c r="B28" s="73" t="n">
        <v>6902.86</v>
      </c>
      <c r="C28" s="98" t="n">
        <v>294251</v>
      </c>
      <c r="D28" s="57" t="n">
        <f aca="false">C28-C27</f>
        <v>-75</v>
      </c>
      <c r="E28" s="52" t="n">
        <f aca="false">C28-152000</f>
        <v>142251</v>
      </c>
      <c r="F28" s="51" t="n">
        <f aca="false">D28/$D$2</f>
        <v>-37.8119485757499</v>
      </c>
      <c r="G28" s="51" t="n">
        <v>144</v>
      </c>
      <c r="H28" s="87" t="n">
        <v>0</v>
      </c>
      <c r="I28" s="51" t="n">
        <f aca="false">G28+H28</f>
        <v>144</v>
      </c>
      <c r="J28" s="81" t="n">
        <f aca="false">IF(L28&gt;0,L28,0)</f>
        <v>0.188051424250062</v>
      </c>
      <c r="K28" s="51" t="n">
        <f aca="false">I28+J28</f>
        <v>144.18805142425</v>
      </c>
      <c r="L28" s="51" t="n">
        <f aca="false">F28-(I28-W28)</f>
        <v>0.188051424250062</v>
      </c>
      <c r="M28" s="51" t="n">
        <v>4</v>
      </c>
      <c r="N28" s="51" t="n">
        <v>0</v>
      </c>
      <c r="O28" s="51" t="n">
        <v>0</v>
      </c>
      <c r="P28" s="6" t="n">
        <f aca="false">M28-(N28+O28)</f>
        <v>4</v>
      </c>
      <c r="Q28" s="51" t="n">
        <v>0</v>
      </c>
      <c r="R28" s="51" t="n">
        <v>0</v>
      </c>
      <c r="S28" s="51" t="n">
        <f aca="false">SUM(P28:R28)</f>
        <v>4</v>
      </c>
      <c r="T28" s="52"/>
      <c r="U28" s="51" t="n">
        <v>0</v>
      </c>
      <c r="V28" s="51" t="n">
        <v>178</v>
      </c>
      <c r="W28" s="6" t="n">
        <f aca="false">N28+O28+S28+U28+V28</f>
        <v>182</v>
      </c>
      <c r="X28" s="51" t="n">
        <f aca="false">IF(L28&lt;0,L28*-1,0)</f>
        <v>0</v>
      </c>
      <c r="Y28" s="51" t="n">
        <f aca="false">W28+X28</f>
        <v>182</v>
      </c>
      <c r="Z28" s="56" t="n">
        <v>0</v>
      </c>
      <c r="AA28" s="82" t="n">
        <v>35</v>
      </c>
      <c r="AB28" s="57" t="n">
        <v>17</v>
      </c>
      <c r="AC28" s="58" t="n">
        <f aca="false">AC27+1</f>
        <v>19</v>
      </c>
      <c r="AD28" s="91"/>
      <c r="AE28" s="93"/>
      <c r="AF28" s="92"/>
    </row>
    <row r="29" customFormat="false" ht="11.1" hidden="false" customHeight="true" outlineLevel="0" collapsed="false">
      <c r="A29" s="58" t="n">
        <f aca="false">A28+1</f>
        <v>20</v>
      </c>
      <c r="B29" s="73" t="n">
        <v>6902.82</v>
      </c>
      <c r="C29" s="52" t="n">
        <v>294100</v>
      </c>
      <c r="D29" s="57" t="n">
        <f aca="false">C29-C28</f>
        <v>-151</v>
      </c>
      <c r="E29" s="52" t="n">
        <f aca="false">C29-152000</f>
        <v>142100</v>
      </c>
      <c r="F29" s="51" t="n">
        <f aca="false">D29/$D$2</f>
        <v>-76.1280564658432</v>
      </c>
      <c r="G29" s="51" t="n">
        <v>110</v>
      </c>
      <c r="H29" s="87" t="n">
        <v>0</v>
      </c>
      <c r="I29" s="51" t="n">
        <f aca="false">G29+H29</f>
        <v>110</v>
      </c>
      <c r="J29" s="81" t="n">
        <f aca="false">IF(L29&gt;0,L29,0)</f>
        <v>0.871943534156799</v>
      </c>
      <c r="K29" s="51" t="n">
        <f aca="false">I29+J29</f>
        <v>110.871943534157</v>
      </c>
      <c r="L29" s="51" t="n">
        <f aca="false">F29-(I29-W29)</f>
        <v>0.871943534156799</v>
      </c>
      <c r="M29" s="51" t="n">
        <v>4</v>
      </c>
      <c r="N29" s="51" t="n">
        <v>0</v>
      </c>
      <c r="O29" s="51" t="n">
        <v>0</v>
      </c>
      <c r="P29" s="6" t="n">
        <f aca="false">M29-(N29+O29)</f>
        <v>4</v>
      </c>
      <c r="Q29" s="51" t="n">
        <v>0</v>
      </c>
      <c r="R29" s="51" t="n">
        <v>0</v>
      </c>
      <c r="S29" s="51" t="n">
        <f aca="false">SUM(P29:R29)</f>
        <v>4</v>
      </c>
      <c r="T29" s="52"/>
      <c r="U29" s="51" t="n">
        <v>0</v>
      </c>
      <c r="V29" s="51" t="n">
        <v>183</v>
      </c>
      <c r="W29" s="6" t="n">
        <f aca="false">N29+O29+S29+U29+V29</f>
        <v>187</v>
      </c>
      <c r="X29" s="51" t="n">
        <f aca="false">IF(L29&lt;0,L29*-1,0)</f>
        <v>0</v>
      </c>
      <c r="Y29" s="51" t="n">
        <f aca="false">W29+X29</f>
        <v>187</v>
      </c>
      <c r="Z29" s="56" t="n">
        <v>0.22</v>
      </c>
      <c r="AA29" s="82" t="n">
        <v>35</v>
      </c>
      <c r="AB29" s="57" t="n">
        <v>18</v>
      </c>
      <c r="AC29" s="58" t="n">
        <f aca="false">AC28+1</f>
        <v>20</v>
      </c>
      <c r="AD29" s="91"/>
      <c r="AE29" s="93"/>
      <c r="AF29" s="92"/>
    </row>
    <row r="30" customFormat="false" ht="11.1" hidden="false" customHeight="true" outlineLevel="0" collapsed="false">
      <c r="A30" s="58" t="n">
        <f aca="false">A29+1</f>
        <v>21</v>
      </c>
      <c r="B30" s="73" t="n">
        <v>6902.79</v>
      </c>
      <c r="C30" s="52" t="n">
        <v>293987</v>
      </c>
      <c r="D30" s="57" t="n">
        <f aca="false">C30-C29</f>
        <v>-113</v>
      </c>
      <c r="E30" s="52" t="n">
        <f aca="false">C30-152000</f>
        <v>141987</v>
      </c>
      <c r="F30" s="51" t="n">
        <f aca="false">D30/$D$2</f>
        <v>-56.9700025207966</v>
      </c>
      <c r="G30" s="51" t="n">
        <v>129</v>
      </c>
      <c r="H30" s="87" t="n">
        <v>0</v>
      </c>
      <c r="I30" s="51" t="n">
        <f aca="false">G30+H30</f>
        <v>129</v>
      </c>
      <c r="J30" s="81" t="n">
        <f aca="false">IF(L30&gt;0,L30,0)</f>
        <v>1.02999747920343</v>
      </c>
      <c r="K30" s="51" t="n">
        <f aca="false">I30+J30</f>
        <v>130.029997479203</v>
      </c>
      <c r="L30" s="51" t="n">
        <f aca="false">F30-(I30-W30)</f>
        <v>1.02999747920343</v>
      </c>
      <c r="M30" s="51" t="n">
        <v>4</v>
      </c>
      <c r="N30" s="51" t="n">
        <v>0</v>
      </c>
      <c r="O30" s="51" t="n">
        <v>0</v>
      </c>
      <c r="P30" s="6" t="n">
        <f aca="false">M30-(N30+O30)</f>
        <v>4</v>
      </c>
      <c r="Q30" s="51" t="n">
        <v>0</v>
      </c>
      <c r="R30" s="51" t="n">
        <v>0</v>
      </c>
      <c r="S30" s="51" t="n">
        <f aca="false">SUM(P30:R30)</f>
        <v>4</v>
      </c>
      <c r="T30" s="52"/>
      <c r="U30" s="51" t="n">
        <v>0</v>
      </c>
      <c r="V30" s="51" t="n">
        <v>183</v>
      </c>
      <c r="W30" s="6" t="n">
        <f aca="false">N30+O30+S30+U30+V30</f>
        <v>187</v>
      </c>
      <c r="X30" s="51" t="n">
        <f aca="false">IF(L30&lt;0,L30*-1,0)</f>
        <v>0</v>
      </c>
      <c r="Y30" s="51" t="n">
        <f aca="false">W30+X30</f>
        <v>187</v>
      </c>
      <c r="Z30" s="56" t="n">
        <v>0</v>
      </c>
      <c r="AA30" s="57" t="n">
        <v>37</v>
      </c>
      <c r="AB30" s="57" t="n">
        <v>8</v>
      </c>
      <c r="AC30" s="58" t="n">
        <f aca="false">AC29+1</f>
        <v>21</v>
      </c>
      <c r="AD30" s="91"/>
      <c r="AE30" s="93"/>
      <c r="AF30" s="92"/>
    </row>
    <row r="31" customFormat="false" ht="11.1" hidden="false" customHeight="true" outlineLevel="0" collapsed="false">
      <c r="A31" s="58" t="n">
        <f aca="false">A30+1</f>
        <v>22</v>
      </c>
      <c r="B31" s="73" t="n">
        <v>6902.76</v>
      </c>
      <c r="C31" s="52" t="n">
        <v>293874</v>
      </c>
      <c r="D31" s="57" t="n">
        <f aca="false">C31-C30</f>
        <v>-113</v>
      </c>
      <c r="E31" s="52" t="n">
        <f aca="false">C31-152000</f>
        <v>141874</v>
      </c>
      <c r="F31" s="51" t="n">
        <f aca="false">D31/$D$2</f>
        <v>-56.9700025207966</v>
      </c>
      <c r="G31" s="51" t="n">
        <v>129</v>
      </c>
      <c r="H31" s="87" t="n">
        <v>0</v>
      </c>
      <c r="I31" s="51" t="n">
        <f aca="false">G31+H31</f>
        <v>129</v>
      </c>
      <c r="J31" s="81" t="n">
        <f aca="false">IF(L31&gt;0,L31,0)</f>
        <v>1.02999747920343</v>
      </c>
      <c r="K31" s="51" t="n">
        <f aca="false">I31+J31</f>
        <v>130.029997479203</v>
      </c>
      <c r="L31" s="51" t="n">
        <f aca="false">F31-(I31-W31)</f>
        <v>1.02999747920343</v>
      </c>
      <c r="M31" s="51" t="n">
        <v>4</v>
      </c>
      <c r="N31" s="51" t="n">
        <v>0</v>
      </c>
      <c r="O31" s="51" t="n">
        <v>0</v>
      </c>
      <c r="P31" s="6" t="n">
        <f aca="false">M31-(N31+O31)</f>
        <v>4</v>
      </c>
      <c r="Q31" s="51" t="n">
        <v>0</v>
      </c>
      <c r="R31" s="51" t="n">
        <v>0</v>
      </c>
      <c r="S31" s="51" t="n">
        <f aca="false">SUM(P31:R31)</f>
        <v>4</v>
      </c>
      <c r="T31" s="52"/>
      <c r="U31" s="51" t="n">
        <v>0</v>
      </c>
      <c r="V31" s="51" t="n">
        <v>183</v>
      </c>
      <c r="W31" s="6" t="n">
        <f aca="false">N31+O31+S31+U31+V31</f>
        <v>187</v>
      </c>
      <c r="X31" s="51" t="n">
        <f aca="false">IF(L31&lt;0,L31*-1,0)</f>
        <v>0</v>
      </c>
      <c r="Y31" s="51" t="n">
        <f aca="false">W31+X31</f>
        <v>187</v>
      </c>
      <c r="Z31" s="56" t="n">
        <v>0</v>
      </c>
      <c r="AA31" s="57" t="n">
        <v>38</v>
      </c>
      <c r="AB31" s="57" t="n">
        <v>14</v>
      </c>
      <c r="AC31" s="58" t="n">
        <f aca="false">AC30+1</f>
        <v>22</v>
      </c>
      <c r="AD31" s="91"/>
      <c r="AE31" s="93"/>
      <c r="AF31" s="92"/>
    </row>
    <row r="32" customFormat="false" ht="11.1" hidden="false" customHeight="true" outlineLevel="0" collapsed="false">
      <c r="A32" s="58" t="n">
        <f aca="false">A31+1</f>
        <v>23</v>
      </c>
      <c r="B32" s="73" t="n">
        <v>6902.73</v>
      </c>
      <c r="C32" s="52" t="n">
        <v>293761</v>
      </c>
      <c r="D32" s="57" t="n">
        <f aca="false">C32-C31</f>
        <v>-113</v>
      </c>
      <c r="E32" s="52" t="n">
        <f aca="false">C32-152000</f>
        <v>141761</v>
      </c>
      <c r="F32" s="51" t="n">
        <f aca="false">D32/$D$2</f>
        <v>-56.9700025207966</v>
      </c>
      <c r="G32" s="51" t="n">
        <v>130</v>
      </c>
      <c r="H32" s="87" t="n">
        <v>0</v>
      </c>
      <c r="I32" s="51" t="n">
        <f aca="false">G32+H32</f>
        <v>130</v>
      </c>
      <c r="J32" s="81" t="n">
        <f aca="false">IF(L32&gt;0,L32,0)</f>
        <v>0.0299974792034305</v>
      </c>
      <c r="K32" s="51" t="n">
        <f aca="false">I32+J32</f>
        <v>130.029997479203</v>
      </c>
      <c r="L32" s="51" t="n">
        <f aca="false">F32-(I32-W32)</f>
        <v>0.0299974792034305</v>
      </c>
      <c r="M32" s="51" t="n">
        <v>4</v>
      </c>
      <c r="N32" s="51" t="n">
        <v>0</v>
      </c>
      <c r="O32" s="51" t="n">
        <v>0</v>
      </c>
      <c r="P32" s="6" t="n">
        <f aca="false">M32-(N32+O32)</f>
        <v>4</v>
      </c>
      <c r="Q32" s="51" t="n">
        <v>0</v>
      </c>
      <c r="R32" s="51" t="n">
        <v>0</v>
      </c>
      <c r="S32" s="51" t="n">
        <f aca="false">SUM(P32:R32)</f>
        <v>4</v>
      </c>
      <c r="T32" s="52"/>
      <c r="U32" s="51" t="n">
        <v>0</v>
      </c>
      <c r="V32" s="51" t="n">
        <v>183</v>
      </c>
      <c r="W32" s="6" t="n">
        <f aca="false">N32+O32+S32+U32+V32</f>
        <v>187</v>
      </c>
      <c r="X32" s="51" t="n">
        <f aca="false">IF(L32&lt;0,L32*-1,0)</f>
        <v>0</v>
      </c>
      <c r="Y32" s="51" t="n">
        <f aca="false">W32+X32</f>
        <v>187</v>
      </c>
      <c r="Z32" s="56" t="n">
        <v>0</v>
      </c>
      <c r="AA32" s="57" t="n">
        <v>37</v>
      </c>
      <c r="AB32" s="82" t="n">
        <v>27</v>
      </c>
      <c r="AC32" s="58" t="n">
        <f aca="false">AC31+1</f>
        <v>23</v>
      </c>
      <c r="AD32" s="91"/>
      <c r="AE32" s="93"/>
      <c r="AF32" s="92"/>
    </row>
    <row r="33" customFormat="false" ht="11.1" hidden="false" customHeight="true" outlineLevel="0" collapsed="false">
      <c r="A33" s="58" t="n">
        <f aca="false">A32+1</f>
        <v>24</v>
      </c>
      <c r="B33" s="73" t="n">
        <v>6902.76</v>
      </c>
      <c r="C33" s="52" t="n">
        <v>293874</v>
      </c>
      <c r="D33" s="57" t="n">
        <f aca="false">C33-C32</f>
        <v>113</v>
      </c>
      <c r="E33" s="52" t="n">
        <f aca="false">C33-152000</f>
        <v>141874</v>
      </c>
      <c r="F33" s="51" t="n">
        <f aca="false">D33/$D$2</f>
        <v>56.9700025207966</v>
      </c>
      <c r="G33" s="51" t="n">
        <v>208</v>
      </c>
      <c r="H33" s="87" t="n">
        <v>0</v>
      </c>
      <c r="I33" s="51" t="n">
        <f aca="false">G33+H33</f>
        <v>208</v>
      </c>
      <c r="J33" s="81" t="n">
        <f aca="false">IF(L33&gt;0,L33,0)</f>
        <v>0.970002520796569</v>
      </c>
      <c r="K33" s="51" t="n">
        <f aca="false">I33+J33</f>
        <v>208.970002520797</v>
      </c>
      <c r="L33" s="51" t="n">
        <f aca="false">F33-(I33-W33)</f>
        <v>0.970002520796569</v>
      </c>
      <c r="M33" s="51" t="n">
        <v>5</v>
      </c>
      <c r="N33" s="51" t="n">
        <v>0</v>
      </c>
      <c r="O33" s="51" t="n">
        <v>0</v>
      </c>
      <c r="P33" s="6" t="n">
        <f aca="false">M33-(N33+O33)</f>
        <v>5</v>
      </c>
      <c r="Q33" s="51" t="n">
        <v>0</v>
      </c>
      <c r="R33" s="51" t="n">
        <v>0</v>
      </c>
      <c r="S33" s="51" t="n">
        <f aca="false">SUM(P33:R33)</f>
        <v>5</v>
      </c>
      <c r="T33" s="52"/>
      <c r="U33" s="51" t="n">
        <v>0</v>
      </c>
      <c r="V33" s="51" t="n">
        <v>147</v>
      </c>
      <c r="W33" s="6" t="n">
        <f aca="false">N33+O33+S33+U33+V33</f>
        <v>152</v>
      </c>
      <c r="X33" s="51" t="n">
        <f aca="false">IF(L33&lt;0,L33*-1,0)</f>
        <v>0</v>
      </c>
      <c r="Y33" s="51" t="n">
        <f aca="false">W33+X33</f>
        <v>152</v>
      </c>
      <c r="Z33" s="56" t="n">
        <v>0.46</v>
      </c>
      <c r="AA33" s="57" t="n">
        <v>33</v>
      </c>
      <c r="AB33" s="82" t="n">
        <v>25</v>
      </c>
      <c r="AC33" s="58" t="n">
        <f aca="false">AC32+1</f>
        <v>24</v>
      </c>
      <c r="AD33" s="91"/>
      <c r="AE33" s="93"/>
      <c r="AF33" s="92"/>
    </row>
    <row r="34" customFormat="false" ht="11.1" hidden="false" customHeight="true" outlineLevel="0" collapsed="false">
      <c r="A34" s="58" t="n">
        <f aca="false">A33+1</f>
        <v>25</v>
      </c>
      <c r="B34" s="73" t="n">
        <v>6902.79</v>
      </c>
      <c r="C34" s="52" t="n">
        <v>293987</v>
      </c>
      <c r="D34" s="57" t="n">
        <f aca="false">C34-C33</f>
        <v>113</v>
      </c>
      <c r="E34" s="52" t="n">
        <f aca="false">C34-152000</f>
        <v>141987</v>
      </c>
      <c r="F34" s="51" t="n">
        <f aca="false">D34/$D$2</f>
        <v>56.9700025207966</v>
      </c>
      <c r="G34" s="51" t="n">
        <v>187</v>
      </c>
      <c r="H34" s="87" t="n">
        <v>0</v>
      </c>
      <c r="I34" s="51" t="n">
        <f aca="false">G34+H34</f>
        <v>187</v>
      </c>
      <c r="J34" s="81" t="n">
        <f aca="false">IF(L34&gt;0,L34,0)</f>
        <v>0</v>
      </c>
      <c r="K34" s="51" t="n">
        <f aca="false">I34+J34</f>
        <v>187</v>
      </c>
      <c r="L34" s="51" t="n">
        <f aca="false">F34-(I34-W34)</f>
        <v>-0.0299974792034305</v>
      </c>
      <c r="M34" s="51" t="n">
        <v>5</v>
      </c>
      <c r="N34" s="51" t="n">
        <v>0</v>
      </c>
      <c r="O34" s="51" t="n">
        <v>0</v>
      </c>
      <c r="P34" s="6" t="n">
        <f aca="false">M34-(N34+O34)</f>
        <v>5</v>
      </c>
      <c r="Q34" s="51" t="n">
        <v>0</v>
      </c>
      <c r="R34" s="51" t="n">
        <v>0</v>
      </c>
      <c r="S34" s="51" t="n">
        <f aca="false">SUM(P34:R34)</f>
        <v>5</v>
      </c>
      <c r="T34" s="52"/>
      <c r="U34" s="51" t="n">
        <v>0</v>
      </c>
      <c r="V34" s="51" t="n">
        <v>125</v>
      </c>
      <c r="W34" s="6" t="n">
        <f aca="false">N34+O34+S34+U34+V34</f>
        <v>130</v>
      </c>
      <c r="X34" s="51" t="n">
        <f aca="false">IF(L34&lt;0,L34*-1,0)</f>
        <v>0.0299974792034305</v>
      </c>
      <c r="Y34" s="51" t="n">
        <f aca="false">W34+X34</f>
        <v>130.029997479203</v>
      </c>
      <c r="Z34" s="56" t="n">
        <v>0.24</v>
      </c>
      <c r="AA34" s="57" t="n">
        <v>31</v>
      </c>
      <c r="AB34" s="82" t="n">
        <v>20</v>
      </c>
      <c r="AC34" s="58" t="n">
        <f aca="false">AC33+1</f>
        <v>25</v>
      </c>
      <c r="AD34" s="91"/>
      <c r="AE34" s="93"/>
      <c r="AF34" s="92"/>
    </row>
    <row r="35" customFormat="false" ht="11.1" hidden="false" customHeight="true" outlineLevel="0" collapsed="false">
      <c r="A35" s="58" t="n">
        <f aca="false">A34+1</f>
        <v>26</v>
      </c>
      <c r="B35" s="73" t="n">
        <v>6902.78</v>
      </c>
      <c r="C35" s="52" t="n">
        <v>293950</v>
      </c>
      <c r="D35" s="57" t="n">
        <f aca="false">C35-C34</f>
        <v>-37</v>
      </c>
      <c r="E35" s="52" t="n">
        <f aca="false">C35-152000</f>
        <v>141950</v>
      </c>
      <c r="F35" s="51" t="n">
        <f aca="false">D35/$D$2</f>
        <v>-18.6538946307033</v>
      </c>
      <c r="G35" s="51" t="n">
        <v>135</v>
      </c>
      <c r="H35" s="87" t="n">
        <v>0</v>
      </c>
      <c r="I35" s="51" t="n">
        <f aca="false">G35+H35</f>
        <v>135</v>
      </c>
      <c r="J35" s="81" t="n">
        <f aca="false">IF(L35&gt;0,L35,0)</f>
        <v>0.346105369296698</v>
      </c>
      <c r="K35" s="51" t="n">
        <f aca="false">I35+J35</f>
        <v>135.346105369297</v>
      </c>
      <c r="L35" s="51" t="n">
        <f aca="false">F35-(I35-W35)</f>
        <v>0.346105369296698</v>
      </c>
      <c r="M35" s="51" t="n">
        <v>5</v>
      </c>
      <c r="N35" s="51" t="n">
        <v>0</v>
      </c>
      <c r="O35" s="51" t="n">
        <v>0</v>
      </c>
      <c r="P35" s="6" t="n">
        <f aca="false">M35-(N35+O35)</f>
        <v>5</v>
      </c>
      <c r="Q35" s="51" t="n">
        <v>0</v>
      </c>
      <c r="R35" s="51" t="n">
        <v>0</v>
      </c>
      <c r="S35" s="51" t="n">
        <f aca="false">SUM(P35:R35)</f>
        <v>5</v>
      </c>
      <c r="T35" s="52"/>
      <c r="U35" s="51" t="n">
        <v>0</v>
      </c>
      <c r="V35" s="51" t="n">
        <v>149</v>
      </c>
      <c r="W35" s="6" t="n">
        <f aca="false">N35+O35+S35+U35+V35</f>
        <v>154</v>
      </c>
      <c r="X35" s="51" t="n">
        <f aca="false">IF(L35&lt;0,L35*-1,0)</f>
        <v>0</v>
      </c>
      <c r="Y35" s="51" t="n">
        <f aca="false">W35+X35</f>
        <v>154</v>
      </c>
      <c r="Z35" s="56" t="n">
        <v>0.31</v>
      </c>
      <c r="AA35" s="57" t="n">
        <v>30</v>
      </c>
      <c r="AB35" s="57" t="n">
        <v>24</v>
      </c>
      <c r="AC35" s="58" t="n">
        <f aca="false">AC34+1</f>
        <v>26</v>
      </c>
      <c r="AD35" s="91"/>
      <c r="AE35" s="93"/>
      <c r="AF35" s="92"/>
    </row>
    <row r="36" customFormat="false" ht="11.1" hidden="false" customHeight="true" outlineLevel="0" collapsed="false">
      <c r="A36" s="58" t="n">
        <f aca="false">A35+1</f>
        <v>27</v>
      </c>
      <c r="B36" s="73" t="n">
        <v>6902.74</v>
      </c>
      <c r="C36" s="52" t="n">
        <v>293799</v>
      </c>
      <c r="D36" s="57" t="n">
        <f aca="false">C36-C35</f>
        <v>-151</v>
      </c>
      <c r="E36" s="52" t="n">
        <f aca="false">C36-152000</f>
        <v>141799</v>
      </c>
      <c r="F36" s="51" t="n">
        <f aca="false">D36/$D$2</f>
        <v>-76.1280564658432</v>
      </c>
      <c r="G36" s="51" t="n">
        <v>93</v>
      </c>
      <c r="H36" s="87" t="n">
        <v>0</v>
      </c>
      <c r="I36" s="51" t="n">
        <f aca="false">G36+H36</f>
        <v>93</v>
      </c>
      <c r="J36" s="81" t="n">
        <f aca="false">IF(L36&gt;0,L36,0)</f>
        <v>0</v>
      </c>
      <c r="K36" s="51" t="n">
        <f aca="false">I36+J36</f>
        <v>93</v>
      </c>
      <c r="L36" s="51" t="n">
        <f aca="false">F36-(I36-W36)</f>
        <v>-0.128056465843201</v>
      </c>
      <c r="M36" s="51" t="n">
        <v>5</v>
      </c>
      <c r="N36" s="51" t="n">
        <v>0</v>
      </c>
      <c r="O36" s="51" t="n">
        <v>0</v>
      </c>
      <c r="P36" s="6" t="n">
        <f aca="false">M36-(N36+O36)</f>
        <v>5</v>
      </c>
      <c r="Q36" s="51" t="n">
        <v>0</v>
      </c>
      <c r="R36" s="51" t="n">
        <v>0</v>
      </c>
      <c r="S36" s="51" t="n">
        <f aca="false">SUM(P36:R36)</f>
        <v>5</v>
      </c>
      <c r="T36" s="52"/>
      <c r="U36" s="51" t="n">
        <v>0</v>
      </c>
      <c r="V36" s="51" t="n">
        <v>164</v>
      </c>
      <c r="W36" s="6" t="n">
        <f aca="false">N36+O36+S36+U36+V36</f>
        <v>169</v>
      </c>
      <c r="X36" s="51" t="n">
        <f aca="false">IF(L36&lt;0,L36*-1,0)</f>
        <v>0.128056465843201</v>
      </c>
      <c r="Y36" s="51" t="n">
        <f aca="false">W36+X36</f>
        <v>169.128056465843</v>
      </c>
      <c r="Z36" s="56" t="n">
        <v>0</v>
      </c>
      <c r="AA36" s="57" t="n">
        <v>29</v>
      </c>
      <c r="AB36" s="57" t="n">
        <v>7</v>
      </c>
      <c r="AC36" s="58" t="n">
        <f aca="false">AC35+1</f>
        <v>27</v>
      </c>
      <c r="AD36" s="91"/>
      <c r="AE36" s="93"/>
      <c r="AF36" s="92"/>
    </row>
    <row r="37" customFormat="false" ht="11.1" hidden="false" customHeight="true" outlineLevel="0" collapsed="false">
      <c r="A37" s="58" t="n">
        <v>28</v>
      </c>
      <c r="B37" s="73" t="n">
        <v>6902.7</v>
      </c>
      <c r="C37" s="52" t="n">
        <v>293649</v>
      </c>
      <c r="D37" s="57" t="n">
        <f aca="false">C37-C36</f>
        <v>-150</v>
      </c>
      <c r="E37" s="52" t="n">
        <f aca="false">C37-152000</f>
        <v>141649</v>
      </c>
      <c r="F37" s="51" t="n">
        <f aca="false">D37/$D$2</f>
        <v>-75.6238971514999</v>
      </c>
      <c r="G37" s="51" t="n">
        <v>92</v>
      </c>
      <c r="H37" s="87" t="n">
        <v>0</v>
      </c>
      <c r="I37" s="51" t="n">
        <f aca="false">G37+H37</f>
        <v>92</v>
      </c>
      <c r="J37" s="81" t="n">
        <f aca="false">IF(L37&gt;0,L37,0)</f>
        <v>0.376102848500125</v>
      </c>
      <c r="K37" s="51" t="n">
        <f aca="false">I37+J37</f>
        <v>92.3761028485001</v>
      </c>
      <c r="L37" s="51" t="n">
        <f aca="false">F37-(I37-W37)</f>
        <v>0.376102848500125</v>
      </c>
      <c r="M37" s="51" t="n">
        <v>5</v>
      </c>
      <c r="N37" s="51" t="n">
        <v>0</v>
      </c>
      <c r="O37" s="51" t="n">
        <v>0</v>
      </c>
      <c r="P37" s="6" t="n">
        <f aca="false">M37-(N37+O37)</f>
        <v>5</v>
      </c>
      <c r="Q37" s="51" t="n">
        <v>0</v>
      </c>
      <c r="R37" s="51" t="n">
        <v>0</v>
      </c>
      <c r="S37" s="51" t="n">
        <f aca="false">SUM(P37:R37)</f>
        <v>5</v>
      </c>
      <c r="T37" s="52"/>
      <c r="U37" s="51" t="n">
        <v>0</v>
      </c>
      <c r="V37" s="51" t="n">
        <v>163</v>
      </c>
      <c r="W37" s="6" t="n">
        <f aca="false">N37+O37+S37+U37+V37</f>
        <v>168</v>
      </c>
      <c r="X37" s="51" t="n">
        <f aca="false">IF(L37&lt;0,L37*-1,0)</f>
        <v>0</v>
      </c>
      <c r="Y37" s="51" t="n">
        <f aca="false">W37+X37</f>
        <v>168</v>
      </c>
      <c r="Z37" s="56" t="n">
        <v>0</v>
      </c>
      <c r="AA37" s="57" t="n">
        <v>37</v>
      </c>
      <c r="AB37" s="57" t="n">
        <v>5</v>
      </c>
      <c r="AC37" s="58" t="n">
        <v>28</v>
      </c>
      <c r="AD37" s="91"/>
      <c r="AE37" s="93"/>
      <c r="AF37" s="92"/>
    </row>
    <row r="38" customFormat="false" ht="3" hidden="false" customHeight="true" outlineLevel="0" collapsed="false">
      <c r="A38" s="74"/>
      <c r="B38" s="74"/>
      <c r="C38" s="76"/>
      <c r="D38" s="74"/>
      <c r="E38" s="76"/>
      <c r="F38" s="74"/>
      <c r="G38" s="74"/>
      <c r="H38" s="9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6"/>
      <c r="U38" s="74"/>
      <c r="V38" s="74"/>
      <c r="W38" s="74"/>
      <c r="X38" s="74"/>
      <c r="Y38" s="74"/>
      <c r="Z38" s="78"/>
      <c r="AA38" s="79"/>
      <c r="AB38" s="79"/>
      <c r="AC38" s="80"/>
      <c r="AD38" s="91"/>
      <c r="AE38" s="91"/>
      <c r="AF38" s="92"/>
    </row>
    <row r="39" customFormat="false" ht="11.1" hidden="false" customHeight="true" outlineLevel="0" collapsed="false">
      <c r="A39" s="51" t="s">
        <v>44</v>
      </c>
      <c r="B39" s="51"/>
      <c r="C39" s="52"/>
      <c r="D39" s="52"/>
      <c r="E39" s="52"/>
      <c r="F39" s="52" t="n">
        <f aca="false">SUM(F10:F37)</f>
        <v>38.3161078900933</v>
      </c>
      <c r="G39" s="52" t="n">
        <f aca="false">SUM(G10:G37)</f>
        <v>4079</v>
      </c>
      <c r="H39" s="87" t="n">
        <f aca="false">SUM(H10:H37)</f>
        <v>0</v>
      </c>
      <c r="I39" s="52" t="n">
        <f aca="false">SUM(I10:I37)</f>
        <v>4079</v>
      </c>
      <c r="J39" s="52" t="n">
        <f aca="false">SUM(J10:J37)</f>
        <v>10.2346861608268</v>
      </c>
      <c r="K39" s="52" t="n">
        <f aca="false">SUM(K10:K37)</f>
        <v>4089.23468616083</v>
      </c>
      <c r="L39" s="52" t="n">
        <f aca="false">SUM(L10:L37)</f>
        <v>8.31610789009326</v>
      </c>
      <c r="M39" s="52" t="n">
        <f aca="false">SUM(M10:M37)</f>
        <v>199</v>
      </c>
      <c r="N39" s="52" t="n">
        <f aca="false">SUM(N10:N37)</f>
        <v>0</v>
      </c>
      <c r="O39" s="52" t="n">
        <f aca="false">SUM(O10:O37)</f>
        <v>0</v>
      </c>
      <c r="P39" s="52" t="n">
        <f aca="false">SUM(P10:P37)</f>
        <v>199</v>
      </c>
      <c r="Q39" s="52" t="n">
        <f aca="false">SUM(Q10:Q37)</f>
        <v>0</v>
      </c>
      <c r="R39" s="52" t="n">
        <f aca="false">SUM(R10:R37)</f>
        <v>0</v>
      </c>
      <c r="S39" s="52" t="n">
        <f aca="false">SUM(S10:S37)</f>
        <v>199</v>
      </c>
      <c r="T39" s="52"/>
      <c r="U39" s="52" t="n">
        <f aca="false">SUM(U10:U37)</f>
        <v>0</v>
      </c>
      <c r="V39" s="52" t="n">
        <f aca="false">SUM(V10:V37)</f>
        <v>3850</v>
      </c>
      <c r="W39" s="52" t="n">
        <f aca="false">SUM(W10:W37)</f>
        <v>4049</v>
      </c>
      <c r="X39" s="52" t="n">
        <f aca="false">SUM(X10:X37)</f>
        <v>1.91857827073355</v>
      </c>
      <c r="Y39" s="52" t="n">
        <f aca="false">SUM(Y10:Y37)</f>
        <v>4050.91857827073</v>
      </c>
      <c r="Z39" s="56" t="n">
        <f aca="false">SUM(Z10:Z37)</f>
        <v>1.82</v>
      </c>
      <c r="AA39" s="57" t="n">
        <f aca="false">AVERAGE(AA10:AA37)</f>
        <v>42.7142857142857</v>
      </c>
      <c r="AB39" s="57" t="n">
        <f aca="false">AVERAGE(AB10:AB37)</f>
        <v>21.0357142857143</v>
      </c>
      <c r="AC39" s="58" t="s">
        <v>57</v>
      </c>
      <c r="AD39" s="91"/>
      <c r="AE39" s="91"/>
      <c r="AF39" s="92"/>
    </row>
    <row r="40" customFormat="false" ht="11.1" hidden="false" customHeight="true" outlineLevel="0" collapsed="false">
      <c r="A40" s="51" t="s">
        <v>46</v>
      </c>
      <c r="B40" s="51"/>
      <c r="C40" s="52"/>
      <c r="D40" s="52" t="n">
        <f aca="false">SUM(D10:D37)</f>
        <v>76</v>
      </c>
      <c r="E40" s="52"/>
      <c r="F40" s="52" t="n">
        <f aca="false">F39*$D$2</f>
        <v>76</v>
      </c>
      <c r="G40" s="52" t="n">
        <f aca="false">G39*$D$2</f>
        <v>8090.6965</v>
      </c>
      <c r="H40" s="87" t="n">
        <f aca="false">H39*$D$2</f>
        <v>0</v>
      </c>
      <c r="I40" s="52" t="n">
        <f aca="false">I39*$D$2</f>
        <v>8090.6965</v>
      </c>
      <c r="J40" s="52" t="n">
        <f aca="false">J39*$D$2</f>
        <v>20.3005</v>
      </c>
      <c r="K40" s="52" t="n">
        <f aca="false">K39*$D$2</f>
        <v>8110.997</v>
      </c>
      <c r="L40" s="52" t="n">
        <f aca="false">L39*$D$2</f>
        <v>16.495</v>
      </c>
      <c r="M40" s="52" t="n">
        <f aca="false">M39*$D$2</f>
        <v>394.7165</v>
      </c>
      <c r="N40" s="52" t="n">
        <f aca="false">N39*$D$2</f>
        <v>0</v>
      </c>
      <c r="O40" s="52" t="n">
        <f aca="false">O39*$D$2</f>
        <v>0</v>
      </c>
      <c r="P40" s="52" t="n">
        <f aca="false">P39*$D$2</f>
        <v>394.7165</v>
      </c>
      <c r="Q40" s="52" t="n">
        <f aca="false">Q39*$D$2</f>
        <v>0</v>
      </c>
      <c r="R40" s="52" t="n">
        <f aca="false">R39*$D$2</f>
        <v>0</v>
      </c>
      <c r="S40" s="52" t="n">
        <f aca="false">S39*$D$2</f>
        <v>394.7165</v>
      </c>
      <c r="T40" s="52"/>
      <c r="U40" s="52" t="n">
        <f aca="false">U39*$D$2</f>
        <v>0</v>
      </c>
      <c r="V40" s="52" t="n">
        <f aca="false">V39*$D$2</f>
        <v>7636.475</v>
      </c>
      <c r="W40" s="52" t="n">
        <f aca="false">W39*$D$2</f>
        <v>8031.1915</v>
      </c>
      <c r="X40" s="52" t="n">
        <f aca="false">X39*$D$2</f>
        <v>3.80550000000001</v>
      </c>
      <c r="Y40" s="52" t="n">
        <f aca="false">Y39*$D$2</f>
        <v>8034.997</v>
      </c>
      <c r="Z40" s="56"/>
      <c r="AA40" s="57" t="n">
        <f aca="false">MAX(AA10:AA37)</f>
        <v>57</v>
      </c>
      <c r="AB40" s="57" t="n">
        <f aca="false">MAX(AB10:AB37)</f>
        <v>30</v>
      </c>
      <c r="AC40" s="58" t="s">
        <v>47</v>
      </c>
      <c r="AD40" s="91"/>
      <c r="AE40" s="91"/>
      <c r="AF40" s="92"/>
    </row>
    <row r="41" customFormat="false" ht="3" hidden="false" customHeight="true" outlineLevel="0" collapsed="false">
      <c r="A41" s="74"/>
      <c r="B41" s="74"/>
      <c r="C41" s="76"/>
      <c r="D41" s="76"/>
      <c r="E41" s="76"/>
      <c r="F41" s="76"/>
      <c r="G41" s="76"/>
      <c r="H41" s="94"/>
      <c r="I41" s="76"/>
      <c r="J41" s="76"/>
      <c r="K41" s="76"/>
      <c r="L41" s="76"/>
      <c r="M41" s="76"/>
      <c r="N41" s="76"/>
      <c r="O41" s="76"/>
      <c r="P41" s="76"/>
      <c r="Q41" s="76"/>
      <c r="R41" s="76"/>
      <c r="S41" s="76"/>
      <c r="T41" s="76"/>
      <c r="U41" s="76"/>
      <c r="V41" s="76"/>
      <c r="W41" s="76"/>
      <c r="X41" s="76"/>
      <c r="Y41" s="76"/>
      <c r="Z41" s="56"/>
      <c r="AA41" s="57"/>
      <c r="AB41" s="57"/>
      <c r="AC41" s="58"/>
      <c r="AD41" s="91"/>
      <c r="AE41" s="91"/>
      <c r="AF41" s="92"/>
    </row>
    <row r="42" customFormat="false" ht="11.1" hidden="false" customHeight="true" outlineLevel="0" collapsed="false">
      <c r="A42" s="51" t="s">
        <v>48</v>
      </c>
      <c r="B42" s="51"/>
      <c r="C42" s="52"/>
      <c r="D42" s="52"/>
      <c r="E42" s="52"/>
      <c r="F42" s="52"/>
      <c r="G42" s="52"/>
      <c r="H42" s="87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6"/>
      <c r="AA42" s="57" t="n">
        <f aca="false">MIN(AA10:AA37)</f>
        <v>29</v>
      </c>
      <c r="AB42" s="57" t="n">
        <f aca="false">MIN(AB10:AB37)</f>
        <v>5</v>
      </c>
      <c r="AC42" s="58" t="s">
        <v>49</v>
      </c>
      <c r="AD42" s="91"/>
      <c r="AE42" s="91"/>
      <c r="AF42" s="92"/>
    </row>
    <row r="43" customFormat="false" ht="11.1" hidden="false" customHeight="true" outlineLevel="0" collapsed="false">
      <c r="A43" s="51" t="s">
        <v>50</v>
      </c>
      <c r="B43" s="51"/>
      <c r="C43" s="52"/>
      <c r="D43" s="52"/>
      <c r="E43" s="52"/>
      <c r="F43" s="52"/>
      <c r="G43" s="52"/>
      <c r="H43" s="87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6"/>
      <c r="AA43" s="57"/>
      <c r="AB43" s="57"/>
      <c r="AC43" s="58"/>
      <c r="AD43" s="91"/>
      <c r="AE43" s="91"/>
      <c r="AF43" s="92"/>
    </row>
    <row r="44" customFormat="false" ht="3" hidden="false" customHeight="true" outlineLevel="0" collapsed="false">
      <c r="A44" s="74"/>
      <c r="B44" s="74"/>
      <c r="C44" s="76"/>
      <c r="D44" s="76"/>
      <c r="E44" s="76"/>
      <c r="F44" s="76"/>
      <c r="G44" s="76"/>
      <c r="H44" s="94"/>
      <c r="I44" s="76"/>
      <c r="J44" s="76"/>
      <c r="K44" s="76"/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76"/>
      <c r="W44" s="76"/>
      <c r="X44" s="76"/>
      <c r="Y44" s="76"/>
      <c r="Z44" s="78"/>
      <c r="AA44" s="57"/>
      <c r="AB44" s="57"/>
      <c r="AC44" s="58"/>
      <c r="AD44" s="91"/>
      <c r="AE44" s="91"/>
      <c r="AF44" s="92"/>
    </row>
    <row r="45" customFormat="false" ht="11.1" hidden="false" customHeight="true" outlineLevel="0" collapsed="false">
      <c r="A45" s="51" t="s">
        <v>51</v>
      </c>
      <c r="B45" s="51"/>
      <c r="C45" s="52"/>
      <c r="D45" s="52"/>
      <c r="E45" s="52"/>
      <c r="F45" s="52" t="n">
        <f aca="false">F8+F39</f>
        <v>1742.37459037056</v>
      </c>
      <c r="G45" s="52" t="n">
        <f aca="false">G8+G39</f>
        <v>24127</v>
      </c>
      <c r="H45" s="87" t="n">
        <f aca="false">H8+H39</f>
        <v>1913</v>
      </c>
      <c r="I45" s="52" t="n">
        <f aca="false">I8+I39</f>
        <v>25498.9</v>
      </c>
      <c r="J45" s="52" t="n">
        <f aca="false">J8+J39</f>
        <v>3901.08462314091</v>
      </c>
      <c r="K45" s="52" t="n">
        <f aca="false">K8+K39</f>
        <v>29399.9846231409</v>
      </c>
      <c r="L45" s="52" t="n">
        <f aca="false">L8+L39</f>
        <v>2887.47459037056</v>
      </c>
      <c r="M45" s="52" t="n">
        <f aca="false">M8+M39</f>
        <v>1379</v>
      </c>
      <c r="N45" s="52" t="n">
        <f aca="false">N8+N39</f>
        <v>0</v>
      </c>
      <c r="O45" s="52" t="n">
        <f aca="false">O8+O39</f>
        <v>0</v>
      </c>
      <c r="P45" s="52" t="n">
        <f aca="false">P8+P39</f>
        <v>1379</v>
      </c>
      <c r="Q45" s="52" t="n">
        <f aca="false">Q8+Q39</f>
        <v>616</v>
      </c>
      <c r="R45" s="52" t="n">
        <f aca="false">R8+R39</f>
        <v>449</v>
      </c>
      <c r="S45" s="52" t="n">
        <f aca="false">S8+S39</f>
        <v>2444</v>
      </c>
      <c r="T45" s="52"/>
      <c r="U45" s="52" t="n">
        <f aca="false">U8+U39</f>
        <v>1</v>
      </c>
      <c r="V45" s="52" t="n">
        <f aca="false">V8+V39</f>
        <v>24199</v>
      </c>
      <c r="W45" s="52" t="n">
        <f aca="false">W8+W39</f>
        <v>26644</v>
      </c>
      <c r="X45" s="52" t="n">
        <f aca="false">X8+X39</f>
        <v>1013.61003277036</v>
      </c>
      <c r="Y45" s="52" t="n">
        <f aca="false">Y8+Y39</f>
        <v>27657.6100327704</v>
      </c>
      <c r="Z45" s="56" t="n">
        <f aca="false">Z8+Z39</f>
        <v>5.53</v>
      </c>
      <c r="AA45" s="57"/>
      <c r="AB45" s="57"/>
      <c r="AC45" s="58"/>
      <c r="AD45" s="91"/>
      <c r="AE45" s="91"/>
      <c r="AF45" s="92"/>
    </row>
    <row r="46" customFormat="false" ht="11.1" hidden="false" customHeight="true" outlineLevel="0" collapsed="false">
      <c r="A46" s="51" t="s">
        <v>52</v>
      </c>
      <c r="B46" s="51"/>
      <c r="C46" s="52"/>
      <c r="D46" s="52" t="n">
        <f aca="false">D8+D40</f>
        <v>3456</v>
      </c>
      <c r="E46" s="52" t="n">
        <f aca="false">E37</f>
        <v>141649</v>
      </c>
      <c r="F46" s="52" t="n">
        <f aca="false">F45*$D$2</f>
        <v>3456</v>
      </c>
      <c r="G46" s="52" t="n">
        <f aca="false">G45*$D$2</f>
        <v>47855.9045</v>
      </c>
      <c r="H46" s="87" t="n">
        <f aca="false">H45*$D$2</f>
        <v>3794.4355</v>
      </c>
      <c r="I46" s="52" t="n">
        <f aca="false">I45*$D$2</f>
        <v>50577.06815</v>
      </c>
      <c r="J46" s="52" t="n">
        <f aca="false">J45*$D$2</f>
        <v>7737.80135</v>
      </c>
      <c r="K46" s="52" t="n">
        <f aca="false">K45*$D$2</f>
        <v>58314.8695</v>
      </c>
      <c r="L46" s="52" t="n">
        <f aca="false">L45*$D$2</f>
        <v>5727.30585</v>
      </c>
      <c r="M46" s="52" t="n">
        <f aca="false">M45*$D$2</f>
        <v>2735.2465</v>
      </c>
      <c r="N46" s="52" t="n">
        <f aca="false">N45*$D$2</f>
        <v>0</v>
      </c>
      <c r="O46" s="52" t="n">
        <f aca="false">O45*$D$2</f>
        <v>0</v>
      </c>
      <c r="P46" s="52" t="n">
        <f aca="false">P45*$D$2</f>
        <v>2735.2465</v>
      </c>
      <c r="Q46" s="52" t="n">
        <f aca="false">Q45*$D$2</f>
        <v>1221.836</v>
      </c>
      <c r="R46" s="52" t="n">
        <f aca="false">R45*$D$2</f>
        <v>890.5915</v>
      </c>
      <c r="S46" s="52" t="n">
        <f aca="false">S45*$D$2</f>
        <v>4847.674</v>
      </c>
      <c r="T46" s="52" t="n">
        <f aca="false">T45*$D$2</f>
        <v>0</v>
      </c>
      <c r="U46" s="52" t="n">
        <f aca="false">U45*$D$2</f>
        <v>1.9835</v>
      </c>
      <c r="V46" s="52" t="n">
        <f aca="false">V45*$D$2</f>
        <v>47998.7165</v>
      </c>
      <c r="W46" s="52" t="n">
        <f aca="false">W45*$D$2</f>
        <v>52848.374</v>
      </c>
      <c r="X46" s="52" t="n">
        <f aca="false">X45*$D$2</f>
        <v>2010.4955</v>
      </c>
      <c r="Y46" s="52" t="n">
        <f aca="false">Y45*$D$2</f>
        <v>54858.8695</v>
      </c>
      <c r="Z46" s="56"/>
      <c r="AA46" s="57"/>
      <c r="AB46" s="57"/>
      <c r="AC46" s="58"/>
      <c r="AD46" s="91"/>
      <c r="AE46" s="91"/>
      <c r="AF46" s="92"/>
    </row>
    <row r="47" customFormat="false" ht="3" hidden="false" customHeight="true" outlineLevel="0" collapsed="false">
      <c r="A47" s="74"/>
      <c r="B47" s="74"/>
      <c r="C47" s="76"/>
      <c r="D47" s="74"/>
      <c r="E47" s="76"/>
      <c r="F47" s="74"/>
      <c r="G47" s="74"/>
      <c r="H47" s="94"/>
      <c r="I47" s="74"/>
      <c r="J47" s="74"/>
      <c r="K47" s="74"/>
      <c r="L47" s="74"/>
      <c r="M47" s="74"/>
      <c r="N47" s="74"/>
      <c r="O47" s="74"/>
      <c r="P47" s="74"/>
      <c r="Q47" s="74"/>
      <c r="R47" s="74"/>
      <c r="S47" s="74"/>
      <c r="T47" s="76"/>
      <c r="U47" s="74"/>
      <c r="V47" s="74"/>
      <c r="W47" s="74"/>
      <c r="X47" s="74"/>
      <c r="Y47" s="74"/>
      <c r="Z47" s="56"/>
      <c r="AA47" s="57"/>
      <c r="AB47" s="57"/>
      <c r="AC47" s="58"/>
      <c r="AD47" s="91"/>
      <c r="AE47" s="91"/>
      <c r="AF47" s="92"/>
    </row>
    <row r="48" customFormat="false" ht="11.1" hidden="false" customHeight="true" outlineLevel="0" collapsed="false">
      <c r="A48" s="51"/>
      <c r="B48" s="84"/>
      <c r="C48" s="52"/>
      <c r="D48" s="51"/>
      <c r="E48" s="52"/>
      <c r="F48" s="51"/>
      <c r="G48" s="51"/>
      <c r="H48" s="87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2"/>
      <c r="U48" s="51"/>
      <c r="V48" s="51"/>
      <c r="W48" s="51"/>
      <c r="X48" s="51"/>
      <c r="Y48" s="51"/>
      <c r="Z48" s="56"/>
      <c r="AA48" s="57"/>
      <c r="AB48" s="57"/>
      <c r="AC48" s="58"/>
      <c r="AD48" s="88"/>
      <c r="AE48" s="88"/>
    </row>
    <row r="49" customFormat="false" ht="11.1" hidden="false" customHeight="true" outlineLevel="0" collapsed="false">
      <c r="A49" s="51"/>
      <c r="B49" s="73"/>
      <c r="C49" s="52"/>
      <c r="D49" s="82"/>
      <c r="E49" s="52"/>
      <c r="F49" s="51"/>
      <c r="G49" s="51"/>
      <c r="H49" s="99"/>
      <c r="I49" s="52"/>
      <c r="J49" s="51"/>
      <c r="K49" s="42"/>
      <c r="L49" s="51"/>
      <c r="M49" s="51"/>
      <c r="N49" s="51"/>
      <c r="O49" s="51"/>
      <c r="P49" s="51"/>
      <c r="Q49" s="51"/>
      <c r="R49" s="51"/>
      <c r="S49" s="51"/>
      <c r="T49" s="52"/>
      <c r="U49" s="51"/>
      <c r="V49" s="51"/>
      <c r="W49" s="51"/>
      <c r="X49" s="51"/>
      <c r="Y49" s="51"/>
      <c r="Z49" s="56"/>
      <c r="AA49" s="57"/>
      <c r="AB49" s="57"/>
      <c r="AC49" s="58"/>
      <c r="AD49" s="88"/>
      <c r="AE49" s="88"/>
    </row>
    <row r="50" customFormat="false" ht="11.1" hidden="false" customHeight="true" outlineLevel="0" collapsed="false">
      <c r="A50" s="82"/>
      <c r="B50" s="82"/>
      <c r="C50" s="52"/>
      <c r="D50" s="52"/>
      <c r="E50" s="52"/>
      <c r="F50" s="82"/>
      <c r="G50" s="82"/>
      <c r="H50" s="87"/>
      <c r="I50" s="52"/>
      <c r="J50" s="82"/>
      <c r="K50" s="82"/>
      <c r="L50" s="82"/>
      <c r="M50" s="81"/>
      <c r="N50" s="81"/>
      <c r="O50" s="81"/>
      <c r="P50" s="81"/>
      <c r="Q50" s="82"/>
      <c r="R50" s="82"/>
      <c r="S50" s="82"/>
      <c r="T50" s="52"/>
      <c r="U50" s="82"/>
      <c r="V50" s="82"/>
      <c r="W50" s="82"/>
      <c r="X50" s="82"/>
      <c r="Y50" s="82"/>
      <c r="Z50" s="56"/>
      <c r="AA50" s="57"/>
      <c r="AB50" s="57"/>
      <c r="AC50" s="58"/>
      <c r="AD50" s="96"/>
      <c r="AE50" s="96"/>
    </row>
    <row r="51" customFormat="false" ht="11.1" hidden="false" customHeight="true" outlineLevel="0" collapsed="false">
      <c r="A51" s="82"/>
      <c r="B51" s="55"/>
      <c r="C51" s="52"/>
      <c r="D51" s="52"/>
      <c r="E51" s="52"/>
      <c r="F51" s="82"/>
      <c r="G51" s="82"/>
      <c r="H51" s="87"/>
      <c r="I51" s="52"/>
      <c r="J51" s="82"/>
      <c r="K51" s="82"/>
      <c r="L51" s="82"/>
      <c r="M51" s="81"/>
      <c r="N51" s="81"/>
      <c r="O51" s="81"/>
      <c r="P51" s="81"/>
      <c r="Q51" s="82"/>
      <c r="R51" s="82"/>
      <c r="S51" s="82"/>
      <c r="T51" s="52"/>
      <c r="U51" s="82"/>
      <c r="V51" s="82"/>
      <c r="W51" s="82"/>
      <c r="X51" s="82"/>
      <c r="Y51" s="82"/>
      <c r="Z51" s="56"/>
      <c r="AA51" s="57"/>
      <c r="AB51" s="57"/>
      <c r="AC51" s="58"/>
      <c r="AD51" s="96"/>
      <c r="AE51" s="96"/>
    </row>
    <row r="52" customFormat="false" ht="11.1" hidden="false" customHeight="true" outlineLevel="0" collapsed="false">
      <c r="A52" s="82"/>
      <c r="B52" s="82"/>
      <c r="C52" s="52"/>
      <c r="D52" s="82"/>
      <c r="E52" s="52"/>
      <c r="F52" s="82"/>
      <c r="G52" s="85"/>
      <c r="H52" s="87"/>
      <c r="I52" s="82"/>
      <c r="J52" s="82"/>
      <c r="K52" s="82"/>
      <c r="L52" s="82"/>
      <c r="M52" s="81"/>
      <c r="N52" s="81"/>
      <c r="O52" s="81"/>
      <c r="P52" s="81"/>
      <c r="Q52" s="82"/>
      <c r="R52" s="82"/>
      <c r="S52" s="82"/>
      <c r="T52" s="52"/>
      <c r="U52" s="82"/>
      <c r="V52" s="82"/>
      <c r="W52" s="82"/>
      <c r="X52" s="82"/>
      <c r="Y52" s="82"/>
      <c r="Z52" s="56"/>
      <c r="AA52" s="57"/>
      <c r="AB52" s="57"/>
      <c r="AC52" s="58"/>
      <c r="AD52" s="96"/>
      <c r="AE52" s="96"/>
    </row>
    <row r="53" customFormat="false" ht="11.1" hidden="false" customHeight="true" outlineLevel="0" collapsed="false">
      <c r="P53" s="47"/>
      <c r="S53" s="44"/>
      <c r="T53" s="45"/>
      <c r="V53" s="44"/>
      <c r="Y53" s="44"/>
      <c r="AB53" s="49"/>
      <c r="AC53" s="50"/>
    </row>
  </sheetData>
  <mergeCells count="2">
    <mergeCell ref="K2:T2"/>
    <mergeCell ref="M4:P4"/>
  </mergeCells>
  <printOptions headings="true" gridLines="true" gridLinesSet="true" horizontalCentered="true" verticalCentered="false"/>
  <pageMargins left="0" right="0" top="0" bottom="0" header="0.511811023622047" footer="0.511811023622047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F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9" topLeftCell="Q21" activePane="bottomRight" state="frozen"/>
      <selection pane="topLeft" activeCell="A1" activeCellId="0" sqref="A1"/>
      <selection pane="topRight" activeCell="Q1" activeCellId="0" sqref="Q1"/>
      <selection pane="bottomLeft" activeCell="A21" activeCellId="0" sqref="A21"/>
      <selection pane="bottomRight" activeCell="AB40" activeCellId="0" sqref="AB40"/>
    </sheetView>
  </sheetViews>
  <sheetFormatPr defaultColWidth="9.328125" defaultRowHeight="11.1" zeroHeight="false" outlineLevelRow="0" outlineLevelCol="0"/>
  <cols>
    <col collapsed="false" customWidth="true" hidden="false" outlineLevel="0" max="1" min="1" style="44" width="5.66"/>
    <col collapsed="false" customWidth="true" hidden="false" outlineLevel="0" max="2" min="2" style="44" width="7.82"/>
    <col collapsed="false" customWidth="true" hidden="false" outlineLevel="0" max="3" min="3" style="45" width="7.66"/>
    <col collapsed="false" customWidth="true" hidden="false" outlineLevel="0" max="4" min="4" style="44" width="6.99"/>
    <col collapsed="false" customWidth="true" hidden="false" outlineLevel="0" max="5" min="5" style="45" width="7.66"/>
    <col collapsed="false" customWidth="true" hidden="false" outlineLevel="0" max="6" min="6" style="44" width="7.66"/>
    <col collapsed="false" customWidth="true" hidden="false" outlineLevel="0" max="7" min="7" style="44" width="7.16"/>
    <col collapsed="false" customWidth="true" hidden="false" outlineLevel="0" max="8" min="8" style="86" width="6.66"/>
    <col collapsed="false" customWidth="true" hidden="false" outlineLevel="0" max="9" min="9" style="44" width="7.99"/>
    <col collapsed="false" customWidth="true" hidden="false" outlineLevel="0" max="10" min="10" style="44" width="6.66"/>
    <col collapsed="false" customWidth="true" hidden="false" outlineLevel="0" max="12" min="11" style="44" width="7.16"/>
    <col collapsed="false" customWidth="true" hidden="false" outlineLevel="0" max="13" min="13" style="47" width="6.16"/>
    <col collapsed="false" customWidth="true" hidden="true" outlineLevel="0" max="14" min="14" style="47" width="7.32"/>
    <col collapsed="false" customWidth="true" hidden="true" outlineLevel="0" max="15" min="15" style="47" width="6.49"/>
    <col collapsed="false" customWidth="true" hidden="true" outlineLevel="0" max="16" min="16" style="44" width="7.16"/>
    <col collapsed="false" customWidth="true" hidden="false" outlineLevel="0" max="17" min="17" style="44" width="6.32"/>
    <col collapsed="false" customWidth="true" hidden="false" outlineLevel="0" max="18" min="18" style="44" width="5.82"/>
    <col collapsed="false" customWidth="true" hidden="false" outlineLevel="0" max="19" min="19" style="45" width="6.82"/>
    <col collapsed="false" customWidth="true" hidden="false" outlineLevel="0" max="20" min="20" style="44" width="7.66"/>
    <col collapsed="false" customWidth="true" hidden="false" outlineLevel="0" max="21" min="21" style="44" width="5.99"/>
    <col collapsed="false" customWidth="true" hidden="false" outlineLevel="0" max="22" min="22" style="45" width="6.66"/>
    <col collapsed="false" customWidth="true" hidden="false" outlineLevel="0" max="24" min="23" style="44" width="7.82"/>
    <col collapsed="false" customWidth="true" hidden="false" outlineLevel="0" max="25" min="25" style="48" width="8.16"/>
    <col collapsed="false" customWidth="true" hidden="false" outlineLevel="0" max="26" min="26" style="46" width="4.66"/>
    <col collapsed="false" customWidth="true" hidden="false" outlineLevel="0" max="27" min="27" style="49" width="4.66"/>
    <col collapsed="false" customWidth="true" hidden="false" outlineLevel="0" max="28" min="28" style="50" width="4.66"/>
    <col collapsed="false" customWidth="true" hidden="false" outlineLevel="0" max="29" min="29" style="44" width="5.66"/>
    <col collapsed="false" customWidth="false" hidden="false" outlineLevel="0" max="257" min="30" style="44" width="9.32"/>
  </cols>
  <sheetData>
    <row r="1" customFormat="false" ht="14.1" hidden="false" customHeight="true" outlineLevel="0" collapsed="false">
      <c r="A1" s="51"/>
      <c r="B1" s="51"/>
      <c r="C1" s="52"/>
      <c r="D1" s="51"/>
      <c r="E1" s="52"/>
      <c r="F1" s="51"/>
      <c r="G1" s="51"/>
      <c r="H1" s="87"/>
      <c r="I1" s="51"/>
      <c r="J1" s="51"/>
      <c r="K1" s="54" t="s">
        <v>0</v>
      </c>
      <c r="L1" s="51"/>
      <c r="M1" s="51"/>
      <c r="N1" s="51"/>
      <c r="O1" s="51"/>
      <c r="P1" s="51"/>
      <c r="Q1" s="51"/>
      <c r="R1" s="51"/>
      <c r="S1" s="52"/>
      <c r="T1" s="51"/>
      <c r="U1" s="51"/>
      <c r="V1" s="52"/>
      <c r="W1" s="51"/>
      <c r="X1" s="51"/>
      <c r="Y1" s="55"/>
      <c r="Z1" s="56"/>
      <c r="AA1" s="57"/>
      <c r="AB1" s="58"/>
      <c r="AC1" s="88"/>
      <c r="AD1" s="88"/>
    </row>
    <row r="2" customFormat="false" ht="14.1" hidden="false" customHeight="true" outlineLevel="0" collapsed="false">
      <c r="A2" s="51" t="s">
        <v>1</v>
      </c>
      <c r="B2" s="51"/>
      <c r="C2" s="52"/>
      <c r="D2" s="59" t="n">
        <v>1.9835</v>
      </c>
      <c r="E2" s="52"/>
      <c r="F2" s="51"/>
      <c r="G2" s="51"/>
      <c r="H2" s="87"/>
      <c r="I2" s="51"/>
      <c r="J2" s="51"/>
      <c r="K2" s="60" t="s">
        <v>60</v>
      </c>
      <c r="L2" s="60"/>
      <c r="M2" s="60"/>
      <c r="N2" s="60"/>
      <c r="O2" s="60"/>
      <c r="P2" s="60"/>
      <c r="Q2" s="60"/>
      <c r="R2" s="60"/>
      <c r="S2" s="60"/>
      <c r="T2" s="60"/>
      <c r="U2" s="51"/>
      <c r="V2" s="52"/>
      <c r="W2" s="51"/>
      <c r="X2" s="51"/>
      <c r="Y2" s="55"/>
      <c r="Z2" s="56"/>
      <c r="AA2" s="57"/>
      <c r="AB2" s="58"/>
      <c r="AC2" s="88"/>
      <c r="AD2" s="88"/>
    </row>
    <row r="3" customFormat="false" ht="11.1" hidden="false" customHeight="true" outlineLevel="0" collapsed="false">
      <c r="A3" s="51"/>
      <c r="B3" s="51"/>
      <c r="C3" s="52"/>
      <c r="D3" s="61"/>
      <c r="E3" s="52"/>
      <c r="F3" s="51"/>
      <c r="G3" s="51"/>
      <c r="H3" s="87"/>
      <c r="I3" s="51"/>
      <c r="J3" s="51"/>
      <c r="K3" s="51"/>
      <c r="L3" s="51"/>
      <c r="M3" s="51"/>
      <c r="N3" s="51"/>
      <c r="O3" s="51"/>
      <c r="P3" s="51"/>
      <c r="Q3" s="51"/>
      <c r="R3" s="51"/>
      <c r="S3" s="52"/>
      <c r="T3" s="51"/>
      <c r="U3" s="51"/>
      <c r="V3" s="52"/>
      <c r="W3" s="51"/>
      <c r="X3" s="51"/>
      <c r="Y3" s="55"/>
      <c r="Z3" s="56"/>
      <c r="AA3" s="57"/>
      <c r="AB3" s="58"/>
      <c r="AC3" s="88"/>
      <c r="AD3" s="88"/>
    </row>
    <row r="4" customFormat="false" ht="11.1" hidden="false" customHeight="true" outlineLevel="0" collapsed="false">
      <c r="A4" s="62" t="s">
        <v>3</v>
      </c>
      <c r="B4" s="62" t="s">
        <v>4</v>
      </c>
      <c r="C4" s="63" t="s">
        <v>4</v>
      </c>
      <c r="D4" s="62" t="s">
        <v>5</v>
      </c>
      <c r="E4" s="63" t="s">
        <v>6</v>
      </c>
      <c r="F4" s="62" t="s">
        <v>7</v>
      </c>
      <c r="G4" s="62" t="s">
        <v>8</v>
      </c>
      <c r="H4" s="89" t="s">
        <v>9</v>
      </c>
      <c r="I4" s="62" t="s">
        <v>10</v>
      </c>
      <c r="J4" s="62" t="s">
        <v>11</v>
      </c>
      <c r="K4" s="62" t="s">
        <v>12</v>
      </c>
      <c r="L4" s="62" t="s">
        <v>11</v>
      </c>
      <c r="M4" s="62" t="s">
        <v>13</v>
      </c>
      <c r="N4" s="62"/>
      <c r="O4" s="62"/>
      <c r="P4" s="62"/>
      <c r="Q4" s="62" t="s">
        <v>14</v>
      </c>
      <c r="R4" s="62" t="s">
        <v>15</v>
      </c>
      <c r="S4" s="62" t="s">
        <v>12</v>
      </c>
      <c r="T4" s="63" t="s">
        <v>16</v>
      </c>
      <c r="U4" s="62" t="s">
        <v>17</v>
      </c>
      <c r="V4" s="62" t="s">
        <v>18</v>
      </c>
      <c r="W4" s="62" t="s">
        <v>10</v>
      </c>
      <c r="X4" s="62" t="s">
        <v>11</v>
      </c>
      <c r="Y4" s="62" t="s">
        <v>12</v>
      </c>
      <c r="Z4" s="65" t="s">
        <v>19</v>
      </c>
      <c r="AA4" s="66" t="s">
        <v>20</v>
      </c>
      <c r="AB4" s="66" t="s">
        <v>21</v>
      </c>
      <c r="AC4" s="66" t="s">
        <v>3</v>
      </c>
      <c r="AD4" s="88"/>
      <c r="AE4" s="88"/>
    </row>
    <row r="5" customFormat="false" ht="11.1" hidden="false" customHeight="true" outlineLevel="0" collapsed="false">
      <c r="A5" s="67" t="s">
        <v>61</v>
      </c>
      <c r="B5" s="62" t="s">
        <v>23</v>
      </c>
      <c r="C5" s="63" t="s">
        <v>5</v>
      </c>
      <c r="D5" s="62" t="s">
        <v>24</v>
      </c>
      <c r="E5" s="63" t="s">
        <v>25</v>
      </c>
      <c r="F5" s="62" t="s">
        <v>26</v>
      </c>
      <c r="G5" s="62" t="s">
        <v>27</v>
      </c>
      <c r="H5" s="89" t="s">
        <v>28</v>
      </c>
      <c r="I5" s="62" t="s">
        <v>29</v>
      </c>
      <c r="J5" s="62" t="s">
        <v>29</v>
      </c>
      <c r="K5" s="62" t="s">
        <v>29</v>
      </c>
      <c r="L5" s="62" t="s">
        <v>30</v>
      </c>
      <c r="M5" s="62" t="s">
        <v>31</v>
      </c>
      <c r="N5" s="62" t="s">
        <v>32</v>
      </c>
      <c r="O5" s="62" t="s">
        <v>33</v>
      </c>
      <c r="P5" s="62" t="s">
        <v>34</v>
      </c>
      <c r="Q5" s="62" t="s">
        <v>35</v>
      </c>
      <c r="R5" s="62" t="s">
        <v>36</v>
      </c>
      <c r="S5" s="62" t="s">
        <v>16</v>
      </c>
      <c r="T5" s="63" t="s">
        <v>37</v>
      </c>
      <c r="U5" s="62" t="s">
        <v>38</v>
      </c>
      <c r="V5" s="62" t="s">
        <v>39</v>
      </c>
      <c r="W5" s="62" t="s">
        <v>40</v>
      </c>
      <c r="X5" s="62" t="s">
        <v>40</v>
      </c>
      <c r="Y5" s="62" t="s">
        <v>40</v>
      </c>
      <c r="Z5" s="68"/>
      <c r="AA5" s="66" t="s">
        <v>41</v>
      </c>
      <c r="AB5" s="66" t="s">
        <v>41</v>
      </c>
      <c r="AC5" s="69" t="s">
        <v>61</v>
      </c>
      <c r="AD5" s="88"/>
      <c r="AE5" s="88"/>
    </row>
    <row r="6" customFormat="false" ht="11.1" hidden="false" customHeight="true" outlineLevel="0" collapsed="false">
      <c r="A6" s="70"/>
      <c r="B6" s="70"/>
      <c r="C6" s="71"/>
      <c r="D6" s="70"/>
      <c r="E6" s="71"/>
      <c r="F6" s="70"/>
      <c r="G6" s="70"/>
      <c r="H6" s="90"/>
      <c r="I6" s="70"/>
      <c r="J6" s="70"/>
      <c r="K6" s="70"/>
      <c r="L6" s="70"/>
      <c r="M6" s="70"/>
      <c r="N6" s="70"/>
      <c r="O6" s="70"/>
      <c r="P6" s="70"/>
      <c r="Q6" s="70"/>
      <c r="R6" s="70"/>
      <c r="S6" s="70"/>
      <c r="T6" s="71"/>
      <c r="U6" s="70"/>
      <c r="V6" s="70"/>
      <c r="W6" s="70"/>
      <c r="X6" s="70"/>
      <c r="Y6" s="70"/>
      <c r="Z6" s="56"/>
      <c r="AA6" s="58"/>
      <c r="AB6" s="58"/>
      <c r="AC6" s="58"/>
      <c r="AD6" s="91"/>
      <c r="AE6" s="91"/>
      <c r="AF6" s="92"/>
    </row>
    <row r="7" customFormat="false" ht="11.1" hidden="false" customHeight="true" outlineLevel="0" collapsed="false">
      <c r="A7" s="51" t="s">
        <v>42</v>
      </c>
      <c r="B7" s="51"/>
      <c r="C7" s="52"/>
      <c r="D7" s="52"/>
      <c r="E7" s="52"/>
      <c r="F7" s="52"/>
      <c r="G7" s="52"/>
      <c r="H7" s="87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6"/>
      <c r="AA7" s="57"/>
      <c r="AB7" s="57"/>
      <c r="AC7" s="58"/>
      <c r="AD7" s="91"/>
      <c r="AE7" s="92"/>
      <c r="AF7" s="92"/>
    </row>
    <row r="8" s="45" customFormat="true" ht="11.1" hidden="false" customHeight="true" outlineLevel="0" collapsed="false">
      <c r="A8" s="52" t="s">
        <v>43</v>
      </c>
      <c r="B8" s="73" t="n">
        <f aca="false">FEB!B37</f>
        <v>6902.7</v>
      </c>
      <c r="C8" s="52" t="n">
        <f aca="false">FEB!C37</f>
        <v>293649</v>
      </c>
      <c r="D8" s="52" t="n">
        <f aca="false">FEB!$D$46</f>
        <v>3456</v>
      </c>
      <c r="E8" s="52" t="n">
        <f aca="false">FEB!$E$37</f>
        <v>141649</v>
      </c>
      <c r="F8" s="52" t="n">
        <f aca="false">FEB!F45</f>
        <v>1742.37459037056</v>
      </c>
      <c r="G8" s="52" t="n">
        <f aca="false">FEB!G45</f>
        <v>24127</v>
      </c>
      <c r="H8" s="87" t="n">
        <f aca="false">FEB!H45</f>
        <v>1913</v>
      </c>
      <c r="I8" s="52" t="n">
        <f aca="false">FEB!I45</f>
        <v>25498.9</v>
      </c>
      <c r="J8" s="52" t="n">
        <f aca="false">FEB!J45</f>
        <v>3901.08462314091</v>
      </c>
      <c r="K8" s="52" t="n">
        <f aca="false">FEB!K45</f>
        <v>29399.9846231409</v>
      </c>
      <c r="L8" s="52" t="n">
        <f aca="false">FEB!L45</f>
        <v>2887.47459037056</v>
      </c>
      <c r="M8" s="52" t="n">
        <f aca="false">FEB!M45</f>
        <v>1379</v>
      </c>
      <c r="N8" s="52" t="n">
        <f aca="false">FEB!N45</f>
        <v>0</v>
      </c>
      <c r="O8" s="52" t="n">
        <f aca="false">FEB!O45</f>
        <v>0</v>
      </c>
      <c r="P8" s="52" t="n">
        <f aca="false">FEB!P45</f>
        <v>1379</v>
      </c>
      <c r="Q8" s="52" t="n">
        <f aca="false">FEB!Q45</f>
        <v>616</v>
      </c>
      <c r="R8" s="52" t="n">
        <f aca="false">FEB!R45</f>
        <v>449</v>
      </c>
      <c r="S8" s="52" t="n">
        <f aca="false">FEB!S45</f>
        <v>2444</v>
      </c>
      <c r="T8" s="52" t="n">
        <f aca="false">FEB!T45</f>
        <v>0</v>
      </c>
      <c r="U8" s="52" t="n">
        <f aca="false">FEB!U45</f>
        <v>1</v>
      </c>
      <c r="V8" s="52" t="n">
        <f aca="false">FEB!V45</f>
        <v>24199</v>
      </c>
      <c r="W8" s="52" t="n">
        <f aca="false">FEB!W45</f>
        <v>26644</v>
      </c>
      <c r="X8" s="52" t="n">
        <f aca="false">FEB!X45</f>
        <v>1013.61003277036</v>
      </c>
      <c r="Y8" s="52" t="n">
        <f aca="false">FEB!Y45</f>
        <v>27657.6100327704</v>
      </c>
      <c r="Z8" s="56" t="n">
        <f aca="false">FEB!Z45</f>
        <v>5.53</v>
      </c>
      <c r="AA8" s="57"/>
      <c r="AB8" s="57"/>
      <c r="AC8" s="58"/>
      <c r="AD8" s="93"/>
      <c r="AE8" s="91"/>
      <c r="AF8" s="93"/>
    </row>
    <row r="9" customFormat="false" ht="3" hidden="false" customHeight="true" outlineLevel="0" collapsed="false">
      <c r="A9" s="74"/>
      <c r="B9" s="75"/>
      <c r="C9" s="76"/>
      <c r="D9" s="74"/>
      <c r="E9" s="76"/>
      <c r="F9" s="74"/>
      <c r="G9" s="74"/>
      <c r="H9" s="94"/>
      <c r="I9" s="74"/>
      <c r="J9" s="74"/>
      <c r="K9" s="74"/>
      <c r="L9" s="74"/>
      <c r="M9" s="74"/>
      <c r="N9" s="74"/>
      <c r="O9" s="74"/>
      <c r="P9" s="74"/>
      <c r="Q9" s="74"/>
      <c r="R9" s="74"/>
      <c r="S9" s="74"/>
      <c r="T9" s="76"/>
      <c r="U9" s="74"/>
      <c r="V9" s="74"/>
      <c r="W9" s="74"/>
      <c r="X9" s="74"/>
      <c r="Y9" s="74"/>
      <c r="Z9" s="78"/>
      <c r="AA9" s="79"/>
      <c r="AB9" s="79"/>
      <c r="AC9" s="80"/>
      <c r="AD9" s="91"/>
      <c r="AE9" s="91"/>
      <c r="AF9" s="92"/>
    </row>
    <row r="10" customFormat="false" ht="11.1" hidden="false" customHeight="true" outlineLevel="0" collapsed="false">
      <c r="A10" s="58" t="n">
        <v>1</v>
      </c>
      <c r="B10" s="73" t="n">
        <v>6902.66</v>
      </c>
      <c r="C10" s="52" t="n">
        <v>293498</v>
      </c>
      <c r="D10" s="57" t="n">
        <f aca="false">C10-C8</f>
        <v>-151</v>
      </c>
      <c r="E10" s="52" t="n">
        <f aca="false">C10-152000</f>
        <v>141498</v>
      </c>
      <c r="F10" s="51" t="n">
        <f aca="false">D10/$D$2</f>
        <v>-76.1280564658432</v>
      </c>
      <c r="G10" s="51" t="n">
        <v>88</v>
      </c>
      <c r="H10" s="100" t="n">
        <v>5</v>
      </c>
      <c r="I10" s="51" t="n">
        <f aca="false">G10+H10</f>
        <v>93</v>
      </c>
      <c r="J10" s="81" t="n">
        <f aca="false">IF(L10&gt;0,L10,0)</f>
        <v>0</v>
      </c>
      <c r="K10" s="51" t="n">
        <f aca="false">I10+J10</f>
        <v>93</v>
      </c>
      <c r="L10" s="51" t="n">
        <f aca="false">F10-(I10-W10)</f>
        <v>-0.128056465843201</v>
      </c>
      <c r="M10" s="51" t="n">
        <v>5</v>
      </c>
      <c r="N10" s="51" t="n">
        <v>0</v>
      </c>
      <c r="O10" s="51" t="n">
        <v>0</v>
      </c>
      <c r="P10" s="6" t="n">
        <f aca="false">M10-(N10+O10)</f>
        <v>5</v>
      </c>
      <c r="Q10" s="51" t="n">
        <v>0</v>
      </c>
      <c r="R10" s="51" t="n">
        <v>0</v>
      </c>
      <c r="S10" s="51" t="n">
        <f aca="false">SUM(P10:R10)</f>
        <v>5</v>
      </c>
      <c r="T10" s="52"/>
      <c r="U10" s="51" t="n">
        <v>0</v>
      </c>
      <c r="V10" s="51" t="n">
        <v>164</v>
      </c>
      <c r="W10" s="6" t="n">
        <f aca="false">N10+O10+S10+U10+V10</f>
        <v>169</v>
      </c>
      <c r="X10" s="51" t="n">
        <f aca="false">IF(L10&lt;0,L10*-1,0)</f>
        <v>0.128056465843201</v>
      </c>
      <c r="Y10" s="51" t="n">
        <f aca="false">W10+X10</f>
        <v>169.128056465843</v>
      </c>
      <c r="Z10" s="56" t="n">
        <v>0</v>
      </c>
      <c r="AA10" s="57" t="n">
        <v>40</v>
      </c>
      <c r="AB10" s="57" t="n">
        <v>7</v>
      </c>
      <c r="AC10" s="58" t="n">
        <v>1</v>
      </c>
      <c r="AD10" s="92"/>
      <c r="AE10" s="93"/>
      <c r="AF10" s="92"/>
    </row>
    <row r="11" customFormat="false" ht="11.1" hidden="false" customHeight="true" outlineLevel="0" collapsed="false">
      <c r="A11" s="58" t="n">
        <f aca="false">A10+1</f>
        <v>2</v>
      </c>
      <c r="B11" s="73" t="n">
        <v>6902.66</v>
      </c>
      <c r="C11" s="52" t="n">
        <v>293498</v>
      </c>
      <c r="D11" s="57" t="n">
        <f aca="false">C11-C10</f>
        <v>0</v>
      </c>
      <c r="E11" s="52" t="n">
        <f aca="false">C11-152000</f>
        <v>141498</v>
      </c>
      <c r="F11" s="51" t="n">
        <f aca="false">D11/$D$2</f>
        <v>0</v>
      </c>
      <c r="G11" s="51" t="n">
        <v>144</v>
      </c>
      <c r="H11" s="100" t="n">
        <v>6</v>
      </c>
      <c r="I11" s="51" t="n">
        <f aca="false">G11+H11</f>
        <v>150</v>
      </c>
      <c r="J11" s="81" t="n">
        <f aca="false">IF(L11&gt;0,L11,0)</f>
        <v>1</v>
      </c>
      <c r="K11" s="51" t="n">
        <f aca="false">I11+J11</f>
        <v>151</v>
      </c>
      <c r="L11" s="51" t="n">
        <f aca="false">F11-(I11-W11)</f>
        <v>1</v>
      </c>
      <c r="M11" s="51" t="n">
        <v>5</v>
      </c>
      <c r="N11" s="51" t="n">
        <v>0</v>
      </c>
      <c r="O11" s="51" t="n">
        <v>0</v>
      </c>
      <c r="P11" s="6" t="n">
        <f aca="false">M11-(N11+O11)</f>
        <v>5</v>
      </c>
      <c r="Q11" s="51" t="n">
        <v>0</v>
      </c>
      <c r="R11" s="51" t="n">
        <v>0</v>
      </c>
      <c r="S11" s="51" t="n">
        <f aca="false">SUM(P11:R11)</f>
        <v>5</v>
      </c>
      <c r="T11" s="52"/>
      <c r="U11" s="51" t="n">
        <v>0</v>
      </c>
      <c r="V11" s="51" t="n">
        <v>146</v>
      </c>
      <c r="W11" s="6" t="n">
        <f aca="false">N11+O11+S11+U11+V11</f>
        <v>151</v>
      </c>
      <c r="X11" s="51" t="n">
        <f aca="false">IF(L11&lt;0,L11*-1,0)</f>
        <v>0</v>
      </c>
      <c r="Y11" s="51" t="n">
        <f aca="false">W11+X11</f>
        <v>151</v>
      </c>
      <c r="Z11" s="56" t="n">
        <v>0</v>
      </c>
      <c r="AA11" s="57" t="n">
        <v>41</v>
      </c>
      <c r="AB11" s="57" t="n">
        <v>18</v>
      </c>
      <c r="AC11" s="58" t="n">
        <f aca="false">AC10+1</f>
        <v>2</v>
      </c>
      <c r="AD11" s="92"/>
      <c r="AE11" s="93"/>
      <c r="AF11" s="92"/>
    </row>
    <row r="12" customFormat="false" ht="11.1" hidden="false" customHeight="true" outlineLevel="0" collapsed="false">
      <c r="A12" s="58" t="n">
        <f aca="false">A11+1</f>
        <v>3</v>
      </c>
      <c r="B12" s="73" t="n">
        <v>6902.69</v>
      </c>
      <c r="C12" s="52" t="n">
        <v>293611</v>
      </c>
      <c r="D12" s="57" t="n">
        <f aca="false">C12-C11</f>
        <v>113</v>
      </c>
      <c r="E12" s="52" t="n">
        <f aca="false">C12-152000</f>
        <v>141611</v>
      </c>
      <c r="F12" s="51" t="n">
        <f aca="false">D12/$D$2</f>
        <v>56.9700025207966</v>
      </c>
      <c r="G12" s="51" t="n">
        <v>169</v>
      </c>
      <c r="H12" s="100" t="n">
        <v>18</v>
      </c>
      <c r="I12" s="51" t="n">
        <f aca="false">G12+H12</f>
        <v>187</v>
      </c>
      <c r="J12" s="81" t="n">
        <f aca="false">IF(L12&gt;0,L12,0)</f>
        <v>0</v>
      </c>
      <c r="K12" s="51" t="n">
        <f aca="false">I12+J12</f>
        <v>187</v>
      </c>
      <c r="L12" s="51" t="n">
        <f aca="false">F12-(I12-W12)</f>
        <v>-0.0299974792034305</v>
      </c>
      <c r="M12" s="51" t="n">
        <v>5</v>
      </c>
      <c r="N12" s="51" t="n">
        <v>0</v>
      </c>
      <c r="O12" s="51" t="n">
        <v>0</v>
      </c>
      <c r="P12" s="6" t="n">
        <f aca="false">M12-(N12+O12)</f>
        <v>5</v>
      </c>
      <c r="Q12" s="51" t="n">
        <v>0</v>
      </c>
      <c r="R12" s="51" t="n">
        <v>0</v>
      </c>
      <c r="S12" s="51" t="n">
        <f aca="false">SUM(P12:R12)</f>
        <v>5</v>
      </c>
      <c r="T12" s="52"/>
      <c r="U12" s="51" t="n">
        <v>0</v>
      </c>
      <c r="V12" s="51" t="n">
        <v>125</v>
      </c>
      <c r="W12" s="6" t="n">
        <f aca="false">N12+O12+S12+U12+V12</f>
        <v>130</v>
      </c>
      <c r="X12" s="51" t="n">
        <f aca="false">IF(L12&lt;0,L12*-1,0)</f>
        <v>0.0299974792034305</v>
      </c>
      <c r="Y12" s="51" t="n">
        <f aca="false">W12+X12</f>
        <v>130.029997479203</v>
      </c>
      <c r="Z12" s="56" t="n">
        <v>0</v>
      </c>
      <c r="AA12" s="57" t="n">
        <v>44</v>
      </c>
      <c r="AB12" s="57" t="n">
        <v>19</v>
      </c>
      <c r="AC12" s="58" t="n">
        <f aca="false">AC11+1</f>
        <v>3</v>
      </c>
      <c r="AD12" s="92"/>
      <c r="AE12" s="93"/>
      <c r="AF12" s="92"/>
    </row>
    <row r="13" customFormat="false" ht="11.1" hidden="false" customHeight="true" outlineLevel="0" collapsed="false">
      <c r="A13" s="58" t="n">
        <f aca="false">A12+1</f>
        <v>4</v>
      </c>
      <c r="B13" s="73" t="n">
        <v>6902.71</v>
      </c>
      <c r="C13" s="52" t="n">
        <v>293686</v>
      </c>
      <c r="D13" s="57" t="n">
        <f aca="false">C13-C12</f>
        <v>75</v>
      </c>
      <c r="E13" s="52" t="n">
        <f aca="false">C13-152000</f>
        <v>141686</v>
      </c>
      <c r="F13" s="51" t="n">
        <f aca="false">D13/$D$2</f>
        <v>37.8119485757499</v>
      </c>
      <c r="G13" s="51" t="n">
        <v>135</v>
      </c>
      <c r="H13" s="100" t="n">
        <v>34</v>
      </c>
      <c r="I13" s="51" t="n">
        <f aca="false">G13+H13</f>
        <v>169</v>
      </c>
      <c r="J13" s="81" t="n">
        <f aca="false">IF(L13&gt;0,L13,0)</f>
        <v>0</v>
      </c>
      <c r="K13" s="51" t="n">
        <f aca="false">I13+J13</f>
        <v>169</v>
      </c>
      <c r="L13" s="51" t="n">
        <f aca="false">F13-(I13-W13)</f>
        <v>-0.188051424250062</v>
      </c>
      <c r="M13" s="51" t="n">
        <v>5</v>
      </c>
      <c r="N13" s="51" t="n">
        <v>0</v>
      </c>
      <c r="O13" s="51" t="n">
        <v>0</v>
      </c>
      <c r="P13" s="6" t="n">
        <f aca="false">M13-(N13+O13)</f>
        <v>5</v>
      </c>
      <c r="Q13" s="51" t="n">
        <v>0</v>
      </c>
      <c r="R13" s="51" t="n">
        <v>0</v>
      </c>
      <c r="S13" s="51" t="n">
        <f aca="false">SUM(P13:R13)</f>
        <v>5</v>
      </c>
      <c r="T13" s="52"/>
      <c r="U13" s="51" t="n">
        <v>0</v>
      </c>
      <c r="V13" s="51" t="n">
        <v>126</v>
      </c>
      <c r="W13" s="6" t="n">
        <f aca="false">N13+O13+S13+U13+V13</f>
        <v>131</v>
      </c>
      <c r="X13" s="51" t="n">
        <f aca="false">IF(L13&lt;0,L13*-1,0)</f>
        <v>0.188051424250062</v>
      </c>
      <c r="Y13" s="51" t="n">
        <f aca="false">W13+X13</f>
        <v>131.18805142425</v>
      </c>
      <c r="Z13" s="56" t="n">
        <v>0</v>
      </c>
      <c r="AA13" s="57" t="n">
        <v>56</v>
      </c>
      <c r="AB13" s="57" t="n">
        <v>22</v>
      </c>
      <c r="AC13" s="58" t="n">
        <f aca="false">AC12+1</f>
        <v>4</v>
      </c>
      <c r="AD13" s="92"/>
      <c r="AE13" s="93"/>
      <c r="AF13" s="92"/>
    </row>
    <row r="14" customFormat="false" ht="11.1" hidden="false" customHeight="true" outlineLevel="0" collapsed="false">
      <c r="A14" s="58" t="n">
        <f aca="false">A13+1</f>
        <v>5</v>
      </c>
      <c r="B14" s="73" t="n">
        <v>6902.74</v>
      </c>
      <c r="C14" s="52" t="n">
        <v>293799</v>
      </c>
      <c r="D14" s="57" t="n">
        <f aca="false">C14-C13</f>
        <v>113</v>
      </c>
      <c r="E14" s="52" t="n">
        <f aca="false">C14-152000</f>
        <v>141799</v>
      </c>
      <c r="F14" s="51" t="n">
        <f aca="false">D14/$D$2</f>
        <v>56.9700025207966</v>
      </c>
      <c r="G14" s="51" t="n">
        <v>140</v>
      </c>
      <c r="H14" s="100" t="n">
        <v>48</v>
      </c>
      <c r="I14" s="51" t="n">
        <f aca="false">G14+H14</f>
        <v>188</v>
      </c>
      <c r="J14" s="81" t="n">
        <f aca="false">IF(L14&gt;0,L14,0)</f>
        <v>0</v>
      </c>
      <c r="K14" s="51" t="n">
        <f aca="false">I14+J14</f>
        <v>188</v>
      </c>
      <c r="L14" s="51" t="n">
        <f aca="false">F14-(I14-W14)</f>
        <v>-0.0299974792034305</v>
      </c>
      <c r="M14" s="51" t="n">
        <v>5</v>
      </c>
      <c r="N14" s="51" t="n">
        <v>0</v>
      </c>
      <c r="O14" s="51" t="n">
        <v>0</v>
      </c>
      <c r="P14" s="6" t="n">
        <f aca="false">M14-(N14+O14)</f>
        <v>5</v>
      </c>
      <c r="Q14" s="51" t="n">
        <v>0</v>
      </c>
      <c r="R14" s="51" t="n">
        <v>0</v>
      </c>
      <c r="S14" s="51" t="n">
        <f aca="false">SUM(P14:R14)</f>
        <v>5</v>
      </c>
      <c r="T14" s="52"/>
      <c r="U14" s="51" t="n">
        <v>0</v>
      </c>
      <c r="V14" s="51" t="n">
        <v>126</v>
      </c>
      <c r="W14" s="6" t="n">
        <f aca="false">N14+O14+S14+U14+V14</f>
        <v>131</v>
      </c>
      <c r="X14" s="51" t="n">
        <f aca="false">IF(L14&lt;0,L14*-1,0)</f>
        <v>0.0299974792034305</v>
      </c>
      <c r="Y14" s="51" t="n">
        <f aca="false">W14+X14</f>
        <v>131.029997479203</v>
      </c>
      <c r="Z14" s="56" t="n">
        <v>0</v>
      </c>
      <c r="AA14" s="57" t="n">
        <v>60</v>
      </c>
      <c r="AB14" s="57" t="n">
        <v>26</v>
      </c>
      <c r="AC14" s="58" t="n">
        <f aca="false">AC13+1</f>
        <v>5</v>
      </c>
      <c r="AD14" s="92"/>
      <c r="AE14" s="93"/>
      <c r="AF14" s="92"/>
    </row>
    <row r="15" customFormat="false" ht="11.1" hidden="false" customHeight="true" outlineLevel="0" collapsed="false">
      <c r="A15" s="58" t="n">
        <f aca="false">A14+1</f>
        <v>6</v>
      </c>
      <c r="B15" s="73" t="n">
        <v>6902.83</v>
      </c>
      <c r="C15" s="52" t="n">
        <v>294138</v>
      </c>
      <c r="D15" s="57" t="n">
        <f aca="false">C15-C14</f>
        <v>339</v>
      </c>
      <c r="E15" s="52" t="n">
        <f aca="false">C15-152000</f>
        <v>142138</v>
      </c>
      <c r="F15" s="51" t="n">
        <f aca="false">D15/$D$2</f>
        <v>170.91000756239</v>
      </c>
      <c r="G15" s="51" t="n">
        <v>273</v>
      </c>
      <c r="H15" s="100" t="n">
        <v>61</v>
      </c>
      <c r="I15" s="51" t="n">
        <f aca="false">G15+H15</f>
        <v>334</v>
      </c>
      <c r="J15" s="81" t="n">
        <f aca="false">IF(L15&gt;0,L15,0)</f>
        <v>0</v>
      </c>
      <c r="K15" s="51" t="n">
        <f aca="false">I15+J15</f>
        <v>334</v>
      </c>
      <c r="L15" s="51" t="n">
        <f aca="false">F15-(I15-W15)</f>
        <v>-0.0899924376102774</v>
      </c>
      <c r="M15" s="51" t="n">
        <v>5</v>
      </c>
      <c r="N15" s="51" t="n">
        <v>0</v>
      </c>
      <c r="O15" s="51" t="n">
        <v>0</v>
      </c>
      <c r="P15" s="6" t="n">
        <f aca="false">M15-(N15+O15)</f>
        <v>5</v>
      </c>
      <c r="Q15" s="51" t="n">
        <v>0</v>
      </c>
      <c r="R15" s="51" t="n">
        <v>0</v>
      </c>
      <c r="S15" s="51" t="n">
        <f aca="false">SUM(P15:R15)</f>
        <v>5</v>
      </c>
      <c r="T15" s="52"/>
      <c r="U15" s="51" t="n">
        <v>0</v>
      </c>
      <c r="V15" s="51" t="n">
        <v>158</v>
      </c>
      <c r="W15" s="6" t="n">
        <f aca="false">N15+O15+S15+U15+V15</f>
        <v>163</v>
      </c>
      <c r="X15" s="51" t="n">
        <f aca="false">IF(L15&lt;0,L15*-1,0)</f>
        <v>0.0899924376102774</v>
      </c>
      <c r="Y15" s="51" t="n">
        <f aca="false">W15+X15</f>
        <v>163.08999243761</v>
      </c>
      <c r="Z15" s="56" t="n">
        <v>0</v>
      </c>
      <c r="AA15" s="57" t="n">
        <v>60</v>
      </c>
      <c r="AB15" s="57" t="n">
        <v>24</v>
      </c>
      <c r="AC15" s="58" t="n">
        <f aca="false">AC14+1</f>
        <v>6</v>
      </c>
      <c r="AD15" s="91"/>
      <c r="AE15" s="93"/>
      <c r="AF15" s="92"/>
    </row>
    <row r="16" customFormat="false" ht="11.1" hidden="false" customHeight="true" outlineLevel="0" collapsed="false">
      <c r="A16" s="58" t="n">
        <f aca="false">A15+1</f>
        <v>7</v>
      </c>
      <c r="B16" s="73" t="n">
        <v>6902.95</v>
      </c>
      <c r="C16" s="52" t="n">
        <v>294589</v>
      </c>
      <c r="D16" s="57" t="n">
        <f aca="false">C16-C15</f>
        <v>451</v>
      </c>
      <c r="E16" s="52" t="n">
        <f aca="false">C16-152000</f>
        <v>142589</v>
      </c>
      <c r="F16" s="51" t="n">
        <f aca="false">D16/$D$2</f>
        <v>227.375850768843</v>
      </c>
      <c r="G16" s="51" t="n">
        <v>218</v>
      </c>
      <c r="H16" s="100" t="n">
        <v>80</v>
      </c>
      <c r="I16" s="51" t="n">
        <f aca="false">G16+H16</f>
        <v>298</v>
      </c>
      <c r="J16" s="81" t="n">
        <f aca="false">IF(L16&gt;0,L16,0)</f>
        <v>131.375850768843</v>
      </c>
      <c r="K16" s="51" t="n">
        <f aca="false">I16+J16</f>
        <v>429.375850768843</v>
      </c>
      <c r="L16" s="51" t="n">
        <f aca="false">F16-(I16-W16)</f>
        <v>131.375850768843</v>
      </c>
      <c r="M16" s="51" t="n">
        <v>5</v>
      </c>
      <c r="N16" s="51" t="n">
        <v>0</v>
      </c>
      <c r="O16" s="51" t="n">
        <v>0</v>
      </c>
      <c r="P16" s="6" t="n">
        <f aca="false">M16-(N16+O16)</f>
        <v>5</v>
      </c>
      <c r="Q16" s="51" t="n">
        <v>0</v>
      </c>
      <c r="R16" s="51" t="n">
        <v>0</v>
      </c>
      <c r="S16" s="51" t="n">
        <f aca="false">SUM(P16:R16)</f>
        <v>5</v>
      </c>
      <c r="T16" s="52"/>
      <c r="U16" s="51" t="n">
        <v>0</v>
      </c>
      <c r="V16" s="51" t="n">
        <v>197</v>
      </c>
      <c r="W16" s="6" t="n">
        <f aca="false">N16+O16+S16+U16+V16</f>
        <v>202</v>
      </c>
      <c r="X16" s="51" t="n">
        <f aca="false">IF(L16&lt;0,L16*-1,0)</f>
        <v>0</v>
      </c>
      <c r="Y16" s="51" t="n">
        <f aca="false">W16+X16</f>
        <v>202</v>
      </c>
      <c r="Z16" s="56" t="n">
        <v>0</v>
      </c>
      <c r="AA16" s="57" t="n">
        <v>58</v>
      </c>
      <c r="AB16" s="57" t="n">
        <v>27</v>
      </c>
      <c r="AC16" s="58" t="n">
        <f aca="false">AC15+1</f>
        <v>7</v>
      </c>
      <c r="AD16" s="91"/>
      <c r="AE16" s="93"/>
      <c r="AF16" s="92"/>
    </row>
    <row r="17" customFormat="false" ht="11.1" hidden="false" customHeight="true" outlineLevel="0" collapsed="false">
      <c r="A17" s="58" t="n">
        <f aca="false">A16+1</f>
        <v>8</v>
      </c>
      <c r="B17" s="73" t="n">
        <v>6902.99</v>
      </c>
      <c r="C17" s="52" t="n">
        <v>294740</v>
      </c>
      <c r="D17" s="57" t="n">
        <f aca="false">C17-C16</f>
        <v>151</v>
      </c>
      <c r="E17" s="52" t="n">
        <f aca="false">C17-152000</f>
        <v>142740</v>
      </c>
      <c r="F17" s="51" t="n">
        <f aca="false">D17/$D$2</f>
        <v>76.1280564658432</v>
      </c>
      <c r="G17" s="51" t="n">
        <v>239</v>
      </c>
      <c r="H17" s="100" t="n">
        <v>55</v>
      </c>
      <c r="I17" s="51" t="n">
        <f aca="false">G17+H17</f>
        <v>294</v>
      </c>
      <c r="J17" s="81" t="n">
        <f aca="false">IF(L17&gt;0,L17,0)</f>
        <v>98.1280564658432</v>
      </c>
      <c r="K17" s="51" t="n">
        <f aca="false">I17+J17</f>
        <v>392.128056465843</v>
      </c>
      <c r="L17" s="51" t="n">
        <f aca="false">F17-(I17-W17)</f>
        <v>98.1280564658432</v>
      </c>
      <c r="M17" s="51" t="n">
        <v>5</v>
      </c>
      <c r="N17" s="51" t="n">
        <v>0</v>
      </c>
      <c r="O17" s="51" t="n">
        <v>0</v>
      </c>
      <c r="P17" s="6" t="n">
        <f aca="false">M17-(N17+O17)</f>
        <v>5</v>
      </c>
      <c r="Q17" s="51" t="n">
        <v>0</v>
      </c>
      <c r="R17" s="51" t="n">
        <v>0</v>
      </c>
      <c r="S17" s="51" t="n">
        <f aca="false">SUM(P17:R17)</f>
        <v>5</v>
      </c>
      <c r="T17" s="52"/>
      <c r="U17" s="51" t="n">
        <v>0</v>
      </c>
      <c r="V17" s="51" t="n">
        <v>311</v>
      </c>
      <c r="W17" s="6" t="n">
        <f aca="false">N17+O17+S17+U17+V17</f>
        <v>316</v>
      </c>
      <c r="X17" s="51" t="n">
        <f aca="false">IF(L17&lt;0,L17*-1,0)</f>
        <v>0</v>
      </c>
      <c r="Y17" s="51" t="n">
        <f aca="false">W17+X17</f>
        <v>316</v>
      </c>
      <c r="Z17" s="56" t="n">
        <v>0.7</v>
      </c>
      <c r="AA17" s="57" t="n">
        <v>41</v>
      </c>
      <c r="AB17" s="57" t="n">
        <v>33</v>
      </c>
      <c r="AC17" s="58" t="n">
        <f aca="false">AC16+1</f>
        <v>8</v>
      </c>
      <c r="AD17" s="91"/>
      <c r="AE17" s="93"/>
      <c r="AF17" s="92"/>
    </row>
    <row r="18" customFormat="false" ht="11.1" hidden="false" customHeight="true" outlineLevel="0" collapsed="false">
      <c r="A18" s="58" t="n">
        <f aca="false">A17+1</f>
        <v>9</v>
      </c>
      <c r="B18" s="73" t="n">
        <v>6902.94</v>
      </c>
      <c r="C18" s="52" t="n">
        <v>294552</v>
      </c>
      <c r="D18" s="57" t="n">
        <f aca="false">C18-C17</f>
        <v>-188</v>
      </c>
      <c r="E18" s="52" t="n">
        <f aca="false">C18-152000</f>
        <v>142552</v>
      </c>
      <c r="F18" s="51" t="n">
        <f aca="false">D18/$D$2</f>
        <v>-94.7819510965465</v>
      </c>
      <c r="G18" s="51" t="n">
        <v>221</v>
      </c>
      <c r="H18" s="100" t="n">
        <v>50</v>
      </c>
      <c r="I18" s="51" t="n">
        <f aca="false">G18+H18</f>
        <v>271</v>
      </c>
      <c r="J18" s="81" t="n">
        <f aca="false">IF(L18&gt;0,L18,0)</f>
        <v>105.218048903454</v>
      </c>
      <c r="K18" s="51" t="n">
        <f aca="false">I18+J18</f>
        <v>376.218048903453</v>
      </c>
      <c r="L18" s="51" t="n">
        <f aca="false">F18-(I18-W18)</f>
        <v>105.218048903454</v>
      </c>
      <c r="M18" s="51" t="n">
        <v>5</v>
      </c>
      <c r="N18" s="51" t="n">
        <v>0</v>
      </c>
      <c r="O18" s="51" t="n">
        <v>0</v>
      </c>
      <c r="P18" s="6" t="n">
        <f aca="false">M18-(N18+O18)</f>
        <v>5</v>
      </c>
      <c r="Q18" s="51" t="n">
        <v>0</v>
      </c>
      <c r="R18" s="51" t="n">
        <v>0</v>
      </c>
      <c r="S18" s="51" t="n">
        <f aca="false">SUM(P18:R18)</f>
        <v>5</v>
      </c>
      <c r="T18" s="52"/>
      <c r="U18" s="51" t="n">
        <v>0</v>
      </c>
      <c r="V18" s="51" t="n">
        <v>466</v>
      </c>
      <c r="W18" s="6" t="n">
        <f aca="false">N18+O18+S18+U18+V18</f>
        <v>471</v>
      </c>
      <c r="X18" s="51" t="n">
        <f aca="false">IF(L18&lt;0,L18*-1,0)</f>
        <v>0</v>
      </c>
      <c r="Y18" s="51" t="n">
        <f aca="false">W18+X18</f>
        <v>471</v>
      </c>
      <c r="Z18" s="56" t="n">
        <v>0.15</v>
      </c>
      <c r="AA18" s="82" t="n">
        <v>40</v>
      </c>
      <c r="AB18" s="57" t="n">
        <v>30</v>
      </c>
      <c r="AC18" s="58" t="n">
        <f aca="false">AC17+1</f>
        <v>9</v>
      </c>
      <c r="AD18" s="91"/>
      <c r="AE18" s="93"/>
      <c r="AF18" s="92"/>
    </row>
    <row r="19" customFormat="false" ht="11.1" hidden="false" customHeight="true" outlineLevel="0" collapsed="false">
      <c r="A19" s="58" t="n">
        <f aca="false">A18+1</f>
        <v>10</v>
      </c>
      <c r="B19" s="73" t="n">
        <v>6902.84</v>
      </c>
      <c r="C19" s="52" t="n">
        <v>294175</v>
      </c>
      <c r="D19" s="57" t="n">
        <f aca="false">C19-C18</f>
        <v>-377</v>
      </c>
      <c r="E19" s="52" t="n">
        <f aca="false">C19-152000</f>
        <v>142175</v>
      </c>
      <c r="F19" s="51" t="n">
        <f aca="false">D19/$D$2</f>
        <v>-190.068061507436</v>
      </c>
      <c r="G19" s="51" t="n">
        <v>218</v>
      </c>
      <c r="H19" s="100" t="n">
        <v>67</v>
      </c>
      <c r="I19" s="51" t="n">
        <f aca="false">G19+H19</f>
        <v>285</v>
      </c>
      <c r="J19" s="81" t="n">
        <f aca="false">IF(L19&gt;0,L19,0)</f>
        <v>129.931938492564</v>
      </c>
      <c r="K19" s="51" t="n">
        <f aca="false">I19+J19</f>
        <v>414.931938492564</v>
      </c>
      <c r="L19" s="51" t="n">
        <f aca="false">F19-(I19-W19)</f>
        <v>129.931938492564</v>
      </c>
      <c r="M19" s="51" t="n">
        <v>5</v>
      </c>
      <c r="N19" s="101" t="n">
        <v>0</v>
      </c>
      <c r="O19" s="51" t="n">
        <v>0</v>
      </c>
      <c r="P19" s="6" t="n">
        <f aca="false">M19-(N19+O19)</f>
        <v>5</v>
      </c>
      <c r="Q19" s="51" t="n">
        <v>0</v>
      </c>
      <c r="R19" s="51" t="n">
        <v>0</v>
      </c>
      <c r="S19" s="51" t="n">
        <f aca="false">SUM(P19:R19)</f>
        <v>5</v>
      </c>
      <c r="T19" s="52"/>
      <c r="U19" s="51" t="n">
        <v>0</v>
      </c>
      <c r="V19" s="51" t="n">
        <v>600</v>
      </c>
      <c r="W19" s="6" t="n">
        <f aca="false">N19+O19+S19+U19+V19</f>
        <v>605</v>
      </c>
      <c r="X19" s="51" t="n">
        <f aca="false">IF(L19&lt;0,L19*-1,0)</f>
        <v>0</v>
      </c>
      <c r="Y19" s="51" t="n">
        <f aca="false">W19+X19</f>
        <v>605</v>
      </c>
      <c r="Z19" s="56" t="n">
        <v>0</v>
      </c>
      <c r="AA19" s="57" t="n">
        <v>50</v>
      </c>
      <c r="AB19" s="57" t="n">
        <v>24</v>
      </c>
      <c r="AC19" s="58" t="n">
        <f aca="false">AC18+1</f>
        <v>10</v>
      </c>
      <c r="AD19" s="91"/>
      <c r="AE19" s="93"/>
      <c r="AF19" s="92"/>
    </row>
    <row r="20" customFormat="false" ht="11.1" hidden="false" customHeight="true" outlineLevel="0" collapsed="false">
      <c r="A20" s="58" t="n">
        <f aca="false">A19+1</f>
        <v>11</v>
      </c>
      <c r="B20" s="73" t="n">
        <v>6902.83</v>
      </c>
      <c r="C20" s="52" t="n">
        <v>294138</v>
      </c>
      <c r="D20" s="57" t="n">
        <f aca="false">C20-C19</f>
        <v>-37</v>
      </c>
      <c r="E20" s="52" t="n">
        <f aca="false">C20-152000</f>
        <v>142138</v>
      </c>
      <c r="F20" s="51" t="n">
        <f aca="false">D20/$D$2</f>
        <v>-18.6538946307033</v>
      </c>
      <c r="G20" s="51" t="n">
        <v>213</v>
      </c>
      <c r="H20" s="100" t="n">
        <v>74</v>
      </c>
      <c r="I20" s="51" t="n">
        <f aca="false">G20+H20</f>
        <v>287</v>
      </c>
      <c r="J20" s="81" t="n">
        <f aca="false">IF(L20&gt;0,L20,0)</f>
        <v>200.346105369297</v>
      </c>
      <c r="K20" s="51" t="n">
        <f aca="false">I20+J20</f>
        <v>487.346105369297</v>
      </c>
      <c r="L20" s="51" t="n">
        <f aca="false">F20-(I20-W20)</f>
        <v>200.346105369297</v>
      </c>
      <c r="M20" s="51" t="n">
        <v>5</v>
      </c>
      <c r="N20" s="101" t="n">
        <v>0</v>
      </c>
      <c r="O20" s="51" t="n">
        <v>0</v>
      </c>
      <c r="P20" s="6" t="n">
        <f aca="false">M20-(N20+O20)</f>
        <v>5</v>
      </c>
      <c r="Q20" s="51" t="n">
        <v>0</v>
      </c>
      <c r="R20" s="51" t="n">
        <v>0</v>
      </c>
      <c r="S20" s="51" t="n">
        <f aca="false">SUM(P20:R20)</f>
        <v>5</v>
      </c>
      <c r="T20" s="52"/>
      <c r="U20" s="51" t="n">
        <v>0</v>
      </c>
      <c r="V20" s="51" t="n">
        <v>501</v>
      </c>
      <c r="W20" s="6" t="n">
        <f aca="false">N20+O20+S20+U20+V20</f>
        <v>506</v>
      </c>
      <c r="X20" s="51" t="n">
        <f aca="false">IF(L20&lt;0,L20*-1,0)</f>
        <v>0</v>
      </c>
      <c r="Y20" s="51" t="n">
        <f aca="false">W20+X20</f>
        <v>506</v>
      </c>
      <c r="Z20" s="56" t="n">
        <v>0</v>
      </c>
      <c r="AA20" s="57" t="n">
        <v>50</v>
      </c>
      <c r="AB20" s="57" t="n">
        <v>24</v>
      </c>
      <c r="AC20" s="58" t="n">
        <f aca="false">AC19+1</f>
        <v>11</v>
      </c>
      <c r="AD20" s="91"/>
      <c r="AE20" s="93"/>
      <c r="AF20" s="92"/>
    </row>
    <row r="21" customFormat="false" ht="11.1" hidden="false" customHeight="true" outlineLevel="0" collapsed="false">
      <c r="A21" s="58" t="n">
        <f aca="false">A20+1</f>
        <v>12</v>
      </c>
      <c r="B21" s="73" t="n">
        <v>6902.83</v>
      </c>
      <c r="C21" s="52" t="n">
        <v>294138</v>
      </c>
      <c r="D21" s="57" t="n">
        <f aca="false">C21-C20</f>
        <v>0</v>
      </c>
      <c r="E21" s="52" t="n">
        <f aca="false">C21-152000</f>
        <v>142138</v>
      </c>
      <c r="F21" s="51" t="n">
        <f aca="false">D21/$D$2</f>
        <v>0</v>
      </c>
      <c r="G21" s="51" t="n">
        <v>224</v>
      </c>
      <c r="H21" s="100" t="n">
        <v>58</v>
      </c>
      <c r="I21" s="51" t="n">
        <f aca="false">G21+H21</f>
        <v>282</v>
      </c>
      <c r="J21" s="81" t="n">
        <f aca="false">IF(L21&gt;0,L21,0)</f>
        <v>170</v>
      </c>
      <c r="K21" s="51" t="n">
        <f aca="false">I21+J21</f>
        <v>452</v>
      </c>
      <c r="L21" s="51" t="n">
        <f aca="false">F21-(I21-W21)</f>
        <v>170</v>
      </c>
      <c r="M21" s="51" t="n">
        <v>5</v>
      </c>
      <c r="N21" s="101" t="n">
        <v>0</v>
      </c>
      <c r="O21" s="51" t="n">
        <v>0</v>
      </c>
      <c r="P21" s="6" t="n">
        <f aca="false">M21-(N21+O21)</f>
        <v>5</v>
      </c>
      <c r="Q21" s="51" t="n">
        <v>0</v>
      </c>
      <c r="R21" s="51" t="n">
        <v>0</v>
      </c>
      <c r="S21" s="51" t="n">
        <f aca="false">SUM(P21:R21)</f>
        <v>5</v>
      </c>
      <c r="T21" s="52"/>
      <c r="U21" s="51" t="n">
        <v>0</v>
      </c>
      <c r="V21" s="51" t="n">
        <v>447</v>
      </c>
      <c r="W21" s="6" t="n">
        <f aca="false">N21+O21+S21+U21+V21</f>
        <v>452</v>
      </c>
      <c r="X21" s="51" t="n">
        <f aca="false">IF(L21&lt;0,L21*-1,0)</f>
        <v>0</v>
      </c>
      <c r="Y21" s="51" t="n">
        <f aca="false">W21+X21</f>
        <v>452</v>
      </c>
      <c r="Z21" s="56" t="n">
        <v>0</v>
      </c>
      <c r="AA21" s="57" t="n">
        <v>54</v>
      </c>
      <c r="AB21" s="57" t="n">
        <v>26</v>
      </c>
      <c r="AC21" s="58" t="n">
        <f aca="false">AC20+1</f>
        <v>12</v>
      </c>
      <c r="AD21" s="91"/>
      <c r="AE21" s="93"/>
      <c r="AF21" s="92"/>
    </row>
    <row r="22" customFormat="false" ht="11.1" hidden="false" customHeight="true" outlineLevel="0" collapsed="false">
      <c r="A22" s="58" t="n">
        <f aca="false">A21+1</f>
        <v>13</v>
      </c>
      <c r="B22" s="73" t="n">
        <v>6902.9</v>
      </c>
      <c r="C22" s="52" t="n">
        <v>294401</v>
      </c>
      <c r="D22" s="57" t="n">
        <f aca="false">C22-C21</f>
        <v>263</v>
      </c>
      <c r="E22" s="52" t="n">
        <f aca="false">C22-152000</f>
        <v>142401</v>
      </c>
      <c r="F22" s="51" t="n">
        <f aca="false">D22/$D$2</f>
        <v>132.593899672296</v>
      </c>
      <c r="G22" s="51" t="n">
        <v>246</v>
      </c>
      <c r="H22" s="100" t="n">
        <v>80</v>
      </c>
      <c r="I22" s="51" t="n">
        <f aca="false">G22+H22</f>
        <v>326</v>
      </c>
      <c r="J22" s="81" t="n">
        <f aca="false">IF(L22&gt;0,L22,0)</f>
        <v>256.593899672296</v>
      </c>
      <c r="K22" s="51" t="n">
        <f aca="false">I22+J22</f>
        <v>582.593899672296</v>
      </c>
      <c r="L22" s="51" t="n">
        <f aca="false">F22-(I22-W22)</f>
        <v>256.593899672296</v>
      </c>
      <c r="M22" s="51" t="n">
        <v>5</v>
      </c>
      <c r="N22" s="101" t="n">
        <v>0</v>
      </c>
      <c r="O22" s="51" t="n">
        <v>0</v>
      </c>
      <c r="P22" s="6" t="n">
        <f aca="false">M22-(N22+O22)</f>
        <v>5</v>
      </c>
      <c r="Q22" s="51" t="n">
        <v>0</v>
      </c>
      <c r="R22" s="51" t="n">
        <v>0</v>
      </c>
      <c r="S22" s="51" t="n">
        <f aca="false">SUM(P22:R22)</f>
        <v>5</v>
      </c>
      <c r="T22" s="52"/>
      <c r="U22" s="51" t="n">
        <v>0</v>
      </c>
      <c r="V22" s="51" t="n">
        <v>445</v>
      </c>
      <c r="W22" s="6" t="n">
        <f aca="false">N22+O22+S22+U22+V22</f>
        <v>450</v>
      </c>
      <c r="X22" s="51" t="n">
        <f aca="false">IF(L22&lt;0,L22*-1,0)</f>
        <v>0</v>
      </c>
      <c r="Y22" s="51" t="n">
        <f aca="false">W22+X22</f>
        <v>450</v>
      </c>
      <c r="Z22" s="56" t="n">
        <v>0</v>
      </c>
      <c r="AA22" s="57" t="n">
        <v>59</v>
      </c>
      <c r="AB22" s="57" t="n">
        <v>31</v>
      </c>
      <c r="AC22" s="58" t="n">
        <f aca="false">AC21+1</f>
        <v>13</v>
      </c>
      <c r="AD22" s="91"/>
      <c r="AE22" s="93"/>
      <c r="AF22" s="92"/>
    </row>
    <row r="23" customFormat="false" ht="11.1" hidden="false" customHeight="true" outlineLevel="0" collapsed="false">
      <c r="A23" s="58" t="n">
        <f aca="false">A22+1</f>
        <v>14</v>
      </c>
      <c r="B23" s="73" t="n">
        <v>6902.95</v>
      </c>
      <c r="C23" s="52" t="n">
        <v>294589</v>
      </c>
      <c r="D23" s="57" t="n">
        <f aca="false">C23-C22</f>
        <v>188</v>
      </c>
      <c r="E23" s="52" t="n">
        <f aca="false">C23-152000</f>
        <v>142589</v>
      </c>
      <c r="F23" s="51" t="n">
        <f aca="false">D23/$D$2</f>
        <v>94.7819510965465</v>
      </c>
      <c r="G23" s="51" t="n">
        <v>275</v>
      </c>
      <c r="H23" s="87" t="n">
        <v>93</v>
      </c>
      <c r="I23" s="51" t="n">
        <f aca="false">G23+H23</f>
        <v>368</v>
      </c>
      <c r="J23" s="81" t="n">
        <f aca="false">IF(L23&gt;0,L23,0)</f>
        <v>176.781951096547</v>
      </c>
      <c r="K23" s="51" t="n">
        <f aca="false">I23+J23</f>
        <v>544.781951096546</v>
      </c>
      <c r="L23" s="51" t="n">
        <f aca="false">F23-(I23-W23)</f>
        <v>176.781951096547</v>
      </c>
      <c r="M23" s="51" t="n">
        <v>5</v>
      </c>
      <c r="N23" s="51" t="n">
        <v>0</v>
      </c>
      <c r="O23" s="51" t="n">
        <v>0</v>
      </c>
      <c r="P23" s="6" t="n">
        <f aca="false">M23-(N23+O23)</f>
        <v>5</v>
      </c>
      <c r="Q23" s="51" t="n">
        <v>0</v>
      </c>
      <c r="R23" s="51" t="n">
        <v>0</v>
      </c>
      <c r="S23" s="51" t="n">
        <f aca="false">SUM(P23:R23)</f>
        <v>5</v>
      </c>
      <c r="T23" s="52"/>
      <c r="U23" s="51" t="n">
        <v>0</v>
      </c>
      <c r="V23" s="51" t="n">
        <v>445</v>
      </c>
      <c r="W23" s="6" t="n">
        <f aca="false">N23+O23+S23+U23+V23</f>
        <v>450</v>
      </c>
      <c r="X23" s="51" t="n">
        <f aca="false">IF(L23&lt;0,L23*-1,0)</f>
        <v>0</v>
      </c>
      <c r="Y23" s="51" t="n">
        <f aca="false">W23+X23</f>
        <v>450</v>
      </c>
      <c r="Z23" s="56" t="n">
        <v>0</v>
      </c>
      <c r="AA23" s="82" t="n">
        <v>54</v>
      </c>
      <c r="AB23" s="57" t="n">
        <v>29</v>
      </c>
      <c r="AC23" s="58" t="n">
        <f aca="false">AC22+1</f>
        <v>14</v>
      </c>
      <c r="AD23" s="91"/>
      <c r="AE23" s="93"/>
      <c r="AF23" s="92"/>
    </row>
    <row r="24" customFormat="false" ht="11.1" hidden="false" customHeight="true" outlineLevel="0" collapsed="false">
      <c r="A24" s="58" t="n">
        <f aca="false">A23+1</f>
        <v>15</v>
      </c>
      <c r="B24" s="73" t="n">
        <v>6902.98</v>
      </c>
      <c r="C24" s="52" t="n">
        <v>294702</v>
      </c>
      <c r="D24" s="57" t="n">
        <f aca="false">C24-C23</f>
        <v>113</v>
      </c>
      <c r="E24" s="52" t="n">
        <f aca="false">C24-152000</f>
        <v>142702</v>
      </c>
      <c r="F24" s="51" t="n">
        <f aca="false">D24/$D$2</f>
        <v>56.9700025207966</v>
      </c>
      <c r="G24" s="51" t="n">
        <v>268</v>
      </c>
      <c r="H24" s="87" t="n">
        <v>74</v>
      </c>
      <c r="I24" s="51" t="n">
        <f aca="false">G24+H24</f>
        <v>342</v>
      </c>
      <c r="J24" s="81" t="n">
        <f aca="false">IF(L24&gt;0,L24,0)</f>
        <v>164.970002520797</v>
      </c>
      <c r="K24" s="51" t="n">
        <f aca="false">I24+J24</f>
        <v>506.970002520797</v>
      </c>
      <c r="L24" s="51" t="n">
        <f aca="false">F24-(I24-W24)</f>
        <v>164.970002520797</v>
      </c>
      <c r="M24" s="51" t="n">
        <v>5</v>
      </c>
      <c r="N24" s="51" t="n">
        <v>0</v>
      </c>
      <c r="O24" s="51" t="n">
        <v>0</v>
      </c>
      <c r="P24" s="6" t="n">
        <f aca="false">M24-(N24+O24)</f>
        <v>5</v>
      </c>
      <c r="Q24" s="51" t="n">
        <v>0</v>
      </c>
      <c r="R24" s="51" t="n">
        <v>0</v>
      </c>
      <c r="S24" s="51" t="n">
        <f aca="false">SUM(P24:R24)</f>
        <v>5</v>
      </c>
      <c r="T24" s="52"/>
      <c r="U24" s="51" t="n">
        <v>0</v>
      </c>
      <c r="V24" s="51" t="n">
        <v>445</v>
      </c>
      <c r="W24" s="6" t="n">
        <f aca="false">N24+O24+S24+U24+V24</f>
        <v>450</v>
      </c>
      <c r="X24" s="51" t="n">
        <f aca="false">IF(L24&lt;0,L24*-1,0)</f>
        <v>0</v>
      </c>
      <c r="Y24" s="51" t="n">
        <f aca="false">W24+X24</f>
        <v>450</v>
      </c>
      <c r="Z24" s="56" t="n">
        <v>0</v>
      </c>
      <c r="AA24" s="82" t="n">
        <v>42</v>
      </c>
      <c r="AB24" s="57" t="n">
        <v>35</v>
      </c>
      <c r="AC24" s="58" t="n">
        <f aca="false">AC23+1</f>
        <v>15</v>
      </c>
      <c r="AD24" s="91"/>
      <c r="AE24" s="93"/>
      <c r="AF24" s="92"/>
    </row>
    <row r="25" customFormat="false" ht="11.1" hidden="false" customHeight="true" outlineLevel="0" collapsed="false">
      <c r="A25" s="58" t="n">
        <f aca="false">A24+1</f>
        <v>16</v>
      </c>
      <c r="B25" s="73" t="n">
        <v>6902.85</v>
      </c>
      <c r="C25" s="52" t="n">
        <v>294213</v>
      </c>
      <c r="D25" s="57" t="n">
        <f aca="false">C25-C24</f>
        <v>-489</v>
      </c>
      <c r="E25" s="52" t="n">
        <f aca="false">C25-152000</f>
        <v>142213</v>
      </c>
      <c r="F25" s="51" t="n">
        <f aca="false">D25/$D$2</f>
        <v>-246.53390471389</v>
      </c>
      <c r="G25" s="51" t="n">
        <v>254</v>
      </c>
      <c r="H25" s="87" t="n">
        <v>63</v>
      </c>
      <c r="I25" s="51" t="n">
        <f aca="false">G25+H25</f>
        <v>317</v>
      </c>
      <c r="J25" s="81" t="n">
        <f aca="false">IF(L25&gt;0,L25,0)</f>
        <v>0</v>
      </c>
      <c r="K25" s="51" t="n">
        <f aca="false">I25+J25</f>
        <v>317</v>
      </c>
      <c r="L25" s="51" t="n">
        <f aca="false">F25-(I25-W25)</f>
        <v>-17.5339047138896</v>
      </c>
      <c r="M25" s="51" t="n">
        <v>5</v>
      </c>
      <c r="N25" s="51" t="n">
        <v>0</v>
      </c>
      <c r="O25" s="51" t="n">
        <v>0</v>
      </c>
      <c r="P25" s="6" t="n">
        <f aca="false">M25-(N25+O25)</f>
        <v>5</v>
      </c>
      <c r="Q25" s="51" t="n">
        <v>0</v>
      </c>
      <c r="R25" s="51" t="n">
        <v>0</v>
      </c>
      <c r="S25" s="51" t="n">
        <f aca="false">SUM(P25:R25)</f>
        <v>5</v>
      </c>
      <c r="T25" s="52"/>
      <c r="U25" s="51" t="n">
        <v>0</v>
      </c>
      <c r="V25" s="51" t="n">
        <v>541</v>
      </c>
      <c r="W25" s="6" t="n">
        <f aca="false">N25+O25+S25+U25+V25</f>
        <v>546</v>
      </c>
      <c r="X25" s="51" t="n">
        <f aca="false">IF(L25&lt;0,L25*-1,0)</f>
        <v>17.5339047138896</v>
      </c>
      <c r="Y25" s="51" t="n">
        <f aca="false">W25+X25</f>
        <v>563.53390471389</v>
      </c>
      <c r="Z25" s="56" t="n">
        <v>0.24</v>
      </c>
      <c r="AA25" s="82" t="n">
        <v>47</v>
      </c>
      <c r="AB25" s="57" t="n">
        <v>22</v>
      </c>
      <c r="AC25" s="58" t="n">
        <f aca="false">AC24+1</f>
        <v>16</v>
      </c>
      <c r="AD25" s="91"/>
      <c r="AE25" s="0"/>
      <c r="AF25" s="92"/>
    </row>
    <row r="26" customFormat="false" ht="11.1" hidden="false" customHeight="true" outlineLevel="0" collapsed="false">
      <c r="A26" s="58" t="n">
        <f aca="false">A25+1</f>
        <v>17</v>
      </c>
      <c r="B26" s="73" t="n">
        <v>6902.79</v>
      </c>
      <c r="C26" s="52" t="n">
        <v>293987</v>
      </c>
      <c r="D26" s="57" t="n">
        <f aca="false">C26-C25</f>
        <v>-226</v>
      </c>
      <c r="E26" s="52" t="n">
        <f aca="false">C26-152000</f>
        <v>141987</v>
      </c>
      <c r="F26" s="51" t="n">
        <f aca="false">D26/$D$2</f>
        <v>-113.940005041593</v>
      </c>
      <c r="G26" s="51" t="n">
        <v>207</v>
      </c>
      <c r="H26" s="87" t="n">
        <v>60</v>
      </c>
      <c r="I26" s="51" t="n">
        <f aca="false">G26+H26</f>
        <v>267</v>
      </c>
      <c r="J26" s="81" t="n">
        <f aca="false">IF(L26&gt;0,L26,0)</f>
        <v>124.059994958407</v>
      </c>
      <c r="K26" s="51" t="n">
        <f aca="false">I26+J26</f>
        <v>391.059994958407</v>
      </c>
      <c r="L26" s="51" t="n">
        <f aca="false">F26-(I26-W26)</f>
        <v>124.059994958407</v>
      </c>
      <c r="M26" s="51" t="n">
        <v>5</v>
      </c>
      <c r="N26" s="51" t="n">
        <v>0</v>
      </c>
      <c r="O26" s="51" t="n">
        <v>0</v>
      </c>
      <c r="P26" s="6" t="n">
        <f aca="false">M26-(N26+O26)</f>
        <v>5</v>
      </c>
      <c r="Q26" s="51" t="n">
        <v>0</v>
      </c>
      <c r="R26" s="51" t="n">
        <v>0</v>
      </c>
      <c r="S26" s="51" t="n">
        <f aca="false">SUM(P26:R26)</f>
        <v>5</v>
      </c>
      <c r="T26" s="52"/>
      <c r="U26" s="51" t="n">
        <v>0</v>
      </c>
      <c r="V26" s="51" t="n">
        <v>500</v>
      </c>
      <c r="W26" s="6" t="n">
        <f aca="false">N26+O26+S26+U26+V26</f>
        <v>505</v>
      </c>
      <c r="X26" s="51" t="n">
        <f aca="false">IF(L26&lt;0,L26*-1,0)</f>
        <v>0</v>
      </c>
      <c r="Y26" s="51" t="n">
        <f aca="false">W26+X26</f>
        <v>505</v>
      </c>
      <c r="Z26" s="56" t="n">
        <v>0</v>
      </c>
      <c r="AA26" s="82" t="n">
        <v>43</v>
      </c>
      <c r="AB26" s="57" t="n">
        <v>20</v>
      </c>
      <c r="AC26" s="58" t="n">
        <f aca="false">AC25+1</f>
        <v>17</v>
      </c>
      <c r="AD26" s="91"/>
      <c r="AE26" s="93"/>
      <c r="AF26" s="92"/>
    </row>
    <row r="27" customFormat="false" ht="11.1" hidden="false" customHeight="true" outlineLevel="0" collapsed="false">
      <c r="A27" s="58" t="n">
        <f aca="false">A26+1</f>
        <v>18</v>
      </c>
      <c r="B27" s="73" t="n">
        <v>6902.82</v>
      </c>
      <c r="C27" s="52" t="n">
        <v>294100</v>
      </c>
      <c r="D27" s="57" t="n">
        <f aca="false">C27-C26</f>
        <v>113</v>
      </c>
      <c r="E27" s="52" t="n">
        <f aca="false">C27-152000</f>
        <v>142100</v>
      </c>
      <c r="F27" s="51" t="n">
        <f aca="false">D27/$D$2</f>
        <v>56.9700025207966</v>
      </c>
      <c r="G27" s="51" t="n">
        <v>231</v>
      </c>
      <c r="H27" s="87" t="n">
        <v>55</v>
      </c>
      <c r="I27" s="51" t="n">
        <f aca="false">G27+H27</f>
        <v>286</v>
      </c>
      <c r="J27" s="81" t="n">
        <f aca="false">IF(L27&gt;0,L27,0)</f>
        <v>219.970002520797</v>
      </c>
      <c r="K27" s="51" t="n">
        <f aca="false">I27+J27</f>
        <v>505.970002520797</v>
      </c>
      <c r="L27" s="51" t="n">
        <f aca="false">F27-(I27-W27)</f>
        <v>219.970002520797</v>
      </c>
      <c r="M27" s="51" t="n">
        <v>5</v>
      </c>
      <c r="N27" s="51" t="n">
        <v>0</v>
      </c>
      <c r="O27" s="51" t="n">
        <v>0</v>
      </c>
      <c r="P27" s="6" t="n">
        <f aca="false">M27-(N27+O27)</f>
        <v>5</v>
      </c>
      <c r="Q27" s="51" t="n">
        <v>0</v>
      </c>
      <c r="R27" s="51" t="n">
        <v>0</v>
      </c>
      <c r="S27" s="51" t="n">
        <f aca="false">SUM(P27:R27)</f>
        <v>5</v>
      </c>
      <c r="T27" s="52"/>
      <c r="U27" s="51" t="n">
        <v>0</v>
      </c>
      <c r="V27" s="51" t="n">
        <v>444</v>
      </c>
      <c r="W27" s="6" t="n">
        <f aca="false">N27+O27+S27+U27+V27</f>
        <v>449</v>
      </c>
      <c r="X27" s="51" t="n">
        <f aca="false">IF(L27&lt;0,L27*-1,0)</f>
        <v>0</v>
      </c>
      <c r="Y27" s="51" t="n">
        <f aca="false">W27+X27</f>
        <v>449</v>
      </c>
      <c r="Z27" s="56" t="n">
        <v>0</v>
      </c>
      <c r="AA27" s="82" t="n">
        <v>52</v>
      </c>
      <c r="AB27" s="57" t="n">
        <v>24</v>
      </c>
      <c r="AC27" s="58" t="n">
        <f aca="false">AC26+1</f>
        <v>18</v>
      </c>
      <c r="AD27" s="91"/>
      <c r="AE27" s="93"/>
      <c r="AF27" s="92"/>
    </row>
    <row r="28" customFormat="false" ht="11.1" hidden="false" customHeight="true" outlineLevel="0" collapsed="false">
      <c r="A28" s="58" t="n">
        <f aca="false">A27+1</f>
        <v>19</v>
      </c>
      <c r="B28" s="73" t="n">
        <v>6902.8</v>
      </c>
      <c r="C28" s="98" t="n">
        <v>294025</v>
      </c>
      <c r="D28" s="57" t="n">
        <f aca="false">C28-C27</f>
        <v>-75</v>
      </c>
      <c r="E28" s="52" t="n">
        <f aca="false">C28-152000</f>
        <v>142025</v>
      </c>
      <c r="F28" s="51" t="n">
        <f aca="false">D28/$D$2</f>
        <v>-37.8119485757499</v>
      </c>
      <c r="G28" s="51" t="n">
        <v>243</v>
      </c>
      <c r="H28" s="87" t="n">
        <v>55</v>
      </c>
      <c r="I28" s="51" t="n">
        <f aca="false">G28+H28</f>
        <v>298</v>
      </c>
      <c r="J28" s="81" t="n">
        <f aca="false">IF(L28&gt;0,L28,0)</f>
        <v>113.18805142425</v>
      </c>
      <c r="K28" s="51" t="n">
        <f aca="false">I28+J28</f>
        <v>411.18805142425</v>
      </c>
      <c r="L28" s="51" t="n">
        <f aca="false">F28-(I28-W28)</f>
        <v>113.18805142425</v>
      </c>
      <c r="M28" s="51" t="n">
        <v>5</v>
      </c>
      <c r="N28" s="51" t="n">
        <v>0</v>
      </c>
      <c r="O28" s="51" t="n">
        <v>0</v>
      </c>
      <c r="P28" s="6" t="n">
        <f aca="false">M28-(N28+O28)</f>
        <v>5</v>
      </c>
      <c r="Q28" s="51" t="n">
        <v>0</v>
      </c>
      <c r="R28" s="51" t="n">
        <v>0</v>
      </c>
      <c r="S28" s="51" t="n">
        <f aca="false">SUM(P28:R28)</f>
        <v>5</v>
      </c>
      <c r="T28" s="52"/>
      <c r="U28" s="51" t="n">
        <v>0</v>
      </c>
      <c r="V28" s="51" t="n">
        <v>444</v>
      </c>
      <c r="W28" s="6" t="n">
        <f aca="false">N28+O28+S28+U28+V28</f>
        <v>449</v>
      </c>
      <c r="X28" s="51" t="n">
        <f aca="false">IF(L28&lt;0,L28*-1,0)</f>
        <v>0</v>
      </c>
      <c r="Y28" s="51" t="n">
        <f aca="false">W28+X28</f>
        <v>449</v>
      </c>
      <c r="Z28" s="56" t="n">
        <v>0.11</v>
      </c>
      <c r="AA28" s="82" t="n">
        <v>43</v>
      </c>
      <c r="AB28" s="57" t="n">
        <v>22</v>
      </c>
      <c r="AC28" s="58" t="n">
        <f aca="false">AC27+1</f>
        <v>19</v>
      </c>
      <c r="AD28" s="91"/>
      <c r="AE28" s="93"/>
      <c r="AF28" s="92"/>
    </row>
    <row r="29" customFormat="false" ht="11.1" hidden="false" customHeight="true" outlineLevel="0" collapsed="false">
      <c r="A29" s="58" t="n">
        <f aca="false">A28+1</f>
        <v>20</v>
      </c>
      <c r="B29" s="73" t="n">
        <v>6902.73</v>
      </c>
      <c r="C29" s="52" t="n">
        <v>293761</v>
      </c>
      <c r="D29" s="57" t="n">
        <f aca="false">C29-C28</f>
        <v>-264</v>
      </c>
      <c r="E29" s="52" t="n">
        <f aca="false">C29-152000</f>
        <v>141761</v>
      </c>
      <c r="F29" s="51" t="n">
        <f aca="false">D29/$D$2</f>
        <v>-133.09805898664</v>
      </c>
      <c r="G29" s="51" t="n">
        <v>226</v>
      </c>
      <c r="H29" s="87" t="n">
        <v>49</v>
      </c>
      <c r="I29" s="51" t="n">
        <f aca="false">G29+H29</f>
        <v>275</v>
      </c>
      <c r="J29" s="81" t="n">
        <f aca="false">IF(L29&gt;0,L29,0)</f>
        <v>41.9019410133602</v>
      </c>
      <c r="K29" s="51" t="n">
        <f aca="false">I29+J29</f>
        <v>316.90194101336</v>
      </c>
      <c r="L29" s="51" t="n">
        <f aca="false">F29-(I29-W29)</f>
        <v>41.9019410133602</v>
      </c>
      <c r="M29" s="51" t="n">
        <v>5</v>
      </c>
      <c r="N29" s="51" t="n">
        <v>0</v>
      </c>
      <c r="O29" s="51" t="n">
        <v>0</v>
      </c>
      <c r="P29" s="6" t="n">
        <f aca="false">M29-(N29+O29)</f>
        <v>5</v>
      </c>
      <c r="Q29" s="51" t="n">
        <v>0</v>
      </c>
      <c r="R29" s="51" t="n">
        <v>0</v>
      </c>
      <c r="S29" s="51" t="n">
        <f aca="false">SUM(P29:R29)</f>
        <v>5</v>
      </c>
      <c r="T29" s="52"/>
      <c r="U29" s="51" t="n">
        <v>0</v>
      </c>
      <c r="V29" s="51" t="n">
        <v>445</v>
      </c>
      <c r="W29" s="6" t="n">
        <f aca="false">N29+O29+S29+U29+V29</f>
        <v>450</v>
      </c>
      <c r="X29" s="51" t="n">
        <f aca="false">IF(L29&lt;0,L29*-1,0)</f>
        <v>0</v>
      </c>
      <c r="Y29" s="51" t="n">
        <f aca="false">W29+X29</f>
        <v>450</v>
      </c>
      <c r="Z29" s="56" t="n">
        <v>0</v>
      </c>
      <c r="AA29" s="82" t="n">
        <v>34</v>
      </c>
      <c r="AB29" s="57" t="n">
        <v>22</v>
      </c>
      <c r="AC29" s="58" t="n">
        <f aca="false">AC28+1</f>
        <v>20</v>
      </c>
      <c r="AD29" s="91"/>
      <c r="AE29" s="93"/>
      <c r="AF29" s="92"/>
    </row>
    <row r="30" customFormat="false" ht="11.1" hidden="false" customHeight="true" outlineLevel="0" collapsed="false">
      <c r="A30" s="58" t="n">
        <f aca="false">A29+1</f>
        <v>21</v>
      </c>
      <c r="B30" s="73" t="n">
        <v>6902.72</v>
      </c>
      <c r="C30" s="52" t="n">
        <v>293724</v>
      </c>
      <c r="D30" s="57" t="n">
        <f aca="false">C30-C29</f>
        <v>-37</v>
      </c>
      <c r="E30" s="52" t="n">
        <f aca="false">C30-152000</f>
        <v>141724</v>
      </c>
      <c r="F30" s="51" t="n">
        <f aca="false">D30/$D$2</f>
        <v>-18.6538946307033</v>
      </c>
      <c r="G30" s="101" t="n">
        <v>205</v>
      </c>
      <c r="H30" s="87" t="n">
        <v>50</v>
      </c>
      <c r="I30" s="51" t="n">
        <f aca="false">G30+H30</f>
        <v>255</v>
      </c>
      <c r="J30" s="81" t="n">
        <f aca="false">IF(L30&gt;0,L30,0)</f>
        <v>176.346105369297</v>
      </c>
      <c r="K30" s="51" t="n">
        <f aca="false">I30+J30</f>
        <v>431.346105369297</v>
      </c>
      <c r="L30" s="51" t="n">
        <f aca="false">F30-(I30-W30)</f>
        <v>176.346105369297</v>
      </c>
      <c r="M30" s="51" t="n">
        <v>5</v>
      </c>
      <c r="N30" s="51" t="n">
        <v>0</v>
      </c>
      <c r="O30" s="51" t="n">
        <v>0</v>
      </c>
      <c r="P30" s="6" t="n">
        <f aca="false">M30-(N30+O30)</f>
        <v>5</v>
      </c>
      <c r="Q30" s="51" t="n">
        <v>0</v>
      </c>
      <c r="R30" s="51" t="n">
        <v>0</v>
      </c>
      <c r="S30" s="51" t="n">
        <f aca="false">SUM(P30:R30)</f>
        <v>5</v>
      </c>
      <c r="T30" s="52"/>
      <c r="U30" s="51" t="n">
        <v>0</v>
      </c>
      <c r="V30" s="51" t="n">
        <v>445</v>
      </c>
      <c r="W30" s="6" t="n">
        <f aca="false">N30+O30+S30+U30+V30</f>
        <v>450</v>
      </c>
      <c r="X30" s="51" t="n">
        <f aca="false">IF(L30&lt;0,L30*-1,0)</f>
        <v>0</v>
      </c>
      <c r="Y30" s="51" t="n">
        <f aca="false">W30+X30</f>
        <v>450</v>
      </c>
      <c r="Z30" s="56" t="n">
        <v>0</v>
      </c>
      <c r="AA30" s="57" t="n">
        <v>46</v>
      </c>
      <c r="AB30" s="57" t="n">
        <v>22</v>
      </c>
      <c r="AC30" s="58" t="n">
        <f aca="false">AC29+1</f>
        <v>21</v>
      </c>
      <c r="AD30" s="91"/>
      <c r="AE30" s="93"/>
      <c r="AF30" s="92"/>
    </row>
    <row r="31" customFormat="false" ht="11.1" hidden="false" customHeight="true" outlineLevel="0" collapsed="false">
      <c r="A31" s="58" t="n">
        <f aca="false">A30+1</f>
        <v>22</v>
      </c>
      <c r="B31" s="73" t="n">
        <v>6902.65</v>
      </c>
      <c r="C31" s="52" t="n">
        <v>293460</v>
      </c>
      <c r="D31" s="57" t="n">
        <f aca="false">C31-C30</f>
        <v>-264</v>
      </c>
      <c r="E31" s="52" t="n">
        <f aca="false">C31-152000</f>
        <v>141460</v>
      </c>
      <c r="F31" s="51" t="n">
        <f aca="false">D31/$D$2</f>
        <v>-133.09805898664</v>
      </c>
      <c r="G31" s="51" t="n">
        <v>223</v>
      </c>
      <c r="H31" s="87" t="n">
        <v>42</v>
      </c>
      <c r="I31" s="51" t="n">
        <f aca="false">G31+H31</f>
        <v>265</v>
      </c>
      <c r="J31" s="81" t="n">
        <f aca="false">IF(L31&gt;0,L31,0)</f>
        <v>51.9019410133602</v>
      </c>
      <c r="K31" s="51" t="n">
        <f aca="false">I31+J31</f>
        <v>316.90194101336</v>
      </c>
      <c r="L31" s="51" t="n">
        <f aca="false">F31-(I31-W31)</f>
        <v>51.9019410133602</v>
      </c>
      <c r="M31" s="51" t="n">
        <v>5</v>
      </c>
      <c r="N31" s="51" t="n">
        <v>0</v>
      </c>
      <c r="O31" s="51" t="n">
        <v>0</v>
      </c>
      <c r="P31" s="6" t="n">
        <f aca="false">M31-(N31+O31)</f>
        <v>5</v>
      </c>
      <c r="Q31" s="51" t="n">
        <v>0</v>
      </c>
      <c r="R31" s="51" t="n">
        <v>0</v>
      </c>
      <c r="S31" s="51" t="n">
        <f aca="false">SUM(P31:R31)</f>
        <v>5</v>
      </c>
      <c r="T31" s="52"/>
      <c r="U31" s="51" t="n">
        <v>0</v>
      </c>
      <c r="V31" s="51" t="n">
        <v>445</v>
      </c>
      <c r="W31" s="6" t="n">
        <f aca="false">N31+O31+S31+U31+V31</f>
        <v>450</v>
      </c>
      <c r="X31" s="51" t="n">
        <f aca="false">IF(L31&lt;0,L31*-1,0)</f>
        <v>0</v>
      </c>
      <c r="Y31" s="51" t="n">
        <f aca="false">W31+X31</f>
        <v>450</v>
      </c>
      <c r="Z31" s="56" t="n">
        <v>0</v>
      </c>
      <c r="AA31" s="57" t="n">
        <v>43</v>
      </c>
      <c r="AB31" s="57" t="n">
        <v>37</v>
      </c>
      <c r="AC31" s="58" t="n">
        <f aca="false">AC30+1</f>
        <v>22</v>
      </c>
      <c r="AD31" s="91"/>
      <c r="AE31" s="93"/>
      <c r="AF31" s="92"/>
    </row>
    <row r="32" customFormat="false" ht="11.1" hidden="false" customHeight="true" outlineLevel="0" collapsed="false">
      <c r="A32" s="58" t="n">
        <f aca="false">A31+1</f>
        <v>23</v>
      </c>
      <c r="B32" s="73" t="n">
        <v>6902.6</v>
      </c>
      <c r="C32" s="52" t="n">
        <v>293272</v>
      </c>
      <c r="D32" s="57" t="n">
        <f aca="false">C32-C31</f>
        <v>-188</v>
      </c>
      <c r="E32" s="52" t="n">
        <f aca="false">C32-152000</f>
        <v>141272</v>
      </c>
      <c r="F32" s="51" t="n">
        <f aca="false">D32/$D$2</f>
        <v>-94.7819510965465</v>
      </c>
      <c r="G32" s="51" t="n">
        <v>196</v>
      </c>
      <c r="H32" s="87" t="n">
        <v>46</v>
      </c>
      <c r="I32" s="51" t="n">
        <f aca="false">G32+H32</f>
        <v>242</v>
      </c>
      <c r="J32" s="81" t="n">
        <f aca="false">IF(L32&gt;0,L32,0)</f>
        <v>118.218048903453</v>
      </c>
      <c r="K32" s="51" t="n">
        <f aca="false">I32+J32</f>
        <v>360.218048903454</v>
      </c>
      <c r="L32" s="51" t="n">
        <f aca="false">F32-(I32-W32)</f>
        <v>118.218048903453</v>
      </c>
      <c r="M32" s="51" t="n">
        <v>9</v>
      </c>
      <c r="N32" s="51" t="n">
        <v>0</v>
      </c>
      <c r="O32" s="51" t="n">
        <v>0</v>
      </c>
      <c r="P32" s="6" t="n">
        <f aca="false">M32-(N32+O32)</f>
        <v>9</v>
      </c>
      <c r="Q32" s="51" t="n">
        <v>0</v>
      </c>
      <c r="R32" s="51" t="n">
        <v>0</v>
      </c>
      <c r="S32" s="51" t="n">
        <f aca="false">SUM(P32:R32)</f>
        <v>9</v>
      </c>
      <c r="T32" s="52"/>
      <c r="U32" s="51" t="n">
        <v>0</v>
      </c>
      <c r="V32" s="51" t="n">
        <v>446</v>
      </c>
      <c r="W32" s="6" t="n">
        <f aca="false">N32+O32+S32+U32+V32</f>
        <v>455</v>
      </c>
      <c r="X32" s="51" t="n">
        <f aca="false">IF(L32&lt;0,L32*-1,0)</f>
        <v>0</v>
      </c>
      <c r="Y32" s="51" t="n">
        <f aca="false">W32+X32</f>
        <v>455</v>
      </c>
      <c r="Z32" s="56" t="n">
        <v>0</v>
      </c>
      <c r="AA32" s="57" t="n">
        <v>40</v>
      </c>
      <c r="AB32" s="82" t="n">
        <v>19</v>
      </c>
      <c r="AC32" s="58" t="n">
        <f aca="false">AC31+1</f>
        <v>23</v>
      </c>
      <c r="AD32" s="91"/>
      <c r="AE32" s="93"/>
      <c r="AF32" s="92"/>
    </row>
    <row r="33" customFormat="false" ht="11.1" hidden="false" customHeight="true" outlineLevel="0" collapsed="false">
      <c r="A33" s="58" t="n">
        <f aca="false">A32+1</f>
        <v>24</v>
      </c>
      <c r="B33" s="73" t="n">
        <v>6902.49</v>
      </c>
      <c r="C33" s="52" t="n">
        <v>292858</v>
      </c>
      <c r="D33" s="57" t="n">
        <f aca="false">C33-C32</f>
        <v>-414</v>
      </c>
      <c r="E33" s="52" t="n">
        <f aca="false">C33-152000</f>
        <v>140858</v>
      </c>
      <c r="F33" s="51" t="n">
        <f aca="false">D33/$D$2</f>
        <v>-208.72195613814</v>
      </c>
      <c r="G33" s="51" t="n">
        <v>193</v>
      </c>
      <c r="H33" s="87" t="n">
        <v>41</v>
      </c>
      <c r="I33" s="51" t="n">
        <f aca="false">G33+H33</f>
        <v>234</v>
      </c>
      <c r="J33" s="81" t="n">
        <f aca="false">IF(L33&gt;0,L33,0)</f>
        <v>17.2780438618603</v>
      </c>
      <c r="K33" s="51" t="n">
        <f aca="false">I33+J33</f>
        <v>251.27804386186</v>
      </c>
      <c r="L33" s="51" t="n">
        <f aca="false">F33-(I33-W33)</f>
        <v>17.2780438618603</v>
      </c>
      <c r="M33" s="51" t="n">
        <v>14</v>
      </c>
      <c r="N33" s="51" t="n">
        <v>0</v>
      </c>
      <c r="O33" s="51" t="n">
        <v>0</v>
      </c>
      <c r="P33" s="6" t="n">
        <f aca="false">M33-(N33+O33)</f>
        <v>14</v>
      </c>
      <c r="Q33" s="51" t="n">
        <v>0</v>
      </c>
      <c r="R33" s="51" t="n">
        <v>0</v>
      </c>
      <c r="S33" s="51" t="n">
        <f aca="false">SUM(P33:R33)</f>
        <v>14</v>
      </c>
      <c r="T33" s="52"/>
      <c r="U33" s="51" t="n">
        <v>0</v>
      </c>
      <c r="V33" s="51" t="n">
        <v>446</v>
      </c>
      <c r="W33" s="6" t="n">
        <f aca="false">N33+O33+S33+U33+V33</f>
        <v>460</v>
      </c>
      <c r="X33" s="51" t="n">
        <f aca="false">IF(L33&lt;0,L33*-1,0)</f>
        <v>0</v>
      </c>
      <c r="Y33" s="51" t="n">
        <f aca="false">W33+X33</f>
        <v>460</v>
      </c>
      <c r="Z33" s="56" t="n">
        <v>0</v>
      </c>
      <c r="AA33" s="57" t="n">
        <v>40</v>
      </c>
      <c r="AB33" s="82" t="n">
        <v>18</v>
      </c>
      <c r="AC33" s="58" t="n">
        <f aca="false">AC32+1</f>
        <v>24</v>
      </c>
      <c r="AD33" s="91"/>
      <c r="AE33" s="93"/>
      <c r="AF33" s="92"/>
    </row>
    <row r="34" customFormat="false" ht="11.1" hidden="false" customHeight="true" outlineLevel="0" collapsed="false">
      <c r="A34" s="58" t="n">
        <f aca="false">A33+1</f>
        <v>25</v>
      </c>
      <c r="B34" s="73" t="n">
        <v>6902.38</v>
      </c>
      <c r="C34" s="52" t="n">
        <v>292444</v>
      </c>
      <c r="D34" s="57" t="n">
        <f aca="false">C34-C33</f>
        <v>-414</v>
      </c>
      <c r="E34" s="52" t="n">
        <f aca="false">C34-152000</f>
        <v>140444</v>
      </c>
      <c r="F34" s="51" t="n">
        <f aca="false">D34/$D$2</f>
        <v>-208.72195613814</v>
      </c>
      <c r="G34" s="51" t="n">
        <v>192</v>
      </c>
      <c r="H34" s="87" t="n">
        <v>40</v>
      </c>
      <c r="I34" s="51" t="n">
        <f aca="false">G34+H34</f>
        <v>232</v>
      </c>
      <c r="J34" s="81" t="n">
        <f aca="false">IF(L34&gt;0,L34,0)</f>
        <v>65.2780438618603</v>
      </c>
      <c r="K34" s="51" t="n">
        <f aca="false">I34+J34</f>
        <v>297.27804386186</v>
      </c>
      <c r="L34" s="51" t="n">
        <f aca="false">F34-(I34-W34)</f>
        <v>65.2780438618603</v>
      </c>
      <c r="M34" s="51" t="n">
        <v>15</v>
      </c>
      <c r="N34" s="51" t="n">
        <v>0</v>
      </c>
      <c r="O34" s="51" t="n">
        <v>0</v>
      </c>
      <c r="P34" s="6" t="n">
        <f aca="false">M34-(N34+O34)</f>
        <v>15</v>
      </c>
      <c r="Q34" s="51" t="n">
        <v>167</v>
      </c>
      <c r="R34" s="51" t="n">
        <v>0</v>
      </c>
      <c r="S34" s="51" t="n">
        <f aca="false">SUM(P34:R34)</f>
        <v>182</v>
      </c>
      <c r="T34" s="52"/>
      <c r="U34" s="51" t="n">
        <v>0</v>
      </c>
      <c r="V34" s="51" t="n">
        <v>324</v>
      </c>
      <c r="W34" s="6" t="n">
        <f aca="false">N34+O34+S34+U34+V34</f>
        <v>506</v>
      </c>
      <c r="X34" s="51" t="n">
        <f aca="false">IF(L34&lt;0,L34*-1,0)</f>
        <v>0</v>
      </c>
      <c r="Y34" s="51" t="n">
        <f aca="false">W34+X34</f>
        <v>506</v>
      </c>
      <c r="Z34" s="56" t="n">
        <v>0</v>
      </c>
      <c r="AA34" s="57" t="n">
        <v>45</v>
      </c>
      <c r="AB34" s="82" t="n">
        <v>19</v>
      </c>
      <c r="AC34" s="58" t="n">
        <f aca="false">AC33+1</f>
        <v>25</v>
      </c>
      <c r="AD34" s="91"/>
      <c r="AE34" s="93"/>
      <c r="AF34" s="92"/>
    </row>
    <row r="35" customFormat="false" ht="11.1" hidden="false" customHeight="true" outlineLevel="0" collapsed="false">
      <c r="A35" s="58" t="n">
        <f aca="false">A34+1</f>
        <v>26</v>
      </c>
      <c r="B35" s="73" t="n">
        <v>6902.26</v>
      </c>
      <c r="C35" s="52" t="n">
        <v>292369</v>
      </c>
      <c r="D35" s="57" t="n">
        <f aca="false">C35-C34</f>
        <v>-75</v>
      </c>
      <c r="E35" s="52" t="n">
        <f aca="false">C35-152000</f>
        <v>140369</v>
      </c>
      <c r="F35" s="51" t="n">
        <f aca="false">D35/$D$2</f>
        <v>-37.8119485757499</v>
      </c>
      <c r="G35" s="51" t="n">
        <v>190</v>
      </c>
      <c r="H35" s="87" t="n">
        <v>36</v>
      </c>
      <c r="I35" s="51" t="n">
        <f aca="false">G35+H35</f>
        <v>226</v>
      </c>
      <c r="J35" s="81" t="n">
        <f aca="false">IF(L35&gt;0,L35,0)</f>
        <v>257.18805142425</v>
      </c>
      <c r="K35" s="51" t="n">
        <f aca="false">I35+J35</f>
        <v>483.18805142425</v>
      </c>
      <c r="L35" s="51" t="n">
        <f aca="false">F35-(I35-W35)</f>
        <v>257.18805142425</v>
      </c>
      <c r="M35" s="51" t="n">
        <v>9</v>
      </c>
      <c r="N35" s="51" t="n">
        <v>0.08</v>
      </c>
      <c r="O35" s="51" t="n">
        <v>0</v>
      </c>
      <c r="P35" s="6" t="n">
        <f aca="false">M35-(N35+O35)</f>
        <v>8.92</v>
      </c>
      <c r="Q35" s="51" t="n">
        <v>264</v>
      </c>
      <c r="R35" s="51" t="n">
        <v>0</v>
      </c>
      <c r="S35" s="51" t="n">
        <f aca="false">SUM(P35:R35)</f>
        <v>272.92</v>
      </c>
      <c r="T35" s="52"/>
      <c r="U35" s="51" t="n">
        <v>0</v>
      </c>
      <c r="V35" s="51" t="n">
        <v>248</v>
      </c>
      <c r="W35" s="6" t="n">
        <f aca="false">N35+O35+S35+U35+V35</f>
        <v>521</v>
      </c>
      <c r="X35" s="51" t="n">
        <f aca="false">IF(L35&lt;0,L35*-1,0)</f>
        <v>0</v>
      </c>
      <c r="Y35" s="51" t="n">
        <f aca="false">W35+X35</f>
        <v>521</v>
      </c>
      <c r="Z35" s="56" t="n">
        <v>0.02</v>
      </c>
      <c r="AA35" s="57" t="n">
        <v>44</v>
      </c>
      <c r="AB35" s="57" t="n">
        <v>18</v>
      </c>
      <c r="AC35" s="58" t="n">
        <f aca="false">AC34+1</f>
        <v>26</v>
      </c>
      <c r="AD35" s="91"/>
      <c r="AE35" s="93"/>
      <c r="AF35" s="92"/>
    </row>
    <row r="36" customFormat="false" ht="11.1" hidden="false" customHeight="true" outlineLevel="0" collapsed="false">
      <c r="A36" s="58" t="n">
        <f aca="false">A35+1</f>
        <v>27</v>
      </c>
      <c r="B36" s="73" t="n">
        <v>6902.2</v>
      </c>
      <c r="C36" s="52" t="n">
        <v>291767</v>
      </c>
      <c r="D36" s="57" t="n">
        <f aca="false">C36-C35</f>
        <v>-602</v>
      </c>
      <c r="E36" s="52" t="n">
        <f aca="false">C36-152000</f>
        <v>139767</v>
      </c>
      <c r="F36" s="51" t="n">
        <f aca="false">D36/$D$2</f>
        <v>-303.503907234686</v>
      </c>
      <c r="G36" s="51" t="n">
        <v>198</v>
      </c>
      <c r="H36" s="87" t="n">
        <v>35</v>
      </c>
      <c r="I36" s="51" t="n">
        <f aca="false">G36+H36</f>
        <v>233</v>
      </c>
      <c r="J36" s="81" t="n">
        <f aca="false">IF(L36&gt;0,L36,0)</f>
        <v>0</v>
      </c>
      <c r="K36" s="51" t="n">
        <f aca="false">I36+J36</f>
        <v>233</v>
      </c>
      <c r="L36" s="51" t="n">
        <f aca="false">F36-(I36-W36)</f>
        <v>-74.5039072346862</v>
      </c>
      <c r="M36" s="51" t="n">
        <v>5</v>
      </c>
      <c r="N36" s="51" t="n">
        <v>0</v>
      </c>
      <c r="O36" s="51" t="n">
        <v>0</v>
      </c>
      <c r="P36" s="6" t="n">
        <f aca="false">M36-(N36+O36)</f>
        <v>5</v>
      </c>
      <c r="Q36" s="51" t="n">
        <v>281</v>
      </c>
      <c r="R36" s="51" t="n">
        <v>0</v>
      </c>
      <c r="S36" s="51" t="n">
        <f aca="false">SUM(P36:R36)</f>
        <v>286</v>
      </c>
      <c r="T36" s="52"/>
      <c r="U36" s="51" t="n">
        <v>0</v>
      </c>
      <c r="V36" s="51" t="n">
        <v>176</v>
      </c>
      <c r="W36" s="6" t="n">
        <f aca="false">N36+O36+S36+U36+V36</f>
        <v>462</v>
      </c>
      <c r="X36" s="51" t="n">
        <f aca="false">IF(L36&lt;0,L36*-1,0)</f>
        <v>74.5039072346862</v>
      </c>
      <c r="Y36" s="51" t="n">
        <f aca="false">W36+X36</f>
        <v>536.503907234686</v>
      </c>
      <c r="Z36" s="56" t="n">
        <v>0</v>
      </c>
      <c r="AA36" s="57" t="n">
        <v>36</v>
      </c>
      <c r="AB36" s="57" t="n">
        <v>19</v>
      </c>
      <c r="AC36" s="58" t="n">
        <f aca="false">AC35+1</f>
        <v>27</v>
      </c>
      <c r="AD36" s="91"/>
      <c r="AE36" s="93"/>
      <c r="AF36" s="92"/>
    </row>
    <row r="37" customFormat="false" ht="11.1" hidden="false" customHeight="true" outlineLevel="0" collapsed="false">
      <c r="A37" s="58" t="n">
        <f aca="false">A36+1</f>
        <v>28</v>
      </c>
      <c r="B37" s="73" t="n">
        <v>6902.1</v>
      </c>
      <c r="C37" s="52" t="n">
        <v>291391</v>
      </c>
      <c r="D37" s="57" t="n">
        <f aca="false">C37-C36</f>
        <v>-376</v>
      </c>
      <c r="E37" s="52" t="n">
        <f aca="false">C37-152000</f>
        <v>139391</v>
      </c>
      <c r="F37" s="51" t="n">
        <f aca="false">D37/$D$2</f>
        <v>-189.563902193093</v>
      </c>
      <c r="G37" s="51" t="n">
        <v>177</v>
      </c>
      <c r="H37" s="87" t="n">
        <v>32</v>
      </c>
      <c r="I37" s="51" t="n">
        <f aca="false">G37+H37</f>
        <v>209</v>
      </c>
      <c r="J37" s="81" t="n">
        <f aca="false">IF(L37&gt;0,L37,0)</f>
        <v>17.436097806907</v>
      </c>
      <c r="K37" s="51" t="n">
        <f aca="false">I37+J37</f>
        <v>226.436097806907</v>
      </c>
      <c r="L37" s="51" t="n">
        <f aca="false">F37-(I37-W37)</f>
        <v>17.436097806907</v>
      </c>
      <c r="M37" s="51" t="n">
        <v>5</v>
      </c>
      <c r="N37" s="51" t="n">
        <v>0</v>
      </c>
      <c r="O37" s="51" t="n">
        <v>0</v>
      </c>
      <c r="P37" s="6" t="n">
        <f aca="false">M37-(N37+O37)</f>
        <v>5</v>
      </c>
      <c r="Q37" s="51" t="n">
        <v>287</v>
      </c>
      <c r="R37" s="51" t="n">
        <v>0</v>
      </c>
      <c r="S37" s="51" t="n">
        <f aca="false">SUM(P37:R37)</f>
        <v>292</v>
      </c>
      <c r="T37" s="52"/>
      <c r="U37" s="51" t="n">
        <v>0</v>
      </c>
      <c r="V37" s="51" t="n">
        <v>124</v>
      </c>
      <c r="W37" s="6" t="n">
        <f aca="false">N37+O37+S37+U37+V37</f>
        <v>416</v>
      </c>
      <c r="X37" s="51" t="n">
        <f aca="false">IF(L37&lt;0,L37*-1,0)</f>
        <v>0</v>
      </c>
      <c r="Y37" s="51" t="n">
        <f aca="false">W37+X37</f>
        <v>416</v>
      </c>
      <c r="Z37" s="56" t="n">
        <v>0</v>
      </c>
      <c r="AA37" s="57" t="n">
        <v>37</v>
      </c>
      <c r="AB37" s="57" t="n">
        <v>17</v>
      </c>
      <c r="AC37" s="58" t="n">
        <f aca="false">AC36+1</f>
        <v>28</v>
      </c>
      <c r="AD37" s="91"/>
      <c r="AE37" s="93"/>
      <c r="AF37" s="92"/>
    </row>
    <row r="38" customFormat="false" ht="11.1" hidden="false" customHeight="true" outlineLevel="0" collapsed="false">
      <c r="A38" s="58" t="n">
        <f aca="false">A37+1</f>
        <v>29</v>
      </c>
      <c r="B38" s="73" t="n">
        <v>6902</v>
      </c>
      <c r="C38" s="52" t="n">
        <v>291014</v>
      </c>
      <c r="D38" s="57" t="n">
        <f aca="false">C38-C37</f>
        <v>-377</v>
      </c>
      <c r="E38" s="52" t="n">
        <f aca="false">C38-152000</f>
        <v>139014</v>
      </c>
      <c r="F38" s="51" t="n">
        <f aca="false">D38/$D$2</f>
        <v>-190.068061507436</v>
      </c>
      <c r="G38" s="51" t="n">
        <v>177</v>
      </c>
      <c r="H38" s="87" t="n">
        <v>28</v>
      </c>
      <c r="I38" s="51" t="n">
        <f aca="false">G38+H38</f>
        <v>205</v>
      </c>
      <c r="J38" s="81" t="n">
        <f aca="false">IF(L38&gt;0,L38,0)</f>
        <v>14.9319384925637</v>
      </c>
      <c r="K38" s="51" t="n">
        <f aca="false">I38+J38</f>
        <v>219.931938492564</v>
      </c>
      <c r="L38" s="51" t="n">
        <f aca="false">F38-(I38-W38)</f>
        <v>14.9319384925637</v>
      </c>
      <c r="M38" s="51" t="n">
        <v>5</v>
      </c>
      <c r="N38" s="51" t="n">
        <v>0</v>
      </c>
      <c r="O38" s="51" t="n">
        <v>0</v>
      </c>
      <c r="P38" s="6" t="n">
        <f aca="false">M38-(N38+O38)</f>
        <v>5</v>
      </c>
      <c r="Q38" s="51" t="n">
        <v>281</v>
      </c>
      <c r="R38" s="51" t="n">
        <v>0</v>
      </c>
      <c r="S38" s="51" t="n">
        <f aca="false">SUM(P38:R38)</f>
        <v>286</v>
      </c>
      <c r="T38" s="52"/>
      <c r="U38" s="51" t="n">
        <v>0</v>
      </c>
      <c r="V38" s="51" t="n">
        <v>124</v>
      </c>
      <c r="W38" s="6" t="n">
        <f aca="false">N38+O38+S38+U38+V38</f>
        <v>410</v>
      </c>
      <c r="X38" s="51" t="n">
        <f aca="false">IF(L38&lt;0,L38*-1,0)</f>
        <v>0</v>
      </c>
      <c r="Y38" s="51" t="n">
        <f aca="false">W38+X38</f>
        <v>410</v>
      </c>
      <c r="Z38" s="56" t="n">
        <v>0</v>
      </c>
      <c r="AA38" s="82" t="n">
        <v>35</v>
      </c>
      <c r="AB38" s="57" t="n">
        <v>19</v>
      </c>
      <c r="AC38" s="58" t="n">
        <f aca="false">AC37+1</f>
        <v>29</v>
      </c>
      <c r="AD38" s="91"/>
      <c r="AE38" s="93"/>
      <c r="AF38" s="92"/>
    </row>
    <row r="39" customFormat="false" ht="11.1" hidden="false" customHeight="true" outlineLevel="0" collapsed="false">
      <c r="A39" s="58" t="n">
        <v>30</v>
      </c>
      <c r="B39" s="73" t="n">
        <v>6901.98</v>
      </c>
      <c r="C39" s="52" t="n">
        <v>290940</v>
      </c>
      <c r="D39" s="57" t="n">
        <f aca="false">C39-C38</f>
        <v>-74</v>
      </c>
      <c r="E39" s="52" t="n">
        <f aca="false">C39-152000</f>
        <v>138940</v>
      </c>
      <c r="F39" s="51" t="n">
        <f aca="false">D39/$D$2</f>
        <v>-37.3077892614066</v>
      </c>
      <c r="G39" s="51" t="n">
        <v>159</v>
      </c>
      <c r="H39" s="87" t="n">
        <v>34</v>
      </c>
      <c r="I39" s="51" t="n">
        <f aca="false">G39+H39</f>
        <v>193</v>
      </c>
      <c r="J39" s="81" t="n">
        <f aca="false">IF(L39&gt;0,L39,0)</f>
        <v>139.692210738593</v>
      </c>
      <c r="K39" s="51" t="n">
        <f aca="false">I39+J39</f>
        <v>332.692210738593</v>
      </c>
      <c r="L39" s="51" t="n">
        <f aca="false">F39-(I39-W39)</f>
        <v>139.692210738593</v>
      </c>
      <c r="M39" s="51" t="n">
        <v>5</v>
      </c>
      <c r="N39" s="51" t="n">
        <v>0</v>
      </c>
      <c r="O39" s="51" t="n">
        <v>0</v>
      </c>
      <c r="P39" s="6" t="n">
        <f aca="false">M39-(N39+O39)</f>
        <v>5</v>
      </c>
      <c r="Q39" s="51" t="n">
        <v>241</v>
      </c>
      <c r="R39" s="51" t="n">
        <v>0</v>
      </c>
      <c r="S39" s="51" t="n">
        <f aca="false">SUM(P39:R39)</f>
        <v>246</v>
      </c>
      <c r="T39" s="52"/>
      <c r="U39" s="51" t="n">
        <v>0</v>
      </c>
      <c r="V39" s="51" t="n">
        <v>124</v>
      </c>
      <c r="W39" s="6" t="n">
        <f aca="false">N39+O39+S39+U39+V39</f>
        <v>370</v>
      </c>
      <c r="X39" s="51" t="n">
        <f aca="false">IF(L39&lt;0,L39*-1,0)</f>
        <v>0</v>
      </c>
      <c r="Y39" s="51" t="n">
        <f aca="false">W39+X39</f>
        <v>370</v>
      </c>
      <c r="Z39" s="56" t="n">
        <v>0</v>
      </c>
      <c r="AA39" s="82" t="n">
        <v>46</v>
      </c>
      <c r="AB39" s="57" t="n">
        <v>9</v>
      </c>
      <c r="AC39" s="58" t="n">
        <v>30</v>
      </c>
      <c r="AD39" s="91"/>
      <c r="AE39" s="93"/>
      <c r="AF39" s="92"/>
    </row>
    <row r="40" customFormat="false" ht="11.1" hidden="false" customHeight="true" outlineLevel="0" collapsed="false">
      <c r="A40" s="58" t="n">
        <v>31</v>
      </c>
      <c r="B40" s="73" t="n">
        <v>6902.02</v>
      </c>
      <c r="C40" s="52" t="n">
        <v>291090</v>
      </c>
      <c r="D40" s="57" t="n">
        <f aca="false">C40-C39</f>
        <v>150</v>
      </c>
      <c r="E40" s="52" t="n">
        <f aca="false">C40-152000</f>
        <v>139090</v>
      </c>
      <c r="F40" s="51" t="n">
        <f aca="false">D40/$D$2</f>
        <v>75.6238971514999</v>
      </c>
      <c r="G40" s="51" t="n">
        <v>181</v>
      </c>
      <c r="H40" s="87" t="n">
        <v>29</v>
      </c>
      <c r="I40" s="51" t="n">
        <f aca="false">G40+H40</f>
        <v>210</v>
      </c>
      <c r="J40" s="81" t="n">
        <f aca="false">IF(L40&gt;0,L40,0)</f>
        <v>141.6238971515</v>
      </c>
      <c r="K40" s="51" t="n">
        <f aca="false">I40+J40</f>
        <v>351.6238971515</v>
      </c>
      <c r="L40" s="51" t="n">
        <f aca="false">F40-(I40-W40)</f>
        <v>141.6238971515</v>
      </c>
      <c r="M40" s="51" t="n">
        <v>10</v>
      </c>
      <c r="N40" s="51" t="n">
        <v>0</v>
      </c>
      <c r="O40" s="51" t="n">
        <v>0</v>
      </c>
      <c r="P40" s="6" t="n">
        <f aca="false">M40-(N40+O40)</f>
        <v>10</v>
      </c>
      <c r="Q40" s="51" t="n">
        <v>141</v>
      </c>
      <c r="R40" s="51" t="n">
        <v>0</v>
      </c>
      <c r="S40" s="51" t="n">
        <f aca="false">SUM(P40:R40)</f>
        <v>151</v>
      </c>
      <c r="T40" s="52"/>
      <c r="U40" s="51" t="n">
        <v>0</v>
      </c>
      <c r="V40" s="51" t="n">
        <v>125</v>
      </c>
      <c r="W40" s="6" t="n">
        <f aca="false">N40+O40+S40+U40+V40</f>
        <v>276</v>
      </c>
      <c r="X40" s="51" t="n">
        <f aca="false">IF(L40&lt;0,L40*-1,0)</f>
        <v>0</v>
      </c>
      <c r="Y40" s="51" t="n">
        <f aca="false">W40+X40</f>
        <v>276</v>
      </c>
      <c r="Z40" s="56" t="n">
        <v>0</v>
      </c>
      <c r="AA40" s="82" t="n">
        <v>57</v>
      </c>
      <c r="AB40" s="57" t="n">
        <v>19</v>
      </c>
      <c r="AC40" s="58" t="n">
        <v>31</v>
      </c>
      <c r="AD40" s="91"/>
      <c r="AE40" s="91"/>
      <c r="AF40" s="92"/>
    </row>
    <row r="41" customFormat="false" ht="3" hidden="false" customHeight="true" outlineLevel="0" collapsed="false">
      <c r="A41" s="74"/>
      <c r="B41" s="74"/>
      <c r="C41" s="76"/>
      <c r="D41" s="74"/>
      <c r="E41" s="76"/>
      <c r="F41" s="74"/>
      <c r="G41" s="74"/>
      <c r="H41" s="94"/>
      <c r="I41" s="74"/>
      <c r="J41" s="74"/>
      <c r="K41" s="74"/>
      <c r="L41" s="74"/>
      <c r="M41" s="74"/>
      <c r="N41" s="74"/>
      <c r="O41" s="74"/>
      <c r="P41" s="74"/>
      <c r="Q41" s="74"/>
      <c r="R41" s="74"/>
      <c r="S41" s="74"/>
      <c r="T41" s="76"/>
      <c r="U41" s="74"/>
      <c r="V41" s="74"/>
      <c r="W41" s="74"/>
      <c r="X41" s="74"/>
      <c r="Y41" s="74"/>
      <c r="Z41" s="78"/>
      <c r="AA41" s="79"/>
      <c r="AB41" s="79"/>
      <c r="AC41" s="80"/>
      <c r="AD41" s="91"/>
      <c r="AE41" s="91"/>
      <c r="AF41" s="92"/>
    </row>
    <row r="42" customFormat="false" ht="11.1" hidden="false" customHeight="true" outlineLevel="0" collapsed="false">
      <c r="A42" s="51" t="s">
        <v>44</v>
      </c>
      <c r="B42" s="51"/>
      <c r="C42" s="52"/>
      <c r="D42" s="52"/>
      <c r="E42" s="52"/>
      <c r="F42" s="52" t="n">
        <f aca="false">SUM(F10:F40)</f>
        <v>-1290.14368540459</v>
      </c>
      <c r="G42" s="52" t="n">
        <f aca="false">SUM(G10:G40)</f>
        <v>6323</v>
      </c>
      <c r="H42" s="87" t="n">
        <f aca="false">SUM(H10:H40)</f>
        <v>1498</v>
      </c>
      <c r="I42" s="52" t="n">
        <f aca="false">SUM(I10:I40)</f>
        <v>7821</v>
      </c>
      <c r="J42" s="52" t="n">
        <f aca="false">SUM(J10:J40)</f>
        <v>2933.3602218301</v>
      </c>
      <c r="K42" s="52" t="n">
        <f aca="false">SUM(K10:K40)</f>
        <v>10754.3602218301</v>
      </c>
      <c r="L42" s="52" t="n">
        <f aca="false">SUM(L10:L40)</f>
        <v>2840.85631459541</v>
      </c>
      <c r="M42" s="52" t="n">
        <f aca="false">SUM(M10:M40)</f>
        <v>187</v>
      </c>
      <c r="N42" s="52" t="n">
        <f aca="false">SUM(N10:N40)</f>
        <v>0.08</v>
      </c>
      <c r="O42" s="52" t="n">
        <f aca="false">SUM(O10:O40)</f>
        <v>0</v>
      </c>
      <c r="P42" s="52" t="n">
        <f aca="false">SUM(P10:P40)</f>
        <v>186.92</v>
      </c>
      <c r="Q42" s="52" t="n">
        <f aca="false">SUM(Q10:Q40)</f>
        <v>1662</v>
      </c>
      <c r="R42" s="52" t="n">
        <f aca="false">SUM(R10:R40)</f>
        <v>0</v>
      </c>
      <c r="S42" s="52" t="n">
        <f aca="false">SUM(S10:S40)</f>
        <v>1848.92</v>
      </c>
      <c r="T42" s="52"/>
      <c r="U42" s="52" t="n">
        <f aca="false">SUM(U10:U40)</f>
        <v>0</v>
      </c>
      <c r="V42" s="52" t="n">
        <f aca="false">SUM(V10:V40)</f>
        <v>10103</v>
      </c>
      <c r="W42" s="52" t="n">
        <f aca="false">SUM(W10:W40)</f>
        <v>11952</v>
      </c>
      <c r="X42" s="52" t="n">
        <f aca="false">SUM(X10:X40)</f>
        <v>92.5039072346862</v>
      </c>
      <c r="Y42" s="52" t="n">
        <f aca="false">SUM(Y10:Y40)</f>
        <v>12044.5039072347</v>
      </c>
      <c r="Z42" s="56" t="n">
        <f aca="false">SUM(Z10:Z40)</f>
        <v>1.22</v>
      </c>
      <c r="AA42" s="57" t="n">
        <f aca="false">AVERAGE(AA10:AA40)</f>
        <v>46.3548387096774</v>
      </c>
      <c r="AB42" s="57" t="n">
        <f aca="false">AVERAGE(AB10:AB40)</f>
        <v>22.6129032258064</v>
      </c>
      <c r="AC42" s="58" t="s">
        <v>57</v>
      </c>
      <c r="AD42" s="91"/>
      <c r="AE42" s="91"/>
      <c r="AF42" s="92"/>
    </row>
    <row r="43" customFormat="false" ht="11.1" hidden="false" customHeight="true" outlineLevel="0" collapsed="false">
      <c r="A43" s="51" t="s">
        <v>46</v>
      </c>
      <c r="B43" s="51"/>
      <c r="C43" s="52"/>
      <c r="D43" s="52" t="n">
        <f aca="false">SUM(D10:D40)</f>
        <v>-2559</v>
      </c>
      <c r="E43" s="52"/>
      <c r="F43" s="52" t="n">
        <f aca="false">F42*$D$2</f>
        <v>-2559</v>
      </c>
      <c r="G43" s="52" t="n">
        <f aca="false">G42*$D$2</f>
        <v>12541.6705</v>
      </c>
      <c r="H43" s="87" t="n">
        <f aca="false">H42*$D$2</f>
        <v>2971.283</v>
      </c>
      <c r="I43" s="52" t="n">
        <f aca="false">I42*$D$2</f>
        <v>15512.9535</v>
      </c>
      <c r="J43" s="52" t="n">
        <f aca="false">J42*$D$2</f>
        <v>5818.32</v>
      </c>
      <c r="K43" s="52" t="n">
        <f aca="false">K42*$D$2</f>
        <v>21331.2735</v>
      </c>
      <c r="L43" s="52" t="n">
        <f aca="false">L42*$D$2</f>
        <v>5634.8385</v>
      </c>
      <c r="M43" s="52" t="n">
        <f aca="false">M42*$D$2</f>
        <v>370.9145</v>
      </c>
      <c r="N43" s="52" t="n">
        <f aca="false">N42*$D$2</f>
        <v>0.15868</v>
      </c>
      <c r="O43" s="52" t="n">
        <f aca="false">O42*$D$2</f>
        <v>0</v>
      </c>
      <c r="P43" s="52" t="n">
        <f aca="false">P42*$D$2</f>
        <v>370.75582</v>
      </c>
      <c r="Q43" s="52" t="n">
        <f aca="false">Q42*$D$2</f>
        <v>3296.577</v>
      </c>
      <c r="R43" s="52" t="n">
        <f aca="false">R42*$D$2</f>
        <v>0</v>
      </c>
      <c r="S43" s="52" t="n">
        <f aca="false">S42*$D$2</f>
        <v>3667.33282</v>
      </c>
      <c r="T43" s="52"/>
      <c r="U43" s="52" t="n">
        <f aca="false">U42*$D$2</f>
        <v>0</v>
      </c>
      <c r="V43" s="52" t="n">
        <f aca="false">V42*$D$2</f>
        <v>20039.3005</v>
      </c>
      <c r="W43" s="52" t="n">
        <f aca="false">W42*$D$2</f>
        <v>23706.792</v>
      </c>
      <c r="X43" s="52" t="n">
        <f aca="false">X42*$D$2</f>
        <v>183.4815</v>
      </c>
      <c r="Y43" s="52" t="n">
        <f aca="false">Y42*$D$2</f>
        <v>23890.2735</v>
      </c>
      <c r="Z43" s="56"/>
      <c r="AA43" s="57" t="n">
        <f aca="false">MAX(AA10:AA40)</f>
        <v>60</v>
      </c>
      <c r="AB43" s="57" t="n">
        <f aca="false">MAX(AB10:AB40)</f>
        <v>37</v>
      </c>
      <c r="AC43" s="58" t="s">
        <v>47</v>
      </c>
      <c r="AD43" s="91"/>
      <c r="AE43" s="91"/>
      <c r="AF43" s="92"/>
    </row>
    <row r="44" customFormat="false" ht="3" hidden="false" customHeight="true" outlineLevel="0" collapsed="false">
      <c r="A44" s="74"/>
      <c r="B44" s="74"/>
      <c r="C44" s="76"/>
      <c r="D44" s="76"/>
      <c r="E44" s="76"/>
      <c r="F44" s="76"/>
      <c r="G44" s="76"/>
      <c r="H44" s="94"/>
      <c r="I44" s="76"/>
      <c r="J44" s="76"/>
      <c r="K44" s="76"/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76"/>
      <c r="W44" s="76"/>
      <c r="X44" s="76"/>
      <c r="Y44" s="76"/>
      <c r="Z44" s="56"/>
      <c r="AA44" s="57"/>
      <c r="AB44" s="57"/>
      <c r="AC44" s="58"/>
      <c r="AD44" s="91"/>
      <c r="AE44" s="91"/>
      <c r="AF44" s="92"/>
    </row>
    <row r="45" customFormat="false" ht="11.1" hidden="false" customHeight="true" outlineLevel="0" collapsed="false">
      <c r="A45" s="51" t="s">
        <v>48</v>
      </c>
      <c r="B45" s="51"/>
      <c r="C45" s="52"/>
      <c r="D45" s="52"/>
      <c r="E45" s="52"/>
      <c r="F45" s="52"/>
      <c r="G45" s="52"/>
      <c r="H45" s="87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6"/>
      <c r="AA45" s="57" t="n">
        <f aca="false">MIN(AA10:AA40)</f>
        <v>34</v>
      </c>
      <c r="AB45" s="57" t="n">
        <f aca="false">MIN(AB10:AB40)</f>
        <v>7</v>
      </c>
      <c r="AC45" s="58" t="s">
        <v>49</v>
      </c>
      <c r="AD45" s="91"/>
      <c r="AE45" s="91"/>
      <c r="AF45" s="92"/>
    </row>
    <row r="46" customFormat="false" ht="11.1" hidden="false" customHeight="true" outlineLevel="0" collapsed="false">
      <c r="A46" s="51" t="s">
        <v>50</v>
      </c>
      <c r="B46" s="51"/>
      <c r="C46" s="52"/>
      <c r="D46" s="52"/>
      <c r="E46" s="52"/>
      <c r="F46" s="52"/>
      <c r="G46" s="52"/>
      <c r="H46" s="87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6"/>
      <c r="AA46" s="57"/>
      <c r="AB46" s="57"/>
      <c r="AC46" s="58"/>
      <c r="AD46" s="91"/>
      <c r="AE46" s="91"/>
      <c r="AF46" s="92"/>
    </row>
    <row r="47" customFormat="false" ht="3" hidden="false" customHeight="true" outlineLevel="0" collapsed="false">
      <c r="A47" s="74"/>
      <c r="B47" s="74"/>
      <c r="C47" s="76"/>
      <c r="D47" s="76"/>
      <c r="E47" s="76"/>
      <c r="F47" s="76"/>
      <c r="G47" s="76"/>
      <c r="H47" s="94"/>
      <c r="I47" s="76"/>
      <c r="J47" s="76"/>
      <c r="K47" s="76"/>
      <c r="L47" s="76"/>
      <c r="M47" s="76"/>
      <c r="N47" s="76"/>
      <c r="O47" s="76"/>
      <c r="P47" s="76"/>
      <c r="Q47" s="76"/>
      <c r="R47" s="76"/>
      <c r="S47" s="76"/>
      <c r="T47" s="76"/>
      <c r="U47" s="76"/>
      <c r="V47" s="76"/>
      <c r="W47" s="76"/>
      <c r="X47" s="76"/>
      <c r="Y47" s="76"/>
      <c r="Z47" s="78"/>
      <c r="AA47" s="57"/>
      <c r="AB47" s="57"/>
      <c r="AC47" s="58"/>
      <c r="AD47" s="91"/>
      <c r="AE47" s="91"/>
      <c r="AF47" s="92"/>
    </row>
    <row r="48" customFormat="false" ht="11.1" hidden="false" customHeight="true" outlineLevel="0" collapsed="false">
      <c r="A48" s="51" t="s">
        <v>51</v>
      </c>
      <c r="B48" s="51"/>
      <c r="C48" s="52"/>
      <c r="D48" s="52"/>
      <c r="E48" s="52"/>
      <c r="F48" s="52" t="n">
        <f aca="false">F8+F42</f>
        <v>452.230904965969</v>
      </c>
      <c r="G48" s="52" t="n">
        <f aca="false">G8+G42</f>
        <v>30450</v>
      </c>
      <c r="H48" s="87" t="n">
        <f aca="false">H8+H42</f>
        <v>3411</v>
      </c>
      <c r="I48" s="52" t="n">
        <f aca="false">I8+I42</f>
        <v>33319.9</v>
      </c>
      <c r="J48" s="52" t="n">
        <f aca="false">J8+J42</f>
        <v>6834.44484497101</v>
      </c>
      <c r="K48" s="52" t="n">
        <f aca="false">K8+K42</f>
        <v>40154.344844971</v>
      </c>
      <c r="L48" s="52" t="n">
        <f aca="false">L8+L42</f>
        <v>5728.33090496597</v>
      </c>
      <c r="M48" s="52" t="n">
        <f aca="false">M8+M42</f>
        <v>1566</v>
      </c>
      <c r="N48" s="52" t="n">
        <f aca="false">N8+N42</f>
        <v>0.08</v>
      </c>
      <c r="O48" s="52" t="n">
        <f aca="false">O8+O42</f>
        <v>0</v>
      </c>
      <c r="P48" s="52" t="n">
        <f aca="false">P8+P42</f>
        <v>1565.92</v>
      </c>
      <c r="Q48" s="52" t="n">
        <f aca="false">Q8+Q42</f>
        <v>2278</v>
      </c>
      <c r="R48" s="52" t="n">
        <f aca="false">R8+R42</f>
        <v>449</v>
      </c>
      <c r="S48" s="52" t="n">
        <f aca="false">S8+S42</f>
        <v>4292.92</v>
      </c>
      <c r="T48" s="52"/>
      <c r="U48" s="52" t="n">
        <f aca="false">U8+U42</f>
        <v>1</v>
      </c>
      <c r="V48" s="52" t="n">
        <f aca="false">V8+V42</f>
        <v>34302</v>
      </c>
      <c r="W48" s="52" t="n">
        <f aca="false">W8+W42</f>
        <v>38596</v>
      </c>
      <c r="X48" s="52" t="n">
        <f aca="false">X8+X42</f>
        <v>1106.11394000504</v>
      </c>
      <c r="Y48" s="52" t="n">
        <f aca="false">Y8+Y42</f>
        <v>39702.113940005</v>
      </c>
      <c r="Z48" s="56" t="n">
        <f aca="false">Z8+Z42</f>
        <v>6.75</v>
      </c>
      <c r="AA48" s="57"/>
      <c r="AB48" s="57"/>
      <c r="AC48" s="58"/>
      <c r="AD48" s="91"/>
      <c r="AE48" s="91"/>
      <c r="AF48" s="92"/>
    </row>
    <row r="49" customFormat="false" ht="11.1" hidden="false" customHeight="true" outlineLevel="0" collapsed="false">
      <c r="A49" s="51" t="s">
        <v>52</v>
      </c>
      <c r="B49" s="51"/>
      <c r="C49" s="52"/>
      <c r="D49" s="52" t="n">
        <f aca="false">D8+D43</f>
        <v>897</v>
      </c>
      <c r="E49" s="52" t="n">
        <f aca="false">E40</f>
        <v>139090</v>
      </c>
      <c r="F49" s="52" t="n">
        <f aca="false">F48*$D$2</f>
        <v>897</v>
      </c>
      <c r="G49" s="52" t="n">
        <f aca="false">G48*$D$2</f>
        <v>60397.575</v>
      </c>
      <c r="H49" s="87" t="n">
        <f aca="false">H48*$D$2</f>
        <v>6765.7185</v>
      </c>
      <c r="I49" s="52" t="n">
        <f aca="false">I48*$D$2</f>
        <v>66090.02165</v>
      </c>
      <c r="J49" s="52" t="n">
        <f aca="false">J48*$D$2</f>
        <v>13556.12135</v>
      </c>
      <c r="K49" s="52" t="n">
        <f aca="false">K48*$D$2</f>
        <v>79646.143</v>
      </c>
      <c r="L49" s="52" t="n">
        <f aca="false">L48*$D$2</f>
        <v>11362.14435</v>
      </c>
      <c r="M49" s="52" t="n">
        <f aca="false">M48*$D$2</f>
        <v>3106.161</v>
      </c>
      <c r="N49" s="52" t="n">
        <f aca="false">N48*$D$2</f>
        <v>0.15868</v>
      </c>
      <c r="O49" s="52" t="n">
        <f aca="false">O48*$D$2</f>
        <v>0</v>
      </c>
      <c r="P49" s="52" t="n">
        <f aca="false">P48*$D$2</f>
        <v>3106.00232</v>
      </c>
      <c r="Q49" s="52" t="n">
        <f aca="false">Q48*$D$2</f>
        <v>4518.413</v>
      </c>
      <c r="R49" s="52" t="n">
        <f aca="false">R48*$D$2</f>
        <v>890.5915</v>
      </c>
      <c r="S49" s="52" t="n">
        <f aca="false">S48*$D$2</f>
        <v>8515.00682</v>
      </c>
      <c r="T49" s="52" t="n">
        <f aca="false">T48*$D$2</f>
        <v>0</v>
      </c>
      <c r="U49" s="52" t="n">
        <f aca="false">U48*$D$2</f>
        <v>1.9835</v>
      </c>
      <c r="V49" s="52" t="n">
        <f aca="false">V48*$D$2</f>
        <v>68038.017</v>
      </c>
      <c r="W49" s="52" t="n">
        <f aca="false">W48*$D$2</f>
        <v>76555.166</v>
      </c>
      <c r="X49" s="52" t="n">
        <f aca="false">X48*$D$2</f>
        <v>2193.977</v>
      </c>
      <c r="Y49" s="52" t="n">
        <f aca="false">Y48*$D$2</f>
        <v>78749.143</v>
      </c>
      <c r="Z49" s="56"/>
      <c r="AA49" s="57"/>
      <c r="AB49" s="57"/>
      <c r="AC49" s="58"/>
      <c r="AD49" s="91"/>
      <c r="AE49" s="91"/>
      <c r="AF49" s="92"/>
    </row>
    <row r="50" customFormat="false" ht="3" hidden="false" customHeight="true" outlineLevel="0" collapsed="false">
      <c r="A50" s="74"/>
      <c r="B50" s="74"/>
      <c r="C50" s="76"/>
      <c r="D50" s="74"/>
      <c r="E50" s="76"/>
      <c r="F50" s="74"/>
      <c r="G50" s="74"/>
      <c r="H50" s="9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6"/>
      <c r="U50" s="74"/>
      <c r="V50" s="74"/>
      <c r="W50" s="74"/>
      <c r="X50" s="74"/>
      <c r="Y50" s="74"/>
      <c r="Z50" s="56"/>
      <c r="AA50" s="57"/>
      <c r="AB50" s="57"/>
      <c r="AC50" s="58"/>
      <c r="AD50" s="91"/>
      <c r="AE50" s="91"/>
      <c r="AF50" s="92"/>
    </row>
    <row r="51" customFormat="false" ht="11.1" hidden="false" customHeight="true" outlineLevel="0" collapsed="false">
      <c r="A51" s="51"/>
      <c r="B51" s="84"/>
      <c r="C51" s="52"/>
      <c r="D51" s="51"/>
      <c r="E51" s="52"/>
      <c r="F51" s="51"/>
      <c r="G51" s="51"/>
      <c r="H51" s="87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2"/>
      <c r="U51" s="51"/>
      <c r="V51" s="51"/>
      <c r="W51" s="51"/>
      <c r="X51" s="51"/>
      <c r="Y51" s="51"/>
      <c r="Z51" s="56"/>
      <c r="AA51" s="57"/>
      <c r="AB51" s="57"/>
      <c r="AC51" s="58"/>
      <c r="AD51" s="88"/>
      <c r="AE51" s="88"/>
    </row>
    <row r="52" customFormat="false" ht="11.1" hidden="false" customHeight="true" outlineLevel="0" collapsed="false">
      <c r="A52" s="51"/>
      <c r="B52" s="73"/>
      <c r="C52" s="52"/>
      <c r="D52" s="82"/>
      <c r="E52" s="52"/>
      <c r="F52" s="51"/>
      <c r="G52" s="51"/>
      <c r="H52" s="87"/>
      <c r="I52" s="53"/>
      <c r="J52" s="51"/>
      <c r="K52" s="42"/>
      <c r="L52" s="51"/>
      <c r="M52" s="51"/>
      <c r="N52" s="51"/>
      <c r="O52" s="51"/>
      <c r="P52" s="51"/>
      <c r="Q52" s="51"/>
      <c r="R52" s="51"/>
      <c r="S52" s="51"/>
      <c r="T52" s="52"/>
      <c r="U52" s="51"/>
      <c r="V52" s="51"/>
      <c r="W52" s="51"/>
      <c r="X52" s="51"/>
      <c r="Y52" s="51"/>
      <c r="Z52" s="56"/>
      <c r="AA52" s="57"/>
      <c r="AB52" s="57"/>
      <c r="AC52" s="58"/>
      <c r="AD52" s="88"/>
      <c r="AE52" s="88"/>
    </row>
    <row r="53" customFormat="false" ht="11.1" hidden="false" customHeight="true" outlineLevel="0" collapsed="false">
      <c r="A53" s="82"/>
      <c r="B53" s="82"/>
      <c r="C53" s="52"/>
      <c r="D53" s="52"/>
      <c r="E53" s="52"/>
      <c r="F53" s="82"/>
      <c r="G53" s="82"/>
      <c r="H53" s="87"/>
      <c r="I53" s="82"/>
      <c r="J53" s="82"/>
      <c r="K53" s="82"/>
      <c r="L53" s="82"/>
      <c r="M53" s="81"/>
      <c r="N53" s="81"/>
      <c r="O53" s="81"/>
      <c r="P53" s="81"/>
      <c r="Q53" s="82"/>
      <c r="R53" s="82"/>
      <c r="S53" s="82"/>
      <c r="T53" s="52"/>
      <c r="U53" s="82"/>
      <c r="V53" s="82"/>
      <c r="W53" s="82"/>
      <c r="X53" s="82"/>
      <c r="Y53" s="82"/>
      <c r="Z53" s="56"/>
      <c r="AA53" s="57"/>
      <c r="AB53" s="57"/>
      <c r="AC53" s="58"/>
      <c r="AD53" s="96"/>
      <c r="AE53" s="96"/>
    </row>
    <row r="54" customFormat="false" ht="11.1" hidden="false" customHeight="true" outlineLevel="0" collapsed="false">
      <c r="A54" s="82"/>
      <c r="B54" s="55"/>
      <c r="C54" s="52"/>
      <c r="D54" s="52"/>
      <c r="E54" s="52"/>
      <c r="F54" s="82"/>
      <c r="G54" s="82"/>
      <c r="H54" s="87"/>
      <c r="I54" s="82"/>
      <c r="J54" s="82"/>
      <c r="K54" s="82"/>
      <c r="L54" s="82"/>
      <c r="M54" s="81"/>
      <c r="N54" s="81"/>
      <c r="O54" s="81"/>
      <c r="P54" s="82"/>
      <c r="Q54" s="82"/>
      <c r="R54" s="82"/>
      <c r="S54" s="52"/>
      <c r="T54" s="82"/>
      <c r="U54" s="82"/>
      <c r="V54" s="52"/>
      <c r="W54" s="82"/>
      <c r="X54" s="82"/>
      <c r="Y54" s="55"/>
      <c r="Z54" s="56"/>
      <c r="AA54" s="57"/>
      <c r="AB54" s="58"/>
      <c r="AC54" s="96"/>
      <c r="AD54" s="96"/>
    </row>
    <row r="55" customFormat="false" ht="11.1" hidden="false" customHeight="true" outlineLevel="0" collapsed="false">
      <c r="A55" s="82"/>
      <c r="B55" s="82"/>
      <c r="C55" s="52"/>
      <c r="D55" s="82"/>
      <c r="E55" s="52"/>
      <c r="F55" s="82"/>
      <c r="G55" s="85"/>
      <c r="H55" s="87"/>
      <c r="I55" s="82"/>
      <c r="J55" s="82"/>
      <c r="K55" s="82"/>
      <c r="L55" s="82"/>
      <c r="M55" s="81"/>
      <c r="N55" s="81"/>
      <c r="O55" s="81"/>
      <c r="P55" s="82"/>
      <c r="Q55" s="82"/>
      <c r="R55" s="82"/>
      <c r="S55" s="52"/>
      <c r="T55" s="82"/>
      <c r="U55" s="82"/>
      <c r="V55" s="52"/>
      <c r="W55" s="82"/>
      <c r="X55" s="82"/>
      <c r="Y55" s="55"/>
      <c r="Z55" s="56"/>
      <c r="AA55" s="57"/>
      <c r="AB55" s="58"/>
      <c r="AC55" s="96"/>
      <c r="AD55" s="96"/>
    </row>
  </sheetData>
  <mergeCells count="2">
    <mergeCell ref="K2:T2"/>
    <mergeCell ref="M4:P4"/>
  </mergeCells>
  <printOptions headings="true" gridLines="true" gridLinesSet="true" horizontalCentered="true" verticalCentered="false"/>
  <pageMargins left="0" right="0" top="0" bottom="0" header="0.511811023622047" footer="0.511811023622047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G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9" topLeftCell="R20" activePane="bottomRight" state="frozen"/>
      <selection pane="topLeft" activeCell="A1" activeCellId="0" sqref="A1"/>
      <selection pane="topRight" activeCell="R1" activeCellId="0" sqref="R1"/>
      <selection pane="bottomLeft" activeCell="A20" activeCellId="0" sqref="A20"/>
      <selection pane="bottomRight" activeCell="AB39" activeCellId="0" sqref="AB39"/>
    </sheetView>
  </sheetViews>
  <sheetFormatPr defaultColWidth="9.2890625" defaultRowHeight="11.1" zeroHeight="false" outlineLevelRow="0" outlineLevelCol="0"/>
  <cols>
    <col collapsed="false" customWidth="true" hidden="false" outlineLevel="0" max="1" min="1" style="0" width="5.66"/>
    <col collapsed="false" customWidth="true" hidden="false" outlineLevel="0" max="2" min="2" style="0" width="7.82"/>
    <col collapsed="false" customWidth="true" hidden="false" outlineLevel="0" max="3" min="3" style="1" width="7.66"/>
    <col collapsed="false" customWidth="true" hidden="false" outlineLevel="0" max="4" min="4" style="0" width="6.99"/>
    <col collapsed="false" customWidth="true" hidden="false" outlineLevel="0" max="5" min="5" style="1" width="7.66"/>
    <col collapsed="false" customWidth="true" hidden="false" outlineLevel="0" max="6" min="6" style="0" width="7.66"/>
    <col collapsed="false" customWidth="true" hidden="false" outlineLevel="0" max="7" min="7" style="0" width="7.16"/>
    <col collapsed="false" customWidth="true" hidden="false" outlineLevel="0" max="8" min="8" style="102" width="6.66"/>
    <col collapsed="false" customWidth="true" hidden="false" outlineLevel="0" max="9" min="9" style="0" width="7.99"/>
    <col collapsed="false" customWidth="true" hidden="false" outlineLevel="0" max="11" min="10" style="0" width="6.66"/>
    <col collapsed="false" customWidth="true" hidden="false" outlineLevel="0" max="12" min="12" style="0" width="7.16"/>
    <col collapsed="false" customWidth="true" hidden="false" outlineLevel="0" max="13" min="13" style="3" width="6.16"/>
    <col collapsed="false" customWidth="true" hidden="true" outlineLevel="0" max="14" min="14" style="3" width="7.32"/>
    <col collapsed="false" customWidth="true" hidden="true" outlineLevel="0" max="15" min="15" style="3" width="6.49"/>
    <col collapsed="false" customWidth="true" hidden="true" outlineLevel="0" max="16" min="16" style="0" width="7.16"/>
    <col collapsed="false" customWidth="true" hidden="false" outlineLevel="0" max="17" min="17" style="0" width="6.32"/>
    <col collapsed="false" customWidth="true" hidden="false" outlineLevel="0" max="18" min="18" style="0" width="5.82"/>
    <col collapsed="false" customWidth="true" hidden="false" outlineLevel="0" max="19" min="19" style="1" width="6.82"/>
    <col collapsed="false" customWidth="true" hidden="false" outlineLevel="0" max="20" min="20" style="0" width="7.66"/>
    <col collapsed="false" customWidth="true" hidden="false" outlineLevel="0" max="21" min="21" style="3" width="5.99"/>
    <col collapsed="false" customWidth="true" hidden="false" outlineLevel="0" max="22" min="22" style="1" width="6.66"/>
    <col collapsed="false" customWidth="true" hidden="false" outlineLevel="0" max="24" min="23" style="0" width="7.82"/>
    <col collapsed="false" customWidth="true" hidden="false" outlineLevel="0" max="25" min="25" style="103" width="8.16"/>
    <col collapsed="false" customWidth="true" hidden="false" outlineLevel="0" max="26" min="26" style="2" width="4.66"/>
    <col collapsed="false" customWidth="true" hidden="false" outlineLevel="0" max="27" min="27" style="4" width="4.66"/>
    <col collapsed="false" customWidth="true" hidden="false" outlineLevel="0" max="28" min="28" style="5" width="4.66"/>
    <col collapsed="false" customWidth="true" hidden="false" outlineLevel="0" max="29" min="29" style="0" width="5.66"/>
  </cols>
  <sheetData>
    <row r="1" customFormat="false" ht="14.1" hidden="false" customHeight="true" outlineLevel="0" collapsed="false">
      <c r="A1" s="6"/>
      <c r="B1" s="6"/>
      <c r="C1" s="7"/>
      <c r="D1" s="6"/>
      <c r="E1" s="7"/>
      <c r="F1" s="6"/>
      <c r="G1" s="6"/>
      <c r="H1" s="8"/>
      <c r="I1" s="6"/>
      <c r="J1" s="6"/>
      <c r="K1" s="9" t="s">
        <v>0</v>
      </c>
      <c r="L1" s="6"/>
      <c r="M1" s="6"/>
      <c r="N1" s="6"/>
      <c r="O1" s="6"/>
      <c r="P1" s="6"/>
      <c r="Q1" s="6"/>
      <c r="R1" s="6"/>
      <c r="S1" s="7"/>
      <c r="T1" s="6"/>
      <c r="U1" s="37"/>
      <c r="V1" s="7"/>
      <c r="W1" s="6"/>
      <c r="X1" s="6"/>
      <c r="Y1" s="10"/>
      <c r="Z1" s="11"/>
      <c r="AA1" s="12"/>
      <c r="AB1" s="13"/>
      <c r="AC1" s="104"/>
      <c r="AD1" s="104"/>
    </row>
    <row r="2" customFormat="false" ht="14.1" hidden="false" customHeight="true" outlineLevel="0" collapsed="false">
      <c r="A2" s="6" t="s">
        <v>1</v>
      </c>
      <c r="B2" s="6"/>
      <c r="C2" s="7"/>
      <c r="D2" s="14" t="n">
        <v>1.9835</v>
      </c>
      <c r="E2" s="7"/>
      <c r="F2" s="6"/>
      <c r="G2" s="6"/>
      <c r="H2" s="8"/>
      <c r="I2" s="6"/>
      <c r="J2" s="6"/>
      <c r="K2" s="105" t="s">
        <v>62</v>
      </c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6"/>
      <c r="X2" s="6"/>
      <c r="Y2" s="10"/>
      <c r="Z2" s="11"/>
      <c r="AA2" s="12"/>
      <c r="AB2" s="13"/>
      <c r="AC2" s="104"/>
      <c r="AD2" s="104"/>
    </row>
    <row r="3" customFormat="false" ht="11.1" hidden="false" customHeight="true" outlineLevel="0" collapsed="false">
      <c r="A3" s="6"/>
      <c r="B3" s="6"/>
      <c r="C3" s="7"/>
      <c r="D3" s="15"/>
      <c r="E3" s="7"/>
      <c r="F3" s="6"/>
      <c r="G3" s="6"/>
      <c r="H3" s="8"/>
      <c r="I3" s="6"/>
      <c r="J3" s="6"/>
      <c r="K3" s="6"/>
      <c r="L3" s="6"/>
      <c r="M3" s="6"/>
      <c r="N3" s="6"/>
      <c r="O3" s="6"/>
      <c r="P3" s="6"/>
      <c r="Q3" s="6"/>
      <c r="R3" s="6"/>
      <c r="S3" s="7"/>
      <c r="T3" s="6"/>
      <c r="U3" s="37"/>
      <c r="V3" s="7"/>
      <c r="W3" s="6"/>
      <c r="X3" s="6" t="n">
        <v>5</v>
      </c>
      <c r="Y3" s="10"/>
      <c r="Z3" s="11"/>
      <c r="AA3" s="12"/>
      <c r="AB3" s="13"/>
      <c r="AC3" s="104"/>
      <c r="AD3" s="104"/>
    </row>
    <row r="4" customFormat="false" ht="11.1" hidden="false" customHeight="true" outlineLevel="0" collapsed="false">
      <c r="A4" s="16" t="s">
        <v>3</v>
      </c>
      <c r="B4" s="16" t="s">
        <v>4</v>
      </c>
      <c r="C4" s="17" t="s">
        <v>4</v>
      </c>
      <c r="D4" s="16" t="s">
        <v>5</v>
      </c>
      <c r="E4" s="17" t="s">
        <v>6</v>
      </c>
      <c r="F4" s="16" t="s">
        <v>7</v>
      </c>
      <c r="G4" s="16" t="s">
        <v>8</v>
      </c>
      <c r="H4" s="18" t="s">
        <v>9</v>
      </c>
      <c r="I4" s="16" t="s">
        <v>10</v>
      </c>
      <c r="J4" s="16" t="s">
        <v>11</v>
      </c>
      <c r="K4" s="16" t="s">
        <v>12</v>
      </c>
      <c r="L4" s="16" t="s">
        <v>11</v>
      </c>
      <c r="M4" s="19" t="s">
        <v>13</v>
      </c>
      <c r="N4" s="19"/>
      <c r="O4" s="19"/>
      <c r="P4" s="19"/>
      <c r="Q4" s="16" t="s">
        <v>14</v>
      </c>
      <c r="R4" s="16" t="s">
        <v>15</v>
      </c>
      <c r="S4" s="16" t="s">
        <v>12</v>
      </c>
      <c r="T4" s="17" t="s">
        <v>16</v>
      </c>
      <c r="U4" s="106" t="s">
        <v>17</v>
      </c>
      <c r="V4" s="16" t="s">
        <v>18</v>
      </c>
      <c r="W4" s="16" t="s">
        <v>10</v>
      </c>
      <c r="X4" s="16" t="s">
        <v>11</v>
      </c>
      <c r="Y4" s="16" t="s">
        <v>12</v>
      </c>
      <c r="Z4" s="20" t="s">
        <v>19</v>
      </c>
      <c r="AA4" s="21" t="s">
        <v>20</v>
      </c>
      <c r="AB4" s="21" t="s">
        <v>21</v>
      </c>
      <c r="AC4" s="21" t="s">
        <v>3</v>
      </c>
      <c r="AD4" s="107" t="s">
        <v>63</v>
      </c>
      <c r="AE4" s="104"/>
    </row>
    <row r="5" customFormat="false" ht="11.1" hidden="false" customHeight="true" outlineLevel="0" collapsed="false">
      <c r="A5" s="22" t="s">
        <v>64</v>
      </c>
      <c r="B5" s="16" t="s">
        <v>23</v>
      </c>
      <c r="C5" s="17" t="s">
        <v>5</v>
      </c>
      <c r="D5" s="16" t="s">
        <v>24</v>
      </c>
      <c r="E5" s="17" t="s">
        <v>25</v>
      </c>
      <c r="F5" s="16" t="s">
        <v>26</v>
      </c>
      <c r="G5" s="16" t="s">
        <v>27</v>
      </c>
      <c r="H5" s="18" t="s">
        <v>28</v>
      </c>
      <c r="I5" s="16" t="s">
        <v>29</v>
      </c>
      <c r="J5" s="16" t="s">
        <v>29</v>
      </c>
      <c r="K5" s="16" t="s">
        <v>29</v>
      </c>
      <c r="L5" s="16" t="s">
        <v>30</v>
      </c>
      <c r="M5" s="16" t="s">
        <v>31</v>
      </c>
      <c r="N5" s="16" t="s">
        <v>32</v>
      </c>
      <c r="O5" s="16" t="s">
        <v>33</v>
      </c>
      <c r="P5" s="16" t="s">
        <v>65</v>
      </c>
      <c r="Q5" s="16" t="s">
        <v>35</v>
      </c>
      <c r="R5" s="16" t="s">
        <v>36</v>
      </c>
      <c r="S5" s="16" t="s">
        <v>16</v>
      </c>
      <c r="T5" s="17" t="s">
        <v>37</v>
      </c>
      <c r="U5" s="106" t="s">
        <v>38</v>
      </c>
      <c r="V5" s="16" t="s">
        <v>39</v>
      </c>
      <c r="W5" s="16" t="s">
        <v>40</v>
      </c>
      <c r="X5" s="16" t="s">
        <v>40</v>
      </c>
      <c r="Y5" s="16" t="s">
        <v>40</v>
      </c>
      <c r="Z5" s="24"/>
      <c r="AA5" s="21" t="s">
        <v>41</v>
      </c>
      <c r="AB5" s="21" t="s">
        <v>41</v>
      </c>
      <c r="AC5" s="25" t="s">
        <v>64</v>
      </c>
      <c r="AD5" s="107" t="s">
        <v>66</v>
      </c>
      <c r="AE5" s="104"/>
    </row>
    <row r="6" customFormat="false" ht="11.1" hidden="false" customHeight="true" outlineLevel="0" collapsed="false">
      <c r="A6" s="26"/>
      <c r="B6" s="26"/>
      <c r="C6" s="27"/>
      <c r="D6" s="26"/>
      <c r="E6" s="27"/>
      <c r="F6" s="26"/>
      <c r="G6" s="26"/>
      <c r="H6" s="28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7"/>
      <c r="U6" s="108"/>
      <c r="V6" s="26"/>
      <c r="W6" s="26"/>
      <c r="X6" s="26"/>
      <c r="Y6" s="26"/>
      <c r="Z6" s="11"/>
      <c r="AA6" s="13"/>
      <c r="AB6" s="13"/>
      <c r="AC6" s="13"/>
      <c r="AD6" s="104"/>
      <c r="AE6" s="104"/>
    </row>
    <row r="7" customFormat="false" ht="11.1" hidden="false" customHeight="true" outlineLevel="0" collapsed="false">
      <c r="A7" s="6" t="s">
        <v>42</v>
      </c>
      <c r="B7" s="6"/>
      <c r="C7" s="7"/>
      <c r="D7" s="7"/>
      <c r="E7" s="7"/>
      <c r="F7" s="7"/>
      <c r="G7" s="7"/>
      <c r="H7" s="12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37"/>
      <c r="V7" s="7"/>
      <c r="W7" s="7"/>
      <c r="X7" s="7"/>
      <c r="Y7" s="7"/>
      <c r="Z7" s="11"/>
      <c r="AA7" s="12"/>
      <c r="AB7" s="12"/>
      <c r="AC7" s="13"/>
      <c r="AD7" s="104"/>
    </row>
    <row r="8" s="1" customFormat="true" ht="11.1" hidden="false" customHeight="true" outlineLevel="0" collapsed="false">
      <c r="A8" s="7" t="s">
        <v>43</v>
      </c>
      <c r="B8" s="29" t="n">
        <f aca="false">MAR!B40</f>
        <v>6902.02</v>
      </c>
      <c r="C8" s="7" t="n">
        <f aca="false">MAR!C40</f>
        <v>291090</v>
      </c>
      <c r="D8" s="7" t="n">
        <f aca="false">MAR!D49</f>
        <v>897</v>
      </c>
      <c r="E8" s="7" t="n">
        <f aca="false">MAR!E49</f>
        <v>139090</v>
      </c>
      <c r="F8" s="7" t="n">
        <f aca="false">MAR!F48</f>
        <v>452.230904965969</v>
      </c>
      <c r="G8" s="7" t="n">
        <f aca="false">MAR!G48</f>
        <v>30450</v>
      </c>
      <c r="H8" s="12" t="n">
        <f aca="false">MAR!H48</f>
        <v>3411</v>
      </c>
      <c r="I8" s="7" t="n">
        <f aca="false">MAR!I48</f>
        <v>33319.9</v>
      </c>
      <c r="J8" s="7" t="n">
        <f aca="false">MAR!J48</f>
        <v>6834.44484497101</v>
      </c>
      <c r="K8" s="7" t="n">
        <f aca="false">MAR!K48</f>
        <v>40154.344844971</v>
      </c>
      <c r="L8" s="7" t="n">
        <f aca="false">MAR!L48</f>
        <v>5728.33090496597</v>
      </c>
      <c r="M8" s="7" t="n">
        <f aca="false">MAR!M48</f>
        <v>1566</v>
      </c>
      <c r="N8" s="7" t="n">
        <f aca="false">MAR!N48</f>
        <v>0.08</v>
      </c>
      <c r="O8" s="7" t="n">
        <f aca="false">MAR!O48</f>
        <v>0</v>
      </c>
      <c r="P8" s="7" t="n">
        <f aca="false">MAR!P48</f>
        <v>1565.92</v>
      </c>
      <c r="Q8" s="7" t="n">
        <f aca="false">MAR!Q48</f>
        <v>2278</v>
      </c>
      <c r="R8" s="7" t="n">
        <f aca="false">MAR!R48</f>
        <v>449</v>
      </c>
      <c r="S8" s="7" t="n">
        <f aca="false">MAR!S48</f>
        <v>4292.92</v>
      </c>
      <c r="T8" s="7" t="n">
        <f aca="false">MAR!T48</f>
        <v>0</v>
      </c>
      <c r="U8" s="37" t="n">
        <f aca="false">MAR!U48</f>
        <v>1</v>
      </c>
      <c r="V8" s="7" t="n">
        <f aca="false">MAR!V48</f>
        <v>34302</v>
      </c>
      <c r="W8" s="7" t="n">
        <f aca="false">MAR!W48</f>
        <v>38596</v>
      </c>
      <c r="X8" s="7" t="n">
        <f aca="false">MAR!X48</f>
        <v>1106.11394000504</v>
      </c>
      <c r="Y8" s="7" t="n">
        <f aca="false">MAR!Y48</f>
        <v>39702.113940005</v>
      </c>
      <c r="Z8" s="11" t="n">
        <f aca="false">MAR!Z48</f>
        <v>6.75</v>
      </c>
      <c r="AA8" s="12"/>
      <c r="AB8" s="12"/>
      <c r="AC8" s="13"/>
      <c r="AD8" s="109"/>
      <c r="AE8" s="104"/>
    </row>
    <row r="9" customFormat="false" ht="3" hidden="false" customHeight="true" outlineLevel="0" collapsed="false">
      <c r="A9" s="30"/>
      <c r="B9" s="31"/>
      <c r="C9" s="32"/>
      <c r="D9" s="30"/>
      <c r="E9" s="32"/>
      <c r="F9" s="30"/>
      <c r="G9" s="30"/>
      <c r="H9" s="33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2"/>
      <c r="U9" s="110"/>
      <c r="V9" s="30"/>
      <c r="W9" s="30"/>
      <c r="X9" s="30"/>
      <c r="Y9" s="30"/>
      <c r="Z9" s="34"/>
      <c r="AA9" s="35"/>
      <c r="AB9" s="35"/>
      <c r="AC9" s="36"/>
      <c r="AD9" s="104"/>
      <c r="AE9" s="104"/>
    </row>
    <row r="10" customFormat="false" ht="11.1" hidden="false" customHeight="true" outlineLevel="0" collapsed="false">
      <c r="A10" s="13" t="n">
        <v>1</v>
      </c>
      <c r="B10" s="29" t="n">
        <v>6902.17</v>
      </c>
      <c r="C10" s="7" t="n">
        <v>291654</v>
      </c>
      <c r="D10" s="12" t="n">
        <f aca="false">C10-C8</f>
        <v>564</v>
      </c>
      <c r="E10" s="7" t="n">
        <f aca="false">C10-152000</f>
        <v>139654</v>
      </c>
      <c r="F10" s="6" t="n">
        <f aca="false">D10/$D$2</f>
        <v>284.34585328964</v>
      </c>
      <c r="G10" s="6" t="n">
        <v>202</v>
      </c>
      <c r="H10" s="8" t="n">
        <v>39</v>
      </c>
      <c r="I10" s="6" t="n">
        <f aca="false">G10+H10</f>
        <v>241</v>
      </c>
      <c r="J10" s="111" t="n">
        <f aca="false">IF(L10&gt;0,L10,0)</f>
        <v>131.34585328964</v>
      </c>
      <c r="K10" s="6" t="n">
        <f aca="false">I10+J10</f>
        <v>372.34585328964</v>
      </c>
      <c r="L10" s="6" t="n">
        <f aca="false">F10-(I10-W10)</f>
        <v>131.34585328964</v>
      </c>
      <c r="M10" s="6" t="n">
        <v>14</v>
      </c>
      <c r="N10" s="6" t="n">
        <v>0</v>
      </c>
      <c r="O10" s="6" t="n">
        <v>0</v>
      </c>
      <c r="P10" s="6" t="n">
        <f aca="false">M10-(N10+O10)</f>
        <v>14</v>
      </c>
      <c r="Q10" s="6" t="n">
        <v>0</v>
      </c>
      <c r="R10" s="6" t="n">
        <v>0</v>
      </c>
      <c r="S10" s="6" t="n">
        <f aca="false">SUM(P10:R10)</f>
        <v>14</v>
      </c>
      <c r="T10" s="7" t="n">
        <v>0</v>
      </c>
      <c r="U10" s="37" t="n">
        <f aca="false">U9</f>
        <v>0</v>
      </c>
      <c r="V10" s="6" t="n">
        <v>74</v>
      </c>
      <c r="W10" s="6" t="n">
        <f aca="false">N10+O10+S10+U10+V10</f>
        <v>88</v>
      </c>
      <c r="X10" s="6" t="n">
        <f aca="false">IF(L10&lt;0,L10*-1,0)</f>
        <v>0</v>
      </c>
      <c r="Y10" s="6" t="n">
        <f aca="false">W10+X10</f>
        <v>88</v>
      </c>
      <c r="Z10" s="11" t="n">
        <v>0</v>
      </c>
      <c r="AA10" s="12" t="n">
        <v>60</v>
      </c>
      <c r="AB10" s="12" t="n">
        <v>24</v>
      </c>
      <c r="AC10" s="13" t="n">
        <v>1</v>
      </c>
      <c r="AD10" s="12" t="n">
        <f aca="false">IF(I10&gt;S10,I10-S10,I10-S10)</f>
        <v>227</v>
      </c>
      <c r="AE10" s="12"/>
      <c r="AG10" s="6"/>
    </row>
    <row r="11" customFormat="false" ht="11.1" hidden="false" customHeight="true" outlineLevel="0" collapsed="false">
      <c r="A11" s="13" t="n">
        <f aca="false">A10+1</f>
        <v>2</v>
      </c>
      <c r="B11" s="29" t="n">
        <v>6902.29</v>
      </c>
      <c r="C11" s="7" t="n">
        <v>292106</v>
      </c>
      <c r="D11" s="12" t="n">
        <f aca="false">C11-C10</f>
        <v>452</v>
      </c>
      <c r="E11" s="7" t="n">
        <f aca="false">C11-152000</f>
        <v>140106</v>
      </c>
      <c r="F11" s="6" t="n">
        <f aca="false">D11/$D$2</f>
        <v>227.880010083186</v>
      </c>
      <c r="G11" s="6" t="n">
        <v>232</v>
      </c>
      <c r="H11" s="8" t="n">
        <v>52</v>
      </c>
      <c r="I11" s="6" t="n">
        <f aca="false">G11+H11</f>
        <v>284</v>
      </c>
      <c r="J11" s="111" t="n">
        <f aca="false">IF(L11&gt;0,L11,0)</f>
        <v>133.880010083186</v>
      </c>
      <c r="K11" s="6" t="n">
        <f aca="false">I11+J11</f>
        <v>417.880010083186</v>
      </c>
      <c r="L11" s="6" t="n">
        <f aca="false">F11-(I11-W11)</f>
        <v>133.880010083186</v>
      </c>
      <c r="M11" s="6" t="n">
        <v>18</v>
      </c>
      <c r="N11" s="6" t="n">
        <v>0</v>
      </c>
      <c r="O11" s="6" t="n">
        <v>0</v>
      </c>
      <c r="P11" s="6" t="n">
        <f aca="false">M11-(N11+O11)</f>
        <v>18</v>
      </c>
      <c r="Q11" s="6" t="n">
        <v>0</v>
      </c>
      <c r="R11" s="6" t="n">
        <v>0</v>
      </c>
      <c r="S11" s="6" t="n">
        <f aca="false">SUM(P11:R11)</f>
        <v>18</v>
      </c>
      <c r="T11" s="7" t="n">
        <f aca="false">T10</f>
        <v>0</v>
      </c>
      <c r="U11" s="37" t="n">
        <v>0</v>
      </c>
      <c r="V11" s="6" t="n">
        <v>172</v>
      </c>
      <c r="W11" s="6" t="n">
        <f aca="false">N11+O11+S11+U11+V11</f>
        <v>190</v>
      </c>
      <c r="X11" s="6" t="n">
        <f aca="false">IF(L11&lt;0,L11*-1,0)</f>
        <v>0</v>
      </c>
      <c r="Y11" s="6" t="n">
        <f aca="false">W11+X11</f>
        <v>190</v>
      </c>
      <c r="Z11" s="11" t="n">
        <v>0</v>
      </c>
      <c r="AA11" s="12" t="n">
        <v>59</v>
      </c>
      <c r="AB11" s="12" t="n">
        <v>30</v>
      </c>
      <c r="AC11" s="13" t="n">
        <f aca="false">AC10+1</f>
        <v>2</v>
      </c>
      <c r="AD11" s="12" t="n">
        <f aca="false">IF(I11&gt;S11,I11-S11,I11-S11)</f>
        <v>266</v>
      </c>
      <c r="AE11" s="12"/>
      <c r="AG11" s="6"/>
    </row>
    <row r="12" customFormat="false" ht="11.1" hidden="false" customHeight="true" outlineLevel="0" collapsed="false">
      <c r="A12" s="13" t="n">
        <f aca="false">A11+1</f>
        <v>3</v>
      </c>
      <c r="B12" s="29" t="n">
        <v>6902.49</v>
      </c>
      <c r="C12" s="7" t="n">
        <v>292858</v>
      </c>
      <c r="D12" s="12" t="n">
        <f aca="false">C12-C11</f>
        <v>752</v>
      </c>
      <c r="E12" s="7" t="n">
        <f aca="false">C12-152000</f>
        <v>140858</v>
      </c>
      <c r="F12" s="6" t="n">
        <f aca="false">D12/$D$2</f>
        <v>379.127804386186</v>
      </c>
      <c r="G12" s="6" t="n">
        <v>296</v>
      </c>
      <c r="H12" s="8" t="n">
        <v>109</v>
      </c>
      <c r="I12" s="6" t="n">
        <f aca="false">G12+H12</f>
        <v>405</v>
      </c>
      <c r="J12" s="111" t="n">
        <f aca="false">IF(L12&gt;0,L12,0)</f>
        <v>231.127804386186</v>
      </c>
      <c r="K12" s="6" t="n">
        <f aca="false">I12+J12</f>
        <v>636.127804386186</v>
      </c>
      <c r="L12" s="6" t="n">
        <f aca="false">F12-(I12-W12)</f>
        <v>231.127804386186</v>
      </c>
      <c r="M12" s="6" t="n">
        <v>19</v>
      </c>
      <c r="N12" s="6" t="n">
        <v>0</v>
      </c>
      <c r="O12" s="6" t="n">
        <v>0</v>
      </c>
      <c r="P12" s="6" t="n">
        <f aca="false">M12-(N12+O12)</f>
        <v>19</v>
      </c>
      <c r="Q12" s="6" t="n">
        <v>0</v>
      </c>
      <c r="R12" s="6" t="n">
        <v>0</v>
      </c>
      <c r="S12" s="6" t="n">
        <f aca="false">SUM(P12:R12)</f>
        <v>19</v>
      </c>
      <c r="T12" s="7" t="n">
        <f aca="false">T11</f>
        <v>0</v>
      </c>
      <c r="U12" s="37" t="n">
        <v>0</v>
      </c>
      <c r="V12" s="6" t="n">
        <v>238</v>
      </c>
      <c r="W12" s="6" t="n">
        <f aca="false">N12+O12+S12+U12+V12</f>
        <v>257</v>
      </c>
      <c r="X12" s="6" t="n">
        <f aca="false">IF(L12&lt;0,L12*-1,0)</f>
        <v>0</v>
      </c>
      <c r="Y12" s="6" t="n">
        <f aca="false">W12+X12</f>
        <v>257</v>
      </c>
      <c r="Z12" s="11" t="n">
        <v>0</v>
      </c>
      <c r="AA12" s="12" t="n">
        <v>64</v>
      </c>
      <c r="AB12" s="12" t="n">
        <v>24</v>
      </c>
      <c r="AC12" s="13" t="n">
        <f aca="false">AC11+1</f>
        <v>3</v>
      </c>
      <c r="AD12" s="12" t="n">
        <f aca="false">IF(I12&gt;S12,I12-S12,I12-S12)</f>
        <v>386</v>
      </c>
      <c r="AE12" s="12"/>
      <c r="AG12" s="6"/>
    </row>
    <row r="13" customFormat="false" ht="11.1" hidden="false" customHeight="true" outlineLevel="0" collapsed="false">
      <c r="A13" s="13" t="n">
        <f aca="false">A12+1</f>
        <v>4</v>
      </c>
      <c r="B13" s="29" t="n">
        <v>6902.56</v>
      </c>
      <c r="C13" s="7" t="n">
        <v>293122</v>
      </c>
      <c r="D13" s="12" t="n">
        <f aca="false">C13-C12</f>
        <v>264</v>
      </c>
      <c r="E13" s="7" t="n">
        <f aca="false">C13-152000</f>
        <v>141122</v>
      </c>
      <c r="F13" s="6" t="n">
        <f aca="false">D13/$D$2</f>
        <v>133.09805898664</v>
      </c>
      <c r="G13" s="6" t="n">
        <v>384</v>
      </c>
      <c r="H13" s="8" t="n">
        <v>133</v>
      </c>
      <c r="I13" s="6" t="n">
        <f aca="false">G13+H13</f>
        <v>517</v>
      </c>
      <c r="J13" s="111" t="n">
        <f aca="false">IF(L13&gt;0,L13,0)</f>
        <v>287.09805898664</v>
      </c>
      <c r="K13" s="6" t="n">
        <f aca="false">I13+J13</f>
        <v>804.09805898664</v>
      </c>
      <c r="L13" s="6" t="n">
        <f aca="false">F13-(I13-W13)</f>
        <v>287.09805898664</v>
      </c>
      <c r="M13" s="6" t="n">
        <v>16</v>
      </c>
      <c r="N13" s="6" t="n">
        <v>0</v>
      </c>
      <c r="O13" s="6" t="n">
        <v>0</v>
      </c>
      <c r="P13" s="6" t="n">
        <f aca="false">M13-(N13+O13)</f>
        <v>16</v>
      </c>
      <c r="Q13" s="6" t="n">
        <v>0</v>
      </c>
      <c r="R13" s="6" t="n">
        <v>0</v>
      </c>
      <c r="S13" s="6" t="n">
        <f aca="false">SUM(P13:R13)</f>
        <v>16</v>
      </c>
      <c r="T13" s="7" t="n">
        <f aca="false">T12</f>
        <v>0</v>
      </c>
      <c r="U13" s="37" t="n">
        <v>16</v>
      </c>
      <c r="V13" s="6" t="n">
        <v>639</v>
      </c>
      <c r="W13" s="6" t="n">
        <f aca="false">N13+O13+S13+U13+V13</f>
        <v>671</v>
      </c>
      <c r="X13" s="6" t="n">
        <f aca="false">IF(L13&lt;0,L13*-1,0)</f>
        <v>0</v>
      </c>
      <c r="Y13" s="6" t="n">
        <f aca="false">W13+X13</f>
        <v>671</v>
      </c>
      <c r="Z13" s="11" t="n">
        <v>0</v>
      </c>
      <c r="AA13" s="12" t="n">
        <v>54</v>
      </c>
      <c r="AB13" s="12" t="n">
        <v>32</v>
      </c>
      <c r="AC13" s="13" t="n">
        <f aca="false">AC12+1</f>
        <v>4</v>
      </c>
      <c r="AD13" s="12" t="n">
        <f aca="false">IF(I13&gt;S13,I13-S13,I13-S13)</f>
        <v>501</v>
      </c>
      <c r="AE13" s="12"/>
      <c r="AG13" s="6"/>
    </row>
    <row r="14" customFormat="false" ht="11.1" hidden="false" customHeight="true" outlineLevel="0" collapsed="false">
      <c r="A14" s="13" t="n">
        <f aca="false">A13+1</f>
        <v>5</v>
      </c>
      <c r="B14" s="29" t="n">
        <v>6902.52</v>
      </c>
      <c r="C14" s="7" t="n">
        <v>292971</v>
      </c>
      <c r="D14" s="12" t="n">
        <f aca="false">C14-C13</f>
        <v>-151</v>
      </c>
      <c r="E14" s="7" t="n">
        <f aca="false">C14-152000</f>
        <v>140971</v>
      </c>
      <c r="F14" s="6" t="n">
        <f aca="false">D14/$D$2</f>
        <v>-76.1280564658432</v>
      </c>
      <c r="G14" s="6" t="n">
        <v>342</v>
      </c>
      <c r="H14" s="8" t="n">
        <v>105</v>
      </c>
      <c r="I14" s="6" t="n">
        <f aca="false">G14+H14</f>
        <v>447</v>
      </c>
      <c r="J14" s="111" t="n">
        <f aca="false">IF(L14&gt;0,L14,0)</f>
        <v>340.871943534157</v>
      </c>
      <c r="K14" s="6" t="n">
        <f aca="false">I14+J14</f>
        <v>787.871943534157</v>
      </c>
      <c r="L14" s="6" t="n">
        <f aca="false">F14-(I14-W14)</f>
        <v>340.871943534157</v>
      </c>
      <c r="M14" s="6" t="n">
        <v>16</v>
      </c>
      <c r="N14" s="6" t="n">
        <v>0</v>
      </c>
      <c r="O14" s="6" t="n">
        <v>0</v>
      </c>
      <c r="P14" s="6" t="n">
        <f aca="false">M14-(N14+O14)</f>
        <v>16</v>
      </c>
      <c r="Q14" s="6" t="n">
        <v>0</v>
      </c>
      <c r="R14" s="6" t="n">
        <v>0</v>
      </c>
      <c r="S14" s="6" t="n">
        <f aca="false">SUM(P14:R14)</f>
        <v>16</v>
      </c>
      <c r="T14" s="7" t="n">
        <f aca="false">T13</f>
        <v>0</v>
      </c>
      <c r="U14" s="37" t="n">
        <v>13</v>
      </c>
      <c r="V14" s="6" t="n">
        <v>835</v>
      </c>
      <c r="W14" s="6" t="n">
        <f aca="false">N14+O14+S14+U14+V14</f>
        <v>864</v>
      </c>
      <c r="X14" s="6" t="n">
        <f aca="false">IF(L14&lt;0,L14*-1,0)</f>
        <v>0</v>
      </c>
      <c r="Y14" s="6" t="n">
        <f aca="false">W14+X14</f>
        <v>864</v>
      </c>
      <c r="Z14" s="11" t="n">
        <v>0.08</v>
      </c>
      <c r="AA14" s="12" t="n">
        <v>45</v>
      </c>
      <c r="AB14" s="12" t="n">
        <v>27</v>
      </c>
      <c r="AC14" s="13" t="n">
        <f aca="false">AC13+1</f>
        <v>5</v>
      </c>
      <c r="AD14" s="12" t="n">
        <f aca="false">IF(I14&gt;S14,I14-S14,I14-S14)</f>
        <v>431</v>
      </c>
      <c r="AE14" s="12"/>
      <c r="AG14" s="6"/>
    </row>
    <row r="15" customFormat="false" ht="11.1" hidden="false" customHeight="true" outlineLevel="0" collapsed="false">
      <c r="A15" s="13" t="n">
        <f aca="false">A14+1</f>
        <v>6</v>
      </c>
      <c r="B15" s="29" t="n">
        <v>6902.52</v>
      </c>
      <c r="C15" s="7" t="n">
        <v>292971</v>
      </c>
      <c r="D15" s="12" t="n">
        <f aca="false">C15-C14</f>
        <v>0</v>
      </c>
      <c r="E15" s="7" t="n">
        <f aca="false">C15-152000</f>
        <v>140971</v>
      </c>
      <c r="F15" s="6" t="n">
        <f aca="false">D15/$D$2</f>
        <v>0</v>
      </c>
      <c r="G15" s="6" t="n">
        <v>314</v>
      </c>
      <c r="H15" s="8" t="n">
        <v>85</v>
      </c>
      <c r="I15" s="6" t="n">
        <f aca="false">G15+H15</f>
        <v>399</v>
      </c>
      <c r="J15" s="111" t="n">
        <f aca="false">IF(L15&gt;0,L15,0)</f>
        <v>431</v>
      </c>
      <c r="K15" s="6" t="n">
        <f aca="false">I15+J15</f>
        <v>830</v>
      </c>
      <c r="L15" s="6" t="n">
        <f aca="false">F15-(I15-W15)</f>
        <v>431</v>
      </c>
      <c r="M15" s="6" t="n">
        <v>16</v>
      </c>
      <c r="N15" s="6" t="n">
        <v>0</v>
      </c>
      <c r="O15" s="6" t="n">
        <v>0</v>
      </c>
      <c r="P15" s="6" t="n">
        <f aca="false">M15-(N15+O15)</f>
        <v>16</v>
      </c>
      <c r="Q15" s="6" t="n">
        <v>0</v>
      </c>
      <c r="R15" s="6" t="n">
        <v>0</v>
      </c>
      <c r="S15" s="6" t="n">
        <f aca="false">SUM(P15:R15)</f>
        <v>16</v>
      </c>
      <c r="T15" s="7" t="n">
        <f aca="false">T14</f>
        <v>0</v>
      </c>
      <c r="U15" s="37" t="n">
        <v>13</v>
      </c>
      <c r="V15" s="6" t="n">
        <v>801</v>
      </c>
      <c r="W15" s="6" t="n">
        <f aca="false">N15+O15+S15+U15+V15</f>
        <v>830</v>
      </c>
      <c r="X15" s="6" t="n">
        <f aca="false">IF(L15&lt;0,L15*-1,0)</f>
        <v>0</v>
      </c>
      <c r="Y15" s="6" t="n">
        <f aca="false">W15+X15</f>
        <v>830</v>
      </c>
      <c r="Z15" s="11" t="n">
        <v>0.3</v>
      </c>
      <c r="AA15" s="12" t="n">
        <v>50</v>
      </c>
      <c r="AB15" s="12" t="n">
        <v>25</v>
      </c>
      <c r="AC15" s="13" t="n">
        <f aca="false">AC14+1</f>
        <v>6</v>
      </c>
      <c r="AD15" s="12" t="n">
        <f aca="false">IF(I15&gt;S15,I15-S15,I15-S15)</f>
        <v>383</v>
      </c>
      <c r="AE15" s="12"/>
      <c r="AG15" s="6"/>
    </row>
    <row r="16" customFormat="false" ht="11.1" hidden="false" customHeight="true" outlineLevel="0" collapsed="false">
      <c r="A16" s="13" t="n">
        <f aca="false">A15+1</f>
        <v>7</v>
      </c>
      <c r="B16" s="29" t="n">
        <v>6902.58</v>
      </c>
      <c r="C16" s="7" t="n">
        <v>293197</v>
      </c>
      <c r="D16" s="12" t="n">
        <f aca="false">C16-C15</f>
        <v>226</v>
      </c>
      <c r="E16" s="7" t="n">
        <f aca="false">C16-152000</f>
        <v>141197</v>
      </c>
      <c r="F16" s="6" t="n">
        <f aca="false">D16/$D$2</f>
        <v>113.940005041593</v>
      </c>
      <c r="G16" s="6" t="n">
        <v>308</v>
      </c>
      <c r="H16" s="8" t="n">
        <v>84</v>
      </c>
      <c r="I16" s="6" t="n">
        <f aca="false">G16+H16</f>
        <v>392</v>
      </c>
      <c r="J16" s="111" t="n">
        <f aca="false">IF(L16&gt;0,L16,0)</f>
        <v>551.940005041593</v>
      </c>
      <c r="K16" s="6" t="n">
        <f aca="false">I16+J16</f>
        <v>943.940005041593</v>
      </c>
      <c r="L16" s="6" t="n">
        <f aca="false">F16-(I16-W16)</f>
        <v>551.940005041593</v>
      </c>
      <c r="M16" s="6" t="n">
        <v>16</v>
      </c>
      <c r="N16" s="6" t="n">
        <v>0</v>
      </c>
      <c r="O16" s="6" t="n">
        <v>0</v>
      </c>
      <c r="P16" s="6" t="n">
        <f aca="false">M16-(N16+O16)</f>
        <v>16</v>
      </c>
      <c r="Q16" s="6" t="n">
        <v>0</v>
      </c>
      <c r="R16" s="6" t="n">
        <v>0</v>
      </c>
      <c r="S16" s="6" t="n">
        <f aca="false">SUM(P16:R16)</f>
        <v>16</v>
      </c>
      <c r="T16" s="7" t="n">
        <f aca="false">T15</f>
        <v>0</v>
      </c>
      <c r="U16" s="37" t="n">
        <v>13</v>
      </c>
      <c r="V16" s="6" t="n">
        <v>801</v>
      </c>
      <c r="W16" s="6" t="n">
        <f aca="false">N16+O16+S16+U16+V16</f>
        <v>830</v>
      </c>
      <c r="X16" s="6" t="n">
        <f aca="false">IF(L16&lt;0,L16*-1,0)</f>
        <v>0</v>
      </c>
      <c r="Y16" s="6" t="n">
        <f aca="false">W16+X16</f>
        <v>830</v>
      </c>
      <c r="Z16" s="11" t="n">
        <v>0</v>
      </c>
      <c r="AA16" s="12" t="n">
        <v>53</v>
      </c>
      <c r="AB16" s="12" t="n">
        <v>25</v>
      </c>
      <c r="AC16" s="13" t="n">
        <f aca="false">AC15+1</f>
        <v>7</v>
      </c>
      <c r="AD16" s="12" t="n">
        <f aca="false">IF(I16&gt;S16,I16-S16,I16-S16)</f>
        <v>376</v>
      </c>
      <c r="AE16" s="12"/>
      <c r="AG16" s="6"/>
    </row>
    <row r="17" customFormat="false" ht="11.1" hidden="false" customHeight="true" outlineLevel="0" collapsed="false">
      <c r="A17" s="13" t="n">
        <f aca="false">A16+1</f>
        <v>8</v>
      </c>
      <c r="B17" s="29" t="n">
        <v>6902.85</v>
      </c>
      <c r="C17" s="7" t="n">
        <v>294213</v>
      </c>
      <c r="D17" s="12" t="n">
        <f aca="false">C17-C16</f>
        <v>1016</v>
      </c>
      <c r="E17" s="7" t="n">
        <f aca="false">C17-152000</f>
        <v>142213</v>
      </c>
      <c r="F17" s="6" t="n">
        <f aca="false">D17/$D$2</f>
        <v>512.225863372826</v>
      </c>
      <c r="G17" s="6" t="n">
        <v>348</v>
      </c>
      <c r="H17" s="8" t="n">
        <v>109</v>
      </c>
      <c r="I17" s="6" t="n">
        <f aca="false">G17+H17</f>
        <v>457</v>
      </c>
      <c r="J17" s="111" t="n">
        <f aca="false">IF(L17&gt;0,L17,0)</f>
        <v>885.225863372826</v>
      </c>
      <c r="K17" s="6" t="n">
        <f aca="false">I17+J17</f>
        <v>1342.22586337283</v>
      </c>
      <c r="L17" s="6" t="n">
        <f aca="false">F17-(I17-W17)</f>
        <v>885.225863372826</v>
      </c>
      <c r="M17" s="6" t="n">
        <v>16</v>
      </c>
      <c r="N17" s="6" t="n">
        <v>0</v>
      </c>
      <c r="O17" s="6" t="n">
        <v>0</v>
      </c>
      <c r="P17" s="6" t="n">
        <f aca="false">M17-(N17+O17)</f>
        <v>16</v>
      </c>
      <c r="Q17" s="6" t="n">
        <v>0</v>
      </c>
      <c r="R17" s="6" t="n">
        <v>0</v>
      </c>
      <c r="S17" s="6" t="n">
        <f aca="false">SUM(P17:R17)</f>
        <v>16</v>
      </c>
      <c r="T17" s="7" t="n">
        <f aca="false">T16</f>
        <v>0</v>
      </c>
      <c r="U17" s="37" t="n">
        <v>13</v>
      </c>
      <c r="V17" s="6" t="n">
        <v>801</v>
      </c>
      <c r="W17" s="6" t="n">
        <f aca="false">N17+O17+S17+U17+V17</f>
        <v>830</v>
      </c>
      <c r="X17" s="6" t="n">
        <f aca="false">IF(L17&lt;0,L17*-1,0)</f>
        <v>0</v>
      </c>
      <c r="Y17" s="6" t="n">
        <f aca="false">W17+X17</f>
        <v>830</v>
      </c>
      <c r="Z17" s="11" t="n">
        <v>0</v>
      </c>
      <c r="AA17" s="12" t="n">
        <v>57</v>
      </c>
      <c r="AB17" s="12" t="n">
        <v>27</v>
      </c>
      <c r="AC17" s="13" t="n">
        <f aca="false">AC16+1</f>
        <v>8</v>
      </c>
      <c r="AD17" s="12" t="n">
        <f aca="false">IF(I17&gt;S17,I17-S17,I17-S17)</f>
        <v>441</v>
      </c>
      <c r="AE17" s="12"/>
      <c r="AG17" s="6"/>
    </row>
    <row r="18" customFormat="false" ht="11.1" hidden="false" customHeight="true" outlineLevel="0" collapsed="false">
      <c r="A18" s="13" t="n">
        <f aca="false">A17+1</f>
        <v>9</v>
      </c>
      <c r="B18" s="29" t="n">
        <v>6903.1</v>
      </c>
      <c r="C18" s="7" t="n">
        <v>295157</v>
      </c>
      <c r="D18" s="12" t="n">
        <f aca="false">C18-C17</f>
        <v>944</v>
      </c>
      <c r="E18" s="7" t="n">
        <f aca="false">C18-152000</f>
        <v>143157</v>
      </c>
      <c r="F18" s="6" t="n">
        <f aca="false">D18/$D$2</f>
        <v>475.926392740106</v>
      </c>
      <c r="G18" s="6" t="n">
        <v>452</v>
      </c>
      <c r="H18" s="8" t="n">
        <v>185</v>
      </c>
      <c r="I18" s="6" t="n">
        <f aca="false">G18+H18</f>
        <v>637</v>
      </c>
      <c r="J18" s="111" t="n">
        <f aca="false">IF(L18&gt;0,L18,0)</f>
        <v>1053.92639274011</v>
      </c>
      <c r="K18" s="6" t="n">
        <f aca="false">I18+J18</f>
        <v>1690.92639274011</v>
      </c>
      <c r="L18" s="6" t="n">
        <f aca="false">F18-(I18-W18)</f>
        <v>1053.92639274011</v>
      </c>
      <c r="M18" s="6" t="n">
        <v>19</v>
      </c>
      <c r="N18" s="6" t="n">
        <v>0</v>
      </c>
      <c r="O18" s="6" t="n">
        <v>0</v>
      </c>
      <c r="P18" s="6" t="n">
        <f aca="false">M18-(N18+O18)</f>
        <v>19</v>
      </c>
      <c r="Q18" s="6" t="n">
        <v>0</v>
      </c>
      <c r="R18" s="6" t="n">
        <v>7</v>
      </c>
      <c r="S18" s="6" t="n">
        <f aca="false">SUM(P18:R18)</f>
        <v>26</v>
      </c>
      <c r="T18" s="7" t="n">
        <f aca="false">T17</f>
        <v>0</v>
      </c>
      <c r="U18" s="37" t="n">
        <v>17</v>
      </c>
      <c r="V18" s="6" t="n">
        <v>1172</v>
      </c>
      <c r="W18" s="6" t="n">
        <f aca="false">N18+O18+S18+U18+V18</f>
        <v>1215</v>
      </c>
      <c r="X18" s="6" t="n">
        <f aca="false">IF(L18&lt;0,L18*-1,0)</f>
        <v>0</v>
      </c>
      <c r="Y18" s="6" t="n">
        <f aca="false">W18+X18</f>
        <v>1215</v>
      </c>
      <c r="Z18" s="11" t="n">
        <v>0</v>
      </c>
      <c r="AA18" s="39" t="n">
        <v>60</v>
      </c>
      <c r="AB18" s="12" t="n">
        <v>29</v>
      </c>
      <c r="AC18" s="13" t="n">
        <f aca="false">AC17+1</f>
        <v>9</v>
      </c>
      <c r="AD18" s="12" t="n">
        <f aca="false">IF(I18&gt;S18,I18-S18,I18-S18)</f>
        <v>611</v>
      </c>
      <c r="AE18" s="12"/>
      <c r="AG18" s="6"/>
    </row>
    <row r="19" customFormat="false" ht="11.1" hidden="false" customHeight="true" outlineLevel="0" collapsed="false">
      <c r="A19" s="13" t="n">
        <f aca="false">A18+1</f>
        <v>10</v>
      </c>
      <c r="B19" s="29" t="n">
        <v>6902.94</v>
      </c>
      <c r="C19" s="7" t="n">
        <v>294552</v>
      </c>
      <c r="D19" s="12" t="n">
        <f aca="false">C19-C18</f>
        <v>-605</v>
      </c>
      <c r="E19" s="7" t="n">
        <f aca="false">C19-152000</f>
        <v>142552</v>
      </c>
      <c r="F19" s="6" t="n">
        <f aca="false">D19/$D$2</f>
        <v>-305.016385177716</v>
      </c>
      <c r="G19" s="6" t="n">
        <v>543</v>
      </c>
      <c r="H19" s="8" t="n">
        <v>255</v>
      </c>
      <c r="I19" s="6" t="n">
        <f aca="false">G19+H19</f>
        <v>798</v>
      </c>
      <c r="J19" s="111" t="n">
        <f aca="false">IF(L19&gt;0,L19,0)</f>
        <v>961.983614822284</v>
      </c>
      <c r="K19" s="6" t="n">
        <f aca="false">I19+J19</f>
        <v>1759.98361482228</v>
      </c>
      <c r="L19" s="6" t="n">
        <f aca="false">F19-(I19-W19)</f>
        <v>961.983614822284</v>
      </c>
      <c r="M19" s="6" t="n">
        <v>25</v>
      </c>
      <c r="N19" s="6" t="n">
        <v>0</v>
      </c>
      <c r="O19" s="6" t="n">
        <v>0</v>
      </c>
      <c r="P19" s="6" t="n">
        <f aca="false">M19-(N19+O19)</f>
        <v>25</v>
      </c>
      <c r="Q19" s="6" t="n">
        <v>0</v>
      </c>
      <c r="R19" s="6" t="n">
        <v>10</v>
      </c>
      <c r="S19" s="6" t="n">
        <f aca="false">SUM(P19:R19)</f>
        <v>35</v>
      </c>
      <c r="T19" s="7" t="n">
        <f aca="false">T18</f>
        <v>0</v>
      </c>
      <c r="U19" s="37" t="n">
        <v>12</v>
      </c>
      <c r="V19" s="6" t="n">
        <v>2018</v>
      </c>
      <c r="W19" s="6" t="n">
        <f aca="false">N19+O19+S19+U19+V19</f>
        <v>2065</v>
      </c>
      <c r="X19" s="6" t="n">
        <f aca="false">IF(L19&lt;0,L19*-1,0)</f>
        <v>0</v>
      </c>
      <c r="Y19" s="6" t="n">
        <f aca="false">W19+X19</f>
        <v>2065</v>
      </c>
      <c r="Z19" s="11" t="n">
        <v>0</v>
      </c>
      <c r="AA19" s="12" t="n">
        <v>59</v>
      </c>
      <c r="AB19" s="12" t="n">
        <v>28</v>
      </c>
      <c r="AC19" s="13" t="n">
        <f aca="false">AC18+1</f>
        <v>10</v>
      </c>
      <c r="AD19" s="12" t="n">
        <f aca="false">IF(I19&gt;S19,I19-S19,I19-S19)</f>
        <v>763</v>
      </c>
      <c r="AE19" s="12"/>
      <c r="AG19" s="6"/>
    </row>
    <row r="20" customFormat="false" ht="11.1" hidden="false" customHeight="true" outlineLevel="0" collapsed="false">
      <c r="A20" s="13" t="n">
        <f aca="false">A19+1</f>
        <v>11</v>
      </c>
      <c r="B20" s="29" t="n">
        <v>6902.6</v>
      </c>
      <c r="C20" s="7" t="n">
        <v>293272</v>
      </c>
      <c r="D20" s="12" t="n">
        <f aca="false">C20-C19</f>
        <v>-1280</v>
      </c>
      <c r="E20" s="7" t="n">
        <f aca="false">C20-152000</f>
        <v>141272</v>
      </c>
      <c r="F20" s="6" t="n">
        <f aca="false">D20/$D$2</f>
        <v>-645.323922359466</v>
      </c>
      <c r="G20" s="6" t="n">
        <v>621</v>
      </c>
      <c r="H20" s="8" t="n">
        <v>277</v>
      </c>
      <c r="I20" s="6" t="n">
        <f aca="false">G20+H20</f>
        <v>898</v>
      </c>
      <c r="J20" s="111" t="n">
        <f aca="false">IF(L20&gt;0,L20,0)</f>
        <v>1125.67607764053</v>
      </c>
      <c r="K20" s="6" t="n">
        <f aca="false">I20+J20</f>
        <v>2023.67607764053</v>
      </c>
      <c r="L20" s="6" t="n">
        <f aca="false">F20-(I20-W20)</f>
        <v>1125.67607764053</v>
      </c>
      <c r="M20" s="6" t="n">
        <v>28</v>
      </c>
      <c r="N20" s="6" t="n">
        <v>0</v>
      </c>
      <c r="O20" s="6" t="n">
        <v>0</v>
      </c>
      <c r="P20" s="6" t="n">
        <f aca="false">M20-(N20+O20)</f>
        <v>28</v>
      </c>
      <c r="Q20" s="6" t="n">
        <v>0</v>
      </c>
      <c r="R20" s="6" t="n">
        <v>10</v>
      </c>
      <c r="S20" s="6" t="n">
        <f aca="false">SUM(P20:R20)</f>
        <v>38</v>
      </c>
      <c r="T20" s="7" t="n">
        <f aca="false">T19</f>
        <v>0</v>
      </c>
      <c r="U20" s="37" t="n">
        <v>0</v>
      </c>
      <c r="V20" s="6" t="n">
        <v>2631</v>
      </c>
      <c r="W20" s="6" t="n">
        <f aca="false">N20+O20+S20+U20+V20</f>
        <v>2669</v>
      </c>
      <c r="X20" s="6" t="n">
        <f aca="false">IF(L20&lt;0,L20*-1,0)</f>
        <v>0</v>
      </c>
      <c r="Y20" s="6" t="n">
        <f aca="false">W20+X20</f>
        <v>2669</v>
      </c>
      <c r="Z20" s="11" t="n">
        <v>0.04</v>
      </c>
      <c r="AA20" s="12" t="n">
        <v>60</v>
      </c>
      <c r="AB20" s="12" t="n">
        <v>33</v>
      </c>
      <c r="AC20" s="13" t="n">
        <f aca="false">AC19+1</f>
        <v>11</v>
      </c>
      <c r="AD20" s="12" t="n">
        <f aca="false">IF(I20&gt;S20,I20-S20,I20-S20)</f>
        <v>860</v>
      </c>
      <c r="AE20" s="12"/>
      <c r="AG20" s="6"/>
    </row>
    <row r="21" customFormat="false" ht="11.1" hidden="false" customHeight="true" outlineLevel="0" collapsed="false">
      <c r="A21" s="13" t="n">
        <f aca="false">A20+1</f>
        <v>12</v>
      </c>
      <c r="B21" s="29" t="n">
        <v>6902.37</v>
      </c>
      <c r="C21" s="7" t="n">
        <v>292407</v>
      </c>
      <c r="D21" s="12" t="n">
        <f aca="false">C21-C20</f>
        <v>-865</v>
      </c>
      <c r="E21" s="7" t="n">
        <f aca="false">C21-152000</f>
        <v>140407</v>
      </c>
      <c r="F21" s="6" t="n">
        <f aca="false">D21/$D$2</f>
        <v>-436.097806906983</v>
      </c>
      <c r="G21" s="6" t="n">
        <v>631</v>
      </c>
      <c r="H21" s="8" t="n">
        <v>287</v>
      </c>
      <c r="I21" s="6" t="n">
        <f aca="false">G21+H21</f>
        <v>918</v>
      </c>
      <c r="J21" s="111" t="n">
        <f aca="false">IF(L21&gt;0,L21,0)</f>
        <v>1002.90219309302</v>
      </c>
      <c r="K21" s="6" t="n">
        <f aca="false">I21+J21</f>
        <v>1920.90219309302</v>
      </c>
      <c r="L21" s="6" t="n">
        <f aca="false">F21-(I21-W21)</f>
        <v>1002.90219309302</v>
      </c>
      <c r="M21" s="6" t="n">
        <v>27</v>
      </c>
      <c r="N21" s="6" t="n">
        <v>0</v>
      </c>
      <c r="O21" s="6" t="n">
        <v>0</v>
      </c>
      <c r="P21" s="6" t="n">
        <f aca="false">M21-(N21+O21)</f>
        <v>27</v>
      </c>
      <c r="Q21" s="6" t="n">
        <v>0</v>
      </c>
      <c r="R21" s="6" t="n">
        <v>11</v>
      </c>
      <c r="S21" s="6" t="n">
        <f aca="false">SUM(P21:R21)</f>
        <v>38</v>
      </c>
      <c r="T21" s="7" t="n">
        <f aca="false">T20</f>
        <v>0</v>
      </c>
      <c r="U21" s="37" t="n">
        <v>0</v>
      </c>
      <c r="V21" s="6" t="n">
        <v>2319</v>
      </c>
      <c r="W21" s="6" t="n">
        <f aca="false">N21+O21+S21+U21+V21</f>
        <v>2357</v>
      </c>
      <c r="X21" s="6" t="n">
        <f aca="false">IF(L21&lt;0,L21*-1,0)</f>
        <v>0</v>
      </c>
      <c r="Y21" s="6" t="n">
        <f aca="false">W21+X21</f>
        <v>2357</v>
      </c>
      <c r="Z21" s="11" t="n">
        <v>0.1</v>
      </c>
      <c r="AA21" s="12" t="n">
        <v>57</v>
      </c>
      <c r="AB21" s="12" t="n">
        <v>26</v>
      </c>
      <c r="AC21" s="13" t="n">
        <f aca="false">AC20+1</f>
        <v>12</v>
      </c>
      <c r="AD21" s="12" t="n">
        <f aca="false">IF(I21&gt;S21,I21-S21,I21-S21)</f>
        <v>880</v>
      </c>
      <c r="AE21" s="12"/>
      <c r="AG21" s="6"/>
    </row>
    <row r="22" customFormat="false" ht="11.1" hidden="false" customHeight="true" outlineLevel="0" collapsed="false">
      <c r="A22" s="13" t="n">
        <f aca="false">A21+1</f>
        <v>13</v>
      </c>
      <c r="B22" s="29" t="n">
        <v>6902.4</v>
      </c>
      <c r="C22" s="7" t="n">
        <v>292520</v>
      </c>
      <c r="D22" s="12" t="n">
        <f aca="false">C22-C21</f>
        <v>113</v>
      </c>
      <c r="E22" s="7" t="n">
        <f aca="false">C22-152000</f>
        <v>140520</v>
      </c>
      <c r="F22" s="6" t="n">
        <f aca="false">D22/$D$2</f>
        <v>56.9700025207966</v>
      </c>
      <c r="G22" s="6" t="n">
        <v>505</v>
      </c>
      <c r="H22" s="8" t="n">
        <v>191</v>
      </c>
      <c r="I22" s="6" t="n">
        <f aca="false">G22+H22</f>
        <v>696</v>
      </c>
      <c r="J22" s="111" t="n">
        <f aca="false">IF(L22&gt;0,L22,0)</f>
        <v>898.970002520797</v>
      </c>
      <c r="K22" s="6" t="n">
        <f aca="false">I22+J22</f>
        <v>1594.9700025208</v>
      </c>
      <c r="L22" s="6" t="n">
        <f aca="false">F22-(I22-W22)</f>
        <v>898.970002520797</v>
      </c>
      <c r="M22" s="6" t="n">
        <v>27</v>
      </c>
      <c r="N22" s="6" t="n">
        <v>0</v>
      </c>
      <c r="O22" s="6" t="n">
        <v>0</v>
      </c>
      <c r="P22" s="6" t="n">
        <f aca="false">M22-(N22+O22)</f>
        <v>27</v>
      </c>
      <c r="Q22" s="6" t="n">
        <v>0</v>
      </c>
      <c r="R22" s="6" t="n">
        <v>11</v>
      </c>
      <c r="S22" s="6" t="n">
        <f aca="false">SUM(P22:R22)</f>
        <v>38</v>
      </c>
      <c r="T22" s="7" t="n">
        <f aca="false">T21</f>
        <v>0</v>
      </c>
      <c r="U22" s="37" t="n">
        <v>0</v>
      </c>
      <c r="V22" s="6" t="n">
        <v>1500</v>
      </c>
      <c r="W22" s="6" t="n">
        <f aca="false">N22+O22+S22+U22+V22</f>
        <v>1538</v>
      </c>
      <c r="X22" s="6" t="n">
        <f aca="false">IF(L22&lt;0,L22*-1,0)</f>
        <v>0</v>
      </c>
      <c r="Y22" s="6" t="n">
        <f aca="false">W22+X22</f>
        <v>1538</v>
      </c>
      <c r="Z22" s="11" t="n">
        <v>0</v>
      </c>
      <c r="AA22" s="12" t="n">
        <v>47</v>
      </c>
      <c r="AB22" s="12" t="n">
        <v>27</v>
      </c>
      <c r="AC22" s="13" t="n">
        <f aca="false">AC21+1</f>
        <v>13</v>
      </c>
      <c r="AD22" s="12" t="n">
        <f aca="false">IF(I22&gt;S22,I22-S22,I22-S22)</f>
        <v>658</v>
      </c>
      <c r="AE22" s="12"/>
      <c r="AG22" s="6"/>
    </row>
    <row r="23" customFormat="false" ht="11.1" hidden="false" customHeight="true" outlineLevel="0" collapsed="false">
      <c r="A23" s="13" t="n">
        <f aca="false">A22+1</f>
        <v>14</v>
      </c>
      <c r="B23" s="29" t="n">
        <v>6902.63</v>
      </c>
      <c r="C23" s="7" t="n">
        <v>293385</v>
      </c>
      <c r="D23" s="12" t="n">
        <f aca="false">C23-C22</f>
        <v>865</v>
      </c>
      <c r="E23" s="7" t="n">
        <f aca="false">C23-152000</f>
        <v>141385</v>
      </c>
      <c r="F23" s="6" t="n">
        <f aca="false">D23/$D$2</f>
        <v>436.097806906983</v>
      </c>
      <c r="G23" s="6" t="n">
        <v>518</v>
      </c>
      <c r="H23" s="8" t="n">
        <v>178</v>
      </c>
      <c r="I23" s="6" t="n">
        <f aca="false">G23+H23</f>
        <v>696</v>
      </c>
      <c r="J23" s="111" t="n">
        <f aca="false">IF(L23&gt;0,L23,0)</f>
        <v>1028.09780690698</v>
      </c>
      <c r="K23" s="6" t="n">
        <f aca="false">I23+J23</f>
        <v>1724.09780690698</v>
      </c>
      <c r="L23" s="6" t="n">
        <f aca="false">F23-(I23-W23)</f>
        <v>1028.09780690698</v>
      </c>
      <c r="M23" s="6" t="n">
        <v>26</v>
      </c>
      <c r="N23" s="6" t="n">
        <v>0</v>
      </c>
      <c r="O23" s="6" t="n">
        <v>0</v>
      </c>
      <c r="P23" s="6" t="n">
        <f aca="false">M23-(N23+O23)</f>
        <v>26</v>
      </c>
      <c r="Q23" s="6" t="n">
        <v>0</v>
      </c>
      <c r="R23" s="6" t="n">
        <v>11</v>
      </c>
      <c r="S23" s="6" t="n">
        <f aca="false">SUM(P23:R23)</f>
        <v>37</v>
      </c>
      <c r="T23" s="7" t="n">
        <f aca="false">T22</f>
        <v>0</v>
      </c>
      <c r="U23" s="37" t="n">
        <v>0</v>
      </c>
      <c r="V23" s="6" t="n">
        <v>1251</v>
      </c>
      <c r="W23" s="6" t="n">
        <f aca="false">N23+O23+S23+U23+V23</f>
        <v>1288</v>
      </c>
      <c r="X23" s="6" t="n">
        <f aca="false">IF(L23&lt;0,L23*-1,0)</f>
        <v>0</v>
      </c>
      <c r="Y23" s="6" t="n">
        <f aca="false">W23+X23</f>
        <v>1288</v>
      </c>
      <c r="Z23" s="11" t="n">
        <v>0</v>
      </c>
      <c r="AA23" s="39" t="n">
        <v>65</v>
      </c>
      <c r="AB23" s="12" t="n">
        <v>22</v>
      </c>
      <c r="AC23" s="13" t="n">
        <f aca="false">AC22+1</f>
        <v>14</v>
      </c>
      <c r="AD23" s="12" t="n">
        <f aca="false">IF(I23&gt;S23,I23-S23,I23-S23)</f>
        <v>659</v>
      </c>
      <c r="AE23" s="12"/>
      <c r="AG23" s="6"/>
    </row>
    <row r="24" customFormat="false" ht="11.1" hidden="false" customHeight="true" outlineLevel="0" collapsed="false">
      <c r="A24" s="13" t="n">
        <f aca="false">A23+1</f>
        <v>15</v>
      </c>
      <c r="B24" s="29" t="n">
        <v>6903.3</v>
      </c>
      <c r="C24" s="7" t="n">
        <v>295916</v>
      </c>
      <c r="D24" s="12" t="n">
        <f aca="false">C24-C23</f>
        <v>2531</v>
      </c>
      <c r="E24" s="7" t="n">
        <f aca="false">C24-152000</f>
        <v>143916</v>
      </c>
      <c r="F24" s="6" t="n">
        <f aca="false">D24/$D$2</f>
        <v>1276.02722460297</v>
      </c>
      <c r="G24" s="6" t="n">
        <v>775</v>
      </c>
      <c r="H24" s="8" t="n">
        <v>289</v>
      </c>
      <c r="I24" s="6" t="n">
        <f aca="false">G24+H24</f>
        <v>1064</v>
      </c>
      <c r="J24" s="111" t="n">
        <f aca="false">IF(L24&gt;0,L24,0)</f>
        <v>1497.02722460297</v>
      </c>
      <c r="K24" s="6" t="n">
        <f aca="false">I24+J24</f>
        <v>2561.02722460297</v>
      </c>
      <c r="L24" s="6" t="n">
        <f aca="false">F24-(I24-W24)</f>
        <v>1497.02722460297</v>
      </c>
      <c r="M24" s="6" t="n">
        <v>27</v>
      </c>
      <c r="N24" s="6" t="n">
        <v>0</v>
      </c>
      <c r="O24" s="6" t="n">
        <v>0</v>
      </c>
      <c r="P24" s="6" t="n">
        <f aca="false">M24-(N24+O24)</f>
        <v>27</v>
      </c>
      <c r="Q24" s="6" t="n">
        <v>0</v>
      </c>
      <c r="R24" s="6" t="n">
        <v>7</v>
      </c>
      <c r="S24" s="6" t="n">
        <f aca="false">SUM(P24:R24)</f>
        <v>34</v>
      </c>
      <c r="T24" s="7" t="n">
        <f aca="false">T23</f>
        <v>0</v>
      </c>
      <c r="U24" s="37" t="n">
        <v>0</v>
      </c>
      <c r="V24" s="6" t="n">
        <v>1251</v>
      </c>
      <c r="W24" s="6" t="n">
        <f aca="false">N24+O24+S24+U24+V24</f>
        <v>1285</v>
      </c>
      <c r="X24" s="6" t="n">
        <f aca="false">IF(L24&lt;0,L24*-1,0)</f>
        <v>0</v>
      </c>
      <c r="Y24" s="6" t="n">
        <f aca="false">W24+X24</f>
        <v>1285</v>
      </c>
      <c r="Z24" s="11" t="n">
        <v>0</v>
      </c>
      <c r="AA24" s="39" t="n">
        <v>70</v>
      </c>
      <c r="AB24" s="12" t="n">
        <v>31</v>
      </c>
      <c r="AC24" s="13" t="n">
        <f aca="false">AC23+1</f>
        <v>15</v>
      </c>
      <c r="AD24" s="12" t="n">
        <f aca="false">IF(I24&gt;S24,I24-S24,I24-S24)</f>
        <v>1030</v>
      </c>
      <c r="AE24" s="12"/>
      <c r="AG24" s="6"/>
    </row>
    <row r="25" customFormat="false" ht="11.1" hidden="false" customHeight="true" outlineLevel="0" collapsed="false">
      <c r="A25" s="13" t="n">
        <f aca="false">A24+1</f>
        <v>16</v>
      </c>
      <c r="B25" s="29" t="n">
        <v>6904.21</v>
      </c>
      <c r="C25" s="7" t="n">
        <v>299374</v>
      </c>
      <c r="D25" s="12" t="n">
        <f aca="false">C25-C24</f>
        <v>3458</v>
      </c>
      <c r="E25" s="7" t="n">
        <f aca="false">C25-152000</f>
        <v>147374</v>
      </c>
      <c r="F25" s="6" t="n">
        <f aca="false">D25/$D$2</f>
        <v>1743.38290899924</v>
      </c>
      <c r="G25" s="6" t="n">
        <v>1156</v>
      </c>
      <c r="H25" s="8" t="n">
        <v>417</v>
      </c>
      <c r="I25" s="6" t="n">
        <f aca="false">G25+H25</f>
        <v>1573</v>
      </c>
      <c r="J25" s="111" t="n">
        <f aca="false">IF(L25&gt;0,L25,0)</f>
        <v>1726.38290899924</v>
      </c>
      <c r="K25" s="6" t="n">
        <f aca="false">I25+J25</f>
        <v>3299.38290899924</v>
      </c>
      <c r="L25" s="6" t="n">
        <f aca="false">F25-(I25-W25)</f>
        <v>1726.38290899924</v>
      </c>
      <c r="M25" s="6" t="n">
        <v>28</v>
      </c>
      <c r="N25" s="6" t="n">
        <v>0</v>
      </c>
      <c r="O25" s="6" t="n">
        <v>0</v>
      </c>
      <c r="P25" s="6" t="n">
        <f aca="false">M25-(N25+O25)</f>
        <v>28</v>
      </c>
      <c r="Q25" s="6" t="n">
        <v>0</v>
      </c>
      <c r="R25" s="6" t="n">
        <v>3</v>
      </c>
      <c r="S25" s="6" t="n">
        <f aca="false">SUM(P25:R25)</f>
        <v>31</v>
      </c>
      <c r="T25" s="7" t="n">
        <f aca="false">T24</f>
        <v>0</v>
      </c>
      <c r="U25" s="37" t="n">
        <v>4</v>
      </c>
      <c r="V25" s="6" t="n">
        <v>1521</v>
      </c>
      <c r="W25" s="6" t="n">
        <f aca="false">N25+O25+S25+U25+V25</f>
        <v>1556</v>
      </c>
      <c r="X25" s="6" t="n">
        <f aca="false">IF(L25&lt;0,L25*-1,0)</f>
        <v>0</v>
      </c>
      <c r="Y25" s="6" t="n">
        <f aca="false">W25+X25</f>
        <v>1556</v>
      </c>
      <c r="Z25" s="11" t="n">
        <v>0</v>
      </c>
      <c r="AA25" s="39" t="n">
        <v>72</v>
      </c>
      <c r="AB25" s="12" t="n">
        <v>35</v>
      </c>
      <c r="AC25" s="13" t="n">
        <f aca="false">AC24+1</f>
        <v>16</v>
      </c>
      <c r="AD25" s="12" t="n">
        <f aca="false">IF(I25&gt;S25,I25-S25,I25-S25)</f>
        <v>1542</v>
      </c>
      <c r="AE25" s="12"/>
      <c r="AG25" s="6"/>
    </row>
    <row r="26" customFormat="false" ht="11.1" hidden="false" customHeight="true" outlineLevel="0" collapsed="false">
      <c r="A26" s="13" t="n">
        <f aca="false">A25+1</f>
        <v>17</v>
      </c>
      <c r="B26" s="29" t="n">
        <v>6904.85</v>
      </c>
      <c r="C26" s="7" t="n">
        <v>301822</v>
      </c>
      <c r="D26" s="12" t="n">
        <f aca="false">C26-C25</f>
        <v>2448</v>
      </c>
      <c r="E26" s="7" t="n">
        <f aca="false">C26-152000</f>
        <v>149822</v>
      </c>
      <c r="F26" s="6" t="n">
        <f aca="false">D26/$D$2</f>
        <v>1234.18200151248</v>
      </c>
      <c r="G26" s="6" t="n">
        <v>1536</v>
      </c>
      <c r="H26" s="8" t="n">
        <v>496</v>
      </c>
      <c r="I26" s="6" t="n">
        <f aca="false">G26+H26</f>
        <v>2032</v>
      </c>
      <c r="J26" s="111" t="n">
        <f aca="false">IF(L26&gt;0,L26,0)</f>
        <v>1416.18200151248</v>
      </c>
      <c r="K26" s="6" t="n">
        <f aca="false">I26+J26</f>
        <v>3448.18200151248</v>
      </c>
      <c r="L26" s="6" t="n">
        <f aca="false">F26-(I26-W26)</f>
        <v>1416.18200151248</v>
      </c>
      <c r="M26" s="6" t="n">
        <v>28</v>
      </c>
      <c r="N26" s="6" t="n">
        <v>0</v>
      </c>
      <c r="O26" s="6" t="n">
        <v>0</v>
      </c>
      <c r="P26" s="6" t="n">
        <f aca="false">M26-(N26+O26)</f>
        <v>28</v>
      </c>
      <c r="Q26" s="6" t="n">
        <v>24</v>
      </c>
      <c r="R26" s="6" t="n">
        <v>11</v>
      </c>
      <c r="S26" s="6" t="n">
        <f aca="false">SUM(P26:R26)</f>
        <v>63</v>
      </c>
      <c r="T26" s="7" t="n">
        <f aca="false">T25</f>
        <v>0</v>
      </c>
      <c r="U26" s="37" t="n">
        <v>4</v>
      </c>
      <c r="V26" s="6" t="n">
        <v>2147</v>
      </c>
      <c r="W26" s="6" t="n">
        <f aca="false">N26+O26+S26+U26+V26</f>
        <v>2214</v>
      </c>
      <c r="X26" s="6" t="n">
        <f aca="false">IF(L26&lt;0,L26*-1,0)</f>
        <v>0</v>
      </c>
      <c r="Y26" s="6" t="n">
        <f aca="false">W26+X26</f>
        <v>2214</v>
      </c>
      <c r="Z26" s="11" t="n">
        <v>0</v>
      </c>
      <c r="AA26" s="39" t="n">
        <v>73</v>
      </c>
      <c r="AB26" s="12" t="n">
        <v>37</v>
      </c>
      <c r="AC26" s="13" t="n">
        <f aca="false">AC25+1</f>
        <v>17</v>
      </c>
      <c r="AD26" s="12" t="n">
        <f aca="false">IF(I26&gt;S26,I26-S26,I26-S26)</f>
        <v>1969</v>
      </c>
      <c r="AE26" s="12"/>
      <c r="AG26" s="6"/>
    </row>
    <row r="27" customFormat="false" ht="11.1" hidden="false" customHeight="true" outlineLevel="0" collapsed="false">
      <c r="A27" s="13" t="n">
        <f aca="false">A26+1</f>
        <v>18</v>
      </c>
      <c r="B27" s="29" t="n">
        <v>6905.41</v>
      </c>
      <c r="C27" s="7" t="n">
        <v>303976</v>
      </c>
      <c r="D27" s="12" t="n">
        <f aca="false">C27-C26</f>
        <v>2154</v>
      </c>
      <c r="E27" s="7" t="n">
        <f aca="false">C27-152000</f>
        <v>151976</v>
      </c>
      <c r="F27" s="6" t="n">
        <f aca="false">D27/$D$2</f>
        <v>1085.95916309554</v>
      </c>
      <c r="G27" s="6" t="n">
        <v>1794</v>
      </c>
      <c r="H27" s="8" t="n">
        <v>507</v>
      </c>
      <c r="I27" s="6" t="n">
        <f aca="false">G27+H27</f>
        <v>2301</v>
      </c>
      <c r="J27" s="111" t="n">
        <f aca="false">IF(L27&gt;0,L27,0)</f>
        <v>1345.95916309554</v>
      </c>
      <c r="K27" s="6" t="n">
        <f aca="false">I27+J27</f>
        <v>3646.95916309554</v>
      </c>
      <c r="L27" s="6" t="n">
        <f aca="false">F27-(I27-W27)</f>
        <v>1345.95916309554</v>
      </c>
      <c r="M27" s="6" t="n">
        <v>28</v>
      </c>
      <c r="N27" s="6" t="n">
        <v>0</v>
      </c>
      <c r="O27" s="6" t="n">
        <v>0</v>
      </c>
      <c r="P27" s="6" t="n">
        <f aca="false">M27-(N27+O27)</f>
        <v>28</v>
      </c>
      <c r="Q27" s="6" t="n">
        <v>21</v>
      </c>
      <c r="R27" s="6" t="n">
        <v>10</v>
      </c>
      <c r="S27" s="6" t="n">
        <f aca="false">SUM(P27:R27)</f>
        <v>59</v>
      </c>
      <c r="T27" s="7" t="n">
        <f aca="false">T26</f>
        <v>0</v>
      </c>
      <c r="U27" s="37" t="n">
        <v>0</v>
      </c>
      <c r="V27" s="6" t="n">
        <v>2502</v>
      </c>
      <c r="W27" s="6" t="n">
        <f aca="false">N27+O27+S27+U27+V27</f>
        <v>2561</v>
      </c>
      <c r="X27" s="6" t="n">
        <f aca="false">IF(L27&lt;0,L27*-1,0)</f>
        <v>0</v>
      </c>
      <c r="Y27" s="6" t="n">
        <f aca="false">W27+X27</f>
        <v>2561</v>
      </c>
      <c r="Z27" s="11" t="n">
        <v>0</v>
      </c>
      <c r="AA27" s="39" t="n">
        <v>68</v>
      </c>
      <c r="AB27" s="12" t="n">
        <v>37</v>
      </c>
      <c r="AC27" s="13" t="n">
        <f aca="false">AC26+1</f>
        <v>18</v>
      </c>
      <c r="AD27" s="12" t="n">
        <f aca="false">IF(I27&gt;S27,I27-S27,I27-S27)</f>
        <v>2242</v>
      </c>
      <c r="AE27" s="12"/>
      <c r="AG27" s="6"/>
    </row>
    <row r="28" customFormat="false" ht="11.1" hidden="false" customHeight="true" outlineLevel="0" collapsed="false">
      <c r="A28" s="13" t="n">
        <f aca="false">A27+1</f>
        <v>19</v>
      </c>
      <c r="B28" s="29" t="n">
        <v>6905.84</v>
      </c>
      <c r="C28" s="7" t="n">
        <v>305634</v>
      </c>
      <c r="D28" s="12" t="n">
        <f aca="false">C28-C27</f>
        <v>1658</v>
      </c>
      <c r="E28" s="7" t="n">
        <f aca="false">C28-152000</f>
        <v>153634</v>
      </c>
      <c r="F28" s="6" t="n">
        <f aca="false">D28/$D$2</f>
        <v>835.896143181245</v>
      </c>
      <c r="G28" s="6" t="n">
        <v>1745</v>
      </c>
      <c r="H28" s="8" t="n">
        <v>391</v>
      </c>
      <c r="I28" s="6" t="n">
        <f aca="false">G28+H28</f>
        <v>2136</v>
      </c>
      <c r="J28" s="111" t="n">
        <f aca="false">IF(L28&gt;0,L28,0)</f>
        <v>980.896143181245</v>
      </c>
      <c r="K28" s="6" t="n">
        <f aca="false">I28+J28</f>
        <v>3116.89614318125</v>
      </c>
      <c r="L28" s="6" t="n">
        <f aca="false">F28-(I28-W28)</f>
        <v>980.896143181245</v>
      </c>
      <c r="M28" s="6" t="n">
        <v>28</v>
      </c>
      <c r="N28" s="6" t="n">
        <v>0</v>
      </c>
      <c r="O28" s="6" t="n">
        <v>0</v>
      </c>
      <c r="P28" s="6" t="n">
        <f aca="false">M28-(N28+O28)</f>
        <v>28</v>
      </c>
      <c r="Q28" s="6" t="n">
        <v>21</v>
      </c>
      <c r="R28" s="6" t="n">
        <v>11</v>
      </c>
      <c r="S28" s="6" t="n">
        <f aca="false">SUM(P28:R28)</f>
        <v>60</v>
      </c>
      <c r="T28" s="7" t="n">
        <f aca="false">T27</f>
        <v>0</v>
      </c>
      <c r="U28" s="37" t="n">
        <v>0</v>
      </c>
      <c r="V28" s="6" t="n">
        <v>2221</v>
      </c>
      <c r="W28" s="6" t="n">
        <f aca="false">N28+O28+S28+U28+V28</f>
        <v>2281</v>
      </c>
      <c r="X28" s="6" t="n">
        <f aca="false">IF(L28&lt;0,L28*-1,0)</f>
        <v>0</v>
      </c>
      <c r="Y28" s="6" t="n">
        <f aca="false">W28+X28</f>
        <v>2281</v>
      </c>
      <c r="Z28" s="11" t="n">
        <v>0</v>
      </c>
      <c r="AA28" s="39" t="n">
        <v>59</v>
      </c>
      <c r="AB28" s="12" t="n">
        <v>45</v>
      </c>
      <c r="AC28" s="13" t="n">
        <f aca="false">AC27+1</f>
        <v>19</v>
      </c>
      <c r="AD28" s="12" t="n">
        <f aca="false">IF(I28&gt;S28,I28-S28,I28-S28)</f>
        <v>2076</v>
      </c>
      <c r="AE28" s="12"/>
      <c r="AG28" s="6"/>
    </row>
    <row r="29" customFormat="false" ht="11.1" hidden="false" customHeight="true" outlineLevel="0" collapsed="false">
      <c r="A29" s="13" t="n">
        <f aca="false">A28+1</f>
        <v>20</v>
      </c>
      <c r="B29" s="29" t="n">
        <v>6906.2</v>
      </c>
      <c r="C29" s="7" t="n">
        <v>307028</v>
      </c>
      <c r="D29" s="12" t="n">
        <f aca="false">C29-C28</f>
        <v>1394</v>
      </c>
      <c r="E29" s="7" t="n">
        <f aca="false">C29-152000</f>
        <v>155028</v>
      </c>
      <c r="F29" s="6" t="n">
        <f aca="false">D29/$D$2</f>
        <v>702.798084194606</v>
      </c>
      <c r="G29" s="6" t="n">
        <v>1604</v>
      </c>
      <c r="H29" s="8" t="n">
        <v>325</v>
      </c>
      <c r="I29" s="6" t="n">
        <f aca="false">G29+H29</f>
        <v>1929</v>
      </c>
      <c r="J29" s="111" t="n">
        <f aca="false">IF(L29&gt;0,L29,0)</f>
        <v>654.798084194606</v>
      </c>
      <c r="K29" s="6" t="n">
        <f aca="false">I29+J29</f>
        <v>2583.79808419461</v>
      </c>
      <c r="L29" s="6" t="n">
        <f aca="false">F29-(I29-W29)</f>
        <v>654.798084194606</v>
      </c>
      <c r="M29" s="6" t="n">
        <v>37</v>
      </c>
      <c r="N29" s="6" t="n">
        <v>0</v>
      </c>
      <c r="O29" s="6" t="n">
        <v>0</v>
      </c>
      <c r="P29" s="6" t="n">
        <f aca="false">M29-(N29+O29)</f>
        <v>37</v>
      </c>
      <c r="Q29" s="6" t="n">
        <v>50</v>
      </c>
      <c r="R29" s="6" t="n">
        <v>10</v>
      </c>
      <c r="S29" s="6" t="n">
        <f aca="false">SUM(P29:R29)</f>
        <v>97</v>
      </c>
      <c r="T29" s="7" t="n">
        <f aca="false">T28</f>
        <v>0</v>
      </c>
      <c r="U29" s="37" t="n">
        <v>0</v>
      </c>
      <c r="V29" s="6" t="n">
        <v>1784</v>
      </c>
      <c r="W29" s="6" t="n">
        <f aca="false">N29+O29+S29+U29+V29</f>
        <v>1881</v>
      </c>
      <c r="X29" s="6" t="n">
        <f aca="false">IF(L29&lt;0,L29*-1,0)</f>
        <v>0</v>
      </c>
      <c r="Y29" s="6" t="n">
        <f aca="false">W29+X29</f>
        <v>1881</v>
      </c>
      <c r="Z29" s="11" t="n">
        <v>0</v>
      </c>
      <c r="AA29" s="39" t="n">
        <v>51</v>
      </c>
      <c r="AB29" s="12" t="n">
        <v>18</v>
      </c>
      <c r="AC29" s="13" t="n">
        <f aca="false">AC28+1</f>
        <v>20</v>
      </c>
      <c r="AD29" s="12" t="n">
        <f aca="false">IF(I29&gt;S29,I29-S29,I29-S29)</f>
        <v>1832</v>
      </c>
      <c r="AE29" s="12"/>
      <c r="AG29" s="6"/>
    </row>
    <row r="30" customFormat="false" ht="11.1" hidden="false" customHeight="true" outlineLevel="0" collapsed="false">
      <c r="A30" s="13" t="n">
        <f aca="false">A29+1</f>
        <v>21</v>
      </c>
      <c r="B30" s="29" t="n">
        <v>6906.52</v>
      </c>
      <c r="C30" s="7" t="n">
        <v>308272</v>
      </c>
      <c r="D30" s="12" t="n">
        <f aca="false">C30-C29</f>
        <v>1244</v>
      </c>
      <c r="E30" s="7" t="n">
        <f aca="false">C30-152000</f>
        <v>156272</v>
      </c>
      <c r="F30" s="6" t="n">
        <f aca="false">D30/$D$2</f>
        <v>627.174187043106</v>
      </c>
      <c r="G30" s="6" t="n">
        <v>1390</v>
      </c>
      <c r="H30" s="8" t="n">
        <v>258</v>
      </c>
      <c r="I30" s="6" t="n">
        <f aca="false">G30+H30</f>
        <v>1648</v>
      </c>
      <c r="J30" s="111" t="n">
        <f aca="false">IF(L30&gt;0,L30,0)</f>
        <v>757.174187043106</v>
      </c>
      <c r="K30" s="6" t="n">
        <f aca="false">I30+J30</f>
        <v>2405.17418704311</v>
      </c>
      <c r="L30" s="6" t="n">
        <f aca="false">F30-(I30-W30)</f>
        <v>757.174187043106</v>
      </c>
      <c r="M30" s="6" t="n">
        <v>44</v>
      </c>
      <c r="N30" s="6" t="n">
        <v>0</v>
      </c>
      <c r="O30" s="6" t="n">
        <v>0</v>
      </c>
      <c r="P30" s="6" t="n">
        <f aca="false">M30-(N30+O30)</f>
        <v>44</v>
      </c>
      <c r="Q30" s="6" t="n">
        <v>67</v>
      </c>
      <c r="R30" s="6" t="n">
        <v>15</v>
      </c>
      <c r="S30" s="6" t="n">
        <f aca="false">SUM(P30:R30)</f>
        <v>126</v>
      </c>
      <c r="T30" s="7" t="n">
        <f aca="false">T29</f>
        <v>0</v>
      </c>
      <c r="U30" s="37" t="n">
        <v>0</v>
      </c>
      <c r="V30" s="6" t="n">
        <v>1652</v>
      </c>
      <c r="W30" s="6" t="n">
        <f aca="false">N30+O30+S30+U30+V30</f>
        <v>1778</v>
      </c>
      <c r="X30" s="6" t="n">
        <f aca="false">IF(L30&lt;0,L30*-1,0)</f>
        <v>0</v>
      </c>
      <c r="Y30" s="6" t="n">
        <f aca="false">W30+X30</f>
        <v>1778</v>
      </c>
      <c r="Z30" s="11" t="n">
        <v>0</v>
      </c>
      <c r="AA30" s="12" t="n">
        <v>67</v>
      </c>
      <c r="AB30" s="12" t="n">
        <v>25</v>
      </c>
      <c r="AC30" s="13" t="n">
        <f aca="false">AC29+1</f>
        <v>21</v>
      </c>
      <c r="AD30" s="12" t="n">
        <f aca="false">IF(I30&gt;S30,I30-S30,I30-S30)</f>
        <v>1522</v>
      </c>
      <c r="AE30" s="12"/>
      <c r="AG30" s="6"/>
    </row>
    <row r="31" customFormat="false" ht="11.1" hidden="false" customHeight="true" outlineLevel="0" collapsed="false">
      <c r="A31" s="13" t="n">
        <f aca="false">A30+1</f>
        <v>22</v>
      </c>
      <c r="B31" s="29" t="n">
        <v>6907.15</v>
      </c>
      <c r="C31" s="7" t="n">
        <v>310726</v>
      </c>
      <c r="D31" s="12" t="n">
        <f aca="false">C31-C30</f>
        <v>2454</v>
      </c>
      <c r="E31" s="7" t="n">
        <f aca="false">C31-152000</f>
        <v>158726</v>
      </c>
      <c r="F31" s="6" t="n">
        <f aca="false">D31/$D$2</f>
        <v>1237.20695739854</v>
      </c>
      <c r="G31" s="6" t="n">
        <v>1593</v>
      </c>
      <c r="H31" s="8" t="n">
        <v>327</v>
      </c>
      <c r="I31" s="6" t="n">
        <f aca="false">G31+H31</f>
        <v>1920</v>
      </c>
      <c r="J31" s="111" t="n">
        <f aca="false">IF(L31&gt;0,L31,0)</f>
        <v>1061.20695739854</v>
      </c>
      <c r="K31" s="6" t="n">
        <f aca="false">I31+J31</f>
        <v>2981.20695739854</v>
      </c>
      <c r="L31" s="6" t="n">
        <f aca="false">F31-(I31-W31)</f>
        <v>1061.20695739854</v>
      </c>
      <c r="M31" s="6" t="n">
        <v>44</v>
      </c>
      <c r="N31" s="6" t="n">
        <v>0</v>
      </c>
      <c r="O31" s="6" t="n">
        <v>0</v>
      </c>
      <c r="P31" s="6" t="n">
        <f aca="false">M31-(N31+O31)</f>
        <v>44</v>
      </c>
      <c r="Q31" s="6" t="n">
        <v>31</v>
      </c>
      <c r="R31" s="6" t="n">
        <v>17</v>
      </c>
      <c r="S31" s="6" t="n">
        <f aca="false">SUM(P31:R31)</f>
        <v>92</v>
      </c>
      <c r="T31" s="7" t="n">
        <f aca="false">T30</f>
        <v>0</v>
      </c>
      <c r="U31" s="37" t="n">
        <v>0</v>
      </c>
      <c r="V31" s="6" t="n">
        <v>1652</v>
      </c>
      <c r="W31" s="6" t="n">
        <f aca="false">N31+O31+S31+U31+V31</f>
        <v>1744</v>
      </c>
      <c r="X31" s="6" t="n">
        <f aca="false">IF(L31&lt;0,L31*-1,0)</f>
        <v>0</v>
      </c>
      <c r="Y31" s="6" t="n">
        <f aca="false">W31+X31</f>
        <v>1744</v>
      </c>
      <c r="Z31" s="11" t="n">
        <v>0</v>
      </c>
      <c r="AA31" s="12" t="n">
        <v>67</v>
      </c>
      <c r="AB31" s="12" t="n">
        <v>30</v>
      </c>
      <c r="AC31" s="13" t="n">
        <f aca="false">AC30+1</f>
        <v>22</v>
      </c>
      <c r="AD31" s="12" t="n">
        <f aca="false">IF(I31&gt;S31,I31-S31,I31-S31)</f>
        <v>1828</v>
      </c>
      <c r="AE31" s="12"/>
      <c r="AG31" s="6"/>
    </row>
    <row r="32" customFormat="false" ht="11.1" hidden="false" customHeight="true" outlineLevel="0" collapsed="false">
      <c r="A32" s="13" t="n">
        <f aca="false">A31+1</f>
        <v>23</v>
      </c>
      <c r="B32" s="29" t="n">
        <v>6907.76</v>
      </c>
      <c r="C32" s="7" t="n">
        <v>313116</v>
      </c>
      <c r="D32" s="12" t="n">
        <f aca="false">C32-C31</f>
        <v>2390</v>
      </c>
      <c r="E32" s="7" t="n">
        <f aca="false">C32-152000</f>
        <v>161116</v>
      </c>
      <c r="F32" s="6" t="n">
        <f aca="false">D32/$D$2</f>
        <v>1204.94076128056</v>
      </c>
      <c r="G32" s="6" t="n">
        <v>1997</v>
      </c>
      <c r="H32" s="8" t="n">
        <v>420</v>
      </c>
      <c r="I32" s="6" t="n">
        <f aca="false">G32+H32</f>
        <v>2417</v>
      </c>
      <c r="J32" s="111" t="n">
        <f aca="false">IF(L32&gt;0,L32,0)</f>
        <v>798.940761280565</v>
      </c>
      <c r="K32" s="6" t="n">
        <f aca="false">I32+J32</f>
        <v>3215.94076128056</v>
      </c>
      <c r="L32" s="6" t="n">
        <f aca="false">F32-(I32-W32)</f>
        <v>798.940761280565</v>
      </c>
      <c r="M32" s="6" t="n">
        <v>44</v>
      </c>
      <c r="N32" s="6" t="n">
        <v>0</v>
      </c>
      <c r="O32" s="6" t="n">
        <v>0</v>
      </c>
      <c r="P32" s="6" t="n">
        <f aca="false">M32-(N32+O32)</f>
        <v>44</v>
      </c>
      <c r="Q32" s="6" t="n">
        <v>0</v>
      </c>
      <c r="R32" s="6" t="n">
        <v>17</v>
      </c>
      <c r="S32" s="6" t="n">
        <f aca="false">SUM(P32:R32)</f>
        <v>61</v>
      </c>
      <c r="T32" s="7" t="n">
        <f aca="false">T31</f>
        <v>0</v>
      </c>
      <c r="U32" s="37" t="n">
        <v>0</v>
      </c>
      <c r="V32" s="6" t="n">
        <v>1950</v>
      </c>
      <c r="W32" s="6" t="n">
        <f aca="false">N32+O32+S32+U32+V32</f>
        <v>2011</v>
      </c>
      <c r="X32" s="6" t="n">
        <f aca="false">IF(L32&lt;0,L32*-1,0)</f>
        <v>0</v>
      </c>
      <c r="Y32" s="6" t="n">
        <f aca="false">W32+X32</f>
        <v>2011</v>
      </c>
      <c r="Z32" s="11" t="n">
        <v>0</v>
      </c>
      <c r="AA32" s="12" t="n">
        <v>74</v>
      </c>
      <c r="AB32" s="39" t="n">
        <v>37</v>
      </c>
      <c r="AC32" s="13" t="n">
        <f aca="false">AC31+1</f>
        <v>23</v>
      </c>
      <c r="AD32" s="12" t="n">
        <f aca="false">IF(I32&gt;S32,I32-S32,I32-S32)</f>
        <v>2356</v>
      </c>
      <c r="AE32" s="12"/>
      <c r="AG32" s="6"/>
    </row>
    <row r="33" customFormat="false" ht="11.1" hidden="false" customHeight="true" outlineLevel="0" collapsed="false">
      <c r="A33" s="13" t="n">
        <f aca="false">A32+1</f>
        <v>24</v>
      </c>
      <c r="B33" s="29" t="n">
        <v>6908.13</v>
      </c>
      <c r="C33" s="7" t="n">
        <v>314569</v>
      </c>
      <c r="D33" s="12" t="n">
        <f aca="false">C33-C32</f>
        <v>1453</v>
      </c>
      <c r="E33" s="7" t="n">
        <f aca="false">C33-152000</f>
        <v>162569</v>
      </c>
      <c r="F33" s="6" t="n">
        <f aca="false">D33/$D$2</f>
        <v>732.543483740862</v>
      </c>
      <c r="G33" s="6" t="n">
        <v>2154</v>
      </c>
      <c r="H33" s="8" t="n">
        <v>437</v>
      </c>
      <c r="I33" s="6" t="n">
        <f aca="false">G33+H33</f>
        <v>2591</v>
      </c>
      <c r="J33" s="111" t="n">
        <f aca="false">IF(L33&gt;0,L33,0)</f>
        <v>572.543483740862</v>
      </c>
      <c r="K33" s="6" t="n">
        <f aca="false">I33+J33</f>
        <v>3163.54348374086</v>
      </c>
      <c r="L33" s="6" t="n">
        <f aca="false">F33-(I33-W33)</f>
        <v>572.543483740862</v>
      </c>
      <c r="M33" s="6" t="n">
        <v>47</v>
      </c>
      <c r="N33" s="6" t="n">
        <v>0</v>
      </c>
      <c r="O33" s="6" t="n">
        <v>0</v>
      </c>
      <c r="P33" s="6" t="n">
        <f aca="false">M33-(N33+O33)</f>
        <v>47</v>
      </c>
      <c r="Q33" s="6" t="n">
        <v>0</v>
      </c>
      <c r="R33" s="6" t="n">
        <v>17</v>
      </c>
      <c r="S33" s="6" t="n">
        <f aca="false">SUM(P33:R33)</f>
        <v>64</v>
      </c>
      <c r="T33" s="7" t="n">
        <f aca="false">T32</f>
        <v>0</v>
      </c>
      <c r="U33" s="37" t="n">
        <v>0</v>
      </c>
      <c r="V33" s="6" t="n">
        <v>2367</v>
      </c>
      <c r="W33" s="6" t="n">
        <f aca="false">N33+O33+S33+U33+V33</f>
        <v>2431</v>
      </c>
      <c r="X33" s="6" t="n">
        <f aca="false">IF(L33&lt;0,L33*-1,0)</f>
        <v>0</v>
      </c>
      <c r="Y33" s="6" t="n">
        <f aca="false">W33+X33</f>
        <v>2431</v>
      </c>
      <c r="Z33" s="11" t="n">
        <v>0</v>
      </c>
      <c r="AA33" s="12" t="n">
        <v>74</v>
      </c>
      <c r="AB33" s="39" t="n">
        <v>42</v>
      </c>
      <c r="AC33" s="13" t="n">
        <f aca="false">AC32+1</f>
        <v>24</v>
      </c>
      <c r="AD33" s="12" t="n">
        <f aca="false">IF(I33&gt;S33,I33-S33,I33-S33)</f>
        <v>2527</v>
      </c>
      <c r="AE33" s="12"/>
      <c r="AG33" s="6"/>
    </row>
    <row r="34" customFormat="false" ht="11.1" hidden="false" customHeight="true" outlineLevel="0" collapsed="false">
      <c r="A34" s="13" t="n">
        <f aca="false">A33+1</f>
        <v>25</v>
      </c>
      <c r="B34" s="29" t="n">
        <v>6908.73</v>
      </c>
      <c r="C34" s="7" t="n">
        <v>316939</v>
      </c>
      <c r="D34" s="12" t="n">
        <f aca="false">C34-C33</f>
        <v>2370</v>
      </c>
      <c r="E34" s="7" t="n">
        <f aca="false">C34-152000</f>
        <v>164939</v>
      </c>
      <c r="F34" s="6" t="n">
        <f aca="false">D34/$D$2</f>
        <v>1194.8575749937</v>
      </c>
      <c r="G34" s="6" t="n">
        <v>2293</v>
      </c>
      <c r="H34" s="8" t="n">
        <v>441</v>
      </c>
      <c r="I34" s="6" t="n">
        <f aca="false">G34+H34</f>
        <v>2734</v>
      </c>
      <c r="J34" s="111" t="n">
        <f aca="false">IF(L34&gt;0,L34,0)</f>
        <v>755.857574993698</v>
      </c>
      <c r="K34" s="6" t="n">
        <f aca="false">I34+J34</f>
        <v>3489.8575749937</v>
      </c>
      <c r="L34" s="6" t="n">
        <f aca="false">F34-(I34-W34)</f>
        <v>755.857574993698</v>
      </c>
      <c r="M34" s="6" t="n">
        <v>52</v>
      </c>
      <c r="N34" s="6" t="n">
        <v>0</v>
      </c>
      <c r="O34" s="6" t="n">
        <v>0</v>
      </c>
      <c r="P34" s="6" t="n">
        <f aca="false">M34-(N34+O34)</f>
        <v>52</v>
      </c>
      <c r="Q34" s="6" t="n">
        <v>0</v>
      </c>
      <c r="R34" s="6" t="n">
        <v>18</v>
      </c>
      <c r="S34" s="6" t="n">
        <f aca="false">SUM(P34:R34)</f>
        <v>70</v>
      </c>
      <c r="T34" s="7" t="n">
        <f aca="false">T33</f>
        <v>0</v>
      </c>
      <c r="U34" s="37" t="n">
        <v>0</v>
      </c>
      <c r="V34" s="6" t="n">
        <v>2225</v>
      </c>
      <c r="W34" s="6" t="n">
        <f aca="false">N34+O34+S34+U34+V34</f>
        <v>2295</v>
      </c>
      <c r="X34" s="6" t="n">
        <f aca="false">IF(L34&lt;0,L34*-1,0)</f>
        <v>0</v>
      </c>
      <c r="Y34" s="6" t="n">
        <f aca="false">W34+X34</f>
        <v>2295</v>
      </c>
      <c r="Z34" s="11" t="n">
        <v>0</v>
      </c>
      <c r="AA34" s="12" t="n">
        <v>70</v>
      </c>
      <c r="AB34" s="39" t="n">
        <v>44</v>
      </c>
      <c r="AC34" s="13" t="n">
        <f aca="false">AC33+1</f>
        <v>25</v>
      </c>
      <c r="AD34" s="12" t="n">
        <f aca="false">IF(I34&gt;S34,I34-S34,I34-S34)</f>
        <v>2664</v>
      </c>
      <c r="AE34" s="12"/>
      <c r="AG34" s="6"/>
    </row>
    <row r="35" customFormat="false" ht="11.1" hidden="false" customHeight="true" outlineLevel="0" collapsed="false">
      <c r="A35" s="13" t="n">
        <f aca="false">A34+1</f>
        <v>26</v>
      </c>
      <c r="B35" s="29" t="n">
        <v>6909.24</v>
      </c>
      <c r="C35" s="7" t="n">
        <v>318961</v>
      </c>
      <c r="D35" s="12" t="n">
        <f aca="false">C35-C34</f>
        <v>2022</v>
      </c>
      <c r="E35" s="7" t="n">
        <f aca="false">C35-152000</f>
        <v>166961</v>
      </c>
      <c r="F35" s="6" t="n">
        <f aca="false">D35/$D$2</f>
        <v>1019.41013360222</v>
      </c>
      <c r="G35" s="6" t="n">
        <v>1992</v>
      </c>
      <c r="H35" s="8" t="n">
        <v>345</v>
      </c>
      <c r="I35" s="6" t="n">
        <f aca="false">G35+H35</f>
        <v>2337</v>
      </c>
      <c r="J35" s="111" t="n">
        <f aca="false">IF(L35&gt;0,L35,0)</f>
        <v>883.410133602218</v>
      </c>
      <c r="K35" s="6" t="n">
        <f aca="false">I35+J35</f>
        <v>3220.41013360222</v>
      </c>
      <c r="L35" s="6" t="n">
        <f aca="false">F35-(I35-W35)</f>
        <v>883.410133602218</v>
      </c>
      <c r="M35" s="6" t="n">
        <v>82</v>
      </c>
      <c r="N35" s="6" t="n">
        <v>0</v>
      </c>
      <c r="O35" s="6" t="n">
        <v>0</v>
      </c>
      <c r="P35" s="6" t="n">
        <f aca="false">M35-(N35+O35)</f>
        <v>82</v>
      </c>
      <c r="Q35" s="6" t="n">
        <v>0</v>
      </c>
      <c r="R35" s="6" t="n">
        <v>17</v>
      </c>
      <c r="S35" s="6" t="n">
        <f aca="false">SUM(P35:R35)</f>
        <v>99</v>
      </c>
      <c r="T35" s="7" t="n">
        <f aca="false">T34</f>
        <v>0</v>
      </c>
      <c r="U35" s="37" t="n">
        <v>0</v>
      </c>
      <c r="V35" s="6" t="n">
        <v>2102</v>
      </c>
      <c r="W35" s="6" t="n">
        <f aca="false">N35+O35+S35+U35+V35</f>
        <v>2201</v>
      </c>
      <c r="X35" s="6" t="n">
        <f aca="false">IF(L35&lt;0,L35*-1,0)</f>
        <v>0</v>
      </c>
      <c r="Y35" s="6" t="n">
        <f aca="false">W35+X35</f>
        <v>2201</v>
      </c>
      <c r="Z35" s="11" t="n">
        <v>0.12</v>
      </c>
      <c r="AA35" s="12" t="n">
        <v>71</v>
      </c>
      <c r="AB35" s="12" t="n">
        <v>42</v>
      </c>
      <c r="AC35" s="13" t="n">
        <f aca="false">AC34+1</f>
        <v>26</v>
      </c>
      <c r="AD35" s="12" t="n">
        <f aca="false">IF(I35&gt;S35,I35-S35,I35-S35)</f>
        <v>2238</v>
      </c>
      <c r="AE35" s="12"/>
      <c r="AG35" s="3"/>
    </row>
    <row r="36" customFormat="false" ht="11.1" hidden="false" customHeight="true" outlineLevel="0" collapsed="false">
      <c r="A36" s="13" t="n">
        <f aca="false">A35+1</f>
        <v>27</v>
      </c>
      <c r="B36" s="29" t="n">
        <v>6909.83</v>
      </c>
      <c r="C36" s="7" t="n">
        <v>321310</v>
      </c>
      <c r="D36" s="12" t="n">
        <f aca="false">C36-C35</f>
        <v>2349</v>
      </c>
      <c r="E36" s="7" t="n">
        <f aca="false">C36-152000</f>
        <v>169310</v>
      </c>
      <c r="F36" s="6" t="n">
        <f aca="false">D36/$D$2</f>
        <v>1184.27022939249</v>
      </c>
      <c r="G36" s="6" t="n">
        <v>2266</v>
      </c>
      <c r="H36" s="8" t="n">
        <v>396</v>
      </c>
      <c r="I36" s="6" t="n">
        <f aca="false">G36+H36</f>
        <v>2662</v>
      </c>
      <c r="J36" s="111" t="n">
        <f aca="false">IF(L36&gt;0,L36,0)</f>
        <v>776.270229392488</v>
      </c>
      <c r="K36" s="6" t="n">
        <f aca="false">I36+J36</f>
        <v>3438.27022939249</v>
      </c>
      <c r="L36" s="6" t="n">
        <f aca="false">F36-(I36-W36)</f>
        <v>776.270229392488</v>
      </c>
      <c r="M36" s="6" t="n">
        <v>101</v>
      </c>
      <c r="N36" s="6" t="n">
        <v>0</v>
      </c>
      <c r="O36" s="6" t="n">
        <v>0</v>
      </c>
      <c r="P36" s="6" t="n">
        <f aca="false">M36-(N36+O36)</f>
        <v>101</v>
      </c>
      <c r="Q36" s="6" t="n">
        <v>0</v>
      </c>
      <c r="R36" s="6" t="n">
        <v>47</v>
      </c>
      <c r="S36" s="6" t="n">
        <f aca="false">SUM(P36:R36)</f>
        <v>148</v>
      </c>
      <c r="T36" s="7" t="n">
        <f aca="false">T35</f>
        <v>0</v>
      </c>
      <c r="U36" s="37" t="n">
        <v>4</v>
      </c>
      <c r="V36" s="6" t="n">
        <v>2102</v>
      </c>
      <c r="W36" s="6" t="n">
        <f aca="false">N36+O36+S36+U36+V36</f>
        <v>2254</v>
      </c>
      <c r="X36" s="6" t="n">
        <f aca="false">IF(L36&lt;0,L36*-1,0)</f>
        <v>0</v>
      </c>
      <c r="Y36" s="6" t="n">
        <f aca="false">W36+X36</f>
        <v>2254</v>
      </c>
      <c r="Z36" s="11" t="n">
        <v>0.01</v>
      </c>
      <c r="AA36" s="12" t="n">
        <v>73</v>
      </c>
      <c r="AB36" s="12" t="n">
        <v>43</v>
      </c>
      <c r="AC36" s="13" t="n">
        <f aca="false">AC35+1</f>
        <v>27</v>
      </c>
      <c r="AD36" s="12" t="n">
        <f aca="false">IF(I36&gt;S36,I36-S36,I36-S36)</f>
        <v>2514</v>
      </c>
      <c r="AE36" s="12"/>
      <c r="AG36" s="6"/>
    </row>
    <row r="37" customFormat="false" ht="11.1" hidden="false" customHeight="true" outlineLevel="0" collapsed="false">
      <c r="A37" s="13" t="n">
        <f aca="false">A36+1</f>
        <v>28</v>
      </c>
      <c r="B37" s="29" t="n">
        <v>6910.45</v>
      </c>
      <c r="C37" s="7" t="n">
        <v>323792</v>
      </c>
      <c r="D37" s="12" t="n">
        <f aca="false">C37-C36</f>
        <v>2482</v>
      </c>
      <c r="E37" s="7" t="n">
        <f aca="false">C37-152000</f>
        <v>171792</v>
      </c>
      <c r="F37" s="6" t="n">
        <f aca="false">D37/$D$2</f>
        <v>1251.32341820015</v>
      </c>
      <c r="G37" s="6" t="n">
        <v>2397</v>
      </c>
      <c r="H37" s="8" t="n">
        <v>371</v>
      </c>
      <c r="I37" s="6" t="n">
        <f aca="false">G37+H37</f>
        <v>2768</v>
      </c>
      <c r="J37" s="111" t="n">
        <f aca="false">IF(L37&gt;0,L37,0)</f>
        <v>771.323418200151</v>
      </c>
      <c r="K37" s="6" t="n">
        <f aca="false">I37+J37</f>
        <v>3539.32341820015</v>
      </c>
      <c r="L37" s="6" t="n">
        <f aca="false">F37-(I37-W37)</f>
        <v>771.323418200151</v>
      </c>
      <c r="M37" s="6" t="n">
        <v>112</v>
      </c>
      <c r="N37" s="6" t="n">
        <v>0</v>
      </c>
      <c r="O37" s="6" t="n">
        <v>0</v>
      </c>
      <c r="P37" s="6" t="n">
        <f aca="false">M37-(N37+O37)</f>
        <v>112</v>
      </c>
      <c r="Q37" s="6" t="n">
        <v>0</v>
      </c>
      <c r="R37" s="6" t="n">
        <v>74</v>
      </c>
      <c r="S37" s="6" t="n">
        <f aca="false">SUM(P37:R37)</f>
        <v>186</v>
      </c>
      <c r="T37" s="7" t="n">
        <f aca="false">T36</f>
        <v>0</v>
      </c>
      <c r="U37" s="37" t="n">
        <v>0</v>
      </c>
      <c r="V37" s="6" t="n">
        <v>2102</v>
      </c>
      <c r="W37" s="6" t="n">
        <f aca="false">N37+O37+S37+U37+V37</f>
        <v>2288</v>
      </c>
      <c r="X37" s="6" t="n">
        <f aca="false">IF(L37&lt;0,L37*-1,0)</f>
        <v>0</v>
      </c>
      <c r="Y37" s="6" t="n">
        <f aca="false">W37+X37</f>
        <v>2288</v>
      </c>
      <c r="Z37" s="11" t="n">
        <v>0.01</v>
      </c>
      <c r="AA37" s="12" t="n">
        <v>72</v>
      </c>
      <c r="AB37" s="12" t="n">
        <v>41</v>
      </c>
      <c r="AC37" s="13" t="n">
        <f aca="false">AC36+1</f>
        <v>28</v>
      </c>
      <c r="AD37" s="12" t="n">
        <f aca="false">IF(I37&gt;S37,I37-S37,I37-S37)</f>
        <v>2582</v>
      </c>
      <c r="AE37" s="12"/>
      <c r="AG37" s="6"/>
    </row>
    <row r="38" customFormat="false" ht="11.1" hidden="false" customHeight="true" outlineLevel="0" collapsed="false">
      <c r="A38" s="13" t="n">
        <f aca="false">A37+1</f>
        <v>29</v>
      </c>
      <c r="B38" s="29" t="n">
        <v>6911.1</v>
      </c>
      <c r="C38" s="7" t="n">
        <v>326404</v>
      </c>
      <c r="D38" s="12" t="n">
        <f aca="false">C38-C37</f>
        <v>2612</v>
      </c>
      <c r="E38" s="7" t="n">
        <f aca="false">C38-152000</f>
        <v>174404</v>
      </c>
      <c r="F38" s="6" t="n">
        <f aca="false">D38/$D$2</f>
        <v>1316.86412906478</v>
      </c>
      <c r="G38" s="6" t="n">
        <v>2496</v>
      </c>
      <c r="H38" s="8" t="n">
        <v>336</v>
      </c>
      <c r="I38" s="6" t="n">
        <f aca="false">G38+H38</f>
        <v>2832</v>
      </c>
      <c r="J38" s="111" t="n">
        <f aca="false">IF(L38&gt;0,L38,0)</f>
        <v>834.864129064784</v>
      </c>
      <c r="K38" s="6" t="n">
        <f aca="false">I38+J38</f>
        <v>3666.86412906478</v>
      </c>
      <c r="L38" s="6" t="n">
        <f aca="false">F38-(I38-W38)</f>
        <v>834.864129064784</v>
      </c>
      <c r="M38" s="6" t="n">
        <v>113</v>
      </c>
      <c r="N38" s="6" t="n">
        <v>0</v>
      </c>
      <c r="O38" s="6" t="n">
        <v>0</v>
      </c>
      <c r="P38" s="6" t="n">
        <f aca="false">M38-(N38+O38)</f>
        <v>113</v>
      </c>
      <c r="Q38" s="6" t="n">
        <v>118</v>
      </c>
      <c r="R38" s="6" t="n">
        <v>3</v>
      </c>
      <c r="S38" s="6" t="n">
        <f aca="false">SUM(P38:R38)</f>
        <v>234</v>
      </c>
      <c r="T38" s="7" t="n">
        <f aca="false">T37</f>
        <v>0</v>
      </c>
      <c r="U38" s="37" t="n">
        <v>4</v>
      </c>
      <c r="V38" s="6" t="n">
        <v>2112</v>
      </c>
      <c r="W38" s="6" t="n">
        <f aca="false">N38+O38+S38+U38+V38</f>
        <v>2350</v>
      </c>
      <c r="X38" s="6" t="n">
        <f aca="false">IF(L38&lt;0,L38*-1,0)</f>
        <v>0</v>
      </c>
      <c r="Y38" s="6" t="n">
        <f aca="false">W38+X38</f>
        <v>2350</v>
      </c>
      <c r="Z38" s="11" t="n">
        <v>0</v>
      </c>
      <c r="AA38" s="39" t="n">
        <v>72</v>
      </c>
      <c r="AB38" s="12" t="n">
        <v>39</v>
      </c>
      <c r="AC38" s="13" t="n">
        <f aca="false">AC37+1</f>
        <v>29</v>
      </c>
      <c r="AD38" s="12" t="n">
        <f aca="false">IF(I38&gt;S38,I38-S38,I38-S38)</f>
        <v>2598</v>
      </c>
      <c r="AE38" s="12"/>
      <c r="AG38" s="6"/>
    </row>
    <row r="39" customFormat="false" ht="11.1" hidden="false" customHeight="true" outlineLevel="0" collapsed="false">
      <c r="A39" s="13" t="n">
        <v>30</v>
      </c>
      <c r="B39" s="29" t="n">
        <v>6911.8</v>
      </c>
      <c r="C39" s="7" t="n">
        <v>329235</v>
      </c>
      <c r="D39" s="12" t="n">
        <f aca="false">C39-C38</f>
        <v>2831</v>
      </c>
      <c r="E39" s="7" t="n">
        <f aca="false">C39-152000</f>
        <v>177235</v>
      </c>
      <c r="F39" s="6" t="n">
        <f aca="false">D39/$D$2</f>
        <v>1427.27501890597</v>
      </c>
      <c r="G39" s="6" t="n">
        <v>2574</v>
      </c>
      <c r="H39" s="8" t="n">
        <v>335</v>
      </c>
      <c r="I39" s="6" t="n">
        <f aca="false">G39+H39</f>
        <v>2909</v>
      </c>
      <c r="J39" s="111" t="n">
        <f aca="false">IF(L39&gt;0,L39,0)</f>
        <v>763.275018905974</v>
      </c>
      <c r="K39" s="6" t="n">
        <f aca="false">I39+J39</f>
        <v>3672.27501890597</v>
      </c>
      <c r="L39" s="6" t="n">
        <f aca="false">F39-(I39-W39)</f>
        <v>763.275018905974</v>
      </c>
      <c r="M39" s="6" t="n">
        <v>124</v>
      </c>
      <c r="N39" s="6" t="n">
        <v>0</v>
      </c>
      <c r="O39" s="6" t="n">
        <v>0</v>
      </c>
      <c r="P39" s="6" t="n">
        <f aca="false">M39-(N39+O39)</f>
        <v>124</v>
      </c>
      <c r="Q39" s="6" t="n">
        <v>118</v>
      </c>
      <c r="R39" s="6" t="n">
        <v>1</v>
      </c>
      <c r="S39" s="6" t="n">
        <f aca="false">SUM(P39:R39)</f>
        <v>243</v>
      </c>
      <c r="T39" s="7" t="n">
        <f aca="false">T38</f>
        <v>0</v>
      </c>
      <c r="U39" s="37" t="n">
        <v>0</v>
      </c>
      <c r="V39" s="6" t="n">
        <v>2002</v>
      </c>
      <c r="W39" s="6" t="n">
        <f aca="false">N39+O39+S39+U39+V39</f>
        <v>2245</v>
      </c>
      <c r="X39" s="6" t="n">
        <f aca="false">IF(L39&lt;0,L39*-1,0)</f>
        <v>0</v>
      </c>
      <c r="Y39" s="6" t="n">
        <f aca="false">W39+X39</f>
        <v>2245</v>
      </c>
      <c r="Z39" s="11" t="n">
        <v>0</v>
      </c>
      <c r="AA39" s="39" t="n">
        <v>70</v>
      </c>
      <c r="AB39" s="12" t="n">
        <v>42</v>
      </c>
      <c r="AC39" s="13" t="n">
        <v>30</v>
      </c>
      <c r="AD39" s="12" t="n">
        <f aca="false">IF(I39&gt;S39,I39-S39,I39-S39)</f>
        <v>2666</v>
      </c>
      <c r="AE39" s="12"/>
      <c r="AG39" s="6"/>
    </row>
    <row r="40" customFormat="false" ht="3" hidden="false" customHeight="true" outlineLevel="0" collapsed="false">
      <c r="A40" s="30"/>
      <c r="B40" s="30"/>
      <c r="C40" s="32"/>
      <c r="D40" s="30"/>
      <c r="E40" s="32"/>
      <c r="F40" s="30"/>
      <c r="G40" s="30"/>
      <c r="H40" s="33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2"/>
      <c r="U40" s="110"/>
      <c r="V40" s="30"/>
      <c r="W40" s="30"/>
      <c r="X40" s="30"/>
      <c r="Y40" s="30"/>
      <c r="Z40" s="34"/>
      <c r="AA40" s="35"/>
      <c r="AB40" s="35"/>
      <c r="AC40" s="36"/>
      <c r="AD40" s="104"/>
      <c r="AE40" s="104"/>
    </row>
    <row r="41" customFormat="false" ht="11.1" hidden="false" customHeight="true" outlineLevel="0" collapsed="false">
      <c r="A41" s="6" t="s">
        <v>44</v>
      </c>
      <c r="B41" s="6"/>
      <c r="C41" s="7"/>
      <c r="D41" s="7"/>
      <c r="E41" s="7"/>
      <c r="F41" s="7" t="n">
        <f aca="false">SUM(F10:F39)</f>
        <v>19231.1570456264</v>
      </c>
      <c r="G41" s="7" t="n">
        <f aca="false">SUM(G10:G39)</f>
        <v>35458</v>
      </c>
      <c r="H41" s="7" t="n">
        <f aca="false">SUM(H10:H39)</f>
        <v>8180</v>
      </c>
      <c r="I41" s="7" t="n">
        <f aca="false">SUM(I10:I39)</f>
        <v>43638</v>
      </c>
      <c r="J41" s="7" t="n">
        <f aca="false">SUM(J10:J39)</f>
        <v>24660.1570456264</v>
      </c>
      <c r="K41" s="7" t="n">
        <f aca="false">SUM(K10:K39)</f>
        <v>68298.1570456264</v>
      </c>
      <c r="L41" s="7" t="n">
        <f aca="false">SUM(L10:L39)</f>
        <v>24660.1570456264</v>
      </c>
      <c r="M41" s="7" t="n">
        <f aca="false">SUM(M10:M39)</f>
        <v>1222</v>
      </c>
      <c r="N41" s="7" t="n">
        <f aca="false">SUM(N10:N39)</f>
        <v>0</v>
      </c>
      <c r="O41" s="7" t="n">
        <f aca="false">SUM(O10:O39)</f>
        <v>0</v>
      </c>
      <c r="P41" s="7" t="n">
        <f aca="false">SUM(P10:P39)</f>
        <v>1222</v>
      </c>
      <c r="Q41" s="7" t="n">
        <f aca="false">SUM(Q10:Q39)</f>
        <v>450</v>
      </c>
      <c r="R41" s="7" t="n">
        <f aca="false">SUM(R10:R39)</f>
        <v>338</v>
      </c>
      <c r="S41" s="7" t="n">
        <f aca="false">SUM(S10:S39)</f>
        <v>2010</v>
      </c>
      <c r="T41" s="7"/>
      <c r="U41" s="37" t="n">
        <f aca="false">SUM(U10:U39)</f>
        <v>113</v>
      </c>
      <c r="V41" s="7" t="n">
        <f aca="false">SUM(V10:V39)</f>
        <v>46944</v>
      </c>
      <c r="W41" s="7" t="n">
        <f aca="false">SUM(W10:W39)</f>
        <v>49067</v>
      </c>
      <c r="X41" s="7" t="n">
        <f aca="false">SUM(X10:X39)</f>
        <v>0</v>
      </c>
      <c r="Y41" s="7" t="n">
        <f aca="false">SUM(Y10:Y39)</f>
        <v>49067</v>
      </c>
      <c r="Z41" s="11" t="n">
        <f aca="false">SUM(Z10:Z39)</f>
        <v>0.66</v>
      </c>
      <c r="AA41" s="12" t="n">
        <f aca="false">AVERAGE(AA10:AA39)</f>
        <v>63.1</v>
      </c>
      <c r="AB41" s="12" t="n">
        <f aca="false">AVERAGE(AB10:AB39)</f>
        <v>32.2333333333333</v>
      </c>
      <c r="AC41" s="13" t="s">
        <v>45</v>
      </c>
      <c r="AD41" s="7" t="n">
        <f aca="false">SUM(AD10:AD39)</f>
        <v>41628</v>
      </c>
      <c r="AE41" s="104"/>
    </row>
    <row r="42" customFormat="false" ht="11.1" hidden="false" customHeight="true" outlineLevel="0" collapsed="false">
      <c r="A42" s="6" t="s">
        <v>46</v>
      </c>
      <c r="B42" s="6"/>
      <c r="C42" s="7"/>
      <c r="D42" s="7" t="n">
        <f aca="false">SUM(D10:D39)</f>
        <v>38145</v>
      </c>
      <c r="E42" s="7"/>
      <c r="F42" s="7" t="n">
        <f aca="false">F41*$D$2</f>
        <v>38145</v>
      </c>
      <c r="G42" s="7" t="n">
        <f aca="false">G41*$D$2</f>
        <v>70330.943</v>
      </c>
      <c r="H42" s="7" t="n">
        <f aca="false">H41*$D$2</f>
        <v>16225.03</v>
      </c>
      <c r="I42" s="7" t="n">
        <f aca="false">I41*$D$2</f>
        <v>86555.973</v>
      </c>
      <c r="J42" s="7" t="n">
        <f aca="false">J41*$D$2</f>
        <v>48913.4215</v>
      </c>
      <c r="K42" s="7" t="n">
        <f aca="false">K41*$D$2</f>
        <v>135469.3945</v>
      </c>
      <c r="L42" s="7" t="n">
        <f aca="false">L41*$D$2</f>
        <v>48913.4215</v>
      </c>
      <c r="M42" s="7" t="n">
        <f aca="false">M41*$D$2</f>
        <v>2423.837</v>
      </c>
      <c r="N42" s="7" t="n">
        <f aca="false">N41*$D$2</f>
        <v>0</v>
      </c>
      <c r="O42" s="7" t="n">
        <f aca="false">O41*$D$2</f>
        <v>0</v>
      </c>
      <c r="P42" s="7" t="n">
        <f aca="false">P41*$D$2</f>
        <v>2423.837</v>
      </c>
      <c r="Q42" s="7" t="n">
        <f aca="false">Q41*$D$2</f>
        <v>892.575</v>
      </c>
      <c r="R42" s="7" t="n">
        <f aca="false">R41*$D$2</f>
        <v>670.423</v>
      </c>
      <c r="S42" s="7" t="n">
        <f aca="false">S41*$D$2</f>
        <v>3986.835</v>
      </c>
      <c r="T42" s="7"/>
      <c r="U42" s="37" t="n">
        <f aca="false">U41*$D$2</f>
        <v>224.1355</v>
      </c>
      <c r="V42" s="7" t="n">
        <f aca="false">V41*$D$2</f>
        <v>93113.424</v>
      </c>
      <c r="W42" s="7" t="n">
        <f aca="false">W41*$D$2</f>
        <v>97324.3945</v>
      </c>
      <c r="X42" s="7" t="n">
        <f aca="false">X41*$D$2</f>
        <v>0</v>
      </c>
      <c r="Y42" s="7" t="n">
        <f aca="false">Y41*$D$2</f>
        <v>97324.3945</v>
      </c>
      <c r="Z42" s="11"/>
      <c r="AA42" s="12" t="n">
        <f aca="false">MAX(AA10:AA39)</f>
        <v>74</v>
      </c>
      <c r="AB42" s="12" t="n">
        <f aca="false">MAX(AB10:AB39)</f>
        <v>45</v>
      </c>
      <c r="AC42" s="13" t="s">
        <v>47</v>
      </c>
      <c r="AD42" s="104"/>
      <c r="AE42" s="104"/>
    </row>
    <row r="43" customFormat="false" ht="3" hidden="false" customHeight="true" outlineLevel="0" collapsed="false">
      <c r="A43" s="30"/>
      <c r="B43" s="30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110"/>
      <c r="V43" s="32"/>
      <c r="W43" s="32"/>
      <c r="X43" s="32"/>
      <c r="Y43" s="32"/>
      <c r="Z43" s="11"/>
      <c r="AA43" s="12"/>
      <c r="AB43" s="12"/>
      <c r="AC43" s="13"/>
      <c r="AD43" s="104"/>
      <c r="AE43" s="104"/>
    </row>
    <row r="44" customFormat="false" ht="11.1" hidden="false" customHeight="true" outlineLevel="0" collapsed="false">
      <c r="A44" s="6" t="s">
        <v>48</v>
      </c>
      <c r="B44" s="6"/>
      <c r="C44" s="7"/>
      <c r="D44" s="7"/>
      <c r="E44" s="7"/>
      <c r="F44" s="7" t="n">
        <f aca="false">F7+F41</f>
        <v>19231.1570456264</v>
      </c>
      <c r="G44" s="7" t="n">
        <f aca="false">G7+G41</f>
        <v>35458</v>
      </c>
      <c r="H44" s="12" t="n">
        <f aca="false">H7+H41</f>
        <v>8180</v>
      </c>
      <c r="I44" s="7" t="n">
        <f aca="false">I7+I41</f>
        <v>43638</v>
      </c>
      <c r="J44" s="7" t="n">
        <f aca="false">J7+J41</f>
        <v>24660.1570456264</v>
      </c>
      <c r="K44" s="7" t="n">
        <f aca="false">K7+K41</f>
        <v>68298.1570456264</v>
      </c>
      <c r="L44" s="7" t="n">
        <f aca="false">L7+L41</f>
        <v>24660.1570456264</v>
      </c>
      <c r="M44" s="7" t="n">
        <f aca="false">M7+M41</f>
        <v>1222</v>
      </c>
      <c r="N44" s="7" t="n">
        <f aca="false">N7+N41</f>
        <v>0</v>
      </c>
      <c r="O44" s="7" t="n">
        <f aca="false">O7+O41</f>
        <v>0</v>
      </c>
      <c r="P44" s="7" t="n">
        <f aca="false">P7+P41</f>
        <v>1222</v>
      </c>
      <c r="Q44" s="7" t="n">
        <f aca="false">Q7+Q41</f>
        <v>450</v>
      </c>
      <c r="R44" s="7" t="n">
        <f aca="false">R7+R41</f>
        <v>338</v>
      </c>
      <c r="S44" s="7" t="n">
        <f aca="false">S7+S41</f>
        <v>2010</v>
      </c>
      <c r="T44" s="7" t="n">
        <f aca="false">T39</f>
        <v>0</v>
      </c>
      <c r="U44" s="37" t="n">
        <f aca="false">U7+U41</f>
        <v>113</v>
      </c>
      <c r="V44" s="7" t="n">
        <f aca="false">V7+V41</f>
        <v>46944</v>
      </c>
      <c r="W44" s="7" t="n">
        <f aca="false">W7+W41</f>
        <v>49067</v>
      </c>
      <c r="X44" s="7" t="n">
        <f aca="false">X7+X41</f>
        <v>0</v>
      </c>
      <c r="Y44" s="7" t="n">
        <f aca="false">Y7+Y41</f>
        <v>49067</v>
      </c>
      <c r="Z44" s="11"/>
      <c r="AA44" s="12" t="n">
        <f aca="false">MIN(AA10:AA39)</f>
        <v>45</v>
      </c>
      <c r="AB44" s="12" t="n">
        <f aca="false">MIN(AB10:AB39)</f>
        <v>18</v>
      </c>
      <c r="AC44" s="13" t="s">
        <v>49</v>
      </c>
      <c r="AD44" s="104"/>
      <c r="AE44" s="104"/>
    </row>
    <row r="45" customFormat="false" ht="11.1" hidden="false" customHeight="true" outlineLevel="0" collapsed="false">
      <c r="A45" s="6" t="s">
        <v>50</v>
      </c>
      <c r="B45" s="6"/>
      <c r="C45" s="7"/>
      <c r="D45" s="7"/>
      <c r="E45" s="7"/>
      <c r="F45" s="7" t="n">
        <f aca="false">F44*$D$2</f>
        <v>38145</v>
      </c>
      <c r="G45" s="7" t="n">
        <f aca="false">G44*$D$2</f>
        <v>70330.943</v>
      </c>
      <c r="H45" s="12" t="n">
        <f aca="false">H44*$D$2</f>
        <v>16225.03</v>
      </c>
      <c r="I45" s="7" t="n">
        <f aca="false">I44*$D$2</f>
        <v>86555.973</v>
      </c>
      <c r="J45" s="7" t="n">
        <f aca="false">J44*$D$2</f>
        <v>48913.4215</v>
      </c>
      <c r="K45" s="7" t="n">
        <f aca="false">K44*$D$2</f>
        <v>135469.3945</v>
      </c>
      <c r="L45" s="7" t="n">
        <f aca="false">L44*$D$2</f>
        <v>48913.4215</v>
      </c>
      <c r="M45" s="7" t="n">
        <f aca="false">M44*$D$2</f>
        <v>2423.837</v>
      </c>
      <c r="N45" s="7" t="n">
        <f aca="false">N44*$D$2</f>
        <v>0</v>
      </c>
      <c r="O45" s="7" t="n">
        <f aca="false">O44*$D$2</f>
        <v>0</v>
      </c>
      <c r="P45" s="7" t="n">
        <f aca="false">P44*$D$2</f>
        <v>2423.837</v>
      </c>
      <c r="Q45" s="7" t="n">
        <f aca="false">Q44*$D$2</f>
        <v>892.575</v>
      </c>
      <c r="R45" s="7" t="n">
        <f aca="false">R44*$D$2</f>
        <v>670.423</v>
      </c>
      <c r="S45" s="7" t="n">
        <f aca="false">S44*$D$2</f>
        <v>3986.835</v>
      </c>
      <c r="T45" s="7" t="n">
        <f aca="false">T44*$D$2</f>
        <v>0</v>
      </c>
      <c r="U45" s="37" t="n">
        <f aca="false">U44*$D$2</f>
        <v>224.1355</v>
      </c>
      <c r="V45" s="7" t="n">
        <f aca="false">V44*$D$2</f>
        <v>93113.424</v>
      </c>
      <c r="W45" s="7" t="n">
        <f aca="false">W44*$D$2</f>
        <v>97324.3945</v>
      </c>
      <c r="X45" s="7" t="n">
        <f aca="false">X44*$D$2</f>
        <v>0</v>
      </c>
      <c r="Y45" s="7" t="n">
        <f aca="false">Y44*$D$2</f>
        <v>97324.3945</v>
      </c>
      <c r="Z45" s="11"/>
      <c r="AA45" s="12"/>
      <c r="AB45" s="12"/>
      <c r="AC45" s="13"/>
      <c r="AD45" s="104"/>
      <c r="AE45" s="104"/>
    </row>
    <row r="46" customFormat="false" ht="3" hidden="false" customHeight="true" outlineLevel="0" collapsed="false">
      <c r="A46" s="30"/>
      <c r="B46" s="30"/>
      <c r="C46" s="32"/>
      <c r="D46" s="32"/>
      <c r="E46" s="32"/>
      <c r="F46" s="32"/>
      <c r="G46" s="32"/>
      <c r="H46" s="35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110"/>
      <c r="V46" s="32"/>
      <c r="W46" s="32"/>
      <c r="X46" s="32"/>
      <c r="Y46" s="32"/>
      <c r="Z46" s="34"/>
      <c r="AA46" s="12"/>
      <c r="AB46" s="12"/>
      <c r="AC46" s="13"/>
      <c r="AD46" s="104"/>
      <c r="AE46" s="104"/>
    </row>
    <row r="47" customFormat="false" ht="11.1" hidden="false" customHeight="true" outlineLevel="0" collapsed="false">
      <c r="A47" s="6" t="s">
        <v>51</v>
      </c>
      <c r="B47" s="6"/>
      <c r="C47" s="7"/>
      <c r="D47" s="7"/>
      <c r="E47" s="7"/>
      <c r="F47" s="7" t="n">
        <f aca="false">F8+F41</f>
        <v>19683.3879505924</v>
      </c>
      <c r="G47" s="7" t="n">
        <f aca="false">G8+G41</f>
        <v>65908</v>
      </c>
      <c r="H47" s="12" t="n">
        <f aca="false">H8+H41</f>
        <v>11591</v>
      </c>
      <c r="I47" s="7" t="n">
        <f aca="false">I8+I41</f>
        <v>76957.9</v>
      </c>
      <c r="J47" s="7" t="n">
        <f aca="false">J8+J41</f>
        <v>31494.6018905974</v>
      </c>
      <c r="K47" s="7" t="n">
        <f aca="false">K8+K41</f>
        <v>108452.501890597</v>
      </c>
      <c r="L47" s="7" t="n">
        <f aca="false">L8+L41</f>
        <v>30388.4879505924</v>
      </c>
      <c r="M47" s="7" t="n">
        <f aca="false">M8+M41</f>
        <v>2788</v>
      </c>
      <c r="N47" s="7" t="n">
        <f aca="false">N8+N41</f>
        <v>0.08</v>
      </c>
      <c r="O47" s="7" t="n">
        <f aca="false">O8+O41</f>
        <v>0</v>
      </c>
      <c r="P47" s="7" t="n">
        <f aca="false">P8+P41</f>
        <v>2787.92</v>
      </c>
      <c r="Q47" s="7" t="n">
        <f aca="false">Q8+Q41</f>
        <v>2728</v>
      </c>
      <c r="R47" s="7" t="n">
        <f aca="false">R8+R41</f>
        <v>787</v>
      </c>
      <c r="S47" s="7" t="n">
        <f aca="false">S8+S41</f>
        <v>6302.92</v>
      </c>
      <c r="T47" s="7"/>
      <c r="U47" s="37" t="n">
        <f aca="false">U8+U41</f>
        <v>114</v>
      </c>
      <c r="V47" s="7" t="n">
        <f aca="false">V8+V41</f>
        <v>81246</v>
      </c>
      <c r="W47" s="7" t="n">
        <f aca="false">W8+W41</f>
        <v>87663</v>
      </c>
      <c r="X47" s="7" t="n">
        <f aca="false">X8+X41</f>
        <v>1106.11394000504</v>
      </c>
      <c r="Y47" s="7" t="n">
        <f aca="false">Y8+Y41</f>
        <v>88769.1139400051</v>
      </c>
      <c r="Z47" s="11" t="n">
        <f aca="false">Z8+Z41</f>
        <v>7.41</v>
      </c>
      <c r="AA47" s="12"/>
      <c r="AB47" s="12"/>
      <c r="AC47" s="13"/>
      <c r="AD47" s="104"/>
      <c r="AE47" s="104"/>
    </row>
    <row r="48" customFormat="false" ht="11.1" hidden="false" customHeight="true" outlineLevel="0" collapsed="false">
      <c r="A48" s="6" t="s">
        <v>52</v>
      </c>
      <c r="B48" s="6"/>
      <c r="C48" s="7"/>
      <c r="D48" s="7" t="n">
        <f aca="false">D8+D42</f>
        <v>39042</v>
      </c>
      <c r="E48" s="7" t="n">
        <f aca="false">E39</f>
        <v>177235</v>
      </c>
      <c r="F48" s="7" t="n">
        <f aca="false">F47*$D$2</f>
        <v>39042</v>
      </c>
      <c r="G48" s="7" t="n">
        <f aca="false">G47*$D$2</f>
        <v>130728.518</v>
      </c>
      <c r="H48" s="12" t="n">
        <f aca="false">H47*$D$2</f>
        <v>22990.7485</v>
      </c>
      <c r="I48" s="7" t="n">
        <f aca="false">I47*$D$2</f>
        <v>152645.99465</v>
      </c>
      <c r="J48" s="7" t="n">
        <f aca="false">J47*$D$2</f>
        <v>62469.54285</v>
      </c>
      <c r="K48" s="7" t="n">
        <f aca="false">K47*$D$2</f>
        <v>215115.5375</v>
      </c>
      <c r="L48" s="7" t="n">
        <f aca="false">L47*$D$2</f>
        <v>60275.56585</v>
      </c>
      <c r="M48" s="7" t="n">
        <f aca="false">M47*$D$2</f>
        <v>5529.998</v>
      </c>
      <c r="N48" s="7" t="n">
        <f aca="false">N47*$D$2</f>
        <v>0.15868</v>
      </c>
      <c r="O48" s="7" t="n">
        <f aca="false">O47*$D$2</f>
        <v>0</v>
      </c>
      <c r="P48" s="7" t="n">
        <f aca="false">P47*$D$2</f>
        <v>5529.83932</v>
      </c>
      <c r="Q48" s="7" t="n">
        <f aca="false">Q47*$D$2</f>
        <v>5410.988</v>
      </c>
      <c r="R48" s="7" t="n">
        <f aca="false">R47*$D$2</f>
        <v>1561.0145</v>
      </c>
      <c r="S48" s="7" t="n">
        <f aca="false">S47*$D$2</f>
        <v>12501.84182</v>
      </c>
      <c r="T48" s="7" t="n">
        <f aca="false">T47*$D$2</f>
        <v>0</v>
      </c>
      <c r="U48" s="37" t="n">
        <f aca="false">U47*$D$2</f>
        <v>226.119</v>
      </c>
      <c r="V48" s="7" t="n">
        <f aca="false">V47*$D$2</f>
        <v>161151.441</v>
      </c>
      <c r="W48" s="7" t="n">
        <f aca="false">W47*$D$2</f>
        <v>173879.5605</v>
      </c>
      <c r="X48" s="7" t="n">
        <f aca="false">X47*$D$2</f>
        <v>2193.977</v>
      </c>
      <c r="Y48" s="7" t="n">
        <f aca="false">Y47*$D$2</f>
        <v>176073.5375</v>
      </c>
      <c r="Z48" s="11"/>
      <c r="AA48" s="12"/>
      <c r="AB48" s="12"/>
      <c r="AC48" s="13"/>
      <c r="AD48" s="104"/>
      <c r="AE48" s="104"/>
    </row>
    <row r="49" customFormat="false" ht="3" hidden="false" customHeight="true" outlineLevel="0" collapsed="false">
      <c r="A49" s="30"/>
      <c r="B49" s="30"/>
      <c r="C49" s="32"/>
      <c r="D49" s="30"/>
      <c r="E49" s="32"/>
      <c r="F49" s="30"/>
      <c r="G49" s="30"/>
      <c r="H49" s="33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2"/>
      <c r="U49" s="110"/>
      <c r="V49" s="30"/>
      <c r="W49" s="30"/>
      <c r="X49" s="30"/>
      <c r="Y49" s="30"/>
      <c r="Z49" s="11"/>
      <c r="AA49" s="12"/>
      <c r="AB49" s="12"/>
      <c r="AC49" s="13"/>
      <c r="AD49" s="104"/>
      <c r="AE49" s="104"/>
    </row>
    <row r="50" customFormat="false" ht="14.1" hidden="false" customHeight="true" outlineLevel="0" collapsed="false">
      <c r="A50" s="40"/>
      <c r="B50" s="41"/>
      <c r="C50" s="7"/>
      <c r="D50" s="6"/>
      <c r="E50" s="7"/>
      <c r="F50" s="6"/>
      <c r="G50" s="6"/>
      <c r="H50" s="8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7"/>
      <c r="U50" s="37"/>
      <c r="V50" s="6"/>
      <c r="W50" s="6"/>
      <c r="X50" s="6"/>
      <c r="Y50" s="0"/>
      <c r="Z50" s="11" t="n">
        <v>34790</v>
      </c>
      <c r="AA50" s="12" t="n">
        <v>56</v>
      </c>
      <c r="AB50" s="12" t="n">
        <v>32</v>
      </c>
      <c r="AC50" s="13" t="s">
        <v>45</v>
      </c>
      <c r="AD50" s="104"/>
      <c r="AE50" s="104"/>
    </row>
    <row r="51" customFormat="false" ht="11.1" hidden="false" customHeight="true" outlineLevel="0" collapsed="false">
      <c r="A51" s="6"/>
      <c r="B51" s="29"/>
      <c r="C51" s="7"/>
      <c r="D51" s="39"/>
      <c r="E51" s="7"/>
      <c r="F51" s="6"/>
      <c r="G51" s="6"/>
      <c r="H51" s="39"/>
      <c r="I51" s="8"/>
      <c r="J51" s="6"/>
      <c r="K51" s="42"/>
      <c r="L51" s="6"/>
      <c r="M51" s="6"/>
      <c r="N51" s="6"/>
      <c r="O51" s="6"/>
      <c r="P51" s="6"/>
      <c r="Q51" s="6"/>
      <c r="R51" s="6"/>
      <c r="S51" s="6"/>
      <c r="T51" s="7"/>
      <c r="U51" s="37"/>
      <c r="V51" s="6"/>
      <c r="W51" s="6"/>
      <c r="X51" s="6"/>
      <c r="Y51" s="6"/>
      <c r="Z51" s="11"/>
      <c r="AA51" s="12" t="n">
        <v>67</v>
      </c>
      <c r="AB51" s="12" t="n">
        <v>40</v>
      </c>
      <c r="AC51" s="13" t="s">
        <v>67</v>
      </c>
      <c r="AD51" s="104"/>
      <c r="AE51" s="104"/>
    </row>
    <row r="52" customFormat="false" ht="11.1" hidden="false" customHeight="true" outlineLevel="0" collapsed="false">
      <c r="B52" s="39"/>
      <c r="C52" s="7"/>
      <c r="D52" s="7"/>
      <c r="E52" s="7"/>
      <c r="F52" s="39"/>
      <c r="G52" s="39"/>
      <c r="H52" s="8"/>
      <c r="I52" s="39"/>
      <c r="J52" s="39"/>
      <c r="K52" s="39"/>
      <c r="L52" s="39"/>
      <c r="M52" s="37"/>
      <c r="N52" s="37"/>
      <c r="O52" s="37"/>
      <c r="P52" s="37"/>
      <c r="Q52" s="39"/>
      <c r="R52" s="39"/>
      <c r="S52" s="39"/>
      <c r="T52" s="7"/>
      <c r="U52" s="37"/>
      <c r="V52" s="39"/>
      <c r="W52" s="39"/>
      <c r="X52" s="39"/>
      <c r="Y52" s="39"/>
      <c r="Z52" s="11"/>
      <c r="AA52" s="12" t="n">
        <v>36</v>
      </c>
      <c r="AB52" s="12" t="n">
        <v>22</v>
      </c>
      <c r="AC52" s="13" t="s">
        <v>68</v>
      </c>
      <c r="AD52" s="112"/>
      <c r="AE52" s="112"/>
    </row>
    <row r="53" customFormat="false" ht="11.1" hidden="false" customHeight="true" outlineLevel="0" collapsed="false">
      <c r="A53" s="39"/>
      <c r="B53" s="10"/>
      <c r="C53" s="7"/>
      <c r="D53" s="7"/>
      <c r="E53" s="7"/>
      <c r="F53" s="39"/>
      <c r="G53" s="39"/>
      <c r="H53" s="8"/>
      <c r="I53" s="39"/>
      <c r="J53" s="39"/>
      <c r="K53" s="39"/>
      <c r="L53" s="39"/>
      <c r="M53" s="37"/>
      <c r="N53" s="37"/>
      <c r="O53" s="37"/>
      <c r="P53" s="37"/>
      <c r="Q53" s="39"/>
      <c r="R53" s="39"/>
      <c r="S53" s="39"/>
      <c r="T53" s="7"/>
      <c r="U53" s="37"/>
      <c r="V53" s="39"/>
      <c r="W53" s="39"/>
      <c r="X53" s="39"/>
      <c r="Y53" s="0"/>
      <c r="Z53" s="11" t="n">
        <v>35156</v>
      </c>
      <c r="AA53" s="12" t="n">
        <v>60</v>
      </c>
      <c r="AB53" s="12" t="n">
        <v>32</v>
      </c>
      <c r="AC53" s="13" t="s">
        <v>45</v>
      </c>
      <c r="AD53" s="112"/>
      <c r="AE53" s="112"/>
    </row>
    <row r="54" customFormat="false" ht="11.1" hidden="false" customHeight="true" outlineLevel="0" collapsed="false">
      <c r="A54" s="39"/>
      <c r="B54" s="39"/>
      <c r="C54" s="7"/>
      <c r="D54" s="39"/>
      <c r="E54" s="7"/>
      <c r="F54" s="39"/>
      <c r="G54" s="43"/>
      <c r="H54" s="8"/>
      <c r="I54" s="39"/>
      <c r="J54" s="39"/>
      <c r="K54" s="39"/>
      <c r="L54" s="39"/>
      <c r="M54" s="37"/>
      <c r="N54" s="37"/>
      <c r="O54" s="37"/>
      <c r="P54" s="39"/>
      <c r="Q54" s="39"/>
      <c r="R54" s="39"/>
      <c r="S54" s="7"/>
      <c r="T54" s="39"/>
      <c r="U54" s="37"/>
      <c r="V54" s="7"/>
      <c r="W54" s="39"/>
      <c r="X54" s="39"/>
      <c r="Y54" s="10"/>
      <c r="Z54" s="11" t="n">
        <v>76</v>
      </c>
      <c r="AA54" s="12" t="n">
        <v>42</v>
      </c>
      <c r="AB54" s="13" t="s">
        <v>67</v>
      </c>
      <c r="AC54" s="112"/>
      <c r="AD54" s="112"/>
    </row>
    <row r="55" customFormat="false" ht="11.1" hidden="false" customHeight="true" outlineLevel="0" collapsed="false">
      <c r="Z55" s="2" t="n">
        <v>41</v>
      </c>
      <c r="AA55" s="4" t="n">
        <v>21</v>
      </c>
      <c r="AB55" s="13" t="s">
        <v>68</v>
      </c>
    </row>
  </sheetData>
  <mergeCells count="2">
    <mergeCell ref="K2:V2"/>
    <mergeCell ref="M4:P4"/>
  </mergeCells>
  <printOptions headings="true" gridLines="true" gridLinesSet="true" horizontalCentered="true" verticalCentered="false"/>
  <pageMargins left="0" right="0" top="0" bottom="0" header="0.511811023622047" footer="0.511811023622047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F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9" topLeftCell="Q21" activePane="bottomRight" state="frozen"/>
      <selection pane="topLeft" activeCell="A1" activeCellId="0" sqref="A1"/>
      <selection pane="topRight" activeCell="Q1" activeCellId="0" sqref="Q1"/>
      <selection pane="bottomLeft" activeCell="A21" activeCellId="0" sqref="A21"/>
      <selection pane="bottomRight" activeCell="AB40" activeCellId="0" sqref="AB40"/>
    </sheetView>
  </sheetViews>
  <sheetFormatPr defaultColWidth="9.328125" defaultRowHeight="11.1" zeroHeight="false" outlineLevelRow="0" outlineLevelCol="0"/>
  <cols>
    <col collapsed="false" customWidth="true" hidden="false" outlineLevel="0" max="1" min="1" style="44" width="7.16"/>
    <col collapsed="false" customWidth="true" hidden="false" outlineLevel="0" max="2" min="2" style="44" width="7.82"/>
    <col collapsed="false" customWidth="true" hidden="false" outlineLevel="0" max="3" min="3" style="45" width="7.66"/>
    <col collapsed="false" customWidth="true" hidden="false" outlineLevel="0" max="4" min="4" style="44" width="6.99"/>
    <col collapsed="false" customWidth="true" hidden="false" outlineLevel="0" max="5" min="5" style="45" width="7.66"/>
    <col collapsed="false" customWidth="true" hidden="false" outlineLevel="0" max="6" min="6" style="44" width="7.66"/>
    <col collapsed="false" customWidth="true" hidden="false" outlineLevel="0" max="7" min="7" style="44" width="7.16"/>
    <col collapsed="false" customWidth="true" hidden="false" outlineLevel="0" max="8" min="8" style="47" width="6.66"/>
    <col collapsed="false" customWidth="true" hidden="false" outlineLevel="0" max="9" min="9" style="44" width="7.99"/>
    <col collapsed="false" customWidth="true" hidden="false" outlineLevel="0" max="10" min="10" style="44" width="6.66"/>
    <col collapsed="false" customWidth="true" hidden="false" outlineLevel="0" max="12" min="11" style="44" width="7.16"/>
    <col collapsed="false" customWidth="true" hidden="false" outlineLevel="0" max="13" min="13" style="47" width="6.16"/>
    <col collapsed="false" customWidth="true" hidden="true" outlineLevel="0" max="14" min="14" style="47" width="7.32"/>
    <col collapsed="false" customWidth="true" hidden="true" outlineLevel="0" max="15" min="15" style="47" width="6.49"/>
    <col collapsed="false" customWidth="true" hidden="true" outlineLevel="0" max="16" min="16" style="44" width="7.16"/>
    <col collapsed="false" customWidth="true" hidden="false" outlineLevel="0" max="17" min="17" style="44" width="6.32"/>
    <col collapsed="false" customWidth="true" hidden="false" outlineLevel="0" max="18" min="18" style="44" width="5.82"/>
    <col collapsed="false" customWidth="true" hidden="false" outlineLevel="0" max="19" min="19" style="45" width="6.82"/>
    <col collapsed="false" customWidth="true" hidden="false" outlineLevel="0" max="20" min="20" style="44" width="7.66"/>
    <col collapsed="false" customWidth="true" hidden="false" outlineLevel="0" max="21" min="21" style="44" width="5.82"/>
    <col collapsed="false" customWidth="true" hidden="false" outlineLevel="0" max="22" min="22" style="45" width="6.66"/>
    <col collapsed="false" customWidth="true" hidden="false" outlineLevel="0" max="24" min="23" style="44" width="7.82"/>
    <col collapsed="false" customWidth="true" hidden="false" outlineLevel="0" max="25" min="25" style="48" width="8.16"/>
    <col collapsed="false" customWidth="true" hidden="false" outlineLevel="0" max="26" min="26" style="46" width="4.32"/>
    <col collapsed="false" customWidth="true" hidden="false" outlineLevel="0" max="27" min="27" style="49" width="4.66"/>
    <col collapsed="false" customWidth="true" hidden="false" outlineLevel="0" max="28" min="28" style="50" width="4.66"/>
    <col collapsed="false" customWidth="true" hidden="false" outlineLevel="0" max="29" min="29" style="44" width="5.66"/>
    <col collapsed="false" customWidth="false" hidden="false" outlineLevel="0" max="257" min="30" style="44" width="9.32"/>
  </cols>
  <sheetData>
    <row r="1" customFormat="false" ht="14.1" hidden="false" customHeight="true" outlineLevel="0" collapsed="false">
      <c r="A1" s="51"/>
      <c r="B1" s="51"/>
      <c r="C1" s="52"/>
      <c r="D1" s="51"/>
      <c r="E1" s="52"/>
      <c r="F1" s="51"/>
      <c r="G1" s="51"/>
      <c r="H1" s="81"/>
      <c r="I1" s="51"/>
      <c r="J1" s="51"/>
      <c r="K1" s="54" t="s">
        <v>0</v>
      </c>
      <c r="L1" s="51"/>
      <c r="M1" s="51"/>
      <c r="N1" s="51"/>
      <c r="O1" s="51"/>
      <c r="P1" s="51"/>
      <c r="Q1" s="51"/>
      <c r="R1" s="51"/>
      <c r="S1" s="52"/>
      <c r="T1" s="51"/>
      <c r="U1" s="51"/>
      <c r="V1" s="52"/>
      <c r="W1" s="51"/>
      <c r="X1" s="51"/>
      <c r="Y1" s="55"/>
      <c r="Z1" s="56"/>
      <c r="AA1" s="57"/>
      <c r="AB1" s="58"/>
      <c r="AC1" s="88"/>
      <c r="AD1" s="88"/>
    </row>
    <row r="2" customFormat="false" ht="14.1" hidden="false" customHeight="true" outlineLevel="0" collapsed="false">
      <c r="A2" s="51" t="s">
        <v>1</v>
      </c>
      <c r="B2" s="51"/>
      <c r="C2" s="52"/>
      <c r="D2" s="59" t="n">
        <v>1.9835</v>
      </c>
      <c r="E2" s="52"/>
      <c r="F2" s="51"/>
      <c r="G2" s="51"/>
      <c r="H2" s="81"/>
      <c r="I2" s="51"/>
      <c r="J2" s="51"/>
      <c r="K2" s="60" t="s">
        <v>69</v>
      </c>
      <c r="L2" s="60"/>
      <c r="M2" s="60"/>
      <c r="N2" s="60"/>
      <c r="O2" s="60"/>
      <c r="P2" s="60"/>
      <c r="Q2" s="60"/>
      <c r="R2" s="60"/>
      <c r="S2" s="60"/>
      <c r="T2" s="60"/>
      <c r="U2" s="51"/>
      <c r="V2" s="52"/>
      <c r="W2" s="51"/>
      <c r="X2" s="51"/>
      <c r="Y2" s="55"/>
      <c r="Z2" s="56"/>
      <c r="AA2" s="57"/>
      <c r="AB2" s="58"/>
      <c r="AC2" s="88"/>
      <c r="AD2" s="88"/>
    </row>
    <row r="3" customFormat="false" ht="11.1" hidden="false" customHeight="true" outlineLevel="0" collapsed="false">
      <c r="A3" s="51"/>
      <c r="B3" s="51"/>
      <c r="C3" s="52"/>
      <c r="D3" s="61"/>
      <c r="E3" s="52"/>
      <c r="F3" s="51"/>
      <c r="G3" s="51"/>
      <c r="H3" s="81"/>
      <c r="I3" s="51"/>
      <c r="J3" s="51"/>
      <c r="K3" s="51"/>
      <c r="L3" s="51"/>
      <c r="M3" s="51"/>
      <c r="N3" s="51"/>
      <c r="O3" s="51"/>
      <c r="P3" s="51"/>
      <c r="Q3" s="51"/>
      <c r="R3" s="51"/>
      <c r="S3" s="52"/>
      <c r="T3" s="51"/>
      <c r="U3" s="51"/>
      <c r="V3" s="52"/>
      <c r="W3" s="51"/>
      <c r="X3" s="51"/>
      <c r="Y3" s="55"/>
      <c r="Z3" s="56"/>
      <c r="AA3" s="57"/>
      <c r="AB3" s="58"/>
      <c r="AC3" s="88"/>
      <c r="AD3" s="88"/>
    </row>
    <row r="4" customFormat="false" ht="11.1" hidden="false" customHeight="true" outlineLevel="0" collapsed="false">
      <c r="A4" s="62" t="s">
        <v>3</v>
      </c>
      <c r="B4" s="62" t="s">
        <v>4</v>
      </c>
      <c r="C4" s="63" t="s">
        <v>4</v>
      </c>
      <c r="D4" s="62" t="s">
        <v>5</v>
      </c>
      <c r="E4" s="63" t="s">
        <v>6</v>
      </c>
      <c r="F4" s="62" t="s">
        <v>7</v>
      </c>
      <c r="G4" s="62" t="s">
        <v>8</v>
      </c>
      <c r="H4" s="113" t="s">
        <v>9</v>
      </c>
      <c r="I4" s="62" t="s">
        <v>10</v>
      </c>
      <c r="J4" s="62" t="s">
        <v>11</v>
      </c>
      <c r="K4" s="62" t="s">
        <v>12</v>
      </c>
      <c r="L4" s="62" t="s">
        <v>11</v>
      </c>
      <c r="M4" s="62" t="s">
        <v>13</v>
      </c>
      <c r="N4" s="62"/>
      <c r="O4" s="62"/>
      <c r="P4" s="62"/>
      <c r="Q4" s="62" t="s">
        <v>14</v>
      </c>
      <c r="R4" s="62" t="s">
        <v>15</v>
      </c>
      <c r="S4" s="62" t="s">
        <v>12</v>
      </c>
      <c r="T4" s="63" t="s">
        <v>16</v>
      </c>
      <c r="U4" s="62" t="s">
        <v>17</v>
      </c>
      <c r="V4" s="62" t="s">
        <v>18</v>
      </c>
      <c r="W4" s="62" t="s">
        <v>10</v>
      </c>
      <c r="X4" s="62" t="s">
        <v>11</v>
      </c>
      <c r="Y4" s="62" t="s">
        <v>12</v>
      </c>
      <c r="Z4" s="65" t="s">
        <v>19</v>
      </c>
      <c r="AA4" s="66" t="s">
        <v>20</v>
      </c>
      <c r="AB4" s="66" t="s">
        <v>21</v>
      </c>
      <c r="AC4" s="66" t="s">
        <v>3</v>
      </c>
      <c r="AD4" s="88"/>
      <c r="AE4" s="88"/>
    </row>
    <row r="5" customFormat="false" ht="11.1" hidden="false" customHeight="true" outlineLevel="0" collapsed="false">
      <c r="A5" s="67" t="s">
        <v>70</v>
      </c>
      <c r="B5" s="62" t="s">
        <v>23</v>
      </c>
      <c r="C5" s="63" t="s">
        <v>5</v>
      </c>
      <c r="D5" s="62" t="s">
        <v>24</v>
      </c>
      <c r="E5" s="63" t="s">
        <v>25</v>
      </c>
      <c r="F5" s="62" t="s">
        <v>26</v>
      </c>
      <c r="G5" s="62" t="s">
        <v>27</v>
      </c>
      <c r="H5" s="113" t="s">
        <v>28</v>
      </c>
      <c r="I5" s="62" t="s">
        <v>29</v>
      </c>
      <c r="J5" s="62" t="s">
        <v>29</v>
      </c>
      <c r="K5" s="62" t="s">
        <v>29</v>
      </c>
      <c r="L5" s="62" t="s">
        <v>30</v>
      </c>
      <c r="M5" s="62" t="s">
        <v>31</v>
      </c>
      <c r="N5" s="62" t="s">
        <v>32</v>
      </c>
      <c r="O5" s="62" t="s">
        <v>33</v>
      </c>
      <c r="P5" s="62" t="s">
        <v>34</v>
      </c>
      <c r="Q5" s="62" t="s">
        <v>35</v>
      </c>
      <c r="R5" s="62" t="s">
        <v>36</v>
      </c>
      <c r="S5" s="62" t="s">
        <v>16</v>
      </c>
      <c r="T5" s="63" t="s">
        <v>37</v>
      </c>
      <c r="U5" s="62" t="s">
        <v>38</v>
      </c>
      <c r="V5" s="62" t="s">
        <v>39</v>
      </c>
      <c r="W5" s="62" t="s">
        <v>40</v>
      </c>
      <c r="X5" s="62" t="s">
        <v>40</v>
      </c>
      <c r="Y5" s="62" t="s">
        <v>40</v>
      </c>
      <c r="Z5" s="68"/>
      <c r="AA5" s="66" t="s">
        <v>41</v>
      </c>
      <c r="AB5" s="66" t="s">
        <v>41</v>
      </c>
      <c r="AC5" s="69" t="s">
        <v>70</v>
      </c>
      <c r="AD5" s="88"/>
      <c r="AE5" s="88"/>
    </row>
    <row r="6" customFormat="false" ht="11.1" hidden="false" customHeight="true" outlineLevel="0" collapsed="false">
      <c r="A6" s="70"/>
      <c r="B6" s="70"/>
      <c r="C6" s="71"/>
      <c r="D6" s="70"/>
      <c r="E6" s="71"/>
      <c r="F6" s="70"/>
      <c r="G6" s="70"/>
      <c r="H6" s="114"/>
      <c r="I6" s="70"/>
      <c r="J6" s="70"/>
      <c r="K6" s="70"/>
      <c r="L6" s="70"/>
      <c r="M6" s="70"/>
      <c r="N6" s="70"/>
      <c r="O6" s="70"/>
      <c r="P6" s="70"/>
      <c r="Q6" s="70"/>
      <c r="R6" s="70"/>
      <c r="S6" s="70"/>
      <c r="T6" s="71"/>
      <c r="U6" s="70"/>
      <c r="V6" s="70"/>
      <c r="W6" s="70"/>
      <c r="X6" s="70"/>
      <c r="Y6" s="70"/>
      <c r="Z6" s="56"/>
      <c r="AA6" s="58"/>
      <c r="AB6" s="58"/>
      <c r="AC6" s="58"/>
      <c r="AD6" s="91"/>
      <c r="AE6" s="91"/>
      <c r="AF6" s="92"/>
    </row>
    <row r="7" customFormat="false" ht="11.1" hidden="false" customHeight="true" outlineLevel="0" collapsed="false">
      <c r="A7" s="51" t="s">
        <v>42</v>
      </c>
      <c r="B7" s="51"/>
      <c r="C7" s="52"/>
      <c r="D7" s="52"/>
      <c r="E7" s="52"/>
      <c r="F7" s="52" t="n">
        <f aca="false">APR!F44</f>
        <v>19231.1570456264</v>
      </c>
      <c r="G7" s="52" t="n">
        <f aca="false">APR!G44</f>
        <v>35458</v>
      </c>
      <c r="H7" s="81" t="n">
        <f aca="false">APR!H44</f>
        <v>8180</v>
      </c>
      <c r="I7" s="52" t="n">
        <f aca="false">APR!I44</f>
        <v>43638</v>
      </c>
      <c r="J7" s="52" t="n">
        <f aca="false">APR!J44</f>
        <v>24660.1570456264</v>
      </c>
      <c r="K7" s="52" t="n">
        <f aca="false">APR!K44</f>
        <v>68298.1570456264</v>
      </c>
      <c r="L7" s="52" t="n">
        <f aca="false">APR!L44</f>
        <v>24660.1570456264</v>
      </c>
      <c r="M7" s="52" t="n">
        <f aca="false">APR!M44</f>
        <v>1222</v>
      </c>
      <c r="N7" s="52" t="n">
        <f aca="false">APR!N44</f>
        <v>0</v>
      </c>
      <c r="O7" s="52" t="n">
        <f aca="false">APR!O44</f>
        <v>0</v>
      </c>
      <c r="P7" s="52" t="n">
        <f aca="false">APR!P44</f>
        <v>1222</v>
      </c>
      <c r="Q7" s="52" t="n">
        <f aca="false">APR!Q44</f>
        <v>450</v>
      </c>
      <c r="R7" s="52" t="n">
        <f aca="false">APR!R44</f>
        <v>338</v>
      </c>
      <c r="S7" s="52" t="n">
        <f aca="false">APR!S44</f>
        <v>2010</v>
      </c>
      <c r="T7" s="52" t="n">
        <f aca="false">APR!T44</f>
        <v>0</v>
      </c>
      <c r="U7" s="52" t="n">
        <f aca="false">APR!U44</f>
        <v>113</v>
      </c>
      <c r="V7" s="52" t="n">
        <f aca="false">APR!V44</f>
        <v>46944</v>
      </c>
      <c r="W7" s="52" t="n">
        <f aca="false">APR!W44</f>
        <v>49067</v>
      </c>
      <c r="X7" s="52" t="n">
        <f aca="false">APR!X44</f>
        <v>0</v>
      </c>
      <c r="Y7" s="52" t="n">
        <f aca="false">APR!Y44</f>
        <v>49067</v>
      </c>
      <c r="Z7" s="56"/>
      <c r="AA7" s="57"/>
      <c r="AB7" s="57"/>
      <c r="AC7" s="58"/>
      <c r="AD7" s="91"/>
      <c r="AE7" s="92"/>
      <c r="AF7" s="92"/>
    </row>
    <row r="8" s="45" customFormat="true" ht="11.1" hidden="false" customHeight="true" outlineLevel="0" collapsed="false">
      <c r="A8" s="52" t="s">
        <v>43</v>
      </c>
      <c r="B8" s="73" t="n">
        <f aca="false">APR!B39</f>
        <v>6911.8</v>
      </c>
      <c r="C8" s="52" t="n">
        <f aca="false">APR!C39</f>
        <v>329235</v>
      </c>
      <c r="D8" s="52" t="n">
        <f aca="false">APR!D48</f>
        <v>39042</v>
      </c>
      <c r="E8" s="52" t="n">
        <f aca="false">APR!E48</f>
        <v>177235</v>
      </c>
      <c r="F8" s="52" t="n">
        <f aca="false">APR!F47</f>
        <v>19683.3879505924</v>
      </c>
      <c r="G8" s="52" t="n">
        <f aca="false">APR!G47</f>
        <v>65908</v>
      </c>
      <c r="H8" s="81" t="n">
        <f aca="false">APR!H47</f>
        <v>11591</v>
      </c>
      <c r="I8" s="52" t="n">
        <f aca="false">APR!I47</f>
        <v>76957.9</v>
      </c>
      <c r="J8" s="52" t="n">
        <f aca="false">APR!J47</f>
        <v>31494.6018905974</v>
      </c>
      <c r="K8" s="52" t="n">
        <f aca="false">APR!K47</f>
        <v>108452.501890597</v>
      </c>
      <c r="L8" s="52" t="n">
        <f aca="false">APR!L47</f>
        <v>30388.4879505924</v>
      </c>
      <c r="M8" s="52" t="n">
        <f aca="false">APR!M47</f>
        <v>2788</v>
      </c>
      <c r="N8" s="52" t="n">
        <f aca="false">APR!N47</f>
        <v>0.08</v>
      </c>
      <c r="O8" s="52" t="n">
        <f aca="false">APR!O47</f>
        <v>0</v>
      </c>
      <c r="P8" s="52" t="n">
        <f aca="false">APR!P47</f>
        <v>2787.92</v>
      </c>
      <c r="Q8" s="52" t="n">
        <f aca="false">APR!Q47</f>
        <v>2728</v>
      </c>
      <c r="R8" s="52" t="n">
        <f aca="false">APR!R47</f>
        <v>787</v>
      </c>
      <c r="S8" s="52" t="n">
        <f aca="false">APR!S47</f>
        <v>6302.92</v>
      </c>
      <c r="T8" s="52" t="n">
        <f aca="false">APR!T47</f>
        <v>0</v>
      </c>
      <c r="U8" s="52" t="n">
        <f aca="false">APR!U47</f>
        <v>114</v>
      </c>
      <c r="V8" s="52" t="n">
        <f aca="false">APR!V47</f>
        <v>81246</v>
      </c>
      <c r="W8" s="52" t="n">
        <f aca="false">APR!W47</f>
        <v>87663</v>
      </c>
      <c r="X8" s="52" t="n">
        <f aca="false">APR!X47</f>
        <v>1106.11394000504</v>
      </c>
      <c r="Y8" s="52" t="n">
        <f aca="false">APR!Y47</f>
        <v>88769.1139400051</v>
      </c>
      <c r="Z8" s="56" t="n">
        <f aca="false">APR!Z47</f>
        <v>7.41</v>
      </c>
      <c r="AA8" s="57"/>
      <c r="AB8" s="57"/>
      <c r="AC8" s="58"/>
      <c r="AD8" s="93"/>
      <c r="AE8" s="91"/>
      <c r="AF8" s="93"/>
    </row>
    <row r="9" customFormat="false" ht="3" hidden="false" customHeight="true" outlineLevel="0" collapsed="false">
      <c r="A9" s="74"/>
      <c r="B9" s="75"/>
      <c r="C9" s="76"/>
      <c r="D9" s="74"/>
      <c r="E9" s="76"/>
      <c r="F9" s="74"/>
      <c r="G9" s="74"/>
      <c r="H9" s="115"/>
      <c r="I9" s="74"/>
      <c r="J9" s="74"/>
      <c r="K9" s="74"/>
      <c r="L9" s="74"/>
      <c r="M9" s="74"/>
      <c r="N9" s="74"/>
      <c r="O9" s="74"/>
      <c r="P9" s="74"/>
      <c r="Q9" s="74"/>
      <c r="R9" s="74"/>
      <c r="S9" s="74"/>
      <c r="T9" s="76"/>
      <c r="U9" s="74"/>
      <c r="V9" s="74"/>
      <c r="W9" s="74"/>
      <c r="X9" s="74"/>
      <c r="Y9" s="74"/>
      <c r="Z9" s="78"/>
      <c r="AA9" s="79"/>
      <c r="AB9" s="79"/>
      <c r="AC9" s="80"/>
      <c r="AD9" s="91"/>
      <c r="AE9" s="91"/>
      <c r="AF9" s="92"/>
    </row>
    <row r="10" customFormat="false" ht="11.1" hidden="false" customHeight="true" outlineLevel="0" collapsed="false">
      <c r="A10" s="58" t="n">
        <v>1</v>
      </c>
      <c r="B10" s="73" t="n">
        <v>6912.33</v>
      </c>
      <c r="C10" s="52" t="n">
        <v>331390</v>
      </c>
      <c r="D10" s="57" t="n">
        <f aca="false">C10-C8</f>
        <v>2155</v>
      </c>
      <c r="E10" s="52" t="n">
        <f aca="false">C10-152000</f>
        <v>179390</v>
      </c>
      <c r="F10" s="51" t="n">
        <f aca="false">D10/$D$2</f>
        <v>1086.46332240988</v>
      </c>
      <c r="G10" s="51" t="n">
        <v>2413</v>
      </c>
      <c r="H10" s="81" t="n">
        <v>322</v>
      </c>
      <c r="I10" s="51" t="n">
        <f aca="false">G10+H10</f>
        <v>2735</v>
      </c>
      <c r="J10" s="81" t="n">
        <f aca="false">IF(L10&gt;0,L10,0)</f>
        <v>687.463322409882</v>
      </c>
      <c r="K10" s="51" t="n">
        <f aca="false">I10+J10</f>
        <v>3422.46332240988</v>
      </c>
      <c r="L10" s="51" t="n">
        <f aca="false">F10-(I10-W10)</f>
        <v>687.463322409882</v>
      </c>
      <c r="M10" s="51" t="n">
        <v>138</v>
      </c>
      <c r="N10" s="51" t="n">
        <v>0</v>
      </c>
      <c r="O10" s="51" t="n">
        <v>0</v>
      </c>
      <c r="P10" s="6" t="n">
        <f aca="false">M10-(N10+O10)</f>
        <v>138</v>
      </c>
      <c r="Q10" s="51" t="n">
        <v>148</v>
      </c>
      <c r="R10" s="51" t="n">
        <v>48</v>
      </c>
      <c r="S10" s="51" t="n">
        <f aca="false">SUM(P10:R10)</f>
        <v>334</v>
      </c>
      <c r="T10" s="52" t="n">
        <f aca="false">T7</f>
        <v>0</v>
      </c>
      <c r="U10" s="51" t="n">
        <v>0</v>
      </c>
      <c r="V10" s="51" t="n">
        <v>2002</v>
      </c>
      <c r="W10" s="6" t="n">
        <f aca="false">N10+O10+S10+U10+V10</f>
        <v>2336</v>
      </c>
      <c r="X10" s="51" t="n">
        <f aca="false">IF(L10&lt;0,L10*-1,0)</f>
        <v>0</v>
      </c>
      <c r="Y10" s="51" t="n">
        <f aca="false">W10+X10</f>
        <v>2336</v>
      </c>
      <c r="Z10" s="56" t="n">
        <v>0</v>
      </c>
      <c r="AA10" s="57" t="n">
        <v>65</v>
      </c>
      <c r="AB10" s="57" t="n">
        <v>46</v>
      </c>
      <c r="AC10" s="58" t="n">
        <v>1</v>
      </c>
      <c r="AD10" s="12" t="n">
        <f aca="false">IF(I10&gt;S10,I10-S10,I10-S10)</f>
        <v>2401</v>
      </c>
      <c r="AE10" s="93"/>
      <c r="AF10" s="92"/>
    </row>
    <row r="11" customFormat="false" ht="11.1" hidden="false" customHeight="true" outlineLevel="0" collapsed="false">
      <c r="A11" s="58" t="n">
        <f aca="false">A10+1</f>
        <v>2</v>
      </c>
      <c r="B11" s="73" t="n">
        <v>6912.81</v>
      </c>
      <c r="C11" s="52" t="n">
        <v>333347</v>
      </c>
      <c r="D11" s="57" t="n">
        <f aca="false">C11-C10</f>
        <v>1957</v>
      </c>
      <c r="E11" s="52" t="n">
        <f aca="false">C11-152000</f>
        <v>181347</v>
      </c>
      <c r="F11" s="51" t="n">
        <f aca="false">D11/$D$2</f>
        <v>986.639778169902</v>
      </c>
      <c r="G11" s="51" t="n">
        <v>2590</v>
      </c>
      <c r="H11" s="81" t="n">
        <v>321</v>
      </c>
      <c r="I11" s="51" t="n">
        <f aca="false">G11+H11</f>
        <v>2911</v>
      </c>
      <c r="J11" s="81" t="n">
        <f aca="false">IF(L11&gt;0,L11,0)</f>
        <v>443.639778169902</v>
      </c>
      <c r="K11" s="51" t="n">
        <f aca="false">I11+J11</f>
        <v>3354.6397781699</v>
      </c>
      <c r="L11" s="51" t="n">
        <f aca="false">F11-(I11-W11)</f>
        <v>443.639778169902</v>
      </c>
      <c r="M11" s="51" t="n">
        <v>147</v>
      </c>
      <c r="N11" s="51" t="n">
        <v>0</v>
      </c>
      <c r="O11" s="51" t="n">
        <v>0</v>
      </c>
      <c r="P11" s="6" t="n">
        <f aca="false">M11-(N11+O11)</f>
        <v>147</v>
      </c>
      <c r="Q11" s="51" t="n">
        <v>162</v>
      </c>
      <c r="R11" s="51" t="n">
        <v>57</v>
      </c>
      <c r="S11" s="51" t="n">
        <f aca="false">SUM(P11:R11)</f>
        <v>366</v>
      </c>
      <c r="T11" s="52" t="n">
        <f aca="false">T10</f>
        <v>0</v>
      </c>
      <c r="U11" s="51" t="n">
        <v>0</v>
      </c>
      <c r="V11" s="51" t="n">
        <v>2002</v>
      </c>
      <c r="W11" s="6" t="n">
        <f aca="false">N11+O11+S11+U11+V11</f>
        <v>2368</v>
      </c>
      <c r="X11" s="51" t="n">
        <f aca="false">IF(L11&lt;0,L11*-1,0)</f>
        <v>0</v>
      </c>
      <c r="Y11" s="51" t="n">
        <f aca="false">W11+X11</f>
        <v>2368</v>
      </c>
      <c r="Z11" s="56" t="n">
        <v>0</v>
      </c>
      <c r="AA11" s="57" t="n">
        <v>58</v>
      </c>
      <c r="AB11" s="57" t="n">
        <v>42</v>
      </c>
      <c r="AC11" s="58" t="n">
        <f aca="false">AC10+1</f>
        <v>2</v>
      </c>
      <c r="AD11" s="12" t="n">
        <f aca="false">IF(I11&gt;S11,I11-S11,I11-S11)</f>
        <v>2545</v>
      </c>
      <c r="AE11" s="93"/>
      <c r="AF11" s="92"/>
    </row>
    <row r="12" customFormat="false" ht="11.1" hidden="false" customHeight="true" outlineLevel="0" collapsed="false">
      <c r="A12" s="58" t="n">
        <f aca="false">A11+1</f>
        <v>3</v>
      </c>
      <c r="B12" s="73" t="n">
        <v>6912.99</v>
      </c>
      <c r="C12" s="52" t="n">
        <v>334081</v>
      </c>
      <c r="D12" s="57" t="n">
        <f aca="false">C12-C11</f>
        <v>734</v>
      </c>
      <c r="E12" s="52" t="n">
        <f aca="false">C12-152000</f>
        <v>182081</v>
      </c>
      <c r="F12" s="51" t="n">
        <f aca="false">D12/$D$2</f>
        <v>370.052936728006</v>
      </c>
      <c r="G12" s="51" t="n">
        <v>2035</v>
      </c>
      <c r="H12" s="81" t="n">
        <v>210</v>
      </c>
      <c r="I12" s="51" t="n">
        <f aca="false">G12+H12</f>
        <v>2245</v>
      </c>
      <c r="J12" s="81" t="n">
        <f aca="false">IF(L12&gt;0,L12,0)</f>
        <v>524.052936728006</v>
      </c>
      <c r="K12" s="51" t="n">
        <f aca="false">I12+J12</f>
        <v>2769.05293672801</v>
      </c>
      <c r="L12" s="51" t="n">
        <f aca="false">F12-(I12-W12)</f>
        <v>524.052936728006</v>
      </c>
      <c r="M12" s="51" t="n">
        <v>147</v>
      </c>
      <c r="N12" s="51" t="n">
        <v>0</v>
      </c>
      <c r="O12" s="51" t="n">
        <v>0</v>
      </c>
      <c r="P12" s="6" t="n">
        <f aca="false">M12-(N12+O12)</f>
        <v>147</v>
      </c>
      <c r="Q12" s="51" t="n">
        <v>162</v>
      </c>
      <c r="R12" s="51" t="n">
        <v>61</v>
      </c>
      <c r="S12" s="51" t="n">
        <f aca="false">SUM(P12:R12)</f>
        <v>370</v>
      </c>
      <c r="T12" s="52" t="n">
        <f aca="false">T11</f>
        <v>0</v>
      </c>
      <c r="U12" s="51" t="n">
        <v>27</v>
      </c>
      <c r="V12" s="51" t="n">
        <v>2002</v>
      </c>
      <c r="W12" s="6" t="n">
        <f aca="false">N12+O12+S12+U12+V12</f>
        <v>2399</v>
      </c>
      <c r="X12" s="51" t="n">
        <f aca="false">IF(L12&lt;0,L12*-1,0)</f>
        <v>0</v>
      </c>
      <c r="Y12" s="51" t="n">
        <f aca="false">W12+X12</f>
        <v>2399</v>
      </c>
      <c r="Z12" s="56" t="n">
        <v>0</v>
      </c>
      <c r="AA12" s="57" t="n">
        <v>60</v>
      </c>
      <c r="AB12" s="57" t="n">
        <v>38</v>
      </c>
      <c r="AC12" s="58" t="n">
        <f aca="false">AC11+1</f>
        <v>3</v>
      </c>
      <c r="AD12" s="12" t="n">
        <f aca="false">IF(I12&gt;S12,I12-S12,I12-S12)</f>
        <v>1875</v>
      </c>
      <c r="AE12" s="93"/>
      <c r="AF12" s="92"/>
    </row>
    <row r="13" customFormat="false" ht="11.1" hidden="false" customHeight="true" outlineLevel="0" collapsed="false">
      <c r="A13" s="58" t="n">
        <f aca="false">A12+1</f>
        <v>4</v>
      </c>
      <c r="B13" s="73" t="n">
        <v>6913.14</v>
      </c>
      <c r="C13" s="52" t="n">
        <v>334697</v>
      </c>
      <c r="D13" s="57" t="n">
        <f aca="false">C13-C12</f>
        <v>616</v>
      </c>
      <c r="E13" s="52" t="n">
        <f aca="false">C13-152000</f>
        <v>182697</v>
      </c>
      <c r="F13" s="51" t="n">
        <f aca="false">D13/$D$2</f>
        <v>310.562137635493</v>
      </c>
      <c r="G13" s="51" t="n">
        <v>1971</v>
      </c>
      <c r="H13" s="81" t="n">
        <v>200</v>
      </c>
      <c r="I13" s="51" t="n">
        <f aca="false">G13+H13</f>
        <v>2171</v>
      </c>
      <c r="J13" s="81" t="n">
        <f aca="false">IF(L13&gt;0,L13,0)</f>
        <v>528.562137635493</v>
      </c>
      <c r="K13" s="51" t="n">
        <f aca="false">I13+J13</f>
        <v>2699.56213763549</v>
      </c>
      <c r="L13" s="51" t="n">
        <f aca="false">F13-(I13-W13)</f>
        <v>528.562137635493</v>
      </c>
      <c r="M13" s="51" t="n">
        <v>147</v>
      </c>
      <c r="N13" s="51" t="n">
        <v>0</v>
      </c>
      <c r="O13" s="51" t="n">
        <v>0</v>
      </c>
      <c r="P13" s="6" t="n">
        <f aca="false">M13-(N13+O13)</f>
        <v>147</v>
      </c>
      <c r="Q13" s="51" t="n">
        <v>176</v>
      </c>
      <c r="R13" s="51" t="n">
        <v>64</v>
      </c>
      <c r="S13" s="51" t="n">
        <f aca="false">SUM(P13:R13)</f>
        <v>387</v>
      </c>
      <c r="T13" s="52" t="n">
        <f aca="false">T12</f>
        <v>0</v>
      </c>
      <c r="U13" s="51" t="n">
        <v>0</v>
      </c>
      <c r="V13" s="51" t="n">
        <v>2002</v>
      </c>
      <c r="W13" s="6" t="n">
        <f aca="false">N13+O13+S13+U13+V13</f>
        <v>2389</v>
      </c>
      <c r="X13" s="51" t="n">
        <f aca="false">IF(L13&lt;0,L13*-1,0)</f>
        <v>0</v>
      </c>
      <c r="Y13" s="51" t="n">
        <f aca="false">W13+X13</f>
        <v>2389</v>
      </c>
      <c r="Z13" s="56" t="n">
        <v>0</v>
      </c>
      <c r="AA13" s="57" t="n">
        <v>68</v>
      </c>
      <c r="AB13" s="57" t="n">
        <v>39</v>
      </c>
      <c r="AC13" s="58" t="n">
        <f aca="false">AC12+1</f>
        <v>4</v>
      </c>
      <c r="AD13" s="12" t="n">
        <f aca="false">IF(I13&gt;S13,I13-S13,I13-S13)</f>
        <v>1784</v>
      </c>
      <c r="AE13" s="93"/>
      <c r="AF13" s="92"/>
    </row>
    <row r="14" customFormat="false" ht="11.1" hidden="false" customHeight="true" outlineLevel="0" collapsed="false">
      <c r="A14" s="58" t="n">
        <f aca="false">A13+1</f>
        <v>5</v>
      </c>
      <c r="B14" s="73" t="n">
        <v>6913.37</v>
      </c>
      <c r="C14" s="52" t="n">
        <v>335642</v>
      </c>
      <c r="D14" s="57" t="n">
        <f aca="false">C14-C13</f>
        <v>945</v>
      </c>
      <c r="E14" s="52" t="n">
        <f aca="false">C14-152000</f>
        <v>183642</v>
      </c>
      <c r="F14" s="51" t="n">
        <f aca="false">D14/$D$2</f>
        <v>476.430552054449</v>
      </c>
      <c r="G14" s="51" t="n">
        <v>2086</v>
      </c>
      <c r="H14" s="81" t="n">
        <v>243</v>
      </c>
      <c r="I14" s="51" t="n">
        <f aca="false">G14+H14</f>
        <v>2329</v>
      </c>
      <c r="J14" s="81" t="n">
        <f aca="false">IF(L14&gt;0,L14,0)</f>
        <v>574.430552054449</v>
      </c>
      <c r="K14" s="51" t="n">
        <f aca="false">I14+J14</f>
        <v>2903.43055205445</v>
      </c>
      <c r="L14" s="51" t="n">
        <f aca="false">F14-(I14-W14)</f>
        <v>574.430552054449</v>
      </c>
      <c r="M14" s="51" t="n">
        <v>157</v>
      </c>
      <c r="N14" s="51" t="n">
        <v>0</v>
      </c>
      <c r="O14" s="51" t="n">
        <v>0</v>
      </c>
      <c r="P14" s="6" t="n">
        <f aca="false">M14-(N14+O14)</f>
        <v>157</v>
      </c>
      <c r="Q14" s="51" t="n">
        <v>185</v>
      </c>
      <c r="R14" s="51" t="n">
        <v>66</v>
      </c>
      <c r="S14" s="51" t="n">
        <f aca="false">SUM(P14:R14)</f>
        <v>408</v>
      </c>
      <c r="T14" s="52" t="n">
        <f aca="false">T13</f>
        <v>0</v>
      </c>
      <c r="U14" s="51" t="n">
        <v>17</v>
      </c>
      <c r="V14" s="51" t="n">
        <v>2002</v>
      </c>
      <c r="W14" s="6" t="n">
        <f aca="false">N14+O14+S14+U14+V14</f>
        <v>2427</v>
      </c>
      <c r="X14" s="51" t="n">
        <f aca="false">IF(L14&lt;0,L14*-1,0)</f>
        <v>0</v>
      </c>
      <c r="Y14" s="51" t="n">
        <f aca="false">W14+X14</f>
        <v>2427</v>
      </c>
      <c r="Z14" s="56" t="n">
        <v>0.03</v>
      </c>
      <c r="AA14" s="57" t="n">
        <v>68</v>
      </c>
      <c r="AB14" s="57" t="n">
        <v>37</v>
      </c>
      <c r="AC14" s="58" t="n">
        <f aca="false">AC13+1</f>
        <v>5</v>
      </c>
      <c r="AD14" s="12" t="n">
        <f aca="false">IF(I14&gt;S14,I14-S14,I14-S14)</f>
        <v>1921</v>
      </c>
      <c r="AE14" s="93"/>
      <c r="AF14" s="92"/>
    </row>
    <row r="15" customFormat="false" ht="11.1" hidden="false" customHeight="true" outlineLevel="0" collapsed="false">
      <c r="A15" s="58" t="n">
        <f aca="false">A14+1</f>
        <v>6</v>
      </c>
      <c r="B15" s="73" t="n">
        <v>6913.72</v>
      </c>
      <c r="C15" s="52" t="n">
        <v>337080</v>
      </c>
      <c r="D15" s="57" t="n">
        <f aca="false">C15-C14</f>
        <v>1438</v>
      </c>
      <c r="E15" s="52" t="n">
        <f aca="false">C15-152000</f>
        <v>185080</v>
      </c>
      <c r="F15" s="51" t="n">
        <f aca="false">D15/$D$2</f>
        <v>724.981094025712</v>
      </c>
      <c r="G15" s="51" t="n">
        <v>2205</v>
      </c>
      <c r="H15" s="81" t="n">
        <v>240</v>
      </c>
      <c r="I15" s="51" t="n">
        <f aca="false">G15+H15</f>
        <v>2445</v>
      </c>
      <c r="J15" s="81" t="n">
        <f aca="false">IF(L15&gt;0,L15,0)</f>
        <v>702.981094025712</v>
      </c>
      <c r="K15" s="51" t="n">
        <f aca="false">I15+J15</f>
        <v>3147.98109402571</v>
      </c>
      <c r="L15" s="51" t="n">
        <f aca="false">F15-(I15-W15)</f>
        <v>702.981094025712</v>
      </c>
      <c r="M15" s="51" t="n">
        <v>166</v>
      </c>
      <c r="N15" s="51" t="n">
        <v>0</v>
      </c>
      <c r="O15" s="51" t="n">
        <v>0</v>
      </c>
      <c r="P15" s="6" t="n">
        <f aca="false">M15-(N15+O15)</f>
        <v>166</v>
      </c>
      <c r="Q15" s="51" t="n">
        <v>185</v>
      </c>
      <c r="R15" s="51" t="n">
        <v>70</v>
      </c>
      <c r="S15" s="51" t="n">
        <f aca="false">SUM(P15:R15)</f>
        <v>421</v>
      </c>
      <c r="T15" s="52" t="n">
        <f aca="false">T14</f>
        <v>0</v>
      </c>
      <c r="U15" s="51" t="n">
        <v>0</v>
      </c>
      <c r="V15" s="51" t="n">
        <v>2002</v>
      </c>
      <c r="W15" s="6" t="n">
        <f aca="false">N15+O15+S15+U15+V15</f>
        <v>2423</v>
      </c>
      <c r="X15" s="51" t="n">
        <f aca="false">IF(L15&lt;0,L15*-1,0)</f>
        <v>0</v>
      </c>
      <c r="Y15" s="51" t="n">
        <f aca="false">W15+X15</f>
        <v>2423</v>
      </c>
      <c r="Z15" s="56" t="n">
        <v>0</v>
      </c>
      <c r="AA15" s="57" t="n">
        <v>65</v>
      </c>
      <c r="AB15" s="57" t="n">
        <v>38</v>
      </c>
      <c r="AC15" s="58" t="n">
        <f aca="false">AC14+1</f>
        <v>6</v>
      </c>
      <c r="AD15" s="12" t="n">
        <f aca="false">IF(I15&gt;S15,I15-S15,I15-S15)</f>
        <v>2024</v>
      </c>
      <c r="AE15" s="93"/>
      <c r="AF15" s="92"/>
    </row>
    <row r="16" customFormat="false" ht="11.1" hidden="false" customHeight="true" outlineLevel="0" collapsed="false">
      <c r="A16" s="58" t="n">
        <f aca="false">A15+1</f>
        <v>7</v>
      </c>
      <c r="B16" s="73" t="n">
        <v>6914.16</v>
      </c>
      <c r="C16" s="52" t="n">
        <v>338893</v>
      </c>
      <c r="D16" s="57" t="n">
        <f aca="false">C16-C15</f>
        <v>1813</v>
      </c>
      <c r="E16" s="52" t="n">
        <f aca="false">C16-152000</f>
        <v>186893</v>
      </c>
      <c r="F16" s="51" t="n">
        <f aca="false">D16/$D$2</f>
        <v>914.040836904462</v>
      </c>
      <c r="G16" s="51" t="n">
        <v>2315</v>
      </c>
      <c r="H16" s="81" t="n">
        <v>252</v>
      </c>
      <c r="I16" s="51" t="n">
        <f aca="false">G16+H16</f>
        <v>2567</v>
      </c>
      <c r="J16" s="81" t="n">
        <f aca="false">IF(L16&gt;0,L16,0)</f>
        <v>763.040836904462</v>
      </c>
      <c r="K16" s="51" t="n">
        <f aca="false">I16+J16</f>
        <v>3330.04083690446</v>
      </c>
      <c r="L16" s="51" t="n">
        <f aca="false">F16-(I16-W16)</f>
        <v>763.040836904462</v>
      </c>
      <c r="M16" s="51" t="n">
        <v>167</v>
      </c>
      <c r="N16" s="51" t="n">
        <v>0</v>
      </c>
      <c r="O16" s="51" t="n">
        <v>0</v>
      </c>
      <c r="P16" s="6" t="n">
        <f aca="false">M16-(N16+O16)</f>
        <v>167</v>
      </c>
      <c r="Q16" s="51" t="n">
        <v>174</v>
      </c>
      <c r="R16" s="51" t="n">
        <v>73</v>
      </c>
      <c r="S16" s="51" t="n">
        <f aca="false">SUM(P16:R16)</f>
        <v>414</v>
      </c>
      <c r="T16" s="52" t="n">
        <f aca="false">T15</f>
        <v>0</v>
      </c>
      <c r="U16" s="51" t="n">
        <v>0</v>
      </c>
      <c r="V16" s="51" t="n">
        <v>2002</v>
      </c>
      <c r="W16" s="6" t="n">
        <f aca="false">N16+O16+S16+U16+V16</f>
        <v>2416</v>
      </c>
      <c r="X16" s="51" t="n">
        <f aca="false">IF(L16&lt;0,L16*-1,0)</f>
        <v>0</v>
      </c>
      <c r="Y16" s="51" t="n">
        <f aca="false">W16+X16</f>
        <v>2416</v>
      </c>
      <c r="Z16" s="56" t="n">
        <v>0.01</v>
      </c>
      <c r="AA16" s="57" t="n">
        <v>72</v>
      </c>
      <c r="AB16" s="57" t="n">
        <v>41</v>
      </c>
      <c r="AC16" s="58" t="n">
        <f aca="false">AC15+1</f>
        <v>7</v>
      </c>
      <c r="AD16" s="12" t="n">
        <f aca="false">IF(I16&gt;S16,I16-S16,I16-S16)</f>
        <v>2153</v>
      </c>
      <c r="AE16" s="93"/>
      <c r="AF16" s="92"/>
    </row>
    <row r="17" customFormat="false" ht="11.1" hidden="false" customHeight="true" outlineLevel="0" collapsed="false">
      <c r="A17" s="58" t="n">
        <f aca="false">A16+1</f>
        <v>8</v>
      </c>
      <c r="B17" s="73" t="n">
        <v>6914.51</v>
      </c>
      <c r="C17" s="52" t="n">
        <v>340343</v>
      </c>
      <c r="D17" s="57" t="n">
        <f aca="false">C17-C16</f>
        <v>1450</v>
      </c>
      <c r="E17" s="52" t="n">
        <f aca="false">C17-152000</f>
        <v>188343</v>
      </c>
      <c r="F17" s="51" t="n">
        <f aca="false">D17/$D$2</f>
        <v>731.031005797832</v>
      </c>
      <c r="G17" s="51" t="n">
        <v>2599</v>
      </c>
      <c r="H17" s="81" t="n">
        <v>277</v>
      </c>
      <c r="I17" s="51" t="n">
        <f aca="false">G17+H17</f>
        <v>2876</v>
      </c>
      <c r="J17" s="81" t="n">
        <f aca="false">IF(L17&gt;0,L17,0)</f>
        <v>271.031005797832</v>
      </c>
      <c r="K17" s="51" t="n">
        <f aca="false">I17+J17</f>
        <v>3147.03100579783</v>
      </c>
      <c r="L17" s="51" t="n">
        <f aca="false">F17-(I17-W17)</f>
        <v>271.031005797832</v>
      </c>
      <c r="M17" s="51" t="n">
        <v>167</v>
      </c>
      <c r="N17" s="51" t="n">
        <v>0</v>
      </c>
      <c r="O17" s="51" t="n">
        <v>0</v>
      </c>
      <c r="P17" s="6" t="n">
        <f aca="false">M17-(N17+O17)</f>
        <v>167</v>
      </c>
      <c r="Q17" s="51" t="n">
        <v>162</v>
      </c>
      <c r="R17" s="51" t="n">
        <v>85</v>
      </c>
      <c r="S17" s="51" t="n">
        <f aca="false">SUM(P17:R17)</f>
        <v>414</v>
      </c>
      <c r="T17" s="52" t="n">
        <f aca="false">T16</f>
        <v>0</v>
      </c>
      <c r="U17" s="51" t="n">
        <v>0</v>
      </c>
      <c r="V17" s="51" t="n">
        <v>2002</v>
      </c>
      <c r="W17" s="6" t="n">
        <f aca="false">N17+O17+S17+U17+V17</f>
        <v>2416</v>
      </c>
      <c r="X17" s="51" t="n">
        <f aca="false">IF(L17&lt;0,L17*-1,0)</f>
        <v>0</v>
      </c>
      <c r="Y17" s="51" t="n">
        <f aca="false">W17+X17</f>
        <v>2416</v>
      </c>
      <c r="Z17" s="56" t="n">
        <v>0</v>
      </c>
      <c r="AA17" s="57" t="n">
        <v>71</v>
      </c>
      <c r="AB17" s="57" t="n">
        <v>42</v>
      </c>
      <c r="AC17" s="58" t="n">
        <f aca="false">AC16+1</f>
        <v>8</v>
      </c>
      <c r="AD17" s="12" t="n">
        <f aca="false">IF(I17&gt;S17,I17-S17,I17-S17)</f>
        <v>2462</v>
      </c>
      <c r="AE17" s="93"/>
      <c r="AF17" s="92"/>
    </row>
    <row r="18" customFormat="false" ht="11.1" hidden="false" customHeight="true" outlineLevel="0" collapsed="false">
      <c r="A18" s="58" t="n">
        <f aca="false">A17+1</f>
        <v>9</v>
      </c>
      <c r="B18" s="73" t="n">
        <v>6914.71</v>
      </c>
      <c r="C18" s="52" t="n">
        <v>341171</v>
      </c>
      <c r="D18" s="57" t="n">
        <f aca="false">C18-C17</f>
        <v>828</v>
      </c>
      <c r="E18" s="52" t="n">
        <f aca="false">C18-152000</f>
        <v>189171</v>
      </c>
      <c r="F18" s="51" t="n">
        <f aca="false">D18/$D$2</f>
        <v>417.443912276279</v>
      </c>
      <c r="G18" s="51" t="n">
        <v>2576</v>
      </c>
      <c r="H18" s="81" t="n">
        <v>225</v>
      </c>
      <c r="I18" s="51" t="n">
        <f aca="false">G18+H18</f>
        <v>2801</v>
      </c>
      <c r="J18" s="81" t="n">
        <f aca="false">IF(L18&gt;0,L18,0)</f>
        <v>40.4439122762793</v>
      </c>
      <c r="K18" s="51" t="n">
        <f aca="false">I18+J18</f>
        <v>2841.44391227628</v>
      </c>
      <c r="L18" s="51" t="n">
        <f aca="false">F18-(I18-W18)</f>
        <v>40.4439122762793</v>
      </c>
      <c r="M18" s="51" t="n">
        <v>168</v>
      </c>
      <c r="N18" s="51" t="n">
        <v>0</v>
      </c>
      <c r="O18" s="51" t="n">
        <v>0</v>
      </c>
      <c r="P18" s="6" t="n">
        <f aca="false">M18-(N18+O18)</f>
        <v>168</v>
      </c>
      <c r="Q18" s="51" t="n">
        <v>163</v>
      </c>
      <c r="R18" s="51" t="n">
        <v>91</v>
      </c>
      <c r="S18" s="51" t="n">
        <f aca="false">SUM(P18:R18)</f>
        <v>422</v>
      </c>
      <c r="T18" s="52" t="n">
        <f aca="false">T17</f>
        <v>0</v>
      </c>
      <c r="U18" s="51" t="n">
        <v>0</v>
      </c>
      <c r="V18" s="51" t="n">
        <v>2002</v>
      </c>
      <c r="W18" s="6" t="n">
        <f aca="false">N18+O18+S18+U18+V18</f>
        <v>2424</v>
      </c>
      <c r="X18" s="51" t="n">
        <f aca="false">IF(L18&lt;0,L18*-1,0)</f>
        <v>0</v>
      </c>
      <c r="Y18" s="51" t="n">
        <f aca="false">W18+X18</f>
        <v>2424</v>
      </c>
      <c r="Z18" s="56" t="n">
        <v>0</v>
      </c>
      <c r="AA18" s="57" t="n">
        <v>71</v>
      </c>
      <c r="AB18" s="57" t="n">
        <v>44</v>
      </c>
      <c r="AC18" s="58" t="n">
        <f aca="false">AC17+1</f>
        <v>9</v>
      </c>
      <c r="AD18" s="12" t="n">
        <f aca="false">IF(I18&gt;S18,I18-S18,I18-S18)</f>
        <v>2379</v>
      </c>
      <c r="AE18" s="93"/>
      <c r="AF18" s="92"/>
    </row>
    <row r="19" customFormat="false" ht="11.1" hidden="false" customHeight="true" outlineLevel="0" collapsed="false">
      <c r="A19" s="58" t="n">
        <f aca="false">A18+1</f>
        <v>10</v>
      </c>
      <c r="B19" s="73" t="n">
        <v>6915.05</v>
      </c>
      <c r="C19" s="52" t="n">
        <v>342581</v>
      </c>
      <c r="D19" s="57" t="n">
        <f aca="false">C19-C18</f>
        <v>1410</v>
      </c>
      <c r="E19" s="52" t="n">
        <f aca="false">C19-152000</f>
        <v>190581</v>
      </c>
      <c r="F19" s="51" t="n">
        <f aca="false">D19/$D$2</f>
        <v>710.864633224099</v>
      </c>
      <c r="G19" s="51" t="n">
        <v>2549</v>
      </c>
      <c r="H19" s="81" t="n">
        <v>181</v>
      </c>
      <c r="I19" s="51" t="n">
        <f aca="false">G19+H19</f>
        <v>2730</v>
      </c>
      <c r="J19" s="81" t="n">
        <f aca="false">IF(L19&gt;0,L19,0)</f>
        <v>404.864633224099</v>
      </c>
      <c r="K19" s="51" t="n">
        <f aca="false">I19+J19</f>
        <v>3134.8646332241</v>
      </c>
      <c r="L19" s="51" t="n">
        <f aca="false">F19-(I19-W19)</f>
        <v>404.864633224099</v>
      </c>
      <c r="M19" s="51" t="n">
        <v>168</v>
      </c>
      <c r="N19" s="51" t="n">
        <v>0</v>
      </c>
      <c r="O19" s="51" t="n">
        <v>0</v>
      </c>
      <c r="P19" s="6" t="n">
        <f aca="false">M19-(N19+O19)</f>
        <v>168</v>
      </c>
      <c r="Q19" s="51" t="n">
        <v>163</v>
      </c>
      <c r="R19" s="51" t="n">
        <v>91</v>
      </c>
      <c r="S19" s="51" t="n">
        <f aca="false">SUM(P19:R19)</f>
        <v>422</v>
      </c>
      <c r="T19" s="52" t="n">
        <f aca="false">T18</f>
        <v>0</v>
      </c>
      <c r="U19" s="51" t="n">
        <v>0</v>
      </c>
      <c r="V19" s="51" t="n">
        <v>2002</v>
      </c>
      <c r="W19" s="6" t="n">
        <f aca="false">N19+O19+S19+U19+V19</f>
        <v>2424</v>
      </c>
      <c r="X19" s="51" t="n">
        <f aca="false">IF(L19&lt;0,L19*-1,0)</f>
        <v>0</v>
      </c>
      <c r="Y19" s="51" t="n">
        <f aca="false">W19+X19</f>
        <v>2424</v>
      </c>
      <c r="Z19" s="56" t="n">
        <v>0.02</v>
      </c>
      <c r="AA19" s="57" t="n">
        <v>72</v>
      </c>
      <c r="AB19" s="57" t="n">
        <v>42</v>
      </c>
      <c r="AC19" s="58" t="n">
        <f aca="false">AC18+1</f>
        <v>10</v>
      </c>
      <c r="AD19" s="12" t="n">
        <f aca="false">IF(I19&gt;S19,I19-S19,I19-S19)</f>
        <v>2308</v>
      </c>
      <c r="AE19" s="93"/>
      <c r="AF19" s="92"/>
    </row>
    <row r="20" customFormat="false" ht="11.1" hidden="false" customHeight="true" outlineLevel="0" collapsed="false">
      <c r="A20" s="58" t="n">
        <f aca="false">A19+1</f>
        <v>11</v>
      </c>
      <c r="B20" s="73" t="n">
        <v>6915.38</v>
      </c>
      <c r="C20" s="52" t="n">
        <v>343959</v>
      </c>
      <c r="D20" s="57" t="n">
        <f aca="false">C20-C19</f>
        <v>1378</v>
      </c>
      <c r="E20" s="52" t="n">
        <f aca="false">C20-152000</f>
        <v>191959</v>
      </c>
      <c r="F20" s="51" t="n">
        <f aca="false">D20/$D$2</f>
        <v>694.731535165112</v>
      </c>
      <c r="G20" s="51" t="n">
        <v>2468</v>
      </c>
      <c r="H20" s="81" t="n">
        <v>149</v>
      </c>
      <c r="I20" s="51" t="n">
        <f aca="false">G20+H20</f>
        <v>2617</v>
      </c>
      <c r="J20" s="81" t="n">
        <f aca="false">IF(L20&gt;0,L20,0)</f>
        <v>490.731535165112</v>
      </c>
      <c r="K20" s="51" t="n">
        <f aca="false">I20+J20</f>
        <v>3107.73153516511</v>
      </c>
      <c r="L20" s="51" t="n">
        <f aca="false">F20-(I20-W20)</f>
        <v>490.731535165112</v>
      </c>
      <c r="M20" s="51" t="n">
        <v>169</v>
      </c>
      <c r="N20" s="51" t="n">
        <v>0</v>
      </c>
      <c r="O20" s="51" t="n">
        <v>0</v>
      </c>
      <c r="P20" s="6" t="n">
        <f aca="false">M20-(N20+O20)</f>
        <v>169</v>
      </c>
      <c r="Q20" s="51" t="n">
        <v>143</v>
      </c>
      <c r="R20" s="51" t="n">
        <v>99</v>
      </c>
      <c r="S20" s="51" t="n">
        <f aca="false">SUM(P20:R20)</f>
        <v>411</v>
      </c>
      <c r="T20" s="52" t="n">
        <f aca="false">T19</f>
        <v>0</v>
      </c>
      <c r="U20" s="51" t="n">
        <v>0</v>
      </c>
      <c r="V20" s="51" t="n">
        <v>2002</v>
      </c>
      <c r="W20" s="6" t="n">
        <f aca="false">N20+O20+S20+U20+V20</f>
        <v>2413</v>
      </c>
      <c r="X20" s="51" t="n">
        <f aca="false">IF(L20&lt;0,L20*-1,0)</f>
        <v>0</v>
      </c>
      <c r="Y20" s="51" t="n">
        <f aca="false">W20+X20</f>
        <v>2413</v>
      </c>
      <c r="Z20" s="56" t="n">
        <v>0.01</v>
      </c>
      <c r="AA20" s="57" t="n">
        <v>70</v>
      </c>
      <c r="AB20" s="57" t="n">
        <v>42</v>
      </c>
      <c r="AC20" s="58" t="n">
        <f aca="false">AC19+1</f>
        <v>11</v>
      </c>
      <c r="AD20" s="12" t="n">
        <f aca="false">IF(I20&gt;S20,I20-S20,I20-S20)</f>
        <v>2206</v>
      </c>
      <c r="AE20" s="93"/>
      <c r="AF20" s="92"/>
    </row>
    <row r="21" customFormat="false" ht="11.1" hidden="false" customHeight="true" outlineLevel="0" collapsed="false">
      <c r="A21" s="58" t="n">
        <f aca="false">A20+1</f>
        <v>12</v>
      </c>
      <c r="B21" s="73" t="n">
        <v>6915.76</v>
      </c>
      <c r="C21" s="52" t="n">
        <v>345545</v>
      </c>
      <c r="D21" s="57" t="n">
        <f aca="false">C21-C20</f>
        <v>1586</v>
      </c>
      <c r="E21" s="52" t="n">
        <f aca="false">C21-152000</f>
        <v>193545</v>
      </c>
      <c r="F21" s="51" t="n">
        <f aca="false">D21/$D$2</f>
        <v>799.596672548525</v>
      </c>
      <c r="G21" s="51" t="n">
        <v>2444</v>
      </c>
      <c r="H21" s="81" t="n">
        <v>133</v>
      </c>
      <c r="I21" s="51" t="n">
        <f aca="false">G21+H21</f>
        <v>2577</v>
      </c>
      <c r="J21" s="81" t="n">
        <f aca="false">IF(L21&gt;0,L21,0)</f>
        <v>576.596672548525</v>
      </c>
      <c r="K21" s="51" t="n">
        <f aca="false">I21+J21</f>
        <v>3153.59667254853</v>
      </c>
      <c r="L21" s="51" t="n">
        <f aca="false">F21-(I21-W21)</f>
        <v>576.596672548525</v>
      </c>
      <c r="M21" s="51" t="n">
        <v>169</v>
      </c>
      <c r="N21" s="51" t="n">
        <v>0</v>
      </c>
      <c r="O21" s="51" t="n">
        <v>0</v>
      </c>
      <c r="P21" s="6" t="n">
        <f aca="false">M21-(N21+O21)</f>
        <v>169</v>
      </c>
      <c r="Q21" s="51" t="n">
        <v>92</v>
      </c>
      <c r="R21" s="51" t="n">
        <v>91</v>
      </c>
      <c r="S21" s="51" t="n">
        <f aca="false">SUM(P21:R21)</f>
        <v>352</v>
      </c>
      <c r="T21" s="52" t="n">
        <f aca="false">T20</f>
        <v>0</v>
      </c>
      <c r="U21" s="51" t="n">
        <v>0</v>
      </c>
      <c r="V21" s="51" t="n">
        <v>2002</v>
      </c>
      <c r="W21" s="6" t="n">
        <f aca="false">N21+O21+S21+U21+V21</f>
        <v>2354</v>
      </c>
      <c r="X21" s="51" t="n">
        <f aca="false">IF(L21&lt;0,L21*-1,0)</f>
        <v>0</v>
      </c>
      <c r="Y21" s="51" t="n">
        <f aca="false">W21+X21</f>
        <v>2354</v>
      </c>
      <c r="Z21" s="56" t="n">
        <v>0.01</v>
      </c>
      <c r="AA21" s="57" t="n">
        <v>70</v>
      </c>
      <c r="AB21" s="57" t="n">
        <v>42</v>
      </c>
      <c r="AC21" s="58" t="n">
        <f aca="false">AC20+1</f>
        <v>12</v>
      </c>
      <c r="AD21" s="12" t="n">
        <f aca="false">IF(I21&gt;S21,I21-S21,I21-S21)</f>
        <v>2225</v>
      </c>
      <c r="AE21" s="93"/>
      <c r="AF21" s="92"/>
    </row>
    <row r="22" customFormat="false" ht="11.1" hidden="false" customHeight="true" outlineLevel="0" collapsed="false">
      <c r="A22" s="58" t="n">
        <f aca="false">A21+1</f>
        <v>13</v>
      </c>
      <c r="B22" s="73" t="n">
        <v>6916.04</v>
      </c>
      <c r="C22" s="52" t="n">
        <v>346715</v>
      </c>
      <c r="D22" s="57" t="n">
        <f aca="false">C22-C21</f>
        <v>1170</v>
      </c>
      <c r="E22" s="52" t="n">
        <f aca="false">C22-152000</f>
        <v>194715</v>
      </c>
      <c r="F22" s="51" t="n">
        <f aca="false">D22/$D$2</f>
        <v>589.866397781699</v>
      </c>
      <c r="G22" s="51" t="n">
        <v>2507</v>
      </c>
      <c r="H22" s="81" t="n">
        <v>126</v>
      </c>
      <c r="I22" s="51" t="n">
        <f aca="false">G22+H22</f>
        <v>2633</v>
      </c>
      <c r="J22" s="81" t="n">
        <f aca="false">IF(L22&gt;0,L22,0)</f>
        <v>351.866397781699</v>
      </c>
      <c r="K22" s="51" t="n">
        <f aca="false">I22+J22</f>
        <v>2984.8663977817</v>
      </c>
      <c r="L22" s="51" t="n">
        <f aca="false">F22-(I22-W22)</f>
        <v>351.866397781699</v>
      </c>
      <c r="M22" s="51" t="n">
        <v>182</v>
      </c>
      <c r="N22" s="51" t="n">
        <v>0</v>
      </c>
      <c r="O22" s="51" t="n">
        <v>0</v>
      </c>
      <c r="P22" s="6" t="n">
        <f aca="false">M22-(N22+O22)</f>
        <v>182</v>
      </c>
      <c r="Q22" s="51" t="n">
        <v>125</v>
      </c>
      <c r="R22" s="51" t="n">
        <v>86</v>
      </c>
      <c r="S22" s="51" t="n">
        <f aca="false">SUM(P22:R22)</f>
        <v>393</v>
      </c>
      <c r="T22" s="52" t="n">
        <f aca="false">T21</f>
        <v>0</v>
      </c>
      <c r="U22" s="51" t="n">
        <v>0</v>
      </c>
      <c r="V22" s="51" t="n">
        <v>2002</v>
      </c>
      <c r="W22" s="6" t="n">
        <f aca="false">N22+O22+S22+U22+V22</f>
        <v>2395</v>
      </c>
      <c r="X22" s="51" t="n">
        <f aca="false">IF(L22&lt;0,L22*-1,0)</f>
        <v>0</v>
      </c>
      <c r="Y22" s="51" t="n">
        <f aca="false">W22+X22</f>
        <v>2395</v>
      </c>
      <c r="Z22" s="56" t="n">
        <v>0.02</v>
      </c>
      <c r="AA22" s="57" t="n">
        <v>73</v>
      </c>
      <c r="AB22" s="57" t="n">
        <v>42</v>
      </c>
      <c r="AC22" s="58" t="n">
        <f aca="false">AC21+1</f>
        <v>13</v>
      </c>
      <c r="AD22" s="12" t="n">
        <f aca="false">IF(I22&gt;S22,I22-S22,I22-S22)</f>
        <v>2240</v>
      </c>
      <c r="AE22" s="93"/>
      <c r="AF22" s="92"/>
    </row>
    <row r="23" customFormat="false" ht="11.1" hidden="false" customHeight="true" outlineLevel="0" collapsed="false">
      <c r="A23" s="58" t="n">
        <f aca="false">A22+1</f>
        <v>14</v>
      </c>
      <c r="B23" s="73" t="n">
        <v>6916.55</v>
      </c>
      <c r="C23" s="52" t="n">
        <v>348861</v>
      </c>
      <c r="D23" s="57" t="n">
        <f aca="false">C23-C22</f>
        <v>2146</v>
      </c>
      <c r="E23" s="52" t="n">
        <f aca="false">C23-152000</f>
        <v>196861</v>
      </c>
      <c r="F23" s="51" t="n">
        <f aca="false">D23/$D$2</f>
        <v>1081.92588858079</v>
      </c>
      <c r="G23" s="51" t="n">
        <v>2691</v>
      </c>
      <c r="H23" s="81" t="n">
        <v>165</v>
      </c>
      <c r="I23" s="51" t="n">
        <f aca="false">G23+H23</f>
        <v>2856</v>
      </c>
      <c r="J23" s="81" t="n">
        <f aca="false">IF(L23&gt;0,L23,0)</f>
        <v>674.925888580792</v>
      </c>
      <c r="K23" s="51" t="n">
        <f aca="false">I23+J23</f>
        <v>3530.92588858079</v>
      </c>
      <c r="L23" s="51" t="n">
        <f aca="false">F23-(I23-W23)</f>
        <v>674.925888580792</v>
      </c>
      <c r="M23" s="51" t="n">
        <v>192</v>
      </c>
      <c r="N23" s="51" t="n">
        <v>0</v>
      </c>
      <c r="O23" s="51" t="n">
        <v>0</v>
      </c>
      <c r="P23" s="6" t="n">
        <f aca="false">M23-(N23+O23)</f>
        <v>192</v>
      </c>
      <c r="Q23" s="51" t="n">
        <v>163</v>
      </c>
      <c r="R23" s="51" t="n">
        <v>92</v>
      </c>
      <c r="S23" s="51" t="n">
        <f aca="false">SUM(P23:R23)</f>
        <v>447</v>
      </c>
      <c r="T23" s="52" t="n">
        <f aca="false">T22</f>
        <v>0</v>
      </c>
      <c r="U23" s="51" t="n">
        <v>0</v>
      </c>
      <c r="V23" s="51" t="n">
        <v>2002</v>
      </c>
      <c r="W23" s="6" t="n">
        <f aca="false">N23+O23+S23+U23+V23</f>
        <v>2449</v>
      </c>
      <c r="X23" s="51" t="n">
        <f aca="false">IF(L23&lt;0,L23*-1,0)</f>
        <v>0</v>
      </c>
      <c r="Y23" s="51" t="n">
        <f aca="false">W23+X23</f>
        <v>2449</v>
      </c>
      <c r="Z23" s="56" t="n">
        <v>0.6</v>
      </c>
      <c r="AA23" s="57" t="n">
        <v>75</v>
      </c>
      <c r="AB23" s="57" t="n">
        <v>43</v>
      </c>
      <c r="AC23" s="58" t="n">
        <f aca="false">AC22+1</f>
        <v>14</v>
      </c>
      <c r="AD23" s="12" t="n">
        <f aca="false">IF(I23&gt;S23,I23-S23,I23-S23)</f>
        <v>2409</v>
      </c>
      <c r="AE23" s="93"/>
      <c r="AF23" s="92"/>
    </row>
    <row r="24" customFormat="false" ht="11.1" hidden="false" customHeight="true" outlineLevel="0" collapsed="false">
      <c r="A24" s="58" t="n">
        <f aca="false">A23+1</f>
        <v>15</v>
      </c>
      <c r="B24" s="73" t="n">
        <v>6917.2</v>
      </c>
      <c r="C24" s="52" t="n">
        <v>351602</v>
      </c>
      <c r="D24" s="57" t="n">
        <f aca="false">C24-C23</f>
        <v>2741</v>
      </c>
      <c r="E24" s="52" t="n">
        <f aca="false">C24-152000</f>
        <v>199602</v>
      </c>
      <c r="F24" s="51" t="n">
        <f aca="false">D24/$D$2</f>
        <v>1381.90068061507</v>
      </c>
      <c r="G24" s="51" t="n">
        <v>2993</v>
      </c>
      <c r="H24" s="81" t="n">
        <v>149</v>
      </c>
      <c r="I24" s="51" t="n">
        <f aca="false">G24+H24</f>
        <v>3142</v>
      </c>
      <c r="J24" s="81" t="n">
        <f aca="false">IF(L24&gt;0,L24,0)</f>
        <v>660.900680615074</v>
      </c>
      <c r="K24" s="101" t="n">
        <f aca="false">I24+J24</f>
        <v>3802.90068061507</v>
      </c>
      <c r="L24" s="51" t="n">
        <f aca="false">F24-(I24-W24)</f>
        <v>660.900680615074</v>
      </c>
      <c r="M24" s="51" t="n">
        <v>164</v>
      </c>
      <c r="N24" s="51" t="n">
        <v>0</v>
      </c>
      <c r="O24" s="51" t="n">
        <v>0</v>
      </c>
      <c r="P24" s="6" t="n">
        <f aca="false">M24-(N24+O24)</f>
        <v>164</v>
      </c>
      <c r="Q24" s="51" t="n">
        <v>163</v>
      </c>
      <c r="R24" s="51" t="n">
        <v>92</v>
      </c>
      <c r="S24" s="51" t="n">
        <f aca="false">SUM(P24:R24)</f>
        <v>419</v>
      </c>
      <c r="T24" s="52" t="n">
        <f aca="false">T23</f>
        <v>0</v>
      </c>
      <c r="U24" s="51" t="n">
        <v>0</v>
      </c>
      <c r="V24" s="51" t="n">
        <v>2002</v>
      </c>
      <c r="W24" s="6" t="n">
        <f aca="false">N24+O24+S24+U24+V24</f>
        <v>2421</v>
      </c>
      <c r="X24" s="51" t="n">
        <f aca="false">IF(L24&lt;0,L24*-1,0)</f>
        <v>0</v>
      </c>
      <c r="Y24" s="51" t="n">
        <f aca="false">W24+X24</f>
        <v>2421</v>
      </c>
      <c r="Z24" s="56" t="n">
        <v>0.09</v>
      </c>
      <c r="AA24" s="57" t="n">
        <v>71</v>
      </c>
      <c r="AB24" s="57" t="n">
        <v>43</v>
      </c>
      <c r="AC24" s="58" t="n">
        <f aca="false">AC23+1</f>
        <v>15</v>
      </c>
      <c r="AD24" s="12" t="n">
        <f aca="false">IF(I24&gt;S24,I24-S24,I24-S24)</f>
        <v>2723</v>
      </c>
      <c r="AE24" s="93"/>
      <c r="AF24" s="92"/>
    </row>
    <row r="25" customFormat="false" ht="11.1" hidden="false" customHeight="true" outlineLevel="0" collapsed="false">
      <c r="A25" s="58" t="n">
        <f aca="false">A24+1</f>
        <v>16</v>
      </c>
      <c r="B25" s="73" t="n">
        <v>6918.05</v>
      </c>
      <c r="C25" s="52" t="n">
        <v>355207</v>
      </c>
      <c r="D25" s="57" t="n">
        <f aca="false">C25-C24</f>
        <v>3605</v>
      </c>
      <c r="E25" s="52" t="n">
        <f aca="false">C25-152000</f>
        <v>203207</v>
      </c>
      <c r="F25" s="51" t="n">
        <f aca="false">D25/$D$2</f>
        <v>1817.49432820771</v>
      </c>
      <c r="G25" s="51" t="n">
        <v>3284</v>
      </c>
      <c r="H25" s="81" t="n">
        <v>138</v>
      </c>
      <c r="I25" s="51" t="n">
        <f aca="false">G25+H25</f>
        <v>3422</v>
      </c>
      <c r="J25" s="81" t="n">
        <f aca="false">IF(L25&gt;0,L25,0)</f>
        <v>836.494328207714</v>
      </c>
      <c r="K25" s="51" t="n">
        <f aca="false">I25+J25</f>
        <v>4258.49432820771</v>
      </c>
      <c r="L25" s="51" t="n">
        <f aca="false">F25-(I25-W25)</f>
        <v>836.494328207714</v>
      </c>
      <c r="M25" s="51" t="n">
        <v>182</v>
      </c>
      <c r="N25" s="51" t="n">
        <v>0</v>
      </c>
      <c r="O25" s="51" t="n">
        <v>0</v>
      </c>
      <c r="P25" s="6" t="n">
        <f aca="false">M25-(N25+O25)</f>
        <v>182</v>
      </c>
      <c r="Q25" s="51" t="n">
        <v>164</v>
      </c>
      <c r="R25" s="51" t="n">
        <v>93</v>
      </c>
      <c r="S25" s="51" t="n">
        <f aca="false">SUM(P25:R25)</f>
        <v>439</v>
      </c>
      <c r="T25" s="52" t="n">
        <f aca="false">T24</f>
        <v>0</v>
      </c>
      <c r="U25" s="51" t="n">
        <v>0</v>
      </c>
      <c r="V25" s="51" t="n">
        <v>2002</v>
      </c>
      <c r="W25" s="6" t="n">
        <f aca="false">N25+O25+S25+U25+V25</f>
        <v>2441</v>
      </c>
      <c r="X25" s="51" t="n">
        <f aca="false">IF(L25&lt;0,L25*-1,0)</f>
        <v>0</v>
      </c>
      <c r="Y25" s="51" t="n">
        <f aca="false">W25+X25</f>
        <v>2441</v>
      </c>
      <c r="Z25" s="56" t="n">
        <v>0.01</v>
      </c>
      <c r="AA25" s="57" t="n">
        <v>70</v>
      </c>
      <c r="AB25" s="57" t="n">
        <v>43</v>
      </c>
      <c r="AC25" s="58" t="n">
        <f aca="false">AC24+1</f>
        <v>16</v>
      </c>
      <c r="AD25" s="12" t="n">
        <f aca="false">IF(I25&gt;S25,I25-S25,I25-S25)</f>
        <v>2983</v>
      </c>
      <c r="AE25" s="93"/>
      <c r="AF25" s="92"/>
    </row>
    <row r="26" customFormat="false" ht="11.1" hidden="false" customHeight="true" outlineLevel="0" collapsed="false">
      <c r="A26" s="58" t="n">
        <f aca="false">A25+1</f>
        <v>17</v>
      </c>
      <c r="B26" s="73" t="n">
        <v>6918.45</v>
      </c>
      <c r="C26" s="52" t="n">
        <v>356917</v>
      </c>
      <c r="D26" s="57" t="n">
        <f aca="false">C26-C25</f>
        <v>1710</v>
      </c>
      <c r="E26" s="52" t="n">
        <f aca="false">C26-152000</f>
        <v>204917</v>
      </c>
      <c r="F26" s="51" t="n">
        <f aca="false">D26/$D$2</f>
        <v>862.112427527099</v>
      </c>
      <c r="G26" s="51" t="n">
        <v>3297</v>
      </c>
      <c r="H26" s="81" t="n">
        <v>156</v>
      </c>
      <c r="I26" s="51" t="n">
        <f aca="false">G26+H26</f>
        <v>3453</v>
      </c>
      <c r="J26" s="81" t="n">
        <f aca="false">IF(L26&gt;0,L26,0)</f>
        <v>124.112427527099</v>
      </c>
      <c r="K26" s="101" t="n">
        <f aca="false">I26+J26</f>
        <v>3577.1124275271</v>
      </c>
      <c r="L26" s="51" t="n">
        <f aca="false">F26-(I26-W26)</f>
        <v>124.112427527099</v>
      </c>
      <c r="M26" s="51" t="n">
        <v>182</v>
      </c>
      <c r="N26" s="51" t="n">
        <v>0</v>
      </c>
      <c r="O26" s="51" t="n">
        <v>0</v>
      </c>
      <c r="P26" s="6" t="n">
        <f aca="false">M26-(N26+O26)</f>
        <v>182</v>
      </c>
      <c r="Q26" s="51" t="n">
        <v>166</v>
      </c>
      <c r="R26" s="51" t="n">
        <v>92</v>
      </c>
      <c r="S26" s="51" t="n">
        <f aca="false">SUM(P26:R26)</f>
        <v>440</v>
      </c>
      <c r="T26" s="52" t="n">
        <f aca="false">T25</f>
        <v>0</v>
      </c>
      <c r="U26" s="51" t="n">
        <v>0</v>
      </c>
      <c r="V26" s="51" t="n">
        <v>2275</v>
      </c>
      <c r="W26" s="6" t="n">
        <f aca="false">N26+O26+S26+U26+V26</f>
        <v>2715</v>
      </c>
      <c r="X26" s="51" t="n">
        <f aca="false">IF(L26&lt;0,L26*-1,0)</f>
        <v>0</v>
      </c>
      <c r="Y26" s="51" t="n">
        <f aca="false">W26+X26</f>
        <v>2715</v>
      </c>
      <c r="Z26" s="56" t="n">
        <v>0.05</v>
      </c>
      <c r="AA26" s="57" t="n">
        <v>72</v>
      </c>
      <c r="AB26" s="57" t="n">
        <v>44</v>
      </c>
      <c r="AC26" s="58" t="n">
        <f aca="false">AC25+1</f>
        <v>17</v>
      </c>
      <c r="AD26" s="12" t="n">
        <f aca="false">IF(I26&gt;S26,I26-S26,I26-S26)</f>
        <v>3013</v>
      </c>
      <c r="AE26" s="93"/>
      <c r="AF26" s="92"/>
    </row>
    <row r="27" customFormat="false" ht="11.1" hidden="false" customHeight="true" outlineLevel="0" collapsed="false">
      <c r="A27" s="58" t="n">
        <f aca="false">A26+1</f>
        <v>18</v>
      </c>
      <c r="B27" s="73" t="n">
        <v>6918.94</v>
      </c>
      <c r="C27" s="52" t="n">
        <v>359010</v>
      </c>
      <c r="D27" s="57" t="n">
        <f aca="false">C27-C26</f>
        <v>2093</v>
      </c>
      <c r="E27" s="52" t="n">
        <f aca="false">C27-152000</f>
        <v>207010</v>
      </c>
      <c r="F27" s="51" t="n">
        <f aca="false">D27/$D$2</f>
        <v>1055.20544492059</v>
      </c>
      <c r="G27" s="51" t="n">
        <v>3384</v>
      </c>
      <c r="H27" s="81" t="n">
        <v>151</v>
      </c>
      <c r="I27" s="51" t="n">
        <f aca="false">G27+H27</f>
        <v>3535</v>
      </c>
      <c r="J27" s="81" t="n">
        <f aca="false">IF(L27&gt;0,L27,0)</f>
        <v>363.205444920595</v>
      </c>
      <c r="K27" s="51" t="n">
        <f aca="false">I27+J27</f>
        <v>3898.20544492059</v>
      </c>
      <c r="L27" s="51" t="n">
        <f aca="false">F27-(I27-W27)</f>
        <v>363.205444920595</v>
      </c>
      <c r="M27" s="51" t="n">
        <v>183</v>
      </c>
      <c r="N27" s="51" t="n">
        <v>0</v>
      </c>
      <c r="O27" s="51" t="n">
        <v>0</v>
      </c>
      <c r="P27" s="6" t="n">
        <f aca="false">M27-(N27+O27)</f>
        <v>183</v>
      </c>
      <c r="Q27" s="51" t="n">
        <v>166</v>
      </c>
      <c r="R27" s="51" t="n">
        <v>92</v>
      </c>
      <c r="S27" s="51" t="n">
        <f aca="false">SUM(P27:R27)</f>
        <v>441</v>
      </c>
      <c r="T27" s="52" t="n">
        <f aca="false">T26</f>
        <v>0</v>
      </c>
      <c r="U27" s="51" t="n">
        <v>0</v>
      </c>
      <c r="V27" s="51" t="n">
        <v>2402</v>
      </c>
      <c r="W27" s="6" t="n">
        <f aca="false">N27+O27+S27+U27+V27</f>
        <v>2843</v>
      </c>
      <c r="X27" s="51" t="n">
        <f aca="false">IF(L27&lt;0,L27*-1,0)</f>
        <v>0</v>
      </c>
      <c r="Y27" s="51" t="n">
        <f aca="false">W27+X27</f>
        <v>2843</v>
      </c>
      <c r="Z27" s="56" t="n">
        <v>0.01</v>
      </c>
      <c r="AA27" s="57" t="n">
        <v>71</v>
      </c>
      <c r="AB27" s="57" t="n">
        <v>43</v>
      </c>
      <c r="AC27" s="58" t="n">
        <f aca="false">AC26+1</f>
        <v>18</v>
      </c>
      <c r="AD27" s="12" t="n">
        <f aca="false">IF(I27&gt;S27,I27-S27,I27-S27)</f>
        <v>3094</v>
      </c>
      <c r="AE27" s="93"/>
      <c r="AF27" s="92"/>
    </row>
    <row r="28" customFormat="false" ht="11.1" hidden="false" customHeight="true" outlineLevel="0" collapsed="false">
      <c r="A28" s="58" t="n">
        <f aca="false">A27+1</f>
        <v>19</v>
      </c>
      <c r="B28" s="73" t="n">
        <v>6919.15</v>
      </c>
      <c r="C28" s="98" t="n">
        <v>359913</v>
      </c>
      <c r="D28" s="57" t="n">
        <f aca="false">C28-C27</f>
        <v>903</v>
      </c>
      <c r="E28" s="52" t="n">
        <f aca="false">C28-152000</f>
        <v>207913</v>
      </c>
      <c r="F28" s="51" t="n">
        <f aca="false">D28/$D$2</f>
        <v>455.255860852029</v>
      </c>
      <c r="G28" s="51" t="n">
        <v>3018</v>
      </c>
      <c r="H28" s="81" t="n">
        <v>110</v>
      </c>
      <c r="I28" s="51" t="n">
        <f aca="false">G28+H28</f>
        <v>3128</v>
      </c>
      <c r="J28" s="81" t="n">
        <f aca="false">IF(L28&gt;0,L28,0)</f>
        <v>186.255860852029</v>
      </c>
      <c r="K28" s="51" t="n">
        <f aca="false">I28+J28</f>
        <v>3314.25586085203</v>
      </c>
      <c r="L28" s="51" t="n">
        <f aca="false">F28-(I28-W28)</f>
        <v>186.255860852029</v>
      </c>
      <c r="M28" s="51" t="n">
        <v>192</v>
      </c>
      <c r="N28" s="51" t="n">
        <v>0</v>
      </c>
      <c r="O28" s="51" t="n">
        <v>0</v>
      </c>
      <c r="P28" s="6" t="n">
        <f aca="false">M28-(N28+O28)</f>
        <v>192</v>
      </c>
      <c r="Q28" s="51" t="n">
        <v>166</v>
      </c>
      <c r="R28" s="51" t="n">
        <v>94</v>
      </c>
      <c r="S28" s="51" t="n">
        <f aca="false">SUM(P28:R28)</f>
        <v>452</v>
      </c>
      <c r="T28" s="52" t="n">
        <f aca="false">T27</f>
        <v>0</v>
      </c>
      <c r="U28" s="51" t="n">
        <v>5</v>
      </c>
      <c r="V28" s="51" t="n">
        <v>2402</v>
      </c>
      <c r="W28" s="6" t="n">
        <f aca="false">N28+O28+S28+U28+V28</f>
        <v>2859</v>
      </c>
      <c r="X28" s="51" t="n">
        <f aca="false">IF(L28&lt;0,L28*-1,0)</f>
        <v>0</v>
      </c>
      <c r="Y28" s="51" t="n">
        <f aca="false">W28+X28</f>
        <v>2859</v>
      </c>
      <c r="Z28" s="56" t="n">
        <v>0.11</v>
      </c>
      <c r="AA28" s="57" t="n">
        <v>70</v>
      </c>
      <c r="AB28" s="57" t="n">
        <v>43</v>
      </c>
      <c r="AC28" s="58" t="n">
        <f aca="false">AC27+1</f>
        <v>19</v>
      </c>
      <c r="AD28" s="12" t="n">
        <f aca="false">IF(I28&gt;S28,I28-S28,I28-S28)</f>
        <v>2676</v>
      </c>
      <c r="AE28" s="93"/>
      <c r="AF28" s="92"/>
    </row>
    <row r="29" customFormat="false" ht="11.1" hidden="false" customHeight="true" outlineLevel="0" collapsed="false">
      <c r="A29" s="58" t="n">
        <f aca="false">A28+1</f>
        <v>20</v>
      </c>
      <c r="B29" s="73" t="n">
        <v>6918.85</v>
      </c>
      <c r="C29" s="52" t="n">
        <v>358626</v>
      </c>
      <c r="D29" s="57" t="n">
        <f aca="false">C29-C28</f>
        <v>-1287</v>
      </c>
      <c r="E29" s="52" t="n">
        <f aca="false">C29-152000</f>
        <v>206626</v>
      </c>
      <c r="F29" s="51" t="n">
        <f aca="false">D29/$D$2</f>
        <v>-648.853037559869</v>
      </c>
      <c r="G29" s="51" t="n">
        <v>2616</v>
      </c>
      <c r="H29" s="81" t="n">
        <v>86</v>
      </c>
      <c r="I29" s="51" t="n">
        <f aca="false">G29+H29</f>
        <v>2702</v>
      </c>
      <c r="J29" s="81" t="n">
        <f aca="false">IF(L29&gt;0,L29,0)</f>
        <v>444.146962440131</v>
      </c>
      <c r="K29" s="51" t="n">
        <f aca="false">I29+J29</f>
        <v>3146.14696244013</v>
      </c>
      <c r="L29" s="51" t="n">
        <f aca="false">F29-(I29-W29)</f>
        <v>444.146962440131</v>
      </c>
      <c r="M29" s="51" t="n">
        <v>197</v>
      </c>
      <c r="N29" s="51" t="n">
        <v>0</v>
      </c>
      <c r="O29" s="51" t="n">
        <v>0</v>
      </c>
      <c r="P29" s="6" t="n">
        <f aca="false">M29-(N29+O29)</f>
        <v>197</v>
      </c>
      <c r="Q29" s="51" t="n">
        <v>166</v>
      </c>
      <c r="R29" s="51" t="n">
        <v>94</v>
      </c>
      <c r="S29" s="51" t="n">
        <f aca="false">SUM(P29:R29)</f>
        <v>457</v>
      </c>
      <c r="T29" s="52" t="n">
        <f aca="false">T28</f>
        <v>0</v>
      </c>
      <c r="U29" s="51" t="n">
        <v>14</v>
      </c>
      <c r="V29" s="51" t="n">
        <v>3324</v>
      </c>
      <c r="W29" s="6" t="n">
        <f aca="false">N29+O29+S29+U29+V29</f>
        <v>3795</v>
      </c>
      <c r="X29" s="51" t="n">
        <f aca="false">IF(L29&lt;0,L29*-1,0)</f>
        <v>0</v>
      </c>
      <c r="Y29" s="51" t="n">
        <f aca="false">W29+X29</f>
        <v>3795</v>
      </c>
      <c r="Z29" s="56" t="n">
        <v>0.12</v>
      </c>
      <c r="AA29" s="57" t="n">
        <v>62</v>
      </c>
      <c r="AB29" s="57" t="n">
        <v>42</v>
      </c>
      <c r="AC29" s="58" t="n">
        <f aca="false">AC28+1</f>
        <v>20</v>
      </c>
      <c r="AD29" s="12" t="n">
        <f aca="false">IF(I29&gt;S29,I29-S29,I29-S29)</f>
        <v>2245</v>
      </c>
      <c r="AE29" s="93"/>
      <c r="AF29" s="92"/>
    </row>
    <row r="30" customFormat="false" ht="11.1" hidden="false" customHeight="true" outlineLevel="0" collapsed="false">
      <c r="A30" s="58" t="n">
        <f aca="false">A29+1</f>
        <v>21</v>
      </c>
      <c r="B30" s="116" t="n">
        <v>6919.03</v>
      </c>
      <c r="C30" s="52" t="n">
        <v>359396</v>
      </c>
      <c r="D30" s="57" t="n">
        <f aca="false">C30-C29</f>
        <v>770</v>
      </c>
      <c r="E30" s="52" t="n">
        <f aca="false">C30-152000</f>
        <v>207396</v>
      </c>
      <c r="F30" s="51" t="n">
        <f aca="false">D30/$D$2</f>
        <v>388.202672044366</v>
      </c>
      <c r="G30" s="51" t="n">
        <v>2383</v>
      </c>
      <c r="H30" s="81" t="n">
        <v>84</v>
      </c>
      <c r="I30" s="51" t="n">
        <f aca="false">G30+H30</f>
        <v>2467</v>
      </c>
      <c r="J30" s="81" t="n">
        <f aca="false">IF(L30&gt;0,L30,0)</f>
        <v>375.202672044366</v>
      </c>
      <c r="K30" s="51" t="n">
        <f aca="false">I30+J30</f>
        <v>2842.20267204437</v>
      </c>
      <c r="L30" s="51" t="n">
        <f aca="false">F30-(I30-W30)</f>
        <v>375.202672044366</v>
      </c>
      <c r="M30" s="51" t="n">
        <v>197</v>
      </c>
      <c r="N30" s="51" t="n">
        <v>0</v>
      </c>
      <c r="O30" s="51" t="n">
        <v>0</v>
      </c>
      <c r="P30" s="6" t="n">
        <f aca="false">M30-(N30+O30)</f>
        <v>197</v>
      </c>
      <c r="Q30" s="51" t="n">
        <v>166</v>
      </c>
      <c r="R30" s="51" t="n">
        <v>89</v>
      </c>
      <c r="S30" s="51" t="n">
        <f aca="false">SUM(P30:R30)</f>
        <v>452</v>
      </c>
      <c r="T30" s="52" t="n">
        <f aca="false">T29</f>
        <v>0</v>
      </c>
      <c r="U30" s="51" t="n">
        <v>0</v>
      </c>
      <c r="V30" s="51" t="n">
        <v>2002</v>
      </c>
      <c r="W30" s="6" t="n">
        <f aca="false">N30+O30+S30+U30+V30</f>
        <v>2454</v>
      </c>
      <c r="X30" s="51" t="n">
        <f aca="false">IF(L30&lt;0,L30*-1,0)</f>
        <v>0</v>
      </c>
      <c r="Y30" s="51" t="n">
        <f aca="false">W30+X30</f>
        <v>2454</v>
      </c>
      <c r="Z30" s="56" t="n">
        <v>0.18</v>
      </c>
      <c r="AA30" s="57" t="n">
        <v>68</v>
      </c>
      <c r="AB30" s="57" t="n">
        <v>41</v>
      </c>
      <c r="AC30" s="58" t="n">
        <f aca="false">AC29+1</f>
        <v>21</v>
      </c>
      <c r="AD30" s="12" t="n">
        <f aca="false">IF(I30&gt;S30,I30-S30,I30-S30)</f>
        <v>2015</v>
      </c>
      <c r="AE30" s="93"/>
      <c r="AF30" s="92"/>
    </row>
    <row r="31" customFormat="false" ht="11.1" hidden="false" customHeight="true" outlineLevel="0" collapsed="false">
      <c r="A31" s="58" t="n">
        <f aca="false">A30+1</f>
        <v>22</v>
      </c>
      <c r="B31" s="73" t="n">
        <v>6919</v>
      </c>
      <c r="C31" s="52" t="n">
        <v>359267</v>
      </c>
      <c r="D31" s="57" t="n">
        <f aca="false">C31-C30</f>
        <v>-129</v>
      </c>
      <c r="E31" s="52" t="n">
        <f aca="false">C31-152000</f>
        <v>207267</v>
      </c>
      <c r="F31" s="51" t="n">
        <f aca="false">D31/$D$2</f>
        <v>-65.0365515502899</v>
      </c>
      <c r="G31" s="51" t="n">
        <v>2082</v>
      </c>
      <c r="H31" s="81" t="n">
        <v>78</v>
      </c>
      <c r="I31" s="51" t="n">
        <f aca="false">G31+H31</f>
        <v>2160</v>
      </c>
      <c r="J31" s="81" t="n">
        <f aca="false">IF(L31&gt;0,L31,0)</f>
        <v>222.96344844971</v>
      </c>
      <c r="K31" s="51" t="n">
        <f aca="false">I31+J31</f>
        <v>2382.96344844971</v>
      </c>
      <c r="L31" s="51" t="n">
        <f aca="false">F31-(I31-W31)</f>
        <v>222.96344844971</v>
      </c>
      <c r="M31" s="51" t="n">
        <v>197</v>
      </c>
      <c r="N31" s="51" t="n">
        <v>0</v>
      </c>
      <c r="O31" s="51" t="n">
        <v>0</v>
      </c>
      <c r="P31" s="6" t="n">
        <f aca="false">M31-(N31+O31)</f>
        <v>197</v>
      </c>
      <c r="Q31" s="51" t="n">
        <v>163</v>
      </c>
      <c r="R31" s="51" t="n">
        <v>86</v>
      </c>
      <c r="S31" s="101" t="n">
        <f aca="false">SUM(P31:R31)</f>
        <v>446</v>
      </c>
      <c r="T31" s="52" t="n">
        <f aca="false">T30</f>
        <v>0</v>
      </c>
      <c r="U31" s="51" t="n">
        <v>0</v>
      </c>
      <c r="V31" s="51" t="n">
        <v>2002</v>
      </c>
      <c r="W31" s="6" t="n">
        <f aca="false">N31+O31+S31+U31+V31</f>
        <v>2448</v>
      </c>
      <c r="X31" s="51" t="n">
        <f aca="false">IF(L31&lt;0,L31*-1,0)</f>
        <v>0</v>
      </c>
      <c r="Y31" s="51" t="n">
        <f aca="false">W31+X31</f>
        <v>2448</v>
      </c>
      <c r="Z31" s="56" t="n">
        <v>0.01</v>
      </c>
      <c r="AA31" s="57" t="n">
        <v>67</v>
      </c>
      <c r="AB31" s="57" t="n">
        <v>38</v>
      </c>
      <c r="AC31" s="58" t="n">
        <f aca="false">AC30+1</f>
        <v>22</v>
      </c>
      <c r="AD31" s="12" t="n">
        <f aca="false">IF(I31&gt;S31,I31-S31,I31-S31)</f>
        <v>1714</v>
      </c>
      <c r="AE31" s="93"/>
      <c r="AF31" s="92"/>
    </row>
    <row r="32" customFormat="false" ht="11.1" hidden="false" customHeight="true" outlineLevel="0" collapsed="false">
      <c r="A32" s="58" t="n">
        <f aca="false">A31+1</f>
        <v>23</v>
      </c>
      <c r="B32" s="73" t="n">
        <v>6918.97</v>
      </c>
      <c r="C32" s="52" t="n">
        <v>359139</v>
      </c>
      <c r="D32" s="57" t="n">
        <f aca="false">C32-C31</f>
        <v>-128</v>
      </c>
      <c r="E32" s="52" t="n">
        <f aca="false">C32-152000</f>
        <v>207139</v>
      </c>
      <c r="F32" s="51" t="n">
        <f aca="false">D32/$D$2</f>
        <v>-64.5323922359466</v>
      </c>
      <c r="G32" s="51" t="n">
        <v>1821</v>
      </c>
      <c r="H32" s="81" t="n">
        <v>69</v>
      </c>
      <c r="I32" s="51" t="n">
        <f aca="false">G32+H32</f>
        <v>1890</v>
      </c>
      <c r="J32" s="81" t="n">
        <f aca="false">IF(L32&gt;0,L32,0)</f>
        <v>493.467607764053</v>
      </c>
      <c r="K32" s="51" t="n">
        <f aca="false">I32+J32</f>
        <v>2383.46760776405</v>
      </c>
      <c r="L32" s="51" t="n">
        <f aca="false">F32-(I32-W32)</f>
        <v>493.467607764053</v>
      </c>
      <c r="M32" s="51" t="n">
        <v>197</v>
      </c>
      <c r="N32" s="51" t="n">
        <v>0</v>
      </c>
      <c r="O32" s="51" t="n">
        <v>0</v>
      </c>
      <c r="P32" s="6" t="n">
        <f aca="false">M32-(N32+O32)</f>
        <v>197</v>
      </c>
      <c r="Q32" s="51" t="n">
        <v>162</v>
      </c>
      <c r="R32" s="51" t="n">
        <v>87</v>
      </c>
      <c r="S32" s="51" t="n">
        <f aca="false">SUM(P32:R32)</f>
        <v>446</v>
      </c>
      <c r="T32" s="52" t="n">
        <f aca="false">T31</f>
        <v>0</v>
      </c>
      <c r="U32" s="51" t="n">
        <v>0</v>
      </c>
      <c r="V32" s="51" t="n">
        <v>2002</v>
      </c>
      <c r="W32" s="6" t="n">
        <f aca="false">N32+O32+S32+U32+V32</f>
        <v>2448</v>
      </c>
      <c r="X32" s="51" t="n">
        <f aca="false">IF(L32&lt;0,L32*-1,0)</f>
        <v>0</v>
      </c>
      <c r="Y32" s="51" t="n">
        <f aca="false">W32+X32</f>
        <v>2448</v>
      </c>
      <c r="Z32" s="56" t="n">
        <v>0.08</v>
      </c>
      <c r="AA32" s="57" t="n">
        <v>66</v>
      </c>
      <c r="AB32" s="57" t="n">
        <v>39</v>
      </c>
      <c r="AC32" s="58" t="n">
        <f aca="false">AC31+1</f>
        <v>23</v>
      </c>
      <c r="AD32" s="12" t="n">
        <f aca="false">IF(I32&gt;S32,I32-S32,I32-S32)</f>
        <v>1444</v>
      </c>
      <c r="AE32" s="93"/>
      <c r="AF32" s="92"/>
    </row>
    <row r="33" customFormat="false" ht="11.1" hidden="false" customHeight="true" outlineLevel="0" collapsed="false">
      <c r="A33" s="58" t="n">
        <f aca="false">A32+1</f>
        <v>24</v>
      </c>
      <c r="B33" s="73" t="n">
        <v>6918.87</v>
      </c>
      <c r="C33" s="52" t="n">
        <v>358711</v>
      </c>
      <c r="D33" s="57" t="n">
        <f aca="false">C33-C32</f>
        <v>-428</v>
      </c>
      <c r="E33" s="52" t="n">
        <f aca="false">C33-152000</f>
        <v>206711</v>
      </c>
      <c r="F33" s="51" t="n">
        <f aca="false">D33/$D$2</f>
        <v>-215.780186538946</v>
      </c>
      <c r="G33" s="51" t="n">
        <v>1816</v>
      </c>
      <c r="H33" s="81" t="n">
        <v>102</v>
      </c>
      <c r="I33" s="51" t="n">
        <f aca="false">G33+H33</f>
        <v>1918</v>
      </c>
      <c r="J33" s="81" t="n">
        <f aca="false">IF(L33&gt;0,L33,0)</f>
        <v>327.219813461054</v>
      </c>
      <c r="K33" s="51" t="n">
        <f aca="false">I33+J33</f>
        <v>2245.21981346105</v>
      </c>
      <c r="L33" s="51" t="n">
        <f aca="false">F33-(I33-W33)</f>
        <v>327.219813461054</v>
      </c>
      <c r="M33" s="51" t="n">
        <v>197</v>
      </c>
      <c r="N33" s="51" t="n">
        <v>0</v>
      </c>
      <c r="O33" s="51" t="n">
        <v>0</v>
      </c>
      <c r="P33" s="6" t="n">
        <f aca="false">M33-(N33+O33)</f>
        <v>197</v>
      </c>
      <c r="Q33" s="51" t="n">
        <v>162</v>
      </c>
      <c r="R33" s="51" t="n">
        <v>87</v>
      </c>
      <c r="S33" s="51" t="n">
        <f aca="false">SUM(P33:R33)</f>
        <v>446</v>
      </c>
      <c r="T33" s="52" t="n">
        <f aca="false">T32</f>
        <v>0</v>
      </c>
      <c r="U33" s="51" t="n">
        <v>13</v>
      </c>
      <c r="V33" s="51" t="n">
        <v>2002</v>
      </c>
      <c r="W33" s="6" t="n">
        <f aca="false">N33+O33+S33+U33+V33</f>
        <v>2461</v>
      </c>
      <c r="X33" s="51" t="n">
        <f aca="false">IF(L33&lt;0,L33*-1,0)</f>
        <v>0</v>
      </c>
      <c r="Y33" s="51" t="n">
        <f aca="false">W33+X33</f>
        <v>2461</v>
      </c>
      <c r="Z33" s="56" t="n">
        <v>0</v>
      </c>
      <c r="AA33" s="57" t="n">
        <v>65</v>
      </c>
      <c r="AB33" s="57" t="n">
        <v>40</v>
      </c>
      <c r="AC33" s="58" t="n">
        <f aca="false">AC32+1</f>
        <v>24</v>
      </c>
      <c r="AD33" s="12" t="n">
        <f aca="false">IF(I33&gt;S33,I33-S33,I33-S33)</f>
        <v>1472</v>
      </c>
      <c r="AE33" s="93"/>
      <c r="AF33" s="92"/>
    </row>
    <row r="34" customFormat="false" ht="11.1" hidden="false" customHeight="true" outlineLevel="0" collapsed="false">
      <c r="A34" s="58" t="n">
        <f aca="false">A33+1</f>
        <v>25</v>
      </c>
      <c r="B34" s="73" t="n">
        <v>6918.6</v>
      </c>
      <c r="C34" s="52" t="n">
        <v>357558</v>
      </c>
      <c r="D34" s="57" t="n">
        <f aca="false">C34-C33</f>
        <v>-1153</v>
      </c>
      <c r="E34" s="52" t="n">
        <f aca="false">C34-152000</f>
        <v>205558</v>
      </c>
      <c r="F34" s="51" t="n">
        <f aca="false">D34/$D$2</f>
        <v>-581.295689437862</v>
      </c>
      <c r="G34" s="51" t="n">
        <v>1612</v>
      </c>
      <c r="H34" s="81" t="n">
        <v>75</v>
      </c>
      <c r="I34" s="51" t="n">
        <f aca="false">G34+H34</f>
        <v>1687</v>
      </c>
      <c r="J34" s="81" t="n">
        <f aca="false">IF(L34&gt;0,L34,0)</f>
        <v>178.704310562138</v>
      </c>
      <c r="K34" s="51" t="n">
        <f aca="false">I34+J34</f>
        <v>1865.70431056214</v>
      </c>
      <c r="L34" s="51" t="n">
        <f aca="false">F34-(I34-W34)</f>
        <v>178.704310562138</v>
      </c>
      <c r="M34" s="51" t="n">
        <v>197</v>
      </c>
      <c r="N34" s="51" t="n">
        <v>0</v>
      </c>
      <c r="O34" s="51" t="n">
        <v>0</v>
      </c>
      <c r="P34" s="6" t="n">
        <f aca="false">M34-(N34+O34)</f>
        <v>197</v>
      </c>
      <c r="Q34" s="51" t="n">
        <v>162</v>
      </c>
      <c r="R34" s="51" t="n">
        <v>86</v>
      </c>
      <c r="S34" s="51" t="n">
        <f aca="false">SUM(P34:R34)</f>
        <v>445</v>
      </c>
      <c r="T34" s="52" t="n">
        <f aca="false">T33</f>
        <v>0</v>
      </c>
      <c r="U34" s="51" t="n">
        <v>0</v>
      </c>
      <c r="V34" s="51" t="n">
        <v>2002</v>
      </c>
      <c r="W34" s="6" t="n">
        <f aca="false">N34+O34+S34+U34+V34</f>
        <v>2447</v>
      </c>
      <c r="X34" s="51" t="n">
        <f aca="false">IF(L34&lt;0,L34*-1,0)</f>
        <v>0</v>
      </c>
      <c r="Y34" s="51" t="n">
        <f aca="false">W34+X34</f>
        <v>2447</v>
      </c>
      <c r="Z34" s="56" t="n">
        <v>0.03</v>
      </c>
      <c r="AA34" s="57" t="n">
        <v>60</v>
      </c>
      <c r="AB34" s="57" t="n">
        <v>40</v>
      </c>
      <c r="AC34" s="58" t="n">
        <f aca="false">AC33+1</f>
        <v>25</v>
      </c>
      <c r="AD34" s="12" t="n">
        <f aca="false">IF(I34&gt;S34,I34-S34,I34-S34)</f>
        <v>1242</v>
      </c>
      <c r="AE34" s="93"/>
      <c r="AF34" s="92"/>
    </row>
    <row r="35" customFormat="false" ht="11.1" hidden="false" customHeight="true" outlineLevel="0" collapsed="false">
      <c r="A35" s="58" t="n">
        <f aca="false">A34+1</f>
        <v>26</v>
      </c>
      <c r="B35" s="73" t="n">
        <v>6918.61</v>
      </c>
      <c r="C35" s="52" t="n">
        <v>357600</v>
      </c>
      <c r="D35" s="57" t="n">
        <f aca="false">C35-C34</f>
        <v>42</v>
      </c>
      <c r="E35" s="52" t="n">
        <f aca="false">C35-152000</f>
        <v>205600</v>
      </c>
      <c r="F35" s="51" t="n">
        <f aca="false">D35/$D$2</f>
        <v>21.17469120242</v>
      </c>
      <c r="G35" s="51" t="n">
        <v>1476</v>
      </c>
      <c r="H35" s="81" t="n">
        <v>59</v>
      </c>
      <c r="I35" s="51" t="n">
        <f aca="false">G35+H35</f>
        <v>1535</v>
      </c>
      <c r="J35" s="81" t="n">
        <f aca="false">IF(L35&gt;0,L35,0)</f>
        <v>462.17469120242</v>
      </c>
      <c r="K35" s="51" t="n">
        <f aca="false">I35+J35</f>
        <v>1997.17469120242</v>
      </c>
      <c r="L35" s="51" t="n">
        <f aca="false">F35-(I35-W35)</f>
        <v>462.17469120242</v>
      </c>
      <c r="M35" s="51" t="n">
        <v>197</v>
      </c>
      <c r="N35" s="51" t="n">
        <v>0</v>
      </c>
      <c r="O35" s="51" t="n">
        <v>0</v>
      </c>
      <c r="P35" s="6" t="n">
        <f aca="false">M35-(N35+O35)</f>
        <v>197</v>
      </c>
      <c r="Q35" s="51" t="n">
        <v>158</v>
      </c>
      <c r="R35" s="51" t="n">
        <v>87</v>
      </c>
      <c r="S35" s="51" t="n">
        <f aca="false">SUM(P35:R35)</f>
        <v>442</v>
      </c>
      <c r="T35" s="52" t="n">
        <f aca="false">T34</f>
        <v>0</v>
      </c>
      <c r="U35" s="51" t="n">
        <v>0</v>
      </c>
      <c r="V35" s="51" t="n">
        <v>1534</v>
      </c>
      <c r="W35" s="6" t="n">
        <f aca="false">N35+O35+S35+U35+V35</f>
        <v>1976</v>
      </c>
      <c r="X35" s="51" t="n">
        <f aca="false">IF(L35&lt;0,L35*-1,0)</f>
        <v>0</v>
      </c>
      <c r="Y35" s="51" t="n">
        <f aca="false">W35+X35</f>
        <v>1976</v>
      </c>
      <c r="Z35" s="56" t="n">
        <v>0</v>
      </c>
      <c r="AA35" s="57" t="n">
        <v>57</v>
      </c>
      <c r="AB35" s="57" t="n">
        <v>37</v>
      </c>
      <c r="AC35" s="58" t="n">
        <f aca="false">AC34+1</f>
        <v>26</v>
      </c>
      <c r="AD35" s="12" t="n">
        <f aca="false">IF(I35&gt;S35,I35-S35,I35-S35)</f>
        <v>1093</v>
      </c>
      <c r="AE35" s="93"/>
      <c r="AF35" s="92"/>
    </row>
    <row r="36" customFormat="false" ht="11.1" hidden="false" customHeight="true" outlineLevel="0" collapsed="false">
      <c r="A36" s="58" t="n">
        <f aca="false">A35+1</f>
        <v>27</v>
      </c>
      <c r="B36" s="73" t="n">
        <v>6918.56</v>
      </c>
      <c r="C36" s="52" t="n">
        <v>357387</v>
      </c>
      <c r="D36" s="57" t="n">
        <f aca="false">C36-C35</f>
        <v>-213</v>
      </c>
      <c r="E36" s="52" t="n">
        <f aca="false">C36-152000</f>
        <v>205387</v>
      </c>
      <c r="F36" s="51" t="n">
        <f aca="false">D36/$D$2</f>
        <v>-107.38593395513</v>
      </c>
      <c r="G36" s="51" t="n">
        <v>1267</v>
      </c>
      <c r="H36" s="81" t="n">
        <v>54</v>
      </c>
      <c r="I36" s="51" t="n">
        <f aca="false">G36+H36</f>
        <v>1321</v>
      </c>
      <c r="J36" s="81" t="n">
        <f aca="false">IF(L36&gt;0,L36,0)</f>
        <v>219.61406604487</v>
      </c>
      <c r="K36" s="51" t="n">
        <f aca="false">I36+J36</f>
        <v>1540.61406604487</v>
      </c>
      <c r="L36" s="51" t="n">
        <f aca="false">F36-(I36-W36)</f>
        <v>219.61406604487</v>
      </c>
      <c r="M36" s="51" t="n">
        <v>197</v>
      </c>
      <c r="N36" s="51" t="n">
        <v>0</v>
      </c>
      <c r="O36" s="51" t="n">
        <v>0</v>
      </c>
      <c r="P36" s="6" t="n">
        <f aca="false">M36-(N36+O36)</f>
        <v>197</v>
      </c>
      <c r="Q36" s="51" t="n">
        <v>163</v>
      </c>
      <c r="R36" s="51" t="n">
        <v>87</v>
      </c>
      <c r="S36" s="51" t="n">
        <f aca="false">SUM(P36:R36)</f>
        <v>447</v>
      </c>
      <c r="T36" s="52" t="n">
        <f aca="false">T35</f>
        <v>0</v>
      </c>
      <c r="U36" s="51" t="n">
        <v>0</v>
      </c>
      <c r="V36" s="51" t="n">
        <v>1201</v>
      </c>
      <c r="W36" s="6" t="n">
        <f aca="false">N36+O36+S36+U36+V36</f>
        <v>1648</v>
      </c>
      <c r="X36" s="51" t="n">
        <f aca="false">IF(L36&lt;0,L36*-1,0)</f>
        <v>0</v>
      </c>
      <c r="Y36" s="51" t="n">
        <f aca="false">W36+X36</f>
        <v>1648</v>
      </c>
      <c r="Z36" s="56" t="n">
        <v>0</v>
      </c>
      <c r="AA36" s="57" t="n">
        <v>60</v>
      </c>
      <c r="AB36" s="57" t="n">
        <v>32</v>
      </c>
      <c r="AC36" s="58" t="n">
        <f aca="false">AC35+1</f>
        <v>27</v>
      </c>
      <c r="AD36" s="12" t="n">
        <f aca="false">IF(I36&gt;S36,I36-S36,I36-S36)</f>
        <v>874</v>
      </c>
      <c r="AE36" s="93"/>
      <c r="AF36" s="92"/>
    </row>
    <row r="37" customFormat="false" ht="11.1" hidden="false" customHeight="true" outlineLevel="0" collapsed="false">
      <c r="A37" s="58" t="n">
        <v>28</v>
      </c>
      <c r="B37" s="73" t="n">
        <v>6918.45</v>
      </c>
      <c r="C37" s="52" t="n">
        <v>356917</v>
      </c>
      <c r="D37" s="57" t="n">
        <f aca="false">C37-C36</f>
        <v>-470</v>
      </c>
      <c r="E37" s="52" t="n">
        <f aca="false">C37-152000</f>
        <v>204917</v>
      </c>
      <c r="F37" s="51" t="n">
        <f aca="false">D37/$D$2</f>
        <v>-236.954877741366</v>
      </c>
      <c r="G37" s="51" t="n">
        <v>1139</v>
      </c>
      <c r="H37" s="81" t="n">
        <v>37</v>
      </c>
      <c r="I37" s="51" t="n">
        <f aca="false">G37+H37</f>
        <v>1176</v>
      </c>
      <c r="J37" s="81" t="n">
        <f aca="false">IF(L37&gt;0,L37,0)</f>
        <v>235.045122258634</v>
      </c>
      <c r="K37" s="51" t="n">
        <f aca="false">I37+J37</f>
        <v>1411.04512225863</v>
      </c>
      <c r="L37" s="51" t="n">
        <f aca="false">F37-(I37-W37)</f>
        <v>235.045122258634</v>
      </c>
      <c r="M37" s="51" t="n">
        <v>193</v>
      </c>
      <c r="N37" s="51" t="n">
        <v>0</v>
      </c>
      <c r="O37" s="51" t="n">
        <v>0</v>
      </c>
      <c r="P37" s="6" t="n">
        <f aca="false">M37-(N37+O37)</f>
        <v>193</v>
      </c>
      <c r="Q37" s="51" t="n">
        <v>163</v>
      </c>
      <c r="R37" s="51" t="n">
        <v>86</v>
      </c>
      <c r="S37" s="51" t="n">
        <f aca="false">SUM(P37:R37)</f>
        <v>442</v>
      </c>
      <c r="T37" s="52" t="n">
        <f aca="false">T36</f>
        <v>0</v>
      </c>
      <c r="U37" s="51" t="n">
        <v>0</v>
      </c>
      <c r="V37" s="51" t="n">
        <v>1206</v>
      </c>
      <c r="W37" s="6" t="n">
        <f aca="false">N37+O37+S37+U37+V37</f>
        <v>1648</v>
      </c>
      <c r="X37" s="51" t="n">
        <f aca="false">IF(L37&lt;0,L37*-1,0)</f>
        <v>0</v>
      </c>
      <c r="Y37" s="51" t="n">
        <f aca="false">W37+X37</f>
        <v>1648</v>
      </c>
      <c r="Z37" s="56" t="n">
        <v>0</v>
      </c>
      <c r="AA37" s="57" t="n">
        <v>63</v>
      </c>
      <c r="AB37" s="57" t="n">
        <v>32</v>
      </c>
      <c r="AC37" s="58" t="n">
        <v>28</v>
      </c>
      <c r="AD37" s="12" t="n">
        <f aca="false">IF(I37&gt;S37,I37-S37,I37-S37)</f>
        <v>734</v>
      </c>
      <c r="AE37" s="93"/>
      <c r="AF37" s="92"/>
    </row>
    <row r="38" customFormat="false" ht="11.1" hidden="false" customHeight="true" outlineLevel="0" collapsed="false">
      <c r="A38" s="58" t="n">
        <v>29</v>
      </c>
      <c r="B38" s="73" t="n">
        <v>6918.15</v>
      </c>
      <c r="C38" s="52" t="n">
        <v>355635</v>
      </c>
      <c r="D38" s="57" t="n">
        <f aca="false">C38-C37</f>
        <v>-1282</v>
      </c>
      <c r="E38" s="52" t="n">
        <f aca="false">C38-152000</f>
        <v>203635</v>
      </c>
      <c r="F38" s="51" t="n">
        <f aca="false">D38/$D$2</f>
        <v>-646.332240988152</v>
      </c>
      <c r="G38" s="51" t="n">
        <v>1042</v>
      </c>
      <c r="H38" s="81" t="n">
        <v>25</v>
      </c>
      <c r="I38" s="51" t="n">
        <f aca="false">G38+H38</f>
        <v>1067</v>
      </c>
      <c r="J38" s="81" t="n">
        <f aca="false">IF(L38&gt;0,L38,0)</f>
        <v>0</v>
      </c>
      <c r="K38" s="51" t="n">
        <f aca="false">I38+J38</f>
        <v>1067</v>
      </c>
      <c r="L38" s="51" t="n">
        <f aca="false">F38-(I38-W38)</f>
        <v>-76.3322409881522</v>
      </c>
      <c r="M38" s="51" t="n">
        <v>191</v>
      </c>
      <c r="N38" s="51" t="n">
        <v>0</v>
      </c>
      <c r="O38" s="51" t="n">
        <v>0</v>
      </c>
      <c r="P38" s="6" t="n">
        <f aca="false">M38-(N38+O38)</f>
        <v>191</v>
      </c>
      <c r="Q38" s="51" t="n">
        <v>164</v>
      </c>
      <c r="R38" s="51" t="n">
        <v>81</v>
      </c>
      <c r="S38" s="51" t="n">
        <f aca="false">SUM(P38:R38)</f>
        <v>436</v>
      </c>
      <c r="T38" s="52" t="n">
        <f aca="false">T37</f>
        <v>0</v>
      </c>
      <c r="U38" s="51" t="n">
        <v>0</v>
      </c>
      <c r="V38" s="51" t="n">
        <v>1201</v>
      </c>
      <c r="W38" s="6" t="n">
        <f aca="false">N38+O38+S38+U38+V38</f>
        <v>1637</v>
      </c>
      <c r="X38" s="51" t="n">
        <f aca="false">IF(L38&lt;0,L38*-1,0)</f>
        <v>76.3322409881522</v>
      </c>
      <c r="Y38" s="51" t="n">
        <f aca="false">W38+X38</f>
        <v>1713.33224098815</v>
      </c>
      <c r="Z38" s="56" t="n">
        <v>0</v>
      </c>
      <c r="AA38" s="57" t="n">
        <v>64</v>
      </c>
      <c r="AB38" s="57" t="n">
        <v>35</v>
      </c>
      <c r="AC38" s="58" t="n">
        <v>29</v>
      </c>
      <c r="AD38" s="12" t="n">
        <f aca="false">IF(I38&gt;S38,I38-S38,I38-S38)</f>
        <v>631</v>
      </c>
      <c r="AE38" s="93"/>
      <c r="AF38" s="92"/>
    </row>
    <row r="39" customFormat="false" ht="11.1" hidden="false" customHeight="true" outlineLevel="0" collapsed="false">
      <c r="A39" s="58" t="n">
        <v>30</v>
      </c>
      <c r="B39" s="73" t="n">
        <v>6918.06</v>
      </c>
      <c r="C39" s="52" t="n">
        <v>355250</v>
      </c>
      <c r="D39" s="57" t="n">
        <f aca="false">C39-C38</f>
        <v>-385</v>
      </c>
      <c r="E39" s="52" t="n">
        <f aca="false">C39-152000</f>
        <v>203250</v>
      </c>
      <c r="F39" s="51" t="n">
        <f aca="false">D39/$D$2</f>
        <v>-194.101336022183</v>
      </c>
      <c r="G39" s="51" t="n">
        <v>947</v>
      </c>
      <c r="H39" s="81" t="n">
        <v>21</v>
      </c>
      <c r="I39" s="51" t="n">
        <f aca="false">G39+H39</f>
        <v>968</v>
      </c>
      <c r="J39" s="81" t="n">
        <f aca="false">IF(L39&gt;0,L39,0)</f>
        <v>475.898663977817</v>
      </c>
      <c r="K39" s="51" t="n">
        <f aca="false">I39+J39</f>
        <v>1443.89866397782</v>
      </c>
      <c r="L39" s="51" t="n">
        <f aca="false">F39-(I39-W39)</f>
        <v>475.898663977817</v>
      </c>
      <c r="M39" s="51" t="n">
        <v>191</v>
      </c>
      <c r="N39" s="51" t="n">
        <v>0</v>
      </c>
      <c r="O39" s="51" t="n">
        <v>0</v>
      </c>
      <c r="P39" s="6" t="n">
        <f aca="false">M39-(N39+O39)</f>
        <v>191</v>
      </c>
      <c r="Q39" s="51" t="n">
        <v>164</v>
      </c>
      <c r="R39" s="51" t="n">
        <v>82</v>
      </c>
      <c r="S39" s="51" t="n">
        <f aca="false">SUM(P39:R39)</f>
        <v>437</v>
      </c>
      <c r="T39" s="52" t="n">
        <f aca="false">T38</f>
        <v>0</v>
      </c>
      <c r="U39" s="51" t="n">
        <v>0</v>
      </c>
      <c r="V39" s="51" t="n">
        <v>1201</v>
      </c>
      <c r="W39" s="6" t="n">
        <f aca="false">N39+O39+S39+U39+V39</f>
        <v>1638</v>
      </c>
      <c r="X39" s="51" t="n">
        <f aca="false">IF(L39&lt;0,L39*-1,0)</f>
        <v>0</v>
      </c>
      <c r="Y39" s="51" t="n">
        <f aca="false">W39+X39</f>
        <v>1638</v>
      </c>
      <c r="Z39" s="56" t="n">
        <v>0</v>
      </c>
      <c r="AA39" s="57" t="n">
        <v>70</v>
      </c>
      <c r="AB39" s="57" t="n">
        <v>39</v>
      </c>
      <c r="AC39" s="58" t="n">
        <v>30</v>
      </c>
      <c r="AD39" s="12" t="n">
        <f aca="false">IF(I39&gt;S39,I39-S39,I39-S39)</f>
        <v>531</v>
      </c>
      <c r="AE39" s="93"/>
      <c r="AF39" s="92"/>
    </row>
    <row r="40" customFormat="false" ht="11.1" hidden="false" customHeight="true" outlineLevel="0" collapsed="false">
      <c r="A40" s="58" t="n">
        <v>31</v>
      </c>
      <c r="B40" s="73" t="n">
        <v>6917.88</v>
      </c>
      <c r="C40" s="52" t="n">
        <v>354485</v>
      </c>
      <c r="D40" s="57" t="n">
        <f aca="false">C40-C39</f>
        <v>-765</v>
      </c>
      <c r="E40" s="52" t="n">
        <f aca="false">C40-152000</f>
        <v>202485</v>
      </c>
      <c r="F40" s="51" t="n">
        <f aca="false">D40/$D$2</f>
        <v>-385.681875472649</v>
      </c>
      <c r="G40" s="51" t="n">
        <v>967</v>
      </c>
      <c r="H40" s="81" t="n">
        <v>16</v>
      </c>
      <c r="I40" s="51" t="n">
        <f aca="false">G40+H40</f>
        <v>983</v>
      </c>
      <c r="J40" s="81" t="n">
        <f aca="false">IF(L40&gt;0,L40,0)</f>
        <v>267.318124527351</v>
      </c>
      <c r="K40" s="51" t="n">
        <f aca="false">I40+J40</f>
        <v>1250.31812452735</v>
      </c>
      <c r="L40" s="51" t="n">
        <f aca="false">F40-(I40-W40)</f>
        <v>267.318124527351</v>
      </c>
      <c r="M40" s="51" t="n">
        <v>190</v>
      </c>
      <c r="N40" s="51" t="n">
        <v>0</v>
      </c>
      <c r="O40" s="51" t="n">
        <v>0</v>
      </c>
      <c r="P40" s="6" t="n">
        <f aca="false">M40-(N40+O40)</f>
        <v>190</v>
      </c>
      <c r="Q40" s="51" t="n">
        <v>164</v>
      </c>
      <c r="R40" s="51" t="n">
        <v>81</v>
      </c>
      <c r="S40" s="51" t="n">
        <f aca="false">SUM(P40:R40)</f>
        <v>435</v>
      </c>
      <c r="T40" s="52" t="n">
        <f aca="false">T39</f>
        <v>0</v>
      </c>
      <c r="U40" s="51" t="n">
        <v>0</v>
      </c>
      <c r="V40" s="51" t="n">
        <v>1201</v>
      </c>
      <c r="W40" s="6" t="n">
        <f aca="false">N40+O40+S40+U40+V40</f>
        <v>1636</v>
      </c>
      <c r="X40" s="51" t="n">
        <f aca="false">IF(L40&lt;0,L40*-1,0)</f>
        <v>0</v>
      </c>
      <c r="Y40" s="51" t="n">
        <f aca="false">W40+X40</f>
        <v>1636</v>
      </c>
      <c r="Z40" s="56" t="n">
        <v>0</v>
      </c>
      <c r="AA40" s="57" t="n">
        <v>75</v>
      </c>
      <c r="AB40" s="57" t="n">
        <v>42</v>
      </c>
      <c r="AC40" s="58" t="n">
        <v>31</v>
      </c>
      <c r="AD40" s="12" t="n">
        <f aca="false">IF(I40&gt;S40,I40-S40,I40-S40)</f>
        <v>548</v>
      </c>
      <c r="AE40" s="93"/>
      <c r="AF40" s="92"/>
    </row>
    <row r="41" customFormat="false" ht="3" hidden="false" customHeight="true" outlineLevel="0" collapsed="false">
      <c r="A41" s="74"/>
      <c r="B41" s="74"/>
      <c r="C41" s="76"/>
      <c r="D41" s="74"/>
      <c r="E41" s="76"/>
      <c r="F41" s="74"/>
      <c r="G41" s="74"/>
      <c r="H41" s="115"/>
      <c r="I41" s="74"/>
      <c r="J41" s="74"/>
      <c r="K41" s="74"/>
      <c r="L41" s="74"/>
      <c r="M41" s="74"/>
      <c r="N41" s="74"/>
      <c r="O41" s="74"/>
      <c r="P41" s="74"/>
      <c r="Q41" s="74"/>
      <c r="R41" s="74"/>
      <c r="S41" s="74"/>
      <c r="T41" s="76"/>
      <c r="U41" s="74"/>
      <c r="V41" s="74"/>
      <c r="W41" s="74"/>
      <c r="X41" s="74"/>
      <c r="Y41" s="74"/>
      <c r="Z41" s="78"/>
      <c r="AA41" s="79"/>
      <c r="AB41" s="79"/>
      <c r="AC41" s="80"/>
      <c r="AD41" s="91"/>
      <c r="AE41" s="91"/>
      <c r="AF41" s="92"/>
    </row>
    <row r="42" customFormat="false" ht="11.1" hidden="false" customHeight="true" outlineLevel="0" collapsed="false">
      <c r="A42" s="51" t="s">
        <v>44</v>
      </c>
      <c r="B42" s="51"/>
      <c r="C42" s="52"/>
      <c r="D42" s="52"/>
      <c r="E42" s="52"/>
      <c r="F42" s="52" t="n">
        <f aca="false">SUM(F10:F40)</f>
        <v>12730.0226871691</v>
      </c>
      <c r="G42" s="52" t="n">
        <f aca="false">SUM(G10:G40)</f>
        <v>68593</v>
      </c>
      <c r="H42" s="81" t="n">
        <f aca="false">SUM(H10:H40)</f>
        <v>4454</v>
      </c>
      <c r="I42" s="52" t="n">
        <f aca="false">SUM(I10:I40)</f>
        <v>73047</v>
      </c>
      <c r="J42" s="52" t="n">
        <f aca="false">SUM(J10:J40)</f>
        <v>12907.3549281573</v>
      </c>
      <c r="K42" s="52" t="n">
        <f aca="false">SUM(K10:K40)</f>
        <v>85954.3549281573</v>
      </c>
      <c r="L42" s="52" t="n">
        <f aca="false">SUM(L10:L40)</f>
        <v>12831.0226871691</v>
      </c>
      <c r="M42" s="52" t="n">
        <f aca="false">SUM(M10:M40)</f>
        <v>5528</v>
      </c>
      <c r="N42" s="52" t="n">
        <f aca="false">SUM(N10:N40)</f>
        <v>0</v>
      </c>
      <c r="O42" s="52" t="n">
        <f aca="false">SUM(O10:O40)</f>
        <v>0</v>
      </c>
      <c r="P42" s="52" t="n">
        <f aca="false">SUM(P10:P40)</f>
        <v>5528</v>
      </c>
      <c r="Q42" s="52" t="n">
        <f aca="false">SUM(Q10:Q40)</f>
        <v>4985</v>
      </c>
      <c r="R42" s="52" t="n">
        <f aca="false">SUM(R10:R40)</f>
        <v>2570</v>
      </c>
      <c r="S42" s="52" t="n">
        <f aca="false">SUM(S10:S40)</f>
        <v>13083</v>
      </c>
      <c r="T42" s="52"/>
      <c r="U42" s="52" t="n">
        <f aca="false">SUM(U10:U40)</f>
        <v>76</v>
      </c>
      <c r="V42" s="52" t="n">
        <f aca="false">SUM(V10:V40)</f>
        <v>59989</v>
      </c>
      <c r="W42" s="52" t="n">
        <f aca="false">SUM(W10:W40)</f>
        <v>73148</v>
      </c>
      <c r="X42" s="52" t="n">
        <f aca="false">SUM(X10:X40)</f>
        <v>76.3322409881522</v>
      </c>
      <c r="Y42" s="52" t="n">
        <f aca="false">SUM(Y10:Y40)</f>
        <v>73224.3322409882</v>
      </c>
      <c r="Z42" s="56" t="n">
        <f aca="false">SUM(Z10:Z40)</f>
        <v>1.39</v>
      </c>
      <c r="AA42" s="57" t="n">
        <f aca="false">AVERAGE(AA10:AA40)</f>
        <v>67.3870967741936</v>
      </c>
      <c r="AB42" s="57" t="n">
        <f aca="false">AVERAGE(AB10:AB40)</f>
        <v>40.3548387096774</v>
      </c>
      <c r="AC42" s="58" t="s">
        <v>71</v>
      </c>
      <c r="AD42" s="91"/>
      <c r="AE42" s="91"/>
      <c r="AF42" s="92"/>
    </row>
    <row r="43" customFormat="false" ht="11.1" hidden="false" customHeight="true" outlineLevel="0" collapsed="false">
      <c r="A43" s="51" t="s">
        <v>46</v>
      </c>
      <c r="B43" s="51"/>
      <c r="C43" s="52"/>
      <c r="D43" s="52" t="n">
        <f aca="false">SUM(D10:D40)</f>
        <v>25250</v>
      </c>
      <c r="E43" s="52"/>
      <c r="F43" s="52" t="n">
        <f aca="false">F42*$D$2</f>
        <v>25250</v>
      </c>
      <c r="G43" s="52" t="n">
        <f aca="false">G42*$D$2</f>
        <v>136054.2155</v>
      </c>
      <c r="H43" s="81" t="n">
        <f aca="false">H42*$D$2</f>
        <v>8834.509</v>
      </c>
      <c r="I43" s="52" t="n">
        <f aca="false">I42*$D$2</f>
        <v>144888.7245</v>
      </c>
      <c r="J43" s="52" t="n">
        <f aca="false">J42*$D$2</f>
        <v>25601.7385</v>
      </c>
      <c r="K43" s="52" t="n">
        <f aca="false">K42*$D$2</f>
        <v>170490.463</v>
      </c>
      <c r="L43" s="52" t="n">
        <f aca="false">L42*$D$2</f>
        <v>25450.3335</v>
      </c>
      <c r="M43" s="52" t="n">
        <f aca="false">M42*$D$2</f>
        <v>10964.788</v>
      </c>
      <c r="N43" s="52" t="n">
        <f aca="false">N42*$D$2</f>
        <v>0</v>
      </c>
      <c r="O43" s="52" t="n">
        <f aca="false">O42*$D$2</f>
        <v>0</v>
      </c>
      <c r="P43" s="52" t="n">
        <f aca="false">P42*$D$2</f>
        <v>10964.788</v>
      </c>
      <c r="Q43" s="52" t="n">
        <f aca="false">Q42*$D$2</f>
        <v>9887.7475</v>
      </c>
      <c r="R43" s="52" t="n">
        <f aca="false">R42*$D$2</f>
        <v>5097.595</v>
      </c>
      <c r="S43" s="52" t="n">
        <f aca="false">S42*$D$2</f>
        <v>25950.1305</v>
      </c>
      <c r="T43" s="52"/>
      <c r="U43" s="52" t="n">
        <f aca="false">U42*$D$2</f>
        <v>150.746</v>
      </c>
      <c r="V43" s="52" t="n">
        <f aca="false">V42*$D$2</f>
        <v>118988.1815</v>
      </c>
      <c r="W43" s="117" t="n">
        <f aca="false">W42*$D$2</f>
        <v>145089.058</v>
      </c>
      <c r="X43" s="52" t="n">
        <f aca="false">X42*$D$2</f>
        <v>151.405</v>
      </c>
      <c r="Y43" s="52" t="n">
        <f aca="false">Y42*$D$2</f>
        <v>145240.463</v>
      </c>
      <c r="Z43" s="56"/>
      <c r="AA43" s="57" t="n">
        <f aca="false">MAX(AA10:AA40)</f>
        <v>75</v>
      </c>
      <c r="AB43" s="57" t="n">
        <f aca="false">MAX(AB10:AB40)</f>
        <v>46</v>
      </c>
      <c r="AC43" s="58" t="s">
        <v>47</v>
      </c>
      <c r="AD43" s="91"/>
      <c r="AE43" s="91"/>
      <c r="AF43" s="92"/>
    </row>
    <row r="44" customFormat="false" ht="3" hidden="false" customHeight="true" outlineLevel="0" collapsed="false">
      <c r="A44" s="74"/>
      <c r="B44" s="74"/>
      <c r="C44" s="76"/>
      <c r="D44" s="76"/>
      <c r="E44" s="76"/>
      <c r="F44" s="76"/>
      <c r="G44" s="76"/>
      <c r="H44" s="115"/>
      <c r="I44" s="76"/>
      <c r="J44" s="76"/>
      <c r="K44" s="76"/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76"/>
      <c r="W44" s="76"/>
      <c r="X44" s="76"/>
      <c r="Y44" s="76"/>
      <c r="Z44" s="56"/>
      <c r="AA44" s="57"/>
      <c r="AB44" s="57"/>
      <c r="AC44" s="58"/>
      <c r="AD44" s="91"/>
      <c r="AE44" s="91"/>
      <c r="AF44" s="92"/>
    </row>
    <row r="45" customFormat="false" ht="11.1" hidden="false" customHeight="true" outlineLevel="0" collapsed="false">
      <c r="A45" s="51" t="s">
        <v>48</v>
      </c>
      <c r="B45" s="51"/>
      <c r="C45" s="52"/>
      <c r="D45" s="52"/>
      <c r="E45" s="52"/>
      <c r="F45" s="52" t="n">
        <f aca="false">F7+F42</f>
        <v>31961.1797327956</v>
      </c>
      <c r="G45" s="52" t="n">
        <f aca="false">G7+G42</f>
        <v>104051</v>
      </c>
      <c r="H45" s="81" t="n">
        <f aca="false">H7+H42</f>
        <v>12634</v>
      </c>
      <c r="I45" s="52" t="n">
        <f aca="false">I7+I42</f>
        <v>116685</v>
      </c>
      <c r="J45" s="52" t="n">
        <f aca="false">J7+J42</f>
        <v>37567.5119737837</v>
      </c>
      <c r="K45" s="52" t="n">
        <f aca="false">K7+K42</f>
        <v>154252.511973784</v>
      </c>
      <c r="L45" s="52" t="n">
        <f aca="false">L7+L42</f>
        <v>37491.1797327956</v>
      </c>
      <c r="M45" s="52" t="n">
        <f aca="false">M7+M42</f>
        <v>6750</v>
      </c>
      <c r="N45" s="52" t="n">
        <f aca="false">N7+N42</f>
        <v>0</v>
      </c>
      <c r="O45" s="52" t="n">
        <f aca="false">O7+O42</f>
        <v>0</v>
      </c>
      <c r="P45" s="52" t="n">
        <f aca="false">P7+P42</f>
        <v>6750</v>
      </c>
      <c r="Q45" s="52" t="n">
        <f aca="false">Q7+Q42</f>
        <v>5435</v>
      </c>
      <c r="R45" s="52" t="n">
        <f aca="false">R7+R42</f>
        <v>2908</v>
      </c>
      <c r="S45" s="52" t="n">
        <f aca="false">S7+S42</f>
        <v>15093</v>
      </c>
      <c r="T45" s="52" t="n">
        <f aca="false">T40+T42</f>
        <v>0</v>
      </c>
      <c r="U45" s="52" t="n">
        <f aca="false">U7+U42</f>
        <v>189</v>
      </c>
      <c r="V45" s="52" t="n">
        <f aca="false">V7+V42</f>
        <v>106933</v>
      </c>
      <c r="W45" s="52" t="n">
        <f aca="false">W7+W42</f>
        <v>122215</v>
      </c>
      <c r="X45" s="52" t="n">
        <f aca="false">X7+X42</f>
        <v>76.3322409881522</v>
      </c>
      <c r="Y45" s="52" t="n">
        <f aca="false">Y7+Y42</f>
        <v>122291.332240988</v>
      </c>
      <c r="Z45" s="56"/>
      <c r="AA45" s="57" t="n">
        <f aca="false">MIN(AA10:AA40)</f>
        <v>57</v>
      </c>
      <c r="AB45" s="57" t="n">
        <f aca="false">MIN(AB10:AB40)</f>
        <v>32</v>
      </c>
      <c r="AC45" s="58" t="s">
        <v>49</v>
      </c>
      <c r="AD45" s="91"/>
      <c r="AE45" s="91"/>
      <c r="AF45" s="92"/>
    </row>
    <row r="46" customFormat="false" ht="11.1" hidden="false" customHeight="true" outlineLevel="0" collapsed="false">
      <c r="A46" s="51" t="s">
        <v>50</v>
      </c>
      <c r="B46" s="51"/>
      <c r="C46" s="52"/>
      <c r="D46" s="52"/>
      <c r="E46" s="52"/>
      <c r="F46" s="52" t="n">
        <f aca="false">F45*$D$2</f>
        <v>63395</v>
      </c>
      <c r="G46" s="52" t="n">
        <f aca="false">G45*$D$2</f>
        <v>206385.1585</v>
      </c>
      <c r="H46" s="81" t="n">
        <f aca="false">H45*$D$2</f>
        <v>25059.539</v>
      </c>
      <c r="I46" s="52" t="n">
        <f aca="false">I45*$D$2</f>
        <v>231444.6975</v>
      </c>
      <c r="J46" s="52" t="n">
        <f aca="false">J45*$D$2</f>
        <v>74515.16</v>
      </c>
      <c r="K46" s="52" t="n">
        <f aca="false">K45*$D$2</f>
        <v>305959.8575</v>
      </c>
      <c r="L46" s="52" t="n">
        <f aca="false">L45*$D$2</f>
        <v>74363.755</v>
      </c>
      <c r="M46" s="52" t="n">
        <f aca="false">M45*$D$2</f>
        <v>13388.625</v>
      </c>
      <c r="N46" s="52" t="n">
        <f aca="false">N45*$D$2</f>
        <v>0</v>
      </c>
      <c r="O46" s="52" t="n">
        <f aca="false">O45*$D$2</f>
        <v>0</v>
      </c>
      <c r="P46" s="52" t="n">
        <f aca="false">P45*$D$2</f>
        <v>13388.625</v>
      </c>
      <c r="Q46" s="52" t="n">
        <f aca="false">Q45*$D$2</f>
        <v>10780.3225</v>
      </c>
      <c r="R46" s="52" t="n">
        <f aca="false">R45*$D$2</f>
        <v>5768.018</v>
      </c>
      <c r="S46" s="52" t="n">
        <f aca="false">S45*$D$2</f>
        <v>29936.9655</v>
      </c>
      <c r="T46" s="52" t="n">
        <f aca="false">T45*$D$2</f>
        <v>0</v>
      </c>
      <c r="U46" s="52" t="n">
        <f aca="false">U45*$D$2</f>
        <v>374.8815</v>
      </c>
      <c r="V46" s="52" t="n">
        <f aca="false">V45*$D$2</f>
        <v>212101.6055</v>
      </c>
      <c r="W46" s="52" t="n">
        <f aca="false">W45*$D$2</f>
        <v>242413.4525</v>
      </c>
      <c r="X46" s="52" t="n">
        <f aca="false">X45*$D$2</f>
        <v>151.405</v>
      </c>
      <c r="Y46" s="52" t="n">
        <f aca="false">Y45*$D$2</f>
        <v>242564.8575</v>
      </c>
      <c r="Z46" s="56"/>
      <c r="AA46" s="57"/>
      <c r="AB46" s="57"/>
      <c r="AC46" s="58"/>
      <c r="AD46" s="91"/>
      <c r="AE46" s="91"/>
      <c r="AF46" s="92"/>
    </row>
    <row r="47" customFormat="false" ht="3" hidden="false" customHeight="true" outlineLevel="0" collapsed="false">
      <c r="A47" s="74"/>
      <c r="B47" s="74"/>
      <c r="C47" s="76"/>
      <c r="D47" s="76"/>
      <c r="E47" s="76"/>
      <c r="F47" s="76"/>
      <c r="G47" s="76"/>
      <c r="H47" s="115"/>
      <c r="I47" s="76"/>
      <c r="J47" s="76"/>
      <c r="K47" s="76"/>
      <c r="L47" s="76"/>
      <c r="M47" s="76"/>
      <c r="N47" s="76"/>
      <c r="O47" s="76"/>
      <c r="P47" s="76"/>
      <c r="Q47" s="76"/>
      <c r="R47" s="76"/>
      <c r="S47" s="76"/>
      <c r="T47" s="76"/>
      <c r="U47" s="76"/>
      <c r="V47" s="76"/>
      <c r="W47" s="76"/>
      <c r="X47" s="76"/>
      <c r="Y47" s="76"/>
      <c r="Z47" s="78"/>
      <c r="AA47" s="57"/>
      <c r="AB47" s="57"/>
      <c r="AC47" s="58"/>
      <c r="AD47" s="91"/>
      <c r="AE47" s="91"/>
      <c r="AF47" s="92"/>
    </row>
    <row r="48" customFormat="false" ht="11.1" hidden="false" customHeight="true" outlineLevel="0" collapsed="false">
      <c r="A48" s="51" t="s">
        <v>51</v>
      </c>
      <c r="B48" s="51"/>
      <c r="C48" s="52"/>
      <c r="D48" s="52"/>
      <c r="E48" s="52"/>
      <c r="F48" s="52" t="n">
        <f aca="false">F8+F42</f>
        <v>32413.4106377615</v>
      </c>
      <c r="G48" s="52" t="n">
        <f aca="false">G8+G42</f>
        <v>134501</v>
      </c>
      <c r="H48" s="81" t="n">
        <f aca="false">H8+H42</f>
        <v>16045</v>
      </c>
      <c r="I48" s="52" t="n">
        <f aca="false">I8+I42</f>
        <v>150004.9</v>
      </c>
      <c r="J48" s="52" t="n">
        <f aca="false">J8+J42</f>
        <v>44401.9568187547</v>
      </c>
      <c r="K48" s="52" t="n">
        <f aca="false">K8+K42</f>
        <v>194406.856818755</v>
      </c>
      <c r="L48" s="52" t="n">
        <f aca="false">L8+L42</f>
        <v>43219.5106377615</v>
      </c>
      <c r="M48" s="52" t="n">
        <f aca="false">M8+M42</f>
        <v>8316</v>
      </c>
      <c r="N48" s="52" t="n">
        <f aca="false">N8+N42</f>
        <v>0.08</v>
      </c>
      <c r="O48" s="52" t="n">
        <f aca="false">O8+O42</f>
        <v>0</v>
      </c>
      <c r="P48" s="52" t="n">
        <f aca="false">P8+P42</f>
        <v>8315.92</v>
      </c>
      <c r="Q48" s="52" t="n">
        <f aca="false">Q8+Q42</f>
        <v>7713</v>
      </c>
      <c r="R48" s="52" t="n">
        <f aca="false">R8+R42</f>
        <v>3357</v>
      </c>
      <c r="S48" s="52" t="n">
        <f aca="false">S8+S42</f>
        <v>19385.92</v>
      </c>
      <c r="T48" s="52"/>
      <c r="U48" s="52" t="n">
        <f aca="false">U8+U42</f>
        <v>190</v>
      </c>
      <c r="V48" s="52" t="n">
        <f aca="false">V8+V42</f>
        <v>141235</v>
      </c>
      <c r="W48" s="52" t="n">
        <f aca="false">W8+W42</f>
        <v>160811</v>
      </c>
      <c r="X48" s="52" t="n">
        <f aca="false">X8+X42</f>
        <v>1182.44618099319</v>
      </c>
      <c r="Y48" s="52" t="n">
        <f aca="false">Y8+Y42</f>
        <v>161993.446180993</v>
      </c>
      <c r="Z48" s="56" t="n">
        <f aca="false">Z8+Z42</f>
        <v>8.8</v>
      </c>
      <c r="AA48" s="57"/>
      <c r="AB48" s="57"/>
      <c r="AC48" s="58"/>
      <c r="AD48" s="91"/>
      <c r="AE48" s="91"/>
      <c r="AF48" s="92"/>
    </row>
    <row r="49" customFormat="false" ht="11.1" hidden="false" customHeight="true" outlineLevel="0" collapsed="false">
      <c r="A49" s="51" t="s">
        <v>52</v>
      </c>
      <c r="B49" s="51"/>
      <c r="C49" s="52"/>
      <c r="D49" s="52" t="n">
        <f aca="false">D8+D43</f>
        <v>64292</v>
      </c>
      <c r="E49" s="52" t="n">
        <f aca="false">E40</f>
        <v>202485</v>
      </c>
      <c r="F49" s="52" t="n">
        <f aca="false">F48*$D$2</f>
        <v>64292</v>
      </c>
      <c r="G49" s="52" t="n">
        <f aca="false">G48*$D$2</f>
        <v>266782.7335</v>
      </c>
      <c r="H49" s="81" t="n">
        <f aca="false">H48*$D$2</f>
        <v>31825.2575</v>
      </c>
      <c r="I49" s="52" t="n">
        <f aca="false">I48*$D$2</f>
        <v>297534.71915</v>
      </c>
      <c r="J49" s="52" t="n">
        <f aca="false">J48*$D$2</f>
        <v>88071.28135</v>
      </c>
      <c r="K49" s="52" t="n">
        <f aca="false">K48*$D$2</f>
        <v>385606.0005</v>
      </c>
      <c r="L49" s="52" t="n">
        <f aca="false">L48*$D$2</f>
        <v>85725.89935</v>
      </c>
      <c r="M49" s="52" t="n">
        <f aca="false">M48*$D$2</f>
        <v>16494.786</v>
      </c>
      <c r="N49" s="52" t="n">
        <f aca="false">N48*$D$2</f>
        <v>0.15868</v>
      </c>
      <c r="O49" s="52" t="n">
        <f aca="false">O48*$D$2</f>
        <v>0</v>
      </c>
      <c r="P49" s="52" t="n">
        <f aca="false">P48*$D$2</f>
        <v>16494.62732</v>
      </c>
      <c r="Q49" s="52" t="n">
        <f aca="false">Q48*$D$2</f>
        <v>15298.7355</v>
      </c>
      <c r="R49" s="52" t="n">
        <f aca="false">R48*$D$2</f>
        <v>6658.6095</v>
      </c>
      <c r="S49" s="52" t="n">
        <f aca="false">S48*$D$2</f>
        <v>38451.97232</v>
      </c>
      <c r="T49" s="52" t="n">
        <f aca="false">T48*$D$2</f>
        <v>0</v>
      </c>
      <c r="U49" s="52" t="n">
        <f aca="false">U48*$D$2</f>
        <v>376.865</v>
      </c>
      <c r="V49" s="52" t="n">
        <f aca="false">V48*$D$2</f>
        <v>280139.6225</v>
      </c>
      <c r="W49" s="52" t="n">
        <f aca="false">W48*$D$2</f>
        <v>318968.6185</v>
      </c>
      <c r="X49" s="52" t="n">
        <f aca="false">X48*$D$2</f>
        <v>2345.382</v>
      </c>
      <c r="Y49" s="52" t="n">
        <f aca="false">Y48*$D$2</f>
        <v>321314.0005</v>
      </c>
      <c r="Z49" s="56"/>
      <c r="AA49" s="57"/>
      <c r="AB49" s="57"/>
      <c r="AC49" s="58"/>
      <c r="AD49" s="91"/>
      <c r="AE49" s="91"/>
      <c r="AF49" s="92"/>
    </row>
    <row r="50" customFormat="false" ht="3" hidden="false" customHeight="true" outlineLevel="0" collapsed="false">
      <c r="A50" s="74"/>
      <c r="B50" s="74"/>
      <c r="C50" s="76"/>
      <c r="D50" s="74"/>
      <c r="E50" s="76"/>
      <c r="F50" s="118"/>
      <c r="G50" s="118"/>
      <c r="H50" s="115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6"/>
      <c r="U50" s="74"/>
      <c r="V50" s="74"/>
      <c r="W50" s="74"/>
      <c r="X50" s="74"/>
      <c r="Y50" s="74"/>
      <c r="Z50" s="56"/>
      <c r="AA50" s="57"/>
      <c r="AB50" s="57"/>
      <c r="AC50" s="58"/>
      <c r="AD50" s="91"/>
      <c r="AE50" s="91"/>
      <c r="AF50" s="92"/>
    </row>
    <row r="51" customFormat="false" ht="11.1" hidden="false" customHeight="true" outlineLevel="0" collapsed="false">
      <c r="A51" s="119"/>
      <c r="B51" s="84"/>
      <c r="C51" s="52"/>
      <c r="D51" s="51"/>
      <c r="E51" s="52"/>
      <c r="F51" s="120"/>
      <c r="G51" s="121" t="n">
        <f aca="false">7308+2932</f>
        <v>10240</v>
      </c>
      <c r="H51" s="81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2" t="n">
        <v>-15086</v>
      </c>
      <c r="U51" s="51"/>
      <c r="V51" s="51"/>
      <c r="W51" s="51"/>
      <c r="X51" s="51"/>
      <c r="Y51" s="51"/>
      <c r="Z51" s="56"/>
      <c r="AA51" s="57"/>
      <c r="AB51" s="57"/>
      <c r="AC51" s="58"/>
      <c r="AD51" s="88"/>
      <c r="AE51" s="88"/>
    </row>
    <row r="52" customFormat="false" ht="11.1" hidden="false" customHeight="true" outlineLevel="0" collapsed="false">
      <c r="A52" s="51"/>
      <c r="B52" s="52" t="s">
        <v>72</v>
      </c>
      <c r="E52" s="122" t="e">
        <f aca="false">E40-((O53+U53+#REF!+(T53*-1)))</f>
        <v>#REF!</v>
      </c>
      <c r="F52" s="123" t="n">
        <f aca="false">2932/210</f>
        <v>13.9619047619048</v>
      </c>
      <c r="G52" s="124" t="n">
        <f aca="false">7308/210</f>
        <v>34.8</v>
      </c>
      <c r="H52" s="81"/>
      <c r="I52" s="98"/>
      <c r="J52" s="51"/>
      <c r="K52" s="42"/>
      <c r="L52" s="51"/>
      <c r="M52" s="51"/>
      <c r="N52" s="52"/>
      <c r="O52" s="125" t="n">
        <v>6289</v>
      </c>
      <c r="P52" s="51"/>
      <c r="Q52" s="51"/>
      <c r="R52" s="52"/>
      <c r="S52" s="125"/>
      <c r="T52" s="52" t="n">
        <f aca="false">F52*F53</f>
        <v>823.752380952381</v>
      </c>
      <c r="U52" s="52" t="n">
        <v>14805</v>
      </c>
      <c r="V52" s="52"/>
      <c r="W52" s="51"/>
      <c r="X52" s="51"/>
      <c r="Y52" s="55"/>
      <c r="Z52" s="56"/>
      <c r="AA52" s="57"/>
      <c r="AB52" s="58"/>
      <c r="AC52" s="88"/>
      <c r="AD52" s="88"/>
    </row>
    <row r="53" customFormat="false" ht="11.1" hidden="false" customHeight="true" outlineLevel="0" collapsed="false">
      <c r="A53" s="82"/>
      <c r="B53" s="82" t="s">
        <v>73</v>
      </c>
      <c r="C53" s="52"/>
      <c r="D53" s="52"/>
      <c r="E53" s="126" t="n">
        <f aca="false">G51-G53</f>
        <v>7363.04761904762</v>
      </c>
      <c r="F53" s="123" t="n">
        <v>59</v>
      </c>
      <c r="G53" s="127" t="n">
        <f aca="false">(F52*F53)+(G52*F53)</f>
        <v>2876.95238095238</v>
      </c>
      <c r="H53" s="81"/>
      <c r="I53" s="52" t="s">
        <v>74</v>
      </c>
      <c r="J53" s="82"/>
      <c r="K53" s="82"/>
      <c r="L53" s="81"/>
      <c r="M53" s="0"/>
      <c r="N53" s="98"/>
      <c r="O53" s="57" t="n">
        <f aca="false">O52-O49</f>
        <v>6289</v>
      </c>
      <c r="P53" s="82"/>
      <c r="Q53" s="82"/>
      <c r="R53" s="98"/>
      <c r="S53" s="52"/>
      <c r="T53" s="57" t="n">
        <f aca="false">T51+T52-T46</f>
        <v>-14262.2476190476</v>
      </c>
      <c r="U53" s="52" t="n">
        <f aca="false">U52-U49</f>
        <v>14428.135</v>
      </c>
      <c r="V53" s="57"/>
      <c r="W53" s="82"/>
      <c r="X53" s="82"/>
      <c r="Y53" s="55"/>
      <c r="Z53" s="56"/>
      <c r="AA53" s="57"/>
      <c r="AB53" s="58"/>
      <c r="AC53" s="96"/>
      <c r="AD53" s="96"/>
    </row>
    <row r="54" customFormat="false" ht="11.1" hidden="false" customHeight="true" outlineLevel="0" collapsed="false">
      <c r="A54" s="82"/>
      <c r="B54" s="55"/>
      <c r="C54" s="52"/>
      <c r="D54" s="52" t="s">
        <v>75</v>
      </c>
      <c r="E54" s="45" t="e">
        <f aca="false">E52-E53</f>
        <v>#REF!</v>
      </c>
      <c r="F54" s="128" t="s">
        <v>76</v>
      </c>
      <c r="G54" s="129"/>
      <c r="I54" s="82"/>
      <c r="J54" s="82"/>
      <c r="K54" s="82"/>
      <c r="L54" s="82"/>
      <c r="M54" s="81"/>
      <c r="N54" s="81"/>
      <c r="O54" s="81"/>
      <c r="P54" s="82"/>
      <c r="Q54" s="82"/>
      <c r="R54" s="82"/>
      <c r="S54" s="52"/>
      <c r="T54" s="82"/>
      <c r="U54" s="52"/>
      <c r="V54" s="52"/>
      <c r="W54" s="82"/>
      <c r="X54" s="82"/>
      <c r="Y54" s="55"/>
      <c r="Z54" s="56"/>
      <c r="AA54" s="57"/>
      <c r="AB54" s="58"/>
      <c r="AC54" s="96"/>
      <c r="AD54" s="96"/>
    </row>
    <row r="55" customFormat="false" ht="11.1" hidden="false" customHeight="true" outlineLevel="0" collapsed="false">
      <c r="A55" s="82"/>
      <c r="B55" s="0"/>
      <c r="C55" s="52"/>
      <c r="D55" s="0"/>
      <c r="E55" s="52"/>
      <c r="F55" s="82"/>
      <c r="G55" s="130"/>
      <c r="H55" s="131"/>
      <c r="I55" s="132"/>
      <c r="J55" s="82"/>
      <c r="K55" s="82"/>
      <c r="L55" s="82"/>
      <c r="M55" s="81"/>
      <c r="N55" s="81"/>
      <c r="O55" s="81"/>
      <c r="P55" s="82"/>
      <c r="Q55" s="82"/>
      <c r="R55" s="82"/>
      <c r="S55" s="52"/>
      <c r="T55" s="82"/>
      <c r="U55" s="82"/>
      <c r="V55" s="52"/>
      <c r="W55" s="82"/>
      <c r="X55" s="82"/>
      <c r="Y55" s="55"/>
      <c r="Z55" s="56"/>
      <c r="AA55" s="57"/>
      <c r="AB55" s="58"/>
      <c r="AC55" s="96"/>
      <c r="AD55" s="96"/>
    </row>
  </sheetData>
  <mergeCells count="2">
    <mergeCell ref="K2:T2"/>
    <mergeCell ref="M4:P4"/>
  </mergeCells>
  <printOptions headings="true" gridLines="true" gridLinesSet="true" horizontalCentered="true" verticalCentered="false"/>
  <pageMargins left="0" right="0" top="0" bottom="0" header="0.511811023622047" footer="0.511811023622047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G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9" topLeftCell="Q20" activePane="bottomRight" state="frozen"/>
      <selection pane="topLeft" activeCell="A1" activeCellId="0" sqref="A1"/>
      <selection pane="topRight" activeCell="Q1" activeCellId="0" sqref="Q1"/>
      <selection pane="bottomLeft" activeCell="A20" activeCellId="0" sqref="A20"/>
      <selection pane="bottomRight" activeCell="AB39" activeCellId="0" sqref="AB39"/>
    </sheetView>
  </sheetViews>
  <sheetFormatPr defaultColWidth="9.2890625" defaultRowHeight="11.1" zeroHeight="false" outlineLevelRow="0" outlineLevelCol="0"/>
  <cols>
    <col collapsed="false" customWidth="true" hidden="false" outlineLevel="0" max="1" min="1" style="0" width="5.66"/>
    <col collapsed="false" customWidth="true" hidden="false" outlineLevel="0" max="2" min="2" style="0" width="7.82"/>
    <col collapsed="false" customWidth="true" hidden="false" outlineLevel="0" max="3" min="3" style="1" width="7.66"/>
    <col collapsed="false" customWidth="true" hidden="false" outlineLevel="0" max="4" min="4" style="0" width="6.99"/>
    <col collapsed="false" customWidth="true" hidden="false" outlineLevel="0" max="5" min="5" style="1" width="7.66"/>
    <col collapsed="false" customWidth="true" hidden="false" outlineLevel="0" max="6" min="6" style="0" width="7.66"/>
    <col collapsed="false" customWidth="true" hidden="false" outlineLevel="0" max="7" min="7" style="0" width="7.16"/>
    <col collapsed="false" customWidth="true" hidden="false" outlineLevel="0" max="8" min="8" style="3" width="6.82"/>
    <col collapsed="false" customWidth="true" hidden="false" outlineLevel="0" max="9" min="9" style="0" width="7.99"/>
    <col collapsed="false" customWidth="true" hidden="false" outlineLevel="0" max="10" min="10" style="0" width="6.66"/>
    <col collapsed="false" customWidth="true" hidden="false" outlineLevel="0" max="12" min="11" style="0" width="7.16"/>
    <col collapsed="false" customWidth="true" hidden="false" outlineLevel="0" max="13" min="13" style="3" width="6.16"/>
    <col collapsed="false" customWidth="true" hidden="true" outlineLevel="0" max="14" min="14" style="3" width="7.32"/>
    <col collapsed="false" customWidth="true" hidden="true" outlineLevel="0" max="15" min="15" style="3" width="6.49"/>
    <col collapsed="false" customWidth="true" hidden="true" outlineLevel="0" max="16" min="16" style="0" width="7.16"/>
    <col collapsed="false" customWidth="true" hidden="false" outlineLevel="0" max="17" min="17" style="0" width="6.32"/>
    <col collapsed="false" customWidth="true" hidden="false" outlineLevel="0" max="18" min="18" style="0" width="5.82"/>
    <col collapsed="false" customWidth="true" hidden="false" outlineLevel="0" max="19" min="19" style="1" width="6.82"/>
    <col collapsed="false" customWidth="true" hidden="false" outlineLevel="0" max="20" min="20" style="0" width="7.66"/>
    <col collapsed="false" customWidth="true" hidden="false" outlineLevel="0" max="21" min="21" style="0" width="5.99"/>
    <col collapsed="false" customWidth="true" hidden="false" outlineLevel="0" max="22" min="22" style="1" width="6.66"/>
    <col collapsed="false" customWidth="true" hidden="false" outlineLevel="0" max="24" min="23" style="0" width="7.82"/>
    <col collapsed="false" customWidth="true" hidden="false" outlineLevel="0" max="25" min="25" style="103" width="8.16"/>
    <col collapsed="false" customWidth="true" hidden="false" outlineLevel="0" max="26" min="26" style="2" width="4.66"/>
    <col collapsed="false" customWidth="true" hidden="false" outlineLevel="0" max="27" min="27" style="4" width="4.66"/>
    <col collapsed="false" customWidth="true" hidden="false" outlineLevel="0" max="28" min="28" style="5" width="4.66"/>
    <col collapsed="false" customWidth="true" hidden="false" outlineLevel="0" max="29" min="29" style="0" width="5.66"/>
  </cols>
  <sheetData>
    <row r="1" customFormat="false" ht="14.1" hidden="false" customHeight="true" outlineLevel="0" collapsed="false">
      <c r="A1" s="6"/>
      <c r="B1" s="6"/>
      <c r="C1" s="7"/>
      <c r="D1" s="6"/>
      <c r="E1" s="7"/>
      <c r="F1" s="6"/>
      <c r="G1" s="6"/>
      <c r="H1" s="37"/>
      <c r="I1" s="6"/>
      <c r="J1" s="6"/>
      <c r="K1" s="9" t="s">
        <v>0</v>
      </c>
      <c r="L1" s="6"/>
      <c r="M1" s="6"/>
      <c r="N1" s="6"/>
      <c r="O1" s="6"/>
      <c r="P1" s="6"/>
      <c r="Q1" s="6"/>
      <c r="R1" s="6"/>
      <c r="S1" s="7"/>
      <c r="T1" s="6"/>
      <c r="U1" s="6"/>
      <c r="V1" s="7"/>
      <c r="W1" s="6"/>
      <c r="X1" s="6"/>
      <c r="Y1" s="10"/>
      <c r="Z1" s="11"/>
      <c r="AA1" s="12"/>
      <c r="AB1" s="13"/>
      <c r="AC1" s="104"/>
      <c r="AD1" s="104"/>
    </row>
    <row r="2" customFormat="false" ht="14.1" hidden="false" customHeight="true" outlineLevel="0" collapsed="false">
      <c r="A2" s="6" t="s">
        <v>1</v>
      </c>
      <c r="B2" s="6"/>
      <c r="C2" s="7"/>
      <c r="D2" s="14" t="n">
        <v>1.9835</v>
      </c>
      <c r="E2" s="7"/>
      <c r="F2" s="6"/>
      <c r="G2" s="6"/>
      <c r="H2" s="37"/>
      <c r="I2" s="6"/>
      <c r="J2" s="6"/>
      <c r="K2" s="105" t="s">
        <v>77</v>
      </c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6"/>
      <c r="X2" s="6"/>
      <c r="Y2" s="10"/>
      <c r="Z2" s="11"/>
      <c r="AA2" s="12"/>
      <c r="AB2" s="13"/>
      <c r="AC2" s="104"/>
      <c r="AD2" s="104"/>
    </row>
    <row r="3" customFormat="false" ht="11.1" hidden="false" customHeight="true" outlineLevel="0" collapsed="false">
      <c r="A3" s="6"/>
      <c r="B3" s="6"/>
      <c r="C3" s="7"/>
      <c r="D3" s="15"/>
      <c r="E3" s="7"/>
      <c r="F3" s="6"/>
      <c r="G3" s="6"/>
      <c r="H3" s="37"/>
      <c r="I3" s="6"/>
      <c r="J3" s="6"/>
      <c r="K3" s="6"/>
      <c r="L3" s="6"/>
      <c r="M3" s="6"/>
      <c r="N3" s="6"/>
      <c r="O3" s="6"/>
      <c r="P3" s="6"/>
      <c r="Q3" s="6"/>
      <c r="R3" s="6"/>
      <c r="S3" s="7"/>
      <c r="T3" s="6"/>
      <c r="U3" s="6"/>
      <c r="V3" s="7"/>
      <c r="W3" s="6"/>
      <c r="X3" s="6"/>
      <c r="Y3" s="10"/>
      <c r="Z3" s="11"/>
      <c r="AA3" s="12"/>
      <c r="AB3" s="13"/>
      <c r="AC3" s="104"/>
      <c r="AD3" s="104"/>
    </row>
    <row r="4" customFormat="false" ht="11.1" hidden="false" customHeight="true" outlineLevel="0" collapsed="false">
      <c r="A4" s="16" t="s">
        <v>3</v>
      </c>
      <c r="B4" s="16" t="s">
        <v>4</v>
      </c>
      <c r="C4" s="17" t="s">
        <v>4</v>
      </c>
      <c r="D4" s="16" t="s">
        <v>5</v>
      </c>
      <c r="E4" s="17" t="s">
        <v>6</v>
      </c>
      <c r="F4" s="16" t="s">
        <v>7</v>
      </c>
      <c r="G4" s="16" t="s">
        <v>8</v>
      </c>
      <c r="H4" s="106" t="s">
        <v>9</v>
      </c>
      <c r="I4" s="16" t="s">
        <v>10</v>
      </c>
      <c r="J4" s="16" t="s">
        <v>11</v>
      </c>
      <c r="K4" s="16" t="s">
        <v>12</v>
      </c>
      <c r="L4" s="16" t="s">
        <v>11</v>
      </c>
      <c r="M4" s="19" t="s">
        <v>13</v>
      </c>
      <c r="N4" s="19"/>
      <c r="O4" s="19"/>
      <c r="P4" s="19"/>
      <c r="Q4" s="16" t="s">
        <v>14</v>
      </c>
      <c r="R4" s="16" t="s">
        <v>15</v>
      </c>
      <c r="S4" s="16" t="s">
        <v>12</v>
      </c>
      <c r="T4" s="17" t="s">
        <v>16</v>
      </c>
      <c r="U4" s="16" t="s">
        <v>17</v>
      </c>
      <c r="V4" s="16" t="s">
        <v>18</v>
      </c>
      <c r="W4" s="16" t="s">
        <v>10</v>
      </c>
      <c r="X4" s="16" t="s">
        <v>11</v>
      </c>
      <c r="Y4" s="16" t="s">
        <v>12</v>
      </c>
      <c r="Z4" s="20" t="s">
        <v>19</v>
      </c>
      <c r="AA4" s="21" t="s">
        <v>20</v>
      </c>
      <c r="AB4" s="21" t="s">
        <v>21</v>
      </c>
      <c r="AC4" s="21" t="s">
        <v>3</v>
      </c>
      <c r="AD4" s="107" t="s">
        <v>78</v>
      </c>
      <c r="AE4" s="104"/>
    </row>
    <row r="5" customFormat="false" ht="11.1" hidden="false" customHeight="true" outlineLevel="0" collapsed="false">
      <c r="A5" s="22" t="s">
        <v>79</v>
      </c>
      <c r="B5" s="16" t="s">
        <v>23</v>
      </c>
      <c r="C5" s="17" t="s">
        <v>5</v>
      </c>
      <c r="D5" s="16" t="s">
        <v>24</v>
      </c>
      <c r="E5" s="17" t="s">
        <v>25</v>
      </c>
      <c r="F5" s="16" t="s">
        <v>26</v>
      </c>
      <c r="G5" s="16" t="s">
        <v>27</v>
      </c>
      <c r="H5" s="106" t="s">
        <v>28</v>
      </c>
      <c r="I5" s="16" t="s">
        <v>29</v>
      </c>
      <c r="J5" s="16" t="s">
        <v>29</v>
      </c>
      <c r="K5" s="16" t="s">
        <v>29</v>
      </c>
      <c r="L5" s="16" t="s">
        <v>30</v>
      </c>
      <c r="M5" s="16" t="s">
        <v>31</v>
      </c>
      <c r="N5" s="16" t="s">
        <v>32</v>
      </c>
      <c r="O5" s="16" t="s">
        <v>33</v>
      </c>
      <c r="P5" s="16" t="s">
        <v>65</v>
      </c>
      <c r="Q5" s="16" t="s">
        <v>35</v>
      </c>
      <c r="R5" s="16" t="s">
        <v>36</v>
      </c>
      <c r="S5" s="16" t="s">
        <v>16</v>
      </c>
      <c r="T5" s="17" t="s">
        <v>37</v>
      </c>
      <c r="U5" s="16" t="s">
        <v>38</v>
      </c>
      <c r="V5" s="16" t="s">
        <v>39</v>
      </c>
      <c r="W5" s="16" t="s">
        <v>40</v>
      </c>
      <c r="X5" s="16" t="s">
        <v>40</v>
      </c>
      <c r="Y5" s="16" t="s">
        <v>40</v>
      </c>
      <c r="Z5" s="24"/>
      <c r="AA5" s="21" t="s">
        <v>41</v>
      </c>
      <c r="AB5" s="21" t="s">
        <v>41</v>
      </c>
      <c r="AC5" s="25" t="s">
        <v>79</v>
      </c>
      <c r="AD5" s="107" t="s">
        <v>80</v>
      </c>
      <c r="AE5" s="104"/>
    </row>
    <row r="6" customFormat="false" ht="11.1" hidden="false" customHeight="true" outlineLevel="0" collapsed="false">
      <c r="A6" s="26"/>
      <c r="B6" s="26"/>
      <c r="C6" s="27"/>
      <c r="D6" s="26"/>
      <c r="E6" s="27"/>
      <c r="F6" s="26"/>
      <c r="G6" s="26"/>
      <c r="H6" s="108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7"/>
      <c r="U6" s="26"/>
      <c r="V6" s="26"/>
      <c r="W6" s="26"/>
      <c r="X6" s="26"/>
      <c r="Y6" s="26"/>
      <c r="Z6" s="11"/>
      <c r="AA6" s="13"/>
      <c r="AB6" s="13"/>
      <c r="AC6" s="13"/>
      <c r="AF6" s="133"/>
    </row>
    <row r="7" customFormat="false" ht="11.1" hidden="false" customHeight="true" outlineLevel="0" collapsed="false">
      <c r="A7" s="6" t="s">
        <v>42</v>
      </c>
      <c r="B7" s="6"/>
      <c r="C7" s="7"/>
      <c r="D7" s="7"/>
      <c r="E7" s="7"/>
      <c r="F7" s="7" t="n">
        <f aca="false">MAY!F45</f>
        <v>31961.1797327956</v>
      </c>
      <c r="G7" s="7" t="n">
        <f aca="false">MAY!G45</f>
        <v>104051</v>
      </c>
      <c r="H7" s="37" t="n">
        <f aca="false">MAY!H45</f>
        <v>12634</v>
      </c>
      <c r="I7" s="7" t="n">
        <f aca="false">MAY!I45</f>
        <v>116685</v>
      </c>
      <c r="J7" s="7" t="n">
        <f aca="false">MAY!J45</f>
        <v>37567.5119737837</v>
      </c>
      <c r="K7" s="7" t="n">
        <f aca="false">MAY!K45</f>
        <v>154252.511973784</v>
      </c>
      <c r="L7" s="7" t="n">
        <f aca="false">MAY!L45</f>
        <v>37491.1797327956</v>
      </c>
      <c r="M7" s="7" t="n">
        <f aca="false">MAY!M45</f>
        <v>6750</v>
      </c>
      <c r="N7" s="7" t="n">
        <f aca="false">MAY!N45</f>
        <v>0</v>
      </c>
      <c r="O7" s="7" t="n">
        <f aca="false">MAY!O45</f>
        <v>0</v>
      </c>
      <c r="P7" s="7" t="n">
        <f aca="false">MAY!P45</f>
        <v>6750</v>
      </c>
      <c r="Q7" s="7" t="n">
        <f aca="false">MAY!Q45</f>
        <v>5435</v>
      </c>
      <c r="R7" s="7" t="n">
        <f aca="false">MAY!R45</f>
        <v>2908</v>
      </c>
      <c r="S7" s="7" t="n">
        <f aca="false">MAY!S45</f>
        <v>15093</v>
      </c>
      <c r="T7" s="7" t="n">
        <f aca="false">MAY!T45</f>
        <v>0</v>
      </c>
      <c r="U7" s="7" t="n">
        <f aca="false">MAY!U45</f>
        <v>189</v>
      </c>
      <c r="V7" s="7" t="n">
        <f aca="false">MAY!V45</f>
        <v>106933</v>
      </c>
      <c r="W7" s="7" t="n">
        <f aca="false">MAY!W45</f>
        <v>122215</v>
      </c>
      <c r="X7" s="7" t="n">
        <f aca="false">MAY!X45</f>
        <v>76.3322409881522</v>
      </c>
      <c r="Y7" s="7" t="n">
        <f aca="false">MAY!Y45</f>
        <v>122291.332240988</v>
      </c>
      <c r="Z7" s="11"/>
      <c r="AA7" s="12"/>
      <c r="AB7" s="12"/>
      <c r="AC7" s="13"/>
      <c r="AD7" s="109"/>
      <c r="AF7" s="134"/>
    </row>
    <row r="8" s="1" customFormat="true" ht="11.1" hidden="false" customHeight="true" outlineLevel="0" collapsed="false">
      <c r="A8" s="7" t="s">
        <v>43</v>
      </c>
      <c r="B8" s="29" t="n">
        <f aca="false">MAY!B40</f>
        <v>6917.88</v>
      </c>
      <c r="C8" s="7" t="n">
        <f aca="false">MAY!C40</f>
        <v>354485</v>
      </c>
      <c r="D8" s="7" t="n">
        <f aca="false">MAY!D49</f>
        <v>64292</v>
      </c>
      <c r="E8" s="7" t="n">
        <f aca="false">MAY!E49</f>
        <v>202485</v>
      </c>
      <c r="F8" s="7" t="n">
        <f aca="false">MAY!F48</f>
        <v>32413.4106377615</v>
      </c>
      <c r="G8" s="7" t="n">
        <f aca="false">MAY!G48</f>
        <v>134501</v>
      </c>
      <c r="H8" s="37" t="n">
        <f aca="false">MAY!H48</f>
        <v>16045</v>
      </c>
      <c r="I8" s="7" t="n">
        <f aca="false">MAY!I48</f>
        <v>150004.9</v>
      </c>
      <c r="J8" s="7" t="n">
        <f aca="false">MAY!J48</f>
        <v>44401.9568187547</v>
      </c>
      <c r="K8" s="7" t="n">
        <f aca="false">MAY!K48</f>
        <v>194406.856818755</v>
      </c>
      <c r="L8" s="7" t="n">
        <f aca="false">MAY!L48</f>
        <v>43219.5106377615</v>
      </c>
      <c r="M8" s="7" t="n">
        <f aca="false">MAY!M48</f>
        <v>8316</v>
      </c>
      <c r="N8" s="7" t="n">
        <f aca="false">MAY!N48</f>
        <v>0.08</v>
      </c>
      <c r="O8" s="7" t="n">
        <f aca="false">MAY!O48</f>
        <v>0</v>
      </c>
      <c r="P8" s="7" t="n">
        <f aca="false">MAY!P48</f>
        <v>8315.92</v>
      </c>
      <c r="Q8" s="7" t="n">
        <f aca="false">MAY!Q48</f>
        <v>7713</v>
      </c>
      <c r="R8" s="7" t="n">
        <f aca="false">MAY!R48</f>
        <v>3357</v>
      </c>
      <c r="S8" s="7" t="n">
        <f aca="false">MAY!S48</f>
        <v>19385.92</v>
      </c>
      <c r="T8" s="7" t="n">
        <f aca="false">MAY!T48</f>
        <v>0</v>
      </c>
      <c r="U8" s="7" t="n">
        <f aca="false">MAY!U48</f>
        <v>190</v>
      </c>
      <c r="V8" s="7" t="n">
        <f aca="false">MAY!V48</f>
        <v>141235</v>
      </c>
      <c r="W8" s="7" t="n">
        <f aca="false">MAY!W48</f>
        <v>160811</v>
      </c>
      <c r="X8" s="7" t="n">
        <f aca="false">MAY!X48</f>
        <v>1182.44618099319</v>
      </c>
      <c r="Y8" s="7" t="n">
        <f aca="false">MAY!Y48</f>
        <v>161993.446180993</v>
      </c>
      <c r="Z8" s="11" t="n">
        <f aca="false">MAY!Z48</f>
        <v>8.8</v>
      </c>
      <c r="AA8" s="12"/>
      <c r="AB8" s="12"/>
      <c r="AC8" s="13"/>
      <c r="AD8" s="135"/>
      <c r="AE8" s="135"/>
    </row>
    <row r="9" customFormat="false" ht="3" hidden="false" customHeight="true" outlineLevel="0" collapsed="false">
      <c r="A9" s="30"/>
      <c r="B9" s="31"/>
      <c r="C9" s="32"/>
      <c r="D9" s="30"/>
      <c r="E9" s="32"/>
      <c r="F9" s="30"/>
      <c r="G9" s="30"/>
      <c r="H9" s="110"/>
      <c r="I9" s="30"/>
      <c r="J9" s="30"/>
      <c r="K9" s="30"/>
      <c r="L9" s="30"/>
      <c r="M9" s="30"/>
      <c r="N9" s="30"/>
      <c r="O9" s="30" t="n">
        <v>0</v>
      </c>
      <c r="P9" s="30"/>
      <c r="Q9" s="30"/>
      <c r="R9" s="30" t="n">
        <v>0</v>
      </c>
      <c r="S9" s="30"/>
      <c r="T9" s="32"/>
      <c r="U9" s="30"/>
      <c r="V9" s="30"/>
      <c r="W9" s="30"/>
      <c r="X9" s="30"/>
      <c r="Y9" s="30"/>
      <c r="Z9" s="34"/>
      <c r="AA9" s="35"/>
      <c r="AB9" s="35"/>
      <c r="AC9" s="36"/>
      <c r="AD9" s="104"/>
      <c r="AE9" s="104"/>
    </row>
    <row r="10" customFormat="false" ht="11.1" hidden="false" customHeight="true" outlineLevel="0" collapsed="false">
      <c r="A10" s="13" t="n">
        <v>1</v>
      </c>
      <c r="B10" s="29" t="n">
        <v>6917.88</v>
      </c>
      <c r="C10" s="7" t="n">
        <v>354485</v>
      </c>
      <c r="D10" s="12" t="n">
        <f aca="false">C10-C8</f>
        <v>0</v>
      </c>
      <c r="E10" s="7" t="n">
        <f aca="false">C10-152000</f>
        <v>202485</v>
      </c>
      <c r="F10" s="6" t="n">
        <f aca="false">D10/$D$2</f>
        <v>0</v>
      </c>
      <c r="G10" s="6" t="n">
        <v>1286</v>
      </c>
      <c r="H10" s="37" t="n">
        <v>20</v>
      </c>
      <c r="I10" s="6" t="n">
        <f aca="false">G10+H10</f>
        <v>1306</v>
      </c>
      <c r="J10" s="111" t="n">
        <f aca="false">IF(L10&gt;0,L10,0)</f>
        <v>352</v>
      </c>
      <c r="K10" s="6" t="n">
        <f aca="false">I10+J10</f>
        <v>1658</v>
      </c>
      <c r="L10" s="6" t="n">
        <f aca="false">F10-(I10-W10)</f>
        <v>352</v>
      </c>
      <c r="M10" s="6" t="n">
        <v>199</v>
      </c>
      <c r="N10" s="6" t="n">
        <v>0</v>
      </c>
      <c r="O10" s="6" t="n">
        <v>0</v>
      </c>
      <c r="P10" s="6" t="n">
        <f aca="false">M10-(N10+O10)</f>
        <v>199</v>
      </c>
      <c r="Q10" s="6" t="n">
        <v>164</v>
      </c>
      <c r="R10" s="6" t="n">
        <v>94</v>
      </c>
      <c r="S10" s="6" t="n">
        <f aca="false">SUM(P10:R10)</f>
        <v>457</v>
      </c>
      <c r="T10" s="7" t="n">
        <f aca="false">T7</f>
        <v>0</v>
      </c>
      <c r="U10" s="6" t="n">
        <v>0</v>
      </c>
      <c r="V10" s="6" t="n">
        <v>1201</v>
      </c>
      <c r="W10" s="6" t="n">
        <f aca="false">N10+O10+S10+U10+V10</f>
        <v>1658</v>
      </c>
      <c r="X10" s="6" t="n">
        <f aca="false">IF(L10&lt;0,L10*-1,0)</f>
        <v>0</v>
      </c>
      <c r="Y10" s="6" t="n">
        <f aca="false">W10+X10</f>
        <v>1658</v>
      </c>
      <c r="Z10" s="11" t="n">
        <v>0</v>
      </c>
      <c r="AA10" s="12" t="n">
        <v>77</v>
      </c>
      <c r="AB10" s="12" t="n">
        <v>42</v>
      </c>
      <c r="AC10" s="13" t="n">
        <v>1</v>
      </c>
      <c r="AD10" s="12" t="n">
        <f aca="false">IF(I10&gt;S10,I10-S10,I10-S10)</f>
        <v>849</v>
      </c>
      <c r="AE10" s="12"/>
      <c r="AF10" s="136"/>
      <c r="AG10" s="6"/>
    </row>
    <row r="11" customFormat="false" ht="11.1" hidden="false" customHeight="true" outlineLevel="0" collapsed="false">
      <c r="A11" s="13" t="n">
        <f aca="false">A10+1</f>
        <v>2</v>
      </c>
      <c r="B11" s="29" t="n">
        <v>6918.11</v>
      </c>
      <c r="C11" s="7" t="n">
        <v>355464</v>
      </c>
      <c r="D11" s="12" t="n">
        <f aca="false">C11-C10</f>
        <v>979</v>
      </c>
      <c r="E11" s="7" t="n">
        <f aca="false">C11-152000</f>
        <v>203464</v>
      </c>
      <c r="F11" s="6" t="n">
        <f aca="false">D11/$D$2</f>
        <v>493.571968742123</v>
      </c>
      <c r="G11" s="6" t="n">
        <v>1757</v>
      </c>
      <c r="H11" s="37" t="n">
        <v>23</v>
      </c>
      <c r="I11" s="6" t="n">
        <f aca="false">G11+H11</f>
        <v>1780</v>
      </c>
      <c r="J11" s="111" t="n">
        <f aca="false">IF(L11&gt;0,L11,0)</f>
        <v>370.571968742122</v>
      </c>
      <c r="K11" s="6" t="n">
        <f aca="false">I11+J11</f>
        <v>2150.57196874212</v>
      </c>
      <c r="L11" s="6" t="n">
        <f aca="false">F11-(I11-W11)</f>
        <v>370.571968742122</v>
      </c>
      <c r="M11" s="6" t="n">
        <v>206</v>
      </c>
      <c r="N11" s="6" t="n">
        <v>0</v>
      </c>
      <c r="O11" s="6" t="n">
        <v>0</v>
      </c>
      <c r="P11" s="6" t="n">
        <f aca="false">M11-(N11+O11)</f>
        <v>206</v>
      </c>
      <c r="Q11" s="6" t="n">
        <v>164</v>
      </c>
      <c r="R11" s="6" t="n">
        <v>86</v>
      </c>
      <c r="S11" s="6" t="n">
        <f aca="false">SUM(P11:R11)</f>
        <v>456</v>
      </c>
      <c r="T11" s="52" t="n">
        <f aca="false">T10</f>
        <v>0</v>
      </c>
      <c r="U11" s="6" t="n">
        <v>0</v>
      </c>
      <c r="V11" s="6" t="n">
        <v>1201</v>
      </c>
      <c r="W11" s="6" t="n">
        <f aca="false">N11+O11+S11+U11+V11</f>
        <v>1657</v>
      </c>
      <c r="X11" s="6" t="n">
        <f aca="false">IF(L11&lt;0,L11*-1,0)</f>
        <v>0</v>
      </c>
      <c r="Y11" s="6" t="n">
        <f aca="false">W11+X11</f>
        <v>1657</v>
      </c>
      <c r="Z11" s="11" t="n">
        <v>0</v>
      </c>
      <c r="AA11" s="12" t="n">
        <v>79</v>
      </c>
      <c r="AB11" s="12" t="n">
        <v>42</v>
      </c>
      <c r="AC11" s="13" t="n">
        <f aca="false">AC10+1</f>
        <v>2</v>
      </c>
      <c r="AD11" s="12" t="n">
        <f aca="false">IF(I11&gt;S11,I11-S11,I11-S11)</f>
        <v>1324</v>
      </c>
      <c r="AE11" s="12"/>
      <c r="AG11" s="6"/>
    </row>
    <row r="12" customFormat="false" ht="11.1" hidden="false" customHeight="true" outlineLevel="0" collapsed="false">
      <c r="A12" s="13" t="n">
        <f aca="false">A11+1</f>
        <v>3</v>
      </c>
      <c r="B12" s="29" t="n">
        <v>6918.48</v>
      </c>
      <c r="C12" s="7" t="n">
        <v>357045</v>
      </c>
      <c r="D12" s="12" t="n">
        <f aca="false">C12-C11</f>
        <v>1581</v>
      </c>
      <c r="E12" s="7" t="n">
        <f aca="false">C12-152000</f>
        <v>205045</v>
      </c>
      <c r="F12" s="6" t="n">
        <f aca="false">D12/$D$2</f>
        <v>797.075875976809</v>
      </c>
      <c r="G12" s="6" t="n">
        <v>2111</v>
      </c>
      <c r="H12" s="37" t="n">
        <v>2</v>
      </c>
      <c r="I12" s="6" t="n">
        <f aca="false">G12+H12</f>
        <v>2113</v>
      </c>
      <c r="J12" s="111" t="n">
        <f aca="false">IF(L12&gt;0,L12,0)</f>
        <v>347.075875976809</v>
      </c>
      <c r="K12" s="6" t="n">
        <f aca="false">I12+J12</f>
        <v>2460.07587597681</v>
      </c>
      <c r="L12" s="6" t="n">
        <f aca="false">F12-(I12-W12)</f>
        <v>347.075875976809</v>
      </c>
      <c r="M12" s="6" t="n">
        <v>212</v>
      </c>
      <c r="N12" s="6" t="n">
        <v>0</v>
      </c>
      <c r="O12" s="6" t="n">
        <v>0</v>
      </c>
      <c r="P12" s="6" t="n">
        <f aca="false">M12-(N12+O12)</f>
        <v>212</v>
      </c>
      <c r="Q12" s="6" t="n">
        <v>164</v>
      </c>
      <c r="R12" s="6" t="n">
        <v>86</v>
      </c>
      <c r="S12" s="6" t="n">
        <f aca="false">SUM(P12:R12)</f>
        <v>462</v>
      </c>
      <c r="T12" s="52" t="n">
        <f aca="false">T11</f>
        <v>0</v>
      </c>
      <c r="U12" s="6" t="n">
        <v>0</v>
      </c>
      <c r="V12" s="6" t="n">
        <v>1201</v>
      </c>
      <c r="W12" s="6" t="n">
        <f aca="false">N12+O12+S12+U12+V12</f>
        <v>1663</v>
      </c>
      <c r="X12" s="6" t="n">
        <f aca="false">IF(L12&lt;0,L12*-1,0)</f>
        <v>0</v>
      </c>
      <c r="Y12" s="6" t="n">
        <f aca="false">W12+X12</f>
        <v>1663</v>
      </c>
      <c r="Z12" s="11" t="n">
        <v>0</v>
      </c>
      <c r="AA12" s="12" t="n">
        <v>83</v>
      </c>
      <c r="AB12" s="12" t="n">
        <v>40</v>
      </c>
      <c r="AC12" s="13" t="n">
        <f aca="false">AC11+1</f>
        <v>3</v>
      </c>
      <c r="AD12" s="12" t="n">
        <f aca="false">IF(I12&gt;S12,I12-S12,I12-S12)</f>
        <v>1651</v>
      </c>
      <c r="AE12" s="12"/>
      <c r="AG12" s="6"/>
    </row>
    <row r="13" customFormat="false" ht="11.1" hidden="false" customHeight="true" outlineLevel="0" collapsed="false">
      <c r="A13" s="13" t="n">
        <f aca="false">A12+1</f>
        <v>4</v>
      </c>
      <c r="B13" s="29" t="n">
        <v>6919.07</v>
      </c>
      <c r="C13" s="7" t="n">
        <v>359568</v>
      </c>
      <c r="D13" s="12" t="n">
        <f aca="false">C13-C12</f>
        <v>2523</v>
      </c>
      <c r="E13" s="7" t="n">
        <f aca="false">C13-152000</f>
        <v>207568</v>
      </c>
      <c r="F13" s="6" t="n">
        <f aca="false">D13/$D$2</f>
        <v>1271.99395008823</v>
      </c>
      <c r="G13" s="6" t="n">
        <v>2455</v>
      </c>
      <c r="H13" s="37" t="n">
        <v>0</v>
      </c>
      <c r="I13" s="6" t="n">
        <f aca="false">G13+H13</f>
        <v>2455</v>
      </c>
      <c r="J13" s="111" t="n">
        <f aca="false">IF(L13&gt;0,L13,0)</f>
        <v>484.993950088228</v>
      </c>
      <c r="K13" s="6" t="n">
        <f aca="false">I13+J13</f>
        <v>2939.99395008823</v>
      </c>
      <c r="L13" s="6" t="n">
        <f aca="false">F13-(I13-W13)</f>
        <v>484.993950088228</v>
      </c>
      <c r="M13" s="6" t="n">
        <v>217</v>
      </c>
      <c r="N13" s="6" t="n">
        <v>0</v>
      </c>
      <c r="O13" s="6" t="n">
        <v>0</v>
      </c>
      <c r="P13" s="6" t="n">
        <f aca="false">M13-(N13+O13)</f>
        <v>217</v>
      </c>
      <c r="Q13" s="6" t="n">
        <v>164</v>
      </c>
      <c r="R13" s="6" t="n">
        <v>86</v>
      </c>
      <c r="S13" s="6" t="n">
        <f aca="false">SUM(P13:R13)</f>
        <v>467</v>
      </c>
      <c r="T13" s="52" t="n">
        <f aca="false">T12</f>
        <v>0</v>
      </c>
      <c r="U13" s="6" t="n">
        <v>0</v>
      </c>
      <c r="V13" s="6" t="n">
        <v>1201</v>
      </c>
      <c r="W13" s="6" t="n">
        <f aca="false">N13+O13+S13+U13+V13</f>
        <v>1668</v>
      </c>
      <c r="X13" s="6" t="n">
        <f aca="false">IF(L13&lt;0,L13*-1,0)</f>
        <v>0</v>
      </c>
      <c r="Y13" s="6" t="n">
        <f aca="false">W13+X13</f>
        <v>1668</v>
      </c>
      <c r="Z13" s="11" t="n">
        <v>0.02</v>
      </c>
      <c r="AA13" s="12" t="n">
        <v>82</v>
      </c>
      <c r="AB13" s="12" t="n">
        <v>40</v>
      </c>
      <c r="AC13" s="13" t="n">
        <f aca="false">AC12+1</f>
        <v>4</v>
      </c>
      <c r="AD13" s="12" t="n">
        <f aca="false">IF(I13&gt;S13,I13-S13,I13-S13)</f>
        <v>1988</v>
      </c>
      <c r="AE13" s="12"/>
      <c r="AG13" s="6"/>
    </row>
    <row r="14" customFormat="false" ht="11.1" hidden="false" customHeight="true" outlineLevel="0" collapsed="false">
      <c r="A14" s="13" t="n">
        <f aca="false">A13+1</f>
        <v>5</v>
      </c>
      <c r="B14" s="29" t="n">
        <v>6919.45</v>
      </c>
      <c r="C14" s="7" t="n">
        <v>361205</v>
      </c>
      <c r="D14" s="12" t="n">
        <f aca="false">C14-C13</f>
        <v>1637</v>
      </c>
      <c r="E14" s="7" t="n">
        <f aca="false">C14-152000</f>
        <v>209205</v>
      </c>
      <c r="F14" s="6" t="n">
        <f aca="false">D14/$D$2</f>
        <v>825.308797580035</v>
      </c>
      <c r="G14" s="6" t="n">
        <v>2378</v>
      </c>
      <c r="H14" s="37" t="n">
        <v>0</v>
      </c>
      <c r="I14" s="6" t="n">
        <f aca="false">G14+H14</f>
        <v>2378</v>
      </c>
      <c r="J14" s="111" t="n">
        <f aca="false">IF(L14&gt;0,L14,0)</f>
        <v>117.308797580035</v>
      </c>
      <c r="K14" s="6" t="n">
        <f aca="false">I14+J14</f>
        <v>2495.30879758004</v>
      </c>
      <c r="L14" s="6" t="n">
        <f aca="false">F14-(I14-W14)</f>
        <v>117.308797580035</v>
      </c>
      <c r="M14" s="6" t="n">
        <v>218</v>
      </c>
      <c r="N14" s="6" t="n">
        <v>0</v>
      </c>
      <c r="O14" s="6" t="n">
        <v>0</v>
      </c>
      <c r="P14" s="6" t="n">
        <f aca="false">M14-(N14+O14)</f>
        <v>218</v>
      </c>
      <c r="Q14" s="6" t="n">
        <v>165</v>
      </c>
      <c r="R14" s="6" t="n">
        <v>86</v>
      </c>
      <c r="S14" s="6" t="n">
        <f aca="false">SUM(P14:R14)</f>
        <v>469</v>
      </c>
      <c r="T14" s="52" t="n">
        <f aca="false">T13</f>
        <v>0</v>
      </c>
      <c r="U14" s="6" t="n">
        <v>0</v>
      </c>
      <c r="V14" s="6" t="n">
        <v>1201</v>
      </c>
      <c r="W14" s="6" t="n">
        <f aca="false">N14+O14+S14+U14+V14</f>
        <v>1670</v>
      </c>
      <c r="X14" s="6" t="n">
        <f aca="false">IF(L14&lt;0,L14*-1,0)</f>
        <v>0</v>
      </c>
      <c r="Y14" s="6" t="n">
        <f aca="false">W14+X14</f>
        <v>1670</v>
      </c>
      <c r="Z14" s="11" t="n">
        <v>0</v>
      </c>
      <c r="AA14" s="12" t="n">
        <v>80</v>
      </c>
      <c r="AB14" s="12" t="n">
        <v>47</v>
      </c>
      <c r="AC14" s="13" t="n">
        <v>5</v>
      </c>
      <c r="AD14" s="12" t="n">
        <f aca="false">IF(I14&gt;S14,I14-S14,I14-S14)</f>
        <v>1909</v>
      </c>
      <c r="AE14" s="12"/>
      <c r="AG14" s="6"/>
    </row>
    <row r="15" customFormat="false" ht="11.1" hidden="false" customHeight="true" outlineLevel="0" collapsed="false">
      <c r="A15" s="13" t="n">
        <f aca="false">A14+1</f>
        <v>6</v>
      </c>
      <c r="B15" s="29" t="n">
        <v>6920.07</v>
      </c>
      <c r="C15" s="7" t="n">
        <v>363877</v>
      </c>
      <c r="D15" s="12" t="n">
        <f aca="false">C15-C14</f>
        <v>2672</v>
      </c>
      <c r="E15" s="7" t="n">
        <f aca="false">C15-152000</f>
        <v>211877</v>
      </c>
      <c r="F15" s="6" t="n">
        <f aca="false">D15/$D$2</f>
        <v>1347.11368792538</v>
      </c>
      <c r="G15" s="6" t="n">
        <v>2612</v>
      </c>
      <c r="H15" s="37" t="n">
        <v>0</v>
      </c>
      <c r="I15" s="6" t="n">
        <f aca="false">G15+H15</f>
        <v>2612</v>
      </c>
      <c r="J15" s="111" t="n">
        <f aca="false">IF(L15&gt;0,L15,0)</f>
        <v>406.113687925384</v>
      </c>
      <c r="K15" s="6" t="n">
        <f aca="false">I15+J15</f>
        <v>3018.11368792538</v>
      </c>
      <c r="L15" s="6" t="n">
        <f aca="false">F15-(I15-W15)</f>
        <v>406.113687925384</v>
      </c>
      <c r="M15" s="6" t="n">
        <v>218</v>
      </c>
      <c r="N15" s="6" t="n">
        <v>0</v>
      </c>
      <c r="O15" s="6" t="n">
        <v>0</v>
      </c>
      <c r="P15" s="6" t="n">
        <f aca="false">M15-(N15+O15)</f>
        <v>218</v>
      </c>
      <c r="Q15" s="6" t="n">
        <v>165</v>
      </c>
      <c r="R15" s="6" t="n">
        <v>87</v>
      </c>
      <c r="S15" s="6" t="n">
        <f aca="false">SUM(P15:R15)</f>
        <v>470</v>
      </c>
      <c r="T15" s="52" t="n">
        <f aca="false">T14</f>
        <v>0</v>
      </c>
      <c r="U15" s="6" t="n">
        <v>0</v>
      </c>
      <c r="V15" s="6" t="n">
        <v>1201</v>
      </c>
      <c r="W15" s="6" t="n">
        <f aca="false">N15+O15+S15+U15+V15</f>
        <v>1671</v>
      </c>
      <c r="X15" s="6" t="n">
        <f aca="false">IF(L15&lt;0,L15*-1,0)</f>
        <v>0</v>
      </c>
      <c r="Y15" s="6" t="n">
        <f aca="false">W15+X15</f>
        <v>1671</v>
      </c>
      <c r="Z15" s="11" t="n">
        <v>0.03</v>
      </c>
      <c r="AA15" s="12" t="n">
        <v>80</v>
      </c>
      <c r="AB15" s="12" t="n">
        <v>52</v>
      </c>
      <c r="AC15" s="13" t="n">
        <f aca="false">AC14+1</f>
        <v>6</v>
      </c>
      <c r="AD15" s="12" t="n">
        <f aca="false">IF(I15&gt;S15,I15-S15,I15-S15)</f>
        <v>2142</v>
      </c>
      <c r="AE15" s="12"/>
      <c r="AG15" s="6"/>
    </row>
    <row r="16" customFormat="false" ht="11.1" hidden="false" customHeight="true" outlineLevel="0" collapsed="false">
      <c r="A16" s="13" t="n">
        <f aca="false">A15+1</f>
        <v>7</v>
      </c>
      <c r="B16" s="29" t="n">
        <v>6920.65</v>
      </c>
      <c r="C16" s="7" t="n">
        <v>366439</v>
      </c>
      <c r="D16" s="12" t="n">
        <f aca="false">C16-C15</f>
        <v>2562</v>
      </c>
      <c r="E16" s="7" t="n">
        <f aca="false">C16-152000</f>
        <v>214439</v>
      </c>
      <c r="F16" s="6" t="n">
        <f aca="false">D16/$D$2</f>
        <v>1291.65616334762</v>
      </c>
      <c r="G16" s="6" t="n">
        <v>2812</v>
      </c>
      <c r="H16" s="37" t="n">
        <v>0</v>
      </c>
      <c r="I16" s="6" t="n">
        <f aca="false">G16+H16</f>
        <v>2812</v>
      </c>
      <c r="J16" s="111" t="n">
        <f aca="false">IF(L16&gt;0,L16,0)</f>
        <v>152.656163347618</v>
      </c>
      <c r="K16" s="6" t="n">
        <f aca="false">I16+J16</f>
        <v>2964.65616334762</v>
      </c>
      <c r="L16" s="6" t="n">
        <f aca="false">F16-(I16-W16)</f>
        <v>152.656163347618</v>
      </c>
      <c r="M16" s="6" t="n">
        <v>219</v>
      </c>
      <c r="N16" s="6" t="n">
        <v>0</v>
      </c>
      <c r="O16" s="6" t="n">
        <v>0</v>
      </c>
      <c r="P16" s="6" t="n">
        <f aca="false">M16-(N16+O16)</f>
        <v>219</v>
      </c>
      <c r="Q16" s="6" t="n">
        <v>166</v>
      </c>
      <c r="R16" s="6" t="n">
        <v>87</v>
      </c>
      <c r="S16" s="6" t="n">
        <f aca="false">SUM(P16:R16)</f>
        <v>472</v>
      </c>
      <c r="T16" s="52" t="n">
        <f aca="false">T15</f>
        <v>0</v>
      </c>
      <c r="U16" s="6" t="n">
        <v>0</v>
      </c>
      <c r="V16" s="6" t="n">
        <v>1201</v>
      </c>
      <c r="W16" s="6" t="n">
        <f aca="false">N16+O16+S16+U16+V16</f>
        <v>1673</v>
      </c>
      <c r="X16" s="6" t="n">
        <f aca="false">IF(L16&lt;0,L16*-1,0)</f>
        <v>0</v>
      </c>
      <c r="Y16" s="6" t="n">
        <f aca="false">W16+X16</f>
        <v>1673</v>
      </c>
      <c r="Z16" s="11" t="n">
        <v>0.01</v>
      </c>
      <c r="AA16" s="12" t="n">
        <v>74</v>
      </c>
      <c r="AB16" s="12" t="n">
        <v>50</v>
      </c>
      <c r="AC16" s="13" t="n">
        <f aca="false">AC15+1</f>
        <v>7</v>
      </c>
      <c r="AD16" s="12" t="n">
        <f aca="false">IF(I16&gt;S16,I16-S16,I16-S16)</f>
        <v>2340</v>
      </c>
      <c r="AE16" s="12"/>
      <c r="AG16" s="6"/>
    </row>
    <row r="17" customFormat="false" ht="11.1" hidden="false" customHeight="true" outlineLevel="0" collapsed="false">
      <c r="A17" s="13" t="n">
        <f aca="false">A16+1</f>
        <v>8</v>
      </c>
      <c r="B17" s="29" t="n">
        <v>6921.32</v>
      </c>
      <c r="C17" s="7" t="n">
        <v>369316</v>
      </c>
      <c r="D17" s="12" t="n">
        <f aca="false">C17-C16</f>
        <v>2877</v>
      </c>
      <c r="E17" s="7" t="n">
        <f aca="false">C17-152000</f>
        <v>217316</v>
      </c>
      <c r="F17" s="6" t="n">
        <f aca="false">D17/$D$2</f>
        <v>1450.46634736577</v>
      </c>
      <c r="G17" s="6" t="n">
        <v>2501</v>
      </c>
      <c r="H17" s="37" t="n">
        <v>0</v>
      </c>
      <c r="I17" s="6" t="n">
        <f aca="false">G17+H17</f>
        <v>2501</v>
      </c>
      <c r="J17" s="111" t="n">
        <f aca="false">IF(L17&gt;0,L17,0)</f>
        <v>621.466347365768</v>
      </c>
      <c r="K17" s="6" t="n">
        <f aca="false">I17+J17</f>
        <v>3122.46634736577</v>
      </c>
      <c r="L17" s="6" t="n">
        <f aca="false">F17-(I17-W17)</f>
        <v>621.466347365768</v>
      </c>
      <c r="M17" s="6" t="n">
        <v>219</v>
      </c>
      <c r="N17" s="6" t="n">
        <v>0</v>
      </c>
      <c r="O17" s="6" t="n">
        <v>0</v>
      </c>
      <c r="P17" s="6" t="n">
        <f aca="false">M17-(N17+O17)</f>
        <v>219</v>
      </c>
      <c r="Q17" s="6" t="n">
        <v>167</v>
      </c>
      <c r="R17" s="6" t="n">
        <v>85</v>
      </c>
      <c r="S17" s="6" t="n">
        <f aca="false">SUM(P17:R17)</f>
        <v>471</v>
      </c>
      <c r="T17" s="52" t="n">
        <f aca="false">T16</f>
        <v>0</v>
      </c>
      <c r="U17" s="6" t="n">
        <v>0</v>
      </c>
      <c r="V17" s="6" t="n">
        <v>1201</v>
      </c>
      <c r="W17" s="6" t="n">
        <f aca="false">N17+O17+S17+U17+V17</f>
        <v>1672</v>
      </c>
      <c r="X17" s="6" t="n">
        <f aca="false">IF(L17&lt;0,L17*-1,0)</f>
        <v>0</v>
      </c>
      <c r="Y17" s="6" t="n">
        <f aca="false">W17+X17</f>
        <v>1672</v>
      </c>
      <c r="Z17" s="11" t="n">
        <v>0.47</v>
      </c>
      <c r="AA17" s="12" t="n">
        <v>71</v>
      </c>
      <c r="AB17" s="12" t="n">
        <v>52</v>
      </c>
      <c r="AC17" s="13" t="n">
        <f aca="false">AC16+1</f>
        <v>8</v>
      </c>
      <c r="AD17" s="12" t="n">
        <f aca="false">IF(I17&gt;S17,I17-S17,I17-S17)</f>
        <v>2030</v>
      </c>
      <c r="AE17" s="12"/>
      <c r="AG17" s="6"/>
    </row>
    <row r="18" customFormat="false" ht="11.1" hidden="false" customHeight="true" outlineLevel="0" collapsed="false">
      <c r="A18" s="13" t="n">
        <f aca="false">A17+1</f>
        <v>9</v>
      </c>
      <c r="B18" s="29" t="n">
        <v>6922.06</v>
      </c>
      <c r="C18" s="7" t="n">
        <v>372558</v>
      </c>
      <c r="D18" s="12" t="n">
        <f aca="false">C18-C17</f>
        <v>3242</v>
      </c>
      <c r="E18" s="7" t="n">
        <f aca="false">C18-152000</f>
        <v>220558</v>
      </c>
      <c r="F18" s="6" t="n">
        <f aca="false">D18/$D$2</f>
        <v>1634.48449710108</v>
      </c>
      <c r="G18" s="6" t="n">
        <v>2891</v>
      </c>
      <c r="H18" s="37" t="n">
        <v>0</v>
      </c>
      <c r="I18" s="6" t="n">
        <f aca="false">G18+H18</f>
        <v>2891</v>
      </c>
      <c r="J18" s="111" t="n">
        <f aca="false">IF(L18&gt;0,L18,0)</f>
        <v>413.484497101084</v>
      </c>
      <c r="K18" s="6" t="n">
        <f aca="false">I18+J18</f>
        <v>3304.48449710108</v>
      </c>
      <c r="L18" s="6" t="n">
        <f aca="false">F18-(I18-W18)</f>
        <v>413.484497101084</v>
      </c>
      <c r="M18" s="6" t="n">
        <v>216</v>
      </c>
      <c r="N18" s="6" t="n">
        <v>0</v>
      </c>
      <c r="O18" s="6" t="n">
        <v>0</v>
      </c>
      <c r="P18" s="6" t="n">
        <f aca="false">M18-(N18+O18)</f>
        <v>216</v>
      </c>
      <c r="Q18" s="6" t="n">
        <v>168</v>
      </c>
      <c r="R18" s="6" t="n">
        <v>85</v>
      </c>
      <c r="S18" s="6" t="n">
        <f aca="false">SUM(P18:R18)</f>
        <v>469</v>
      </c>
      <c r="T18" s="52" t="n">
        <f aca="false">T17</f>
        <v>0</v>
      </c>
      <c r="U18" s="6" t="n">
        <v>0</v>
      </c>
      <c r="V18" s="6" t="n">
        <v>1201</v>
      </c>
      <c r="W18" s="6" t="n">
        <f aca="false">N18+O18+S18+U18+V18</f>
        <v>1670</v>
      </c>
      <c r="X18" s="6" t="n">
        <f aca="false">IF(L18&lt;0,L18*-1,0)</f>
        <v>0</v>
      </c>
      <c r="Y18" s="6" t="n">
        <f aca="false">W18+X18</f>
        <v>1670</v>
      </c>
      <c r="Z18" s="11" t="n">
        <v>0</v>
      </c>
      <c r="AA18" s="12" t="n">
        <v>76</v>
      </c>
      <c r="AB18" s="12" t="n">
        <v>50</v>
      </c>
      <c r="AC18" s="13" t="n">
        <f aca="false">AC17+1</f>
        <v>9</v>
      </c>
      <c r="AD18" s="12" t="n">
        <f aca="false">IF(I18&gt;S18,I18-S18,I18-S18)</f>
        <v>2422</v>
      </c>
      <c r="AE18" s="12"/>
      <c r="AG18" s="6"/>
    </row>
    <row r="19" customFormat="false" ht="11.1" hidden="false" customHeight="true" outlineLevel="0" collapsed="false">
      <c r="A19" s="13" t="n">
        <f aca="false">A18+1</f>
        <v>10</v>
      </c>
      <c r="B19" s="29" t="n">
        <v>6922.2</v>
      </c>
      <c r="C19" s="7" t="n">
        <v>373177</v>
      </c>
      <c r="D19" s="12" t="n">
        <f aca="false">C19-C18</f>
        <v>619</v>
      </c>
      <c r="E19" s="7" t="n">
        <f aca="false">C19-152000</f>
        <v>221177</v>
      </c>
      <c r="F19" s="6" t="n">
        <f aca="false">D19/$D$2</f>
        <v>312.074615578523</v>
      </c>
      <c r="G19" s="6" t="n">
        <v>2783</v>
      </c>
      <c r="H19" s="37" t="n">
        <v>0</v>
      </c>
      <c r="I19" s="6" t="n">
        <f aca="false">G19+H19</f>
        <v>2783</v>
      </c>
      <c r="J19" s="111" t="n">
        <f aca="false">IF(L19&gt;0,L19,0)</f>
        <v>0</v>
      </c>
      <c r="K19" s="6" t="n">
        <f aca="false">I19+J19</f>
        <v>2783</v>
      </c>
      <c r="L19" s="6" t="n">
        <f aca="false">F19-(I19-W19)</f>
        <v>-309.925384421477</v>
      </c>
      <c r="M19" s="6" t="n">
        <v>202</v>
      </c>
      <c r="N19" s="6" t="n">
        <v>0</v>
      </c>
      <c r="O19" s="6" t="n">
        <v>0</v>
      </c>
      <c r="P19" s="6" t="n">
        <f aca="false">M19-(N19+O19)</f>
        <v>202</v>
      </c>
      <c r="Q19" s="6" t="n">
        <v>168</v>
      </c>
      <c r="R19" s="6" t="n">
        <v>85</v>
      </c>
      <c r="S19" s="6" t="n">
        <f aca="false">SUM(P19:R19)</f>
        <v>455</v>
      </c>
      <c r="T19" s="52" t="n">
        <f aca="false">T18</f>
        <v>0</v>
      </c>
      <c r="U19" s="6" t="n">
        <v>27</v>
      </c>
      <c r="V19" s="6" t="n">
        <v>1679</v>
      </c>
      <c r="W19" s="6" t="n">
        <f aca="false">N19+O19+S19+U19+V19</f>
        <v>2161</v>
      </c>
      <c r="X19" s="6" t="n">
        <f aca="false">IF(L19&lt;0,L19*-1,0)</f>
        <v>309.925384421477</v>
      </c>
      <c r="Y19" s="6" t="n">
        <f aca="false">W19+X19</f>
        <v>2470.92538442148</v>
      </c>
      <c r="Z19" s="11" t="n">
        <v>0</v>
      </c>
      <c r="AA19" s="12" t="n">
        <v>80</v>
      </c>
      <c r="AB19" s="12" t="n">
        <v>49</v>
      </c>
      <c r="AC19" s="13" t="n">
        <f aca="false">AC18+1</f>
        <v>10</v>
      </c>
      <c r="AD19" s="12" t="n">
        <f aca="false">IF(I19&gt;S19,I19-S19,I19-S19)</f>
        <v>2328</v>
      </c>
      <c r="AE19" s="12"/>
      <c r="AG19" s="6"/>
    </row>
    <row r="20" customFormat="false" ht="11.1" hidden="false" customHeight="true" outlineLevel="0" collapsed="false">
      <c r="A20" s="13" t="n">
        <f aca="false">A19+1</f>
        <v>11</v>
      </c>
      <c r="B20" s="29" t="n">
        <v>6922.25</v>
      </c>
      <c r="C20" s="7" t="n">
        <v>373397</v>
      </c>
      <c r="D20" s="12" t="n">
        <f aca="false">C20-C19</f>
        <v>220</v>
      </c>
      <c r="E20" s="7" t="n">
        <f aca="false">C20-152000</f>
        <v>221397</v>
      </c>
      <c r="F20" s="6" t="n">
        <f aca="false">D20/$D$2</f>
        <v>110.915049155533</v>
      </c>
      <c r="G20" s="6" t="n">
        <v>2507</v>
      </c>
      <c r="H20" s="37" t="n">
        <v>0</v>
      </c>
      <c r="I20" s="6" t="n">
        <f aca="false">G20+H20</f>
        <v>2507</v>
      </c>
      <c r="J20" s="111" t="n">
        <f aca="false">IF(L20&gt;0,L20,0)</f>
        <v>66.9150491555331</v>
      </c>
      <c r="K20" s="6" t="n">
        <f aca="false">I20+J20</f>
        <v>2573.91504915553</v>
      </c>
      <c r="L20" s="6" t="n">
        <f aca="false">F20-(I20-W20)</f>
        <v>66.9150491555331</v>
      </c>
      <c r="M20" s="6" t="n">
        <v>200</v>
      </c>
      <c r="N20" s="6" t="n">
        <v>0</v>
      </c>
      <c r="O20" s="6" t="n">
        <v>0</v>
      </c>
      <c r="P20" s="6" t="n">
        <f aca="false">M20-(N20+O20)</f>
        <v>200</v>
      </c>
      <c r="Q20" s="6" t="n">
        <v>169</v>
      </c>
      <c r="R20" s="6" t="n">
        <v>85</v>
      </c>
      <c r="S20" s="6" t="n">
        <f aca="false">SUM(P20:R20)</f>
        <v>454</v>
      </c>
      <c r="T20" s="52" t="n">
        <f aca="false">T19</f>
        <v>0</v>
      </c>
      <c r="U20" s="6" t="n">
        <v>7</v>
      </c>
      <c r="V20" s="6" t="n">
        <v>2002</v>
      </c>
      <c r="W20" s="6" t="n">
        <f aca="false">N20+O20+S20+U20+V20</f>
        <v>2463</v>
      </c>
      <c r="X20" s="6" t="n">
        <f aca="false">IF(L20&lt;0,L20*-1,0)</f>
        <v>0</v>
      </c>
      <c r="Y20" s="6" t="n">
        <f aca="false">W20+X20</f>
        <v>2463</v>
      </c>
      <c r="Z20" s="11" t="n">
        <v>0</v>
      </c>
      <c r="AA20" s="12" t="n">
        <v>83</v>
      </c>
      <c r="AB20" s="12" t="n">
        <v>56</v>
      </c>
      <c r="AC20" s="13" t="n">
        <f aca="false">AC19+1</f>
        <v>11</v>
      </c>
      <c r="AD20" s="12" t="n">
        <f aca="false">IF(I20&gt;S20,I20-S20,I20-S20)</f>
        <v>2053</v>
      </c>
      <c r="AE20" s="12"/>
      <c r="AG20" s="6"/>
    </row>
    <row r="21" customFormat="false" ht="11.1" hidden="false" customHeight="true" outlineLevel="0" collapsed="false">
      <c r="A21" s="13" t="n">
        <f aca="false">A20+1</f>
        <v>12</v>
      </c>
      <c r="B21" s="29" t="n">
        <v>6922.52</v>
      </c>
      <c r="C21" s="7" t="n">
        <v>374589</v>
      </c>
      <c r="D21" s="12" t="n">
        <f aca="false">C21-C20</f>
        <v>1192</v>
      </c>
      <c r="E21" s="7" t="n">
        <f aca="false">C21-152000</f>
        <v>222589</v>
      </c>
      <c r="F21" s="6" t="n">
        <f aca="false">D21/$D$2</f>
        <v>600.957902697252</v>
      </c>
      <c r="G21" s="6" t="n">
        <v>2327</v>
      </c>
      <c r="H21" s="37" t="n">
        <v>0</v>
      </c>
      <c r="I21" s="6" t="n">
        <f aca="false">G21+H21</f>
        <v>2327</v>
      </c>
      <c r="J21" s="111" t="n">
        <f aca="false">IF(L21&gt;0,L21,0)</f>
        <v>449.957902697252</v>
      </c>
      <c r="K21" s="6" t="n">
        <f aca="false">I21+J21</f>
        <v>2776.95790269725</v>
      </c>
      <c r="L21" s="6" t="n">
        <f aca="false">F21-(I21-W21)</f>
        <v>449.957902697252</v>
      </c>
      <c r="M21" s="6" t="n">
        <v>200</v>
      </c>
      <c r="N21" s="6" t="n">
        <v>0</v>
      </c>
      <c r="O21" s="6" t="n">
        <v>0</v>
      </c>
      <c r="P21" s="6" t="n">
        <f aca="false">M21-(N21+O21)</f>
        <v>200</v>
      </c>
      <c r="Q21" s="6" t="n">
        <v>170</v>
      </c>
      <c r="R21" s="6" t="n">
        <v>85</v>
      </c>
      <c r="S21" s="6" t="n">
        <f aca="false">SUM(P21:R21)</f>
        <v>455</v>
      </c>
      <c r="T21" s="52" t="n">
        <f aca="false">T20</f>
        <v>0</v>
      </c>
      <c r="U21" s="6" t="n">
        <v>0</v>
      </c>
      <c r="V21" s="6" t="n">
        <v>1721</v>
      </c>
      <c r="W21" s="6" t="n">
        <f aca="false">N21+O21+S21+U21+V21</f>
        <v>2176</v>
      </c>
      <c r="X21" s="6" t="n">
        <f aca="false">IF(L21&lt;0,L21*-1,0)</f>
        <v>0</v>
      </c>
      <c r="Y21" s="6" t="n">
        <f aca="false">W21+X21</f>
        <v>2176</v>
      </c>
      <c r="Z21" s="11" t="n">
        <v>0</v>
      </c>
      <c r="AA21" s="12" t="n">
        <v>85</v>
      </c>
      <c r="AB21" s="12" t="n">
        <v>51</v>
      </c>
      <c r="AC21" s="13" t="n">
        <f aca="false">AC20+1</f>
        <v>12</v>
      </c>
      <c r="AD21" s="12" t="n">
        <f aca="false">IF(I21&gt;S21,I21-S21,I21-S21)</f>
        <v>1872</v>
      </c>
      <c r="AE21" s="12"/>
      <c r="AG21" s="6"/>
    </row>
    <row r="22" customFormat="false" ht="11.1" hidden="false" customHeight="true" outlineLevel="0" collapsed="false">
      <c r="A22" s="13" t="n">
        <f aca="false">A21+1</f>
        <v>13</v>
      </c>
      <c r="B22" s="29" t="n">
        <v>6922.7</v>
      </c>
      <c r="C22" s="7" t="n">
        <v>375384</v>
      </c>
      <c r="D22" s="12" t="n">
        <f aca="false">C22-C21</f>
        <v>795</v>
      </c>
      <c r="E22" s="7" t="n">
        <f aca="false">C22-152000</f>
        <v>223384</v>
      </c>
      <c r="F22" s="6" t="n">
        <f aca="false">D22/$D$2</f>
        <v>400.806654902949</v>
      </c>
      <c r="G22" s="6" t="n">
        <v>2349</v>
      </c>
      <c r="H22" s="37" t="n">
        <v>0</v>
      </c>
      <c r="I22" s="6" t="n">
        <f aca="false">G22+H22</f>
        <v>2349</v>
      </c>
      <c r="J22" s="111" t="n">
        <f aca="false">IF(L22&gt;0,L22,0)</f>
        <v>108.806654902949</v>
      </c>
      <c r="K22" s="6" t="n">
        <f aca="false">I22+J22</f>
        <v>2457.80665490295</v>
      </c>
      <c r="L22" s="6" t="n">
        <f aca="false">F22-(I22-W22)</f>
        <v>108.806654902949</v>
      </c>
      <c r="M22" s="6" t="n">
        <v>200</v>
      </c>
      <c r="N22" s="6" t="n">
        <v>0</v>
      </c>
      <c r="O22" s="6" t="n">
        <v>0</v>
      </c>
      <c r="P22" s="6" t="n">
        <f aca="false">M22-(N22+O22)</f>
        <v>200</v>
      </c>
      <c r="Q22" s="6" t="n">
        <v>172</v>
      </c>
      <c r="R22" s="6" t="n">
        <v>84</v>
      </c>
      <c r="S22" s="6" t="n">
        <f aca="false">SUM(P22:R22)</f>
        <v>456</v>
      </c>
      <c r="T22" s="52" t="n">
        <f aca="false">T21</f>
        <v>0</v>
      </c>
      <c r="U22" s="6" t="n">
        <v>0</v>
      </c>
      <c r="V22" s="6" t="n">
        <v>1601</v>
      </c>
      <c r="W22" s="6" t="n">
        <f aca="false">N22+O22+S22+U22+V22</f>
        <v>2057</v>
      </c>
      <c r="X22" s="6" t="n">
        <f aca="false">IF(L22&lt;0,L22*-1,0)</f>
        <v>0</v>
      </c>
      <c r="Y22" s="6" t="n">
        <f aca="false">W22+X22</f>
        <v>2057</v>
      </c>
      <c r="Z22" s="11" t="n">
        <v>0</v>
      </c>
      <c r="AA22" s="12" t="n">
        <v>87</v>
      </c>
      <c r="AB22" s="12" t="n">
        <v>53</v>
      </c>
      <c r="AC22" s="13" t="n">
        <f aca="false">AC21+1</f>
        <v>13</v>
      </c>
      <c r="AD22" s="12" t="n">
        <f aca="false">IF(I22&gt;S22,I22-S22,I22-S22)</f>
        <v>1893</v>
      </c>
      <c r="AE22" s="12"/>
      <c r="AG22" s="6"/>
    </row>
    <row r="23" customFormat="false" ht="11.1" hidden="false" customHeight="true" outlineLevel="0" collapsed="false">
      <c r="A23" s="13" t="n">
        <f aca="false">A22+1</f>
        <v>14</v>
      </c>
      <c r="B23" s="29" t="n">
        <v>6922.95</v>
      </c>
      <c r="C23" s="7" t="n">
        <v>376488</v>
      </c>
      <c r="D23" s="12" t="n">
        <f aca="false">C23-C22</f>
        <v>1104</v>
      </c>
      <c r="E23" s="7" t="n">
        <f aca="false">C23-152000</f>
        <v>224488</v>
      </c>
      <c r="F23" s="6" t="n">
        <f aca="false">D23/$D$2</f>
        <v>556.591883035039</v>
      </c>
      <c r="G23" s="6" t="n">
        <v>2412</v>
      </c>
      <c r="H23" s="37" t="n">
        <v>0</v>
      </c>
      <c r="I23" s="6" t="n">
        <f aca="false">G23+H23</f>
        <v>2412</v>
      </c>
      <c r="J23" s="111" t="n">
        <f aca="false">IF(L23&gt;0,L23,0)</f>
        <v>201.591883035039</v>
      </c>
      <c r="K23" s="6" t="n">
        <f aca="false">I23+J23</f>
        <v>2613.59188303504</v>
      </c>
      <c r="L23" s="6" t="n">
        <f aca="false">F23-(I23-W23)</f>
        <v>201.591883035039</v>
      </c>
      <c r="M23" s="6" t="n">
        <v>200</v>
      </c>
      <c r="N23" s="6" t="n">
        <v>0</v>
      </c>
      <c r="O23" s="6" t="n">
        <v>0</v>
      </c>
      <c r="P23" s="6" t="n">
        <f aca="false">M23-(N23+O23)</f>
        <v>200</v>
      </c>
      <c r="Q23" s="6" t="n">
        <v>172</v>
      </c>
      <c r="R23" s="6" t="n">
        <v>84</v>
      </c>
      <c r="S23" s="6" t="n">
        <f aca="false">SUM(P23:R23)</f>
        <v>456</v>
      </c>
      <c r="T23" s="52" t="n">
        <f aca="false">T22</f>
        <v>0</v>
      </c>
      <c r="U23" s="6" t="n">
        <v>0</v>
      </c>
      <c r="V23" s="6" t="n">
        <v>1601</v>
      </c>
      <c r="W23" s="6" t="n">
        <f aca="false">N23+O23+S23+U23+V23</f>
        <v>2057</v>
      </c>
      <c r="X23" s="6" t="n">
        <f aca="false">IF(L23&lt;0,L23*-1,0)</f>
        <v>0</v>
      </c>
      <c r="Y23" s="6" t="n">
        <f aca="false">W23+X23</f>
        <v>2057</v>
      </c>
      <c r="Z23" s="11" t="n">
        <v>0</v>
      </c>
      <c r="AA23" s="12" t="n">
        <v>87</v>
      </c>
      <c r="AB23" s="12" t="n">
        <v>51</v>
      </c>
      <c r="AC23" s="13" t="n">
        <f aca="false">AC22+1</f>
        <v>14</v>
      </c>
      <c r="AD23" s="12" t="n">
        <f aca="false">IF(I23&gt;S23,I23-S23,I23-S23)</f>
        <v>1956</v>
      </c>
      <c r="AE23" s="12"/>
      <c r="AG23" s="6"/>
    </row>
    <row r="24" customFormat="false" ht="11.1" hidden="false" customHeight="true" outlineLevel="0" collapsed="false">
      <c r="A24" s="13" t="n">
        <f aca="false">A23+1</f>
        <v>15</v>
      </c>
      <c r="B24" s="29" t="n">
        <v>6923.14</v>
      </c>
      <c r="C24" s="7" t="n">
        <v>377332</v>
      </c>
      <c r="D24" s="12" t="n">
        <f aca="false">C24-C23</f>
        <v>844</v>
      </c>
      <c r="E24" s="7" t="n">
        <f aca="false">C24-152000</f>
        <v>225332</v>
      </c>
      <c r="F24" s="6" t="n">
        <f aca="false">D24/$D$2</f>
        <v>425.510461305773</v>
      </c>
      <c r="G24" s="6" t="n">
        <v>2394</v>
      </c>
      <c r="H24" s="37" t="n">
        <v>0</v>
      </c>
      <c r="I24" s="6" t="n">
        <f aca="false">G24+H24</f>
        <v>2394</v>
      </c>
      <c r="J24" s="111" t="n">
        <f aca="false">IF(L24&gt;0,L24,0)</f>
        <v>173.510461305773</v>
      </c>
      <c r="K24" s="6" t="n">
        <f aca="false">I24+J24</f>
        <v>2567.51046130577</v>
      </c>
      <c r="L24" s="6" t="n">
        <f aca="false">F24-(I24-W24)</f>
        <v>173.510461305773</v>
      </c>
      <c r="M24" s="6" t="n">
        <v>200</v>
      </c>
      <c r="N24" s="6" t="n">
        <v>0</v>
      </c>
      <c r="O24" s="6" t="n">
        <v>0</v>
      </c>
      <c r="P24" s="6" t="n">
        <f aca="false">M24-(N24+O24)</f>
        <v>200</v>
      </c>
      <c r="Q24" s="6" t="n">
        <v>168</v>
      </c>
      <c r="R24" s="6" t="n">
        <v>85</v>
      </c>
      <c r="S24" s="6" t="n">
        <f aca="false">SUM(P24:R24)</f>
        <v>453</v>
      </c>
      <c r="T24" s="52" t="n">
        <f aca="false">T23</f>
        <v>0</v>
      </c>
      <c r="U24" s="6" t="n">
        <v>0</v>
      </c>
      <c r="V24" s="6" t="n">
        <v>1689</v>
      </c>
      <c r="W24" s="6" t="n">
        <f aca="false">N24+O24+S24+U24+V24</f>
        <v>2142</v>
      </c>
      <c r="X24" s="6" t="n">
        <f aca="false">IF(L24&lt;0,L24*-1,0)</f>
        <v>0</v>
      </c>
      <c r="Y24" s="6" t="n">
        <f aca="false">W24+X24</f>
        <v>2142</v>
      </c>
      <c r="Z24" s="11" t="n">
        <v>0.27</v>
      </c>
      <c r="AA24" s="12" t="n">
        <v>83</v>
      </c>
      <c r="AB24" s="12" t="n">
        <v>53</v>
      </c>
      <c r="AC24" s="13" t="n">
        <f aca="false">AC23+1</f>
        <v>15</v>
      </c>
      <c r="AD24" s="12" t="n">
        <f aca="false">IF(I24&gt;S24,I24-S24,I24-S24)</f>
        <v>1941</v>
      </c>
      <c r="AE24" s="12"/>
      <c r="AG24" s="6"/>
    </row>
    <row r="25" customFormat="false" ht="11.1" hidden="false" customHeight="true" outlineLevel="0" collapsed="false">
      <c r="A25" s="13" t="n">
        <f aca="false">A24+1</f>
        <v>16</v>
      </c>
      <c r="B25" s="29" t="n">
        <v>6923.21</v>
      </c>
      <c r="C25" s="7" t="n">
        <v>377643</v>
      </c>
      <c r="D25" s="12" t="n">
        <f aca="false">C25-C24</f>
        <v>311</v>
      </c>
      <c r="E25" s="7" t="n">
        <f aca="false">C25-152000</f>
        <v>225643</v>
      </c>
      <c r="F25" s="6" t="n">
        <f aca="false">D25/$D$2</f>
        <v>156.793546760776</v>
      </c>
      <c r="G25" s="6" t="n">
        <v>2397</v>
      </c>
      <c r="H25" s="37" t="n">
        <v>0</v>
      </c>
      <c r="I25" s="6" t="n">
        <f aca="false">G25+H25</f>
        <v>2397</v>
      </c>
      <c r="J25" s="111" t="n">
        <f aca="false">IF(L25&gt;0,L25,0)</f>
        <v>0</v>
      </c>
      <c r="K25" s="6" t="n">
        <f aca="false">I25+J25</f>
        <v>2397</v>
      </c>
      <c r="L25" s="6" t="n">
        <f aca="false">F25-(I25-W25)</f>
        <v>-4.20645323922361</v>
      </c>
      <c r="M25" s="6" t="n">
        <v>200</v>
      </c>
      <c r="N25" s="6" t="n">
        <v>0</v>
      </c>
      <c r="O25" s="6" t="n">
        <v>0</v>
      </c>
      <c r="P25" s="6" t="n">
        <f aca="false">M25-(N25+O25)</f>
        <v>200</v>
      </c>
      <c r="Q25" s="6" t="n">
        <v>151</v>
      </c>
      <c r="R25" s="6" t="n">
        <v>83</v>
      </c>
      <c r="S25" s="6" t="n">
        <f aca="false">SUM(P25:R25)</f>
        <v>434</v>
      </c>
      <c r="T25" s="52" t="n">
        <f aca="false">T24</f>
        <v>0</v>
      </c>
      <c r="U25" s="6" t="n">
        <v>0</v>
      </c>
      <c r="V25" s="6" t="n">
        <v>1802</v>
      </c>
      <c r="W25" s="6" t="n">
        <f aca="false">N25+O25+S25+U25+V25</f>
        <v>2236</v>
      </c>
      <c r="X25" s="6" t="n">
        <f aca="false">IF(L25&lt;0,L25*-1,0)</f>
        <v>4.20645323922361</v>
      </c>
      <c r="Y25" s="6" t="n">
        <f aca="false">W25+X25</f>
        <v>2240.20645323922</v>
      </c>
      <c r="Z25" s="11" t="n">
        <v>0</v>
      </c>
      <c r="AA25" s="12" t="n">
        <v>76</v>
      </c>
      <c r="AB25" s="12" t="n">
        <v>50</v>
      </c>
      <c r="AC25" s="13" t="n">
        <f aca="false">AC24+1</f>
        <v>16</v>
      </c>
      <c r="AD25" s="12" t="n">
        <f aca="false">IF(I25&gt;S25,I25-S25,I25-S25)</f>
        <v>1963</v>
      </c>
      <c r="AE25" s="12"/>
      <c r="AG25" s="6"/>
    </row>
    <row r="26" customFormat="false" ht="11.1" hidden="false" customHeight="true" outlineLevel="0" collapsed="false">
      <c r="A26" s="13" t="n">
        <f aca="false">A25+1</f>
        <v>17</v>
      </c>
      <c r="B26" s="29" t="n">
        <v>6923.12</v>
      </c>
      <c r="C26" s="7" t="n">
        <v>377243</v>
      </c>
      <c r="D26" s="12" t="n">
        <f aca="false">C26-C25</f>
        <v>-400</v>
      </c>
      <c r="E26" s="7" t="n">
        <f aca="false">C26-152000</f>
        <v>225243</v>
      </c>
      <c r="F26" s="6" t="n">
        <f aca="false">D26/$D$2</f>
        <v>-201.663725737333</v>
      </c>
      <c r="G26" s="6" t="n">
        <v>2031</v>
      </c>
      <c r="H26" s="37" t="n">
        <v>0</v>
      </c>
      <c r="I26" s="6" t="n">
        <f aca="false">G26+H26</f>
        <v>2031</v>
      </c>
      <c r="J26" s="111" t="n">
        <f aca="false">IF(L26&gt;0,L26,0)</f>
        <v>10.336274262667</v>
      </c>
      <c r="K26" s="6" t="n">
        <f aca="false">I26+J26</f>
        <v>2041.33627426267</v>
      </c>
      <c r="L26" s="6" t="n">
        <f aca="false">F26-(I26-W26)</f>
        <v>10.336274262667</v>
      </c>
      <c r="M26" s="6" t="n">
        <v>200</v>
      </c>
      <c r="N26" s="6" t="n">
        <v>0</v>
      </c>
      <c r="O26" s="6" t="n">
        <v>0</v>
      </c>
      <c r="P26" s="6" t="n">
        <f aca="false">M26-(N26+O26)</f>
        <v>200</v>
      </c>
      <c r="Q26" s="6" t="n">
        <v>159</v>
      </c>
      <c r="R26" s="6" t="n">
        <v>82</v>
      </c>
      <c r="S26" s="6" t="n">
        <f aca="false">SUM(P26:R26)</f>
        <v>441</v>
      </c>
      <c r="T26" s="52" t="n">
        <f aca="false">T25</f>
        <v>0</v>
      </c>
      <c r="U26" s="6" t="n">
        <v>0</v>
      </c>
      <c r="V26" s="6" t="n">
        <v>1802</v>
      </c>
      <c r="W26" s="6" t="n">
        <f aca="false">N26+O26+S26+U26+V26</f>
        <v>2243</v>
      </c>
      <c r="X26" s="6" t="n">
        <f aca="false">IF(L26&lt;0,L26*-1,0)</f>
        <v>0</v>
      </c>
      <c r="Y26" s="6" t="n">
        <f aca="false">W26+X26</f>
        <v>2243</v>
      </c>
      <c r="Z26" s="11" t="n">
        <v>0</v>
      </c>
      <c r="AA26" s="12" t="n">
        <v>81</v>
      </c>
      <c r="AB26" s="12" t="n">
        <v>52</v>
      </c>
      <c r="AC26" s="13" t="n">
        <f aca="false">AC25+1</f>
        <v>17</v>
      </c>
      <c r="AD26" s="12" t="n">
        <f aca="false">IF(I26&gt;S26,I26-S26,I26-S26)</f>
        <v>1590</v>
      </c>
      <c r="AE26" s="12"/>
      <c r="AG26" s="6"/>
    </row>
    <row r="27" customFormat="false" ht="11.1" hidden="false" customHeight="true" outlineLevel="0" collapsed="false">
      <c r="A27" s="13" t="n">
        <f aca="false">A26+1</f>
        <v>18</v>
      </c>
      <c r="B27" s="29" t="n">
        <v>6923.2</v>
      </c>
      <c r="C27" s="7" t="n">
        <v>377599</v>
      </c>
      <c r="D27" s="12" t="n">
        <f aca="false">C27-C26</f>
        <v>356</v>
      </c>
      <c r="E27" s="7" t="n">
        <f aca="false">C27-152000</f>
        <v>225599</v>
      </c>
      <c r="F27" s="6" t="n">
        <f aca="false">D27/$D$2</f>
        <v>179.480715906226</v>
      </c>
      <c r="G27" s="6" t="n">
        <v>1886</v>
      </c>
      <c r="H27" s="37" t="n">
        <v>0</v>
      </c>
      <c r="I27" s="6" t="n">
        <f aca="false">G27+H27</f>
        <v>1886</v>
      </c>
      <c r="J27" s="111" t="n">
        <f aca="false">IF(L27&gt;0,L27,0)</f>
        <v>262.480715906226</v>
      </c>
      <c r="K27" s="6" t="n">
        <f aca="false">I27+J27</f>
        <v>2148.48071590623</v>
      </c>
      <c r="L27" s="6" t="n">
        <f aca="false">F27-(I27-W27)</f>
        <v>262.480715906226</v>
      </c>
      <c r="M27" s="6" t="n">
        <v>200</v>
      </c>
      <c r="N27" s="6" t="n">
        <v>0</v>
      </c>
      <c r="O27" s="6" t="n">
        <v>0</v>
      </c>
      <c r="P27" s="6" t="n">
        <f aca="false">M27-(N27+O27)</f>
        <v>200</v>
      </c>
      <c r="Q27" s="6" t="n">
        <v>159</v>
      </c>
      <c r="R27" s="6" t="n">
        <v>81</v>
      </c>
      <c r="S27" s="6" t="n">
        <f aca="false">SUM(P27:R27)</f>
        <v>440</v>
      </c>
      <c r="T27" s="52" t="n">
        <f aca="false">T26</f>
        <v>0</v>
      </c>
      <c r="U27" s="6" t="n">
        <v>0</v>
      </c>
      <c r="V27" s="6" t="n">
        <v>1529</v>
      </c>
      <c r="W27" s="6" t="n">
        <f aca="false">N27+O27+S27+U27+V27</f>
        <v>1969</v>
      </c>
      <c r="X27" s="6" t="n">
        <f aca="false">IF(L27&lt;0,L27*-1,0)</f>
        <v>0</v>
      </c>
      <c r="Y27" s="6" t="n">
        <f aca="false">W27+X27</f>
        <v>1969</v>
      </c>
      <c r="Z27" s="11" t="n">
        <v>0</v>
      </c>
      <c r="AA27" s="12" t="n">
        <v>81</v>
      </c>
      <c r="AB27" s="12" t="n">
        <v>50</v>
      </c>
      <c r="AC27" s="13" t="n">
        <f aca="false">AC26+1</f>
        <v>18</v>
      </c>
      <c r="AD27" s="12" t="n">
        <f aca="false">IF(I27&gt;S27,I27-S27,I27-S27)</f>
        <v>1446</v>
      </c>
      <c r="AE27" s="12"/>
      <c r="AG27" s="6"/>
    </row>
    <row r="28" customFormat="false" ht="11.1" hidden="false" customHeight="true" outlineLevel="0" collapsed="false">
      <c r="A28" s="13" t="n">
        <f aca="false">A27+1</f>
        <v>19</v>
      </c>
      <c r="B28" s="29" t="n">
        <v>6923.36</v>
      </c>
      <c r="C28" s="7" t="n">
        <v>378311</v>
      </c>
      <c r="D28" s="12" t="n">
        <f aca="false">C28-C27</f>
        <v>712</v>
      </c>
      <c r="E28" s="7" t="n">
        <f aca="false">C28-152000</f>
        <v>226311</v>
      </c>
      <c r="F28" s="6" t="n">
        <f aca="false">D28/$D$2</f>
        <v>358.961431812453</v>
      </c>
      <c r="G28" s="6" t="n">
        <v>1795</v>
      </c>
      <c r="H28" s="37" t="n">
        <v>0</v>
      </c>
      <c r="I28" s="6" t="n">
        <f aca="false">G28+H28</f>
        <v>1795</v>
      </c>
      <c r="J28" s="111" t="n">
        <f aca="false">IF(L28&gt;0,L28,0)</f>
        <v>303.961431812453</v>
      </c>
      <c r="K28" s="6" t="n">
        <f aca="false">I28+J28</f>
        <v>2098.96143181245</v>
      </c>
      <c r="L28" s="6" t="n">
        <f aca="false">F28-(I28-W28)</f>
        <v>303.961431812453</v>
      </c>
      <c r="M28" s="6" t="n">
        <v>200</v>
      </c>
      <c r="N28" s="6" t="n">
        <v>0</v>
      </c>
      <c r="O28" s="6" t="n">
        <v>0</v>
      </c>
      <c r="P28" s="6" t="n">
        <f aca="false">M28-(N28+O28)</f>
        <v>200</v>
      </c>
      <c r="Q28" s="6" t="n">
        <v>159</v>
      </c>
      <c r="R28" s="6" t="n">
        <v>81</v>
      </c>
      <c r="S28" s="6" t="n">
        <f aca="false">SUM(P28:R28)</f>
        <v>440</v>
      </c>
      <c r="T28" s="52" t="n">
        <f aca="false">T27</f>
        <v>0</v>
      </c>
      <c r="U28" s="6" t="n">
        <v>0</v>
      </c>
      <c r="V28" s="6" t="n">
        <v>1300</v>
      </c>
      <c r="W28" s="6" t="n">
        <f aca="false">N28+O28+S28+U28+V28</f>
        <v>1740</v>
      </c>
      <c r="X28" s="6" t="n">
        <f aca="false">IF(L28&lt;0,L28*-1,0)</f>
        <v>0</v>
      </c>
      <c r="Y28" s="6" t="n">
        <f aca="false">W28+X28</f>
        <v>1740</v>
      </c>
      <c r="Z28" s="11" t="n">
        <v>0</v>
      </c>
      <c r="AA28" s="12" t="n">
        <v>80</v>
      </c>
      <c r="AB28" s="12" t="n">
        <v>43</v>
      </c>
      <c r="AC28" s="13" t="n">
        <f aca="false">AC27+1</f>
        <v>19</v>
      </c>
      <c r="AD28" s="12" t="n">
        <f aca="false">IF(I28&gt;S28,I28-S28,I28-S28)</f>
        <v>1355</v>
      </c>
      <c r="AE28" s="12"/>
      <c r="AG28" s="6"/>
    </row>
    <row r="29" customFormat="false" ht="11.1" hidden="false" customHeight="true" outlineLevel="0" collapsed="false">
      <c r="A29" s="13" t="n">
        <f aca="false">A28+1</f>
        <v>20</v>
      </c>
      <c r="B29" s="29" t="n">
        <v>6923.39</v>
      </c>
      <c r="C29" s="7" t="n">
        <v>378445</v>
      </c>
      <c r="D29" s="12" t="n">
        <f aca="false">C29-C28</f>
        <v>134</v>
      </c>
      <c r="E29" s="7" t="n">
        <f aca="false">C29-152000</f>
        <v>226445</v>
      </c>
      <c r="F29" s="6" t="n">
        <f aca="false">D29/$D$2</f>
        <v>67.5573481220066</v>
      </c>
      <c r="G29" s="6" t="n">
        <v>1683</v>
      </c>
      <c r="H29" s="37" t="n">
        <v>0</v>
      </c>
      <c r="I29" s="6" t="n">
        <f aca="false">G29+H29</f>
        <v>1683</v>
      </c>
      <c r="J29" s="111" t="n">
        <f aca="false">IF(L29&gt;0,L29,0)</f>
        <v>25.5573481220066</v>
      </c>
      <c r="K29" s="6" t="n">
        <f aca="false">I29+J29</f>
        <v>1708.55734812201</v>
      </c>
      <c r="L29" s="6" t="n">
        <f aca="false">F29-(I29-W29)</f>
        <v>25.5573481220066</v>
      </c>
      <c r="M29" s="6" t="n">
        <v>200</v>
      </c>
      <c r="N29" s="6" t="n">
        <v>0</v>
      </c>
      <c r="O29" s="6" t="n">
        <v>0</v>
      </c>
      <c r="P29" s="6" t="n">
        <f aca="false">M29-(N29+O29)</f>
        <v>200</v>
      </c>
      <c r="Q29" s="6" t="n">
        <v>159</v>
      </c>
      <c r="R29" s="6" t="n">
        <v>81</v>
      </c>
      <c r="S29" s="6" t="n">
        <f aca="false">SUM(P29:R29)</f>
        <v>440</v>
      </c>
      <c r="T29" s="52" t="n">
        <f aca="false">T28</f>
        <v>0</v>
      </c>
      <c r="U29" s="6" t="n">
        <v>0</v>
      </c>
      <c r="V29" s="6" t="n">
        <v>1201</v>
      </c>
      <c r="W29" s="6" t="n">
        <f aca="false">N29+O29+S29+U29+V29</f>
        <v>1641</v>
      </c>
      <c r="X29" s="6" t="n">
        <f aca="false">IF(L29&lt;0,L29*-1,0)</f>
        <v>0</v>
      </c>
      <c r="Y29" s="6" t="n">
        <f aca="false">W29+X29</f>
        <v>1641</v>
      </c>
      <c r="Z29" s="11" t="n">
        <v>0</v>
      </c>
      <c r="AA29" s="12" t="n">
        <v>82</v>
      </c>
      <c r="AB29" s="12" t="n">
        <v>47</v>
      </c>
      <c r="AC29" s="13" t="n">
        <f aca="false">AC28+1</f>
        <v>20</v>
      </c>
      <c r="AD29" s="12" t="n">
        <f aca="false">IF(I29&gt;S29,I29-S29,I29-S29)</f>
        <v>1243</v>
      </c>
      <c r="AE29" s="12"/>
      <c r="AG29" s="6"/>
    </row>
    <row r="30" customFormat="false" ht="11.1" hidden="false" customHeight="true" outlineLevel="0" collapsed="false">
      <c r="A30" s="13" t="n">
        <f aca="false">A29+1</f>
        <v>21</v>
      </c>
      <c r="B30" s="29" t="n">
        <v>6923.27</v>
      </c>
      <c r="C30" s="7" t="n">
        <v>377911</v>
      </c>
      <c r="D30" s="12" t="n">
        <f aca="false">C30-C29</f>
        <v>-534</v>
      </c>
      <c r="E30" s="7" t="n">
        <f aca="false">C30-152000</f>
        <v>225911</v>
      </c>
      <c r="F30" s="6" t="n">
        <f aca="false">D30/$D$2</f>
        <v>-269.221073859339</v>
      </c>
      <c r="G30" s="6" t="n">
        <v>1512</v>
      </c>
      <c r="H30" s="37" t="n">
        <v>0</v>
      </c>
      <c r="I30" s="6" t="n">
        <f aca="false">G30+H30</f>
        <v>1512</v>
      </c>
      <c r="J30" s="111" t="n">
        <f aca="false">IF(L30&gt;0,L30,0)</f>
        <v>0</v>
      </c>
      <c r="K30" s="6" t="n">
        <f aca="false">I30+J30</f>
        <v>1512</v>
      </c>
      <c r="L30" s="6" t="n">
        <f aca="false">F30-(I30-W30)</f>
        <v>-139.22107385934</v>
      </c>
      <c r="M30" s="6" t="n">
        <v>201</v>
      </c>
      <c r="N30" s="6" t="n">
        <v>0</v>
      </c>
      <c r="O30" s="6" t="n">
        <v>0</v>
      </c>
      <c r="P30" s="6" t="n">
        <f aca="false">M30-(N30+O30)</f>
        <v>201</v>
      </c>
      <c r="Q30" s="6" t="n">
        <v>159</v>
      </c>
      <c r="R30" s="6" t="n">
        <v>81</v>
      </c>
      <c r="S30" s="6" t="n">
        <f aca="false">SUM(P30:R30)</f>
        <v>441</v>
      </c>
      <c r="T30" s="52" t="n">
        <f aca="false">T29</f>
        <v>0</v>
      </c>
      <c r="U30" s="6" t="n">
        <v>0</v>
      </c>
      <c r="V30" s="6" t="n">
        <v>1201</v>
      </c>
      <c r="W30" s="6" t="n">
        <f aca="false">N30+O30+S30+U30+V30</f>
        <v>1642</v>
      </c>
      <c r="X30" s="6" t="n">
        <f aca="false">IF(L30&lt;0,L30*-1,0)</f>
        <v>139.22107385934</v>
      </c>
      <c r="Y30" s="6" t="n">
        <f aca="false">W30+X30</f>
        <v>1781.22107385934</v>
      </c>
      <c r="Z30" s="11" t="n">
        <v>0</v>
      </c>
      <c r="AA30" s="12" t="n">
        <v>82</v>
      </c>
      <c r="AB30" s="12" t="n">
        <v>47</v>
      </c>
      <c r="AC30" s="13" t="n">
        <f aca="false">AC29+1</f>
        <v>21</v>
      </c>
      <c r="AD30" s="12" t="n">
        <f aca="false">IF(I30&gt;S30,I30-S30,I30-S30)</f>
        <v>1071</v>
      </c>
      <c r="AE30" s="12"/>
      <c r="AG30" s="6"/>
    </row>
    <row r="31" customFormat="false" ht="11.1" hidden="false" customHeight="true" outlineLevel="0" collapsed="false">
      <c r="A31" s="13" t="n">
        <f aca="false">A30+1</f>
        <v>22</v>
      </c>
      <c r="B31" s="29" t="n">
        <v>6923.31</v>
      </c>
      <c r="C31" s="7" t="n">
        <v>378089</v>
      </c>
      <c r="D31" s="12" t="n">
        <f aca="false">C31-C30</f>
        <v>178</v>
      </c>
      <c r="E31" s="7" t="n">
        <f aca="false">C31-152000</f>
        <v>226089</v>
      </c>
      <c r="F31" s="6" t="n">
        <f aca="false">D31/$D$2</f>
        <v>89.7403579531132</v>
      </c>
      <c r="G31" s="6" t="n">
        <v>1431</v>
      </c>
      <c r="H31" s="37" t="n">
        <v>0</v>
      </c>
      <c r="I31" s="6" t="n">
        <f aca="false">G31+H31</f>
        <v>1431</v>
      </c>
      <c r="J31" s="111" t="n">
        <f aca="false">IF(L31&gt;0,L31,0)</f>
        <v>238.740357953113</v>
      </c>
      <c r="K31" s="6" t="n">
        <f aca="false">I31+J31</f>
        <v>1669.74035795311</v>
      </c>
      <c r="L31" s="6" t="n">
        <f aca="false">F31-(I31-W31)</f>
        <v>238.740357953113</v>
      </c>
      <c r="M31" s="6" t="n">
        <v>200</v>
      </c>
      <c r="N31" s="6" t="n">
        <v>0</v>
      </c>
      <c r="O31" s="6" t="n">
        <v>0</v>
      </c>
      <c r="P31" s="6" t="n">
        <f aca="false">M31-(N31+O31)</f>
        <v>200</v>
      </c>
      <c r="Q31" s="6" t="n">
        <v>159</v>
      </c>
      <c r="R31" s="6" t="n">
        <v>81</v>
      </c>
      <c r="S31" s="6" t="n">
        <f aca="false">SUM(P31:R31)</f>
        <v>440</v>
      </c>
      <c r="T31" s="52" t="n">
        <f aca="false">T30</f>
        <v>0</v>
      </c>
      <c r="U31" s="6" t="n">
        <v>8</v>
      </c>
      <c r="V31" s="6" t="n">
        <v>1132</v>
      </c>
      <c r="W31" s="6" t="n">
        <f aca="false">N31+O31+S31+U31+V31</f>
        <v>1580</v>
      </c>
      <c r="X31" s="6" t="n">
        <f aca="false">IF(L31&lt;0,L31*-1,0)</f>
        <v>0</v>
      </c>
      <c r="Y31" s="6" t="n">
        <f aca="false">W31+X31</f>
        <v>1580</v>
      </c>
      <c r="Z31" s="11" t="n">
        <v>0</v>
      </c>
      <c r="AA31" s="12" t="n">
        <v>83</v>
      </c>
      <c r="AB31" s="12" t="n">
        <v>48</v>
      </c>
      <c r="AC31" s="13" t="n">
        <f aca="false">AC30+1</f>
        <v>22</v>
      </c>
      <c r="AD31" s="12" t="n">
        <f aca="false">IF(I31&gt;S31,I31-S31,I31-S31)</f>
        <v>991</v>
      </c>
      <c r="AE31" s="12"/>
      <c r="AG31" s="6"/>
    </row>
    <row r="32" customFormat="false" ht="11.1" hidden="false" customHeight="true" outlineLevel="0" collapsed="false">
      <c r="A32" s="13" t="n">
        <f aca="false">A31+1</f>
        <v>23</v>
      </c>
      <c r="B32" s="29" t="n">
        <v>6923.27</v>
      </c>
      <c r="C32" s="7" t="n">
        <v>377911</v>
      </c>
      <c r="D32" s="12" t="n">
        <f aca="false">C32-C31</f>
        <v>-178</v>
      </c>
      <c r="E32" s="7" t="n">
        <f aca="false">C32-152000</f>
        <v>225911</v>
      </c>
      <c r="F32" s="6" t="n">
        <f aca="false">D32/$D$2</f>
        <v>-89.7403579531132</v>
      </c>
      <c r="G32" s="6" t="n">
        <v>1431</v>
      </c>
      <c r="H32" s="37" t="n">
        <v>0</v>
      </c>
      <c r="I32" s="6" t="n">
        <f aca="false">G32+H32</f>
        <v>1431</v>
      </c>
      <c r="J32" s="111" t="n">
        <f aca="false">IF(L32&gt;0,L32,0)</f>
        <v>37.2596420468868</v>
      </c>
      <c r="K32" s="6" t="n">
        <f aca="false">I32+J32</f>
        <v>1468.25964204689</v>
      </c>
      <c r="L32" s="6" t="n">
        <f aca="false">F32-(I32-W32)</f>
        <v>37.2596420468868</v>
      </c>
      <c r="M32" s="6" t="n">
        <v>200</v>
      </c>
      <c r="N32" s="6" t="n">
        <v>0</v>
      </c>
      <c r="O32" s="6" t="n">
        <v>0</v>
      </c>
      <c r="P32" s="6" t="n">
        <f aca="false">M32-(N32+O32)</f>
        <v>200</v>
      </c>
      <c r="Q32" s="6" t="n">
        <v>159</v>
      </c>
      <c r="R32" s="6" t="n">
        <v>84</v>
      </c>
      <c r="S32" s="6" t="n">
        <f aca="false">SUM(P32:R32)</f>
        <v>443</v>
      </c>
      <c r="T32" s="52" t="n">
        <f aca="false">T31</f>
        <v>0</v>
      </c>
      <c r="U32" s="6" t="n">
        <v>14</v>
      </c>
      <c r="V32" s="6" t="n">
        <v>1101</v>
      </c>
      <c r="W32" s="6" t="n">
        <f aca="false">N32+O32+S32+U32+V32</f>
        <v>1558</v>
      </c>
      <c r="X32" s="6" t="n">
        <f aca="false">IF(L32&lt;0,L32*-1,0)</f>
        <v>0</v>
      </c>
      <c r="Y32" s="6" t="n">
        <f aca="false">W32+X32</f>
        <v>1558</v>
      </c>
      <c r="Z32" s="11" t="n">
        <v>0</v>
      </c>
      <c r="AA32" s="12" t="n">
        <v>84</v>
      </c>
      <c r="AB32" s="12" t="n">
        <v>50</v>
      </c>
      <c r="AC32" s="13" t="n">
        <f aca="false">AC31+1</f>
        <v>23</v>
      </c>
      <c r="AD32" s="12" t="n">
        <f aca="false">IF(I32&gt;S32,I32-S32,I32-S32)</f>
        <v>988</v>
      </c>
      <c r="AE32" s="12"/>
      <c r="AG32" s="6"/>
    </row>
    <row r="33" customFormat="false" ht="11.1" hidden="false" customHeight="true" outlineLevel="0" collapsed="false">
      <c r="A33" s="13" t="n">
        <f aca="false">A32+1</f>
        <v>24</v>
      </c>
      <c r="B33" s="29" t="n">
        <v>6923.38</v>
      </c>
      <c r="C33" s="7" t="n">
        <v>378400</v>
      </c>
      <c r="D33" s="12" t="n">
        <f aca="false">C33-C32</f>
        <v>489</v>
      </c>
      <c r="E33" s="7" t="n">
        <f aca="false">C33-152000</f>
        <v>226400</v>
      </c>
      <c r="F33" s="6" t="n">
        <f aca="false">D33/$D$2</f>
        <v>246.53390471389</v>
      </c>
      <c r="G33" s="6" t="n">
        <v>1392</v>
      </c>
      <c r="H33" s="37" t="n">
        <v>0</v>
      </c>
      <c r="I33" s="6" t="n">
        <f aca="false">G33+H33</f>
        <v>1392</v>
      </c>
      <c r="J33" s="111" t="n">
        <f aca="false">IF(L33&gt;0,L33,0)</f>
        <v>346.53390471389</v>
      </c>
      <c r="K33" s="6" t="n">
        <f aca="false">I33+J33</f>
        <v>1738.53390471389</v>
      </c>
      <c r="L33" s="6" t="n">
        <f aca="false">F33-(I33-W33)</f>
        <v>346.53390471389</v>
      </c>
      <c r="M33" s="6" t="n">
        <v>200</v>
      </c>
      <c r="N33" s="6" t="n">
        <v>0</v>
      </c>
      <c r="O33" s="6" t="n">
        <v>0</v>
      </c>
      <c r="P33" s="6" t="n">
        <f aca="false">M33-(N33+O33)</f>
        <v>200</v>
      </c>
      <c r="Q33" s="6" t="n">
        <v>159</v>
      </c>
      <c r="R33" s="6" t="n">
        <v>86</v>
      </c>
      <c r="S33" s="6" t="n">
        <f aca="false">SUM(P33:R33)</f>
        <v>445</v>
      </c>
      <c r="T33" s="52" t="n">
        <f aca="false">T32</f>
        <v>0</v>
      </c>
      <c r="U33" s="6" t="n">
        <v>14</v>
      </c>
      <c r="V33" s="6" t="n">
        <v>1033</v>
      </c>
      <c r="W33" s="6" t="n">
        <f aca="false">N33+O33+S33+U33+V33</f>
        <v>1492</v>
      </c>
      <c r="X33" s="6" t="n">
        <f aca="false">IF(L33&lt;0,L33*-1,0)</f>
        <v>0</v>
      </c>
      <c r="Y33" s="6" t="n">
        <f aca="false">W33+X33</f>
        <v>1492</v>
      </c>
      <c r="Z33" s="11" t="n">
        <v>0</v>
      </c>
      <c r="AA33" s="12" t="n">
        <v>87</v>
      </c>
      <c r="AB33" s="12" t="n">
        <v>50</v>
      </c>
      <c r="AC33" s="13" t="n">
        <f aca="false">AC32+1</f>
        <v>24</v>
      </c>
      <c r="AD33" s="12" t="n">
        <f aca="false">IF(I33&gt;S33,I33-S33,I33-S33)</f>
        <v>947</v>
      </c>
      <c r="AE33" s="12"/>
      <c r="AG33" s="6"/>
    </row>
    <row r="34" customFormat="false" ht="11.1" hidden="false" customHeight="true" outlineLevel="0" collapsed="false">
      <c r="A34" s="13" t="n">
        <f aca="false">A33+1</f>
        <v>25</v>
      </c>
      <c r="B34" s="29" t="n">
        <v>6923.4</v>
      </c>
      <c r="C34" s="7" t="n">
        <v>378489</v>
      </c>
      <c r="D34" s="12" t="n">
        <f aca="false">C34-C33</f>
        <v>89</v>
      </c>
      <c r="E34" s="7" t="n">
        <f aca="false">C34-152000</f>
        <v>226489</v>
      </c>
      <c r="F34" s="6" t="n">
        <f aca="false">D34/$D$2</f>
        <v>44.8701789765566</v>
      </c>
      <c r="G34" s="6" t="n">
        <v>1392</v>
      </c>
      <c r="H34" s="37" t="n">
        <v>0</v>
      </c>
      <c r="I34" s="6" t="n">
        <f aca="false">G34+H34</f>
        <v>1392</v>
      </c>
      <c r="J34" s="111" t="n">
        <f aca="false">IF(L34&gt;0,L34,0)</f>
        <v>106.870178976557</v>
      </c>
      <c r="K34" s="6" t="n">
        <f aca="false">I34+J34</f>
        <v>1498.87017897656</v>
      </c>
      <c r="L34" s="6" t="n">
        <f aca="false">F34-(I34-W34)</f>
        <v>106.870178976557</v>
      </c>
      <c r="M34" s="6" t="n">
        <v>207</v>
      </c>
      <c r="N34" s="6" t="n">
        <v>0</v>
      </c>
      <c r="O34" s="6" t="n">
        <v>0</v>
      </c>
      <c r="P34" s="6" t="n">
        <f aca="false">M34-(N34+O34)</f>
        <v>207</v>
      </c>
      <c r="Q34" s="6" t="n">
        <v>160</v>
      </c>
      <c r="R34" s="6" t="n">
        <v>86</v>
      </c>
      <c r="S34" s="6" t="n">
        <f aca="false">SUM(P34:R34)</f>
        <v>453</v>
      </c>
      <c r="T34" s="52" t="n">
        <f aca="false">T33</f>
        <v>0</v>
      </c>
      <c r="U34" s="6" t="n">
        <v>0</v>
      </c>
      <c r="V34" s="6" t="n">
        <v>1001</v>
      </c>
      <c r="W34" s="6" t="n">
        <f aca="false">N34+O34+S34+U34+V34</f>
        <v>1454</v>
      </c>
      <c r="X34" s="6" t="n">
        <f aca="false">IF(L34&lt;0,L34*-1,0)</f>
        <v>0</v>
      </c>
      <c r="Y34" s="6" t="n">
        <f aca="false">W34+X34</f>
        <v>1454</v>
      </c>
      <c r="Z34" s="11" t="n">
        <v>0</v>
      </c>
      <c r="AA34" s="12" t="n">
        <v>87</v>
      </c>
      <c r="AB34" s="12" t="n">
        <v>53</v>
      </c>
      <c r="AC34" s="13" t="n">
        <f aca="false">AC33+1</f>
        <v>25</v>
      </c>
      <c r="AD34" s="12" t="n">
        <f aca="false">IF(I34&gt;S34,I34-S34,I34-S34)</f>
        <v>939</v>
      </c>
      <c r="AE34" s="12"/>
      <c r="AG34" s="6"/>
    </row>
    <row r="35" customFormat="false" ht="11.1" hidden="false" customHeight="true" outlineLevel="0" collapsed="false">
      <c r="A35" s="13" t="n">
        <f aca="false">A34+1</f>
        <v>26</v>
      </c>
      <c r="B35" s="29" t="n">
        <v>6923.3</v>
      </c>
      <c r="C35" s="7" t="n">
        <v>378044</v>
      </c>
      <c r="D35" s="12" t="n">
        <f aca="false">C35-C34</f>
        <v>-445</v>
      </c>
      <c r="E35" s="7" t="n">
        <f aca="false">C35-152000</f>
        <v>226044</v>
      </c>
      <c r="F35" s="6" t="n">
        <f aca="false">D35/$D$2</f>
        <v>-224.350894882783</v>
      </c>
      <c r="G35" s="6" t="n">
        <v>1300</v>
      </c>
      <c r="H35" s="37" t="n">
        <v>0</v>
      </c>
      <c r="I35" s="6" t="n">
        <f aca="false">G35+H35</f>
        <v>1300</v>
      </c>
      <c r="J35" s="111" t="n">
        <f aca="false">IF(L35&gt;0,L35,0)</f>
        <v>0</v>
      </c>
      <c r="K35" s="6" t="n">
        <f aca="false">I35+J35</f>
        <v>1300</v>
      </c>
      <c r="L35" s="6" t="n">
        <f aca="false">F35-(I35-W35)</f>
        <v>-47.350894882783</v>
      </c>
      <c r="M35" s="6" t="n">
        <v>213</v>
      </c>
      <c r="N35" s="6" t="n">
        <v>0</v>
      </c>
      <c r="O35" s="6" t="n">
        <v>0</v>
      </c>
      <c r="P35" s="6" t="n">
        <f aca="false">M35-(N35+O35)</f>
        <v>213</v>
      </c>
      <c r="Q35" s="6" t="n">
        <v>160</v>
      </c>
      <c r="R35" s="6" t="n">
        <v>86</v>
      </c>
      <c r="S35" s="6" t="n">
        <f aca="false">SUM(P35:R35)</f>
        <v>459</v>
      </c>
      <c r="T35" s="52" t="n">
        <f aca="false">T34</f>
        <v>0</v>
      </c>
      <c r="U35" s="137" t="n">
        <v>17</v>
      </c>
      <c r="V35" s="6" t="n">
        <v>1001</v>
      </c>
      <c r="W35" s="6" t="n">
        <f aca="false">N35+O35+S35+U35+V35</f>
        <v>1477</v>
      </c>
      <c r="X35" s="6" t="n">
        <f aca="false">IF(L35&lt;0,L35*-1,0)</f>
        <v>47.350894882783</v>
      </c>
      <c r="Y35" s="6" t="n">
        <f aca="false">W35+X35</f>
        <v>1524.35089488278</v>
      </c>
      <c r="Z35" s="11" t="n">
        <v>0</v>
      </c>
      <c r="AA35" s="12" t="n">
        <v>84</v>
      </c>
      <c r="AB35" s="12" t="n">
        <v>54</v>
      </c>
      <c r="AC35" s="13" t="n">
        <f aca="false">AC34+1</f>
        <v>26</v>
      </c>
      <c r="AD35" s="12" t="n">
        <f aca="false">IF(I35&gt;S35,I35-S35,I35-S35)</f>
        <v>841</v>
      </c>
      <c r="AE35" s="12"/>
      <c r="AG35" s="3"/>
    </row>
    <row r="36" customFormat="false" ht="11.1" hidden="false" customHeight="true" outlineLevel="0" collapsed="false">
      <c r="A36" s="13" t="n">
        <f aca="false">A35+1</f>
        <v>27</v>
      </c>
      <c r="B36" s="29" t="n">
        <v>6923.18</v>
      </c>
      <c r="C36" s="7" t="n">
        <v>377510</v>
      </c>
      <c r="D36" s="12" t="n">
        <f aca="false">C36-C35</f>
        <v>-534</v>
      </c>
      <c r="E36" s="7" t="n">
        <f aca="false">C36-152000</f>
        <v>225510</v>
      </c>
      <c r="F36" s="6" t="n">
        <f aca="false">D36/$D$2</f>
        <v>-269.221073859339</v>
      </c>
      <c r="G36" s="6" t="n">
        <v>1213</v>
      </c>
      <c r="H36" s="37" t="n">
        <v>0</v>
      </c>
      <c r="I36" s="6" t="n">
        <f aca="false">G36+H36</f>
        <v>1213</v>
      </c>
      <c r="J36" s="111" t="n">
        <f aca="false">IF(L36&gt;0,L36,0)</f>
        <v>0</v>
      </c>
      <c r="K36" s="6" t="n">
        <f aca="false">I36+J36</f>
        <v>1213</v>
      </c>
      <c r="L36" s="6" t="n">
        <f aca="false">F36-(I36-W36)</f>
        <v>-63.2210738593395</v>
      </c>
      <c r="M36" s="6" t="n">
        <v>213</v>
      </c>
      <c r="N36" s="6" t="n">
        <v>0</v>
      </c>
      <c r="O36" s="6" t="n">
        <v>0</v>
      </c>
      <c r="P36" s="6" t="n">
        <f aca="false">M36-(N36+O36)</f>
        <v>213</v>
      </c>
      <c r="Q36" s="6" t="n">
        <v>159</v>
      </c>
      <c r="R36" s="6" t="n">
        <v>86</v>
      </c>
      <c r="S36" s="6" t="n">
        <f aca="false">SUM(P36:R36)</f>
        <v>458</v>
      </c>
      <c r="T36" s="52" t="n">
        <f aca="false">T35</f>
        <v>0</v>
      </c>
      <c r="U36" s="6" t="n">
        <v>0</v>
      </c>
      <c r="V36" s="6" t="n">
        <v>961</v>
      </c>
      <c r="W36" s="6" t="n">
        <f aca="false">N36+O36+S36+U36+V36</f>
        <v>1419</v>
      </c>
      <c r="X36" s="6" t="n">
        <f aca="false">IF(L36&lt;0,L36*-1,0)</f>
        <v>63.2210738593395</v>
      </c>
      <c r="Y36" s="6" t="n">
        <f aca="false">W36+X36</f>
        <v>1482.22107385934</v>
      </c>
      <c r="Z36" s="11" t="n">
        <v>0</v>
      </c>
      <c r="AA36" s="12" t="n">
        <v>85</v>
      </c>
      <c r="AB36" s="12" t="n">
        <v>50</v>
      </c>
      <c r="AC36" s="13" t="n">
        <f aca="false">AC35+1</f>
        <v>27</v>
      </c>
      <c r="AD36" s="12" t="n">
        <f aca="false">IF(I36&gt;S36,I36-S36,I36-S36)</f>
        <v>755</v>
      </c>
      <c r="AE36" s="12"/>
      <c r="AG36" s="6"/>
    </row>
    <row r="37" customFormat="false" ht="11.1" hidden="false" customHeight="true" outlineLevel="0" collapsed="false">
      <c r="A37" s="13" t="n">
        <f aca="false">A36+1</f>
        <v>28</v>
      </c>
      <c r="B37" s="29" t="n">
        <v>6922.96</v>
      </c>
      <c r="C37" s="7" t="n">
        <v>376532</v>
      </c>
      <c r="D37" s="12" t="n">
        <f aca="false">C37-C36</f>
        <v>-978</v>
      </c>
      <c r="E37" s="7" t="n">
        <f aca="false">C37-152000</f>
        <v>224532</v>
      </c>
      <c r="F37" s="6" t="n">
        <f aca="false">D37/$D$2</f>
        <v>-493.067809427779</v>
      </c>
      <c r="G37" s="6" t="n">
        <v>1016</v>
      </c>
      <c r="H37" s="37" t="n">
        <v>0</v>
      </c>
      <c r="I37" s="6" t="n">
        <f aca="false">G37+H37</f>
        <v>1016</v>
      </c>
      <c r="J37" s="111" t="n">
        <f aca="false">IF(L37&gt;0,L37,0)</f>
        <v>0</v>
      </c>
      <c r="K37" s="6" t="n">
        <f aca="false">I37+J37</f>
        <v>1016</v>
      </c>
      <c r="L37" s="6" t="n">
        <f aca="false">F37-(I37-W37)</f>
        <v>-153.067809427779</v>
      </c>
      <c r="M37" s="6" t="n">
        <v>212</v>
      </c>
      <c r="N37" s="6" t="n">
        <v>0</v>
      </c>
      <c r="O37" s="6" t="n">
        <v>0</v>
      </c>
      <c r="P37" s="6" t="n">
        <f aca="false">M37-(N37+O37)</f>
        <v>212</v>
      </c>
      <c r="Q37" s="6" t="n">
        <v>157</v>
      </c>
      <c r="R37" s="6" t="n">
        <v>86</v>
      </c>
      <c r="S37" s="6" t="n">
        <f aca="false">SUM(P37:R37)</f>
        <v>455</v>
      </c>
      <c r="T37" s="52" t="n">
        <f aca="false">T36</f>
        <v>0</v>
      </c>
      <c r="U37" s="6" t="n">
        <v>0</v>
      </c>
      <c r="V37" s="6" t="n">
        <v>901</v>
      </c>
      <c r="W37" s="6" t="n">
        <f aca="false">N37+O37+S37+U37+V37</f>
        <v>1356</v>
      </c>
      <c r="X37" s="6" t="n">
        <f aca="false">IF(L37&lt;0,L37*-1,0)</f>
        <v>153.067809427779</v>
      </c>
      <c r="Y37" s="6" t="n">
        <f aca="false">W37+X37</f>
        <v>1509.06780942778</v>
      </c>
      <c r="Z37" s="11" t="n">
        <v>0</v>
      </c>
      <c r="AA37" s="12" t="n">
        <v>80</v>
      </c>
      <c r="AB37" s="12" t="n">
        <v>50</v>
      </c>
      <c r="AC37" s="13" t="n">
        <f aca="false">AC36+1</f>
        <v>28</v>
      </c>
      <c r="AD37" s="12" t="n">
        <f aca="false">IF(I37&gt;S37,I37-S37,I37-S37)</f>
        <v>561</v>
      </c>
      <c r="AE37" s="12"/>
      <c r="AG37" s="6"/>
    </row>
    <row r="38" customFormat="false" ht="11.1" hidden="false" customHeight="true" outlineLevel="0" collapsed="false">
      <c r="A38" s="13" t="n">
        <f aca="false">A37+1</f>
        <v>29</v>
      </c>
      <c r="B38" s="29" t="n">
        <v>6923.03</v>
      </c>
      <c r="C38" s="7" t="n">
        <v>376842</v>
      </c>
      <c r="D38" s="12" t="n">
        <f aca="false">C38-C37</f>
        <v>310</v>
      </c>
      <c r="E38" s="7" t="n">
        <f aca="false">C38-152000</f>
        <v>224842</v>
      </c>
      <c r="F38" s="6" t="n">
        <f aca="false">D38/$D$2</f>
        <v>156.289387446433</v>
      </c>
      <c r="G38" s="6" t="n">
        <v>1317</v>
      </c>
      <c r="H38" s="37" t="n">
        <v>0</v>
      </c>
      <c r="I38" s="6" t="n">
        <f aca="false">G38+H38</f>
        <v>1317</v>
      </c>
      <c r="J38" s="111" t="n">
        <f aca="false">IF(L38&gt;0,L38,0)</f>
        <v>0</v>
      </c>
      <c r="K38" s="6" t="n">
        <f aca="false">I38+J38</f>
        <v>1317</v>
      </c>
      <c r="L38" s="6" t="n">
        <f aca="false">F38-(I38-W38)</f>
        <v>-10.7106125535669</v>
      </c>
      <c r="M38" s="6" t="n">
        <v>215</v>
      </c>
      <c r="N38" s="6" t="n">
        <v>0</v>
      </c>
      <c r="O38" s="6" t="n">
        <v>0</v>
      </c>
      <c r="P38" s="6" t="n">
        <f aca="false">M38-(N38+O38)</f>
        <v>215</v>
      </c>
      <c r="Q38" s="6" t="n">
        <v>135</v>
      </c>
      <c r="R38" s="6" t="n">
        <v>86</v>
      </c>
      <c r="S38" s="6" t="n">
        <f aca="false">SUM(P38:R38)</f>
        <v>436</v>
      </c>
      <c r="T38" s="52" t="n">
        <f aca="false">T37</f>
        <v>0</v>
      </c>
      <c r="U38" s="6" t="n">
        <v>0</v>
      </c>
      <c r="V38" s="6" t="n">
        <v>714</v>
      </c>
      <c r="W38" s="6" t="n">
        <f aca="false">N38+O38+S38+U38+V38</f>
        <v>1150</v>
      </c>
      <c r="X38" s="6" t="n">
        <f aca="false">IF(L38&lt;0,L38*-1,0)</f>
        <v>10.7106125535669</v>
      </c>
      <c r="Y38" s="6" t="n">
        <f aca="false">W38+X38</f>
        <v>1160.71061255357</v>
      </c>
      <c r="Z38" s="11" t="n">
        <v>0.17</v>
      </c>
      <c r="AA38" s="12" t="n">
        <v>74</v>
      </c>
      <c r="AB38" s="12" t="n">
        <v>50</v>
      </c>
      <c r="AC38" s="13" t="n">
        <f aca="false">AC37+1</f>
        <v>29</v>
      </c>
      <c r="AD38" s="12" t="n">
        <f aca="false">IF(I38&gt;S38,I38-S38,I38-S38)</f>
        <v>881</v>
      </c>
      <c r="AE38" s="12"/>
      <c r="AG38" s="6"/>
    </row>
    <row r="39" customFormat="false" ht="11.1" hidden="false" customHeight="true" outlineLevel="0" collapsed="false">
      <c r="A39" s="13" t="n">
        <v>30</v>
      </c>
      <c r="B39" s="29" t="n">
        <v>6923.14</v>
      </c>
      <c r="C39" s="7" t="n">
        <v>377332</v>
      </c>
      <c r="D39" s="12" t="n">
        <f aca="false">C39-C38</f>
        <v>490</v>
      </c>
      <c r="E39" s="7" t="n">
        <f aca="false">C39-152000</f>
        <v>225332</v>
      </c>
      <c r="F39" s="6" t="n">
        <f aca="false">D39/$D$2</f>
        <v>247.038064028233</v>
      </c>
      <c r="G39" s="6" t="n">
        <v>1179</v>
      </c>
      <c r="H39" s="37" t="n">
        <v>0</v>
      </c>
      <c r="I39" s="6" t="n">
        <f aca="false">G39+H39</f>
        <v>1179</v>
      </c>
      <c r="J39" s="111" t="n">
        <f aca="false">IF(L39&gt;0,L39,0)</f>
        <v>1.03806402823292</v>
      </c>
      <c r="K39" s="6" t="n">
        <f aca="false">I39+J39</f>
        <v>1180.03806402823</v>
      </c>
      <c r="L39" s="6" t="n">
        <f aca="false">F39-(I39-W39)</f>
        <v>1.03806402823292</v>
      </c>
      <c r="M39" s="6" t="n">
        <v>218</v>
      </c>
      <c r="N39" s="6" t="n">
        <v>0</v>
      </c>
      <c r="O39" s="6" t="n">
        <v>0</v>
      </c>
      <c r="P39" s="6" t="n">
        <f aca="false">M39-(N39+O39)</f>
        <v>218</v>
      </c>
      <c r="Q39" s="6" t="n">
        <v>129</v>
      </c>
      <c r="R39" s="6" t="n">
        <v>86</v>
      </c>
      <c r="S39" s="6" t="n">
        <f aca="false">SUM(P39:R39)</f>
        <v>433</v>
      </c>
      <c r="T39" s="52" t="n">
        <f aca="false">T38</f>
        <v>0</v>
      </c>
      <c r="U39" s="6" t="n">
        <v>0</v>
      </c>
      <c r="V39" s="6" t="n">
        <v>500</v>
      </c>
      <c r="W39" s="6" t="n">
        <f aca="false">N39+O39+S39+U39+V39</f>
        <v>933</v>
      </c>
      <c r="X39" s="6" t="n">
        <f aca="false">IF(L39&lt;0,L39*-1,0)</f>
        <v>0</v>
      </c>
      <c r="Y39" s="6" t="n">
        <f aca="false">W39+X39</f>
        <v>933</v>
      </c>
      <c r="Z39" s="11" t="n">
        <v>0</v>
      </c>
      <c r="AA39" s="12" t="n">
        <v>82</v>
      </c>
      <c r="AB39" s="12" t="n">
        <v>50</v>
      </c>
      <c r="AC39" s="13" t="n">
        <v>30</v>
      </c>
      <c r="AD39" s="12" t="n">
        <f aca="false">IF(I39&gt;S39,I39-S39,I39-S39)</f>
        <v>746</v>
      </c>
      <c r="AE39" s="12"/>
      <c r="AG39" s="6"/>
    </row>
    <row r="40" customFormat="false" ht="3" hidden="false" customHeight="true" outlineLevel="0" collapsed="false">
      <c r="A40" s="30"/>
      <c r="B40" s="30"/>
      <c r="C40" s="32"/>
      <c r="D40" s="30"/>
      <c r="E40" s="32"/>
      <c r="F40" s="30"/>
      <c r="G40" s="30"/>
      <c r="H40" s="110" t="n">
        <v>0.29</v>
      </c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2"/>
      <c r="U40" s="30"/>
      <c r="V40" s="30"/>
      <c r="W40" s="30"/>
      <c r="X40" s="30"/>
      <c r="Y40" s="30"/>
      <c r="Z40" s="34"/>
      <c r="AA40" s="35"/>
      <c r="AB40" s="35"/>
      <c r="AC40" s="36"/>
      <c r="AD40" s="104"/>
      <c r="AE40" s="104"/>
    </row>
    <row r="41" customFormat="false" ht="11.1" hidden="false" customHeight="true" outlineLevel="0" collapsed="false">
      <c r="A41" s="6" t="s">
        <v>44</v>
      </c>
      <c r="B41" s="6"/>
      <c r="C41" s="7"/>
      <c r="D41" s="7"/>
      <c r="E41" s="7"/>
      <c r="F41" s="7" t="n">
        <f aca="false">SUM(F10:F39)</f>
        <v>11518.5278548021</v>
      </c>
      <c r="G41" s="7" t="n">
        <f aca="false">SUM(G10:G39)</f>
        <v>58550</v>
      </c>
      <c r="H41" s="37" t="n">
        <f aca="false">SUM(H10:H39)</f>
        <v>45</v>
      </c>
      <c r="I41" s="7" t="n">
        <f aca="false">SUM(I10:I39)</f>
        <v>58595</v>
      </c>
      <c r="J41" s="7" t="n">
        <f aca="false">SUM(J10:J39)</f>
        <v>5599.23115704563</v>
      </c>
      <c r="K41" s="7" t="n">
        <f aca="false">SUM(K10:K39)</f>
        <v>64194.2311570456</v>
      </c>
      <c r="L41" s="7" t="n">
        <f aca="false">SUM(L10:L39)</f>
        <v>4871.52785480212</v>
      </c>
      <c r="M41" s="7" t="n">
        <f aca="false">SUM(M10:M39)</f>
        <v>6205</v>
      </c>
      <c r="N41" s="7" t="n">
        <f aca="false">SUM(N10:N39)</f>
        <v>0</v>
      </c>
      <c r="O41" s="7" t="n">
        <f aca="false">SUM(O10:O39)</f>
        <v>0</v>
      </c>
      <c r="P41" s="7" t="n">
        <f aca="false">SUM(P10:P39)</f>
        <v>6205</v>
      </c>
      <c r="Q41" s="7" t="n">
        <f aca="false">SUM(Q10:Q39)</f>
        <v>4829</v>
      </c>
      <c r="R41" s="7" t="n">
        <f aca="false">SUM(R10:R39)</f>
        <v>2546</v>
      </c>
      <c r="S41" s="7" t="n">
        <f aca="false">SUM(S10:S39)</f>
        <v>13580</v>
      </c>
      <c r="T41" s="7"/>
      <c r="U41" s="7" t="n">
        <f aca="false">SUM(U10:U39)</f>
        <v>87</v>
      </c>
      <c r="V41" s="7" t="n">
        <f aca="false">SUM(V10:V39)</f>
        <v>38281</v>
      </c>
      <c r="W41" s="7" t="n">
        <f aca="false">SUM(W10:W39)</f>
        <v>51948</v>
      </c>
      <c r="X41" s="7" t="n">
        <f aca="false">SUM(X10:X39)</f>
        <v>727.703302243509</v>
      </c>
      <c r="Y41" s="7" t="n">
        <f aca="false">SUM(Y10:Y39)</f>
        <v>52675.7033022435</v>
      </c>
      <c r="Z41" s="11" t="n">
        <f aca="false">SUM(Z10:Z39)</f>
        <v>0.97</v>
      </c>
      <c r="AA41" s="12" t="n">
        <f aca="false">AVERAGE(AA10:AA39)</f>
        <v>81.1666666666667</v>
      </c>
      <c r="AB41" s="12" t="n">
        <f aca="false">AVERAGE(AB10:AB39)</f>
        <v>49.0666666666667</v>
      </c>
      <c r="AC41" s="13" t="s">
        <v>71</v>
      </c>
      <c r="AD41" s="104"/>
      <c r="AE41" s="104"/>
    </row>
    <row r="42" customFormat="false" ht="11.1" hidden="false" customHeight="true" outlineLevel="0" collapsed="false">
      <c r="A42" s="6" t="s">
        <v>46</v>
      </c>
      <c r="B42" s="6"/>
      <c r="C42" s="7"/>
      <c r="D42" s="7" t="n">
        <f aca="false">SUM(D10:D39)</f>
        <v>22847</v>
      </c>
      <c r="E42" s="7"/>
      <c r="F42" s="7" t="n">
        <f aca="false">F41*$D$2</f>
        <v>22847</v>
      </c>
      <c r="G42" s="7" t="n">
        <f aca="false">G41*$D$2</f>
        <v>116133.925</v>
      </c>
      <c r="H42" s="37" t="n">
        <f aca="false">H41*$D$2</f>
        <v>89.2575</v>
      </c>
      <c r="I42" s="7" t="n">
        <f aca="false">I41*$D$2</f>
        <v>116223.1825</v>
      </c>
      <c r="J42" s="7" t="n">
        <f aca="false">J41*$D$2</f>
        <v>11106.075</v>
      </c>
      <c r="K42" s="7" t="n">
        <f aca="false">K41*$D$2</f>
        <v>127329.2575</v>
      </c>
      <c r="L42" s="7" t="n">
        <f aca="false">L41*$D$2</f>
        <v>9662.6755</v>
      </c>
      <c r="M42" s="7" t="n">
        <f aca="false">M41*$D$2</f>
        <v>12307.6175</v>
      </c>
      <c r="N42" s="7" t="n">
        <f aca="false">N41*$D$2</f>
        <v>0</v>
      </c>
      <c r="O42" s="7" t="n">
        <f aca="false">O41*$D$2</f>
        <v>0</v>
      </c>
      <c r="P42" s="7" t="n">
        <f aca="false">P41*$D$2</f>
        <v>12307.6175</v>
      </c>
      <c r="Q42" s="7" t="n">
        <f aca="false">Q41*$D$2</f>
        <v>9578.3215</v>
      </c>
      <c r="R42" s="7" t="n">
        <f aca="false">R41*$D$2</f>
        <v>5049.991</v>
      </c>
      <c r="S42" s="7" t="n">
        <f aca="false">S41*$D$2</f>
        <v>26935.93</v>
      </c>
      <c r="T42" s="7"/>
      <c r="U42" s="7" t="n">
        <f aca="false">U41*$D$2</f>
        <v>172.5645</v>
      </c>
      <c r="V42" s="7" t="n">
        <f aca="false">V41*$D$2</f>
        <v>75930.3635</v>
      </c>
      <c r="W42" s="7" t="n">
        <f aca="false">W41*$D$2</f>
        <v>103038.858</v>
      </c>
      <c r="X42" s="7" t="n">
        <f aca="false">X41*$D$2</f>
        <v>1443.3995</v>
      </c>
      <c r="Y42" s="7" t="n">
        <f aca="false">Y41*$D$2</f>
        <v>104482.2575</v>
      </c>
      <c r="Z42" s="11"/>
      <c r="AA42" s="12" t="n">
        <f aca="false">MAX(AA10:AA39)</f>
        <v>87</v>
      </c>
      <c r="AB42" s="12" t="n">
        <f aca="false">MAX(AB10:AB39)</f>
        <v>56</v>
      </c>
      <c r="AC42" s="13" t="s">
        <v>47</v>
      </c>
      <c r="AD42" s="104"/>
      <c r="AE42" s="104"/>
    </row>
    <row r="43" customFormat="false" ht="3" hidden="false" customHeight="true" outlineLevel="0" collapsed="false">
      <c r="A43" s="30"/>
      <c r="B43" s="30"/>
      <c r="C43" s="32"/>
      <c r="D43" s="32"/>
      <c r="E43" s="32"/>
      <c r="F43" s="32"/>
      <c r="G43" s="32"/>
      <c r="H43" s="110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11"/>
      <c r="AA43" s="12"/>
      <c r="AB43" s="12"/>
      <c r="AC43" s="13"/>
      <c r="AD43" s="104"/>
      <c r="AE43" s="104"/>
    </row>
    <row r="44" customFormat="false" ht="11.1" hidden="false" customHeight="true" outlineLevel="0" collapsed="false">
      <c r="A44" s="6" t="s">
        <v>48</v>
      </c>
      <c r="B44" s="6"/>
      <c r="C44" s="7"/>
      <c r="D44" s="7"/>
      <c r="E44" s="7"/>
      <c r="F44" s="7" t="n">
        <f aca="false">F7+F41</f>
        <v>43479.7075875977</v>
      </c>
      <c r="G44" s="7" t="n">
        <f aca="false">G7+G41</f>
        <v>162601</v>
      </c>
      <c r="H44" s="37" t="n">
        <f aca="false">H7+H41</f>
        <v>12679</v>
      </c>
      <c r="I44" s="7" t="n">
        <f aca="false">I7+I41</f>
        <v>175280</v>
      </c>
      <c r="J44" s="7" t="n">
        <f aca="false">J7+J41</f>
        <v>43166.7431308293</v>
      </c>
      <c r="K44" s="7" t="n">
        <f aca="false">K7+K41</f>
        <v>218446.743130829</v>
      </c>
      <c r="L44" s="7" t="n">
        <f aca="false">L7+L41</f>
        <v>42362.7075875977</v>
      </c>
      <c r="M44" s="7" t="n">
        <f aca="false">M7+M41</f>
        <v>12955</v>
      </c>
      <c r="N44" s="7" t="n">
        <f aca="false">N7+N41</f>
        <v>0</v>
      </c>
      <c r="O44" s="7" t="n">
        <f aca="false">O7+O41</f>
        <v>0</v>
      </c>
      <c r="P44" s="7" t="n">
        <f aca="false">P7+P41</f>
        <v>12955</v>
      </c>
      <c r="Q44" s="7" t="n">
        <f aca="false">Q7+Q41</f>
        <v>10264</v>
      </c>
      <c r="R44" s="7" t="n">
        <f aca="false">R7+R41</f>
        <v>5454</v>
      </c>
      <c r="S44" s="7" t="n">
        <f aca="false">S7+S41</f>
        <v>28673</v>
      </c>
      <c r="T44" s="138" t="n">
        <f aca="false">T39</f>
        <v>0</v>
      </c>
      <c r="U44" s="7" t="n">
        <f aca="false">U7+U41</f>
        <v>276</v>
      </c>
      <c r="V44" s="7" t="n">
        <f aca="false">V7+V41</f>
        <v>145214</v>
      </c>
      <c r="W44" s="7" t="n">
        <f aca="false">W7+W41</f>
        <v>174163</v>
      </c>
      <c r="X44" s="7" t="n">
        <f aca="false">X7+X41</f>
        <v>804.035543231661</v>
      </c>
      <c r="Y44" s="7" t="n">
        <f aca="false">Y7+Y41</f>
        <v>174967.035543232</v>
      </c>
      <c r="Z44" s="11"/>
      <c r="AA44" s="12" t="n">
        <f aca="false">MIN(AA10:AA39)</f>
        <v>71</v>
      </c>
      <c r="AB44" s="12" t="n">
        <f aca="false">MIN(AB10:AB39)</f>
        <v>40</v>
      </c>
      <c r="AC44" s="13" t="s">
        <v>49</v>
      </c>
      <c r="AD44" s="104"/>
      <c r="AE44" s="104"/>
    </row>
    <row r="45" customFormat="false" ht="11.1" hidden="false" customHeight="true" outlineLevel="0" collapsed="false">
      <c r="A45" s="6" t="s">
        <v>50</v>
      </c>
      <c r="B45" s="6"/>
      <c r="C45" s="7"/>
      <c r="D45" s="7"/>
      <c r="E45" s="7"/>
      <c r="F45" s="7" t="n">
        <f aca="false">F44*$D$2</f>
        <v>86242</v>
      </c>
      <c r="G45" s="7" t="n">
        <f aca="false">G44*$D$2</f>
        <v>322519.0835</v>
      </c>
      <c r="H45" s="37" t="n">
        <f aca="false">H44*$D$2</f>
        <v>25148.7965</v>
      </c>
      <c r="I45" s="7" t="n">
        <f aca="false">I44*$D$2</f>
        <v>347667.88</v>
      </c>
      <c r="J45" s="7" t="n">
        <f aca="false">J44*$D$2</f>
        <v>85621.235</v>
      </c>
      <c r="K45" s="7" t="n">
        <f aca="false">K44*$D$2</f>
        <v>433289.115</v>
      </c>
      <c r="L45" s="7" t="n">
        <f aca="false">L44*$D$2</f>
        <v>84026.4305</v>
      </c>
      <c r="M45" s="7" t="n">
        <f aca="false">M44*$D$2</f>
        <v>25696.2425</v>
      </c>
      <c r="N45" s="7" t="n">
        <f aca="false">N44*$D$2</f>
        <v>0</v>
      </c>
      <c r="O45" s="7" t="n">
        <f aca="false">O44*$D$2</f>
        <v>0</v>
      </c>
      <c r="P45" s="7" t="n">
        <f aca="false">P44*$D$2</f>
        <v>25696.2425</v>
      </c>
      <c r="Q45" s="7" t="n">
        <f aca="false">Q44*$D$2</f>
        <v>20358.644</v>
      </c>
      <c r="R45" s="7" t="n">
        <f aca="false">R44*$D$2</f>
        <v>10818.009</v>
      </c>
      <c r="S45" s="7" t="n">
        <f aca="false">S44*$D$2</f>
        <v>56872.8955</v>
      </c>
      <c r="T45" s="7" t="n">
        <f aca="false">T44*$D$2</f>
        <v>0</v>
      </c>
      <c r="U45" s="7" t="n">
        <f aca="false">U44*$D$2</f>
        <v>547.446</v>
      </c>
      <c r="V45" s="7" t="n">
        <f aca="false">V44*$D$2</f>
        <v>288031.969</v>
      </c>
      <c r="W45" s="7" t="n">
        <f aca="false">W44*$D$2</f>
        <v>345452.3105</v>
      </c>
      <c r="X45" s="7" t="n">
        <f aca="false">X44*$D$2</f>
        <v>1594.8045</v>
      </c>
      <c r="Y45" s="7" t="n">
        <f aca="false">Y44*$D$2</f>
        <v>347047.115</v>
      </c>
      <c r="Z45" s="11"/>
      <c r="AA45" s="12"/>
      <c r="AB45" s="12"/>
      <c r="AC45" s="13"/>
      <c r="AD45" s="104"/>
      <c r="AE45" s="104"/>
    </row>
    <row r="46" customFormat="false" ht="3" hidden="false" customHeight="true" outlineLevel="0" collapsed="false">
      <c r="A46" s="30"/>
      <c r="B46" s="30"/>
      <c r="C46" s="32"/>
      <c r="D46" s="32"/>
      <c r="E46" s="32"/>
      <c r="F46" s="32"/>
      <c r="G46" s="32"/>
      <c r="H46" s="110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4"/>
      <c r="AA46" s="12"/>
      <c r="AB46" s="12"/>
      <c r="AC46" s="13"/>
      <c r="AD46" s="104"/>
      <c r="AE46" s="104"/>
    </row>
    <row r="47" customFormat="false" ht="11.1" hidden="false" customHeight="true" outlineLevel="0" collapsed="false">
      <c r="A47" s="6" t="s">
        <v>51</v>
      </c>
      <c r="B47" s="6"/>
      <c r="C47" s="7"/>
      <c r="D47" s="7"/>
      <c r="E47" s="7"/>
      <c r="F47" s="7" t="n">
        <f aca="false">F8+F41</f>
        <v>43931.9384925637</v>
      </c>
      <c r="G47" s="7" t="n">
        <f aca="false">G8+G41</f>
        <v>193051</v>
      </c>
      <c r="H47" s="37" t="n">
        <f aca="false">H8+H41</f>
        <v>16090</v>
      </c>
      <c r="I47" s="7" t="n">
        <f aca="false">I8+I41</f>
        <v>208599.9</v>
      </c>
      <c r="J47" s="7" t="n">
        <f aca="false">J8+J41</f>
        <v>50001.1879758003</v>
      </c>
      <c r="K47" s="7" t="n">
        <f aca="false">K8+K41</f>
        <v>258601.0879758</v>
      </c>
      <c r="L47" s="7" t="n">
        <f aca="false">L8+L41</f>
        <v>48091.0384925636</v>
      </c>
      <c r="M47" s="7" t="n">
        <f aca="false">M8+M41</f>
        <v>14521</v>
      </c>
      <c r="N47" s="7" t="n">
        <f aca="false">N8+N41</f>
        <v>0.08</v>
      </c>
      <c r="O47" s="7" t="n">
        <f aca="false">O8+O41</f>
        <v>0</v>
      </c>
      <c r="P47" s="7" t="n">
        <f aca="false">P8+P41</f>
        <v>14520.92</v>
      </c>
      <c r="Q47" s="7" t="n">
        <f aca="false">Q8+Q41</f>
        <v>12542</v>
      </c>
      <c r="R47" s="7" t="n">
        <f aca="false">R8+R41</f>
        <v>5903</v>
      </c>
      <c r="S47" s="7" t="n">
        <f aca="false">S8+S41</f>
        <v>32965.92</v>
      </c>
      <c r="T47" s="7" t="n">
        <f aca="false">T39</f>
        <v>0</v>
      </c>
      <c r="U47" s="7" t="n">
        <f aca="false">U8+U41</f>
        <v>277</v>
      </c>
      <c r="V47" s="7" t="n">
        <f aca="false">V8+V41</f>
        <v>179516</v>
      </c>
      <c r="W47" s="7" t="n">
        <f aca="false">W8+W41</f>
        <v>212759</v>
      </c>
      <c r="X47" s="7" t="n">
        <f aca="false">X8+X41</f>
        <v>1910.1494832367</v>
      </c>
      <c r="Y47" s="7" t="n">
        <f aca="false">Y8+Y41</f>
        <v>214669.149483237</v>
      </c>
      <c r="Z47" s="11" t="n">
        <f aca="false">Z8+Z41</f>
        <v>9.77</v>
      </c>
      <c r="AA47" s="12"/>
      <c r="AB47" s="12"/>
      <c r="AC47" s="13"/>
      <c r="AD47" s="104"/>
      <c r="AE47" s="104"/>
    </row>
    <row r="48" customFormat="false" ht="11.1" hidden="false" customHeight="true" outlineLevel="0" collapsed="false">
      <c r="A48" s="6" t="s">
        <v>52</v>
      </c>
      <c r="B48" s="6"/>
      <c r="C48" s="7"/>
      <c r="D48" s="7" t="n">
        <f aca="false">D8+D42</f>
        <v>87139</v>
      </c>
      <c r="E48" s="7" t="n">
        <f aca="false">E39</f>
        <v>225332</v>
      </c>
      <c r="F48" s="7" t="n">
        <f aca="false">F47*$D$2</f>
        <v>87139</v>
      </c>
      <c r="G48" s="7" t="n">
        <f aca="false">G47*$D$2</f>
        <v>382916.6585</v>
      </c>
      <c r="H48" s="37" t="n">
        <f aca="false">H47*$D$2</f>
        <v>31914.515</v>
      </c>
      <c r="I48" s="7" t="n">
        <f aca="false">I47*$D$2</f>
        <v>413757.90165</v>
      </c>
      <c r="J48" s="7" t="n">
        <f aca="false">J47*$D$2</f>
        <v>99177.35635</v>
      </c>
      <c r="K48" s="7" t="n">
        <f aca="false">K47*$D$2</f>
        <v>512935.258</v>
      </c>
      <c r="L48" s="7" t="n">
        <f aca="false">L47*$D$2</f>
        <v>95388.57485</v>
      </c>
      <c r="M48" s="7" t="n">
        <f aca="false">M47*$D$2</f>
        <v>28802.4035</v>
      </c>
      <c r="N48" s="7" t="n">
        <f aca="false">N47*$D$2</f>
        <v>0.15868</v>
      </c>
      <c r="O48" s="7" t="n">
        <f aca="false">O47*$D$2</f>
        <v>0</v>
      </c>
      <c r="P48" s="7" t="n">
        <f aca="false">P47*$D$2</f>
        <v>28802.24482</v>
      </c>
      <c r="Q48" s="7" t="n">
        <f aca="false">Q47*$D$2</f>
        <v>24877.057</v>
      </c>
      <c r="R48" s="7" t="n">
        <f aca="false">R47*$D$2</f>
        <v>11708.6005</v>
      </c>
      <c r="S48" s="7" t="n">
        <f aca="false">S47*$D$2</f>
        <v>65387.90232</v>
      </c>
      <c r="T48" s="7" t="n">
        <f aca="false">T47*$D$2</f>
        <v>0</v>
      </c>
      <c r="U48" s="7" t="n">
        <f aca="false">U47*$D$2</f>
        <v>549.4295</v>
      </c>
      <c r="V48" s="7" t="n">
        <f aca="false">V47*$D$2</f>
        <v>356069.986</v>
      </c>
      <c r="W48" s="7" t="n">
        <f aca="false">W47*$D$2</f>
        <v>422007.4765</v>
      </c>
      <c r="X48" s="7" t="n">
        <f aca="false">X47*$D$2</f>
        <v>3788.7815</v>
      </c>
      <c r="Y48" s="7" t="n">
        <f aca="false">Y47*$D$2</f>
        <v>425796.258</v>
      </c>
      <c r="Z48" s="11"/>
      <c r="AA48" s="12"/>
      <c r="AB48" s="12"/>
      <c r="AC48" s="13"/>
      <c r="AD48" s="104"/>
      <c r="AE48" s="104"/>
    </row>
    <row r="49" customFormat="false" ht="3" hidden="false" customHeight="true" outlineLevel="0" collapsed="false">
      <c r="A49" s="30"/>
      <c r="B49" s="30"/>
      <c r="C49" s="32"/>
      <c r="D49" s="30"/>
      <c r="E49" s="32"/>
      <c r="F49" s="30"/>
      <c r="G49" s="30"/>
      <c r="H49" s="110"/>
      <c r="I49" s="30"/>
      <c r="J49" s="30"/>
      <c r="K49" s="139"/>
      <c r="L49" s="30"/>
      <c r="M49" s="30"/>
      <c r="N49" s="30"/>
      <c r="O49" s="30"/>
      <c r="P49" s="30"/>
      <c r="Q49" s="30"/>
      <c r="R49" s="30"/>
      <c r="S49" s="30"/>
      <c r="T49" s="32"/>
      <c r="U49" s="30"/>
      <c r="V49" s="30"/>
      <c r="W49" s="30"/>
      <c r="X49" s="30"/>
      <c r="Y49" s="30"/>
      <c r="Z49" s="11"/>
      <c r="AA49" s="12"/>
      <c r="AB49" s="12"/>
      <c r="AC49" s="13"/>
      <c r="AD49" s="104"/>
      <c r="AE49" s="104"/>
    </row>
    <row r="50" customFormat="false" ht="14.1" hidden="false" customHeight="true" outlineLevel="0" collapsed="false">
      <c r="A50" s="40"/>
      <c r="B50" s="29" t="s">
        <v>81</v>
      </c>
      <c r="C50" s="7"/>
      <c r="D50" s="6"/>
      <c r="E50" s="138" t="n">
        <f aca="false">E39</f>
        <v>225332</v>
      </c>
      <c r="H50" s="37" t="s">
        <v>82</v>
      </c>
      <c r="I50" s="6"/>
      <c r="J50" s="6"/>
      <c r="K50" s="140"/>
      <c r="L50" s="52" t="n">
        <f aca="false">3500+2932</f>
        <v>6432</v>
      </c>
      <c r="M50" s="6"/>
      <c r="N50" s="6"/>
      <c r="O50" s="6"/>
      <c r="P50" s="6"/>
      <c r="Q50" s="6"/>
      <c r="R50" s="6"/>
      <c r="S50" s="6"/>
      <c r="T50" s="141"/>
      <c r="U50" s="6"/>
      <c r="V50" s="6"/>
      <c r="W50" s="6"/>
      <c r="X50" s="6"/>
      <c r="Y50" s="6"/>
      <c r="Z50" s="11"/>
      <c r="AA50" s="12"/>
      <c r="AB50" s="12"/>
      <c r="AC50" s="13"/>
      <c r="AD50" s="104"/>
      <c r="AE50" s="104"/>
    </row>
    <row r="51" customFormat="false" ht="11.1" hidden="false" customHeight="true" outlineLevel="0" collapsed="false">
      <c r="A51" s="6"/>
      <c r="B51" s="29" t="s">
        <v>83</v>
      </c>
      <c r="C51" s="7"/>
      <c r="D51" s="39"/>
      <c r="E51" s="122" t="e">
        <f aca="false">L53+O53+T53+U53+#REF!</f>
        <v>#REF!</v>
      </c>
      <c r="F51" s="142"/>
      <c r="H51" s="37" t="s">
        <v>84</v>
      </c>
      <c r="I51" s="8"/>
      <c r="J51" s="6"/>
      <c r="K51" s="42"/>
      <c r="L51" s="81" t="n">
        <f aca="false">L50/210</f>
        <v>30.6285714285714</v>
      </c>
      <c r="M51" s="6"/>
      <c r="N51" s="6"/>
      <c r="O51" s="6"/>
      <c r="P51" s="143" t="s">
        <v>85</v>
      </c>
      <c r="Q51" s="144"/>
      <c r="R51" s="145"/>
      <c r="S51" s="146" t="n">
        <v>91</v>
      </c>
      <c r="T51" s="147" t="n">
        <v>14832</v>
      </c>
      <c r="U51" s="141"/>
      <c r="V51" s="6"/>
      <c r="W51" s="6"/>
      <c r="X51" s="6"/>
      <c r="Y51" s="6"/>
      <c r="Z51" s="11"/>
      <c r="AA51" s="12"/>
      <c r="AB51" s="12"/>
      <c r="AC51" s="13"/>
      <c r="AD51" s="104"/>
      <c r="AE51" s="104"/>
    </row>
    <row r="52" customFormat="false" ht="11.1" hidden="false" customHeight="true" outlineLevel="0" collapsed="false">
      <c r="B52" s="52"/>
      <c r="C52" s="45"/>
      <c r="D52" s="44"/>
      <c r="E52" s="122"/>
      <c r="F52" s="148"/>
      <c r="H52" s="37" t="s">
        <v>86</v>
      </c>
      <c r="I52" s="39"/>
      <c r="J52" s="39"/>
      <c r="K52" s="149"/>
      <c r="L52" s="150" t="n">
        <f aca="false">210-S51</f>
        <v>119</v>
      </c>
      <c r="M52" s="37"/>
      <c r="N52" s="37"/>
      <c r="O52" s="151" t="n">
        <v>6289</v>
      </c>
      <c r="P52" s="152" t="s">
        <v>87</v>
      </c>
      <c r="Q52" s="153"/>
      <c r="R52" s="154"/>
      <c r="S52" s="155" t="n">
        <f aca="false">2932/210</f>
        <v>13.9619047619048</v>
      </c>
      <c r="T52" s="156" t="n">
        <f aca="false">S51*S52</f>
        <v>1270.53333333333</v>
      </c>
      <c r="U52" s="157" t="n">
        <f aca="false">14562+1946+600+15+25</f>
        <v>17148</v>
      </c>
      <c r="V52" s="7"/>
      <c r="W52" s="39"/>
      <c r="X52" s="39"/>
      <c r="Y52" s="10"/>
      <c r="Z52" s="11"/>
      <c r="AA52" s="12"/>
      <c r="AB52" s="13"/>
      <c r="AC52" s="112"/>
      <c r="AD52" s="112"/>
    </row>
    <row r="53" customFormat="false" ht="11.1" hidden="false" customHeight="true" outlineLevel="0" collapsed="false">
      <c r="A53" s="39"/>
      <c r="B53" s="158" t="s">
        <v>88</v>
      </c>
      <c r="C53" s="159"/>
      <c r="D53" s="159"/>
      <c r="E53" s="160" t="e">
        <f aca="false">E50-E51</f>
        <v>#REF!</v>
      </c>
      <c r="H53" s="81" t="s">
        <v>74</v>
      </c>
      <c r="J53" s="39"/>
      <c r="K53" s="149"/>
      <c r="L53" s="81" t="n">
        <f aca="false">L52*L51</f>
        <v>3644.8</v>
      </c>
      <c r="M53" s="37"/>
      <c r="N53" s="37"/>
      <c r="O53" s="57" t="n">
        <f aca="false">O52-O48</f>
        <v>6289</v>
      </c>
      <c r="P53" s="161"/>
      <c r="Q53" s="162"/>
      <c r="R53" s="162"/>
      <c r="S53" s="163"/>
      <c r="T53" s="164" t="n">
        <f aca="false">(T51+T52)+T45</f>
        <v>16102.5333333333</v>
      </c>
      <c r="U53" s="52" t="n">
        <f aca="false">U52-U48</f>
        <v>16598.5705</v>
      </c>
      <c r="V53" s="7"/>
      <c r="W53" s="39"/>
      <c r="X53" s="39"/>
      <c r="Y53" s="10"/>
      <c r="Z53" s="11"/>
      <c r="AA53" s="12"/>
      <c r="AB53" s="13"/>
      <c r="AC53" s="112"/>
      <c r="AD53" s="112"/>
    </row>
    <row r="54" customFormat="false" ht="11.1" hidden="false" customHeight="true" outlineLevel="0" collapsed="false">
      <c r="A54" s="39"/>
      <c r="B54" s="55"/>
      <c r="C54" s="52"/>
      <c r="D54" s="52"/>
      <c r="E54" s="122"/>
      <c r="F54" s="165"/>
      <c r="G54" s="82"/>
      <c r="H54" s="37"/>
      <c r="I54" s="39"/>
      <c r="J54" s="39"/>
      <c r="K54" s="42"/>
      <c r="L54" s="39"/>
      <c r="M54" s="37"/>
      <c r="N54" s="37"/>
      <c r="O54" s="37"/>
      <c r="P54" s="39"/>
      <c r="Q54" s="39"/>
      <c r="R54" s="39"/>
      <c r="S54" s="7"/>
      <c r="T54" s="7"/>
      <c r="U54" s="39"/>
      <c r="V54" s="7"/>
      <c r="W54" s="39"/>
      <c r="X54" s="39"/>
      <c r="Y54" s="10"/>
      <c r="Z54" s="11"/>
      <c r="AA54" s="12"/>
      <c r="AB54" s="13"/>
      <c r="AC54" s="112"/>
      <c r="AD54" s="112"/>
    </row>
    <row r="55" customFormat="false" ht="11.1" hidden="false" customHeight="true" outlineLevel="0" collapsed="false">
      <c r="R55" s="39"/>
      <c r="S55" s="7"/>
    </row>
    <row r="56" customFormat="false" ht="11.1" hidden="false" customHeight="true" outlineLevel="0" collapsed="false">
      <c r="B56" s="41"/>
    </row>
  </sheetData>
  <mergeCells count="2">
    <mergeCell ref="K2:V2"/>
    <mergeCell ref="M4:P4"/>
  </mergeCells>
  <printOptions headings="true" gridLines="true" gridLinesSet="true" horizontalCentered="true" verticalCentered="false"/>
  <pageMargins left="0" right="0" top="0" bottom="0" header="0.511811023622047" footer="0.511811023622047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W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9" topLeftCell="R21" activePane="bottomRight" state="frozen"/>
      <selection pane="topLeft" activeCell="A1" activeCellId="0" sqref="A1"/>
      <selection pane="topRight" activeCell="R1" activeCellId="0" sqref="R1"/>
      <selection pane="bottomLeft" activeCell="A21" activeCellId="0" sqref="A21"/>
      <selection pane="bottomRight" activeCell="AB40" activeCellId="0" sqref="AB40"/>
    </sheetView>
  </sheetViews>
  <sheetFormatPr defaultColWidth="9.328125" defaultRowHeight="11.1" zeroHeight="false" outlineLevelRow="0" outlineLevelCol="0"/>
  <cols>
    <col collapsed="false" customWidth="true" hidden="false" outlineLevel="0" max="1" min="1" style="44" width="5.66"/>
    <col collapsed="false" customWidth="true" hidden="false" outlineLevel="0" max="2" min="2" style="44" width="7.82"/>
    <col collapsed="false" customWidth="true" hidden="false" outlineLevel="0" max="3" min="3" style="45" width="7.66"/>
    <col collapsed="false" customWidth="true" hidden="false" outlineLevel="0" max="4" min="4" style="44" width="6.99"/>
    <col collapsed="false" customWidth="true" hidden="false" outlineLevel="0" max="5" min="5" style="45" width="7.66"/>
    <col collapsed="false" customWidth="true" hidden="false" outlineLevel="0" max="6" min="6" style="44" width="7.66"/>
    <col collapsed="false" customWidth="true" hidden="false" outlineLevel="0" max="7" min="7" style="44" width="7.16"/>
    <col collapsed="false" customWidth="true" hidden="false" outlineLevel="0" max="8" min="8" style="86" width="6.82"/>
    <col collapsed="false" customWidth="true" hidden="false" outlineLevel="0" max="9" min="9" style="44" width="7.99"/>
    <col collapsed="false" customWidth="true" hidden="false" outlineLevel="0" max="10" min="10" style="44" width="6.66"/>
    <col collapsed="false" customWidth="true" hidden="false" outlineLevel="0" max="12" min="11" style="44" width="7.16"/>
    <col collapsed="false" customWidth="true" hidden="false" outlineLevel="0" max="13" min="13" style="47" width="6.16"/>
    <col collapsed="false" customWidth="true" hidden="true" outlineLevel="0" max="14" min="14" style="47" width="7.32"/>
    <col collapsed="false" customWidth="true" hidden="true" outlineLevel="0" max="15" min="15" style="47" width="6.49"/>
    <col collapsed="false" customWidth="true" hidden="true" outlineLevel="0" max="16" min="16" style="44" width="7.16"/>
    <col collapsed="false" customWidth="true" hidden="false" outlineLevel="0" max="17" min="17" style="44" width="6.32"/>
    <col collapsed="false" customWidth="true" hidden="false" outlineLevel="0" max="18" min="18" style="44" width="5.82"/>
    <col collapsed="false" customWidth="true" hidden="false" outlineLevel="0" max="19" min="19" style="45" width="6.82"/>
    <col collapsed="false" customWidth="true" hidden="false" outlineLevel="0" max="20" min="20" style="44" width="6.32"/>
    <col collapsed="false" customWidth="true" hidden="false" outlineLevel="0" max="21" min="21" style="44" width="5.99"/>
    <col collapsed="false" customWidth="true" hidden="false" outlineLevel="0" max="22" min="22" style="45" width="6.66"/>
    <col collapsed="false" customWidth="true" hidden="false" outlineLevel="0" max="24" min="23" style="44" width="7.82"/>
    <col collapsed="false" customWidth="true" hidden="false" outlineLevel="0" max="25" min="25" style="48" width="8.16"/>
    <col collapsed="false" customWidth="true" hidden="false" outlineLevel="0" max="27" min="26" style="49" width="4.66"/>
    <col collapsed="false" customWidth="true" hidden="false" outlineLevel="0" max="28" min="28" style="50" width="4.66"/>
    <col collapsed="false" customWidth="true" hidden="false" outlineLevel="0" max="29" min="29" style="44" width="5.66"/>
    <col collapsed="false" customWidth="false" hidden="false" outlineLevel="0" max="257" min="30" style="44" width="9.32"/>
  </cols>
  <sheetData>
    <row r="1" customFormat="false" ht="14.1" hidden="false" customHeight="true" outlineLevel="0" collapsed="false">
      <c r="A1" s="51"/>
      <c r="B1" s="51"/>
      <c r="C1" s="52"/>
      <c r="D1" s="51"/>
      <c r="E1" s="52"/>
      <c r="F1" s="51"/>
      <c r="G1" s="51"/>
      <c r="H1" s="87"/>
      <c r="I1" s="51"/>
      <c r="J1" s="51"/>
      <c r="K1" s="54" t="s">
        <v>0</v>
      </c>
      <c r="L1" s="51"/>
      <c r="M1" s="51"/>
      <c r="N1" s="51"/>
      <c r="O1" s="51"/>
      <c r="P1" s="51"/>
      <c r="Q1" s="51"/>
      <c r="R1" s="51"/>
      <c r="S1" s="52"/>
      <c r="T1" s="51"/>
      <c r="U1" s="51"/>
      <c r="V1" s="52"/>
      <c r="W1" s="51"/>
      <c r="X1" s="51"/>
      <c r="Y1" s="55"/>
      <c r="Z1" s="57"/>
      <c r="AA1" s="57"/>
      <c r="AB1" s="58"/>
      <c r="AC1" s="88"/>
      <c r="AD1" s="88"/>
    </row>
    <row r="2" customFormat="false" ht="14.1" hidden="false" customHeight="true" outlineLevel="0" collapsed="false">
      <c r="A2" s="51" t="s">
        <v>1</v>
      </c>
      <c r="B2" s="51"/>
      <c r="C2" s="52"/>
      <c r="D2" s="59" t="n">
        <v>1.9835</v>
      </c>
      <c r="E2" s="52"/>
      <c r="F2" s="51"/>
      <c r="G2" s="51"/>
      <c r="H2" s="87"/>
      <c r="I2" s="51"/>
      <c r="J2" s="51"/>
      <c r="K2" s="60" t="s">
        <v>89</v>
      </c>
      <c r="L2" s="60"/>
      <c r="M2" s="60"/>
      <c r="N2" s="60"/>
      <c r="O2" s="60"/>
      <c r="P2" s="60"/>
      <c r="Q2" s="60"/>
      <c r="R2" s="60"/>
      <c r="S2" s="60"/>
      <c r="T2" s="60"/>
      <c r="U2" s="51"/>
      <c r="V2" s="52"/>
      <c r="W2" s="51"/>
      <c r="X2" s="51"/>
      <c r="Y2" s="55"/>
      <c r="Z2" s="57"/>
      <c r="AA2" s="57"/>
      <c r="AB2" s="58"/>
      <c r="AC2" s="88"/>
      <c r="AD2" s="88"/>
    </row>
    <row r="3" customFormat="false" ht="11.1" hidden="false" customHeight="true" outlineLevel="0" collapsed="false">
      <c r="A3" s="51"/>
      <c r="B3" s="51"/>
      <c r="C3" s="52"/>
      <c r="D3" s="61"/>
      <c r="E3" s="52"/>
      <c r="F3" s="51"/>
      <c r="G3" s="51"/>
      <c r="H3" s="87"/>
      <c r="I3" s="51"/>
      <c r="J3" s="51"/>
      <c r="K3" s="51"/>
      <c r="L3" s="51"/>
      <c r="M3" s="51"/>
      <c r="N3" s="51"/>
      <c r="O3" s="51"/>
      <c r="P3" s="51"/>
      <c r="Q3" s="51"/>
      <c r="R3" s="51"/>
      <c r="S3" s="52"/>
      <c r="T3" s="51"/>
      <c r="U3" s="51"/>
      <c r="V3" s="52"/>
      <c r="W3" s="51"/>
      <c r="X3" s="51"/>
      <c r="Y3" s="55"/>
      <c r="Z3" s="57"/>
      <c r="AA3" s="57"/>
      <c r="AB3" s="58"/>
      <c r="AC3" s="88"/>
      <c r="AD3" s="88"/>
    </row>
    <row r="4" customFormat="false" ht="11.1" hidden="false" customHeight="true" outlineLevel="0" collapsed="false">
      <c r="A4" s="62" t="s">
        <v>3</v>
      </c>
      <c r="B4" s="62" t="s">
        <v>4</v>
      </c>
      <c r="C4" s="63" t="s">
        <v>4</v>
      </c>
      <c r="D4" s="62" t="s">
        <v>5</v>
      </c>
      <c r="E4" s="63" t="s">
        <v>6</v>
      </c>
      <c r="F4" s="62" t="s">
        <v>7</v>
      </c>
      <c r="G4" s="62" t="s">
        <v>8</v>
      </c>
      <c r="H4" s="89" t="s">
        <v>9</v>
      </c>
      <c r="I4" s="62" t="s">
        <v>10</v>
      </c>
      <c r="J4" s="62" t="s">
        <v>11</v>
      </c>
      <c r="K4" s="62" t="s">
        <v>12</v>
      </c>
      <c r="L4" s="62" t="s">
        <v>11</v>
      </c>
      <c r="M4" s="62" t="s">
        <v>13</v>
      </c>
      <c r="N4" s="62"/>
      <c r="O4" s="62"/>
      <c r="P4" s="62"/>
      <c r="Q4" s="62" t="s">
        <v>14</v>
      </c>
      <c r="R4" s="62" t="s">
        <v>15</v>
      </c>
      <c r="S4" s="62" t="s">
        <v>12</v>
      </c>
      <c r="T4" s="63" t="s">
        <v>16</v>
      </c>
      <c r="U4" s="62" t="s">
        <v>17</v>
      </c>
      <c r="V4" s="62" t="s">
        <v>18</v>
      </c>
      <c r="W4" s="62" t="s">
        <v>10</v>
      </c>
      <c r="X4" s="62" t="s">
        <v>11</v>
      </c>
      <c r="Y4" s="62" t="s">
        <v>12</v>
      </c>
      <c r="Z4" s="166" t="s">
        <v>19</v>
      </c>
      <c r="AA4" s="66" t="s">
        <v>20</v>
      </c>
      <c r="AB4" s="66" t="s">
        <v>21</v>
      </c>
      <c r="AC4" s="66" t="s">
        <v>3</v>
      </c>
      <c r="AD4" s="88"/>
      <c r="AE4" s="88"/>
    </row>
    <row r="5" customFormat="false" ht="11.1" hidden="false" customHeight="true" outlineLevel="0" collapsed="false">
      <c r="A5" s="67" t="s">
        <v>90</v>
      </c>
      <c r="B5" s="62" t="s">
        <v>23</v>
      </c>
      <c r="C5" s="63" t="s">
        <v>5</v>
      </c>
      <c r="D5" s="62" t="s">
        <v>24</v>
      </c>
      <c r="E5" s="63" t="s">
        <v>25</v>
      </c>
      <c r="F5" s="62" t="s">
        <v>26</v>
      </c>
      <c r="G5" s="62" t="s">
        <v>27</v>
      </c>
      <c r="H5" s="89" t="s">
        <v>28</v>
      </c>
      <c r="I5" s="62" t="s">
        <v>29</v>
      </c>
      <c r="J5" s="62" t="s">
        <v>29</v>
      </c>
      <c r="K5" s="62" t="s">
        <v>29</v>
      </c>
      <c r="L5" s="62" t="s">
        <v>30</v>
      </c>
      <c r="M5" s="62" t="s">
        <v>31</v>
      </c>
      <c r="N5" s="62" t="s">
        <v>32</v>
      </c>
      <c r="O5" s="62" t="s">
        <v>33</v>
      </c>
      <c r="P5" s="62" t="s">
        <v>34</v>
      </c>
      <c r="Q5" s="62" t="s">
        <v>35</v>
      </c>
      <c r="R5" s="62" t="s">
        <v>36</v>
      </c>
      <c r="S5" s="62" t="s">
        <v>16</v>
      </c>
      <c r="T5" s="63" t="s">
        <v>37</v>
      </c>
      <c r="U5" s="62" t="s">
        <v>38</v>
      </c>
      <c r="V5" s="62" t="s">
        <v>39</v>
      </c>
      <c r="W5" s="62" t="s">
        <v>40</v>
      </c>
      <c r="X5" s="62" t="s">
        <v>40</v>
      </c>
      <c r="Y5" s="62" t="s">
        <v>40</v>
      </c>
      <c r="Z5" s="167"/>
      <c r="AA5" s="66" t="s">
        <v>41</v>
      </c>
      <c r="AB5" s="66" t="s">
        <v>41</v>
      </c>
      <c r="AC5" s="69" t="s">
        <v>90</v>
      </c>
      <c r="AD5" s="88"/>
      <c r="AE5" s="88"/>
    </row>
    <row r="6" customFormat="false" ht="11.1" hidden="false" customHeight="true" outlineLevel="0" collapsed="false">
      <c r="A6" s="70"/>
      <c r="B6" s="70"/>
      <c r="C6" s="71"/>
      <c r="D6" s="70"/>
      <c r="E6" s="71"/>
      <c r="F6" s="70"/>
      <c r="G6" s="70"/>
      <c r="H6" s="90"/>
      <c r="I6" s="70"/>
      <c r="J6" s="70"/>
      <c r="K6" s="70"/>
      <c r="L6" s="70"/>
      <c r="M6" s="70"/>
      <c r="N6" s="70"/>
      <c r="O6" s="70"/>
      <c r="P6" s="70"/>
      <c r="Q6" s="70"/>
      <c r="R6" s="168"/>
      <c r="S6" s="70"/>
      <c r="T6" s="169"/>
      <c r="U6" s="70"/>
      <c r="V6" s="70"/>
      <c r="W6" s="70"/>
      <c r="X6" s="70"/>
      <c r="Y6" s="70"/>
      <c r="Z6" s="55"/>
      <c r="AA6" s="58"/>
      <c r="AB6" s="58"/>
      <c r="AC6" s="58"/>
      <c r="AD6" s="91"/>
      <c r="AE6" s="91"/>
      <c r="AF6" s="92"/>
    </row>
    <row r="7" customFormat="false" ht="11.1" hidden="false" customHeight="true" outlineLevel="0" collapsed="false">
      <c r="A7" s="51" t="s">
        <v>42</v>
      </c>
      <c r="B7" s="51"/>
      <c r="C7" s="52"/>
      <c r="D7" s="52"/>
      <c r="E7" s="52"/>
      <c r="F7" s="52" t="n">
        <f aca="false">JUN!F44</f>
        <v>43479.7075875977</v>
      </c>
      <c r="G7" s="52" t="n">
        <f aca="false">JUN!G44</f>
        <v>162601</v>
      </c>
      <c r="H7" s="87" t="n">
        <f aca="false">JUN!H44</f>
        <v>12679</v>
      </c>
      <c r="I7" s="52" t="n">
        <f aca="false">JUN!I44</f>
        <v>175280</v>
      </c>
      <c r="J7" s="52" t="n">
        <f aca="false">JUN!J44</f>
        <v>43166.7431308293</v>
      </c>
      <c r="K7" s="52" t="n">
        <f aca="false">JUN!K44</f>
        <v>218446.743130829</v>
      </c>
      <c r="L7" s="52" t="n">
        <f aca="false">JUN!L44</f>
        <v>42362.7075875977</v>
      </c>
      <c r="M7" s="52" t="n">
        <f aca="false">JUN!M44</f>
        <v>12955</v>
      </c>
      <c r="N7" s="52" t="n">
        <f aca="false">JUN!N44</f>
        <v>0</v>
      </c>
      <c r="O7" s="52" t="n">
        <f aca="false">JUN!O44</f>
        <v>0</v>
      </c>
      <c r="P7" s="52" t="n">
        <f aca="false">JUN!P44</f>
        <v>12955</v>
      </c>
      <c r="Q7" s="52" t="n">
        <f aca="false">JUN!Q44</f>
        <v>10264</v>
      </c>
      <c r="R7" s="52" t="n">
        <f aca="false">JUN!R44</f>
        <v>5454</v>
      </c>
      <c r="S7" s="52" t="n">
        <f aca="false">JUN!S44</f>
        <v>28673</v>
      </c>
      <c r="T7" s="52" t="n">
        <f aca="false">JUN!T44</f>
        <v>0</v>
      </c>
      <c r="U7" s="52" t="n">
        <f aca="false">JUN!U44</f>
        <v>276</v>
      </c>
      <c r="V7" s="52" t="n">
        <f aca="false">JUN!V44</f>
        <v>145214</v>
      </c>
      <c r="W7" s="52" t="n">
        <f aca="false">JUN!W44</f>
        <v>174163</v>
      </c>
      <c r="X7" s="52" t="n">
        <f aca="false">JUN!X44</f>
        <v>804.035543231661</v>
      </c>
      <c r="Y7" s="52" t="n">
        <f aca="false">JUN!Y44</f>
        <v>174967.035543232</v>
      </c>
      <c r="Z7" s="55"/>
      <c r="AA7" s="57"/>
      <c r="AB7" s="57"/>
      <c r="AC7" s="58"/>
      <c r="AD7" s="91"/>
      <c r="AE7" s="92"/>
      <c r="AF7" s="92"/>
    </row>
    <row r="8" s="45" customFormat="true" ht="11.1" hidden="false" customHeight="true" outlineLevel="0" collapsed="false">
      <c r="A8" s="52" t="s">
        <v>43</v>
      </c>
      <c r="B8" s="73" t="n">
        <f aca="false">JUN!B39</f>
        <v>6923.14</v>
      </c>
      <c r="C8" s="52" t="n">
        <f aca="false">JUN!C39</f>
        <v>377332</v>
      </c>
      <c r="D8" s="52" t="n">
        <f aca="false">JUN!D48</f>
        <v>87139</v>
      </c>
      <c r="E8" s="52" t="n">
        <f aca="false">JUN!E48</f>
        <v>225332</v>
      </c>
      <c r="F8" s="52" t="n">
        <f aca="false">JUN!F47</f>
        <v>43931.9384925637</v>
      </c>
      <c r="G8" s="52" t="n">
        <f aca="false">JUN!G47</f>
        <v>193051</v>
      </c>
      <c r="H8" s="87" t="n">
        <f aca="false">JUN!H47</f>
        <v>16090</v>
      </c>
      <c r="I8" s="52" t="n">
        <f aca="false">JUN!I47</f>
        <v>208599.9</v>
      </c>
      <c r="J8" s="52" t="n">
        <f aca="false">JUN!J47</f>
        <v>50001.1879758003</v>
      </c>
      <c r="K8" s="52" t="n">
        <f aca="false">JUN!K47</f>
        <v>258601.0879758</v>
      </c>
      <c r="L8" s="52" t="n">
        <f aca="false">JUN!L47</f>
        <v>48091.0384925636</v>
      </c>
      <c r="M8" s="52" t="n">
        <f aca="false">JUN!M47</f>
        <v>14521</v>
      </c>
      <c r="N8" s="52" t="n">
        <f aca="false">JUN!N47</f>
        <v>0.08</v>
      </c>
      <c r="O8" s="52" t="n">
        <f aca="false">JUN!O47</f>
        <v>0</v>
      </c>
      <c r="P8" s="52" t="n">
        <f aca="false">JUN!P47</f>
        <v>14520.92</v>
      </c>
      <c r="Q8" s="52" t="n">
        <f aca="false">JUN!Q47</f>
        <v>12542</v>
      </c>
      <c r="R8" s="52" t="n">
        <f aca="false">JUN!R47</f>
        <v>5903</v>
      </c>
      <c r="S8" s="52" t="n">
        <f aca="false">JUN!S47</f>
        <v>32965.92</v>
      </c>
      <c r="T8" s="52" t="n">
        <f aca="false">JUN!T47</f>
        <v>0</v>
      </c>
      <c r="U8" s="52" t="n">
        <f aca="false">JUN!U47</f>
        <v>277</v>
      </c>
      <c r="V8" s="52" t="n">
        <f aca="false">JUN!V47</f>
        <v>179516</v>
      </c>
      <c r="W8" s="52" t="n">
        <f aca="false">JUN!W47</f>
        <v>212759</v>
      </c>
      <c r="X8" s="52" t="n">
        <f aca="false">JUN!X47</f>
        <v>1910.1494832367</v>
      </c>
      <c r="Y8" s="52" t="n">
        <f aca="false">JUN!Y47</f>
        <v>214669.149483237</v>
      </c>
      <c r="Z8" s="55" t="n">
        <f aca="false">JUN!Z47</f>
        <v>9.77</v>
      </c>
      <c r="AA8" s="57"/>
      <c r="AB8" s="57"/>
      <c r="AC8" s="58"/>
      <c r="AD8" s="93"/>
      <c r="AE8" s="91"/>
      <c r="AF8" s="93"/>
    </row>
    <row r="9" customFormat="false" ht="3" hidden="false" customHeight="true" outlineLevel="0" collapsed="false">
      <c r="A9" s="74"/>
      <c r="B9" s="75"/>
      <c r="C9" s="76"/>
      <c r="D9" s="74"/>
      <c r="E9" s="76"/>
      <c r="F9" s="74"/>
      <c r="G9" s="74"/>
      <c r="H9" s="94"/>
      <c r="I9" s="74"/>
      <c r="J9" s="74"/>
      <c r="K9" s="74"/>
      <c r="L9" s="74"/>
      <c r="M9" s="74"/>
      <c r="N9" s="74"/>
      <c r="O9" s="74"/>
      <c r="P9" s="74"/>
      <c r="Q9" s="74"/>
      <c r="R9" s="74"/>
      <c r="S9" s="74"/>
      <c r="T9" s="76"/>
      <c r="U9" s="74"/>
      <c r="V9" s="74"/>
      <c r="W9" s="74"/>
      <c r="X9" s="74"/>
      <c r="Y9" s="74"/>
      <c r="Z9" s="170"/>
      <c r="AA9" s="79"/>
      <c r="AB9" s="79"/>
      <c r="AC9" s="80"/>
      <c r="AD9" s="91"/>
      <c r="AE9" s="91"/>
      <c r="AF9" s="92"/>
    </row>
    <row r="10" customFormat="false" ht="11.1" hidden="false" customHeight="true" outlineLevel="0" collapsed="false">
      <c r="A10" s="58" t="n">
        <v>1</v>
      </c>
      <c r="B10" s="73" t="n">
        <v>6923.26</v>
      </c>
      <c r="C10" s="52" t="n">
        <v>377866</v>
      </c>
      <c r="D10" s="57" t="n">
        <f aca="false">C10-C8</f>
        <v>534</v>
      </c>
      <c r="E10" s="52" t="n">
        <f aca="false">C10-152000</f>
        <v>225866</v>
      </c>
      <c r="F10" s="51" t="n">
        <f aca="false">D10/$D$2</f>
        <v>269.221073859339</v>
      </c>
      <c r="G10" s="51" t="n">
        <v>928</v>
      </c>
      <c r="H10" s="87" t="n">
        <v>0</v>
      </c>
      <c r="I10" s="51" t="n">
        <f aca="false">G10+H10</f>
        <v>928</v>
      </c>
      <c r="J10" s="81" t="n">
        <f aca="false">IF(L10&gt;0,L10,0)</f>
        <v>65.2210738593395</v>
      </c>
      <c r="K10" s="51" t="n">
        <f aca="false">I10+J10</f>
        <v>993.22107385934</v>
      </c>
      <c r="L10" s="51" t="n">
        <f aca="false">F10-(I10-W10)</f>
        <v>65.2210738593395</v>
      </c>
      <c r="M10" s="51" t="n">
        <v>218</v>
      </c>
      <c r="N10" s="51" t="n">
        <v>0</v>
      </c>
      <c r="O10" s="51" t="n">
        <v>0</v>
      </c>
      <c r="P10" s="6" t="n">
        <f aca="false">M10-(N10+O10)</f>
        <v>218</v>
      </c>
      <c r="Q10" s="51" t="n">
        <v>151</v>
      </c>
      <c r="R10" s="51" t="n">
        <v>86</v>
      </c>
      <c r="S10" s="51" t="n">
        <f aca="false">SUM(P10:R10)</f>
        <v>455</v>
      </c>
      <c r="T10" s="52" t="n">
        <f aca="false">(I10-S10)+T7</f>
        <v>473</v>
      </c>
      <c r="U10" s="51" t="n">
        <v>0</v>
      </c>
      <c r="V10" s="51" t="n">
        <v>269</v>
      </c>
      <c r="W10" s="6" t="n">
        <f aca="false">N10+O10+S10+U10+V10</f>
        <v>724</v>
      </c>
      <c r="X10" s="51" t="n">
        <f aca="false">IF(L10&lt;0,L10*-1,0)</f>
        <v>0</v>
      </c>
      <c r="Y10" s="51" t="n">
        <f aca="false">W10+X10</f>
        <v>724</v>
      </c>
      <c r="Z10" s="55" t="n">
        <v>0</v>
      </c>
      <c r="AA10" s="171" t="n">
        <v>85</v>
      </c>
      <c r="AB10" s="171" t="n">
        <v>53</v>
      </c>
      <c r="AC10" s="58" t="n">
        <v>1</v>
      </c>
      <c r="AD10" s="12" t="n">
        <f aca="false">IF(I10&gt;S10,I10-S10,I10-S10)</f>
        <v>473</v>
      </c>
      <c r="AE10" s="12"/>
      <c r="AF10" s="136"/>
      <c r="AG10" s="6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  <c r="BH10" s="0"/>
      <c r="BI10" s="0"/>
      <c r="BJ10" s="0"/>
      <c r="BK10" s="0"/>
      <c r="BL10" s="0"/>
      <c r="BM10" s="0"/>
      <c r="BN10" s="0"/>
      <c r="BO10" s="0"/>
      <c r="BP10" s="0"/>
      <c r="BQ10" s="0"/>
      <c r="BR10" s="0"/>
      <c r="BS10" s="0"/>
      <c r="BT10" s="0"/>
      <c r="BU10" s="0"/>
      <c r="BV10" s="0"/>
      <c r="BW10" s="0"/>
      <c r="BX10" s="0"/>
      <c r="BY10" s="0"/>
      <c r="BZ10" s="0"/>
      <c r="CA10" s="0"/>
      <c r="CB10" s="0"/>
      <c r="CC10" s="0"/>
      <c r="CD10" s="0"/>
      <c r="CE10" s="0"/>
      <c r="CF10" s="0"/>
      <c r="CG10" s="0"/>
      <c r="CH10" s="0"/>
      <c r="CI10" s="0"/>
      <c r="CJ10" s="0"/>
      <c r="CK10" s="0"/>
      <c r="CL10" s="0"/>
      <c r="CM10" s="0"/>
      <c r="CN10" s="0"/>
      <c r="CO10" s="0"/>
      <c r="CP10" s="0"/>
      <c r="CQ10" s="0"/>
      <c r="CR10" s="0"/>
      <c r="CS10" s="0"/>
      <c r="CT10" s="0"/>
      <c r="CU10" s="0"/>
      <c r="CV10" s="0"/>
      <c r="CW10" s="0"/>
      <c r="CX10" s="0"/>
      <c r="CY10" s="0"/>
      <c r="CZ10" s="0"/>
      <c r="DA10" s="0"/>
      <c r="DB10" s="0"/>
      <c r="DC10" s="0"/>
      <c r="DD10" s="0"/>
      <c r="DE10" s="0"/>
      <c r="DF10" s="0"/>
      <c r="DG10" s="0"/>
      <c r="DH10" s="0"/>
      <c r="DI10" s="0"/>
      <c r="DJ10" s="0"/>
      <c r="DK10" s="0"/>
      <c r="DL10" s="0"/>
      <c r="DM10" s="0"/>
      <c r="DN10" s="0"/>
      <c r="DO10" s="0"/>
      <c r="DP10" s="0"/>
      <c r="DQ10" s="0"/>
      <c r="DR10" s="0"/>
      <c r="DS10" s="0"/>
      <c r="DT10" s="0"/>
      <c r="DU10" s="0"/>
      <c r="DV10" s="0"/>
      <c r="DW10" s="0"/>
      <c r="DX10" s="0"/>
      <c r="DY10" s="0"/>
      <c r="DZ10" s="0"/>
      <c r="EA10" s="0"/>
      <c r="EB10" s="0"/>
      <c r="EC10" s="0"/>
      <c r="ED10" s="0"/>
      <c r="EE10" s="0"/>
      <c r="EF10" s="0"/>
      <c r="EG10" s="0"/>
      <c r="EH10" s="0"/>
      <c r="EI10" s="0"/>
      <c r="EJ10" s="0"/>
      <c r="EK10" s="0"/>
      <c r="EL10" s="0"/>
      <c r="EM10" s="0"/>
      <c r="EN10" s="0"/>
      <c r="EO10" s="0"/>
      <c r="EP10" s="0"/>
      <c r="EQ10" s="0"/>
      <c r="ER10" s="0"/>
      <c r="ES10" s="0"/>
      <c r="ET10" s="0"/>
      <c r="EU10" s="0"/>
      <c r="EV10" s="0"/>
      <c r="EW10" s="0"/>
      <c r="EX10" s="0"/>
      <c r="EY10" s="0"/>
      <c r="EZ10" s="0"/>
      <c r="FA10" s="0"/>
      <c r="FB10" s="0"/>
      <c r="FC10" s="0"/>
      <c r="FD10" s="0"/>
      <c r="FE10" s="0"/>
      <c r="FF10" s="0"/>
      <c r="FG10" s="0"/>
      <c r="FH10" s="0"/>
      <c r="FI10" s="0"/>
      <c r="FJ10" s="0"/>
      <c r="FK10" s="0"/>
      <c r="FL10" s="0"/>
      <c r="FM10" s="0"/>
      <c r="FN10" s="0"/>
      <c r="FO10" s="0"/>
      <c r="FP10" s="0"/>
      <c r="FQ10" s="0"/>
      <c r="FR10" s="0"/>
      <c r="FS10" s="0"/>
      <c r="FT10" s="0"/>
      <c r="FU10" s="0"/>
      <c r="FV10" s="0"/>
      <c r="FW10" s="0"/>
      <c r="FX10" s="0"/>
      <c r="FY10" s="0"/>
      <c r="FZ10" s="0"/>
      <c r="GA10" s="0"/>
      <c r="GB10" s="0"/>
      <c r="GC10" s="0"/>
      <c r="GD10" s="0"/>
      <c r="GE10" s="0"/>
      <c r="GF10" s="0"/>
      <c r="GG10" s="0"/>
      <c r="GH10" s="0"/>
      <c r="GI10" s="0"/>
      <c r="GJ10" s="0"/>
      <c r="GK10" s="0"/>
      <c r="GL10" s="0"/>
      <c r="GM10" s="0"/>
      <c r="GN10" s="0"/>
      <c r="GO10" s="0"/>
      <c r="GP10" s="0"/>
      <c r="GQ10" s="0"/>
      <c r="GR10" s="0"/>
      <c r="GS10" s="0"/>
      <c r="GT10" s="0"/>
      <c r="GU10" s="0"/>
      <c r="GV10" s="0"/>
      <c r="GW10" s="0"/>
      <c r="GX10" s="0"/>
      <c r="GY10" s="0"/>
      <c r="GZ10" s="0"/>
      <c r="HA10" s="0"/>
      <c r="HB10" s="0"/>
      <c r="HC10" s="0"/>
      <c r="HD10" s="0"/>
      <c r="HE10" s="0"/>
      <c r="HF10" s="0"/>
      <c r="HG10" s="0"/>
      <c r="HH10" s="0"/>
      <c r="HI10" s="0"/>
      <c r="HJ10" s="0"/>
      <c r="HK10" s="0"/>
      <c r="HL10" s="0"/>
      <c r="HM10" s="0"/>
      <c r="HN10" s="0"/>
      <c r="HO10" s="0"/>
      <c r="HP10" s="0"/>
      <c r="HQ10" s="0"/>
      <c r="HR10" s="0"/>
      <c r="HS10" s="0"/>
      <c r="HT10" s="0"/>
      <c r="HU10" s="0"/>
      <c r="HV10" s="0"/>
      <c r="HW10" s="0"/>
      <c r="HX10" s="0"/>
      <c r="HY10" s="0"/>
      <c r="HZ10" s="0"/>
      <c r="IA10" s="0"/>
      <c r="IB10" s="0"/>
      <c r="IC10" s="0"/>
      <c r="ID10" s="0"/>
      <c r="IE10" s="0"/>
      <c r="IF10" s="0"/>
      <c r="IG10" s="0"/>
      <c r="IH10" s="0"/>
      <c r="II10" s="0"/>
      <c r="IJ10" s="0"/>
      <c r="IK10" s="0"/>
      <c r="IL10" s="0"/>
      <c r="IM10" s="0"/>
      <c r="IN10" s="0"/>
      <c r="IO10" s="0"/>
      <c r="IP10" s="0"/>
      <c r="IQ10" s="0"/>
      <c r="IR10" s="0"/>
      <c r="IS10" s="0"/>
      <c r="IT10" s="0"/>
      <c r="IU10" s="0"/>
      <c r="IV10" s="0"/>
      <c r="IW10" s="0"/>
    </row>
    <row r="11" customFormat="false" ht="11.1" hidden="false" customHeight="true" outlineLevel="0" collapsed="false">
      <c r="A11" s="58" t="n">
        <f aca="false">A10+1</f>
        <v>2</v>
      </c>
      <c r="B11" s="73" t="n">
        <v>6923.33</v>
      </c>
      <c r="C11" s="52" t="n">
        <v>378178</v>
      </c>
      <c r="D11" s="57" t="n">
        <f aca="false">C11-C10</f>
        <v>312</v>
      </c>
      <c r="E11" s="52" t="n">
        <f aca="false">C11-152000</f>
        <v>226178</v>
      </c>
      <c r="F11" s="51" t="n">
        <f aca="false">D11/$D$2</f>
        <v>157.29770607512</v>
      </c>
      <c r="G11" s="51" t="n">
        <v>832</v>
      </c>
      <c r="H11" s="87" t="n">
        <v>0</v>
      </c>
      <c r="I11" s="51" t="n">
        <f aca="false">G11+H11</f>
        <v>832</v>
      </c>
      <c r="J11" s="81" t="n">
        <f aca="false">IF(L11&gt;0,L11,0)</f>
        <v>0</v>
      </c>
      <c r="K11" s="51" t="n">
        <f aca="false">I11+J11</f>
        <v>832</v>
      </c>
      <c r="L11" s="51" t="n">
        <f aca="false">F11-(I11-W11)</f>
        <v>-22.7022939248803</v>
      </c>
      <c r="M11" s="51" t="n">
        <v>218</v>
      </c>
      <c r="N11" s="51" t="n">
        <v>0</v>
      </c>
      <c r="O11" s="51" t="n">
        <v>0</v>
      </c>
      <c r="P11" s="6" t="n">
        <f aca="false">M11-(N11+O11)</f>
        <v>218</v>
      </c>
      <c r="Q11" s="51" t="n">
        <v>161</v>
      </c>
      <c r="R11" s="51" t="n">
        <v>88</v>
      </c>
      <c r="S11" s="51" t="n">
        <f aca="false">SUM(P11:R11)</f>
        <v>467</v>
      </c>
      <c r="T11" s="52" t="n">
        <f aca="false">(I11-S11)+T10</f>
        <v>838</v>
      </c>
      <c r="U11" s="51" t="n">
        <v>0</v>
      </c>
      <c r="V11" s="51" t="n">
        <v>185</v>
      </c>
      <c r="W11" s="6" t="n">
        <f aca="false">N11+O11+S11+U11+V11</f>
        <v>652</v>
      </c>
      <c r="X11" s="51" t="n">
        <f aca="false">IF(L11&lt;0,L11*-1,0)</f>
        <v>22.7022939248803</v>
      </c>
      <c r="Y11" s="51" t="n">
        <f aca="false">W11+X11</f>
        <v>674.70229392488</v>
      </c>
      <c r="Z11" s="55" t="n">
        <v>0</v>
      </c>
      <c r="AA11" s="57" t="n">
        <v>85</v>
      </c>
      <c r="AB11" s="57" t="n">
        <v>57</v>
      </c>
      <c r="AC11" s="58" t="n">
        <f aca="false">AC10+1</f>
        <v>2</v>
      </c>
      <c r="AD11" s="12" t="n">
        <f aca="false">IF(I11&gt;S11,I11-S11,I11-S11)</f>
        <v>365</v>
      </c>
      <c r="AE11" s="12"/>
      <c r="AF11" s="0"/>
      <c r="AG11" s="6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  <c r="BH11" s="0"/>
      <c r="BI11" s="0"/>
      <c r="BJ11" s="0"/>
      <c r="BK11" s="0"/>
      <c r="BL11" s="0"/>
      <c r="BM11" s="0"/>
      <c r="BN11" s="0"/>
      <c r="BO11" s="0"/>
      <c r="BP11" s="0"/>
      <c r="BQ11" s="0"/>
      <c r="BR11" s="0"/>
      <c r="BS11" s="0"/>
      <c r="BT11" s="0"/>
      <c r="BU11" s="0"/>
      <c r="BV11" s="0"/>
      <c r="BW11" s="0"/>
      <c r="BX11" s="0"/>
      <c r="BY11" s="0"/>
      <c r="BZ11" s="0"/>
      <c r="CA11" s="0"/>
      <c r="CB11" s="0"/>
      <c r="CC11" s="0"/>
      <c r="CD11" s="0"/>
      <c r="CE11" s="0"/>
      <c r="CF11" s="0"/>
      <c r="CG11" s="0"/>
      <c r="CH11" s="0"/>
      <c r="CI11" s="0"/>
      <c r="CJ11" s="0"/>
      <c r="CK11" s="0"/>
      <c r="CL11" s="0"/>
      <c r="CM11" s="0"/>
      <c r="CN11" s="0"/>
      <c r="CO11" s="0"/>
      <c r="CP11" s="0"/>
      <c r="CQ11" s="0"/>
      <c r="CR11" s="0"/>
      <c r="CS11" s="0"/>
      <c r="CT11" s="0"/>
      <c r="CU11" s="0"/>
      <c r="CV11" s="0"/>
      <c r="CW11" s="0"/>
      <c r="CX11" s="0"/>
      <c r="CY11" s="0"/>
      <c r="CZ11" s="0"/>
      <c r="DA11" s="0"/>
      <c r="DB11" s="0"/>
      <c r="DC11" s="0"/>
      <c r="DD11" s="0"/>
      <c r="DE11" s="0"/>
      <c r="DF11" s="0"/>
      <c r="DG11" s="0"/>
      <c r="DH11" s="0"/>
      <c r="DI11" s="0"/>
      <c r="DJ11" s="0"/>
      <c r="DK11" s="0"/>
      <c r="DL11" s="0"/>
      <c r="DM11" s="0"/>
      <c r="DN11" s="0"/>
      <c r="DO11" s="0"/>
      <c r="DP11" s="0"/>
      <c r="DQ11" s="0"/>
      <c r="DR11" s="0"/>
      <c r="DS11" s="0"/>
      <c r="DT11" s="0"/>
      <c r="DU11" s="0"/>
      <c r="DV11" s="0"/>
      <c r="DW11" s="0"/>
      <c r="DX11" s="0"/>
      <c r="DY11" s="0"/>
      <c r="DZ11" s="0"/>
      <c r="EA11" s="0"/>
      <c r="EB11" s="0"/>
      <c r="EC11" s="0"/>
      <c r="ED11" s="0"/>
      <c r="EE11" s="0"/>
      <c r="EF11" s="0"/>
      <c r="EG11" s="0"/>
      <c r="EH11" s="0"/>
      <c r="EI11" s="0"/>
      <c r="EJ11" s="0"/>
      <c r="EK11" s="0"/>
      <c r="EL11" s="0"/>
      <c r="EM11" s="0"/>
      <c r="EN11" s="0"/>
      <c r="EO11" s="0"/>
      <c r="EP11" s="0"/>
      <c r="EQ11" s="0"/>
      <c r="ER11" s="0"/>
      <c r="ES11" s="0"/>
      <c r="ET11" s="0"/>
      <c r="EU11" s="0"/>
      <c r="EV11" s="0"/>
      <c r="EW11" s="0"/>
      <c r="EX11" s="0"/>
      <c r="EY11" s="0"/>
      <c r="EZ11" s="0"/>
      <c r="FA11" s="0"/>
      <c r="FB11" s="0"/>
      <c r="FC11" s="0"/>
      <c r="FD11" s="0"/>
      <c r="FE11" s="0"/>
      <c r="FF11" s="0"/>
      <c r="FG11" s="0"/>
      <c r="FH11" s="0"/>
      <c r="FI11" s="0"/>
      <c r="FJ11" s="0"/>
      <c r="FK11" s="0"/>
      <c r="FL11" s="0"/>
      <c r="FM11" s="0"/>
      <c r="FN11" s="0"/>
      <c r="FO11" s="0"/>
      <c r="FP11" s="0"/>
      <c r="FQ11" s="0"/>
      <c r="FR11" s="0"/>
      <c r="FS11" s="0"/>
      <c r="FT11" s="0"/>
      <c r="FU11" s="0"/>
      <c r="FV11" s="0"/>
      <c r="FW11" s="0"/>
      <c r="FX11" s="0"/>
      <c r="FY11" s="0"/>
      <c r="FZ11" s="0"/>
      <c r="GA11" s="0"/>
      <c r="GB11" s="0"/>
      <c r="GC11" s="0"/>
      <c r="GD11" s="0"/>
      <c r="GE11" s="0"/>
      <c r="GF11" s="0"/>
      <c r="GG11" s="0"/>
      <c r="GH11" s="0"/>
      <c r="GI11" s="0"/>
      <c r="GJ11" s="0"/>
      <c r="GK11" s="0"/>
      <c r="GL11" s="0"/>
      <c r="GM11" s="0"/>
      <c r="GN11" s="0"/>
      <c r="GO11" s="0"/>
      <c r="GP11" s="0"/>
      <c r="GQ11" s="0"/>
      <c r="GR11" s="0"/>
      <c r="GS11" s="0"/>
      <c r="GT11" s="0"/>
      <c r="GU11" s="0"/>
      <c r="GV11" s="0"/>
      <c r="GW11" s="0"/>
      <c r="GX11" s="0"/>
      <c r="GY11" s="0"/>
      <c r="GZ11" s="0"/>
      <c r="HA11" s="0"/>
      <c r="HB11" s="0"/>
      <c r="HC11" s="0"/>
      <c r="HD11" s="0"/>
      <c r="HE11" s="0"/>
      <c r="HF11" s="0"/>
      <c r="HG11" s="0"/>
      <c r="HH11" s="0"/>
      <c r="HI11" s="0"/>
      <c r="HJ11" s="0"/>
      <c r="HK11" s="0"/>
      <c r="HL11" s="0"/>
      <c r="HM11" s="0"/>
      <c r="HN11" s="0"/>
      <c r="HO11" s="0"/>
      <c r="HP11" s="0"/>
      <c r="HQ11" s="0"/>
      <c r="HR11" s="0"/>
      <c r="HS11" s="0"/>
      <c r="HT11" s="0"/>
      <c r="HU11" s="0"/>
      <c r="HV11" s="0"/>
      <c r="HW11" s="0"/>
      <c r="HX11" s="0"/>
      <c r="HY11" s="0"/>
      <c r="HZ11" s="0"/>
      <c r="IA11" s="0"/>
      <c r="IB11" s="0"/>
      <c r="IC11" s="0"/>
      <c r="ID11" s="0"/>
      <c r="IE11" s="0"/>
      <c r="IF11" s="0"/>
      <c r="IG11" s="0"/>
      <c r="IH11" s="0"/>
      <c r="II11" s="0"/>
      <c r="IJ11" s="0"/>
      <c r="IK11" s="0"/>
      <c r="IL11" s="0"/>
      <c r="IM11" s="0"/>
      <c r="IN11" s="0"/>
      <c r="IO11" s="0"/>
      <c r="IP11" s="0"/>
      <c r="IQ11" s="0"/>
      <c r="IR11" s="0"/>
      <c r="IS11" s="0"/>
      <c r="IT11" s="0"/>
      <c r="IU11" s="0"/>
      <c r="IV11" s="0"/>
      <c r="IW11" s="0"/>
    </row>
    <row r="12" customFormat="false" ht="11.1" hidden="false" customHeight="true" outlineLevel="0" collapsed="false">
      <c r="A12" s="58" t="n">
        <f aca="false">A11+1</f>
        <v>3</v>
      </c>
      <c r="B12" s="73" t="n">
        <v>6923.33</v>
      </c>
      <c r="C12" s="52" t="n">
        <v>378178</v>
      </c>
      <c r="D12" s="57" t="n">
        <f aca="false">C12-C11</f>
        <v>0</v>
      </c>
      <c r="E12" s="52" t="n">
        <f aca="false">C12-152000</f>
        <v>226178</v>
      </c>
      <c r="F12" s="51" t="n">
        <f aca="false">D12/$D$2</f>
        <v>0</v>
      </c>
      <c r="G12" s="51" t="n">
        <v>752</v>
      </c>
      <c r="H12" s="87" t="n">
        <v>0</v>
      </c>
      <c r="I12" s="51" t="n">
        <f aca="false">G12+H12</f>
        <v>752</v>
      </c>
      <c r="J12" s="81" t="n">
        <f aca="false">IF(L12&gt;0,L12,0)</f>
        <v>0</v>
      </c>
      <c r="K12" s="51" t="n">
        <f aca="false">I12+J12</f>
        <v>752</v>
      </c>
      <c r="L12" s="51" t="n">
        <f aca="false">F12-(I12-W12)</f>
        <v>-102</v>
      </c>
      <c r="M12" s="51" t="n">
        <v>218</v>
      </c>
      <c r="N12" s="51" t="n">
        <v>0</v>
      </c>
      <c r="O12" s="51" t="n">
        <v>0</v>
      </c>
      <c r="P12" s="6" t="n">
        <f aca="false">M12-(N12+O12)</f>
        <v>218</v>
      </c>
      <c r="Q12" s="51" t="n">
        <v>158</v>
      </c>
      <c r="R12" s="51" t="n">
        <v>90</v>
      </c>
      <c r="S12" s="51" t="n">
        <f aca="false">SUM(P12:R12)</f>
        <v>466</v>
      </c>
      <c r="T12" s="52" t="n">
        <f aca="false">(I12-S12)+T11</f>
        <v>1124</v>
      </c>
      <c r="U12" s="51" t="n">
        <v>0</v>
      </c>
      <c r="V12" s="51" t="n">
        <v>184</v>
      </c>
      <c r="W12" s="6" t="n">
        <f aca="false">N12+O12+S12+U12+V12</f>
        <v>650</v>
      </c>
      <c r="X12" s="51" t="n">
        <f aca="false">IF(L12&lt;0,L12*-1,0)</f>
        <v>102</v>
      </c>
      <c r="Y12" s="51" t="n">
        <f aca="false">W12+X12</f>
        <v>752</v>
      </c>
      <c r="Z12" s="55" t="n">
        <v>0</v>
      </c>
      <c r="AA12" s="57" t="n">
        <v>84</v>
      </c>
      <c r="AB12" s="57" t="n">
        <v>49</v>
      </c>
      <c r="AC12" s="58" t="n">
        <f aca="false">AC11+1</f>
        <v>3</v>
      </c>
      <c r="AD12" s="12" t="n">
        <f aca="false">IF(I12&gt;S12,I12-S12,I12-S12)</f>
        <v>286</v>
      </c>
      <c r="AE12" s="12"/>
      <c r="AF12" s="0"/>
      <c r="AG12" s="6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  <c r="BH12" s="0"/>
      <c r="BI12" s="0"/>
      <c r="BJ12" s="0"/>
      <c r="BK12" s="0"/>
      <c r="BL12" s="0"/>
      <c r="BM12" s="0"/>
      <c r="BN12" s="0"/>
      <c r="BO12" s="0"/>
      <c r="BP12" s="0"/>
      <c r="BQ12" s="0"/>
      <c r="BR12" s="0"/>
      <c r="BS12" s="0"/>
      <c r="BT12" s="0"/>
      <c r="BU12" s="0"/>
      <c r="BV12" s="0"/>
      <c r="BW12" s="0"/>
      <c r="BX12" s="0"/>
      <c r="BY12" s="0"/>
      <c r="BZ12" s="0"/>
      <c r="CA12" s="0"/>
      <c r="CB12" s="0"/>
      <c r="CC12" s="0"/>
      <c r="CD12" s="0"/>
      <c r="CE12" s="0"/>
      <c r="CF12" s="0"/>
      <c r="CG12" s="0"/>
      <c r="CH12" s="0"/>
      <c r="CI12" s="0"/>
      <c r="CJ12" s="0"/>
      <c r="CK12" s="0"/>
      <c r="CL12" s="0"/>
      <c r="CM12" s="0"/>
      <c r="CN12" s="0"/>
      <c r="CO12" s="0"/>
      <c r="CP12" s="0"/>
      <c r="CQ12" s="0"/>
      <c r="CR12" s="0"/>
      <c r="CS12" s="0"/>
      <c r="CT12" s="0"/>
      <c r="CU12" s="0"/>
      <c r="CV12" s="0"/>
      <c r="CW12" s="0"/>
      <c r="CX12" s="0"/>
      <c r="CY12" s="0"/>
      <c r="CZ12" s="0"/>
      <c r="DA12" s="0"/>
      <c r="DB12" s="0"/>
      <c r="DC12" s="0"/>
      <c r="DD12" s="0"/>
      <c r="DE12" s="0"/>
      <c r="DF12" s="0"/>
      <c r="DG12" s="0"/>
      <c r="DH12" s="0"/>
      <c r="DI12" s="0"/>
      <c r="DJ12" s="0"/>
      <c r="DK12" s="0"/>
      <c r="DL12" s="0"/>
      <c r="DM12" s="0"/>
      <c r="DN12" s="0"/>
      <c r="DO12" s="0"/>
      <c r="DP12" s="0"/>
      <c r="DQ12" s="0"/>
      <c r="DR12" s="0"/>
      <c r="DS12" s="0"/>
      <c r="DT12" s="0"/>
      <c r="DU12" s="0"/>
      <c r="DV12" s="0"/>
      <c r="DW12" s="0"/>
      <c r="DX12" s="0"/>
      <c r="DY12" s="0"/>
      <c r="DZ12" s="0"/>
      <c r="EA12" s="0"/>
      <c r="EB12" s="0"/>
      <c r="EC12" s="0"/>
      <c r="ED12" s="0"/>
      <c r="EE12" s="0"/>
      <c r="EF12" s="0"/>
      <c r="EG12" s="0"/>
      <c r="EH12" s="0"/>
      <c r="EI12" s="0"/>
      <c r="EJ12" s="0"/>
      <c r="EK12" s="0"/>
      <c r="EL12" s="0"/>
      <c r="EM12" s="0"/>
      <c r="EN12" s="0"/>
      <c r="EO12" s="0"/>
      <c r="EP12" s="0"/>
      <c r="EQ12" s="0"/>
      <c r="ER12" s="0"/>
      <c r="ES12" s="0"/>
      <c r="ET12" s="0"/>
      <c r="EU12" s="0"/>
      <c r="EV12" s="0"/>
      <c r="EW12" s="0"/>
      <c r="EX12" s="0"/>
      <c r="EY12" s="0"/>
      <c r="EZ12" s="0"/>
      <c r="FA12" s="0"/>
      <c r="FB12" s="0"/>
      <c r="FC12" s="0"/>
      <c r="FD12" s="0"/>
      <c r="FE12" s="0"/>
      <c r="FF12" s="0"/>
      <c r="FG12" s="0"/>
      <c r="FH12" s="0"/>
      <c r="FI12" s="0"/>
      <c r="FJ12" s="0"/>
      <c r="FK12" s="0"/>
      <c r="FL12" s="0"/>
      <c r="FM12" s="0"/>
      <c r="FN12" s="0"/>
      <c r="FO12" s="0"/>
      <c r="FP12" s="0"/>
      <c r="FQ12" s="0"/>
      <c r="FR12" s="0"/>
      <c r="FS12" s="0"/>
      <c r="FT12" s="0"/>
      <c r="FU12" s="0"/>
      <c r="FV12" s="0"/>
      <c r="FW12" s="0"/>
      <c r="FX12" s="0"/>
      <c r="FY12" s="0"/>
      <c r="FZ12" s="0"/>
      <c r="GA12" s="0"/>
      <c r="GB12" s="0"/>
      <c r="GC12" s="0"/>
      <c r="GD12" s="0"/>
      <c r="GE12" s="0"/>
      <c r="GF12" s="0"/>
      <c r="GG12" s="0"/>
      <c r="GH12" s="0"/>
      <c r="GI12" s="0"/>
      <c r="GJ12" s="0"/>
      <c r="GK12" s="0"/>
      <c r="GL12" s="0"/>
      <c r="GM12" s="0"/>
      <c r="GN12" s="0"/>
      <c r="GO12" s="0"/>
      <c r="GP12" s="0"/>
      <c r="GQ12" s="0"/>
      <c r="GR12" s="0"/>
      <c r="GS12" s="0"/>
      <c r="GT12" s="0"/>
      <c r="GU12" s="0"/>
      <c r="GV12" s="0"/>
      <c r="GW12" s="0"/>
      <c r="GX12" s="0"/>
      <c r="GY12" s="0"/>
      <c r="GZ12" s="0"/>
      <c r="HA12" s="0"/>
      <c r="HB12" s="0"/>
      <c r="HC12" s="0"/>
      <c r="HD12" s="0"/>
      <c r="HE12" s="0"/>
      <c r="HF12" s="0"/>
      <c r="HG12" s="0"/>
      <c r="HH12" s="0"/>
      <c r="HI12" s="0"/>
      <c r="HJ12" s="0"/>
      <c r="HK12" s="0"/>
      <c r="HL12" s="0"/>
      <c r="HM12" s="0"/>
      <c r="HN12" s="0"/>
      <c r="HO12" s="0"/>
      <c r="HP12" s="0"/>
      <c r="HQ12" s="0"/>
      <c r="HR12" s="0"/>
      <c r="HS12" s="0"/>
      <c r="HT12" s="0"/>
      <c r="HU12" s="0"/>
      <c r="HV12" s="0"/>
      <c r="HW12" s="0"/>
      <c r="HX12" s="0"/>
      <c r="HY12" s="0"/>
      <c r="HZ12" s="0"/>
      <c r="IA12" s="0"/>
      <c r="IB12" s="0"/>
      <c r="IC12" s="0"/>
      <c r="ID12" s="0"/>
      <c r="IE12" s="0"/>
      <c r="IF12" s="0"/>
      <c r="IG12" s="0"/>
      <c r="IH12" s="0"/>
      <c r="II12" s="0"/>
      <c r="IJ12" s="0"/>
      <c r="IK12" s="0"/>
      <c r="IL12" s="0"/>
      <c r="IM12" s="0"/>
      <c r="IN12" s="0"/>
      <c r="IO12" s="0"/>
      <c r="IP12" s="0"/>
      <c r="IQ12" s="0"/>
      <c r="IR12" s="0"/>
      <c r="IS12" s="0"/>
      <c r="IT12" s="0"/>
      <c r="IU12" s="0"/>
      <c r="IV12" s="0"/>
      <c r="IW12" s="0"/>
    </row>
    <row r="13" customFormat="false" ht="11.1" hidden="false" customHeight="true" outlineLevel="0" collapsed="false">
      <c r="A13" s="58" t="n">
        <f aca="false">A12+1</f>
        <v>4</v>
      </c>
      <c r="B13" s="73" t="n">
        <v>6923.32</v>
      </c>
      <c r="C13" s="52" t="n">
        <v>378133</v>
      </c>
      <c r="D13" s="57" t="n">
        <f aca="false">C13-C12</f>
        <v>-45</v>
      </c>
      <c r="E13" s="52" t="n">
        <f aca="false">C13-152000</f>
        <v>226133</v>
      </c>
      <c r="F13" s="51" t="n">
        <f aca="false">D13/$D$2</f>
        <v>-22.68716914545</v>
      </c>
      <c r="G13" s="51" t="n">
        <v>689</v>
      </c>
      <c r="H13" s="87" t="n">
        <v>0</v>
      </c>
      <c r="I13" s="51" t="n">
        <f aca="false">G13+H13</f>
        <v>689</v>
      </c>
      <c r="J13" s="81" t="n">
        <f aca="false">IF(L13&gt;0,L13,0)</f>
        <v>0</v>
      </c>
      <c r="K13" s="51" t="n">
        <f aca="false">I13+J13</f>
        <v>689</v>
      </c>
      <c r="L13" s="51" t="n">
        <f aca="false">F13-(I13-W13)</f>
        <v>-52.68716914545</v>
      </c>
      <c r="M13" s="51" t="n">
        <v>218</v>
      </c>
      <c r="N13" s="51" t="n">
        <v>0</v>
      </c>
      <c r="O13" s="51" t="n">
        <v>0</v>
      </c>
      <c r="P13" s="6" t="n">
        <f aca="false">M13-(N13+O13)</f>
        <v>218</v>
      </c>
      <c r="Q13" s="51" t="n">
        <v>165</v>
      </c>
      <c r="R13" s="51" t="n">
        <v>90</v>
      </c>
      <c r="S13" s="51" t="n">
        <f aca="false">SUM(P13:R13)</f>
        <v>473</v>
      </c>
      <c r="T13" s="52" t="n">
        <f aca="false">(I13-S13)+T12</f>
        <v>1340</v>
      </c>
      <c r="U13" s="51" t="n">
        <v>0</v>
      </c>
      <c r="V13" s="51" t="n">
        <v>186</v>
      </c>
      <c r="W13" s="6" t="n">
        <f aca="false">N13+O13+S13+U13+V13</f>
        <v>659</v>
      </c>
      <c r="X13" s="51" t="n">
        <f aca="false">IF(L13&lt;0,L13*-1,0)</f>
        <v>52.68716914545</v>
      </c>
      <c r="Y13" s="51" t="n">
        <f aca="false">W13+X13</f>
        <v>711.68716914545</v>
      </c>
      <c r="Z13" s="55" t="n">
        <v>0</v>
      </c>
      <c r="AA13" s="57" t="n">
        <v>80</v>
      </c>
      <c r="AB13" s="57" t="n">
        <v>47</v>
      </c>
      <c r="AC13" s="58" t="n">
        <f aca="false">AC12+1</f>
        <v>4</v>
      </c>
      <c r="AD13" s="12" t="n">
        <f aca="false">IF(I13&gt;S13,I13-S13,I13-S13)</f>
        <v>216</v>
      </c>
      <c r="AE13" s="12"/>
      <c r="AF13" s="0"/>
      <c r="AG13" s="6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  <c r="BH13" s="0"/>
      <c r="BI13" s="0"/>
      <c r="BJ13" s="0"/>
      <c r="BK13" s="0"/>
      <c r="BL13" s="0"/>
      <c r="BM13" s="0"/>
      <c r="BN13" s="0"/>
      <c r="BO13" s="0"/>
      <c r="BP13" s="0"/>
      <c r="BQ13" s="0"/>
      <c r="BR13" s="0"/>
      <c r="BS13" s="0"/>
      <c r="BT13" s="0"/>
      <c r="BU13" s="0"/>
      <c r="BV13" s="0"/>
      <c r="BW13" s="0"/>
      <c r="BX13" s="0"/>
      <c r="BY13" s="0"/>
      <c r="BZ13" s="0"/>
      <c r="CA13" s="0"/>
      <c r="CB13" s="0"/>
      <c r="CC13" s="0"/>
      <c r="CD13" s="0"/>
      <c r="CE13" s="0"/>
      <c r="CF13" s="0"/>
      <c r="CG13" s="0"/>
      <c r="CH13" s="0"/>
      <c r="CI13" s="0"/>
      <c r="CJ13" s="0"/>
      <c r="CK13" s="0"/>
      <c r="CL13" s="0"/>
      <c r="CM13" s="0"/>
      <c r="CN13" s="0"/>
      <c r="CO13" s="0"/>
      <c r="CP13" s="0"/>
      <c r="CQ13" s="0"/>
      <c r="CR13" s="0"/>
      <c r="CS13" s="0"/>
      <c r="CT13" s="0"/>
      <c r="CU13" s="0"/>
      <c r="CV13" s="0"/>
      <c r="CW13" s="0"/>
      <c r="CX13" s="0"/>
      <c r="CY13" s="0"/>
      <c r="CZ13" s="0"/>
      <c r="DA13" s="0"/>
      <c r="DB13" s="0"/>
      <c r="DC13" s="0"/>
      <c r="DD13" s="0"/>
      <c r="DE13" s="0"/>
      <c r="DF13" s="0"/>
      <c r="DG13" s="0"/>
      <c r="DH13" s="0"/>
      <c r="DI13" s="0"/>
      <c r="DJ13" s="0"/>
      <c r="DK13" s="0"/>
      <c r="DL13" s="0"/>
      <c r="DM13" s="0"/>
      <c r="DN13" s="0"/>
      <c r="DO13" s="0"/>
      <c r="DP13" s="0"/>
      <c r="DQ13" s="0"/>
      <c r="DR13" s="0"/>
      <c r="DS13" s="0"/>
      <c r="DT13" s="0"/>
      <c r="DU13" s="0"/>
      <c r="DV13" s="0"/>
      <c r="DW13" s="0"/>
      <c r="DX13" s="0"/>
      <c r="DY13" s="0"/>
      <c r="DZ13" s="0"/>
      <c r="EA13" s="0"/>
      <c r="EB13" s="0"/>
      <c r="EC13" s="0"/>
      <c r="ED13" s="0"/>
      <c r="EE13" s="0"/>
      <c r="EF13" s="0"/>
      <c r="EG13" s="0"/>
      <c r="EH13" s="0"/>
      <c r="EI13" s="0"/>
      <c r="EJ13" s="0"/>
      <c r="EK13" s="0"/>
      <c r="EL13" s="0"/>
      <c r="EM13" s="0"/>
      <c r="EN13" s="0"/>
      <c r="EO13" s="0"/>
      <c r="EP13" s="0"/>
      <c r="EQ13" s="0"/>
      <c r="ER13" s="0"/>
      <c r="ES13" s="0"/>
      <c r="ET13" s="0"/>
      <c r="EU13" s="0"/>
      <c r="EV13" s="0"/>
      <c r="EW13" s="0"/>
      <c r="EX13" s="0"/>
      <c r="EY13" s="0"/>
      <c r="EZ13" s="0"/>
      <c r="FA13" s="0"/>
      <c r="FB13" s="0"/>
      <c r="FC13" s="0"/>
      <c r="FD13" s="0"/>
      <c r="FE13" s="0"/>
      <c r="FF13" s="0"/>
      <c r="FG13" s="0"/>
      <c r="FH13" s="0"/>
      <c r="FI13" s="0"/>
      <c r="FJ13" s="0"/>
      <c r="FK13" s="0"/>
      <c r="FL13" s="0"/>
      <c r="FM13" s="0"/>
      <c r="FN13" s="0"/>
      <c r="FO13" s="0"/>
      <c r="FP13" s="0"/>
      <c r="FQ13" s="0"/>
      <c r="FR13" s="0"/>
      <c r="FS13" s="0"/>
      <c r="FT13" s="0"/>
      <c r="FU13" s="0"/>
      <c r="FV13" s="0"/>
      <c r="FW13" s="0"/>
      <c r="FX13" s="0"/>
      <c r="FY13" s="0"/>
      <c r="FZ13" s="0"/>
      <c r="GA13" s="0"/>
      <c r="GB13" s="0"/>
      <c r="GC13" s="0"/>
      <c r="GD13" s="0"/>
      <c r="GE13" s="0"/>
      <c r="GF13" s="0"/>
      <c r="GG13" s="0"/>
      <c r="GH13" s="0"/>
      <c r="GI13" s="0"/>
      <c r="GJ13" s="0"/>
      <c r="GK13" s="0"/>
      <c r="GL13" s="0"/>
      <c r="GM13" s="0"/>
      <c r="GN13" s="0"/>
      <c r="GO13" s="0"/>
      <c r="GP13" s="0"/>
      <c r="GQ13" s="0"/>
      <c r="GR13" s="0"/>
      <c r="GS13" s="0"/>
      <c r="GT13" s="0"/>
      <c r="GU13" s="0"/>
      <c r="GV13" s="0"/>
      <c r="GW13" s="0"/>
      <c r="GX13" s="0"/>
      <c r="GY13" s="0"/>
      <c r="GZ13" s="0"/>
      <c r="HA13" s="0"/>
      <c r="HB13" s="0"/>
      <c r="HC13" s="0"/>
      <c r="HD13" s="0"/>
      <c r="HE13" s="0"/>
      <c r="HF13" s="0"/>
      <c r="HG13" s="0"/>
      <c r="HH13" s="0"/>
      <c r="HI13" s="0"/>
      <c r="HJ13" s="0"/>
      <c r="HK13" s="0"/>
      <c r="HL13" s="0"/>
      <c r="HM13" s="0"/>
      <c r="HN13" s="0"/>
      <c r="HO13" s="0"/>
      <c r="HP13" s="0"/>
      <c r="HQ13" s="0"/>
      <c r="HR13" s="0"/>
      <c r="HS13" s="0"/>
      <c r="HT13" s="0"/>
      <c r="HU13" s="0"/>
      <c r="HV13" s="0"/>
      <c r="HW13" s="0"/>
      <c r="HX13" s="0"/>
      <c r="HY13" s="0"/>
      <c r="HZ13" s="0"/>
      <c r="IA13" s="0"/>
      <c r="IB13" s="0"/>
      <c r="IC13" s="0"/>
      <c r="ID13" s="0"/>
      <c r="IE13" s="0"/>
      <c r="IF13" s="0"/>
      <c r="IG13" s="0"/>
      <c r="IH13" s="0"/>
      <c r="II13" s="0"/>
      <c r="IJ13" s="0"/>
      <c r="IK13" s="0"/>
      <c r="IL13" s="0"/>
      <c r="IM13" s="0"/>
      <c r="IN13" s="0"/>
      <c r="IO13" s="0"/>
      <c r="IP13" s="0"/>
      <c r="IQ13" s="0"/>
      <c r="IR13" s="0"/>
      <c r="IS13" s="0"/>
      <c r="IT13" s="0"/>
      <c r="IU13" s="0"/>
      <c r="IV13" s="0"/>
      <c r="IW13" s="0"/>
    </row>
    <row r="14" customFormat="false" ht="11.1" hidden="false" customHeight="true" outlineLevel="0" collapsed="false">
      <c r="A14" s="58" t="n">
        <f aca="false">A13+1</f>
        <v>5</v>
      </c>
      <c r="B14" s="73" t="n">
        <v>6923.31</v>
      </c>
      <c r="C14" s="52" t="n">
        <v>378089</v>
      </c>
      <c r="D14" s="57" t="n">
        <f aca="false">C14-C13</f>
        <v>-44</v>
      </c>
      <c r="E14" s="52" t="n">
        <f aca="false">C14-152000</f>
        <v>226089</v>
      </c>
      <c r="F14" s="51" t="n">
        <f aca="false">D14/$D$2</f>
        <v>-22.1830098311066</v>
      </c>
      <c r="G14" s="51" t="n">
        <v>625</v>
      </c>
      <c r="H14" s="87" t="n">
        <v>0</v>
      </c>
      <c r="I14" s="51" t="n">
        <f aca="false">G14+H14</f>
        <v>625</v>
      </c>
      <c r="J14" s="81" t="n">
        <f aca="false">IF(L14&gt;0,L14,0)</f>
        <v>8.81699016889337</v>
      </c>
      <c r="K14" s="51" t="n">
        <f aca="false">I14+J14</f>
        <v>633.816990168893</v>
      </c>
      <c r="L14" s="51" t="n">
        <f aca="false">F14-(I14-W14)</f>
        <v>8.81699016889337</v>
      </c>
      <c r="M14" s="51" t="n">
        <v>218</v>
      </c>
      <c r="N14" s="51" t="n">
        <v>0</v>
      </c>
      <c r="O14" s="51" t="n">
        <v>0</v>
      </c>
      <c r="P14" s="6" t="n">
        <f aca="false">M14-(N14+O14)</f>
        <v>218</v>
      </c>
      <c r="Q14" s="51" t="n">
        <v>159</v>
      </c>
      <c r="R14" s="51" t="n">
        <v>92</v>
      </c>
      <c r="S14" s="51" t="n">
        <f aca="false">SUM(P14:R14)</f>
        <v>469</v>
      </c>
      <c r="T14" s="52" t="n">
        <f aca="false">(I14-S14)+T13</f>
        <v>1496</v>
      </c>
      <c r="U14" s="51" t="n">
        <v>0</v>
      </c>
      <c r="V14" s="51" t="n">
        <v>187</v>
      </c>
      <c r="W14" s="6" t="n">
        <f aca="false">N14+O14+S14+U14+V14</f>
        <v>656</v>
      </c>
      <c r="X14" s="51" t="n">
        <f aca="false">IF(L14&lt;0,L14*-1,0)</f>
        <v>0</v>
      </c>
      <c r="Y14" s="51" t="n">
        <f aca="false">W14+X14</f>
        <v>656</v>
      </c>
      <c r="Z14" s="55" t="n">
        <v>0</v>
      </c>
      <c r="AA14" s="57" t="n">
        <v>82</v>
      </c>
      <c r="AB14" s="57" t="n">
        <v>48</v>
      </c>
      <c r="AC14" s="58" t="n">
        <f aca="false">AC13+1</f>
        <v>5</v>
      </c>
      <c r="AD14" s="12" t="n">
        <f aca="false">IF(I14&gt;S14,I14-S14,I14-S14)</f>
        <v>156</v>
      </c>
      <c r="AE14" s="12"/>
      <c r="AF14" s="0"/>
      <c r="AG14" s="6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  <c r="BH14" s="0"/>
      <c r="BI14" s="0"/>
      <c r="BJ14" s="0"/>
      <c r="BK14" s="0"/>
      <c r="BL14" s="0"/>
      <c r="BM14" s="0"/>
      <c r="BN14" s="0"/>
      <c r="BO14" s="0"/>
      <c r="BP14" s="0"/>
      <c r="BQ14" s="0"/>
      <c r="BR14" s="0"/>
      <c r="BS14" s="0"/>
      <c r="BT14" s="0"/>
      <c r="BU14" s="0"/>
      <c r="BV14" s="0"/>
      <c r="BW14" s="0"/>
      <c r="BX14" s="0"/>
      <c r="BY14" s="0"/>
      <c r="BZ14" s="0"/>
      <c r="CA14" s="0"/>
      <c r="CB14" s="0"/>
      <c r="CC14" s="0"/>
      <c r="CD14" s="0"/>
      <c r="CE14" s="0"/>
      <c r="CF14" s="0"/>
      <c r="CG14" s="0"/>
      <c r="CH14" s="0"/>
      <c r="CI14" s="0"/>
      <c r="CJ14" s="0"/>
      <c r="CK14" s="0"/>
      <c r="CL14" s="0"/>
      <c r="CM14" s="0"/>
      <c r="CN14" s="0"/>
      <c r="CO14" s="0"/>
      <c r="CP14" s="0"/>
      <c r="CQ14" s="0"/>
      <c r="CR14" s="0"/>
      <c r="CS14" s="0"/>
      <c r="CT14" s="0"/>
      <c r="CU14" s="0"/>
      <c r="CV14" s="0"/>
      <c r="CW14" s="0"/>
      <c r="CX14" s="0"/>
      <c r="CY14" s="0"/>
      <c r="CZ14" s="0"/>
      <c r="DA14" s="0"/>
      <c r="DB14" s="0"/>
      <c r="DC14" s="0"/>
      <c r="DD14" s="0"/>
      <c r="DE14" s="0"/>
      <c r="DF14" s="0"/>
      <c r="DG14" s="0"/>
      <c r="DH14" s="0"/>
      <c r="DI14" s="0"/>
      <c r="DJ14" s="0"/>
      <c r="DK14" s="0"/>
      <c r="DL14" s="0"/>
      <c r="DM14" s="0"/>
      <c r="DN14" s="0"/>
      <c r="DO14" s="0"/>
      <c r="DP14" s="0"/>
      <c r="DQ14" s="0"/>
      <c r="DR14" s="0"/>
      <c r="DS14" s="0"/>
      <c r="DT14" s="0"/>
      <c r="DU14" s="0"/>
      <c r="DV14" s="0"/>
      <c r="DW14" s="0"/>
      <c r="DX14" s="0"/>
      <c r="DY14" s="0"/>
      <c r="DZ14" s="0"/>
      <c r="EA14" s="0"/>
      <c r="EB14" s="0"/>
      <c r="EC14" s="0"/>
      <c r="ED14" s="0"/>
      <c r="EE14" s="0"/>
      <c r="EF14" s="0"/>
      <c r="EG14" s="0"/>
      <c r="EH14" s="0"/>
      <c r="EI14" s="0"/>
      <c r="EJ14" s="0"/>
      <c r="EK14" s="0"/>
      <c r="EL14" s="0"/>
      <c r="EM14" s="0"/>
      <c r="EN14" s="0"/>
      <c r="EO14" s="0"/>
      <c r="EP14" s="0"/>
      <c r="EQ14" s="0"/>
      <c r="ER14" s="0"/>
      <c r="ES14" s="0"/>
      <c r="ET14" s="0"/>
      <c r="EU14" s="0"/>
      <c r="EV14" s="0"/>
      <c r="EW14" s="0"/>
      <c r="EX14" s="0"/>
      <c r="EY14" s="0"/>
      <c r="EZ14" s="0"/>
      <c r="FA14" s="0"/>
      <c r="FB14" s="0"/>
      <c r="FC14" s="0"/>
      <c r="FD14" s="0"/>
      <c r="FE14" s="0"/>
      <c r="FF14" s="0"/>
      <c r="FG14" s="0"/>
      <c r="FH14" s="0"/>
      <c r="FI14" s="0"/>
      <c r="FJ14" s="0"/>
      <c r="FK14" s="0"/>
      <c r="FL14" s="0"/>
      <c r="FM14" s="0"/>
      <c r="FN14" s="0"/>
      <c r="FO14" s="0"/>
      <c r="FP14" s="0"/>
      <c r="FQ14" s="0"/>
      <c r="FR14" s="0"/>
      <c r="FS14" s="0"/>
      <c r="FT14" s="0"/>
      <c r="FU14" s="0"/>
      <c r="FV14" s="0"/>
      <c r="FW14" s="0"/>
      <c r="FX14" s="0"/>
      <c r="FY14" s="0"/>
      <c r="FZ14" s="0"/>
      <c r="GA14" s="0"/>
      <c r="GB14" s="0"/>
      <c r="GC14" s="0"/>
      <c r="GD14" s="0"/>
      <c r="GE14" s="0"/>
      <c r="GF14" s="0"/>
      <c r="GG14" s="0"/>
      <c r="GH14" s="0"/>
      <c r="GI14" s="0"/>
      <c r="GJ14" s="0"/>
      <c r="GK14" s="0"/>
      <c r="GL14" s="0"/>
      <c r="GM14" s="0"/>
      <c r="GN14" s="0"/>
      <c r="GO14" s="0"/>
      <c r="GP14" s="0"/>
      <c r="GQ14" s="0"/>
      <c r="GR14" s="0"/>
      <c r="GS14" s="0"/>
      <c r="GT14" s="0"/>
      <c r="GU14" s="0"/>
      <c r="GV14" s="0"/>
      <c r="GW14" s="0"/>
      <c r="GX14" s="0"/>
      <c r="GY14" s="0"/>
      <c r="GZ14" s="0"/>
      <c r="HA14" s="0"/>
      <c r="HB14" s="0"/>
      <c r="HC14" s="0"/>
      <c r="HD14" s="0"/>
      <c r="HE14" s="0"/>
      <c r="HF14" s="0"/>
      <c r="HG14" s="0"/>
      <c r="HH14" s="0"/>
      <c r="HI14" s="0"/>
      <c r="HJ14" s="0"/>
      <c r="HK14" s="0"/>
      <c r="HL14" s="0"/>
      <c r="HM14" s="0"/>
      <c r="HN14" s="0"/>
      <c r="HO14" s="0"/>
      <c r="HP14" s="0"/>
      <c r="HQ14" s="0"/>
      <c r="HR14" s="0"/>
      <c r="HS14" s="0"/>
      <c r="HT14" s="0"/>
      <c r="HU14" s="0"/>
      <c r="HV14" s="0"/>
      <c r="HW14" s="0"/>
      <c r="HX14" s="0"/>
      <c r="HY14" s="0"/>
      <c r="HZ14" s="0"/>
      <c r="IA14" s="0"/>
      <c r="IB14" s="0"/>
      <c r="IC14" s="0"/>
      <c r="ID14" s="0"/>
      <c r="IE14" s="0"/>
      <c r="IF14" s="0"/>
      <c r="IG14" s="0"/>
      <c r="IH14" s="0"/>
      <c r="II14" s="0"/>
      <c r="IJ14" s="0"/>
      <c r="IK14" s="0"/>
      <c r="IL14" s="0"/>
      <c r="IM14" s="0"/>
      <c r="IN14" s="0"/>
      <c r="IO14" s="0"/>
      <c r="IP14" s="0"/>
      <c r="IQ14" s="0"/>
      <c r="IR14" s="0"/>
      <c r="IS14" s="0"/>
      <c r="IT14" s="0"/>
      <c r="IU14" s="0"/>
      <c r="IV14" s="0"/>
      <c r="IW14" s="0"/>
    </row>
    <row r="15" customFormat="false" ht="11.1" hidden="false" customHeight="true" outlineLevel="0" collapsed="false">
      <c r="A15" s="58" t="n">
        <f aca="false">A14+1</f>
        <v>6</v>
      </c>
      <c r="B15" s="73" t="n">
        <v>6923.28</v>
      </c>
      <c r="C15" s="52" t="n">
        <v>377955</v>
      </c>
      <c r="D15" s="57" t="n">
        <f aca="false">C15-C14</f>
        <v>-134</v>
      </c>
      <c r="E15" s="52" t="n">
        <f aca="false">C15-152000</f>
        <v>225955</v>
      </c>
      <c r="F15" s="51" t="n">
        <f aca="false">D15/$D$2</f>
        <v>-67.5573481220066</v>
      </c>
      <c r="G15" s="51" t="n">
        <v>588</v>
      </c>
      <c r="H15" s="87" t="n">
        <v>0</v>
      </c>
      <c r="I15" s="51" t="n">
        <f aca="false">G15+H15</f>
        <v>588</v>
      </c>
      <c r="J15" s="81" t="n">
        <f aca="false">IF(L15&gt;0,L15,0)</f>
        <v>0</v>
      </c>
      <c r="K15" s="51" t="n">
        <f aca="false">I15+J15</f>
        <v>588</v>
      </c>
      <c r="L15" s="51" t="n">
        <f aca="false">F15-(I15-W15)</f>
        <v>-2.55734812200656</v>
      </c>
      <c r="M15" s="51" t="n">
        <v>218</v>
      </c>
      <c r="N15" s="51" t="n">
        <v>0</v>
      </c>
      <c r="O15" s="51" t="n">
        <v>0</v>
      </c>
      <c r="P15" s="6" t="n">
        <f aca="false">M15-(N15+O15)</f>
        <v>218</v>
      </c>
      <c r="Q15" s="51" t="n">
        <v>159</v>
      </c>
      <c r="R15" s="51" t="n">
        <v>87</v>
      </c>
      <c r="S15" s="51" t="n">
        <f aca="false">SUM(P15:R15)</f>
        <v>464</v>
      </c>
      <c r="T15" s="52" t="n">
        <f aca="false">(I15-S15)+T14</f>
        <v>1620</v>
      </c>
      <c r="U15" s="51" t="n">
        <v>0</v>
      </c>
      <c r="V15" s="51" t="n">
        <v>189</v>
      </c>
      <c r="W15" s="6" t="n">
        <f aca="false">N15+O15+S15+U15+V15</f>
        <v>653</v>
      </c>
      <c r="X15" s="51" t="n">
        <f aca="false">IF(L15&lt;0,L15*-1,0)</f>
        <v>2.55734812200656</v>
      </c>
      <c r="Y15" s="51" t="n">
        <f aca="false">W15+X15</f>
        <v>655.557348122007</v>
      </c>
      <c r="Z15" s="55" t="n">
        <v>0</v>
      </c>
      <c r="AA15" s="57" t="n">
        <v>84</v>
      </c>
      <c r="AB15" s="57" t="n">
        <v>50</v>
      </c>
      <c r="AC15" s="58" t="n">
        <f aca="false">AC14+1</f>
        <v>6</v>
      </c>
      <c r="AD15" s="12" t="n">
        <f aca="false">IF(I15&gt;S15,I15-S15,I15-S15)</f>
        <v>124</v>
      </c>
      <c r="AE15" s="12"/>
      <c r="AF15" s="0"/>
      <c r="AG15" s="6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  <c r="BH15" s="0"/>
      <c r="BI15" s="0"/>
      <c r="BJ15" s="0"/>
      <c r="BK15" s="0"/>
      <c r="BL15" s="0"/>
      <c r="BM15" s="0"/>
      <c r="BN15" s="0"/>
      <c r="BO15" s="0"/>
      <c r="BP15" s="0"/>
      <c r="BQ15" s="0"/>
      <c r="BR15" s="0"/>
      <c r="BS15" s="0"/>
      <c r="BT15" s="0"/>
      <c r="BU15" s="0"/>
      <c r="BV15" s="0"/>
      <c r="BW15" s="0"/>
      <c r="BX15" s="0"/>
      <c r="BY15" s="0"/>
      <c r="BZ15" s="0"/>
      <c r="CA15" s="0"/>
      <c r="CB15" s="0"/>
      <c r="CC15" s="0"/>
      <c r="CD15" s="0"/>
      <c r="CE15" s="0"/>
      <c r="CF15" s="0"/>
      <c r="CG15" s="0"/>
      <c r="CH15" s="0"/>
      <c r="CI15" s="0"/>
      <c r="CJ15" s="0"/>
      <c r="CK15" s="0"/>
      <c r="CL15" s="0"/>
      <c r="CM15" s="0"/>
      <c r="CN15" s="0"/>
      <c r="CO15" s="0"/>
      <c r="CP15" s="0"/>
      <c r="CQ15" s="0"/>
      <c r="CR15" s="0"/>
      <c r="CS15" s="0"/>
      <c r="CT15" s="0"/>
      <c r="CU15" s="0"/>
      <c r="CV15" s="0"/>
      <c r="CW15" s="0"/>
      <c r="CX15" s="0"/>
      <c r="CY15" s="0"/>
      <c r="CZ15" s="0"/>
      <c r="DA15" s="0"/>
      <c r="DB15" s="0"/>
      <c r="DC15" s="0"/>
      <c r="DD15" s="0"/>
      <c r="DE15" s="0"/>
      <c r="DF15" s="0"/>
      <c r="DG15" s="0"/>
      <c r="DH15" s="0"/>
      <c r="DI15" s="0"/>
      <c r="DJ15" s="0"/>
      <c r="DK15" s="0"/>
      <c r="DL15" s="0"/>
      <c r="DM15" s="0"/>
      <c r="DN15" s="0"/>
      <c r="DO15" s="0"/>
      <c r="DP15" s="0"/>
      <c r="DQ15" s="0"/>
      <c r="DR15" s="0"/>
      <c r="DS15" s="0"/>
      <c r="DT15" s="0"/>
      <c r="DU15" s="0"/>
      <c r="DV15" s="0"/>
      <c r="DW15" s="0"/>
      <c r="DX15" s="0"/>
      <c r="DY15" s="0"/>
      <c r="DZ15" s="0"/>
      <c r="EA15" s="0"/>
      <c r="EB15" s="0"/>
      <c r="EC15" s="0"/>
      <c r="ED15" s="0"/>
      <c r="EE15" s="0"/>
      <c r="EF15" s="0"/>
      <c r="EG15" s="0"/>
      <c r="EH15" s="0"/>
      <c r="EI15" s="0"/>
      <c r="EJ15" s="0"/>
      <c r="EK15" s="0"/>
      <c r="EL15" s="0"/>
      <c r="EM15" s="0"/>
      <c r="EN15" s="0"/>
      <c r="EO15" s="0"/>
      <c r="EP15" s="0"/>
      <c r="EQ15" s="0"/>
      <c r="ER15" s="0"/>
      <c r="ES15" s="0"/>
      <c r="ET15" s="0"/>
      <c r="EU15" s="0"/>
      <c r="EV15" s="0"/>
      <c r="EW15" s="0"/>
      <c r="EX15" s="0"/>
      <c r="EY15" s="0"/>
      <c r="EZ15" s="0"/>
      <c r="FA15" s="0"/>
      <c r="FB15" s="0"/>
      <c r="FC15" s="0"/>
      <c r="FD15" s="0"/>
      <c r="FE15" s="0"/>
      <c r="FF15" s="0"/>
      <c r="FG15" s="0"/>
      <c r="FH15" s="0"/>
      <c r="FI15" s="0"/>
      <c r="FJ15" s="0"/>
      <c r="FK15" s="0"/>
      <c r="FL15" s="0"/>
      <c r="FM15" s="0"/>
      <c r="FN15" s="0"/>
      <c r="FO15" s="0"/>
      <c r="FP15" s="0"/>
      <c r="FQ15" s="0"/>
      <c r="FR15" s="0"/>
      <c r="FS15" s="0"/>
      <c r="FT15" s="0"/>
      <c r="FU15" s="0"/>
      <c r="FV15" s="0"/>
      <c r="FW15" s="0"/>
      <c r="FX15" s="0"/>
      <c r="FY15" s="0"/>
      <c r="FZ15" s="0"/>
      <c r="GA15" s="0"/>
      <c r="GB15" s="0"/>
      <c r="GC15" s="0"/>
      <c r="GD15" s="0"/>
      <c r="GE15" s="0"/>
      <c r="GF15" s="0"/>
      <c r="GG15" s="0"/>
      <c r="GH15" s="0"/>
      <c r="GI15" s="0"/>
      <c r="GJ15" s="0"/>
      <c r="GK15" s="0"/>
      <c r="GL15" s="0"/>
      <c r="GM15" s="0"/>
      <c r="GN15" s="0"/>
      <c r="GO15" s="0"/>
      <c r="GP15" s="0"/>
      <c r="GQ15" s="0"/>
      <c r="GR15" s="0"/>
      <c r="GS15" s="0"/>
      <c r="GT15" s="0"/>
      <c r="GU15" s="0"/>
      <c r="GV15" s="0"/>
      <c r="GW15" s="0"/>
      <c r="GX15" s="0"/>
      <c r="GY15" s="0"/>
      <c r="GZ15" s="0"/>
      <c r="HA15" s="0"/>
      <c r="HB15" s="0"/>
      <c r="HC15" s="0"/>
      <c r="HD15" s="0"/>
      <c r="HE15" s="0"/>
      <c r="HF15" s="0"/>
      <c r="HG15" s="0"/>
      <c r="HH15" s="0"/>
      <c r="HI15" s="0"/>
      <c r="HJ15" s="0"/>
      <c r="HK15" s="0"/>
      <c r="HL15" s="0"/>
      <c r="HM15" s="0"/>
      <c r="HN15" s="0"/>
      <c r="HO15" s="0"/>
      <c r="HP15" s="0"/>
      <c r="HQ15" s="0"/>
      <c r="HR15" s="0"/>
      <c r="HS15" s="0"/>
      <c r="HT15" s="0"/>
      <c r="HU15" s="0"/>
      <c r="HV15" s="0"/>
      <c r="HW15" s="0"/>
      <c r="HX15" s="0"/>
      <c r="HY15" s="0"/>
      <c r="HZ15" s="0"/>
      <c r="IA15" s="0"/>
      <c r="IB15" s="0"/>
      <c r="IC15" s="0"/>
      <c r="ID15" s="0"/>
      <c r="IE15" s="0"/>
      <c r="IF15" s="0"/>
      <c r="IG15" s="0"/>
      <c r="IH15" s="0"/>
      <c r="II15" s="0"/>
      <c r="IJ15" s="0"/>
      <c r="IK15" s="0"/>
      <c r="IL15" s="0"/>
      <c r="IM15" s="0"/>
      <c r="IN15" s="0"/>
      <c r="IO15" s="0"/>
      <c r="IP15" s="0"/>
      <c r="IQ15" s="0"/>
      <c r="IR15" s="0"/>
      <c r="IS15" s="0"/>
      <c r="IT15" s="0"/>
      <c r="IU15" s="0"/>
      <c r="IV15" s="0"/>
      <c r="IW15" s="0"/>
    </row>
    <row r="16" customFormat="false" ht="11.1" hidden="false" customHeight="true" outlineLevel="0" collapsed="false">
      <c r="A16" s="58" t="n">
        <f aca="false">A15+1</f>
        <v>7</v>
      </c>
      <c r="B16" s="73" t="n">
        <v>6923.25</v>
      </c>
      <c r="C16" s="52" t="n">
        <v>377821</v>
      </c>
      <c r="D16" s="57" t="n">
        <f aca="false">C16-C15</f>
        <v>-134</v>
      </c>
      <c r="E16" s="52" t="n">
        <f aca="false">C16-152000</f>
        <v>225821</v>
      </c>
      <c r="F16" s="51" t="n">
        <f aca="false">D16/$D$2</f>
        <v>-67.5573481220066</v>
      </c>
      <c r="G16" s="51" t="n">
        <v>544</v>
      </c>
      <c r="H16" s="87" t="n">
        <v>0</v>
      </c>
      <c r="I16" s="51" t="n">
        <f aca="false">G16+H16</f>
        <v>544</v>
      </c>
      <c r="J16" s="81" t="n">
        <f aca="false">IF(L16&gt;0,L16,0)</f>
        <v>45.4426518779934</v>
      </c>
      <c r="K16" s="51" t="n">
        <f aca="false">I16+J16</f>
        <v>589.442651877993</v>
      </c>
      <c r="L16" s="51" t="n">
        <f aca="false">F16-(I16-W16)</f>
        <v>45.4426518779934</v>
      </c>
      <c r="M16" s="51" t="n">
        <v>218</v>
      </c>
      <c r="N16" s="51" t="n">
        <v>0</v>
      </c>
      <c r="O16" s="51" t="n">
        <v>0</v>
      </c>
      <c r="P16" s="6" t="n">
        <f aca="false">M16-(N16+O16)</f>
        <v>218</v>
      </c>
      <c r="Q16" s="51" t="n">
        <v>156</v>
      </c>
      <c r="R16" s="51" t="n">
        <v>96</v>
      </c>
      <c r="S16" s="51" t="n">
        <f aca="false">SUM(P16:R16)</f>
        <v>470</v>
      </c>
      <c r="T16" s="52" t="n">
        <f aca="false">(I16-S16)+T15</f>
        <v>1694</v>
      </c>
      <c r="U16" s="51" t="n">
        <v>0</v>
      </c>
      <c r="V16" s="51" t="n">
        <v>187</v>
      </c>
      <c r="W16" s="6" t="n">
        <f aca="false">N16+O16+S16+U16+V16</f>
        <v>657</v>
      </c>
      <c r="X16" s="51" t="n">
        <f aca="false">IF(L16&lt;0,L16*-1,0)</f>
        <v>0</v>
      </c>
      <c r="Y16" s="51" t="n">
        <f aca="false">W16+X16</f>
        <v>657</v>
      </c>
      <c r="Z16" s="55" t="n">
        <v>0</v>
      </c>
      <c r="AA16" s="171" t="n">
        <v>86</v>
      </c>
      <c r="AB16" s="171" t="n">
        <v>50</v>
      </c>
      <c r="AC16" s="58" t="n">
        <f aca="false">AC15+1</f>
        <v>7</v>
      </c>
      <c r="AD16" s="12" t="n">
        <f aca="false">IF(I16&gt;S16,I16-S16,I16-S16)</f>
        <v>74</v>
      </c>
      <c r="AE16" s="12"/>
      <c r="AF16" s="0"/>
      <c r="AG16" s="6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  <c r="BH16" s="0"/>
      <c r="BI16" s="0"/>
      <c r="BJ16" s="0"/>
      <c r="BK16" s="0"/>
      <c r="BL16" s="0"/>
      <c r="BM16" s="0"/>
      <c r="BN16" s="0"/>
      <c r="BO16" s="0"/>
      <c r="BP16" s="0"/>
      <c r="BQ16" s="0"/>
      <c r="BR16" s="0"/>
      <c r="BS16" s="0"/>
      <c r="BT16" s="0"/>
      <c r="BU16" s="0"/>
      <c r="BV16" s="0"/>
      <c r="BW16" s="0"/>
      <c r="BX16" s="0"/>
      <c r="BY16" s="0"/>
      <c r="BZ16" s="0"/>
      <c r="CA16" s="0"/>
      <c r="CB16" s="0"/>
      <c r="CC16" s="0"/>
      <c r="CD16" s="0"/>
      <c r="CE16" s="0"/>
      <c r="CF16" s="0"/>
      <c r="CG16" s="0"/>
      <c r="CH16" s="0"/>
      <c r="CI16" s="0"/>
      <c r="CJ16" s="0"/>
      <c r="CK16" s="0"/>
      <c r="CL16" s="0"/>
      <c r="CM16" s="0"/>
      <c r="CN16" s="0"/>
      <c r="CO16" s="0"/>
      <c r="CP16" s="0"/>
      <c r="CQ16" s="0"/>
      <c r="CR16" s="0"/>
      <c r="CS16" s="0"/>
      <c r="CT16" s="0"/>
      <c r="CU16" s="0"/>
      <c r="CV16" s="0"/>
      <c r="CW16" s="0"/>
      <c r="CX16" s="0"/>
      <c r="CY16" s="0"/>
      <c r="CZ16" s="0"/>
      <c r="DA16" s="0"/>
      <c r="DB16" s="0"/>
      <c r="DC16" s="0"/>
      <c r="DD16" s="0"/>
      <c r="DE16" s="0"/>
      <c r="DF16" s="0"/>
      <c r="DG16" s="0"/>
      <c r="DH16" s="0"/>
      <c r="DI16" s="0"/>
      <c r="DJ16" s="0"/>
      <c r="DK16" s="0"/>
      <c r="DL16" s="0"/>
      <c r="DM16" s="0"/>
      <c r="DN16" s="0"/>
      <c r="DO16" s="0"/>
      <c r="DP16" s="0"/>
      <c r="DQ16" s="0"/>
      <c r="DR16" s="0"/>
      <c r="DS16" s="0"/>
      <c r="DT16" s="0"/>
      <c r="DU16" s="0"/>
      <c r="DV16" s="0"/>
      <c r="DW16" s="0"/>
      <c r="DX16" s="0"/>
      <c r="DY16" s="0"/>
      <c r="DZ16" s="0"/>
      <c r="EA16" s="0"/>
      <c r="EB16" s="0"/>
      <c r="EC16" s="0"/>
      <c r="ED16" s="0"/>
      <c r="EE16" s="0"/>
      <c r="EF16" s="0"/>
      <c r="EG16" s="0"/>
      <c r="EH16" s="0"/>
      <c r="EI16" s="0"/>
      <c r="EJ16" s="0"/>
      <c r="EK16" s="0"/>
      <c r="EL16" s="0"/>
      <c r="EM16" s="0"/>
      <c r="EN16" s="0"/>
      <c r="EO16" s="0"/>
      <c r="EP16" s="0"/>
      <c r="EQ16" s="0"/>
      <c r="ER16" s="0"/>
      <c r="ES16" s="0"/>
      <c r="ET16" s="0"/>
      <c r="EU16" s="0"/>
      <c r="EV16" s="0"/>
      <c r="EW16" s="0"/>
      <c r="EX16" s="0"/>
      <c r="EY16" s="0"/>
      <c r="EZ16" s="0"/>
      <c r="FA16" s="0"/>
      <c r="FB16" s="0"/>
      <c r="FC16" s="0"/>
      <c r="FD16" s="0"/>
      <c r="FE16" s="0"/>
      <c r="FF16" s="0"/>
      <c r="FG16" s="0"/>
      <c r="FH16" s="0"/>
      <c r="FI16" s="0"/>
      <c r="FJ16" s="0"/>
      <c r="FK16" s="0"/>
      <c r="FL16" s="0"/>
      <c r="FM16" s="0"/>
      <c r="FN16" s="0"/>
      <c r="FO16" s="0"/>
      <c r="FP16" s="0"/>
      <c r="FQ16" s="0"/>
      <c r="FR16" s="0"/>
      <c r="FS16" s="0"/>
      <c r="FT16" s="0"/>
      <c r="FU16" s="0"/>
      <c r="FV16" s="0"/>
      <c r="FW16" s="0"/>
      <c r="FX16" s="0"/>
      <c r="FY16" s="0"/>
      <c r="FZ16" s="0"/>
      <c r="GA16" s="0"/>
      <c r="GB16" s="0"/>
      <c r="GC16" s="0"/>
      <c r="GD16" s="0"/>
      <c r="GE16" s="0"/>
      <c r="GF16" s="0"/>
      <c r="GG16" s="0"/>
      <c r="GH16" s="0"/>
      <c r="GI16" s="0"/>
      <c r="GJ16" s="0"/>
      <c r="GK16" s="0"/>
      <c r="GL16" s="0"/>
      <c r="GM16" s="0"/>
      <c r="GN16" s="0"/>
      <c r="GO16" s="0"/>
      <c r="GP16" s="0"/>
      <c r="GQ16" s="0"/>
      <c r="GR16" s="0"/>
      <c r="GS16" s="0"/>
      <c r="GT16" s="0"/>
      <c r="GU16" s="0"/>
      <c r="GV16" s="0"/>
      <c r="GW16" s="0"/>
      <c r="GX16" s="0"/>
      <c r="GY16" s="0"/>
      <c r="GZ16" s="0"/>
      <c r="HA16" s="0"/>
      <c r="HB16" s="0"/>
      <c r="HC16" s="0"/>
      <c r="HD16" s="0"/>
      <c r="HE16" s="0"/>
      <c r="HF16" s="0"/>
      <c r="HG16" s="0"/>
      <c r="HH16" s="0"/>
      <c r="HI16" s="0"/>
      <c r="HJ16" s="0"/>
      <c r="HK16" s="0"/>
      <c r="HL16" s="0"/>
      <c r="HM16" s="0"/>
      <c r="HN16" s="0"/>
      <c r="HO16" s="0"/>
      <c r="HP16" s="0"/>
      <c r="HQ16" s="0"/>
      <c r="HR16" s="0"/>
      <c r="HS16" s="0"/>
      <c r="HT16" s="0"/>
      <c r="HU16" s="0"/>
      <c r="HV16" s="0"/>
      <c r="HW16" s="0"/>
      <c r="HX16" s="0"/>
      <c r="HY16" s="0"/>
      <c r="HZ16" s="0"/>
      <c r="IA16" s="0"/>
      <c r="IB16" s="0"/>
      <c r="IC16" s="0"/>
      <c r="ID16" s="0"/>
      <c r="IE16" s="0"/>
      <c r="IF16" s="0"/>
      <c r="IG16" s="0"/>
      <c r="IH16" s="0"/>
      <c r="II16" s="0"/>
      <c r="IJ16" s="0"/>
      <c r="IK16" s="0"/>
      <c r="IL16" s="0"/>
      <c r="IM16" s="0"/>
      <c r="IN16" s="0"/>
      <c r="IO16" s="0"/>
      <c r="IP16" s="0"/>
      <c r="IQ16" s="0"/>
      <c r="IR16" s="0"/>
      <c r="IS16" s="0"/>
      <c r="IT16" s="0"/>
      <c r="IU16" s="0"/>
      <c r="IV16" s="0"/>
      <c r="IW16" s="0"/>
    </row>
    <row r="17" customFormat="false" ht="11.1" hidden="false" customHeight="true" outlineLevel="0" collapsed="false">
      <c r="A17" s="58" t="n">
        <f aca="false">A16+1</f>
        <v>8</v>
      </c>
      <c r="B17" s="73" t="n">
        <v>6923.18</v>
      </c>
      <c r="C17" s="52" t="n">
        <v>377510</v>
      </c>
      <c r="D17" s="57" t="n">
        <f aca="false">C17-C16</f>
        <v>-311</v>
      </c>
      <c r="E17" s="52" t="n">
        <f aca="false">C17-152000</f>
        <v>225510</v>
      </c>
      <c r="F17" s="51" t="n">
        <f aca="false">D17/$D$2</f>
        <v>-156.793546760776</v>
      </c>
      <c r="G17" s="51" t="n">
        <v>492</v>
      </c>
      <c r="H17" s="87" t="n">
        <v>0</v>
      </c>
      <c r="I17" s="51" t="n">
        <f aca="false">G17+H17</f>
        <v>492</v>
      </c>
      <c r="J17" s="81" t="n">
        <f aca="false">IF(L17&gt;0,L17,0)</f>
        <v>18.2064532392236</v>
      </c>
      <c r="K17" s="51" t="n">
        <f aca="false">I17+J17</f>
        <v>510.206453239224</v>
      </c>
      <c r="L17" s="51" t="n">
        <f aca="false">F17-(I17-W17)</f>
        <v>18.2064532392236</v>
      </c>
      <c r="M17" s="51" t="n">
        <v>220</v>
      </c>
      <c r="N17" s="51" t="n">
        <v>0</v>
      </c>
      <c r="O17" s="51" t="n">
        <v>0</v>
      </c>
      <c r="P17" s="6" t="n">
        <f aca="false">M17-(N17+O17)</f>
        <v>220</v>
      </c>
      <c r="Q17" s="51" t="n">
        <v>159</v>
      </c>
      <c r="R17" s="51" t="n">
        <v>101</v>
      </c>
      <c r="S17" s="51" t="n">
        <f aca="false">SUM(P17:R17)</f>
        <v>480</v>
      </c>
      <c r="T17" s="52" t="n">
        <f aca="false">(I17-S17)+T16</f>
        <v>1706</v>
      </c>
      <c r="U17" s="51" t="n">
        <v>0</v>
      </c>
      <c r="V17" s="51" t="n">
        <v>187</v>
      </c>
      <c r="W17" s="6" t="n">
        <f aca="false">N17+O17+S17+U17+V17</f>
        <v>667</v>
      </c>
      <c r="X17" s="51" t="n">
        <f aca="false">IF(L17&lt;0,L17*-1,0)</f>
        <v>0</v>
      </c>
      <c r="Y17" s="51" t="n">
        <f aca="false">W17+X17</f>
        <v>667</v>
      </c>
      <c r="Z17" s="55" t="n">
        <v>0</v>
      </c>
      <c r="AA17" s="57" t="n">
        <v>87</v>
      </c>
      <c r="AB17" s="57" t="n">
        <v>54</v>
      </c>
      <c r="AC17" s="58" t="n">
        <f aca="false">AC16+1</f>
        <v>8</v>
      </c>
      <c r="AD17" s="12" t="n">
        <f aca="false">IF(I17&gt;S17,I17-S17,I17-S17)</f>
        <v>12</v>
      </c>
      <c r="AE17" s="12"/>
      <c r="AF17" s="0"/>
      <c r="AG17" s="6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  <c r="BH17" s="0"/>
      <c r="BI17" s="0"/>
      <c r="BJ17" s="0"/>
      <c r="BK17" s="0"/>
      <c r="BL17" s="0"/>
      <c r="BM17" s="0"/>
      <c r="BN17" s="0"/>
      <c r="BO17" s="0"/>
      <c r="BP17" s="0"/>
      <c r="BQ17" s="0"/>
      <c r="BR17" s="0"/>
      <c r="BS17" s="0"/>
      <c r="BT17" s="0"/>
      <c r="BU17" s="0"/>
      <c r="BV17" s="0"/>
      <c r="BW17" s="0"/>
      <c r="BX17" s="0"/>
      <c r="BY17" s="0"/>
      <c r="BZ17" s="0"/>
      <c r="CA17" s="0"/>
      <c r="CB17" s="0"/>
      <c r="CC17" s="0"/>
      <c r="CD17" s="0"/>
      <c r="CE17" s="0"/>
      <c r="CF17" s="0"/>
      <c r="CG17" s="0"/>
      <c r="CH17" s="0"/>
      <c r="CI17" s="0"/>
      <c r="CJ17" s="0"/>
      <c r="CK17" s="0"/>
      <c r="CL17" s="0"/>
      <c r="CM17" s="0"/>
      <c r="CN17" s="0"/>
      <c r="CO17" s="0"/>
      <c r="CP17" s="0"/>
      <c r="CQ17" s="0"/>
      <c r="CR17" s="0"/>
      <c r="CS17" s="0"/>
      <c r="CT17" s="0"/>
      <c r="CU17" s="0"/>
      <c r="CV17" s="0"/>
      <c r="CW17" s="0"/>
      <c r="CX17" s="0"/>
      <c r="CY17" s="0"/>
      <c r="CZ17" s="0"/>
      <c r="DA17" s="0"/>
      <c r="DB17" s="0"/>
      <c r="DC17" s="0"/>
      <c r="DD17" s="0"/>
      <c r="DE17" s="0"/>
      <c r="DF17" s="0"/>
      <c r="DG17" s="0"/>
      <c r="DH17" s="0"/>
      <c r="DI17" s="0"/>
      <c r="DJ17" s="0"/>
      <c r="DK17" s="0"/>
      <c r="DL17" s="0"/>
      <c r="DM17" s="0"/>
      <c r="DN17" s="0"/>
      <c r="DO17" s="0"/>
      <c r="DP17" s="0"/>
      <c r="DQ17" s="0"/>
      <c r="DR17" s="0"/>
      <c r="DS17" s="0"/>
      <c r="DT17" s="0"/>
      <c r="DU17" s="0"/>
      <c r="DV17" s="0"/>
      <c r="DW17" s="0"/>
      <c r="DX17" s="0"/>
      <c r="DY17" s="0"/>
      <c r="DZ17" s="0"/>
      <c r="EA17" s="0"/>
      <c r="EB17" s="0"/>
      <c r="EC17" s="0"/>
      <c r="ED17" s="0"/>
      <c r="EE17" s="0"/>
      <c r="EF17" s="0"/>
      <c r="EG17" s="0"/>
      <c r="EH17" s="0"/>
      <c r="EI17" s="0"/>
      <c r="EJ17" s="0"/>
      <c r="EK17" s="0"/>
      <c r="EL17" s="0"/>
      <c r="EM17" s="0"/>
      <c r="EN17" s="0"/>
      <c r="EO17" s="0"/>
      <c r="EP17" s="0"/>
      <c r="EQ17" s="0"/>
      <c r="ER17" s="0"/>
      <c r="ES17" s="0"/>
      <c r="ET17" s="0"/>
      <c r="EU17" s="0"/>
      <c r="EV17" s="0"/>
      <c r="EW17" s="0"/>
      <c r="EX17" s="0"/>
      <c r="EY17" s="0"/>
      <c r="EZ17" s="0"/>
      <c r="FA17" s="0"/>
      <c r="FB17" s="0"/>
      <c r="FC17" s="0"/>
      <c r="FD17" s="0"/>
      <c r="FE17" s="0"/>
      <c r="FF17" s="0"/>
      <c r="FG17" s="0"/>
      <c r="FH17" s="0"/>
      <c r="FI17" s="0"/>
      <c r="FJ17" s="0"/>
      <c r="FK17" s="0"/>
      <c r="FL17" s="0"/>
      <c r="FM17" s="0"/>
      <c r="FN17" s="0"/>
      <c r="FO17" s="0"/>
      <c r="FP17" s="0"/>
      <c r="FQ17" s="0"/>
      <c r="FR17" s="0"/>
      <c r="FS17" s="0"/>
      <c r="FT17" s="0"/>
      <c r="FU17" s="0"/>
      <c r="FV17" s="0"/>
      <c r="FW17" s="0"/>
      <c r="FX17" s="0"/>
      <c r="FY17" s="0"/>
      <c r="FZ17" s="0"/>
      <c r="GA17" s="0"/>
      <c r="GB17" s="0"/>
      <c r="GC17" s="0"/>
      <c r="GD17" s="0"/>
      <c r="GE17" s="0"/>
      <c r="GF17" s="0"/>
      <c r="GG17" s="0"/>
      <c r="GH17" s="0"/>
      <c r="GI17" s="0"/>
      <c r="GJ17" s="0"/>
      <c r="GK17" s="0"/>
      <c r="GL17" s="0"/>
      <c r="GM17" s="0"/>
      <c r="GN17" s="0"/>
      <c r="GO17" s="0"/>
      <c r="GP17" s="0"/>
      <c r="GQ17" s="0"/>
      <c r="GR17" s="0"/>
      <c r="GS17" s="0"/>
      <c r="GT17" s="0"/>
      <c r="GU17" s="0"/>
      <c r="GV17" s="0"/>
      <c r="GW17" s="0"/>
      <c r="GX17" s="0"/>
      <c r="GY17" s="0"/>
      <c r="GZ17" s="0"/>
      <c r="HA17" s="0"/>
      <c r="HB17" s="0"/>
      <c r="HC17" s="0"/>
      <c r="HD17" s="0"/>
      <c r="HE17" s="0"/>
      <c r="HF17" s="0"/>
      <c r="HG17" s="0"/>
      <c r="HH17" s="0"/>
      <c r="HI17" s="0"/>
      <c r="HJ17" s="0"/>
      <c r="HK17" s="0"/>
      <c r="HL17" s="0"/>
      <c r="HM17" s="0"/>
      <c r="HN17" s="0"/>
      <c r="HO17" s="0"/>
      <c r="HP17" s="0"/>
      <c r="HQ17" s="0"/>
      <c r="HR17" s="0"/>
      <c r="HS17" s="0"/>
      <c r="HT17" s="0"/>
      <c r="HU17" s="0"/>
      <c r="HV17" s="0"/>
      <c r="HW17" s="0"/>
      <c r="HX17" s="0"/>
      <c r="HY17" s="0"/>
      <c r="HZ17" s="0"/>
      <c r="IA17" s="0"/>
      <c r="IB17" s="0"/>
      <c r="IC17" s="0"/>
      <c r="ID17" s="0"/>
      <c r="IE17" s="0"/>
      <c r="IF17" s="0"/>
      <c r="IG17" s="0"/>
      <c r="IH17" s="0"/>
      <c r="II17" s="0"/>
      <c r="IJ17" s="0"/>
      <c r="IK17" s="0"/>
      <c r="IL17" s="0"/>
      <c r="IM17" s="0"/>
      <c r="IN17" s="0"/>
      <c r="IO17" s="0"/>
      <c r="IP17" s="0"/>
      <c r="IQ17" s="0"/>
      <c r="IR17" s="0"/>
      <c r="IS17" s="0"/>
      <c r="IT17" s="0"/>
      <c r="IU17" s="0"/>
      <c r="IV17" s="0"/>
      <c r="IW17" s="0"/>
    </row>
    <row r="18" customFormat="false" ht="11.1" hidden="false" customHeight="true" outlineLevel="0" collapsed="false">
      <c r="A18" s="58" t="n">
        <f aca="false">A17+1</f>
        <v>9</v>
      </c>
      <c r="B18" s="73" t="n">
        <v>6923.04</v>
      </c>
      <c r="C18" s="52" t="n">
        <v>376887</v>
      </c>
      <c r="D18" s="57" t="n">
        <f aca="false">C18-C17</f>
        <v>-623</v>
      </c>
      <c r="E18" s="52" t="n">
        <f aca="false">C18-152000</f>
        <v>224887</v>
      </c>
      <c r="F18" s="51" t="n">
        <f aca="false">D18/$D$2</f>
        <v>-314.091252835896</v>
      </c>
      <c r="G18" s="51" t="n">
        <v>470</v>
      </c>
      <c r="H18" s="87" t="n">
        <v>0</v>
      </c>
      <c r="I18" s="51" t="n">
        <f aca="false">G18+H18</f>
        <v>470</v>
      </c>
      <c r="J18" s="81" t="n">
        <f aca="false">IF(L18&gt;0,L18,0)</f>
        <v>0</v>
      </c>
      <c r="K18" s="51" t="n">
        <f aca="false">I18+J18</f>
        <v>470</v>
      </c>
      <c r="L18" s="51" t="n">
        <f aca="false">F18-(I18-W18)</f>
        <v>-71.0912528358961</v>
      </c>
      <c r="M18" s="51" t="n">
        <v>225</v>
      </c>
      <c r="N18" s="51" t="n">
        <v>0</v>
      </c>
      <c r="O18" s="51" t="n">
        <v>0</v>
      </c>
      <c r="P18" s="6" t="n">
        <f aca="false">M18-(N18+O18)</f>
        <v>225</v>
      </c>
      <c r="Q18" s="51" t="n">
        <v>165</v>
      </c>
      <c r="R18" s="51" t="n">
        <v>92</v>
      </c>
      <c r="S18" s="51" t="n">
        <f aca="false">SUM(P18:R18)</f>
        <v>482</v>
      </c>
      <c r="T18" s="52" t="n">
        <f aca="false">(I18-S18)+T17</f>
        <v>1694</v>
      </c>
      <c r="U18" s="51" t="n">
        <v>40</v>
      </c>
      <c r="V18" s="51" t="n">
        <v>191</v>
      </c>
      <c r="W18" s="6" t="n">
        <f aca="false">N18+O18+S18+U18+V18</f>
        <v>713</v>
      </c>
      <c r="X18" s="51" t="n">
        <f aca="false">IF(L18&lt;0,L18*-1,0)</f>
        <v>71.0912528358961</v>
      </c>
      <c r="Y18" s="51" t="n">
        <f aca="false">W18+X18</f>
        <v>784.091252835896</v>
      </c>
      <c r="Z18" s="55" t="n">
        <v>0</v>
      </c>
      <c r="AA18" s="82" t="n">
        <v>85</v>
      </c>
      <c r="AB18" s="57" t="n">
        <v>51</v>
      </c>
      <c r="AC18" s="58" t="n">
        <f aca="false">AC17+1</f>
        <v>9</v>
      </c>
      <c r="AD18" s="12" t="n">
        <f aca="false">IF(I18&gt;S18,I18-S18,I18-S18)</f>
        <v>-12</v>
      </c>
      <c r="AE18" s="12"/>
      <c r="AF18" s="0"/>
      <c r="AG18" s="6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  <c r="BH18" s="0"/>
      <c r="BI18" s="0"/>
      <c r="BJ18" s="0"/>
      <c r="BK18" s="0"/>
      <c r="BL18" s="0"/>
      <c r="BM18" s="0"/>
      <c r="BN18" s="0"/>
      <c r="BO18" s="0"/>
      <c r="BP18" s="0"/>
      <c r="BQ18" s="0"/>
      <c r="BR18" s="0"/>
      <c r="BS18" s="0"/>
      <c r="BT18" s="0"/>
      <c r="BU18" s="0"/>
      <c r="BV18" s="0"/>
      <c r="BW18" s="0"/>
      <c r="BX18" s="0"/>
      <c r="BY18" s="0"/>
      <c r="BZ18" s="0"/>
      <c r="CA18" s="0"/>
      <c r="CB18" s="0"/>
      <c r="CC18" s="0"/>
      <c r="CD18" s="0"/>
      <c r="CE18" s="0"/>
      <c r="CF18" s="0"/>
      <c r="CG18" s="0"/>
      <c r="CH18" s="0"/>
      <c r="CI18" s="0"/>
      <c r="CJ18" s="0"/>
      <c r="CK18" s="0"/>
      <c r="CL18" s="0"/>
      <c r="CM18" s="0"/>
      <c r="CN18" s="0"/>
      <c r="CO18" s="0"/>
      <c r="CP18" s="0"/>
      <c r="CQ18" s="0"/>
      <c r="CR18" s="0"/>
      <c r="CS18" s="0"/>
      <c r="CT18" s="0"/>
      <c r="CU18" s="0"/>
      <c r="CV18" s="0"/>
      <c r="CW18" s="0"/>
      <c r="CX18" s="0"/>
      <c r="CY18" s="0"/>
      <c r="CZ18" s="0"/>
      <c r="DA18" s="0"/>
      <c r="DB18" s="0"/>
      <c r="DC18" s="0"/>
      <c r="DD18" s="0"/>
      <c r="DE18" s="0"/>
      <c r="DF18" s="0"/>
      <c r="DG18" s="0"/>
      <c r="DH18" s="0"/>
      <c r="DI18" s="0"/>
      <c r="DJ18" s="0"/>
      <c r="DK18" s="0"/>
      <c r="DL18" s="0"/>
      <c r="DM18" s="0"/>
      <c r="DN18" s="0"/>
      <c r="DO18" s="0"/>
      <c r="DP18" s="0"/>
      <c r="DQ18" s="0"/>
      <c r="DR18" s="0"/>
      <c r="DS18" s="0"/>
      <c r="DT18" s="0"/>
      <c r="DU18" s="0"/>
      <c r="DV18" s="0"/>
      <c r="DW18" s="0"/>
      <c r="DX18" s="0"/>
      <c r="DY18" s="0"/>
      <c r="DZ18" s="0"/>
      <c r="EA18" s="0"/>
      <c r="EB18" s="0"/>
      <c r="EC18" s="0"/>
      <c r="ED18" s="0"/>
      <c r="EE18" s="0"/>
      <c r="EF18" s="0"/>
      <c r="EG18" s="0"/>
      <c r="EH18" s="0"/>
      <c r="EI18" s="0"/>
      <c r="EJ18" s="0"/>
      <c r="EK18" s="0"/>
      <c r="EL18" s="0"/>
      <c r="EM18" s="0"/>
      <c r="EN18" s="0"/>
      <c r="EO18" s="0"/>
      <c r="EP18" s="0"/>
      <c r="EQ18" s="0"/>
      <c r="ER18" s="0"/>
      <c r="ES18" s="0"/>
      <c r="ET18" s="0"/>
      <c r="EU18" s="0"/>
      <c r="EV18" s="0"/>
      <c r="EW18" s="0"/>
      <c r="EX18" s="0"/>
      <c r="EY18" s="0"/>
      <c r="EZ18" s="0"/>
      <c r="FA18" s="0"/>
      <c r="FB18" s="0"/>
      <c r="FC18" s="0"/>
      <c r="FD18" s="0"/>
      <c r="FE18" s="0"/>
      <c r="FF18" s="0"/>
      <c r="FG18" s="0"/>
      <c r="FH18" s="0"/>
      <c r="FI18" s="0"/>
      <c r="FJ18" s="0"/>
      <c r="FK18" s="0"/>
      <c r="FL18" s="0"/>
      <c r="FM18" s="0"/>
      <c r="FN18" s="0"/>
      <c r="FO18" s="0"/>
      <c r="FP18" s="0"/>
      <c r="FQ18" s="0"/>
      <c r="FR18" s="0"/>
      <c r="FS18" s="0"/>
      <c r="FT18" s="0"/>
      <c r="FU18" s="0"/>
      <c r="FV18" s="0"/>
      <c r="FW18" s="0"/>
      <c r="FX18" s="0"/>
      <c r="FY18" s="0"/>
      <c r="FZ18" s="0"/>
      <c r="GA18" s="0"/>
      <c r="GB18" s="0"/>
      <c r="GC18" s="0"/>
      <c r="GD18" s="0"/>
      <c r="GE18" s="0"/>
      <c r="GF18" s="0"/>
      <c r="GG18" s="0"/>
      <c r="GH18" s="0"/>
      <c r="GI18" s="0"/>
      <c r="GJ18" s="0"/>
      <c r="GK18" s="0"/>
      <c r="GL18" s="0"/>
      <c r="GM18" s="0"/>
      <c r="GN18" s="0"/>
      <c r="GO18" s="0"/>
      <c r="GP18" s="0"/>
      <c r="GQ18" s="0"/>
      <c r="GR18" s="0"/>
      <c r="GS18" s="0"/>
      <c r="GT18" s="0"/>
      <c r="GU18" s="0"/>
      <c r="GV18" s="0"/>
      <c r="GW18" s="0"/>
      <c r="GX18" s="0"/>
      <c r="GY18" s="0"/>
      <c r="GZ18" s="0"/>
      <c r="HA18" s="0"/>
      <c r="HB18" s="0"/>
      <c r="HC18" s="0"/>
      <c r="HD18" s="0"/>
      <c r="HE18" s="0"/>
      <c r="HF18" s="0"/>
      <c r="HG18" s="0"/>
      <c r="HH18" s="0"/>
      <c r="HI18" s="0"/>
      <c r="HJ18" s="0"/>
      <c r="HK18" s="0"/>
      <c r="HL18" s="0"/>
      <c r="HM18" s="0"/>
      <c r="HN18" s="0"/>
      <c r="HO18" s="0"/>
      <c r="HP18" s="0"/>
      <c r="HQ18" s="0"/>
      <c r="HR18" s="0"/>
      <c r="HS18" s="0"/>
      <c r="HT18" s="0"/>
      <c r="HU18" s="0"/>
      <c r="HV18" s="0"/>
      <c r="HW18" s="0"/>
      <c r="HX18" s="0"/>
      <c r="HY18" s="0"/>
      <c r="HZ18" s="0"/>
      <c r="IA18" s="0"/>
      <c r="IB18" s="0"/>
      <c r="IC18" s="0"/>
      <c r="ID18" s="0"/>
      <c r="IE18" s="0"/>
      <c r="IF18" s="0"/>
      <c r="IG18" s="0"/>
      <c r="IH18" s="0"/>
      <c r="II18" s="0"/>
      <c r="IJ18" s="0"/>
      <c r="IK18" s="0"/>
      <c r="IL18" s="0"/>
      <c r="IM18" s="0"/>
      <c r="IN18" s="0"/>
      <c r="IO18" s="0"/>
      <c r="IP18" s="0"/>
      <c r="IQ18" s="0"/>
      <c r="IR18" s="0"/>
      <c r="IS18" s="0"/>
      <c r="IT18" s="0"/>
      <c r="IU18" s="0"/>
      <c r="IV18" s="0"/>
      <c r="IW18" s="0"/>
    </row>
    <row r="19" customFormat="false" ht="11.1" hidden="false" customHeight="true" outlineLevel="0" collapsed="false">
      <c r="A19" s="58" t="n">
        <f aca="false">A18+1</f>
        <v>10</v>
      </c>
      <c r="B19" s="73" t="n">
        <v>6922.92</v>
      </c>
      <c r="C19" s="52" t="n">
        <v>376355</v>
      </c>
      <c r="D19" s="57" t="n">
        <f aca="false">C19-C18</f>
        <v>-532</v>
      </c>
      <c r="E19" s="52" t="n">
        <f aca="false">C19-152000</f>
        <v>224355</v>
      </c>
      <c r="F19" s="51" t="n">
        <f aca="false">D19/$D$2</f>
        <v>-268.212755230653</v>
      </c>
      <c r="G19" s="51" t="n">
        <v>459</v>
      </c>
      <c r="H19" s="87" t="n">
        <v>0</v>
      </c>
      <c r="I19" s="51" t="n">
        <f aca="false">G19+H19</f>
        <v>459</v>
      </c>
      <c r="J19" s="81" t="n">
        <f aca="false">IF(L19&gt;0,L19,0)</f>
        <v>0</v>
      </c>
      <c r="K19" s="51" t="n">
        <f aca="false">I19+J19</f>
        <v>459</v>
      </c>
      <c r="L19" s="51" t="n">
        <f aca="false">F19-(I19-W19)</f>
        <v>-5.21275523065287</v>
      </c>
      <c r="M19" s="51" t="n">
        <v>225</v>
      </c>
      <c r="N19" s="51" t="n">
        <v>0</v>
      </c>
      <c r="O19" s="51" t="n">
        <v>0</v>
      </c>
      <c r="P19" s="6" t="n">
        <f aca="false">M19-(N19+O19)</f>
        <v>225</v>
      </c>
      <c r="Q19" s="51" t="n">
        <v>167</v>
      </c>
      <c r="R19" s="51" t="n">
        <v>98</v>
      </c>
      <c r="S19" s="51" t="n">
        <f aca="false">SUM(P19:R19)</f>
        <v>490</v>
      </c>
      <c r="T19" s="52" t="n">
        <f aca="false">(I19-S19)+T18</f>
        <v>1663</v>
      </c>
      <c r="U19" s="51" t="n">
        <v>40</v>
      </c>
      <c r="V19" s="51" t="n">
        <v>192</v>
      </c>
      <c r="W19" s="6" t="n">
        <f aca="false">N19+O19+S19+U19+V19</f>
        <v>722</v>
      </c>
      <c r="X19" s="51" t="n">
        <f aca="false">IF(L19&lt;0,L19*-1,0)</f>
        <v>5.21275523065287</v>
      </c>
      <c r="Y19" s="51" t="n">
        <f aca="false">W19+X19</f>
        <v>727.212755230653</v>
      </c>
      <c r="Z19" s="55" t="n">
        <v>0</v>
      </c>
      <c r="AA19" s="57" t="n">
        <v>84</v>
      </c>
      <c r="AB19" s="57" t="n">
        <v>50</v>
      </c>
      <c r="AC19" s="58" t="n">
        <f aca="false">AC18+1</f>
        <v>10</v>
      </c>
      <c r="AD19" s="12" t="n">
        <f aca="false">IF(I19&gt;S19,I19-S19,I19-S19)</f>
        <v>-31</v>
      </c>
      <c r="AE19" s="12"/>
      <c r="AF19" s="0"/>
      <c r="AG19" s="6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  <c r="BH19" s="0"/>
      <c r="BI19" s="0"/>
      <c r="BJ19" s="0"/>
      <c r="BK19" s="0"/>
      <c r="BL19" s="0"/>
      <c r="BM19" s="0"/>
      <c r="BN19" s="0"/>
      <c r="BO19" s="0"/>
      <c r="BP19" s="0"/>
      <c r="BQ19" s="0"/>
      <c r="BR19" s="0"/>
      <c r="BS19" s="0"/>
      <c r="BT19" s="0"/>
      <c r="BU19" s="0"/>
      <c r="BV19" s="0"/>
      <c r="BW19" s="0"/>
      <c r="BX19" s="0"/>
      <c r="BY19" s="0"/>
      <c r="BZ19" s="0"/>
      <c r="CA19" s="0"/>
      <c r="CB19" s="0"/>
      <c r="CC19" s="0"/>
      <c r="CD19" s="0"/>
      <c r="CE19" s="0"/>
      <c r="CF19" s="0"/>
      <c r="CG19" s="0"/>
      <c r="CH19" s="0"/>
      <c r="CI19" s="0"/>
      <c r="CJ19" s="0"/>
      <c r="CK19" s="0"/>
      <c r="CL19" s="0"/>
      <c r="CM19" s="0"/>
      <c r="CN19" s="0"/>
      <c r="CO19" s="0"/>
      <c r="CP19" s="0"/>
      <c r="CQ19" s="0"/>
      <c r="CR19" s="0"/>
      <c r="CS19" s="0"/>
      <c r="CT19" s="0"/>
      <c r="CU19" s="0"/>
      <c r="CV19" s="0"/>
      <c r="CW19" s="0"/>
      <c r="CX19" s="0"/>
      <c r="CY19" s="0"/>
      <c r="CZ19" s="0"/>
      <c r="DA19" s="0"/>
      <c r="DB19" s="0"/>
      <c r="DC19" s="0"/>
      <c r="DD19" s="0"/>
      <c r="DE19" s="0"/>
      <c r="DF19" s="0"/>
      <c r="DG19" s="0"/>
      <c r="DH19" s="0"/>
      <c r="DI19" s="0"/>
      <c r="DJ19" s="0"/>
      <c r="DK19" s="0"/>
      <c r="DL19" s="0"/>
      <c r="DM19" s="0"/>
      <c r="DN19" s="0"/>
      <c r="DO19" s="0"/>
      <c r="DP19" s="0"/>
      <c r="DQ19" s="0"/>
      <c r="DR19" s="0"/>
      <c r="DS19" s="0"/>
      <c r="DT19" s="0"/>
      <c r="DU19" s="0"/>
      <c r="DV19" s="0"/>
      <c r="DW19" s="0"/>
      <c r="DX19" s="0"/>
      <c r="DY19" s="0"/>
      <c r="DZ19" s="0"/>
      <c r="EA19" s="0"/>
      <c r="EB19" s="0"/>
      <c r="EC19" s="0"/>
      <c r="ED19" s="0"/>
      <c r="EE19" s="0"/>
      <c r="EF19" s="0"/>
      <c r="EG19" s="0"/>
      <c r="EH19" s="0"/>
      <c r="EI19" s="0"/>
      <c r="EJ19" s="0"/>
      <c r="EK19" s="0"/>
      <c r="EL19" s="0"/>
      <c r="EM19" s="0"/>
      <c r="EN19" s="0"/>
      <c r="EO19" s="0"/>
      <c r="EP19" s="0"/>
      <c r="EQ19" s="0"/>
      <c r="ER19" s="0"/>
      <c r="ES19" s="0"/>
      <c r="ET19" s="0"/>
      <c r="EU19" s="0"/>
      <c r="EV19" s="0"/>
      <c r="EW19" s="0"/>
      <c r="EX19" s="0"/>
      <c r="EY19" s="0"/>
      <c r="EZ19" s="0"/>
      <c r="FA19" s="0"/>
      <c r="FB19" s="0"/>
      <c r="FC19" s="0"/>
      <c r="FD19" s="0"/>
      <c r="FE19" s="0"/>
      <c r="FF19" s="0"/>
      <c r="FG19" s="0"/>
      <c r="FH19" s="0"/>
      <c r="FI19" s="0"/>
      <c r="FJ19" s="0"/>
      <c r="FK19" s="0"/>
      <c r="FL19" s="0"/>
      <c r="FM19" s="0"/>
      <c r="FN19" s="0"/>
      <c r="FO19" s="0"/>
      <c r="FP19" s="0"/>
      <c r="FQ19" s="0"/>
      <c r="FR19" s="0"/>
      <c r="FS19" s="0"/>
      <c r="FT19" s="0"/>
      <c r="FU19" s="0"/>
      <c r="FV19" s="0"/>
      <c r="FW19" s="0"/>
      <c r="FX19" s="0"/>
      <c r="FY19" s="0"/>
      <c r="FZ19" s="0"/>
      <c r="GA19" s="0"/>
      <c r="GB19" s="0"/>
      <c r="GC19" s="0"/>
      <c r="GD19" s="0"/>
      <c r="GE19" s="0"/>
      <c r="GF19" s="0"/>
      <c r="GG19" s="0"/>
      <c r="GH19" s="0"/>
      <c r="GI19" s="0"/>
      <c r="GJ19" s="0"/>
      <c r="GK19" s="0"/>
      <c r="GL19" s="0"/>
      <c r="GM19" s="0"/>
      <c r="GN19" s="0"/>
      <c r="GO19" s="0"/>
      <c r="GP19" s="0"/>
      <c r="GQ19" s="0"/>
      <c r="GR19" s="0"/>
      <c r="GS19" s="0"/>
      <c r="GT19" s="0"/>
      <c r="GU19" s="0"/>
      <c r="GV19" s="0"/>
      <c r="GW19" s="0"/>
      <c r="GX19" s="0"/>
      <c r="GY19" s="0"/>
      <c r="GZ19" s="0"/>
      <c r="HA19" s="0"/>
      <c r="HB19" s="0"/>
      <c r="HC19" s="0"/>
      <c r="HD19" s="0"/>
      <c r="HE19" s="0"/>
      <c r="HF19" s="0"/>
      <c r="HG19" s="0"/>
      <c r="HH19" s="0"/>
      <c r="HI19" s="0"/>
      <c r="HJ19" s="0"/>
      <c r="HK19" s="0"/>
      <c r="HL19" s="0"/>
      <c r="HM19" s="0"/>
      <c r="HN19" s="0"/>
      <c r="HO19" s="0"/>
      <c r="HP19" s="0"/>
      <c r="HQ19" s="0"/>
      <c r="HR19" s="0"/>
      <c r="HS19" s="0"/>
      <c r="HT19" s="0"/>
      <c r="HU19" s="0"/>
      <c r="HV19" s="0"/>
      <c r="HW19" s="0"/>
      <c r="HX19" s="0"/>
      <c r="HY19" s="0"/>
      <c r="HZ19" s="0"/>
      <c r="IA19" s="0"/>
      <c r="IB19" s="0"/>
      <c r="IC19" s="0"/>
      <c r="ID19" s="0"/>
      <c r="IE19" s="0"/>
      <c r="IF19" s="0"/>
      <c r="IG19" s="0"/>
      <c r="IH19" s="0"/>
      <c r="II19" s="0"/>
      <c r="IJ19" s="0"/>
      <c r="IK19" s="0"/>
      <c r="IL19" s="0"/>
      <c r="IM19" s="0"/>
      <c r="IN19" s="0"/>
      <c r="IO19" s="0"/>
      <c r="IP19" s="0"/>
      <c r="IQ19" s="0"/>
      <c r="IR19" s="0"/>
      <c r="IS19" s="0"/>
      <c r="IT19" s="0"/>
      <c r="IU19" s="0"/>
      <c r="IV19" s="0"/>
      <c r="IW19" s="0"/>
    </row>
    <row r="20" customFormat="false" ht="11.1" hidden="false" customHeight="true" outlineLevel="0" collapsed="false">
      <c r="A20" s="58" t="n">
        <f aca="false">A19+1</f>
        <v>11</v>
      </c>
      <c r="B20" s="73" t="n">
        <v>6922.79</v>
      </c>
      <c r="C20" s="52" t="n">
        <v>375782</v>
      </c>
      <c r="D20" s="57" t="n">
        <f aca="false">C20-C19</f>
        <v>-573</v>
      </c>
      <c r="E20" s="52" t="n">
        <f aca="false">C20-152000</f>
        <v>223782</v>
      </c>
      <c r="F20" s="51" t="n">
        <f aca="false">D20/$D$2</f>
        <v>-288.88328711873</v>
      </c>
      <c r="G20" s="51" t="n">
        <v>438</v>
      </c>
      <c r="H20" s="87" t="n">
        <v>0</v>
      </c>
      <c r="I20" s="51" t="n">
        <f aca="false">G20+H20</f>
        <v>438</v>
      </c>
      <c r="J20" s="81" t="n">
        <f aca="false">IF(L20&gt;0,L20,0)</f>
        <v>0</v>
      </c>
      <c r="K20" s="51" t="n">
        <f aca="false">I20+J20</f>
        <v>438</v>
      </c>
      <c r="L20" s="51" t="n">
        <f aca="false">F20-(I20-W20)</f>
        <v>-39.8832871187295</v>
      </c>
      <c r="M20" s="51" t="n">
        <v>235</v>
      </c>
      <c r="N20" s="51" t="n">
        <v>0</v>
      </c>
      <c r="O20" s="51" t="n">
        <v>0</v>
      </c>
      <c r="P20" s="6" t="n">
        <f aca="false">M20-(N20+O20)</f>
        <v>235</v>
      </c>
      <c r="Q20" s="51" t="n">
        <v>169</v>
      </c>
      <c r="R20" s="51" t="n">
        <v>91</v>
      </c>
      <c r="S20" s="51" t="n">
        <f aca="false">SUM(P20:R20)</f>
        <v>495</v>
      </c>
      <c r="T20" s="52" t="n">
        <f aca="false">(I20-S20)+T19</f>
        <v>1606</v>
      </c>
      <c r="U20" s="51" t="n">
        <v>1</v>
      </c>
      <c r="V20" s="51" t="n">
        <v>191</v>
      </c>
      <c r="W20" s="6" t="n">
        <f aca="false">N20+O20+S20+U20+V20</f>
        <v>687</v>
      </c>
      <c r="X20" s="51" t="n">
        <f aca="false">IF(L20&lt;0,L20*-1,0)</f>
        <v>39.8832871187295</v>
      </c>
      <c r="Y20" s="51" t="n">
        <f aca="false">W20+X20</f>
        <v>726.88328711873</v>
      </c>
      <c r="Z20" s="55" t="n">
        <v>0</v>
      </c>
      <c r="AA20" s="57" t="n">
        <v>86</v>
      </c>
      <c r="AB20" s="57" t="n">
        <v>50</v>
      </c>
      <c r="AC20" s="58" t="n">
        <f aca="false">AC19+1</f>
        <v>11</v>
      </c>
      <c r="AD20" s="12" t="n">
        <f aca="false">IF(I20&gt;S20,I20-S20,I20-S20)</f>
        <v>-57</v>
      </c>
      <c r="AE20" s="12"/>
      <c r="AF20" s="0"/>
      <c r="AG20" s="6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  <c r="BH20" s="0"/>
      <c r="BI20" s="0"/>
      <c r="BJ20" s="0"/>
      <c r="BK20" s="0"/>
      <c r="BL20" s="0"/>
      <c r="BM20" s="0"/>
      <c r="BN20" s="0"/>
      <c r="BO20" s="0"/>
      <c r="BP20" s="0"/>
      <c r="BQ20" s="0"/>
      <c r="BR20" s="0"/>
      <c r="BS20" s="0"/>
      <c r="BT20" s="0"/>
      <c r="BU20" s="0"/>
      <c r="BV20" s="0"/>
      <c r="BW20" s="0"/>
      <c r="BX20" s="0"/>
      <c r="BY20" s="0"/>
      <c r="BZ20" s="0"/>
      <c r="CA20" s="0"/>
      <c r="CB20" s="0"/>
      <c r="CC20" s="0"/>
      <c r="CD20" s="0"/>
      <c r="CE20" s="0"/>
      <c r="CF20" s="0"/>
      <c r="CG20" s="0"/>
      <c r="CH20" s="0"/>
      <c r="CI20" s="0"/>
      <c r="CJ20" s="0"/>
      <c r="CK20" s="0"/>
      <c r="CL20" s="0"/>
      <c r="CM20" s="0"/>
      <c r="CN20" s="0"/>
      <c r="CO20" s="0"/>
      <c r="CP20" s="0"/>
      <c r="CQ20" s="0"/>
      <c r="CR20" s="0"/>
      <c r="CS20" s="0"/>
      <c r="CT20" s="0"/>
      <c r="CU20" s="0"/>
      <c r="CV20" s="0"/>
      <c r="CW20" s="0"/>
      <c r="CX20" s="0"/>
      <c r="CY20" s="0"/>
      <c r="CZ20" s="0"/>
      <c r="DA20" s="0"/>
      <c r="DB20" s="0"/>
      <c r="DC20" s="0"/>
      <c r="DD20" s="0"/>
      <c r="DE20" s="0"/>
      <c r="DF20" s="0"/>
      <c r="DG20" s="0"/>
      <c r="DH20" s="0"/>
      <c r="DI20" s="0"/>
      <c r="DJ20" s="0"/>
      <c r="DK20" s="0"/>
      <c r="DL20" s="0"/>
      <c r="DM20" s="0"/>
      <c r="DN20" s="0"/>
      <c r="DO20" s="0"/>
      <c r="DP20" s="0"/>
      <c r="DQ20" s="0"/>
      <c r="DR20" s="0"/>
      <c r="DS20" s="0"/>
      <c r="DT20" s="0"/>
      <c r="DU20" s="0"/>
      <c r="DV20" s="0"/>
      <c r="DW20" s="0"/>
      <c r="DX20" s="0"/>
      <c r="DY20" s="0"/>
      <c r="DZ20" s="0"/>
      <c r="EA20" s="0"/>
      <c r="EB20" s="0"/>
      <c r="EC20" s="0"/>
      <c r="ED20" s="0"/>
      <c r="EE20" s="0"/>
      <c r="EF20" s="0"/>
      <c r="EG20" s="0"/>
      <c r="EH20" s="0"/>
      <c r="EI20" s="0"/>
      <c r="EJ20" s="0"/>
      <c r="EK20" s="0"/>
      <c r="EL20" s="0"/>
      <c r="EM20" s="0"/>
      <c r="EN20" s="0"/>
      <c r="EO20" s="0"/>
      <c r="EP20" s="0"/>
      <c r="EQ20" s="0"/>
      <c r="ER20" s="0"/>
      <c r="ES20" s="0"/>
      <c r="ET20" s="0"/>
      <c r="EU20" s="0"/>
      <c r="EV20" s="0"/>
      <c r="EW20" s="0"/>
      <c r="EX20" s="0"/>
      <c r="EY20" s="0"/>
      <c r="EZ20" s="0"/>
      <c r="FA20" s="0"/>
      <c r="FB20" s="0"/>
      <c r="FC20" s="0"/>
      <c r="FD20" s="0"/>
      <c r="FE20" s="0"/>
      <c r="FF20" s="0"/>
      <c r="FG20" s="0"/>
      <c r="FH20" s="0"/>
      <c r="FI20" s="0"/>
      <c r="FJ20" s="0"/>
      <c r="FK20" s="0"/>
      <c r="FL20" s="0"/>
      <c r="FM20" s="0"/>
      <c r="FN20" s="0"/>
      <c r="FO20" s="0"/>
      <c r="FP20" s="0"/>
      <c r="FQ20" s="0"/>
      <c r="FR20" s="0"/>
      <c r="FS20" s="0"/>
      <c r="FT20" s="0"/>
      <c r="FU20" s="0"/>
      <c r="FV20" s="0"/>
      <c r="FW20" s="0"/>
      <c r="FX20" s="0"/>
      <c r="FY20" s="0"/>
      <c r="FZ20" s="0"/>
      <c r="GA20" s="0"/>
      <c r="GB20" s="0"/>
      <c r="GC20" s="0"/>
      <c r="GD20" s="0"/>
      <c r="GE20" s="0"/>
      <c r="GF20" s="0"/>
      <c r="GG20" s="0"/>
      <c r="GH20" s="0"/>
      <c r="GI20" s="0"/>
      <c r="GJ20" s="0"/>
      <c r="GK20" s="0"/>
      <c r="GL20" s="0"/>
      <c r="GM20" s="0"/>
      <c r="GN20" s="0"/>
      <c r="GO20" s="0"/>
      <c r="GP20" s="0"/>
      <c r="GQ20" s="0"/>
      <c r="GR20" s="0"/>
      <c r="GS20" s="0"/>
      <c r="GT20" s="0"/>
      <c r="GU20" s="0"/>
      <c r="GV20" s="0"/>
      <c r="GW20" s="0"/>
      <c r="GX20" s="0"/>
      <c r="GY20" s="0"/>
      <c r="GZ20" s="0"/>
      <c r="HA20" s="0"/>
      <c r="HB20" s="0"/>
      <c r="HC20" s="0"/>
      <c r="HD20" s="0"/>
      <c r="HE20" s="0"/>
      <c r="HF20" s="0"/>
      <c r="HG20" s="0"/>
      <c r="HH20" s="0"/>
      <c r="HI20" s="0"/>
      <c r="HJ20" s="0"/>
      <c r="HK20" s="0"/>
      <c r="HL20" s="0"/>
      <c r="HM20" s="0"/>
      <c r="HN20" s="0"/>
      <c r="HO20" s="0"/>
      <c r="HP20" s="0"/>
      <c r="HQ20" s="0"/>
      <c r="HR20" s="0"/>
      <c r="HS20" s="0"/>
      <c r="HT20" s="0"/>
      <c r="HU20" s="0"/>
      <c r="HV20" s="0"/>
      <c r="HW20" s="0"/>
      <c r="HX20" s="0"/>
      <c r="HY20" s="0"/>
      <c r="HZ20" s="0"/>
      <c r="IA20" s="0"/>
      <c r="IB20" s="0"/>
      <c r="IC20" s="0"/>
      <c r="ID20" s="0"/>
      <c r="IE20" s="0"/>
      <c r="IF20" s="0"/>
      <c r="IG20" s="0"/>
      <c r="IH20" s="0"/>
      <c r="II20" s="0"/>
      <c r="IJ20" s="0"/>
      <c r="IK20" s="0"/>
      <c r="IL20" s="0"/>
      <c r="IM20" s="0"/>
      <c r="IN20" s="0"/>
      <c r="IO20" s="0"/>
      <c r="IP20" s="0"/>
      <c r="IQ20" s="0"/>
      <c r="IR20" s="0"/>
      <c r="IS20" s="0"/>
      <c r="IT20" s="0"/>
      <c r="IU20" s="0"/>
      <c r="IV20" s="0"/>
      <c r="IW20" s="0"/>
    </row>
    <row r="21" customFormat="false" ht="11.1" hidden="false" customHeight="true" outlineLevel="0" collapsed="false">
      <c r="A21" s="58" t="n">
        <f aca="false">A20+1</f>
        <v>12</v>
      </c>
      <c r="B21" s="73" t="n">
        <v>6922.62</v>
      </c>
      <c r="C21" s="52" t="n">
        <v>375031</v>
      </c>
      <c r="D21" s="57" t="n">
        <f aca="false">C21-C20</f>
        <v>-751</v>
      </c>
      <c r="E21" s="52" t="n">
        <f aca="false">C21-152000</f>
        <v>223031</v>
      </c>
      <c r="F21" s="51" t="n">
        <f aca="false">D21/$D$2</f>
        <v>-378.623645071843</v>
      </c>
      <c r="G21" s="51" t="n">
        <v>419</v>
      </c>
      <c r="H21" s="87" t="n">
        <v>0</v>
      </c>
      <c r="I21" s="51" t="n">
        <f aca="false">G21+H21</f>
        <v>419</v>
      </c>
      <c r="J21" s="81" t="n">
        <f aca="false">IF(L21&gt;0,L21,0)</f>
        <v>0</v>
      </c>
      <c r="K21" s="51" t="n">
        <f aca="false">I21+J21</f>
        <v>419</v>
      </c>
      <c r="L21" s="51" t="n">
        <f aca="false">F21-(I21-W21)</f>
        <v>-113.623645071843</v>
      </c>
      <c r="M21" s="51" t="n">
        <v>235</v>
      </c>
      <c r="N21" s="51" t="n">
        <v>0</v>
      </c>
      <c r="O21" s="51" t="n">
        <v>0</v>
      </c>
      <c r="P21" s="6" t="n">
        <f aca="false">M21-(N21+O21)</f>
        <v>235</v>
      </c>
      <c r="Q21" s="51" t="n">
        <v>168</v>
      </c>
      <c r="R21" s="51" t="n">
        <v>90</v>
      </c>
      <c r="S21" s="51" t="n">
        <f aca="false">SUM(P21:R21)</f>
        <v>493</v>
      </c>
      <c r="T21" s="52" t="n">
        <f aca="false">(I21-S21)+T20</f>
        <v>1532</v>
      </c>
      <c r="U21" s="51" t="n">
        <v>0</v>
      </c>
      <c r="V21" s="51" t="n">
        <v>191</v>
      </c>
      <c r="W21" s="6" t="n">
        <f aca="false">N21+O21+S21+U21+V21</f>
        <v>684</v>
      </c>
      <c r="X21" s="51" t="n">
        <f aca="false">IF(L21&lt;0,L21*-1,0)</f>
        <v>113.623645071843</v>
      </c>
      <c r="Y21" s="51" t="n">
        <f aca="false">W21+X21</f>
        <v>797.623645071843</v>
      </c>
      <c r="Z21" s="55" t="n">
        <v>0</v>
      </c>
      <c r="AA21" s="57" t="n">
        <v>79</v>
      </c>
      <c r="AB21" s="57" t="n">
        <v>51</v>
      </c>
      <c r="AC21" s="58" t="n">
        <f aca="false">AC20+1</f>
        <v>12</v>
      </c>
      <c r="AD21" s="12" t="n">
        <f aca="false">IF(I21&gt;S21,I21-S21,I21-S21)</f>
        <v>-74</v>
      </c>
      <c r="AE21" s="12"/>
      <c r="AF21" s="0"/>
      <c r="AG21" s="6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  <c r="BH21" s="0"/>
      <c r="BI21" s="0"/>
      <c r="BJ21" s="0"/>
      <c r="BK21" s="0"/>
      <c r="BL21" s="0"/>
      <c r="BM21" s="0"/>
      <c r="BN21" s="0"/>
      <c r="BO21" s="0"/>
      <c r="BP21" s="0"/>
      <c r="BQ21" s="0"/>
      <c r="BR21" s="0"/>
      <c r="BS21" s="0"/>
      <c r="BT21" s="0"/>
      <c r="BU21" s="0"/>
      <c r="BV21" s="0"/>
      <c r="BW21" s="0"/>
      <c r="BX21" s="0"/>
      <c r="BY21" s="0"/>
      <c r="BZ21" s="0"/>
      <c r="CA21" s="0"/>
      <c r="CB21" s="0"/>
      <c r="CC21" s="0"/>
      <c r="CD21" s="0"/>
      <c r="CE21" s="0"/>
      <c r="CF21" s="0"/>
      <c r="CG21" s="0"/>
      <c r="CH21" s="0"/>
      <c r="CI21" s="0"/>
      <c r="CJ21" s="0"/>
      <c r="CK21" s="0"/>
      <c r="CL21" s="0"/>
      <c r="CM21" s="0"/>
      <c r="CN21" s="0"/>
      <c r="CO21" s="0"/>
      <c r="CP21" s="0"/>
      <c r="CQ21" s="0"/>
      <c r="CR21" s="0"/>
      <c r="CS21" s="0"/>
      <c r="CT21" s="0"/>
      <c r="CU21" s="0"/>
      <c r="CV21" s="0"/>
      <c r="CW21" s="0"/>
      <c r="CX21" s="0"/>
      <c r="CY21" s="0"/>
      <c r="CZ21" s="0"/>
      <c r="DA21" s="0"/>
      <c r="DB21" s="0"/>
      <c r="DC21" s="0"/>
      <c r="DD21" s="0"/>
      <c r="DE21" s="0"/>
      <c r="DF21" s="0"/>
      <c r="DG21" s="0"/>
      <c r="DH21" s="0"/>
      <c r="DI21" s="0"/>
      <c r="DJ21" s="0"/>
      <c r="DK21" s="0"/>
      <c r="DL21" s="0"/>
      <c r="DM21" s="0"/>
      <c r="DN21" s="0"/>
      <c r="DO21" s="0"/>
      <c r="DP21" s="0"/>
      <c r="DQ21" s="0"/>
      <c r="DR21" s="0"/>
      <c r="DS21" s="0"/>
      <c r="DT21" s="0"/>
      <c r="DU21" s="0"/>
      <c r="DV21" s="0"/>
      <c r="DW21" s="0"/>
      <c r="DX21" s="0"/>
      <c r="DY21" s="0"/>
      <c r="DZ21" s="0"/>
      <c r="EA21" s="0"/>
      <c r="EB21" s="0"/>
      <c r="EC21" s="0"/>
      <c r="ED21" s="0"/>
      <c r="EE21" s="0"/>
      <c r="EF21" s="0"/>
      <c r="EG21" s="0"/>
      <c r="EH21" s="0"/>
      <c r="EI21" s="0"/>
      <c r="EJ21" s="0"/>
      <c r="EK21" s="0"/>
      <c r="EL21" s="0"/>
      <c r="EM21" s="0"/>
      <c r="EN21" s="0"/>
      <c r="EO21" s="0"/>
      <c r="EP21" s="0"/>
      <c r="EQ21" s="0"/>
      <c r="ER21" s="0"/>
      <c r="ES21" s="0"/>
      <c r="ET21" s="0"/>
      <c r="EU21" s="0"/>
      <c r="EV21" s="0"/>
      <c r="EW21" s="0"/>
      <c r="EX21" s="0"/>
      <c r="EY21" s="0"/>
      <c r="EZ21" s="0"/>
      <c r="FA21" s="0"/>
      <c r="FB21" s="0"/>
      <c r="FC21" s="0"/>
      <c r="FD21" s="0"/>
      <c r="FE21" s="0"/>
      <c r="FF21" s="0"/>
      <c r="FG21" s="0"/>
      <c r="FH21" s="0"/>
      <c r="FI21" s="0"/>
      <c r="FJ21" s="0"/>
      <c r="FK21" s="0"/>
      <c r="FL21" s="0"/>
      <c r="FM21" s="0"/>
      <c r="FN21" s="0"/>
      <c r="FO21" s="0"/>
      <c r="FP21" s="0"/>
      <c r="FQ21" s="0"/>
      <c r="FR21" s="0"/>
      <c r="FS21" s="0"/>
      <c r="FT21" s="0"/>
      <c r="FU21" s="0"/>
      <c r="FV21" s="0"/>
      <c r="FW21" s="0"/>
      <c r="FX21" s="0"/>
      <c r="FY21" s="0"/>
      <c r="FZ21" s="0"/>
      <c r="GA21" s="0"/>
      <c r="GB21" s="0"/>
      <c r="GC21" s="0"/>
      <c r="GD21" s="0"/>
      <c r="GE21" s="0"/>
      <c r="GF21" s="0"/>
      <c r="GG21" s="0"/>
      <c r="GH21" s="0"/>
      <c r="GI21" s="0"/>
      <c r="GJ21" s="0"/>
      <c r="GK21" s="0"/>
      <c r="GL21" s="0"/>
      <c r="GM21" s="0"/>
      <c r="GN21" s="0"/>
      <c r="GO21" s="0"/>
      <c r="GP21" s="0"/>
      <c r="GQ21" s="0"/>
      <c r="GR21" s="0"/>
      <c r="GS21" s="0"/>
      <c r="GT21" s="0"/>
      <c r="GU21" s="0"/>
      <c r="GV21" s="0"/>
      <c r="GW21" s="0"/>
      <c r="GX21" s="0"/>
      <c r="GY21" s="0"/>
      <c r="GZ21" s="0"/>
      <c r="HA21" s="0"/>
      <c r="HB21" s="0"/>
      <c r="HC21" s="0"/>
      <c r="HD21" s="0"/>
      <c r="HE21" s="0"/>
      <c r="HF21" s="0"/>
      <c r="HG21" s="0"/>
      <c r="HH21" s="0"/>
      <c r="HI21" s="0"/>
      <c r="HJ21" s="0"/>
      <c r="HK21" s="0"/>
      <c r="HL21" s="0"/>
      <c r="HM21" s="0"/>
      <c r="HN21" s="0"/>
      <c r="HO21" s="0"/>
      <c r="HP21" s="0"/>
      <c r="HQ21" s="0"/>
      <c r="HR21" s="0"/>
      <c r="HS21" s="0"/>
      <c r="HT21" s="0"/>
      <c r="HU21" s="0"/>
      <c r="HV21" s="0"/>
      <c r="HW21" s="0"/>
      <c r="HX21" s="0"/>
      <c r="HY21" s="0"/>
      <c r="HZ21" s="0"/>
      <c r="IA21" s="0"/>
      <c r="IB21" s="0"/>
      <c r="IC21" s="0"/>
      <c r="ID21" s="0"/>
      <c r="IE21" s="0"/>
      <c r="IF21" s="0"/>
      <c r="IG21" s="0"/>
      <c r="IH21" s="0"/>
      <c r="II21" s="0"/>
      <c r="IJ21" s="0"/>
      <c r="IK21" s="0"/>
      <c r="IL21" s="0"/>
      <c r="IM21" s="0"/>
      <c r="IN21" s="0"/>
      <c r="IO21" s="0"/>
      <c r="IP21" s="0"/>
      <c r="IQ21" s="0"/>
      <c r="IR21" s="0"/>
      <c r="IS21" s="0"/>
      <c r="IT21" s="0"/>
      <c r="IU21" s="0"/>
      <c r="IV21" s="0"/>
      <c r="IW21" s="0"/>
    </row>
    <row r="22" customFormat="false" ht="11.1" hidden="false" customHeight="true" outlineLevel="0" collapsed="false">
      <c r="A22" s="58" t="n">
        <f aca="false">A21+1</f>
        <v>13</v>
      </c>
      <c r="B22" s="73" t="n">
        <v>6922.54</v>
      </c>
      <c r="C22" s="52" t="n">
        <v>374678</v>
      </c>
      <c r="D22" s="57" t="n">
        <f aca="false">C22-C21</f>
        <v>-353</v>
      </c>
      <c r="E22" s="52" t="n">
        <f aca="false">C22-152000</f>
        <v>222678</v>
      </c>
      <c r="F22" s="51" t="n">
        <f aca="false">D22/$D$2</f>
        <v>-177.968237963196</v>
      </c>
      <c r="G22" s="51" t="n">
        <v>412</v>
      </c>
      <c r="H22" s="87" t="n">
        <v>0</v>
      </c>
      <c r="I22" s="51" t="n">
        <f aca="false">G22+H22</f>
        <v>412</v>
      </c>
      <c r="J22" s="81" t="n">
        <f aca="false">IF(L22&gt;0,L22,0)</f>
        <v>129.031762036804</v>
      </c>
      <c r="K22" s="51" t="n">
        <f aca="false">I22+J22</f>
        <v>541.031762036804</v>
      </c>
      <c r="L22" s="51" t="n">
        <f aca="false">F22-(I22-W22)</f>
        <v>129.031762036804</v>
      </c>
      <c r="M22" s="51" t="n">
        <v>235</v>
      </c>
      <c r="N22" s="51" t="n">
        <v>0</v>
      </c>
      <c r="O22" s="51" t="n">
        <v>0</v>
      </c>
      <c r="P22" s="6" t="n">
        <f aca="false">M22-(N22+O22)</f>
        <v>235</v>
      </c>
      <c r="Q22" s="51" t="n">
        <v>168</v>
      </c>
      <c r="R22" s="51" t="n">
        <v>91</v>
      </c>
      <c r="S22" s="51" t="n">
        <f aca="false">SUM(P22:R22)</f>
        <v>494</v>
      </c>
      <c r="T22" s="52" t="n">
        <f aca="false">(I22-S22)+T21</f>
        <v>1450</v>
      </c>
      <c r="U22" s="51" t="n">
        <v>33</v>
      </c>
      <c r="V22" s="51" t="n">
        <v>192</v>
      </c>
      <c r="W22" s="6" t="n">
        <f aca="false">N22+O22+S22+U22+V22</f>
        <v>719</v>
      </c>
      <c r="X22" s="51" t="n">
        <f aca="false">IF(L22&lt;0,L22*-1,0)</f>
        <v>0</v>
      </c>
      <c r="Y22" s="51" t="n">
        <f aca="false">W22+X22</f>
        <v>719</v>
      </c>
      <c r="Z22" s="55" t="n">
        <v>0</v>
      </c>
      <c r="AA22" s="57" t="n">
        <v>85</v>
      </c>
      <c r="AB22" s="57" t="n">
        <v>50</v>
      </c>
      <c r="AC22" s="58" t="n">
        <f aca="false">AC21+1</f>
        <v>13</v>
      </c>
      <c r="AD22" s="12" t="n">
        <f aca="false">IF(I22&gt;S22,I22-S22,I22-S22)</f>
        <v>-82</v>
      </c>
      <c r="AE22" s="12"/>
      <c r="AF22" s="0"/>
      <c r="AG22" s="6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  <c r="BH22" s="0"/>
      <c r="BI22" s="0"/>
      <c r="BJ22" s="0"/>
      <c r="BK22" s="0"/>
      <c r="BL22" s="0"/>
      <c r="BM22" s="0"/>
      <c r="BN22" s="0"/>
      <c r="BO22" s="0"/>
      <c r="BP22" s="0"/>
      <c r="BQ22" s="0"/>
      <c r="BR22" s="0"/>
      <c r="BS22" s="0"/>
      <c r="BT22" s="0"/>
      <c r="BU22" s="0"/>
      <c r="BV22" s="0"/>
      <c r="BW22" s="0"/>
      <c r="BX22" s="0"/>
      <c r="BY22" s="0"/>
      <c r="BZ22" s="0"/>
      <c r="CA22" s="0"/>
      <c r="CB22" s="0"/>
      <c r="CC22" s="0"/>
      <c r="CD22" s="0"/>
      <c r="CE22" s="0"/>
      <c r="CF22" s="0"/>
      <c r="CG22" s="0"/>
      <c r="CH22" s="0"/>
      <c r="CI22" s="0"/>
      <c r="CJ22" s="0"/>
      <c r="CK22" s="0"/>
      <c r="CL22" s="0"/>
      <c r="CM22" s="0"/>
      <c r="CN22" s="0"/>
      <c r="CO22" s="0"/>
      <c r="CP22" s="0"/>
      <c r="CQ22" s="0"/>
      <c r="CR22" s="0"/>
      <c r="CS22" s="0"/>
      <c r="CT22" s="0"/>
      <c r="CU22" s="0"/>
      <c r="CV22" s="0"/>
      <c r="CW22" s="0"/>
      <c r="CX22" s="0"/>
      <c r="CY22" s="0"/>
      <c r="CZ22" s="0"/>
      <c r="DA22" s="0"/>
      <c r="DB22" s="0"/>
      <c r="DC22" s="0"/>
      <c r="DD22" s="0"/>
      <c r="DE22" s="0"/>
      <c r="DF22" s="0"/>
      <c r="DG22" s="0"/>
      <c r="DH22" s="0"/>
      <c r="DI22" s="0"/>
      <c r="DJ22" s="0"/>
      <c r="DK22" s="0"/>
      <c r="DL22" s="0"/>
      <c r="DM22" s="0"/>
      <c r="DN22" s="0"/>
      <c r="DO22" s="0"/>
      <c r="DP22" s="0"/>
      <c r="DQ22" s="0"/>
      <c r="DR22" s="0"/>
      <c r="DS22" s="0"/>
      <c r="DT22" s="0"/>
      <c r="DU22" s="0"/>
      <c r="DV22" s="0"/>
      <c r="DW22" s="0"/>
      <c r="DX22" s="0"/>
      <c r="DY22" s="0"/>
      <c r="DZ22" s="0"/>
      <c r="EA22" s="0"/>
      <c r="EB22" s="0"/>
      <c r="EC22" s="0"/>
      <c r="ED22" s="0"/>
      <c r="EE22" s="0"/>
      <c r="EF22" s="0"/>
      <c r="EG22" s="0"/>
      <c r="EH22" s="0"/>
      <c r="EI22" s="0"/>
      <c r="EJ22" s="0"/>
      <c r="EK22" s="0"/>
      <c r="EL22" s="0"/>
      <c r="EM22" s="0"/>
      <c r="EN22" s="0"/>
      <c r="EO22" s="0"/>
      <c r="EP22" s="0"/>
      <c r="EQ22" s="0"/>
      <c r="ER22" s="0"/>
      <c r="ES22" s="0"/>
      <c r="ET22" s="0"/>
      <c r="EU22" s="0"/>
      <c r="EV22" s="0"/>
      <c r="EW22" s="0"/>
      <c r="EX22" s="0"/>
      <c r="EY22" s="0"/>
      <c r="EZ22" s="0"/>
      <c r="FA22" s="0"/>
      <c r="FB22" s="0"/>
      <c r="FC22" s="0"/>
      <c r="FD22" s="0"/>
      <c r="FE22" s="0"/>
      <c r="FF22" s="0"/>
      <c r="FG22" s="0"/>
      <c r="FH22" s="0"/>
      <c r="FI22" s="0"/>
      <c r="FJ22" s="0"/>
      <c r="FK22" s="0"/>
      <c r="FL22" s="0"/>
      <c r="FM22" s="0"/>
      <c r="FN22" s="0"/>
      <c r="FO22" s="0"/>
      <c r="FP22" s="0"/>
      <c r="FQ22" s="0"/>
      <c r="FR22" s="0"/>
      <c r="FS22" s="0"/>
      <c r="FT22" s="0"/>
      <c r="FU22" s="0"/>
      <c r="FV22" s="0"/>
      <c r="FW22" s="0"/>
      <c r="FX22" s="0"/>
      <c r="FY22" s="0"/>
      <c r="FZ22" s="0"/>
      <c r="GA22" s="0"/>
      <c r="GB22" s="0"/>
      <c r="GC22" s="0"/>
      <c r="GD22" s="0"/>
      <c r="GE22" s="0"/>
      <c r="GF22" s="0"/>
      <c r="GG22" s="0"/>
      <c r="GH22" s="0"/>
      <c r="GI22" s="0"/>
      <c r="GJ22" s="0"/>
      <c r="GK22" s="0"/>
      <c r="GL22" s="0"/>
      <c r="GM22" s="0"/>
      <c r="GN22" s="0"/>
      <c r="GO22" s="0"/>
      <c r="GP22" s="0"/>
      <c r="GQ22" s="0"/>
      <c r="GR22" s="0"/>
      <c r="GS22" s="0"/>
      <c r="GT22" s="0"/>
      <c r="GU22" s="0"/>
      <c r="GV22" s="0"/>
      <c r="GW22" s="0"/>
      <c r="GX22" s="0"/>
      <c r="GY22" s="0"/>
      <c r="GZ22" s="0"/>
      <c r="HA22" s="0"/>
      <c r="HB22" s="0"/>
      <c r="HC22" s="0"/>
      <c r="HD22" s="0"/>
      <c r="HE22" s="0"/>
      <c r="HF22" s="0"/>
      <c r="HG22" s="0"/>
      <c r="HH22" s="0"/>
      <c r="HI22" s="0"/>
      <c r="HJ22" s="0"/>
      <c r="HK22" s="0"/>
      <c r="HL22" s="0"/>
      <c r="HM22" s="0"/>
      <c r="HN22" s="0"/>
      <c r="HO22" s="0"/>
      <c r="HP22" s="0"/>
      <c r="HQ22" s="0"/>
      <c r="HR22" s="0"/>
      <c r="HS22" s="0"/>
      <c r="HT22" s="0"/>
      <c r="HU22" s="0"/>
      <c r="HV22" s="0"/>
      <c r="HW22" s="0"/>
      <c r="HX22" s="0"/>
      <c r="HY22" s="0"/>
      <c r="HZ22" s="0"/>
      <c r="IA22" s="0"/>
      <c r="IB22" s="0"/>
      <c r="IC22" s="0"/>
      <c r="ID22" s="0"/>
      <c r="IE22" s="0"/>
      <c r="IF22" s="0"/>
      <c r="IG22" s="0"/>
      <c r="IH22" s="0"/>
      <c r="II22" s="0"/>
      <c r="IJ22" s="0"/>
      <c r="IK22" s="0"/>
      <c r="IL22" s="0"/>
      <c r="IM22" s="0"/>
      <c r="IN22" s="0"/>
      <c r="IO22" s="0"/>
      <c r="IP22" s="0"/>
      <c r="IQ22" s="0"/>
      <c r="IR22" s="0"/>
      <c r="IS22" s="0"/>
      <c r="IT22" s="0"/>
      <c r="IU22" s="0"/>
      <c r="IV22" s="0"/>
      <c r="IW22" s="0"/>
    </row>
    <row r="23" customFormat="false" ht="11.1" hidden="false" customHeight="true" outlineLevel="0" collapsed="false">
      <c r="A23" s="58" t="n">
        <f aca="false">A22+1</f>
        <v>14</v>
      </c>
      <c r="B23" s="73" t="n">
        <v>6922.38</v>
      </c>
      <c r="C23" s="52" t="n">
        <v>373971</v>
      </c>
      <c r="D23" s="57" t="n">
        <f aca="false">C23-C22</f>
        <v>-707</v>
      </c>
      <c r="E23" s="52" t="n">
        <f aca="false">C23-152000</f>
        <v>221971</v>
      </c>
      <c r="F23" s="51" t="n">
        <f aca="false">D23/$D$2</f>
        <v>-356.440635240736</v>
      </c>
      <c r="G23" s="51" t="n">
        <v>464</v>
      </c>
      <c r="H23" s="87" t="n">
        <v>0</v>
      </c>
      <c r="I23" s="51" t="n">
        <f aca="false">G23+H23</f>
        <v>464</v>
      </c>
      <c r="J23" s="81" t="n">
        <f aca="false">IF(L23&gt;0,L23,0)</f>
        <v>0</v>
      </c>
      <c r="K23" s="51" t="n">
        <f aca="false">I23+J23</f>
        <v>464</v>
      </c>
      <c r="L23" s="51" t="n">
        <f aca="false">F23-(I23-W23)</f>
        <v>-141.440635240736</v>
      </c>
      <c r="M23" s="51" t="n">
        <v>235</v>
      </c>
      <c r="N23" s="51" t="n">
        <v>0</v>
      </c>
      <c r="O23" s="51" t="n">
        <v>0</v>
      </c>
      <c r="P23" s="6" t="n">
        <f aca="false">M23-(N23+O23)</f>
        <v>235</v>
      </c>
      <c r="Q23" s="51" t="n">
        <v>163</v>
      </c>
      <c r="R23" s="51" t="n">
        <v>86</v>
      </c>
      <c r="S23" s="51" t="n">
        <f aca="false">SUM(P23:R23)</f>
        <v>484</v>
      </c>
      <c r="T23" s="52" t="n">
        <f aca="false">(I23-S23)+T22</f>
        <v>1430</v>
      </c>
      <c r="U23" s="51" t="n">
        <v>0</v>
      </c>
      <c r="V23" s="51" t="n">
        <v>195</v>
      </c>
      <c r="W23" s="6" t="n">
        <f aca="false">N23+O23+S23+U23+V23</f>
        <v>679</v>
      </c>
      <c r="X23" s="51" t="n">
        <f aca="false">IF(L23&lt;0,L23*-1,0)</f>
        <v>141.440635240736</v>
      </c>
      <c r="Y23" s="51" t="n">
        <f aca="false">W23+X23</f>
        <v>820.440635240736</v>
      </c>
      <c r="Z23" s="55" t="n">
        <v>0</v>
      </c>
      <c r="AA23" s="57" t="n">
        <v>86</v>
      </c>
      <c r="AB23" s="57" t="n">
        <v>49</v>
      </c>
      <c r="AC23" s="58" t="n">
        <f aca="false">AC22+1</f>
        <v>14</v>
      </c>
      <c r="AD23" s="12" t="n">
        <f aca="false">IF(I23&gt;S23,I23-S23,I23-S23)</f>
        <v>-20</v>
      </c>
      <c r="AE23" s="12"/>
      <c r="AF23" s="0"/>
      <c r="AG23" s="6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  <c r="BH23" s="0"/>
      <c r="BI23" s="0"/>
      <c r="BJ23" s="0"/>
      <c r="BK23" s="0"/>
      <c r="BL23" s="0"/>
      <c r="BM23" s="0"/>
      <c r="BN23" s="0"/>
      <c r="BO23" s="0"/>
      <c r="BP23" s="0"/>
      <c r="BQ23" s="0"/>
      <c r="BR23" s="0"/>
      <c r="BS23" s="0"/>
      <c r="BT23" s="0"/>
      <c r="BU23" s="0"/>
      <c r="BV23" s="0"/>
      <c r="BW23" s="0"/>
      <c r="BX23" s="0"/>
      <c r="BY23" s="0"/>
      <c r="BZ23" s="0"/>
      <c r="CA23" s="0"/>
      <c r="CB23" s="0"/>
      <c r="CC23" s="0"/>
      <c r="CD23" s="0"/>
      <c r="CE23" s="0"/>
      <c r="CF23" s="0"/>
      <c r="CG23" s="0"/>
      <c r="CH23" s="0"/>
      <c r="CI23" s="0"/>
      <c r="CJ23" s="0"/>
      <c r="CK23" s="0"/>
      <c r="CL23" s="0"/>
      <c r="CM23" s="0"/>
      <c r="CN23" s="0"/>
      <c r="CO23" s="0"/>
      <c r="CP23" s="0"/>
      <c r="CQ23" s="0"/>
      <c r="CR23" s="0"/>
      <c r="CS23" s="0"/>
      <c r="CT23" s="0"/>
      <c r="CU23" s="0"/>
      <c r="CV23" s="0"/>
      <c r="CW23" s="0"/>
      <c r="CX23" s="0"/>
      <c r="CY23" s="0"/>
      <c r="CZ23" s="0"/>
      <c r="DA23" s="0"/>
      <c r="DB23" s="0"/>
      <c r="DC23" s="0"/>
      <c r="DD23" s="0"/>
      <c r="DE23" s="0"/>
      <c r="DF23" s="0"/>
      <c r="DG23" s="0"/>
      <c r="DH23" s="0"/>
      <c r="DI23" s="0"/>
      <c r="DJ23" s="0"/>
      <c r="DK23" s="0"/>
      <c r="DL23" s="0"/>
      <c r="DM23" s="0"/>
      <c r="DN23" s="0"/>
      <c r="DO23" s="0"/>
      <c r="DP23" s="0"/>
      <c r="DQ23" s="0"/>
      <c r="DR23" s="0"/>
      <c r="DS23" s="0"/>
      <c r="DT23" s="0"/>
      <c r="DU23" s="0"/>
      <c r="DV23" s="0"/>
      <c r="DW23" s="0"/>
      <c r="DX23" s="0"/>
      <c r="DY23" s="0"/>
      <c r="DZ23" s="0"/>
      <c r="EA23" s="0"/>
      <c r="EB23" s="0"/>
      <c r="EC23" s="0"/>
      <c r="ED23" s="0"/>
      <c r="EE23" s="0"/>
      <c r="EF23" s="0"/>
      <c r="EG23" s="0"/>
      <c r="EH23" s="0"/>
      <c r="EI23" s="0"/>
      <c r="EJ23" s="0"/>
      <c r="EK23" s="0"/>
      <c r="EL23" s="0"/>
      <c r="EM23" s="0"/>
      <c r="EN23" s="0"/>
      <c r="EO23" s="0"/>
      <c r="EP23" s="0"/>
      <c r="EQ23" s="0"/>
      <c r="ER23" s="0"/>
      <c r="ES23" s="0"/>
      <c r="ET23" s="0"/>
      <c r="EU23" s="0"/>
      <c r="EV23" s="0"/>
      <c r="EW23" s="0"/>
      <c r="EX23" s="0"/>
      <c r="EY23" s="0"/>
      <c r="EZ23" s="0"/>
      <c r="FA23" s="0"/>
      <c r="FB23" s="0"/>
      <c r="FC23" s="0"/>
      <c r="FD23" s="0"/>
      <c r="FE23" s="0"/>
      <c r="FF23" s="0"/>
      <c r="FG23" s="0"/>
      <c r="FH23" s="0"/>
      <c r="FI23" s="0"/>
      <c r="FJ23" s="0"/>
      <c r="FK23" s="0"/>
      <c r="FL23" s="0"/>
      <c r="FM23" s="0"/>
      <c r="FN23" s="0"/>
      <c r="FO23" s="0"/>
      <c r="FP23" s="0"/>
      <c r="FQ23" s="0"/>
      <c r="FR23" s="0"/>
      <c r="FS23" s="0"/>
      <c r="FT23" s="0"/>
      <c r="FU23" s="0"/>
      <c r="FV23" s="0"/>
      <c r="FW23" s="0"/>
      <c r="FX23" s="0"/>
      <c r="FY23" s="0"/>
      <c r="FZ23" s="0"/>
      <c r="GA23" s="0"/>
      <c r="GB23" s="0"/>
      <c r="GC23" s="0"/>
      <c r="GD23" s="0"/>
      <c r="GE23" s="0"/>
      <c r="GF23" s="0"/>
      <c r="GG23" s="0"/>
      <c r="GH23" s="0"/>
      <c r="GI23" s="0"/>
      <c r="GJ23" s="0"/>
      <c r="GK23" s="0"/>
      <c r="GL23" s="0"/>
      <c r="GM23" s="0"/>
      <c r="GN23" s="0"/>
      <c r="GO23" s="0"/>
      <c r="GP23" s="0"/>
      <c r="GQ23" s="0"/>
      <c r="GR23" s="0"/>
      <c r="GS23" s="0"/>
      <c r="GT23" s="0"/>
      <c r="GU23" s="0"/>
      <c r="GV23" s="0"/>
      <c r="GW23" s="0"/>
      <c r="GX23" s="0"/>
      <c r="GY23" s="0"/>
      <c r="GZ23" s="0"/>
      <c r="HA23" s="0"/>
      <c r="HB23" s="0"/>
      <c r="HC23" s="0"/>
      <c r="HD23" s="0"/>
      <c r="HE23" s="0"/>
      <c r="HF23" s="0"/>
      <c r="HG23" s="0"/>
      <c r="HH23" s="0"/>
      <c r="HI23" s="0"/>
      <c r="HJ23" s="0"/>
      <c r="HK23" s="0"/>
      <c r="HL23" s="0"/>
      <c r="HM23" s="0"/>
      <c r="HN23" s="0"/>
      <c r="HO23" s="0"/>
      <c r="HP23" s="0"/>
      <c r="HQ23" s="0"/>
      <c r="HR23" s="0"/>
      <c r="HS23" s="0"/>
      <c r="HT23" s="0"/>
      <c r="HU23" s="0"/>
      <c r="HV23" s="0"/>
      <c r="HW23" s="0"/>
      <c r="HX23" s="0"/>
      <c r="HY23" s="0"/>
      <c r="HZ23" s="0"/>
      <c r="IA23" s="0"/>
      <c r="IB23" s="0"/>
      <c r="IC23" s="0"/>
      <c r="ID23" s="0"/>
      <c r="IE23" s="0"/>
      <c r="IF23" s="0"/>
      <c r="IG23" s="0"/>
      <c r="IH23" s="0"/>
      <c r="II23" s="0"/>
      <c r="IJ23" s="0"/>
      <c r="IK23" s="0"/>
      <c r="IL23" s="0"/>
      <c r="IM23" s="0"/>
      <c r="IN23" s="0"/>
      <c r="IO23" s="0"/>
      <c r="IP23" s="0"/>
      <c r="IQ23" s="0"/>
      <c r="IR23" s="0"/>
      <c r="IS23" s="0"/>
      <c r="IT23" s="0"/>
      <c r="IU23" s="0"/>
      <c r="IV23" s="0"/>
      <c r="IW23" s="0"/>
    </row>
    <row r="24" customFormat="false" ht="11.1" hidden="false" customHeight="true" outlineLevel="0" collapsed="false">
      <c r="A24" s="58" t="n">
        <f aca="false">A23+1</f>
        <v>15</v>
      </c>
      <c r="B24" s="73" t="n">
        <v>6922.25</v>
      </c>
      <c r="C24" s="52" t="n">
        <v>373397</v>
      </c>
      <c r="D24" s="57" t="n">
        <f aca="false">C24-C23</f>
        <v>-574</v>
      </c>
      <c r="E24" s="52" t="n">
        <f aca="false">C24-152000</f>
        <v>221397</v>
      </c>
      <c r="F24" s="51" t="n">
        <f aca="false">D24/$D$2</f>
        <v>-289.387446433073</v>
      </c>
      <c r="G24" s="51" t="n">
        <v>450</v>
      </c>
      <c r="H24" s="87" t="n">
        <v>0</v>
      </c>
      <c r="I24" s="51" t="n">
        <f aca="false">G24+H24</f>
        <v>450</v>
      </c>
      <c r="J24" s="81" t="n">
        <f aca="false">IF(L24&gt;0,L24,0)</f>
        <v>0</v>
      </c>
      <c r="K24" s="51" t="n">
        <f aca="false">I24+J24</f>
        <v>450</v>
      </c>
      <c r="L24" s="51" t="n">
        <f aca="false">F24-(I24-W24)</f>
        <v>-50.3874464330729</v>
      </c>
      <c r="M24" s="51" t="n">
        <v>241</v>
      </c>
      <c r="N24" s="51" t="n">
        <v>0</v>
      </c>
      <c r="O24" s="51" t="n">
        <v>0</v>
      </c>
      <c r="P24" s="6" t="n">
        <f aca="false">M24-(N24+O24)</f>
        <v>241</v>
      </c>
      <c r="Q24" s="51" t="n">
        <v>165</v>
      </c>
      <c r="R24" s="51" t="n">
        <v>90</v>
      </c>
      <c r="S24" s="51" t="n">
        <f aca="false">SUM(P24:R24)</f>
        <v>496</v>
      </c>
      <c r="T24" s="52" t="n">
        <f aca="false">(I24-S24)+T23</f>
        <v>1384</v>
      </c>
      <c r="U24" s="51" t="n">
        <v>0</v>
      </c>
      <c r="V24" s="51" t="n">
        <v>193</v>
      </c>
      <c r="W24" s="6" t="n">
        <f aca="false">N24+O24+S24+U24+V24</f>
        <v>689</v>
      </c>
      <c r="X24" s="51" t="n">
        <f aca="false">IF(L24&lt;0,L24*-1,0)</f>
        <v>50.3874464330729</v>
      </c>
      <c r="Y24" s="51" t="n">
        <f aca="false">W24+X24</f>
        <v>739.387446433073</v>
      </c>
      <c r="Z24" s="55" t="n">
        <v>0</v>
      </c>
      <c r="AA24" s="82" t="n">
        <v>89</v>
      </c>
      <c r="AB24" s="57" t="n">
        <v>51</v>
      </c>
      <c r="AC24" s="58" t="n">
        <f aca="false">AC23+1</f>
        <v>15</v>
      </c>
      <c r="AD24" s="12" t="n">
        <f aca="false">IF(I24&gt;S24,I24-S24,I24-S24)</f>
        <v>-46</v>
      </c>
      <c r="AE24" s="12"/>
      <c r="AF24" s="0"/>
      <c r="AG24" s="6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  <c r="BH24" s="0"/>
      <c r="BI24" s="0"/>
      <c r="BJ24" s="0"/>
      <c r="BK24" s="0"/>
      <c r="BL24" s="0"/>
      <c r="BM24" s="0"/>
      <c r="BN24" s="0"/>
      <c r="BO24" s="0"/>
      <c r="BP24" s="0"/>
      <c r="BQ24" s="0"/>
      <c r="BR24" s="0"/>
      <c r="BS24" s="0"/>
      <c r="BT24" s="0"/>
      <c r="BU24" s="0"/>
      <c r="BV24" s="0"/>
      <c r="BW24" s="0"/>
      <c r="BX24" s="0"/>
      <c r="BY24" s="0"/>
      <c r="BZ24" s="0"/>
      <c r="CA24" s="0"/>
      <c r="CB24" s="0"/>
      <c r="CC24" s="0"/>
      <c r="CD24" s="0"/>
      <c r="CE24" s="0"/>
      <c r="CF24" s="0"/>
      <c r="CG24" s="0"/>
      <c r="CH24" s="0"/>
      <c r="CI24" s="0"/>
      <c r="CJ24" s="0"/>
      <c r="CK24" s="0"/>
      <c r="CL24" s="0"/>
      <c r="CM24" s="0"/>
      <c r="CN24" s="0"/>
      <c r="CO24" s="0"/>
      <c r="CP24" s="0"/>
      <c r="CQ24" s="0"/>
      <c r="CR24" s="0"/>
      <c r="CS24" s="0"/>
      <c r="CT24" s="0"/>
      <c r="CU24" s="0"/>
      <c r="CV24" s="0"/>
      <c r="CW24" s="0"/>
      <c r="CX24" s="0"/>
      <c r="CY24" s="0"/>
      <c r="CZ24" s="0"/>
      <c r="DA24" s="0"/>
      <c r="DB24" s="0"/>
      <c r="DC24" s="0"/>
      <c r="DD24" s="0"/>
      <c r="DE24" s="0"/>
      <c r="DF24" s="0"/>
      <c r="DG24" s="0"/>
      <c r="DH24" s="0"/>
      <c r="DI24" s="0"/>
      <c r="DJ24" s="0"/>
      <c r="DK24" s="0"/>
      <c r="DL24" s="0"/>
      <c r="DM24" s="0"/>
      <c r="DN24" s="0"/>
      <c r="DO24" s="0"/>
      <c r="DP24" s="0"/>
      <c r="DQ24" s="0"/>
      <c r="DR24" s="0"/>
      <c r="DS24" s="0"/>
      <c r="DT24" s="0"/>
      <c r="DU24" s="0"/>
      <c r="DV24" s="0"/>
      <c r="DW24" s="0"/>
      <c r="DX24" s="0"/>
      <c r="DY24" s="0"/>
      <c r="DZ24" s="0"/>
      <c r="EA24" s="0"/>
      <c r="EB24" s="0"/>
      <c r="EC24" s="0"/>
      <c r="ED24" s="0"/>
      <c r="EE24" s="0"/>
      <c r="EF24" s="0"/>
      <c r="EG24" s="0"/>
      <c r="EH24" s="0"/>
      <c r="EI24" s="0"/>
      <c r="EJ24" s="0"/>
      <c r="EK24" s="0"/>
      <c r="EL24" s="0"/>
      <c r="EM24" s="0"/>
      <c r="EN24" s="0"/>
      <c r="EO24" s="0"/>
      <c r="EP24" s="0"/>
      <c r="EQ24" s="0"/>
      <c r="ER24" s="0"/>
      <c r="ES24" s="0"/>
      <c r="ET24" s="0"/>
      <c r="EU24" s="0"/>
      <c r="EV24" s="0"/>
      <c r="EW24" s="0"/>
      <c r="EX24" s="0"/>
      <c r="EY24" s="0"/>
      <c r="EZ24" s="0"/>
      <c r="FA24" s="0"/>
      <c r="FB24" s="0"/>
      <c r="FC24" s="0"/>
      <c r="FD24" s="0"/>
      <c r="FE24" s="0"/>
      <c r="FF24" s="0"/>
      <c r="FG24" s="0"/>
      <c r="FH24" s="0"/>
      <c r="FI24" s="0"/>
      <c r="FJ24" s="0"/>
      <c r="FK24" s="0"/>
      <c r="FL24" s="0"/>
      <c r="FM24" s="0"/>
      <c r="FN24" s="0"/>
      <c r="FO24" s="0"/>
      <c r="FP24" s="0"/>
      <c r="FQ24" s="0"/>
      <c r="FR24" s="0"/>
      <c r="FS24" s="0"/>
      <c r="FT24" s="0"/>
      <c r="FU24" s="0"/>
      <c r="FV24" s="0"/>
      <c r="FW24" s="0"/>
      <c r="FX24" s="0"/>
      <c r="FY24" s="0"/>
      <c r="FZ24" s="0"/>
      <c r="GA24" s="0"/>
      <c r="GB24" s="0"/>
      <c r="GC24" s="0"/>
      <c r="GD24" s="0"/>
      <c r="GE24" s="0"/>
      <c r="GF24" s="0"/>
      <c r="GG24" s="0"/>
      <c r="GH24" s="0"/>
      <c r="GI24" s="0"/>
      <c r="GJ24" s="0"/>
      <c r="GK24" s="0"/>
      <c r="GL24" s="0"/>
      <c r="GM24" s="0"/>
      <c r="GN24" s="0"/>
      <c r="GO24" s="0"/>
      <c r="GP24" s="0"/>
      <c r="GQ24" s="0"/>
      <c r="GR24" s="0"/>
      <c r="GS24" s="0"/>
      <c r="GT24" s="0"/>
      <c r="GU24" s="0"/>
      <c r="GV24" s="0"/>
      <c r="GW24" s="0"/>
      <c r="GX24" s="0"/>
      <c r="GY24" s="0"/>
      <c r="GZ24" s="0"/>
      <c r="HA24" s="0"/>
      <c r="HB24" s="0"/>
      <c r="HC24" s="0"/>
      <c r="HD24" s="0"/>
      <c r="HE24" s="0"/>
      <c r="HF24" s="0"/>
      <c r="HG24" s="0"/>
      <c r="HH24" s="0"/>
      <c r="HI24" s="0"/>
      <c r="HJ24" s="0"/>
      <c r="HK24" s="0"/>
      <c r="HL24" s="0"/>
      <c r="HM24" s="0"/>
      <c r="HN24" s="0"/>
      <c r="HO24" s="0"/>
      <c r="HP24" s="0"/>
      <c r="HQ24" s="0"/>
      <c r="HR24" s="0"/>
      <c r="HS24" s="0"/>
      <c r="HT24" s="0"/>
      <c r="HU24" s="0"/>
      <c r="HV24" s="0"/>
      <c r="HW24" s="0"/>
      <c r="HX24" s="0"/>
      <c r="HY24" s="0"/>
      <c r="HZ24" s="0"/>
      <c r="IA24" s="0"/>
      <c r="IB24" s="0"/>
      <c r="IC24" s="0"/>
      <c r="ID24" s="0"/>
      <c r="IE24" s="0"/>
      <c r="IF24" s="0"/>
      <c r="IG24" s="0"/>
      <c r="IH24" s="0"/>
      <c r="II24" s="0"/>
      <c r="IJ24" s="0"/>
      <c r="IK24" s="0"/>
      <c r="IL24" s="0"/>
      <c r="IM24" s="0"/>
      <c r="IN24" s="0"/>
      <c r="IO24" s="0"/>
      <c r="IP24" s="0"/>
      <c r="IQ24" s="0"/>
      <c r="IR24" s="0"/>
      <c r="IS24" s="0"/>
      <c r="IT24" s="0"/>
      <c r="IU24" s="0"/>
      <c r="IV24" s="0"/>
      <c r="IW24" s="0"/>
    </row>
    <row r="25" customFormat="false" ht="11.1" hidden="false" customHeight="true" outlineLevel="0" collapsed="false">
      <c r="A25" s="58" t="n">
        <f aca="false">A24+1</f>
        <v>16</v>
      </c>
      <c r="B25" s="73" t="n">
        <v>6922.16</v>
      </c>
      <c r="C25" s="52" t="n">
        <v>373000</v>
      </c>
      <c r="D25" s="57" t="n">
        <f aca="false">C25-C24</f>
        <v>-397</v>
      </c>
      <c r="E25" s="52" t="n">
        <f aca="false">C25-152000</f>
        <v>221000</v>
      </c>
      <c r="F25" s="51" t="n">
        <f aca="false">D25/$D$2</f>
        <v>-200.151247794303</v>
      </c>
      <c r="G25" s="51" t="n">
        <v>437</v>
      </c>
      <c r="H25" s="87" t="n">
        <v>0</v>
      </c>
      <c r="I25" s="51" t="n">
        <f aca="false">G25+H25</f>
        <v>437</v>
      </c>
      <c r="J25" s="81" t="n">
        <f aca="false">IF(L25&gt;0,L25,0)</f>
        <v>31.848752205697</v>
      </c>
      <c r="K25" s="51" t="n">
        <f aca="false">I25+J25</f>
        <v>468.848752205697</v>
      </c>
      <c r="L25" s="51" t="n">
        <f aca="false">F25-(I25-W25)</f>
        <v>31.848752205697</v>
      </c>
      <c r="M25" s="51" t="n">
        <v>226</v>
      </c>
      <c r="N25" s="51" t="n">
        <v>0</v>
      </c>
      <c r="O25" s="51" t="n">
        <v>0</v>
      </c>
      <c r="P25" s="6" t="n">
        <f aca="false">M25-(N25+O25)</f>
        <v>226</v>
      </c>
      <c r="Q25" s="51" t="n">
        <v>162</v>
      </c>
      <c r="R25" s="51" t="n">
        <v>90</v>
      </c>
      <c r="S25" s="51" t="n">
        <f aca="false">SUM(P25:R25)</f>
        <v>478</v>
      </c>
      <c r="T25" s="52" t="n">
        <f aca="false">(I25-S25)+T24</f>
        <v>1343</v>
      </c>
      <c r="U25" s="51" t="n">
        <v>0</v>
      </c>
      <c r="V25" s="51" t="n">
        <v>191</v>
      </c>
      <c r="W25" s="6" t="n">
        <f aca="false">N25+O25+S25+U25+V25</f>
        <v>669</v>
      </c>
      <c r="X25" s="51" t="n">
        <f aca="false">IF(L25&lt;0,L25*-1,0)</f>
        <v>0</v>
      </c>
      <c r="Y25" s="51" t="n">
        <f aca="false">W25+X25</f>
        <v>669</v>
      </c>
      <c r="Z25" s="55" t="n">
        <v>0.11</v>
      </c>
      <c r="AA25" s="82" t="n">
        <v>88</v>
      </c>
      <c r="AB25" s="57" t="n">
        <v>53</v>
      </c>
      <c r="AC25" s="58" t="n">
        <f aca="false">AC24+1</f>
        <v>16</v>
      </c>
      <c r="AD25" s="12" t="n">
        <f aca="false">IF(I25&gt;S25,I25-S25,I25-S25)</f>
        <v>-41</v>
      </c>
      <c r="AE25" s="12"/>
      <c r="AF25" s="0"/>
      <c r="AG25" s="6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  <c r="BH25" s="0"/>
      <c r="BI25" s="0"/>
      <c r="BJ25" s="0"/>
      <c r="BK25" s="0"/>
      <c r="BL25" s="0"/>
      <c r="BM25" s="0"/>
      <c r="BN25" s="0"/>
      <c r="BO25" s="0"/>
      <c r="BP25" s="0"/>
      <c r="BQ25" s="0"/>
      <c r="BR25" s="0"/>
      <c r="BS25" s="0"/>
      <c r="BT25" s="0"/>
      <c r="BU25" s="0"/>
      <c r="BV25" s="0"/>
      <c r="BW25" s="0"/>
      <c r="BX25" s="0"/>
      <c r="BY25" s="0"/>
      <c r="BZ25" s="0"/>
      <c r="CA25" s="0"/>
      <c r="CB25" s="0"/>
      <c r="CC25" s="0"/>
      <c r="CD25" s="0"/>
      <c r="CE25" s="0"/>
      <c r="CF25" s="0"/>
      <c r="CG25" s="0"/>
      <c r="CH25" s="0"/>
      <c r="CI25" s="0"/>
      <c r="CJ25" s="0"/>
      <c r="CK25" s="0"/>
      <c r="CL25" s="0"/>
      <c r="CM25" s="0"/>
      <c r="CN25" s="0"/>
      <c r="CO25" s="0"/>
      <c r="CP25" s="0"/>
      <c r="CQ25" s="0"/>
      <c r="CR25" s="0"/>
      <c r="CS25" s="0"/>
      <c r="CT25" s="0"/>
      <c r="CU25" s="0"/>
      <c r="CV25" s="0"/>
      <c r="CW25" s="0"/>
      <c r="CX25" s="0"/>
      <c r="CY25" s="0"/>
      <c r="CZ25" s="0"/>
      <c r="DA25" s="0"/>
      <c r="DB25" s="0"/>
      <c r="DC25" s="0"/>
      <c r="DD25" s="0"/>
      <c r="DE25" s="0"/>
      <c r="DF25" s="0"/>
      <c r="DG25" s="0"/>
      <c r="DH25" s="0"/>
      <c r="DI25" s="0"/>
      <c r="DJ25" s="0"/>
      <c r="DK25" s="0"/>
      <c r="DL25" s="0"/>
      <c r="DM25" s="0"/>
      <c r="DN25" s="0"/>
      <c r="DO25" s="0"/>
      <c r="DP25" s="0"/>
      <c r="DQ25" s="0"/>
      <c r="DR25" s="0"/>
      <c r="DS25" s="0"/>
      <c r="DT25" s="0"/>
      <c r="DU25" s="0"/>
      <c r="DV25" s="0"/>
      <c r="DW25" s="0"/>
      <c r="DX25" s="0"/>
      <c r="DY25" s="0"/>
      <c r="DZ25" s="0"/>
      <c r="EA25" s="0"/>
      <c r="EB25" s="0"/>
      <c r="EC25" s="0"/>
      <c r="ED25" s="0"/>
      <c r="EE25" s="0"/>
      <c r="EF25" s="0"/>
      <c r="EG25" s="0"/>
      <c r="EH25" s="0"/>
      <c r="EI25" s="0"/>
      <c r="EJ25" s="0"/>
      <c r="EK25" s="0"/>
      <c r="EL25" s="0"/>
      <c r="EM25" s="0"/>
      <c r="EN25" s="0"/>
      <c r="EO25" s="0"/>
      <c r="EP25" s="0"/>
      <c r="EQ25" s="0"/>
      <c r="ER25" s="0"/>
      <c r="ES25" s="0"/>
      <c r="ET25" s="0"/>
      <c r="EU25" s="0"/>
      <c r="EV25" s="0"/>
      <c r="EW25" s="0"/>
      <c r="EX25" s="0"/>
      <c r="EY25" s="0"/>
      <c r="EZ25" s="0"/>
      <c r="FA25" s="0"/>
      <c r="FB25" s="0"/>
      <c r="FC25" s="0"/>
      <c r="FD25" s="0"/>
      <c r="FE25" s="0"/>
      <c r="FF25" s="0"/>
      <c r="FG25" s="0"/>
      <c r="FH25" s="0"/>
      <c r="FI25" s="0"/>
      <c r="FJ25" s="0"/>
      <c r="FK25" s="0"/>
      <c r="FL25" s="0"/>
      <c r="FM25" s="0"/>
      <c r="FN25" s="0"/>
      <c r="FO25" s="0"/>
      <c r="FP25" s="0"/>
      <c r="FQ25" s="0"/>
      <c r="FR25" s="0"/>
      <c r="FS25" s="0"/>
      <c r="FT25" s="0"/>
      <c r="FU25" s="0"/>
      <c r="FV25" s="0"/>
      <c r="FW25" s="0"/>
      <c r="FX25" s="0"/>
      <c r="FY25" s="0"/>
      <c r="FZ25" s="0"/>
      <c r="GA25" s="0"/>
      <c r="GB25" s="0"/>
      <c r="GC25" s="0"/>
      <c r="GD25" s="0"/>
      <c r="GE25" s="0"/>
      <c r="GF25" s="0"/>
      <c r="GG25" s="0"/>
      <c r="GH25" s="0"/>
      <c r="GI25" s="0"/>
      <c r="GJ25" s="0"/>
      <c r="GK25" s="0"/>
      <c r="GL25" s="0"/>
      <c r="GM25" s="0"/>
      <c r="GN25" s="0"/>
      <c r="GO25" s="0"/>
      <c r="GP25" s="0"/>
      <c r="GQ25" s="0"/>
      <c r="GR25" s="0"/>
      <c r="GS25" s="0"/>
      <c r="GT25" s="0"/>
      <c r="GU25" s="0"/>
      <c r="GV25" s="0"/>
      <c r="GW25" s="0"/>
      <c r="GX25" s="0"/>
      <c r="GY25" s="0"/>
      <c r="GZ25" s="0"/>
      <c r="HA25" s="0"/>
      <c r="HB25" s="0"/>
      <c r="HC25" s="0"/>
      <c r="HD25" s="0"/>
      <c r="HE25" s="0"/>
      <c r="HF25" s="0"/>
      <c r="HG25" s="0"/>
      <c r="HH25" s="0"/>
      <c r="HI25" s="0"/>
      <c r="HJ25" s="0"/>
      <c r="HK25" s="0"/>
      <c r="HL25" s="0"/>
      <c r="HM25" s="0"/>
      <c r="HN25" s="0"/>
      <c r="HO25" s="0"/>
      <c r="HP25" s="0"/>
      <c r="HQ25" s="0"/>
      <c r="HR25" s="0"/>
      <c r="HS25" s="0"/>
      <c r="HT25" s="0"/>
      <c r="HU25" s="0"/>
      <c r="HV25" s="0"/>
      <c r="HW25" s="0"/>
      <c r="HX25" s="0"/>
      <c r="HY25" s="0"/>
      <c r="HZ25" s="0"/>
      <c r="IA25" s="0"/>
      <c r="IB25" s="0"/>
      <c r="IC25" s="0"/>
      <c r="ID25" s="0"/>
      <c r="IE25" s="0"/>
      <c r="IF25" s="0"/>
      <c r="IG25" s="0"/>
      <c r="IH25" s="0"/>
      <c r="II25" s="0"/>
      <c r="IJ25" s="0"/>
      <c r="IK25" s="0"/>
      <c r="IL25" s="0"/>
      <c r="IM25" s="0"/>
      <c r="IN25" s="0"/>
      <c r="IO25" s="0"/>
      <c r="IP25" s="0"/>
      <c r="IQ25" s="0"/>
      <c r="IR25" s="0"/>
      <c r="IS25" s="0"/>
      <c r="IT25" s="0"/>
      <c r="IU25" s="0"/>
      <c r="IV25" s="0"/>
      <c r="IW25" s="0"/>
    </row>
    <row r="26" customFormat="false" ht="11.1" hidden="false" customHeight="true" outlineLevel="0" collapsed="false">
      <c r="A26" s="58" t="n">
        <f aca="false">A25+1</f>
        <v>17</v>
      </c>
      <c r="B26" s="73" t="n">
        <v>6922.06</v>
      </c>
      <c r="C26" s="52" t="n">
        <v>372558</v>
      </c>
      <c r="D26" s="57" t="n">
        <f aca="false">C26-C25</f>
        <v>-442</v>
      </c>
      <c r="E26" s="52" t="n">
        <f aca="false">C26-152000</f>
        <v>220558</v>
      </c>
      <c r="F26" s="51" t="n">
        <f aca="false">D26/$D$2</f>
        <v>-222.838416939753</v>
      </c>
      <c r="G26" s="51" t="n">
        <v>489</v>
      </c>
      <c r="H26" s="87" t="n">
        <v>0</v>
      </c>
      <c r="I26" s="51" t="n">
        <f aca="false">G26+H26</f>
        <v>489</v>
      </c>
      <c r="J26" s="81" t="n">
        <f aca="false">IF(L26&gt;0,L26,0)</f>
        <v>0</v>
      </c>
      <c r="K26" s="51" t="n">
        <f aca="false">I26+J26</f>
        <v>489</v>
      </c>
      <c r="L26" s="51" t="n">
        <f aca="false">F26-(I26-W26)</f>
        <v>-2.83841693975296</v>
      </c>
      <c r="M26" s="51" t="n">
        <v>230</v>
      </c>
      <c r="N26" s="51" t="n">
        <v>0</v>
      </c>
      <c r="O26" s="51" t="n">
        <v>0</v>
      </c>
      <c r="P26" s="6" t="n">
        <f aca="false">M26-(N26+O26)</f>
        <v>230</v>
      </c>
      <c r="Q26" s="51" t="n">
        <v>168</v>
      </c>
      <c r="R26" s="51" t="n">
        <v>91</v>
      </c>
      <c r="S26" s="51" t="n">
        <f aca="false">SUM(P26:R26)</f>
        <v>489</v>
      </c>
      <c r="T26" s="52" t="n">
        <f aca="false">(I26-S26)+T25</f>
        <v>1343</v>
      </c>
      <c r="U26" s="51" t="n">
        <v>29</v>
      </c>
      <c r="V26" s="51" t="n">
        <v>191</v>
      </c>
      <c r="W26" s="6" t="n">
        <f aca="false">N26+O26+S26+U26+V26</f>
        <v>709</v>
      </c>
      <c r="X26" s="51" t="n">
        <f aca="false">IF(L26&lt;0,L26*-1,0)</f>
        <v>2.83841693975296</v>
      </c>
      <c r="Y26" s="51" t="n">
        <f aca="false">W26+X26</f>
        <v>711.838416939753</v>
      </c>
      <c r="Z26" s="55" t="n">
        <v>0.17</v>
      </c>
      <c r="AA26" s="82" t="n">
        <v>73</v>
      </c>
      <c r="AB26" s="57" t="n">
        <v>50</v>
      </c>
      <c r="AC26" s="58" t="n">
        <f aca="false">AC25+1</f>
        <v>17</v>
      </c>
      <c r="AD26" s="12" t="n">
        <f aca="false">IF(I26&gt;S26,I26-S26,I26-S26)</f>
        <v>0</v>
      </c>
      <c r="AE26" s="12"/>
      <c r="AF26" s="0"/>
      <c r="AG26" s="6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  <c r="BH26" s="0"/>
      <c r="BI26" s="0"/>
      <c r="BJ26" s="0"/>
      <c r="BK26" s="0"/>
      <c r="BL26" s="0"/>
      <c r="BM26" s="0"/>
      <c r="BN26" s="0"/>
      <c r="BO26" s="0"/>
      <c r="BP26" s="0"/>
      <c r="BQ26" s="0"/>
      <c r="BR26" s="0"/>
      <c r="BS26" s="0"/>
      <c r="BT26" s="0"/>
      <c r="BU26" s="0"/>
      <c r="BV26" s="0"/>
      <c r="BW26" s="0"/>
      <c r="BX26" s="0"/>
      <c r="BY26" s="0"/>
      <c r="BZ26" s="0"/>
      <c r="CA26" s="0"/>
      <c r="CB26" s="0"/>
      <c r="CC26" s="0"/>
      <c r="CD26" s="0"/>
      <c r="CE26" s="0"/>
      <c r="CF26" s="0"/>
      <c r="CG26" s="0"/>
      <c r="CH26" s="0"/>
      <c r="CI26" s="0"/>
      <c r="CJ26" s="0"/>
      <c r="CK26" s="0"/>
      <c r="CL26" s="0"/>
      <c r="CM26" s="0"/>
      <c r="CN26" s="0"/>
      <c r="CO26" s="0"/>
      <c r="CP26" s="0"/>
      <c r="CQ26" s="0"/>
      <c r="CR26" s="0"/>
      <c r="CS26" s="0"/>
      <c r="CT26" s="0"/>
      <c r="CU26" s="0"/>
      <c r="CV26" s="0"/>
      <c r="CW26" s="0"/>
      <c r="CX26" s="0"/>
      <c r="CY26" s="0"/>
      <c r="CZ26" s="0"/>
      <c r="DA26" s="0"/>
      <c r="DB26" s="0"/>
      <c r="DC26" s="0"/>
      <c r="DD26" s="0"/>
      <c r="DE26" s="0"/>
      <c r="DF26" s="0"/>
      <c r="DG26" s="0"/>
      <c r="DH26" s="0"/>
      <c r="DI26" s="0"/>
      <c r="DJ26" s="0"/>
      <c r="DK26" s="0"/>
      <c r="DL26" s="0"/>
      <c r="DM26" s="0"/>
      <c r="DN26" s="0"/>
      <c r="DO26" s="0"/>
      <c r="DP26" s="0"/>
      <c r="DQ26" s="0"/>
      <c r="DR26" s="0"/>
      <c r="DS26" s="0"/>
      <c r="DT26" s="0"/>
      <c r="DU26" s="0"/>
      <c r="DV26" s="0"/>
      <c r="DW26" s="0"/>
      <c r="DX26" s="0"/>
      <c r="DY26" s="0"/>
      <c r="DZ26" s="0"/>
      <c r="EA26" s="0"/>
      <c r="EB26" s="0"/>
      <c r="EC26" s="0"/>
      <c r="ED26" s="0"/>
      <c r="EE26" s="0"/>
      <c r="EF26" s="0"/>
      <c r="EG26" s="0"/>
      <c r="EH26" s="0"/>
      <c r="EI26" s="0"/>
      <c r="EJ26" s="0"/>
      <c r="EK26" s="0"/>
      <c r="EL26" s="0"/>
      <c r="EM26" s="0"/>
      <c r="EN26" s="0"/>
      <c r="EO26" s="0"/>
      <c r="EP26" s="0"/>
      <c r="EQ26" s="0"/>
      <c r="ER26" s="0"/>
      <c r="ES26" s="0"/>
      <c r="ET26" s="0"/>
      <c r="EU26" s="0"/>
      <c r="EV26" s="0"/>
      <c r="EW26" s="0"/>
      <c r="EX26" s="0"/>
      <c r="EY26" s="0"/>
      <c r="EZ26" s="0"/>
      <c r="FA26" s="0"/>
      <c r="FB26" s="0"/>
      <c r="FC26" s="0"/>
      <c r="FD26" s="0"/>
      <c r="FE26" s="0"/>
      <c r="FF26" s="0"/>
      <c r="FG26" s="0"/>
      <c r="FH26" s="0"/>
      <c r="FI26" s="0"/>
      <c r="FJ26" s="0"/>
      <c r="FK26" s="0"/>
      <c r="FL26" s="0"/>
      <c r="FM26" s="0"/>
      <c r="FN26" s="0"/>
      <c r="FO26" s="0"/>
      <c r="FP26" s="0"/>
      <c r="FQ26" s="0"/>
      <c r="FR26" s="0"/>
      <c r="FS26" s="0"/>
      <c r="FT26" s="0"/>
      <c r="FU26" s="0"/>
      <c r="FV26" s="0"/>
      <c r="FW26" s="0"/>
      <c r="FX26" s="0"/>
      <c r="FY26" s="0"/>
      <c r="FZ26" s="0"/>
      <c r="GA26" s="0"/>
      <c r="GB26" s="0"/>
      <c r="GC26" s="0"/>
      <c r="GD26" s="0"/>
      <c r="GE26" s="0"/>
      <c r="GF26" s="0"/>
      <c r="GG26" s="0"/>
      <c r="GH26" s="0"/>
      <c r="GI26" s="0"/>
      <c r="GJ26" s="0"/>
      <c r="GK26" s="0"/>
      <c r="GL26" s="0"/>
      <c r="GM26" s="0"/>
      <c r="GN26" s="0"/>
      <c r="GO26" s="0"/>
      <c r="GP26" s="0"/>
      <c r="GQ26" s="0"/>
      <c r="GR26" s="0"/>
      <c r="GS26" s="0"/>
      <c r="GT26" s="0"/>
      <c r="GU26" s="0"/>
      <c r="GV26" s="0"/>
      <c r="GW26" s="0"/>
      <c r="GX26" s="0"/>
      <c r="GY26" s="0"/>
      <c r="GZ26" s="0"/>
      <c r="HA26" s="0"/>
      <c r="HB26" s="0"/>
      <c r="HC26" s="0"/>
      <c r="HD26" s="0"/>
      <c r="HE26" s="0"/>
      <c r="HF26" s="0"/>
      <c r="HG26" s="0"/>
      <c r="HH26" s="0"/>
      <c r="HI26" s="0"/>
      <c r="HJ26" s="0"/>
      <c r="HK26" s="0"/>
      <c r="HL26" s="0"/>
      <c r="HM26" s="0"/>
      <c r="HN26" s="0"/>
      <c r="HO26" s="0"/>
      <c r="HP26" s="0"/>
      <c r="HQ26" s="0"/>
      <c r="HR26" s="0"/>
      <c r="HS26" s="0"/>
      <c r="HT26" s="0"/>
      <c r="HU26" s="0"/>
      <c r="HV26" s="0"/>
      <c r="HW26" s="0"/>
      <c r="HX26" s="0"/>
      <c r="HY26" s="0"/>
      <c r="HZ26" s="0"/>
      <c r="IA26" s="0"/>
      <c r="IB26" s="0"/>
      <c r="IC26" s="0"/>
      <c r="ID26" s="0"/>
      <c r="IE26" s="0"/>
      <c r="IF26" s="0"/>
      <c r="IG26" s="0"/>
      <c r="IH26" s="0"/>
      <c r="II26" s="0"/>
      <c r="IJ26" s="0"/>
      <c r="IK26" s="0"/>
      <c r="IL26" s="0"/>
      <c r="IM26" s="0"/>
      <c r="IN26" s="0"/>
      <c r="IO26" s="0"/>
      <c r="IP26" s="0"/>
      <c r="IQ26" s="0"/>
      <c r="IR26" s="0"/>
      <c r="IS26" s="0"/>
      <c r="IT26" s="0"/>
      <c r="IU26" s="0"/>
      <c r="IV26" s="0"/>
      <c r="IW26" s="0"/>
    </row>
    <row r="27" customFormat="false" ht="11.1" hidden="false" customHeight="true" outlineLevel="0" collapsed="false">
      <c r="A27" s="58" t="n">
        <f aca="false">A26+1</f>
        <v>18</v>
      </c>
      <c r="B27" s="73" t="n">
        <v>6921.96</v>
      </c>
      <c r="C27" s="52" t="n">
        <v>372118</v>
      </c>
      <c r="D27" s="57" t="n">
        <f aca="false">C27-C26</f>
        <v>-440</v>
      </c>
      <c r="E27" s="52" t="n">
        <f aca="false">C27-152000</f>
        <v>220118</v>
      </c>
      <c r="F27" s="51" t="n">
        <f aca="false">D27/$D$2</f>
        <v>-221.830098311066</v>
      </c>
      <c r="G27" s="51" t="n">
        <v>573</v>
      </c>
      <c r="H27" s="87" t="n">
        <v>0</v>
      </c>
      <c r="I27" s="51" t="n">
        <f aca="false">G27+H27</f>
        <v>573</v>
      </c>
      <c r="J27" s="81" t="n">
        <f aca="false">IF(L27&gt;0,L27,0)</f>
        <v>0</v>
      </c>
      <c r="K27" s="51" t="n">
        <f aca="false">I27+J27</f>
        <v>573</v>
      </c>
      <c r="L27" s="51" t="n">
        <f aca="false">F27-(I27-W27)</f>
        <v>-110.830098311066</v>
      </c>
      <c r="M27" s="51" t="n">
        <v>235</v>
      </c>
      <c r="N27" s="51" t="n">
        <v>0</v>
      </c>
      <c r="O27" s="51" t="n">
        <v>0</v>
      </c>
      <c r="P27" s="6" t="n">
        <f aca="false">M27-(N27+O27)</f>
        <v>235</v>
      </c>
      <c r="Q27" s="51" t="n">
        <v>168</v>
      </c>
      <c r="R27" s="51" t="n">
        <v>90</v>
      </c>
      <c r="S27" s="51" t="n">
        <f aca="false">SUM(P27:R27)</f>
        <v>493</v>
      </c>
      <c r="T27" s="52" t="n">
        <f aca="false">(I27-S27)+T26</f>
        <v>1423</v>
      </c>
      <c r="U27" s="51" t="n">
        <v>0</v>
      </c>
      <c r="V27" s="51" t="n">
        <v>191</v>
      </c>
      <c r="W27" s="6" t="n">
        <f aca="false">N27+O27+S27+U27+V27</f>
        <v>684</v>
      </c>
      <c r="X27" s="51" t="n">
        <f aca="false">IF(L27&lt;0,L27*-1,0)</f>
        <v>110.830098311066</v>
      </c>
      <c r="Y27" s="51" t="n">
        <f aca="false">W27+X27</f>
        <v>794.830098311066</v>
      </c>
      <c r="Z27" s="55" t="n">
        <v>0</v>
      </c>
      <c r="AA27" s="82" t="n">
        <v>78</v>
      </c>
      <c r="AB27" s="57" t="n">
        <v>51</v>
      </c>
      <c r="AC27" s="58" t="n">
        <f aca="false">AC26+1</f>
        <v>18</v>
      </c>
      <c r="AD27" s="12" t="n">
        <f aca="false">IF(I27&gt;S27,I27-S27,I27-S27)</f>
        <v>80</v>
      </c>
      <c r="AE27" s="12"/>
      <c r="AF27" s="0"/>
      <c r="AG27" s="6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  <c r="BH27" s="0"/>
      <c r="BI27" s="0"/>
      <c r="BJ27" s="0"/>
      <c r="BK27" s="0"/>
      <c r="BL27" s="0"/>
      <c r="BM27" s="0"/>
      <c r="BN27" s="0"/>
      <c r="BO27" s="0"/>
      <c r="BP27" s="0"/>
      <c r="BQ27" s="0"/>
      <c r="BR27" s="0"/>
      <c r="BS27" s="0"/>
      <c r="BT27" s="0"/>
      <c r="BU27" s="0"/>
      <c r="BV27" s="0"/>
      <c r="BW27" s="0"/>
      <c r="BX27" s="0"/>
      <c r="BY27" s="0"/>
      <c r="BZ27" s="0"/>
      <c r="CA27" s="0"/>
      <c r="CB27" s="0"/>
      <c r="CC27" s="0"/>
      <c r="CD27" s="0"/>
      <c r="CE27" s="0"/>
      <c r="CF27" s="0"/>
      <c r="CG27" s="0"/>
      <c r="CH27" s="0"/>
      <c r="CI27" s="0"/>
      <c r="CJ27" s="0"/>
      <c r="CK27" s="0"/>
      <c r="CL27" s="0"/>
      <c r="CM27" s="0"/>
      <c r="CN27" s="0"/>
      <c r="CO27" s="0"/>
      <c r="CP27" s="0"/>
      <c r="CQ27" s="0"/>
      <c r="CR27" s="0"/>
      <c r="CS27" s="0"/>
      <c r="CT27" s="0"/>
      <c r="CU27" s="0"/>
      <c r="CV27" s="0"/>
      <c r="CW27" s="0"/>
      <c r="CX27" s="0"/>
      <c r="CY27" s="0"/>
      <c r="CZ27" s="0"/>
      <c r="DA27" s="0"/>
      <c r="DB27" s="0"/>
      <c r="DC27" s="0"/>
      <c r="DD27" s="0"/>
      <c r="DE27" s="0"/>
      <c r="DF27" s="0"/>
      <c r="DG27" s="0"/>
      <c r="DH27" s="0"/>
      <c r="DI27" s="0"/>
      <c r="DJ27" s="0"/>
      <c r="DK27" s="0"/>
      <c r="DL27" s="0"/>
      <c r="DM27" s="0"/>
      <c r="DN27" s="0"/>
      <c r="DO27" s="0"/>
      <c r="DP27" s="0"/>
      <c r="DQ27" s="0"/>
      <c r="DR27" s="0"/>
      <c r="DS27" s="0"/>
      <c r="DT27" s="0"/>
      <c r="DU27" s="0"/>
      <c r="DV27" s="0"/>
      <c r="DW27" s="0"/>
      <c r="DX27" s="0"/>
      <c r="DY27" s="0"/>
      <c r="DZ27" s="0"/>
      <c r="EA27" s="0"/>
      <c r="EB27" s="0"/>
      <c r="EC27" s="0"/>
      <c r="ED27" s="0"/>
      <c r="EE27" s="0"/>
      <c r="EF27" s="0"/>
      <c r="EG27" s="0"/>
      <c r="EH27" s="0"/>
      <c r="EI27" s="0"/>
      <c r="EJ27" s="0"/>
      <c r="EK27" s="0"/>
      <c r="EL27" s="0"/>
      <c r="EM27" s="0"/>
      <c r="EN27" s="0"/>
      <c r="EO27" s="0"/>
      <c r="EP27" s="0"/>
      <c r="EQ27" s="0"/>
      <c r="ER27" s="0"/>
      <c r="ES27" s="0"/>
      <c r="ET27" s="0"/>
      <c r="EU27" s="0"/>
      <c r="EV27" s="0"/>
      <c r="EW27" s="0"/>
      <c r="EX27" s="0"/>
      <c r="EY27" s="0"/>
      <c r="EZ27" s="0"/>
      <c r="FA27" s="0"/>
      <c r="FB27" s="0"/>
      <c r="FC27" s="0"/>
      <c r="FD27" s="0"/>
      <c r="FE27" s="0"/>
      <c r="FF27" s="0"/>
      <c r="FG27" s="0"/>
      <c r="FH27" s="0"/>
      <c r="FI27" s="0"/>
      <c r="FJ27" s="0"/>
      <c r="FK27" s="0"/>
      <c r="FL27" s="0"/>
      <c r="FM27" s="0"/>
      <c r="FN27" s="0"/>
      <c r="FO27" s="0"/>
      <c r="FP27" s="0"/>
      <c r="FQ27" s="0"/>
      <c r="FR27" s="0"/>
      <c r="FS27" s="0"/>
      <c r="FT27" s="0"/>
      <c r="FU27" s="0"/>
      <c r="FV27" s="0"/>
      <c r="FW27" s="0"/>
      <c r="FX27" s="0"/>
      <c r="FY27" s="0"/>
      <c r="FZ27" s="0"/>
      <c r="GA27" s="0"/>
      <c r="GB27" s="0"/>
      <c r="GC27" s="0"/>
      <c r="GD27" s="0"/>
      <c r="GE27" s="0"/>
      <c r="GF27" s="0"/>
      <c r="GG27" s="0"/>
      <c r="GH27" s="0"/>
      <c r="GI27" s="0"/>
      <c r="GJ27" s="0"/>
      <c r="GK27" s="0"/>
      <c r="GL27" s="0"/>
      <c r="GM27" s="0"/>
      <c r="GN27" s="0"/>
      <c r="GO27" s="0"/>
      <c r="GP27" s="0"/>
      <c r="GQ27" s="0"/>
      <c r="GR27" s="0"/>
      <c r="GS27" s="0"/>
      <c r="GT27" s="0"/>
      <c r="GU27" s="0"/>
      <c r="GV27" s="0"/>
      <c r="GW27" s="0"/>
      <c r="GX27" s="0"/>
      <c r="GY27" s="0"/>
      <c r="GZ27" s="0"/>
      <c r="HA27" s="0"/>
      <c r="HB27" s="0"/>
      <c r="HC27" s="0"/>
      <c r="HD27" s="0"/>
      <c r="HE27" s="0"/>
      <c r="HF27" s="0"/>
      <c r="HG27" s="0"/>
      <c r="HH27" s="0"/>
      <c r="HI27" s="0"/>
      <c r="HJ27" s="0"/>
      <c r="HK27" s="0"/>
      <c r="HL27" s="0"/>
      <c r="HM27" s="0"/>
      <c r="HN27" s="0"/>
      <c r="HO27" s="0"/>
      <c r="HP27" s="0"/>
      <c r="HQ27" s="0"/>
      <c r="HR27" s="0"/>
      <c r="HS27" s="0"/>
      <c r="HT27" s="0"/>
      <c r="HU27" s="0"/>
      <c r="HV27" s="0"/>
      <c r="HW27" s="0"/>
      <c r="HX27" s="0"/>
      <c r="HY27" s="0"/>
      <c r="HZ27" s="0"/>
      <c r="IA27" s="0"/>
      <c r="IB27" s="0"/>
      <c r="IC27" s="0"/>
      <c r="ID27" s="0"/>
      <c r="IE27" s="0"/>
      <c r="IF27" s="0"/>
      <c r="IG27" s="0"/>
      <c r="IH27" s="0"/>
      <c r="II27" s="0"/>
      <c r="IJ27" s="0"/>
      <c r="IK27" s="0"/>
      <c r="IL27" s="0"/>
      <c r="IM27" s="0"/>
      <c r="IN27" s="0"/>
      <c r="IO27" s="0"/>
      <c r="IP27" s="0"/>
      <c r="IQ27" s="0"/>
      <c r="IR27" s="0"/>
      <c r="IS27" s="0"/>
      <c r="IT27" s="0"/>
      <c r="IU27" s="0"/>
      <c r="IV27" s="0"/>
      <c r="IW27" s="0"/>
    </row>
    <row r="28" customFormat="false" ht="11.1" hidden="false" customHeight="true" outlineLevel="0" collapsed="false">
      <c r="A28" s="58" t="n">
        <f aca="false">A27+1</f>
        <v>19</v>
      </c>
      <c r="B28" s="73" t="n">
        <v>6921.85</v>
      </c>
      <c r="C28" s="52" t="n">
        <v>371637</v>
      </c>
      <c r="D28" s="57" t="n">
        <f aca="false">C28-C27</f>
        <v>-481</v>
      </c>
      <c r="E28" s="52" t="n">
        <f aca="false">C28-152000</f>
        <v>219637</v>
      </c>
      <c r="F28" s="51" t="n">
        <f aca="false">D28/$D$2</f>
        <v>-242.500630199143</v>
      </c>
      <c r="G28" s="51" t="n">
        <v>750</v>
      </c>
      <c r="H28" s="87" t="n">
        <v>0</v>
      </c>
      <c r="I28" s="51" t="n">
        <f aca="false">G28+H28</f>
        <v>750</v>
      </c>
      <c r="J28" s="81" t="n">
        <f aca="false">IF(L28&gt;0,L28,0)</f>
        <v>0</v>
      </c>
      <c r="K28" s="51" t="n">
        <f aca="false">I28+J28</f>
        <v>750</v>
      </c>
      <c r="L28" s="51" t="n">
        <f aca="false">F28-(I28-W28)</f>
        <v>-322.500630199143</v>
      </c>
      <c r="M28" s="51" t="n">
        <v>222</v>
      </c>
      <c r="N28" s="51" t="n">
        <v>0</v>
      </c>
      <c r="O28" s="51" t="n">
        <v>0</v>
      </c>
      <c r="P28" s="6" t="n">
        <f aca="false">M28-(N28+O28)</f>
        <v>222</v>
      </c>
      <c r="Q28" s="51" t="n">
        <v>168</v>
      </c>
      <c r="R28" s="51" t="n">
        <v>89</v>
      </c>
      <c r="S28" s="51" t="n">
        <f aca="false">SUM(P28:R28)</f>
        <v>479</v>
      </c>
      <c r="T28" s="52" t="n">
        <f aca="false">(I28-S28)+T27</f>
        <v>1694</v>
      </c>
      <c r="U28" s="51" t="n">
        <v>0</v>
      </c>
      <c r="V28" s="51" t="n">
        <v>191</v>
      </c>
      <c r="W28" s="6" t="n">
        <f aca="false">N28+O28+S28+U28+V28</f>
        <v>670</v>
      </c>
      <c r="X28" s="51" t="n">
        <f aca="false">IF(L28&lt;0,L28*-1,0)</f>
        <v>322.500630199143</v>
      </c>
      <c r="Y28" s="51" t="n">
        <f aca="false">W28+X28</f>
        <v>992.500630199143</v>
      </c>
      <c r="Z28" s="55" t="n">
        <v>0</v>
      </c>
      <c r="AA28" s="82" t="n">
        <v>80</v>
      </c>
      <c r="AB28" s="57" t="n">
        <v>49</v>
      </c>
      <c r="AC28" s="58" t="n">
        <f aca="false">AC27+1</f>
        <v>19</v>
      </c>
      <c r="AD28" s="12" t="n">
        <f aca="false">IF(I28&gt;S28,I28-S28,I28-S28)</f>
        <v>271</v>
      </c>
      <c r="AE28" s="12"/>
      <c r="AF28" s="0"/>
      <c r="AG28" s="6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  <c r="BH28" s="0"/>
      <c r="BI28" s="0"/>
      <c r="BJ28" s="0"/>
      <c r="BK28" s="0"/>
      <c r="BL28" s="0"/>
      <c r="BM28" s="0"/>
      <c r="BN28" s="0"/>
      <c r="BO28" s="0"/>
      <c r="BP28" s="0"/>
      <c r="BQ28" s="0"/>
      <c r="BR28" s="0"/>
      <c r="BS28" s="0"/>
      <c r="BT28" s="0"/>
      <c r="BU28" s="0"/>
      <c r="BV28" s="0"/>
      <c r="BW28" s="0"/>
      <c r="BX28" s="0"/>
      <c r="BY28" s="0"/>
      <c r="BZ28" s="0"/>
      <c r="CA28" s="0"/>
      <c r="CB28" s="0"/>
      <c r="CC28" s="0"/>
      <c r="CD28" s="0"/>
      <c r="CE28" s="0"/>
      <c r="CF28" s="0"/>
      <c r="CG28" s="0"/>
      <c r="CH28" s="0"/>
      <c r="CI28" s="0"/>
      <c r="CJ28" s="0"/>
      <c r="CK28" s="0"/>
      <c r="CL28" s="0"/>
      <c r="CM28" s="0"/>
      <c r="CN28" s="0"/>
      <c r="CO28" s="0"/>
      <c r="CP28" s="0"/>
      <c r="CQ28" s="0"/>
      <c r="CR28" s="0"/>
      <c r="CS28" s="0"/>
      <c r="CT28" s="0"/>
      <c r="CU28" s="0"/>
      <c r="CV28" s="0"/>
      <c r="CW28" s="0"/>
      <c r="CX28" s="0"/>
      <c r="CY28" s="0"/>
      <c r="CZ28" s="0"/>
      <c r="DA28" s="0"/>
      <c r="DB28" s="0"/>
      <c r="DC28" s="0"/>
      <c r="DD28" s="0"/>
      <c r="DE28" s="0"/>
      <c r="DF28" s="0"/>
      <c r="DG28" s="0"/>
      <c r="DH28" s="0"/>
      <c r="DI28" s="0"/>
      <c r="DJ28" s="0"/>
      <c r="DK28" s="0"/>
      <c r="DL28" s="0"/>
      <c r="DM28" s="0"/>
      <c r="DN28" s="0"/>
      <c r="DO28" s="0"/>
      <c r="DP28" s="0"/>
      <c r="DQ28" s="0"/>
      <c r="DR28" s="0"/>
      <c r="DS28" s="0"/>
      <c r="DT28" s="0"/>
      <c r="DU28" s="0"/>
      <c r="DV28" s="0"/>
      <c r="DW28" s="0"/>
      <c r="DX28" s="0"/>
      <c r="DY28" s="0"/>
      <c r="DZ28" s="0"/>
      <c r="EA28" s="0"/>
      <c r="EB28" s="0"/>
      <c r="EC28" s="0"/>
      <c r="ED28" s="0"/>
      <c r="EE28" s="0"/>
      <c r="EF28" s="0"/>
      <c r="EG28" s="0"/>
      <c r="EH28" s="0"/>
      <c r="EI28" s="0"/>
      <c r="EJ28" s="0"/>
      <c r="EK28" s="0"/>
      <c r="EL28" s="0"/>
      <c r="EM28" s="0"/>
      <c r="EN28" s="0"/>
      <c r="EO28" s="0"/>
      <c r="EP28" s="0"/>
      <c r="EQ28" s="0"/>
      <c r="ER28" s="0"/>
      <c r="ES28" s="0"/>
      <c r="ET28" s="0"/>
      <c r="EU28" s="0"/>
      <c r="EV28" s="0"/>
      <c r="EW28" s="0"/>
      <c r="EX28" s="0"/>
      <c r="EY28" s="0"/>
      <c r="EZ28" s="0"/>
      <c r="FA28" s="0"/>
      <c r="FB28" s="0"/>
      <c r="FC28" s="0"/>
      <c r="FD28" s="0"/>
      <c r="FE28" s="0"/>
      <c r="FF28" s="0"/>
      <c r="FG28" s="0"/>
      <c r="FH28" s="0"/>
      <c r="FI28" s="0"/>
      <c r="FJ28" s="0"/>
      <c r="FK28" s="0"/>
      <c r="FL28" s="0"/>
      <c r="FM28" s="0"/>
      <c r="FN28" s="0"/>
      <c r="FO28" s="0"/>
      <c r="FP28" s="0"/>
      <c r="FQ28" s="0"/>
      <c r="FR28" s="0"/>
      <c r="FS28" s="0"/>
      <c r="FT28" s="0"/>
      <c r="FU28" s="0"/>
      <c r="FV28" s="0"/>
      <c r="FW28" s="0"/>
      <c r="FX28" s="0"/>
      <c r="FY28" s="0"/>
      <c r="FZ28" s="0"/>
      <c r="GA28" s="0"/>
      <c r="GB28" s="0"/>
      <c r="GC28" s="0"/>
      <c r="GD28" s="0"/>
      <c r="GE28" s="0"/>
      <c r="GF28" s="0"/>
      <c r="GG28" s="0"/>
      <c r="GH28" s="0"/>
      <c r="GI28" s="0"/>
      <c r="GJ28" s="0"/>
      <c r="GK28" s="0"/>
      <c r="GL28" s="0"/>
      <c r="GM28" s="0"/>
      <c r="GN28" s="0"/>
      <c r="GO28" s="0"/>
      <c r="GP28" s="0"/>
      <c r="GQ28" s="0"/>
      <c r="GR28" s="0"/>
      <c r="GS28" s="0"/>
      <c r="GT28" s="0"/>
      <c r="GU28" s="0"/>
      <c r="GV28" s="0"/>
      <c r="GW28" s="0"/>
      <c r="GX28" s="0"/>
      <c r="GY28" s="0"/>
      <c r="GZ28" s="0"/>
      <c r="HA28" s="0"/>
      <c r="HB28" s="0"/>
      <c r="HC28" s="0"/>
      <c r="HD28" s="0"/>
      <c r="HE28" s="0"/>
      <c r="HF28" s="0"/>
      <c r="HG28" s="0"/>
      <c r="HH28" s="0"/>
      <c r="HI28" s="0"/>
      <c r="HJ28" s="0"/>
      <c r="HK28" s="0"/>
      <c r="HL28" s="0"/>
      <c r="HM28" s="0"/>
      <c r="HN28" s="0"/>
      <c r="HO28" s="0"/>
      <c r="HP28" s="0"/>
      <c r="HQ28" s="0"/>
      <c r="HR28" s="0"/>
      <c r="HS28" s="0"/>
      <c r="HT28" s="0"/>
      <c r="HU28" s="0"/>
      <c r="HV28" s="0"/>
      <c r="HW28" s="0"/>
      <c r="HX28" s="0"/>
      <c r="HY28" s="0"/>
      <c r="HZ28" s="0"/>
      <c r="IA28" s="0"/>
      <c r="IB28" s="0"/>
      <c r="IC28" s="0"/>
      <c r="ID28" s="0"/>
      <c r="IE28" s="0"/>
      <c r="IF28" s="0"/>
      <c r="IG28" s="0"/>
      <c r="IH28" s="0"/>
      <c r="II28" s="0"/>
      <c r="IJ28" s="0"/>
      <c r="IK28" s="0"/>
      <c r="IL28" s="0"/>
      <c r="IM28" s="0"/>
      <c r="IN28" s="0"/>
      <c r="IO28" s="0"/>
      <c r="IP28" s="0"/>
      <c r="IQ28" s="0"/>
      <c r="IR28" s="0"/>
      <c r="IS28" s="0"/>
      <c r="IT28" s="0"/>
      <c r="IU28" s="0"/>
      <c r="IV28" s="0"/>
      <c r="IW28" s="0"/>
    </row>
    <row r="29" customFormat="false" ht="11.1" hidden="false" customHeight="true" outlineLevel="0" collapsed="false">
      <c r="A29" s="58" t="n">
        <f aca="false">A28+1</f>
        <v>20</v>
      </c>
      <c r="B29" s="73" t="n">
        <v>6921.72</v>
      </c>
      <c r="C29" s="52" t="n">
        <v>371067</v>
      </c>
      <c r="D29" s="57" t="n">
        <f aca="false">C29-C28</f>
        <v>-570</v>
      </c>
      <c r="E29" s="52" t="n">
        <f aca="false">C29-152000</f>
        <v>219067</v>
      </c>
      <c r="F29" s="51" t="n">
        <f aca="false">D29/$D$2</f>
        <v>-287.370809175699</v>
      </c>
      <c r="G29" s="51" t="n">
        <v>494</v>
      </c>
      <c r="H29" s="87" t="n">
        <v>0</v>
      </c>
      <c r="I29" s="51" t="n">
        <f aca="false">G29+H29</f>
        <v>494</v>
      </c>
      <c r="J29" s="81" t="n">
        <f aca="false">IF(L29&gt;0,L29,0)</f>
        <v>0</v>
      </c>
      <c r="K29" s="51" t="n">
        <f aca="false">I29+J29</f>
        <v>494</v>
      </c>
      <c r="L29" s="51" t="n">
        <f aca="false">F29-(I29-W29)</f>
        <v>-101.3708091757</v>
      </c>
      <c r="M29" s="51" t="n">
        <v>209</v>
      </c>
      <c r="N29" s="51" t="n">
        <v>0</v>
      </c>
      <c r="O29" s="51" t="n">
        <v>0</v>
      </c>
      <c r="P29" s="6" t="n">
        <f aca="false">M29-(N29+O29)</f>
        <v>209</v>
      </c>
      <c r="Q29" s="51" t="n">
        <v>167</v>
      </c>
      <c r="R29" s="51" t="n">
        <v>89</v>
      </c>
      <c r="S29" s="51" t="n">
        <f aca="false">SUM(P29:R29)</f>
        <v>465</v>
      </c>
      <c r="T29" s="52" t="n">
        <f aca="false">(I29-S29)+T28</f>
        <v>1723</v>
      </c>
      <c r="U29" s="51" t="n">
        <v>20</v>
      </c>
      <c r="V29" s="51" t="n">
        <v>195</v>
      </c>
      <c r="W29" s="6" t="n">
        <f aca="false">N29+O29+S29+U29+V29</f>
        <v>680</v>
      </c>
      <c r="X29" s="51" t="n">
        <f aca="false">IF(L29&lt;0,L29*-1,0)</f>
        <v>101.3708091757</v>
      </c>
      <c r="Y29" s="51" t="n">
        <f aca="false">W29+X29</f>
        <v>781.3708091757</v>
      </c>
      <c r="Z29" s="55" t="n">
        <v>0</v>
      </c>
      <c r="AA29" s="82" t="n">
        <v>79</v>
      </c>
      <c r="AB29" s="57" t="n">
        <v>47</v>
      </c>
      <c r="AC29" s="58" t="n">
        <f aca="false">AC28+1</f>
        <v>20</v>
      </c>
      <c r="AD29" s="12" t="n">
        <f aca="false">IF(I29&gt;S29,I29-S29,I29-S29)</f>
        <v>29</v>
      </c>
      <c r="AE29" s="12"/>
      <c r="AF29" s="0"/>
      <c r="AG29" s="6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  <c r="BH29" s="0"/>
      <c r="BI29" s="0"/>
      <c r="BJ29" s="0"/>
      <c r="BK29" s="0"/>
      <c r="BL29" s="0"/>
      <c r="BM29" s="0"/>
      <c r="BN29" s="0"/>
      <c r="BO29" s="0"/>
      <c r="BP29" s="0"/>
      <c r="BQ29" s="0"/>
      <c r="BR29" s="0"/>
      <c r="BS29" s="0"/>
      <c r="BT29" s="0"/>
      <c r="BU29" s="0"/>
      <c r="BV29" s="0"/>
      <c r="BW29" s="0"/>
      <c r="BX29" s="0"/>
      <c r="BY29" s="0"/>
      <c r="BZ29" s="0"/>
      <c r="CA29" s="0"/>
      <c r="CB29" s="0"/>
      <c r="CC29" s="0"/>
      <c r="CD29" s="0"/>
      <c r="CE29" s="0"/>
      <c r="CF29" s="0"/>
      <c r="CG29" s="0"/>
      <c r="CH29" s="0"/>
      <c r="CI29" s="0"/>
      <c r="CJ29" s="0"/>
      <c r="CK29" s="0"/>
      <c r="CL29" s="0"/>
      <c r="CM29" s="0"/>
      <c r="CN29" s="0"/>
      <c r="CO29" s="0"/>
      <c r="CP29" s="0"/>
      <c r="CQ29" s="0"/>
      <c r="CR29" s="0"/>
      <c r="CS29" s="0"/>
      <c r="CT29" s="0"/>
      <c r="CU29" s="0"/>
      <c r="CV29" s="0"/>
      <c r="CW29" s="0"/>
      <c r="CX29" s="0"/>
      <c r="CY29" s="0"/>
      <c r="CZ29" s="0"/>
      <c r="DA29" s="0"/>
      <c r="DB29" s="0"/>
      <c r="DC29" s="0"/>
      <c r="DD29" s="0"/>
      <c r="DE29" s="0"/>
      <c r="DF29" s="0"/>
      <c r="DG29" s="0"/>
      <c r="DH29" s="0"/>
      <c r="DI29" s="0"/>
      <c r="DJ29" s="0"/>
      <c r="DK29" s="0"/>
      <c r="DL29" s="0"/>
      <c r="DM29" s="0"/>
      <c r="DN29" s="0"/>
      <c r="DO29" s="0"/>
      <c r="DP29" s="0"/>
      <c r="DQ29" s="0"/>
      <c r="DR29" s="0"/>
      <c r="DS29" s="0"/>
      <c r="DT29" s="0"/>
      <c r="DU29" s="0"/>
      <c r="DV29" s="0"/>
      <c r="DW29" s="0"/>
      <c r="DX29" s="0"/>
      <c r="DY29" s="0"/>
      <c r="DZ29" s="0"/>
      <c r="EA29" s="0"/>
      <c r="EB29" s="0"/>
      <c r="EC29" s="0"/>
      <c r="ED29" s="0"/>
      <c r="EE29" s="0"/>
      <c r="EF29" s="0"/>
      <c r="EG29" s="0"/>
      <c r="EH29" s="0"/>
      <c r="EI29" s="0"/>
      <c r="EJ29" s="0"/>
      <c r="EK29" s="0"/>
      <c r="EL29" s="0"/>
      <c r="EM29" s="0"/>
      <c r="EN29" s="0"/>
      <c r="EO29" s="0"/>
      <c r="EP29" s="0"/>
      <c r="EQ29" s="0"/>
      <c r="ER29" s="0"/>
      <c r="ES29" s="0"/>
      <c r="ET29" s="0"/>
      <c r="EU29" s="0"/>
      <c r="EV29" s="0"/>
      <c r="EW29" s="0"/>
      <c r="EX29" s="0"/>
      <c r="EY29" s="0"/>
      <c r="EZ29" s="0"/>
      <c r="FA29" s="0"/>
      <c r="FB29" s="0"/>
      <c r="FC29" s="0"/>
      <c r="FD29" s="0"/>
      <c r="FE29" s="0"/>
      <c r="FF29" s="0"/>
      <c r="FG29" s="0"/>
      <c r="FH29" s="0"/>
      <c r="FI29" s="0"/>
      <c r="FJ29" s="0"/>
      <c r="FK29" s="0"/>
      <c r="FL29" s="0"/>
      <c r="FM29" s="0"/>
      <c r="FN29" s="0"/>
      <c r="FO29" s="0"/>
      <c r="FP29" s="0"/>
      <c r="FQ29" s="0"/>
      <c r="FR29" s="0"/>
      <c r="FS29" s="0"/>
      <c r="FT29" s="0"/>
      <c r="FU29" s="0"/>
      <c r="FV29" s="0"/>
      <c r="FW29" s="0"/>
      <c r="FX29" s="0"/>
      <c r="FY29" s="0"/>
      <c r="FZ29" s="0"/>
      <c r="GA29" s="0"/>
      <c r="GB29" s="0"/>
      <c r="GC29" s="0"/>
      <c r="GD29" s="0"/>
      <c r="GE29" s="0"/>
      <c r="GF29" s="0"/>
      <c r="GG29" s="0"/>
      <c r="GH29" s="0"/>
      <c r="GI29" s="0"/>
      <c r="GJ29" s="0"/>
      <c r="GK29" s="0"/>
      <c r="GL29" s="0"/>
      <c r="GM29" s="0"/>
      <c r="GN29" s="0"/>
      <c r="GO29" s="0"/>
      <c r="GP29" s="0"/>
      <c r="GQ29" s="0"/>
      <c r="GR29" s="0"/>
      <c r="GS29" s="0"/>
      <c r="GT29" s="0"/>
      <c r="GU29" s="0"/>
      <c r="GV29" s="0"/>
      <c r="GW29" s="0"/>
      <c r="GX29" s="0"/>
      <c r="GY29" s="0"/>
      <c r="GZ29" s="0"/>
      <c r="HA29" s="0"/>
      <c r="HB29" s="0"/>
      <c r="HC29" s="0"/>
      <c r="HD29" s="0"/>
      <c r="HE29" s="0"/>
      <c r="HF29" s="0"/>
      <c r="HG29" s="0"/>
      <c r="HH29" s="0"/>
      <c r="HI29" s="0"/>
      <c r="HJ29" s="0"/>
      <c r="HK29" s="0"/>
      <c r="HL29" s="0"/>
      <c r="HM29" s="0"/>
      <c r="HN29" s="0"/>
      <c r="HO29" s="0"/>
      <c r="HP29" s="0"/>
      <c r="HQ29" s="0"/>
      <c r="HR29" s="0"/>
      <c r="HS29" s="0"/>
      <c r="HT29" s="0"/>
      <c r="HU29" s="0"/>
      <c r="HV29" s="0"/>
      <c r="HW29" s="0"/>
      <c r="HX29" s="0"/>
      <c r="HY29" s="0"/>
      <c r="HZ29" s="0"/>
      <c r="IA29" s="0"/>
      <c r="IB29" s="0"/>
      <c r="IC29" s="0"/>
      <c r="ID29" s="0"/>
      <c r="IE29" s="0"/>
      <c r="IF29" s="0"/>
      <c r="IG29" s="0"/>
      <c r="IH29" s="0"/>
      <c r="II29" s="0"/>
      <c r="IJ29" s="0"/>
      <c r="IK29" s="0"/>
      <c r="IL29" s="0"/>
      <c r="IM29" s="0"/>
      <c r="IN29" s="0"/>
      <c r="IO29" s="0"/>
      <c r="IP29" s="0"/>
      <c r="IQ29" s="0"/>
      <c r="IR29" s="0"/>
      <c r="IS29" s="0"/>
      <c r="IT29" s="0"/>
      <c r="IU29" s="0"/>
      <c r="IV29" s="0"/>
      <c r="IW29" s="0"/>
    </row>
    <row r="30" customFormat="false" ht="11.1" hidden="false" customHeight="true" outlineLevel="0" collapsed="false">
      <c r="A30" s="58" t="n">
        <f aca="false">A29+1</f>
        <v>21</v>
      </c>
      <c r="B30" s="73" t="n">
        <v>6921.6</v>
      </c>
      <c r="C30" s="52" t="n">
        <v>370542</v>
      </c>
      <c r="D30" s="57" t="n">
        <f aca="false">C30-C29</f>
        <v>-525</v>
      </c>
      <c r="E30" s="52" t="n">
        <f aca="false">C30-152000</f>
        <v>218542</v>
      </c>
      <c r="F30" s="51" t="n">
        <f aca="false">D30/$D$2</f>
        <v>-264.68364003025</v>
      </c>
      <c r="G30" s="51" t="n">
        <v>486</v>
      </c>
      <c r="H30" s="87" t="n">
        <v>0</v>
      </c>
      <c r="I30" s="51" t="n">
        <f aca="false">G30+H30</f>
        <v>486</v>
      </c>
      <c r="J30" s="81" t="n">
        <f aca="false">IF(L30&gt;0,L30,0)</f>
        <v>0</v>
      </c>
      <c r="K30" s="51" t="n">
        <f aca="false">I30+J30</f>
        <v>486</v>
      </c>
      <c r="L30" s="51" t="n">
        <f aca="false">F30-(I30-W30)</f>
        <v>-96.6836400302495</v>
      </c>
      <c r="M30" s="51" t="n">
        <v>205</v>
      </c>
      <c r="N30" s="51" t="n">
        <v>0</v>
      </c>
      <c r="O30" s="51" t="n">
        <v>0</v>
      </c>
      <c r="P30" s="6" t="n">
        <f aca="false">M30-(N30+O30)</f>
        <v>205</v>
      </c>
      <c r="Q30" s="51" t="n">
        <v>167</v>
      </c>
      <c r="R30" s="51" t="n">
        <v>89</v>
      </c>
      <c r="S30" s="51" t="n">
        <f aca="false">SUM(P30:R30)</f>
        <v>461</v>
      </c>
      <c r="T30" s="52" t="n">
        <f aca="false">(I30-S30)+T29</f>
        <v>1748</v>
      </c>
      <c r="U30" s="51" t="n">
        <v>0</v>
      </c>
      <c r="V30" s="51" t="n">
        <v>193</v>
      </c>
      <c r="W30" s="6" t="n">
        <f aca="false">N30+O30+S30+U30+V30</f>
        <v>654</v>
      </c>
      <c r="X30" s="51" t="n">
        <f aca="false">IF(L30&lt;0,L30*-1,0)</f>
        <v>96.6836400302495</v>
      </c>
      <c r="Y30" s="51" t="n">
        <f aca="false">W30+X30</f>
        <v>750.68364003025</v>
      </c>
      <c r="Z30" s="55" t="n">
        <v>0</v>
      </c>
      <c r="AA30" s="57" t="n">
        <v>82</v>
      </c>
      <c r="AB30" s="57" t="n">
        <v>46</v>
      </c>
      <c r="AC30" s="58" t="n">
        <f aca="false">AC29+1</f>
        <v>21</v>
      </c>
      <c r="AD30" s="12" t="n">
        <f aca="false">IF(I30&gt;S30,I30-S30,I30-S30)</f>
        <v>25</v>
      </c>
      <c r="AE30" s="12"/>
      <c r="AF30" s="0"/>
      <c r="AG30" s="6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  <c r="BH30" s="0"/>
      <c r="BI30" s="0"/>
      <c r="BJ30" s="0"/>
      <c r="BK30" s="0"/>
      <c r="BL30" s="0"/>
      <c r="BM30" s="0"/>
      <c r="BN30" s="0"/>
      <c r="BO30" s="0"/>
      <c r="BP30" s="0"/>
      <c r="BQ30" s="0"/>
      <c r="BR30" s="0"/>
      <c r="BS30" s="0"/>
      <c r="BT30" s="0"/>
      <c r="BU30" s="0"/>
      <c r="BV30" s="0"/>
      <c r="BW30" s="0"/>
      <c r="BX30" s="0"/>
      <c r="BY30" s="0"/>
      <c r="BZ30" s="0"/>
      <c r="CA30" s="0"/>
      <c r="CB30" s="0"/>
      <c r="CC30" s="0"/>
      <c r="CD30" s="0"/>
      <c r="CE30" s="0"/>
      <c r="CF30" s="0"/>
      <c r="CG30" s="0"/>
      <c r="CH30" s="0"/>
      <c r="CI30" s="0"/>
      <c r="CJ30" s="0"/>
      <c r="CK30" s="0"/>
      <c r="CL30" s="0"/>
      <c r="CM30" s="0"/>
      <c r="CN30" s="0"/>
      <c r="CO30" s="0"/>
      <c r="CP30" s="0"/>
      <c r="CQ30" s="0"/>
      <c r="CR30" s="0"/>
      <c r="CS30" s="0"/>
      <c r="CT30" s="0"/>
      <c r="CU30" s="0"/>
      <c r="CV30" s="0"/>
      <c r="CW30" s="0"/>
      <c r="CX30" s="0"/>
      <c r="CY30" s="0"/>
      <c r="CZ30" s="0"/>
      <c r="DA30" s="0"/>
      <c r="DB30" s="0"/>
      <c r="DC30" s="0"/>
      <c r="DD30" s="0"/>
      <c r="DE30" s="0"/>
      <c r="DF30" s="0"/>
      <c r="DG30" s="0"/>
      <c r="DH30" s="0"/>
      <c r="DI30" s="0"/>
      <c r="DJ30" s="0"/>
      <c r="DK30" s="0"/>
      <c r="DL30" s="0"/>
      <c r="DM30" s="0"/>
      <c r="DN30" s="0"/>
      <c r="DO30" s="0"/>
      <c r="DP30" s="0"/>
      <c r="DQ30" s="0"/>
      <c r="DR30" s="0"/>
      <c r="DS30" s="0"/>
      <c r="DT30" s="0"/>
      <c r="DU30" s="0"/>
      <c r="DV30" s="0"/>
      <c r="DW30" s="0"/>
      <c r="DX30" s="0"/>
      <c r="DY30" s="0"/>
      <c r="DZ30" s="0"/>
      <c r="EA30" s="0"/>
      <c r="EB30" s="0"/>
      <c r="EC30" s="0"/>
      <c r="ED30" s="0"/>
      <c r="EE30" s="0"/>
      <c r="EF30" s="0"/>
      <c r="EG30" s="0"/>
      <c r="EH30" s="0"/>
      <c r="EI30" s="0"/>
      <c r="EJ30" s="0"/>
      <c r="EK30" s="0"/>
      <c r="EL30" s="0"/>
      <c r="EM30" s="0"/>
      <c r="EN30" s="0"/>
      <c r="EO30" s="0"/>
      <c r="EP30" s="0"/>
      <c r="EQ30" s="0"/>
      <c r="ER30" s="0"/>
      <c r="ES30" s="0"/>
      <c r="ET30" s="0"/>
      <c r="EU30" s="0"/>
      <c r="EV30" s="0"/>
      <c r="EW30" s="0"/>
      <c r="EX30" s="0"/>
      <c r="EY30" s="0"/>
      <c r="EZ30" s="0"/>
      <c r="FA30" s="0"/>
      <c r="FB30" s="0"/>
      <c r="FC30" s="0"/>
      <c r="FD30" s="0"/>
      <c r="FE30" s="0"/>
      <c r="FF30" s="0"/>
      <c r="FG30" s="0"/>
      <c r="FH30" s="0"/>
      <c r="FI30" s="0"/>
      <c r="FJ30" s="0"/>
      <c r="FK30" s="0"/>
      <c r="FL30" s="0"/>
      <c r="FM30" s="0"/>
      <c r="FN30" s="0"/>
      <c r="FO30" s="0"/>
      <c r="FP30" s="0"/>
      <c r="FQ30" s="0"/>
      <c r="FR30" s="0"/>
      <c r="FS30" s="0"/>
      <c r="FT30" s="0"/>
      <c r="FU30" s="0"/>
      <c r="FV30" s="0"/>
      <c r="FW30" s="0"/>
      <c r="FX30" s="0"/>
      <c r="FY30" s="0"/>
      <c r="FZ30" s="0"/>
      <c r="GA30" s="0"/>
      <c r="GB30" s="0"/>
      <c r="GC30" s="0"/>
      <c r="GD30" s="0"/>
      <c r="GE30" s="0"/>
      <c r="GF30" s="0"/>
      <c r="GG30" s="0"/>
      <c r="GH30" s="0"/>
      <c r="GI30" s="0"/>
      <c r="GJ30" s="0"/>
      <c r="GK30" s="0"/>
      <c r="GL30" s="0"/>
      <c r="GM30" s="0"/>
      <c r="GN30" s="0"/>
      <c r="GO30" s="0"/>
      <c r="GP30" s="0"/>
      <c r="GQ30" s="0"/>
      <c r="GR30" s="0"/>
      <c r="GS30" s="0"/>
      <c r="GT30" s="0"/>
      <c r="GU30" s="0"/>
      <c r="GV30" s="0"/>
      <c r="GW30" s="0"/>
      <c r="GX30" s="0"/>
      <c r="GY30" s="0"/>
      <c r="GZ30" s="0"/>
      <c r="HA30" s="0"/>
      <c r="HB30" s="0"/>
      <c r="HC30" s="0"/>
      <c r="HD30" s="0"/>
      <c r="HE30" s="0"/>
      <c r="HF30" s="0"/>
      <c r="HG30" s="0"/>
      <c r="HH30" s="0"/>
      <c r="HI30" s="0"/>
      <c r="HJ30" s="0"/>
      <c r="HK30" s="0"/>
      <c r="HL30" s="0"/>
      <c r="HM30" s="0"/>
      <c r="HN30" s="0"/>
      <c r="HO30" s="0"/>
      <c r="HP30" s="0"/>
      <c r="HQ30" s="0"/>
      <c r="HR30" s="0"/>
      <c r="HS30" s="0"/>
      <c r="HT30" s="0"/>
      <c r="HU30" s="0"/>
      <c r="HV30" s="0"/>
      <c r="HW30" s="0"/>
      <c r="HX30" s="0"/>
      <c r="HY30" s="0"/>
      <c r="HZ30" s="0"/>
      <c r="IA30" s="0"/>
      <c r="IB30" s="0"/>
      <c r="IC30" s="0"/>
      <c r="ID30" s="0"/>
      <c r="IE30" s="0"/>
      <c r="IF30" s="0"/>
      <c r="IG30" s="0"/>
      <c r="IH30" s="0"/>
      <c r="II30" s="0"/>
      <c r="IJ30" s="0"/>
      <c r="IK30" s="0"/>
      <c r="IL30" s="0"/>
      <c r="IM30" s="0"/>
      <c r="IN30" s="0"/>
      <c r="IO30" s="0"/>
      <c r="IP30" s="0"/>
      <c r="IQ30" s="0"/>
      <c r="IR30" s="0"/>
      <c r="IS30" s="0"/>
      <c r="IT30" s="0"/>
      <c r="IU30" s="0"/>
      <c r="IV30" s="0"/>
      <c r="IW30" s="0"/>
    </row>
    <row r="31" customFormat="false" ht="11.1" hidden="false" customHeight="true" outlineLevel="0" collapsed="false">
      <c r="A31" s="58" t="n">
        <f aca="false">A30+1</f>
        <v>22</v>
      </c>
      <c r="B31" s="73" t="n">
        <v>6921.51</v>
      </c>
      <c r="C31" s="52" t="n">
        <v>370148</v>
      </c>
      <c r="D31" s="57" t="n">
        <f aca="false">C31-C30</f>
        <v>-394</v>
      </c>
      <c r="E31" s="52" t="n">
        <f aca="false">C31-152000</f>
        <v>218148</v>
      </c>
      <c r="F31" s="51" t="n">
        <f aca="false">D31/$D$2</f>
        <v>-198.638769851273</v>
      </c>
      <c r="G31" s="51" t="n">
        <v>486</v>
      </c>
      <c r="H31" s="87" t="n">
        <v>0</v>
      </c>
      <c r="I31" s="51" t="n">
        <f aca="false">G31+H31</f>
        <v>486</v>
      </c>
      <c r="J31" s="81" t="n">
        <f aca="false">IF(L31&gt;0,L31,0)</f>
        <v>0</v>
      </c>
      <c r="K31" s="51" t="n">
        <f aca="false">I31+J31</f>
        <v>486</v>
      </c>
      <c r="L31" s="51" t="n">
        <f aca="false">F31-(I31-W31)</f>
        <v>-18.638769851273</v>
      </c>
      <c r="M31" s="51" t="n">
        <v>205</v>
      </c>
      <c r="N31" s="51" t="n">
        <v>0</v>
      </c>
      <c r="O31" s="51" t="n">
        <v>0</v>
      </c>
      <c r="P31" s="6" t="n">
        <f aca="false">M31-(N31+O31)</f>
        <v>205</v>
      </c>
      <c r="Q31" s="51" t="n">
        <v>167</v>
      </c>
      <c r="R31" s="51" t="n">
        <v>88</v>
      </c>
      <c r="S31" s="51" t="n">
        <f aca="false">SUM(P31:R31)</f>
        <v>460</v>
      </c>
      <c r="T31" s="52" t="n">
        <f aca="false">(I31-S31)+T30</f>
        <v>1774</v>
      </c>
      <c r="U31" s="51" t="n">
        <v>11</v>
      </c>
      <c r="V31" s="51" t="n">
        <v>195</v>
      </c>
      <c r="W31" s="6" t="n">
        <f aca="false">N31+O31+S31+U31+V31</f>
        <v>666</v>
      </c>
      <c r="X31" s="51" t="n">
        <f aca="false">IF(L31&lt;0,L31*-1,0)</f>
        <v>18.638769851273</v>
      </c>
      <c r="Y31" s="51" t="n">
        <f aca="false">W31+X31</f>
        <v>684.638769851273</v>
      </c>
      <c r="Z31" s="55" t="n">
        <v>0</v>
      </c>
      <c r="AA31" s="57" t="n">
        <v>86</v>
      </c>
      <c r="AB31" s="57" t="n">
        <v>51</v>
      </c>
      <c r="AC31" s="58" t="n">
        <f aca="false">AC30+1</f>
        <v>22</v>
      </c>
      <c r="AD31" s="12" t="n">
        <f aca="false">IF(I31&gt;S31,I31-S31,I31-S31)</f>
        <v>26</v>
      </c>
      <c r="AE31" s="12"/>
      <c r="AF31" s="0"/>
      <c r="AG31" s="6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  <c r="AS31" s="0"/>
      <c r="AT31" s="0"/>
      <c r="AU31" s="0"/>
      <c r="AV31" s="0"/>
      <c r="AW31" s="0"/>
      <c r="AX31" s="0"/>
      <c r="AY31" s="0"/>
      <c r="AZ31" s="0"/>
      <c r="BA31" s="0"/>
      <c r="BB31" s="0"/>
      <c r="BC31" s="0"/>
      <c r="BD31" s="0"/>
      <c r="BE31" s="0"/>
      <c r="BF31" s="0"/>
      <c r="BG31" s="0"/>
      <c r="BH31" s="0"/>
      <c r="BI31" s="0"/>
      <c r="BJ31" s="0"/>
      <c r="BK31" s="0"/>
      <c r="BL31" s="0"/>
      <c r="BM31" s="0"/>
      <c r="BN31" s="0"/>
      <c r="BO31" s="0"/>
      <c r="BP31" s="0"/>
      <c r="BQ31" s="0"/>
      <c r="BR31" s="0"/>
      <c r="BS31" s="0"/>
      <c r="BT31" s="0"/>
      <c r="BU31" s="0"/>
      <c r="BV31" s="0"/>
      <c r="BW31" s="0"/>
      <c r="BX31" s="0"/>
      <c r="BY31" s="0"/>
      <c r="BZ31" s="0"/>
      <c r="CA31" s="0"/>
      <c r="CB31" s="0"/>
      <c r="CC31" s="0"/>
      <c r="CD31" s="0"/>
      <c r="CE31" s="0"/>
      <c r="CF31" s="0"/>
      <c r="CG31" s="0"/>
      <c r="CH31" s="0"/>
      <c r="CI31" s="0"/>
      <c r="CJ31" s="0"/>
      <c r="CK31" s="0"/>
      <c r="CL31" s="0"/>
      <c r="CM31" s="0"/>
      <c r="CN31" s="0"/>
      <c r="CO31" s="0"/>
      <c r="CP31" s="0"/>
      <c r="CQ31" s="0"/>
      <c r="CR31" s="0"/>
      <c r="CS31" s="0"/>
      <c r="CT31" s="0"/>
      <c r="CU31" s="0"/>
      <c r="CV31" s="0"/>
      <c r="CW31" s="0"/>
      <c r="CX31" s="0"/>
      <c r="CY31" s="0"/>
      <c r="CZ31" s="0"/>
      <c r="DA31" s="0"/>
      <c r="DB31" s="0"/>
      <c r="DC31" s="0"/>
      <c r="DD31" s="0"/>
      <c r="DE31" s="0"/>
      <c r="DF31" s="0"/>
      <c r="DG31" s="0"/>
      <c r="DH31" s="0"/>
      <c r="DI31" s="0"/>
      <c r="DJ31" s="0"/>
      <c r="DK31" s="0"/>
      <c r="DL31" s="0"/>
      <c r="DM31" s="0"/>
      <c r="DN31" s="0"/>
      <c r="DO31" s="0"/>
      <c r="DP31" s="0"/>
      <c r="DQ31" s="0"/>
      <c r="DR31" s="0"/>
      <c r="DS31" s="0"/>
      <c r="DT31" s="0"/>
      <c r="DU31" s="0"/>
      <c r="DV31" s="0"/>
      <c r="DW31" s="0"/>
      <c r="DX31" s="0"/>
      <c r="DY31" s="0"/>
      <c r="DZ31" s="0"/>
      <c r="EA31" s="0"/>
      <c r="EB31" s="0"/>
      <c r="EC31" s="0"/>
      <c r="ED31" s="0"/>
      <c r="EE31" s="0"/>
      <c r="EF31" s="0"/>
      <c r="EG31" s="0"/>
      <c r="EH31" s="0"/>
      <c r="EI31" s="0"/>
      <c r="EJ31" s="0"/>
      <c r="EK31" s="0"/>
      <c r="EL31" s="0"/>
      <c r="EM31" s="0"/>
      <c r="EN31" s="0"/>
      <c r="EO31" s="0"/>
      <c r="EP31" s="0"/>
      <c r="EQ31" s="0"/>
      <c r="ER31" s="0"/>
      <c r="ES31" s="0"/>
      <c r="ET31" s="0"/>
      <c r="EU31" s="0"/>
      <c r="EV31" s="0"/>
      <c r="EW31" s="0"/>
      <c r="EX31" s="0"/>
      <c r="EY31" s="0"/>
      <c r="EZ31" s="0"/>
      <c r="FA31" s="0"/>
      <c r="FB31" s="0"/>
      <c r="FC31" s="0"/>
      <c r="FD31" s="0"/>
      <c r="FE31" s="0"/>
      <c r="FF31" s="0"/>
      <c r="FG31" s="0"/>
      <c r="FH31" s="0"/>
      <c r="FI31" s="0"/>
      <c r="FJ31" s="0"/>
      <c r="FK31" s="0"/>
      <c r="FL31" s="0"/>
      <c r="FM31" s="0"/>
      <c r="FN31" s="0"/>
      <c r="FO31" s="0"/>
      <c r="FP31" s="0"/>
      <c r="FQ31" s="0"/>
      <c r="FR31" s="0"/>
      <c r="FS31" s="0"/>
      <c r="FT31" s="0"/>
      <c r="FU31" s="0"/>
      <c r="FV31" s="0"/>
      <c r="FW31" s="0"/>
      <c r="FX31" s="0"/>
      <c r="FY31" s="0"/>
      <c r="FZ31" s="0"/>
      <c r="GA31" s="0"/>
      <c r="GB31" s="0"/>
      <c r="GC31" s="0"/>
      <c r="GD31" s="0"/>
      <c r="GE31" s="0"/>
      <c r="GF31" s="0"/>
      <c r="GG31" s="0"/>
      <c r="GH31" s="0"/>
      <c r="GI31" s="0"/>
      <c r="GJ31" s="0"/>
      <c r="GK31" s="0"/>
      <c r="GL31" s="0"/>
      <c r="GM31" s="0"/>
      <c r="GN31" s="0"/>
      <c r="GO31" s="0"/>
      <c r="GP31" s="0"/>
      <c r="GQ31" s="0"/>
      <c r="GR31" s="0"/>
      <c r="GS31" s="0"/>
      <c r="GT31" s="0"/>
      <c r="GU31" s="0"/>
      <c r="GV31" s="0"/>
      <c r="GW31" s="0"/>
      <c r="GX31" s="0"/>
      <c r="GY31" s="0"/>
      <c r="GZ31" s="0"/>
      <c r="HA31" s="0"/>
      <c r="HB31" s="0"/>
      <c r="HC31" s="0"/>
      <c r="HD31" s="0"/>
      <c r="HE31" s="0"/>
      <c r="HF31" s="0"/>
      <c r="HG31" s="0"/>
      <c r="HH31" s="0"/>
      <c r="HI31" s="0"/>
      <c r="HJ31" s="0"/>
      <c r="HK31" s="0"/>
      <c r="HL31" s="0"/>
      <c r="HM31" s="0"/>
      <c r="HN31" s="0"/>
      <c r="HO31" s="0"/>
      <c r="HP31" s="0"/>
      <c r="HQ31" s="0"/>
      <c r="HR31" s="0"/>
      <c r="HS31" s="0"/>
      <c r="HT31" s="0"/>
      <c r="HU31" s="0"/>
      <c r="HV31" s="0"/>
      <c r="HW31" s="0"/>
      <c r="HX31" s="0"/>
      <c r="HY31" s="0"/>
      <c r="HZ31" s="0"/>
      <c r="IA31" s="0"/>
      <c r="IB31" s="0"/>
      <c r="IC31" s="0"/>
      <c r="ID31" s="0"/>
      <c r="IE31" s="0"/>
      <c r="IF31" s="0"/>
      <c r="IG31" s="0"/>
      <c r="IH31" s="0"/>
      <c r="II31" s="0"/>
      <c r="IJ31" s="0"/>
      <c r="IK31" s="0"/>
      <c r="IL31" s="0"/>
      <c r="IM31" s="0"/>
      <c r="IN31" s="0"/>
      <c r="IO31" s="0"/>
      <c r="IP31" s="0"/>
      <c r="IQ31" s="0"/>
      <c r="IR31" s="0"/>
      <c r="IS31" s="0"/>
      <c r="IT31" s="0"/>
      <c r="IU31" s="0"/>
      <c r="IV31" s="0"/>
      <c r="IW31" s="0"/>
    </row>
    <row r="32" customFormat="false" ht="11.1" hidden="false" customHeight="true" outlineLevel="0" collapsed="false">
      <c r="A32" s="58" t="n">
        <f aca="false">A31+1</f>
        <v>23</v>
      </c>
      <c r="B32" s="73" t="n">
        <v>6921.4</v>
      </c>
      <c r="C32" s="52" t="n">
        <v>369666</v>
      </c>
      <c r="D32" s="57" t="n">
        <f aca="false">C32-C31</f>
        <v>-482</v>
      </c>
      <c r="E32" s="52" t="n">
        <f aca="false">C32-152000</f>
        <v>217666</v>
      </c>
      <c r="F32" s="51" t="n">
        <f aca="false">D32/$D$2</f>
        <v>-243.004789513486</v>
      </c>
      <c r="G32" s="51" t="n">
        <v>417</v>
      </c>
      <c r="H32" s="87" t="n">
        <v>0</v>
      </c>
      <c r="I32" s="51" t="n">
        <f aca="false">G32+H32</f>
        <v>417</v>
      </c>
      <c r="J32" s="81" t="n">
        <f aca="false">IF(L32&gt;0,L32,0)</f>
        <v>0</v>
      </c>
      <c r="K32" s="51" t="n">
        <f aca="false">I32+J32</f>
        <v>417</v>
      </c>
      <c r="L32" s="51" t="n">
        <f aca="false">F32-(I32-W32)</f>
        <v>-4.00478951348626</v>
      </c>
      <c r="M32" s="51" t="n">
        <v>205</v>
      </c>
      <c r="N32" s="51" t="n">
        <v>0</v>
      </c>
      <c r="O32" s="51" t="n">
        <v>0</v>
      </c>
      <c r="P32" s="6" t="n">
        <f aca="false">M32-(N32+O32)</f>
        <v>205</v>
      </c>
      <c r="Q32" s="51" t="n">
        <v>168</v>
      </c>
      <c r="R32" s="51" t="n">
        <v>90</v>
      </c>
      <c r="S32" s="51" t="n">
        <f aca="false">SUM(P32:R32)</f>
        <v>463</v>
      </c>
      <c r="T32" s="52" t="n">
        <f aca="false">(I32-S32)+T31</f>
        <v>1728</v>
      </c>
      <c r="U32" s="51" t="n">
        <v>0</v>
      </c>
      <c r="V32" s="51" t="n">
        <v>193</v>
      </c>
      <c r="W32" s="6" t="n">
        <f aca="false">N32+O32+S32+U32+V32</f>
        <v>656</v>
      </c>
      <c r="X32" s="51" t="n">
        <f aca="false">IF(L32&lt;0,L32*-1,0)</f>
        <v>4.00478951348626</v>
      </c>
      <c r="Y32" s="51" t="n">
        <f aca="false">W32+X32</f>
        <v>660.004789513486</v>
      </c>
      <c r="Z32" s="55" t="n">
        <v>0</v>
      </c>
      <c r="AA32" s="57" t="n">
        <v>90</v>
      </c>
      <c r="AB32" s="82" t="n">
        <v>50</v>
      </c>
      <c r="AC32" s="58" t="n">
        <f aca="false">AC31+1</f>
        <v>23</v>
      </c>
      <c r="AD32" s="12" t="n">
        <f aca="false">IF(I32&gt;S32,I32-S32,I32-S32)</f>
        <v>-46</v>
      </c>
      <c r="AE32" s="12"/>
      <c r="AF32" s="0"/>
      <c r="AG32" s="6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  <c r="AS32" s="0"/>
      <c r="AT32" s="0"/>
      <c r="AU32" s="0"/>
      <c r="AV32" s="0"/>
      <c r="AW32" s="0"/>
      <c r="AX32" s="0"/>
      <c r="AY32" s="0"/>
      <c r="AZ32" s="0"/>
      <c r="BA32" s="0"/>
      <c r="BB32" s="0"/>
      <c r="BC32" s="0"/>
      <c r="BD32" s="0"/>
      <c r="BE32" s="0"/>
      <c r="BF32" s="0"/>
      <c r="BG32" s="0"/>
      <c r="BH32" s="0"/>
      <c r="BI32" s="0"/>
      <c r="BJ32" s="0"/>
      <c r="BK32" s="0"/>
      <c r="BL32" s="0"/>
      <c r="BM32" s="0"/>
      <c r="BN32" s="0"/>
      <c r="BO32" s="0"/>
      <c r="BP32" s="0"/>
      <c r="BQ32" s="0"/>
      <c r="BR32" s="0"/>
      <c r="BS32" s="0"/>
      <c r="BT32" s="0"/>
      <c r="BU32" s="0"/>
      <c r="BV32" s="0"/>
      <c r="BW32" s="0"/>
      <c r="BX32" s="0"/>
      <c r="BY32" s="0"/>
      <c r="BZ32" s="0"/>
      <c r="CA32" s="0"/>
      <c r="CB32" s="0"/>
      <c r="CC32" s="0"/>
      <c r="CD32" s="0"/>
      <c r="CE32" s="0"/>
      <c r="CF32" s="0"/>
      <c r="CG32" s="0"/>
      <c r="CH32" s="0"/>
      <c r="CI32" s="0"/>
      <c r="CJ32" s="0"/>
      <c r="CK32" s="0"/>
      <c r="CL32" s="0"/>
      <c r="CM32" s="0"/>
      <c r="CN32" s="0"/>
      <c r="CO32" s="0"/>
      <c r="CP32" s="0"/>
      <c r="CQ32" s="0"/>
      <c r="CR32" s="0"/>
      <c r="CS32" s="0"/>
      <c r="CT32" s="0"/>
      <c r="CU32" s="0"/>
      <c r="CV32" s="0"/>
      <c r="CW32" s="0"/>
      <c r="CX32" s="0"/>
      <c r="CY32" s="0"/>
      <c r="CZ32" s="0"/>
      <c r="DA32" s="0"/>
      <c r="DB32" s="0"/>
      <c r="DC32" s="0"/>
      <c r="DD32" s="0"/>
      <c r="DE32" s="0"/>
      <c r="DF32" s="0"/>
      <c r="DG32" s="0"/>
      <c r="DH32" s="0"/>
      <c r="DI32" s="0"/>
      <c r="DJ32" s="0"/>
      <c r="DK32" s="0"/>
      <c r="DL32" s="0"/>
      <c r="DM32" s="0"/>
      <c r="DN32" s="0"/>
      <c r="DO32" s="0"/>
      <c r="DP32" s="0"/>
      <c r="DQ32" s="0"/>
      <c r="DR32" s="0"/>
      <c r="DS32" s="0"/>
      <c r="DT32" s="0"/>
      <c r="DU32" s="0"/>
      <c r="DV32" s="0"/>
      <c r="DW32" s="0"/>
      <c r="DX32" s="0"/>
      <c r="DY32" s="0"/>
      <c r="DZ32" s="0"/>
      <c r="EA32" s="0"/>
      <c r="EB32" s="0"/>
      <c r="EC32" s="0"/>
      <c r="ED32" s="0"/>
      <c r="EE32" s="0"/>
      <c r="EF32" s="0"/>
      <c r="EG32" s="0"/>
      <c r="EH32" s="0"/>
      <c r="EI32" s="0"/>
      <c r="EJ32" s="0"/>
      <c r="EK32" s="0"/>
      <c r="EL32" s="0"/>
      <c r="EM32" s="0"/>
      <c r="EN32" s="0"/>
      <c r="EO32" s="0"/>
      <c r="EP32" s="0"/>
      <c r="EQ32" s="0"/>
      <c r="ER32" s="0"/>
      <c r="ES32" s="0"/>
      <c r="ET32" s="0"/>
      <c r="EU32" s="0"/>
      <c r="EV32" s="0"/>
      <c r="EW32" s="0"/>
      <c r="EX32" s="0"/>
      <c r="EY32" s="0"/>
      <c r="EZ32" s="0"/>
      <c r="FA32" s="0"/>
      <c r="FB32" s="0"/>
      <c r="FC32" s="0"/>
      <c r="FD32" s="0"/>
      <c r="FE32" s="0"/>
      <c r="FF32" s="0"/>
      <c r="FG32" s="0"/>
      <c r="FH32" s="0"/>
      <c r="FI32" s="0"/>
      <c r="FJ32" s="0"/>
      <c r="FK32" s="0"/>
      <c r="FL32" s="0"/>
      <c r="FM32" s="0"/>
      <c r="FN32" s="0"/>
      <c r="FO32" s="0"/>
      <c r="FP32" s="0"/>
      <c r="FQ32" s="0"/>
      <c r="FR32" s="0"/>
      <c r="FS32" s="0"/>
      <c r="FT32" s="0"/>
      <c r="FU32" s="0"/>
      <c r="FV32" s="0"/>
      <c r="FW32" s="0"/>
      <c r="FX32" s="0"/>
      <c r="FY32" s="0"/>
      <c r="FZ32" s="0"/>
      <c r="GA32" s="0"/>
      <c r="GB32" s="0"/>
      <c r="GC32" s="0"/>
      <c r="GD32" s="0"/>
      <c r="GE32" s="0"/>
      <c r="GF32" s="0"/>
      <c r="GG32" s="0"/>
      <c r="GH32" s="0"/>
      <c r="GI32" s="0"/>
      <c r="GJ32" s="0"/>
      <c r="GK32" s="0"/>
      <c r="GL32" s="0"/>
      <c r="GM32" s="0"/>
      <c r="GN32" s="0"/>
      <c r="GO32" s="0"/>
      <c r="GP32" s="0"/>
      <c r="GQ32" s="0"/>
      <c r="GR32" s="0"/>
      <c r="GS32" s="0"/>
      <c r="GT32" s="0"/>
      <c r="GU32" s="0"/>
      <c r="GV32" s="0"/>
      <c r="GW32" s="0"/>
      <c r="GX32" s="0"/>
      <c r="GY32" s="0"/>
      <c r="GZ32" s="0"/>
      <c r="HA32" s="0"/>
      <c r="HB32" s="0"/>
      <c r="HC32" s="0"/>
      <c r="HD32" s="0"/>
      <c r="HE32" s="0"/>
      <c r="HF32" s="0"/>
      <c r="HG32" s="0"/>
      <c r="HH32" s="0"/>
      <c r="HI32" s="0"/>
      <c r="HJ32" s="0"/>
      <c r="HK32" s="0"/>
      <c r="HL32" s="0"/>
      <c r="HM32" s="0"/>
      <c r="HN32" s="0"/>
      <c r="HO32" s="0"/>
      <c r="HP32" s="0"/>
      <c r="HQ32" s="0"/>
      <c r="HR32" s="0"/>
      <c r="HS32" s="0"/>
      <c r="HT32" s="0"/>
      <c r="HU32" s="0"/>
      <c r="HV32" s="0"/>
      <c r="HW32" s="0"/>
      <c r="HX32" s="0"/>
      <c r="HY32" s="0"/>
      <c r="HZ32" s="0"/>
      <c r="IA32" s="0"/>
      <c r="IB32" s="0"/>
      <c r="IC32" s="0"/>
      <c r="ID32" s="0"/>
      <c r="IE32" s="0"/>
      <c r="IF32" s="0"/>
      <c r="IG32" s="0"/>
      <c r="IH32" s="0"/>
      <c r="II32" s="0"/>
      <c r="IJ32" s="0"/>
      <c r="IK32" s="0"/>
      <c r="IL32" s="0"/>
      <c r="IM32" s="0"/>
      <c r="IN32" s="0"/>
      <c r="IO32" s="0"/>
      <c r="IP32" s="0"/>
      <c r="IQ32" s="0"/>
      <c r="IR32" s="0"/>
      <c r="IS32" s="0"/>
      <c r="IT32" s="0"/>
      <c r="IU32" s="0"/>
      <c r="IV32" s="0"/>
      <c r="IW32" s="0"/>
    </row>
    <row r="33" customFormat="false" ht="11.1" hidden="false" customHeight="true" outlineLevel="0" collapsed="false">
      <c r="A33" s="58" t="n">
        <f aca="false">A32+1</f>
        <v>24</v>
      </c>
      <c r="B33" s="73" t="n">
        <v>6921.31</v>
      </c>
      <c r="C33" s="52" t="n">
        <v>369272</v>
      </c>
      <c r="D33" s="57" t="n">
        <f aca="false">C33-C32</f>
        <v>-394</v>
      </c>
      <c r="E33" s="52" t="n">
        <f aca="false">C33-152000</f>
        <v>217272</v>
      </c>
      <c r="F33" s="51" t="n">
        <f aca="false">D33/$D$2</f>
        <v>-198.638769851273</v>
      </c>
      <c r="G33" s="51" t="n">
        <v>384</v>
      </c>
      <c r="H33" s="87" t="n">
        <v>0</v>
      </c>
      <c r="I33" s="51" t="n">
        <f aca="false">G33+H33</f>
        <v>384</v>
      </c>
      <c r="J33" s="81" t="n">
        <f aca="false">IF(L33&gt;0,L33,0)</f>
        <v>104.361230148727</v>
      </c>
      <c r="K33" s="51" t="n">
        <f aca="false">I33+J33</f>
        <v>488.361230148727</v>
      </c>
      <c r="L33" s="51" t="n">
        <f aca="false">F33-(I33-W33)</f>
        <v>104.361230148727</v>
      </c>
      <c r="M33" s="51" t="n">
        <v>211</v>
      </c>
      <c r="N33" s="51" t="n">
        <v>0</v>
      </c>
      <c r="O33" s="51" t="n">
        <v>0</v>
      </c>
      <c r="P33" s="6" t="n">
        <f aca="false">M33-(N33+O33)</f>
        <v>211</v>
      </c>
      <c r="Q33" s="51" t="n">
        <v>168</v>
      </c>
      <c r="R33" s="51" t="n">
        <v>89</v>
      </c>
      <c r="S33" s="51" t="n">
        <f aca="false">SUM(P33:R33)</f>
        <v>468</v>
      </c>
      <c r="T33" s="52" t="n">
        <f aca="false">(I33-S33)+T32</f>
        <v>1644</v>
      </c>
      <c r="U33" s="51" t="n">
        <v>26</v>
      </c>
      <c r="V33" s="51" t="n">
        <v>193</v>
      </c>
      <c r="W33" s="6" t="n">
        <f aca="false">N33+O33+S33+U33+V33</f>
        <v>687</v>
      </c>
      <c r="X33" s="51" t="n">
        <f aca="false">IF(L33&lt;0,L33*-1,0)</f>
        <v>0</v>
      </c>
      <c r="Y33" s="51" t="n">
        <f aca="false">W33+X33</f>
        <v>687</v>
      </c>
      <c r="Z33" s="55" t="n">
        <v>0</v>
      </c>
      <c r="AA33" s="57" t="n">
        <v>92</v>
      </c>
      <c r="AB33" s="82" t="n">
        <v>53</v>
      </c>
      <c r="AC33" s="58" t="n">
        <f aca="false">AC32+1</f>
        <v>24</v>
      </c>
      <c r="AD33" s="12" t="n">
        <f aca="false">IF(I33&gt;S33,I33-S33,I33-S33)</f>
        <v>-84</v>
      </c>
      <c r="AE33" s="12"/>
      <c r="AF33" s="0"/>
      <c r="AG33" s="6"/>
      <c r="AH33" s="0"/>
      <c r="AI33" s="0"/>
      <c r="AJ33" s="0"/>
      <c r="AK33" s="0"/>
      <c r="AL33" s="0"/>
      <c r="AM33" s="0"/>
      <c r="AN33" s="0"/>
      <c r="AO33" s="0"/>
      <c r="AP33" s="0"/>
      <c r="AQ33" s="0"/>
      <c r="AR33" s="0"/>
      <c r="AS33" s="0"/>
      <c r="AT33" s="0"/>
      <c r="AU33" s="0"/>
      <c r="AV33" s="0"/>
      <c r="AW33" s="0"/>
      <c r="AX33" s="0"/>
      <c r="AY33" s="0"/>
      <c r="AZ33" s="0"/>
      <c r="BA33" s="0"/>
      <c r="BB33" s="0"/>
      <c r="BC33" s="0"/>
      <c r="BD33" s="0"/>
      <c r="BE33" s="0"/>
      <c r="BF33" s="0"/>
      <c r="BG33" s="0"/>
      <c r="BH33" s="0"/>
      <c r="BI33" s="0"/>
      <c r="BJ33" s="0"/>
      <c r="BK33" s="0"/>
      <c r="BL33" s="0"/>
      <c r="BM33" s="0"/>
      <c r="BN33" s="0"/>
      <c r="BO33" s="0"/>
      <c r="BP33" s="0"/>
      <c r="BQ33" s="0"/>
      <c r="BR33" s="0"/>
      <c r="BS33" s="0"/>
      <c r="BT33" s="0"/>
      <c r="BU33" s="0"/>
      <c r="BV33" s="0"/>
      <c r="BW33" s="0"/>
      <c r="BX33" s="0"/>
      <c r="BY33" s="0"/>
      <c r="BZ33" s="0"/>
      <c r="CA33" s="0"/>
      <c r="CB33" s="0"/>
      <c r="CC33" s="0"/>
      <c r="CD33" s="0"/>
      <c r="CE33" s="0"/>
      <c r="CF33" s="0"/>
      <c r="CG33" s="0"/>
      <c r="CH33" s="0"/>
      <c r="CI33" s="0"/>
      <c r="CJ33" s="0"/>
      <c r="CK33" s="0"/>
      <c r="CL33" s="0"/>
      <c r="CM33" s="0"/>
      <c r="CN33" s="0"/>
      <c r="CO33" s="0"/>
      <c r="CP33" s="0"/>
      <c r="CQ33" s="0"/>
      <c r="CR33" s="0"/>
      <c r="CS33" s="0"/>
      <c r="CT33" s="0"/>
      <c r="CU33" s="0"/>
      <c r="CV33" s="0"/>
      <c r="CW33" s="0"/>
      <c r="CX33" s="0"/>
      <c r="CY33" s="0"/>
      <c r="CZ33" s="0"/>
      <c r="DA33" s="0"/>
      <c r="DB33" s="0"/>
      <c r="DC33" s="0"/>
      <c r="DD33" s="0"/>
      <c r="DE33" s="0"/>
      <c r="DF33" s="0"/>
      <c r="DG33" s="0"/>
      <c r="DH33" s="0"/>
      <c r="DI33" s="0"/>
      <c r="DJ33" s="0"/>
      <c r="DK33" s="0"/>
      <c r="DL33" s="0"/>
      <c r="DM33" s="0"/>
      <c r="DN33" s="0"/>
      <c r="DO33" s="0"/>
      <c r="DP33" s="0"/>
      <c r="DQ33" s="0"/>
      <c r="DR33" s="0"/>
      <c r="DS33" s="0"/>
      <c r="DT33" s="0"/>
      <c r="DU33" s="0"/>
      <c r="DV33" s="0"/>
      <c r="DW33" s="0"/>
      <c r="DX33" s="0"/>
      <c r="DY33" s="0"/>
      <c r="DZ33" s="0"/>
      <c r="EA33" s="0"/>
      <c r="EB33" s="0"/>
      <c r="EC33" s="0"/>
      <c r="ED33" s="0"/>
      <c r="EE33" s="0"/>
      <c r="EF33" s="0"/>
      <c r="EG33" s="0"/>
      <c r="EH33" s="0"/>
      <c r="EI33" s="0"/>
      <c r="EJ33" s="0"/>
      <c r="EK33" s="0"/>
      <c r="EL33" s="0"/>
      <c r="EM33" s="0"/>
      <c r="EN33" s="0"/>
      <c r="EO33" s="0"/>
      <c r="EP33" s="0"/>
      <c r="EQ33" s="0"/>
      <c r="ER33" s="0"/>
      <c r="ES33" s="0"/>
      <c r="ET33" s="0"/>
      <c r="EU33" s="0"/>
      <c r="EV33" s="0"/>
      <c r="EW33" s="0"/>
      <c r="EX33" s="0"/>
      <c r="EY33" s="0"/>
      <c r="EZ33" s="0"/>
      <c r="FA33" s="0"/>
      <c r="FB33" s="0"/>
      <c r="FC33" s="0"/>
      <c r="FD33" s="0"/>
      <c r="FE33" s="0"/>
      <c r="FF33" s="0"/>
      <c r="FG33" s="0"/>
      <c r="FH33" s="0"/>
      <c r="FI33" s="0"/>
      <c r="FJ33" s="0"/>
      <c r="FK33" s="0"/>
      <c r="FL33" s="0"/>
      <c r="FM33" s="0"/>
      <c r="FN33" s="0"/>
      <c r="FO33" s="0"/>
      <c r="FP33" s="0"/>
      <c r="FQ33" s="0"/>
      <c r="FR33" s="0"/>
      <c r="FS33" s="0"/>
      <c r="FT33" s="0"/>
      <c r="FU33" s="0"/>
      <c r="FV33" s="0"/>
      <c r="FW33" s="0"/>
      <c r="FX33" s="0"/>
      <c r="FY33" s="0"/>
      <c r="FZ33" s="0"/>
      <c r="GA33" s="0"/>
      <c r="GB33" s="0"/>
      <c r="GC33" s="0"/>
      <c r="GD33" s="0"/>
      <c r="GE33" s="0"/>
      <c r="GF33" s="0"/>
      <c r="GG33" s="0"/>
      <c r="GH33" s="0"/>
      <c r="GI33" s="0"/>
      <c r="GJ33" s="0"/>
      <c r="GK33" s="0"/>
      <c r="GL33" s="0"/>
      <c r="GM33" s="0"/>
      <c r="GN33" s="0"/>
      <c r="GO33" s="0"/>
      <c r="GP33" s="0"/>
      <c r="GQ33" s="0"/>
      <c r="GR33" s="0"/>
      <c r="GS33" s="0"/>
      <c r="GT33" s="0"/>
      <c r="GU33" s="0"/>
      <c r="GV33" s="0"/>
      <c r="GW33" s="0"/>
      <c r="GX33" s="0"/>
      <c r="GY33" s="0"/>
      <c r="GZ33" s="0"/>
      <c r="HA33" s="0"/>
      <c r="HB33" s="0"/>
      <c r="HC33" s="0"/>
      <c r="HD33" s="0"/>
      <c r="HE33" s="0"/>
      <c r="HF33" s="0"/>
      <c r="HG33" s="0"/>
      <c r="HH33" s="0"/>
      <c r="HI33" s="0"/>
      <c r="HJ33" s="0"/>
      <c r="HK33" s="0"/>
      <c r="HL33" s="0"/>
      <c r="HM33" s="0"/>
      <c r="HN33" s="0"/>
      <c r="HO33" s="0"/>
      <c r="HP33" s="0"/>
      <c r="HQ33" s="0"/>
      <c r="HR33" s="0"/>
      <c r="HS33" s="0"/>
      <c r="HT33" s="0"/>
      <c r="HU33" s="0"/>
      <c r="HV33" s="0"/>
      <c r="HW33" s="0"/>
      <c r="HX33" s="0"/>
      <c r="HY33" s="0"/>
      <c r="HZ33" s="0"/>
      <c r="IA33" s="0"/>
      <c r="IB33" s="0"/>
      <c r="IC33" s="0"/>
      <c r="ID33" s="0"/>
      <c r="IE33" s="0"/>
      <c r="IF33" s="0"/>
      <c r="IG33" s="0"/>
      <c r="IH33" s="0"/>
      <c r="II33" s="0"/>
      <c r="IJ33" s="0"/>
      <c r="IK33" s="0"/>
      <c r="IL33" s="0"/>
      <c r="IM33" s="0"/>
      <c r="IN33" s="0"/>
      <c r="IO33" s="0"/>
      <c r="IP33" s="0"/>
      <c r="IQ33" s="0"/>
      <c r="IR33" s="0"/>
      <c r="IS33" s="0"/>
      <c r="IT33" s="0"/>
      <c r="IU33" s="0"/>
      <c r="IV33" s="0"/>
      <c r="IW33" s="0"/>
    </row>
    <row r="34" customFormat="false" ht="11.1" hidden="false" customHeight="true" outlineLevel="0" collapsed="false">
      <c r="A34" s="58" t="n">
        <f aca="false">A33+1</f>
        <v>25</v>
      </c>
      <c r="B34" s="73" t="n">
        <v>6921.21</v>
      </c>
      <c r="C34" s="52" t="n">
        <v>368834</v>
      </c>
      <c r="D34" s="57" t="n">
        <f aca="false">C34-C33</f>
        <v>-438</v>
      </c>
      <c r="E34" s="52" t="n">
        <f aca="false">C34-152000</f>
        <v>216834</v>
      </c>
      <c r="F34" s="51" t="n">
        <f aca="false">D34/$D$2</f>
        <v>-220.82177968238</v>
      </c>
      <c r="G34" s="51" t="n">
        <v>378</v>
      </c>
      <c r="H34" s="87" t="n">
        <v>0</v>
      </c>
      <c r="I34" s="51" t="n">
        <f aca="false">G34+H34</f>
        <v>378</v>
      </c>
      <c r="J34" s="81" t="n">
        <f aca="false">IF(L34&gt;0,L34,0)</f>
        <v>66.1782203176204</v>
      </c>
      <c r="K34" s="51" t="n">
        <f aca="false">I34+J34</f>
        <v>444.17822031762</v>
      </c>
      <c r="L34" s="51" t="n">
        <f aca="false">F34-(I34-W34)</f>
        <v>66.1782203176204</v>
      </c>
      <c r="M34" s="51" t="n">
        <v>215</v>
      </c>
      <c r="N34" s="51" t="n">
        <v>0</v>
      </c>
      <c r="O34" s="51" t="n">
        <v>0</v>
      </c>
      <c r="P34" s="6" t="n">
        <f aca="false">M34-(N34+O34)</f>
        <v>215</v>
      </c>
      <c r="Q34" s="51" t="n">
        <v>168</v>
      </c>
      <c r="R34" s="51" t="n">
        <v>89</v>
      </c>
      <c r="S34" s="51" t="n">
        <f aca="false">SUM(P34:R34)</f>
        <v>472</v>
      </c>
      <c r="T34" s="52" t="n">
        <f aca="false">(I34-S34)+T33</f>
        <v>1550</v>
      </c>
      <c r="U34" s="51" t="n">
        <v>0</v>
      </c>
      <c r="V34" s="51" t="n">
        <v>193</v>
      </c>
      <c r="W34" s="6" t="n">
        <f aca="false">N34+O34+S34+U34+V34</f>
        <v>665</v>
      </c>
      <c r="X34" s="51" t="n">
        <f aca="false">IF(L34&lt;0,L34*-1,0)</f>
        <v>0</v>
      </c>
      <c r="Y34" s="51" t="n">
        <f aca="false">W34+X34</f>
        <v>665</v>
      </c>
      <c r="Z34" s="55" t="n">
        <v>0</v>
      </c>
      <c r="AA34" s="57" t="n">
        <v>89</v>
      </c>
      <c r="AB34" s="82" t="n">
        <v>59</v>
      </c>
      <c r="AC34" s="58" t="n">
        <f aca="false">AC33+1</f>
        <v>25</v>
      </c>
      <c r="AD34" s="12" t="n">
        <f aca="false">IF(I34&gt;S34,I34-S34,I34-S34)</f>
        <v>-94</v>
      </c>
      <c r="AE34" s="12"/>
      <c r="AF34" s="0"/>
      <c r="AG34" s="6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  <c r="BH34" s="0"/>
      <c r="BI34" s="0"/>
      <c r="BJ34" s="0"/>
      <c r="BK34" s="0"/>
      <c r="BL34" s="0"/>
      <c r="BM34" s="0"/>
      <c r="BN34" s="0"/>
      <c r="BO34" s="0"/>
      <c r="BP34" s="0"/>
      <c r="BQ34" s="0"/>
      <c r="BR34" s="0"/>
      <c r="BS34" s="0"/>
      <c r="BT34" s="0"/>
      <c r="BU34" s="0"/>
      <c r="BV34" s="0"/>
      <c r="BW34" s="0"/>
      <c r="BX34" s="0"/>
      <c r="BY34" s="0"/>
      <c r="BZ34" s="0"/>
      <c r="CA34" s="0"/>
      <c r="CB34" s="0"/>
      <c r="CC34" s="0"/>
      <c r="CD34" s="0"/>
      <c r="CE34" s="0"/>
      <c r="CF34" s="0"/>
      <c r="CG34" s="0"/>
      <c r="CH34" s="0"/>
      <c r="CI34" s="0"/>
      <c r="CJ34" s="0"/>
      <c r="CK34" s="0"/>
      <c r="CL34" s="0"/>
      <c r="CM34" s="0"/>
      <c r="CN34" s="0"/>
      <c r="CO34" s="0"/>
      <c r="CP34" s="0"/>
      <c r="CQ34" s="0"/>
      <c r="CR34" s="0"/>
      <c r="CS34" s="0"/>
      <c r="CT34" s="0"/>
      <c r="CU34" s="0"/>
      <c r="CV34" s="0"/>
      <c r="CW34" s="0"/>
      <c r="CX34" s="0"/>
      <c r="CY34" s="0"/>
      <c r="CZ34" s="0"/>
      <c r="DA34" s="0"/>
      <c r="DB34" s="0"/>
      <c r="DC34" s="0"/>
      <c r="DD34" s="0"/>
      <c r="DE34" s="0"/>
      <c r="DF34" s="0"/>
      <c r="DG34" s="0"/>
      <c r="DH34" s="0"/>
      <c r="DI34" s="0"/>
      <c r="DJ34" s="0"/>
      <c r="DK34" s="0"/>
      <c r="DL34" s="0"/>
      <c r="DM34" s="0"/>
      <c r="DN34" s="0"/>
      <c r="DO34" s="0"/>
      <c r="DP34" s="0"/>
      <c r="DQ34" s="0"/>
      <c r="DR34" s="0"/>
      <c r="DS34" s="0"/>
      <c r="DT34" s="0"/>
      <c r="DU34" s="0"/>
      <c r="DV34" s="0"/>
      <c r="DW34" s="0"/>
      <c r="DX34" s="0"/>
      <c r="DY34" s="0"/>
      <c r="DZ34" s="0"/>
      <c r="EA34" s="0"/>
      <c r="EB34" s="0"/>
      <c r="EC34" s="0"/>
      <c r="ED34" s="0"/>
      <c r="EE34" s="0"/>
      <c r="EF34" s="0"/>
      <c r="EG34" s="0"/>
      <c r="EH34" s="0"/>
      <c r="EI34" s="0"/>
      <c r="EJ34" s="0"/>
      <c r="EK34" s="0"/>
      <c r="EL34" s="0"/>
      <c r="EM34" s="0"/>
      <c r="EN34" s="0"/>
      <c r="EO34" s="0"/>
      <c r="EP34" s="0"/>
      <c r="EQ34" s="0"/>
      <c r="ER34" s="0"/>
      <c r="ES34" s="0"/>
      <c r="ET34" s="0"/>
      <c r="EU34" s="0"/>
      <c r="EV34" s="0"/>
      <c r="EW34" s="0"/>
      <c r="EX34" s="0"/>
      <c r="EY34" s="0"/>
      <c r="EZ34" s="0"/>
      <c r="FA34" s="0"/>
      <c r="FB34" s="0"/>
      <c r="FC34" s="0"/>
      <c r="FD34" s="0"/>
      <c r="FE34" s="0"/>
      <c r="FF34" s="0"/>
      <c r="FG34" s="0"/>
      <c r="FH34" s="0"/>
      <c r="FI34" s="0"/>
      <c r="FJ34" s="0"/>
      <c r="FK34" s="0"/>
      <c r="FL34" s="0"/>
      <c r="FM34" s="0"/>
      <c r="FN34" s="0"/>
      <c r="FO34" s="0"/>
      <c r="FP34" s="0"/>
      <c r="FQ34" s="0"/>
      <c r="FR34" s="0"/>
      <c r="FS34" s="0"/>
      <c r="FT34" s="0"/>
      <c r="FU34" s="0"/>
      <c r="FV34" s="0"/>
      <c r="FW34" s="0"/>
      <c r="FX34" s="0"/>
      <c r="FY34" s="0"/>
      <c r="FZ34" s="0"/>
      <c r="GA34" s="0"/>
      <c r="GB34" s="0"/>
      <c r="GC34" s="0"/>
      <c r="GD34" s="0"/>
      <c r="GE34" s="0"/>
      <c r="GF34" s="0"/>
      <c r="GG34" s="0"/>
      <c r="GH34" s="0"/>
      <c r="GI34" s="0"/>
      <c r="GJ34" s="0"/>
      <c r="GK34" s="0"/>
      <c r="GL34" s="0"/>
      <c r="GM34" s="0"/>
      <c r="GN34" s="0"/>
      <c r="GO34" s="0"/>
      <c r="GP34" s="0"/>
      <c r="GQ34" s="0"/>
      <c r="GR34" s="0"/>
      <c r="GS34" s="0"/>
      <c r="GT34" s="0"/>
      <c r="GU34" s="0"/>
      <c r="GV34" s="0"/>
      <c r="GW34" s="0"/>
      <c r="GX34" s="0"/>
      <c r="GY34" s="0"/>
      <c r="GZ34" s="0"/>
      <c r="HA34" s="0"/>
      <c r="HB34" s="0"/>
      <c r="HC34" s="0"/>
      <c r="HD34" s="0"/>
      <c r="HE34" s="0"/>
      <c r="HF34" s="0"/>
      <c r="HG34" s="0"/>
      <c r="HH34" s="0"/>
      <c r="HI34" s="0"/>
      <c r="HJ34" s="0"/>
      <c r="HK34" s="0"/>
      <c r="HL34" s="0"/>
      <c r="HM34" s="0"/>
      <c r="HN34" s="0"/>
      <c r="HO34" s="0"/>
      <c r="HP34" s="0"/>
      <c r="HQ34" s="0"/>
      <c r="HR34" s="0"/>
      <c r="HS34" s="0"/>
      <c r="HT34" s="0"/>
      <c r="HU34" s="0"/>
      <c r="HV34" s="0"/>
      <c r="HW34" s="0"/>
      <c r="HX34" s="0"/>
      <c r="HY34" s="0"/>
      <c r="HZ34" s="0"/>
      <c r="IA34" s="0"/>
      <c r="IB34" s="0"/>
      <c r="IC34" s="0"/>
      <c r="ID34" s="0"/>
      <c r="IE34" s="0"/>
      <c r="IF34" s="0"/>
      <c r="IG34" s="0"/>
      <c r="IH34" s="0"/>
      <c r="II34" s="0"/>
      <c r="IJ34" s="0"/>
      <c r="IK34" s="0"/>
      <c r="IL34" s="0"/>
      <c r="IM34" s="0"/>
      <c r="IN34" s="0"/>
      <c r="IO34" s="0"/>
      <c r="IP34" s="0"/>
      <c r="IQ34" s="0"/>
      <c r="IR34" s="0"/>
      <c r="IS34" s="0"/>
      <c r="IT34" s="0"/>
      <c r="IU34" s="0"/>
      <c r="IV34" s="0"/>
      <c r="IW34" s="0"/>
    </row>
    <row r="35" customFormat="false" ht="11.1" hidden="false" customHeight="true" outlineLevel="0" collapsed="false">
      <c r="A35" s="58" t="n">
        <f aca="false">A34+1</f>
        <v>26</v>
      </c>
      <c r="B35" s="73" t="n">
        <v>6921.09</v>
      </c>
      <c r="C35" s="52" t="n">
        <v>369309</v>
      </c>
      <c r="D35" s="57" t="n">
        <f aca="false">C35-C34</f>
        <v>475</v>
      </c>
      <c r="E35" s="52" t="n">
        <f aca="false">C35-152000</f>
        <v>217309</v>
      </c>
      <c r="F35" s="51" t="n">
        <f aca="false">D35/$D$2</f>
        <v>239.475674313083</v>
      </c>
      <c r="G35" s="51" t="n">
        <v>384</v>
      </c>
      <c r="H35" s="87" t="n">
        <v>0</v>
      </c>
      <c r="I35" s="51" t="n">
        <f aca="false">G35+H35</f>
        <v>384</v>
      </c>
      <c r="J35" s="81" t="n">
        <f aca="false">IF(L35&gt;0,L35,0)</f>
        <v>519.475674313083</v>
      </c>
      <c r="K35" s="51" t="n">
        <f aca="false">I35+J35</f>
        <v>903.475674313083</v>
      </c>
      <c r="L35" s="51" t="n">
        <f aca="false">F35-(I35-W35)</f>
        <v>519.475674313083</v>
      </c>
      <c r="M35" s="51" t="n">
        <v>215</v>
      </c>
      <c r="N35" s="51" t="n">
        <v>0</v>
      </c>
      <c r="O35" s="51" t="n">
        <v>0</v>
      </c>
      <c r="P35" s="6" t="n">
        <f aca="false">M35-(N35+O35)</f>
        <v>215</v>
      </c>
      <c r="Q35" s="51" t="n">
        <v>168</v>
      </c>
      <c r="R35" s="51" t="n">
        <v>89</v>
      </c>
      <c r="S35" s="51" t="n">
        <f aca="false">SUM(P35:R35)</f>
        <v>472</v>
      </c>
      <c r="T35" s="52" t="n">
        <f aca="false">(I35-S35)+T34</f>
        <v>1462</v>
      </c>
      <c r="U35" s="51" t="n">
        <v>0</v>
      </c>
      <c r="V35" s="51" t="n">
        <v>192</v>
      </c>
      <c r="W35" s="6" t="n">
        <f aca="false">N35+O35+S35+U35+V35</f>
        <v>664</v>
      </c>
      <c r="X35" s="51" t="n">
        <f aca="false">IF(L35&lt;0,L35*-1,0)</f>
        <v>0</v>
      </c>
      <c r="Y35" s="51" t="n">
        <f aca="false">W35+X35</f>
        <v>664</v>
      </c>
      <c r="Z35" s="55" t="n">
        <v>0.24</v>
      </c>
      <c r="AA35" s="57" t="n">
        <v>90</v>
      </c>
      <c r="AB35" s="57" t="n">
        <v>56</v>
      </c>
      <c r="AC35" s="58" t="n">
        <f aca="false">AC34+1</f>
        <v>26</v>
      </c>
      <c r="AD35" s="12" t="n">
        <f aca="false">IF(I35&gt;S35,I35-S35,I35-S35)</f>
        <v>-88</v>
      </c>
      <c r="AE35" s="12"/>
      <c r="AF35" s="0"/>
      <c r="AG35" s="3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/>
      <c r="BE35" s="0"/>
      <c r="BF35" s="0"/>
      <c r="BG35" s="0"/>
      <c r="BH35" s="0"/>
      <c r="BI35" s="0"/>
      <c r="BJ35" s="0"/>
      <c r="BK35" s="0"/>
      <c r="BL35" s="0"/>
      <c r="BM35" s="0"/>
      <c r="BN35" s="0"/>
      <c r="BO35" s="0"/>
      <c r="BP35" s="0"/>
      <c r="BQ35" s="0"/>
      <c r="BR35" s="0"/>
      <c r="BS35" s="0"/>
      <c r="BT35" s="0"/>
      <c r="BU35" s="0"/>
      <c r="BV35" s="0"/>
      <c r="BW35" s="0"/>
      <c r="BX35" s="0"/>
      <c r="BY35" s="0"/>
      <c r="BZ35" s="0"/>
      <c r="CA35" s="0"/>
      <c r="CB35" s="0"/>
      <c r="CC35" s="0"/>
      <c r="CD35" s="0"/>
      <c r="CE35" s="0"/>
      <c r="CF35" s="0"/>
      <c r="CG35" s="0"/>
      <c r="CH35" s="0"/>
      <c r="CI35" s="0"/>
      <c r="CJ35" s="0"/>
      <c r="CK35" s="0"/>
      <c r="CL35" s="0"/>
      <c r="CM35" s="0"/>
      <c r="CN35" s="0"/>
      <c r="CO35" s="0"/>
      <c r="CP35" s="0"/>
      <c r="CQ35" s="0"/>
      <c r="CR35" s="0"/>
      <c r="CS35" s="0"/>
      <c r="CT35" s="0"/>
      <c r="CU35" s="0"/>
      <c r="CV35" s="0"/>
      <c r="CW35" s="0"/>
      <c r="CX35" s="0"/>
      <c r="CY35" s="0"/>
      <c r="CZ35" s="0"/>
      <c r="DA35" s="0"/>
      <c r="DB35" s="0"/>
      <c r="DC35" s="0"/>
      <c r="DD35" s="0"/>
      <c r="DE35" s="0"/>
      <c r="DF35" s="0"/>
      <c r="DG35" s="0"/>
      <c r="DH35" s="0"/>
      <c r="DI35" s="0"/>
      <c r="DJ35" s="0"/>
      <c r="DK35" s="0"/>
      <c r="DL35" s="0"/>
      <c r="DM35" s="0"/>
      <c r="DN35" s="0"/>
      <c r="DO35" s="0"/>
      <c r="DP35" s="0"/>
      <c r="DQ35" s="0"/>
      <c r="DR35" s="0"/>
      <c r="DS35" s="0"/>
      <c r="DT35" s="0"/>
      <c r="DU35" s="0"/>
      <c r="DV35" s="0"/>
      <c r="DW35" s="0"/>
      <c r="DX35" s="0"/>
      <c r="DY35" s="0"/>
      <c r="DZ35" s="0"/>
      <c r="EA35" s="0"/>
      <c r="EB35" s="0"/>
      <c r="EC35" s="0"/>
      <c r="ED35" s="0"/>
      <c r="EE35" s="0"/>
      <c r="EF35" s="0"/>
      <c r="EG35" s="0"/>
      <c r="EH35" s="0"/>
      <c r="EI35" s="0"/>
      <c r="EJ35" s="0"/>
      <c r="EK35" s="0"/>
      <c r="EL35" s="0"/>
      <c r="EM35" s="0"/>
      <c r="EN35" s="0"/>
      <c r="EO35" s="0"/>
      <c r="EP35" s="0"/>
      <c r="EQ35" s="0"/>
      <c r="ER35" s="0"/>
      <c r="ES35" s="0"/>
      <c r="ET35" s="0"/>
      <c r="EU35" s="0"/>
      <c r="EV35" s="0"/>
      <c r="EW35" s="0"/>
      <c r="EX35" s="0"/>
      <c r="EY35" s="0"/>
      <c r="EZ35" s="0"/>
      <c r="FA35" s="0"/>
      <c r="FB35" s="0"/>
      <c r="FC35" s="0"/>
      <c r="FD35" s="0"/>
      <c r="FE35" s="0"/>
      <c r="FF35" s="0"/>
      <c r="FG35" s="0"/>
      <c r="FH35" s="0"/>
      <c r="FI35" s="0"/>
      <c r="FJ35" s="0"/>
      <c r="FK35" s="0"/>
      <c r="FL35" s="0"/>
      <c r="FM35" s="0"/>
      <c r="FN35" s="0"/>
      <c r="FO35" s="0"/>
      <c r="FP35" s="0"/>
      <c r="FQ35" s="0"/>
      <c r="FR35" s="0"/>
      <c r="FS35" s="0"/>
      <c r="FT35" s="0"/>
      <c r="FU35" s="0"/>
      <c r="FV35" s="0"/>
      <c r="FW35" s="0"/>
      <c r="FX35" s="0"/>
      <c r="FY35" s="0"/>
      <c r="FZ35" s="0"/>
      <c r="GA35" s="0"/>
      <c r="GB35" s="0"/>
      <c r="GC35" s="0"/>
      <c r="GD35" s="0"/>
      <c r="GE35" s="0"/>
      <c r="GF35" s="0"/>
      <c r="GG35" s="0"/>
      <c r="GH35" s="0"/>
      <c r="GI35" s="0"/>
      <c r="GJ35" s="0"/>
      <c r="GK35" s="0"/>
      <c r="GL35" s="0"/>
      <c r="GM35" s="0"/>
      <c r="GN35" s="0"/>
      <c r="GO35" s="0"/>
      <c r="GP35" s="0"/>
      <c r="GQ35" s="0"/>
      <c r="GR35" s="0"/>
      <c r="GS35" s="0"/>
      <c r="GT35" s="0"/>
      <c r="GU35" s="0"/>
      <c r="GV35" s="0"/>
      <c r="GW35" s="0"/>
      <c r="GX35" s="0"/>
      <c r="GY35" s="0"/>
      <c r="GZ35" s="0"/>
      <c r="HA35" s="0"/>
      <c r="HB35" s="0"/>
      <c r="HC35" s="0"/>
      <c r="HD35" s="0"/>
      <c r="HE35" s="0"/>
      <c r="HF35" s="0"/>
      <c r="HG35" s="0"/>
      <c r="HH35" s="0"/>
      <c r="HI35" s="0"/>
      <c r="HJ35" s="0"/>
      <c r="HK35" s="0"/>
      <c r="HL35" s="0"/>
      <c r="HM35" s="0"/>
      <c r="HN35" s="0"/>
      <c r="HO35" s="0"/>
      <c r="HP35" s="0"/>
      <c r="HQ35" s="0"/>
      <c r="HR35" s="0"/>
      <c r="HS35" s="0"/>
      <c r="HT35" s="0"/>
      <c r="HU35" s="0"/>
      <c r="HV35" s="0"/>
      <c r="HW35" s="0"/>
      <c r="HX35" s="0"/>
      <c r="HY35" s="0"/>
      <c r="HZ35" s="0"/>
      <c r="IA35" s="0"/>
      <c r="IB35" s="0"/>
      <c r="IC35" s="0"/>
      <c r="ID35" s="0"/>
      <c r="IE35" s="0"/>
      <c r="IF35" s="0"/>
      <c r="IG35" s="0"/>
      <c r="IH35" s="0"/>
      <c r="II35" s="0"/>
      <c r="IJ35" s="0"/>
      <c r="IK35" s="0"/>
      <c r="IL35" s="0"/>
      <c r="IM35" s="0"/>
      <c r="IN35" s="0"/>
      <c r="IO35" s="0"/>
      <c r="IP35" s="0"/>
      <c r="IQ35" s="0"/>
      <c r="IR35" s="0"/>
      <c r="IS35" s="0"/>
      <c r="IT35" s="0"/>
      <c r="IU35" s="0"/>
      <c r="IV35" s="0"/>
      <c r="IW35" s="0"/>
    </row>
    <row r="36" customFormat="false" ht="11.1" hidden="false" customHeight="true" outlineLevel="0" collapsed="false">
      <c r="A36" s="58" t="n">
        <f aca="false">A35+1</f>
        <v>27</v>
      </c>
      <c r="B36" s="73" t="n">
        <v>6920.93</v>
      </c>
      <c r="C36" s="52" t="n">
        <v>367611</v>
      </c>
      <c r="D36" s="57" t="n">
        <f aca="false">C36-C35</f>
        <v>-1698</v>
      </c>
      <c r="E36" s="52" t="n">
        <f aca="false">C36-152000</f>
        <v>215611</v>
      </c>
      <c r="F36" s="51" t="n">
        <f aca="false">D36/$D$2</f>
        <v>-856.062515754979</v>
      </c>
      <c r="G36" s="51" t="n">
        <v>414</v>
      </c>
      <c r="H36" s="87" t="n">
        <v>0</v>
      </c>
      <c r="I36" s="51" t="n">
        <f aca="false">G36+H36</f>
        <v>414</v>
      </c>
      <c r="J36" s="81" t="n">
        <f aca="false">IF(L36&gt;0,L36,0)</f>
        <v>0</v>
      </c>
      <c r="K36" s="51" t="n">
        <f aca="false">I36+J36</f>
        <v>414</v>
      </c>
      <c r="L36" s="51" t="n">
        <f aca="false">F36-(I36-W36)</f>
        <v>-577.062515754979</v>
      </c>
      <c r="M36" s="51" t="n">
        <v>215</v>
      </c>
      <c r="N36" s="51" t="n">
        <v>0</v>
      </c>
      <c r="O36" s="51" t="n">
        <v>0</v>
      </c>
      <c r="P36" s="6" t="n">
        <f aca="false">M36-(N36+O36)</f>
        <v>215</v>
      </c>
      <c r="Q36" s="51" t="n">
        <v>168</v>
      </c>
      <c r="R36" s="51" t="n">
        <v>88</v>
      </c>
      <c r="S36" s="51" t="n">
        <f aca="false">SUM(P36:R36)</f>
        <v>471</v>
      </c>
      <c r="T36" s="52" t="n">
        <f aca="false">(I36-S36)+T35</f>
        <v>1405</v>
      </c>
      <c r="U36" s="51" t="n">
        <v>27</v>
      </c>
      <c r="V36" s="51" t="n">
        <v>195</v>
      </c>
      <c r="W36" s="6" t="n">
        <f aca="false">N36+O36+S36+U36+V36</f>
        <v>693</v>
      </c>
      <c r="X36" s="51" t="n">
        <f aca="false">IF(L36&lt;0,L36*-1,0)</f>
        <v>577.062515754979</v>
      </c>
      <c r="Y36" s="51" t="n">
        <f aca="false">W36+X36</f>
        <v>1270.06251575498</v>
      </c>
      <c r="Z36" s="55" t="n">
        <v>0.32</v>
      </c>
      <c r="AA36" s="57" t="n">
        <v>84</v>
      </c>
      <c r="AB36" s="57" t="n">
        <v>56</v>
      </c>
      <c r="AC36" s="58" t="n">
        <f aca="false">AC35+1</f>
        <v>27</v>
      </c>
      <c r="AD36" s="12" t="n">
        <f aca="false">IF(I36&gt;S36,I36-S36,I36-S36)</f>
        <v>-57</v>
      </c>
      <c r="AE36" s="12"/>
      <c r="AF36" s="0"/>
      <c r="AG36" s="6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/>
      <c r="BE36" s="0"/>
      <c r="BF36" s="0"/>
      <c r="BG36" s="0"/>
      <c r="BH36" s="0"/>
      <c r="BI36" s="0"/>
      <c r="BJ36" s="0"/>
      <c r="BK36" s="0"/>
      <c r="BL36" s="0"/>
      <c r="BM36" s="0"/>
      <c r="BN36" s="0"/>
      <c r="BO36" s="0"/>
      <c r="BP36" s="0"/>
      <c r="BQ36" s="0"/>
      <c r="BR36" s="0"/>
      <c r="BS36" s="0"/>
      <c r="BT36" s="0"/>
      <c r="BU36" s="0"/>
      <c r="BV36" s="0"/>
      <c r="BW36" s="0"/>
      <c r="BX36" s="0"/>
      <c r="BY36" s="0"/>
      <c r="BZ36" s="0"/>
      <c r="CA36" s="0"/>
      <c r="CB36" s="0"/>
      <c r="CC36" s="0"/>
      <c r="CD36" s="0"/>
      <c r="CE36" s="0"/>
      <c r="CF36" s="0"/>
      <c r="CG36" s="0"/>
      <c r="CH36" s="0"/>
      <c r="CI36" s="0"/>
      <c r="CJ36" s="0"/>
      <c r="CK36" s="0"/>
      <c r="CL36" s="0"/>
      <c r="CM36" s="0"/>
      <c r="CN36" s="0"/>
      <c r="CO36" s="0"/>
      <c r="CP36" s="0"/>
      <c r="CQ36" s="0"/>
      <c r="CR36" s="0"/>
      <c r="CS36" s="0"/>
      <c r="CT36" s="0"/>
      <c r="CU36" s="0"/>
      <c r="CV36" s="0"/>
      <c r="CW36" s="0"/>
      <c r="CX36" s="0"/>
      <c r="CY36" s="0"/>
      <c r="CZ36" s="0"/>
      <c r="DA36" s="0"/>
      <c r="DB36" s="0"/>
      <c r="DC36" s="0"/>
      <c r="DD36" s="0"/>
      <c r="DE36" s="0"/>
      <c r="DF36" s="0"/>
      <c r="DG36" s="0"/>
      <c r="DH36" s="0"/>
      <c r="DI36" s="0"/>
      <c r="DJ36" s="0"/>
      <c r="DK36" s="0"/>
      <c r="DL36" s="0"/>
      <c r="DM36" s="0"/>
      <c r="DN36" s="0"/>
      <c r="DO36" s="0"/>
      <c r="DP36" s="0"/>
      <c r="DQ36" s="0"/>
      <c r="DR36" s="0"/>
      <c r="DS36" s="0"/>
      <c r="DT36" s="0"/>
      <c r="DU36" s="0"/>
      <c r="DV36" s="0"/>
      <c r="DW36" s="0"/>
      <c r="DX36" s="0"/>
      <c r="DY36" s="0"/>
      <c r="DZ36" s="0"/>
      <c r="EA36" s="0"/>
      <c r="EB36" s="0"/>
      <c r="EC36" s="0"/>
      <c r="ED36" s="0"/>
      <c r="EE36" s="0"/>
      <c r="EF36" s="0"/>
      <c r="EG36" s="0"/>
      <c r="EH36" s="0"/>
      <c r="EI36" s="0"/>
      <c r="EJ36" s="0"/>
      <c r="EK36" s="0"/>
      <c r="EL36" s="0"/>
      <c r="EM36" s="0"/>
      <c r="EN36" s="0"/>
      <c r="EO36" s="0"/>
      <c r="EP36" s="0"/>
      <c r="EQ36" s="0"/>
      <c r="ER36" s="0"/>
      <c r="ES36" s="0"/>
      <c r="ET36" s="0"/>
      <c r="EU36" s="0"/>
      <c r="EV36" s="0"/>
      <c r="EW36" s="0"/>
      <c r="EX36" s="0"/>
      <c r="EY36" s="0"/>
      <c r="EZ36" s="0"/>
      <c r="FA36" s="0"/>
      <c r="FB36" s="0"/>
      <c r="FC36" s="0"/>
      <c r="FD36" s="0"/>
      <c r="FE36" s="0"/>
      <c r="FF36" s="0"/>
      <c r="FG36" s="0"/>
      <c r="FH36" s="0"/>
      <c r="FI36" s="0"/>
      <c r="FJ36" s="0"/>
      <c r="FK36" s="0"/>
      <c r="FL36" s="0"/>
      <c r="FM36" s="0"/>
      <c r="FN36" s="0"/>
      <c r="FO36" s="0"/>
      <c r="FP36" s="0"/>
      <c r="FQ36" s="0"/>
      <c r="FR36" s="0"/>
      <c r="FS36" s="0"/>
      <c r="FT36" s="0"/>
      <c r="FU36" s="0"/>
      <c r="FV36" s="0"/>
      <c r="FW36" s="0"/>
      <c r="FX36" s="0"/>
      <c r="FY36" s="0"/>
      <c r="FZ36" s="0"/>
      <c r="GA36" s="0"/>
      <c r="GB36" s="0"/>
      <c r="GC36" s="0"/>
      <c r="GD36" s="0"/>
      <c r="GE36" s="0"/>
      <c r="GF36" s="0"/>
      <c r="GG36" s="0"/>
      <c r="GH36" s="0"/>
      <c r="GI36" s="0"/>
      <c r="GJ36" s="0"/>
      <c r="GK36" s="0"/>
      <c r="GL36" s="0"/>
      <c r="GM36" s="0"/>
      <c r="GN36" s="0"/>
      <c r="GO36" s="0"/>
      <c r="GP36" s="0"/>
      <c r="GQ36" s="0"/>
      <c r="GR36" s="0"/>
      <c r="GS36" s="0"/>
      <c r="GT36" s="0"/>
      <c r="GU36" s="0"/>
      <c r="GV36" s="0"/>
      <c r="GW36" s="0"/>
      <c r="GX36" s="0"/>
      <c r="GY36" s="0"/>
      <c r="GZ36" s="0"/>
      <c r="HA36" s="0"/>
      <c r="HB36" s="0"/>
      <c r="HC36" s="0"/>
      <c r="HD36" s="0"/>
      <c r="HE36" s="0"/>
      <c r="HF36" s="0"/>
      <c r="HG36" s="0"/>
      <c r="HH36" s="0"/>
      <c r="HI36" s="0"/>
      <c r="HJ36" s="0"/>
      <c r="HK36" s="0"/>
      <c r="HL36" s="0"/>
      <c r="HM36" s="0"/>
      <c r="HN36" s="0"/>
      <c r="HO36" s="0"/>
      <c r="HP36" s="0"/>
      <c r="HQ36" s="0"/>
      <c r="HR36" s="0"/>
      <c r="HS36" s="0"/>
      <c r="HT36" s="0"/>
      <c r="HU36" s="0"/>
      <c r="HV36" s="0"/>
      <c r="HW36" s="0"/>
      <c r="HX36" s="0"/>
      <c r="HY36" s="0"/>
      <c r="HZ36" s="0"/>
      <c r="IA36" s="0"/>
      <c r="IB36" s="0"/>
      <c r="IC36" s="0"/>
      <c r="ID36" s="0"/>
      <c r="IE36" s="0"/>
      <c r="IF36" s="0"/>
      <c r="IG36" s="0"/>
      <c r="IH36" s="0"/>
      <c r="II36" s="0"/>
      <c r="IJ36" s="0"/>
      <c r="IK36" s="0"/>
      <c r="IL36" s="0"/>
      <c r="IM36" s="0"/>
      <c r="IN36" s="0"/>
      <c r="IO36" s="0"/>
      <c r="IP36" s="0"/>
      <c r="IQ36" s="0"/>
      <c r="IR36" s="0"/>
      <c r="IS36" s="0"/>
      <c r="IT36" s="0"/>
      <c r="IU36" s="0"/>
      <c r="IV36" s="0"/>
      <c r="IW36" s="0"/>
    </row>
    <row r="37" customFormat="false" ht="11.1" hidden="false" customHeight="true" outlineLevel="0" collapsed="false">
      <c r="A37" s="58" t="n">
        <f aca="false">A36+1</f>
        <v>28</v>
      </c>
      <c r="B37" s="73" t="n">
        <v>6920.8</v>
      </c>
      <c r="C37" s="52" t="n">
        <v>367046</v>
      </c>
      <c r="D37" s="57" t="n">
        <f aca="false">C37-C36</f>
        <v>-565</v>
      </c>
      <c r="E37" s="52" t="n">
        <f aca="false">C37-152000</f>
        <v>215046</v>
      </c>
      <c r="F37" s="51" t="n">
        <f aca="false">D37/$D$2</f>
        <v>-284.850012603983</v>
      </c>
      <c r="G37" s="51" t="n">
        <v>386</v>
      </c>
      <c r="H37" s="87" t="n">
        <v>0</v>
      </c>
      <c r="I37" s="51" t="n">
        <f aca="false">G37+H37</f>
        <v>386</v>
      </c>
      <c r="J37" s="81" t="n">
        <f aca="false">IF(L37&gt;0,L37,0)</f>
        <v>0</v>
      </c>
      <c r="K37" s="51" t="n">
        <f aca="false">I37+J37</f>
        <v>386</v>
      </c>
      <c r="L37" s="51" t="n">
        <f aca="false">F37-(I37-W37)</f>
        <v>-0.850012603982862</v>
      </c>
      <c r="M37" s="51" t="n">
        <v>214</v>
      </c>
      <c r="N37" s="51" t="n">
        <v>0</v>
      </c>
      <c r="O37" s="51" t="n">
        <v>0</v>
      </c>
      <c r="P37" s="6" t="n">
        <f aca="false">M37-(N37+O37)</f>
        <v>214</v>
      </c>
      <c r="Q37" s="51" t="n">
        <v>171</v>
      </c>
      <c r="R37" s="51" t="n">
        <v>88</v>
      </c>
      <c r="S37" s="51" t="n">
        <f aca="false">SUM(P37:R37)</f>
        <v>473</v>
      </c>
      <c r="T37" s="52" t="n">
        <f aca="false">(I37-S37)+T36</f>
        <v>1318</v>
      </c>
      <c r="U37" s="51" t="n">
        <v>3</v>
      </c>
      <c r="V37" s="51" t="n">
        <v>194</v>
      </c>
      <c r="W37" s="6" t="n">
        <f aca="false">N37+O37+S37+U37+V37</f>
        <v>670</v>
      </c>
      <c r="X37" s="51" t="n">
        <f aca="false">IF(L37&lt;0,L37*-1,0)</f>
        <v>0.850012603982862</v>
      </c>
      <c r="Y37" s="51" t="n">
        <f aca="false">W37+X37</f>
        <v>670.850012603983</v>
      </c>
      <c r="Z37" s="55" t="n">
        <v>0.46</v>
      </c>
      <c r="AA37" s="57" t="n">
        <v>77</v>
      </c>
      <c r="AB37" s="57" t="n">
        <v>58</v>
      </c>
      <c r="AC37" s="58" t="n">
        <f aca="false">AC36+1</f>
        <v>28</v>
      </c>
      <c r="AD37" s="12" t="n">
        <f aca="false">IF(I37&gt;S37,I37-S37,I37-S37)</f>
        <v>-87</v>
      </c>
      <c r="AE37" s="12"/>
      <c r="AF37" s="0"/>
      <c r="AG37" s="6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  <c r="AU37" s="0"/>
      <c r="AV37" s="0"/>
      <c r="AW37" s="0"/>
      <c r="AX37" s="0"/>
      <c r="AY37" s="0"/>
      <c r="AZ37" s="0"/>
      <c r="BA37" s="0"/>
      <c r="BB37" s="0"/>
      <c r="BC37" s="0"/>
      <c r="BD37" s="0"/>
      <c r="BE37" s="0"/>
      <c r="BF37" s="0"/>
      <c r="BG37" s="0"/>
      <c r="BH37" s="0"/>
      <c r="BI37" s="0"/>
      <c r="BJ37" s="0"/>
      <c r="BK37" s="0"/>
      <c r="BL37" s="0"/>
      <c r="BM37" s="0"/>
      <c r="BN37" s="0"/>
      <c r="BO37" s="0"/>
      <c r="BP37" s="0"/>
      <c r="BQ37" s="0"/>
      <c r="BR37" s="0"/>
      <c r="BS37" s="0"/>
      <c r="BT37" s="0"/>
      <c r="BU37" s="0"/>
      <c r="BV37" s="0"/>
      <c r="BW37" s="0"/>
      <c r="BX37" s="0"/>
      <c r="BY37" s="0"/>
      <c r="BZ37" s="0"/>
      <c r="CA37" s="0"/>
      <c r="CB37" s="0"/>
      <c r="CC37" s="0"/>
      <c r="CD37" s="0"/>
      <c r="CE37" s="0"/>
      <c r="CF37" s="0"/>
      <c r="CG37" s="0"/>
      <c r="CH37" s="0"/>
      <c r="CI37" s="0"/>
      <c r="CJ37" s="0"/>
      <c r="CK37" s="0"/>
      <c r="CL37" s="0"/>
      <c r="CM37" s="0"/>
      <c r="CN37" s="0"/>
      <c r="CO37" s="0"/>
      <c r="CP37" s="0"/>
      <c r="CQ37" s="0"/>
      <c r="CR37" s="0"/>
      <c r="CS37" s="0"/>
      <c r="CT37" s="0"/>
      <c r="CU37" s="0"/>
      <c r="CV37" s="0"/>
      <c r="CW37" s="0"/>
      <c r="CX37" s="0"/>
      <c r="CY37" s="0"/>
      <c r="CZ37" s="0"/>
      <c r="DA37" s="0"/>
      <c r="DB37" s="0"/>
      <c r="DC37" s="0"/>
      <c r="DD37" s="0"/>
      <c r="DE37" s="0"/>
      <c r="DF37" s="0"/>
      <c r="DG37" s="0"/>
      <c r="DH37" s="0"/>
      <c r="DI37" s="0"/>
      <c r="DJ37" s="0"/>
      <c r="DK37" s="0"/>
      <c r="DL37" s="0"/>
      <c r="DM37" s="0"/>
      <c r="DN37" s="0"/>
      <c r="DO37" s="0"/>
      <c r="DP37" s="0"/>
      <c r="DQ37" s="0"/>
      <c r="DR37" s="0"/>
      <c r="DS37" s="0"/>
      <c r="DT37" s="0"/>
      <c r="DU37" s="0"/>
      <c r="DV37" s="0"/>
      <c r="DW37" s="0"/>
      <c r="DX37" s="0"/>
      <c r="DY37" s="0"/>
      <c r="DZ37" s="0"/>
      <c r="EA37" s="0"/>
      <c r="EB37" s="0"/>
      <c r="EC37" s="0"/>
      <c r="ED37" s="0"/>
      <c r="EE37" s="0"/>
      <c r="EF37" s="0"/>
      <c r="EG37" s="0"/>
      <c r="EH37" s="0"/>
      <c r="EI37" s="0"/>
      <c r="EJ37" s="0"/>
      <c r="EK37" s="0"/>
      <c r="EL37" s="0"/>
      <c r="EM37" s="0"/>
      <c r="EN37" s="0"/>
      <c r="EO37" s="0"/>
      <c r="EP37" s="0"/>
      <c r="EQ37" s="0"/>
      <c r="ER37" s="0"/>
      <c r="ES37" s="0"/>
      <c r="ET37" s="0"/>
      <c r="EU37" s="0"/>
      <c r="EV37" s="0"/>
      <c r="EW37" s="0"/>
      <c r="EX37" s="0"/>
      <c r="EY37" s="0"/>
      <c r="EZ37" s="0"/>
      <c r="FA37" s="0"/>
      <c r="FB37" s="0"/>
      <c r="FC37" s="0"/>
      <c r="FD37" s="0"/>
      <c r="FE37" s="0"/>
      <c r="FF37" s="0"/>
      <c r="FG37" s="0"/>
      <c r="FH37" s="0"/>
      <c r="FI37" s="0"/>
      <c r="FJ37" s="0"/>
      <c r="FK37" s="0"/>
      <c r="FL37" s="0"/>
      <c r="FM37" s="0"/>
      <c r="FN37" s="0"/>
      <c r="FO37" s="0"/>
      <c r="FP37" s="0"/>
      <c r="FQ37" s="0"/>
      <c r="FR37" s="0"/>
      <c r="FS37" s="0"/>
      <c r="FT37" s="0"/>
      <c r="FU37" s="0"/>
      <c r="FV37" s="0"/>
      <c r="FW37" s="0"/>
      <c r="FX37" s="0"/>
      <c r="FY37" s="0"/>
      <c r="FZ37" s="0"/>
      <c r="GA37" s="0"/>
      <c r="GB37" s="0"/>
      <c r="GC37" s="0"/>
      <c r="GD37" s="0"/>
      <c r="GE37" s="0"/>
      <c r="GF37" s="0"/>
      <c r="GG37" s="0"/>
      <c r="GH37" s="0"/>
      <c r="GI37" s="0"/>
      <c r="GJ37" s="0"/>
      <c r="GK37" s="0"/>
      <c r="GL37" s="0"/>
      <c r="GM37" s="0"/>
      <c r="GN37" s="0"/>
      <c r="GO37" s="0"/>
      <c r="GP37" s="0"/>
      <c r="GQ37" s="0"/>
      <c r="GR37" s="0"/>
      <c r="GS37" s="0"/>
      <c r="GT37" s="0"/>
      <c r="GU37" s="0"/>
      <c r="GV37" s="0"/>
      <c r="GW37" s="0"/>
      <c r="GX37" s="0"/>
      <c r="GY37" s="0"/>
      <c r="GZ37" s="0"/>
      <c r="HA37" s="0"/>
      <c r="HB37" s="0"/>
      <c r="HC37" s="0"/>
      <c r="HD37" s="0"/>
      <c r="HE37" s="0"/>
      <c r="HF37" s="0"/>
      <c r="HG37" s="0"/>
      <c r="HH37" s="0"/>
      <c r="HI37" s="0"/>
      <c r="HJ37" s="0"/>
      <c r="HK37" s="0"/>
      <c r="HL37" s="0"/>
      <c r="HM37" s="0"/>
      <c r="HN37" s="0"/>
      <c r="HO37" s="0"/>
      <c r="HP37" s="0"/>
      <c r="HQ37" s="0"/>
      <c r="HR37" s="0"/>
      <c r="HS37" s="0"/>
      <c r="HT37" s="0"/>
      <c r="HU37" s="0"/>
      <c r="HV37" s="0"/>
      <c r="HW37" s="0"/>
      <c r="HX37" s="0"/>
      <c r="HY37" s="0"/>
      <c r="HZ37" s="0"/>
      <c r="IA37" s="0"/>
      <c r="IB37" s="0"/>
      <c r="IC37" s="0"/>
      <c r="ID37" s="0"/>
      <c r="IE37" s="0"/>
      <c r="IF37" s="0"/>
      <c r="IG37" s="0"/>
      <c r="IH37" s="0"/>
      <c r="II37" s="0"/>
      <c r="IJ37" s="0"/>
      <c r="IK37" s="0"/>
      <c r="IL37" s="0"/>
      <c r="IM37" s="0"/>
      <c r="IN37" s="0"/>
      <c r="IO37" s="0"/>
      <c r="IP37" s="0"/>
      <c r="IQ37" s="0"/>
      <c r="IR37" s="0"/>
      <c r="IS37" s="0"/>
      <c r="IT37" s="0"/>
      <c r="IU37" s="0"/>
      <c r="IV37" s="0"/>
      <c r="IW37" s="0"/>
    </row>
    <row r="38" customFormat="false" ht="11.1" hidden="false" customHeight="true" outlineLevel="0" collapsed="false">
      <c r="A38" s="58" t="n">
        <f aca="false">A37+1</f>
        <v>29</v>
      </c>
      <c r="B38" s="73" t="n">
        <v>6920.68</v>
      </c>
      <c r="C38" s="52" t="n">
        <v>366525</v>
      </c>
      <c r="D38" s="57" t="n">
        <f aca="false">C38-C37</f>
        <v>-521</v>
      </c>
      <c r="E38" s="52" t="n">
        <f aca="false">C38-152000</f>
        <v>214525</v>
      </c>
      <c r="F38" s="51" t="n">
        <f aca="false">D38/$D$2</f>
        <v>-262.667002772876</v>
      </c>
      <c r="G38" s="51" t="n">
        <v>389</v>
      </c>
      <c r="H38" s="87" t="n">
        <v>0</v>
      </c>
      <c r="I38" s="51" t="n">
        <f aca="false">G38+H38</f>
        <v>389</v>
      </c>
      <c r="J38" s="81" t="n">
        <f aca="false">IF(L38&gt;0,L38,0)</f>
        <v>31.3329972271238</v>
      </c>
      <c r="K38" s="51" t="n">
        <f aca="false">I38+J38</f>
        <v>420.332997227124</v>
      </c>
      <c r="L38" s="51" t="n">
        <f aca="false">F38-(I38-W38)</f>
        <v>31.3329972271238</v>
      </c>
      <c r="M38" s="51" t="n">
        <v>206</v>
      </c>
      <c r="N38" s="51" t="n">
        <v>0</v>
      </c>
      <c r="O38" s="51" t="n">
        <v>0</v>
      </c>
      <c r="P38" s="6" t="n">
        <f aca="false">M38-(N38+O38)</f>
        <v>206</v>
      </c>
      <c r="Q38" s="51" t="n">
        <v>171</v>
      </c>
      <c r="R38" s="51" t="n">
        <v>85</v>
      </c>
      <c r="S38" s="51" t="n">
        <f aca="false">SUM(P38:R38)</f>
        <v>462</v>
      </c>
      <c r="T38" s="52" t="n">
        <f aca="false">(I38-S38)+T37</f>
        <v>1245</v>
      </c>
      <c r="U38" s="51" t="n">
        <v>29</v>
      </c>
      <c r="V38" s="51" t="n">
        <v>192</v>
      </c>
      <c r="W38" s="6" t="n">
        <f aca="false">N38+O38+S38+U38+V38</f>
        <v>683</v>
      </c>
      <c r="X38" s="51" t="n">
        <f aca="false">IF(L38&lt;0,L38*-1,0)</f>
        <v>0</v>
      </c>
      <c r="Y38" s="51" t="n">
        <f aca="false">W38+X38</f>
        <v>683</v>
      </c>
      <c r="Z38" s="55" t="n">
        <v>0</v>
      </c>
      <c r="AA38" s="82" t="n">
        <v>74</v>
      </c>
      <c r="AB38" s="57" t="n">
        <v>58</v>
      </c>
      <c r="AC38" s="58" t="n">
        <f aca="false">AC37+1</f>
        <v>29</v>
      </c>
      <c r="AD38" s="12" t="n">
        <f aca="false">IF(I38&gt;S38,I38-S38,I38-S38)</f>
        <v>-73</v>
      </c>
      <c r="AE38" s="12"/>
      <c r="AF38" s="0"/>
      <c r="AG38" s="6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/>
      <c r="BE38" s="0"/>
      <c r="BF38" s="0"/>
      <c r="BG38" s="0"/>
      <c r="BH38" s="0"/>
      <c r="BI38" s="0"/>
      <c r="BJ38" s="0"/>
      <c r="BK38" s="0"/>
      <c r="BL38" s="0"/>
      <c r="BM38" s="0"/>
      <c r="BN38" s="0"/>
      <c r="BO38" s="0"/>
      <c r="BP38" s="0"/>
      <c r="BQ38" s="0"/>
      <c r="BR38" s="0"/>
      <c r="BS38" s="0"/>
      <c r="BT38" s="0"/>
      <c r="BU38" s="0"/>
      <c r="BV38" s="0"/>
      <c r="BW38" s="0"/>
      <c r="BX38" s="0"/>
      <c r="BY38" s="0"/>
      <c r="BZ38" s="0"/>
      <c r="CA38" s="0"/>
      <c r="CB38" s="0"/>
      <c r="CC38" s="0"/>
      <c r="CD38" s="0"/>
      <c r="CE38" s="0"/>
      <c r="CF38" s="0"/>
      <c r="CG38" s="0"/>
      <c r="CH38" s="0"/>
      <c r="CI38" s="0"/>
      <c r="CJ38" s="0"/>
      <c r="CK38" s="0"/>
      <c r="CL38" s="0"/>
      <c r="CM38" s="0"/>
      <c r="CN38" s="0"/>
      <c r="CO38" s="0"/>
      <c r="CP38" s="0"/>
      <c r="CQ38" s="0"/>
      <c r="CR38" s="0"/>
      <c r="CS38" s="0"/>
      <c r="CT38" s="0"/>
      <c r="CU38" s="0"/>
      <c r="CV38" s="0"/>
      <c r="CW38" s="0"/>
      <c r="CX38" s="0"/>
      <c r="CY38" s="0"/>
      <c r="CZ38" s="0"/>
      <c r="DA38" s="0"/>
      <c r="DB38" s="0"/>
      <c r="DC38" s="0"/>
      <c r="DD38" s="0"/>
      <c r="DE38" s="0"/>
      <c r="DF38" s="0"/>
      <c r="DG38" s="0"/>
      <c r="DH38" s="0"/>
      <c r="DI38" s="0"/>
      <c r="DJ38" s="0"/>
      <c r="DK38" s="0"/>
      <c r="DL38" s="0"/>
      <c r="DM38" s="0"/>
      <c r="DN38" s="0"/>
      <c r="DO38" s="0"/>
      <c r="DP38" s="0"/>
      <c r="DQ38" s="0"/>
      <c r="DR38" s="0"/>
      <c r="DS38" s="0"/>
      <c r="DT38" s="0"/>
      <c r="DU38" s="0"/>
      <c r="DV38" s="0"/>
      <c r="DW38" s="0"/>
      <c r="DX38" s="0"/>
      <c r="DY38" s="0"/>
      <c r="DZ38" s="0"/>
      <c r="EA38" s="0"/>
      <c r="EB38" s="0"/>
      <c r="EC38" s="0"/>
      <c r="ED38" s="0"/>
      <c r="EE38" s="0"/>
      <c r="EF38" s="0"/>
      <c r="EG38" s="0"/>
      <c r="EH38" s="0"/>
      <c r="EI38" s="0"/>
      <c r="EJ38" s="0"/>
      <c r="EK38" s="0"/>
      <c r="EL38" s="0"/>
      <c r="EM38" s="0"/>
      <c r="EN38" s="0"/>
      <c r="EO38" s="0"/>
      <c r="EP38" s="0"/>
      <c r="EQ38" s="0"/>
      <c r="ER38" s="0"/>
      <c r="ES38" s="0"/>
      <c r="ET38" s="0"/>
      <c r="EU38" s="0"/>
      <c r="EV38" s="0"/>
      <c r="EW38" s="0"/>
      <c r="EX38" s="0"/>
      <c r="EY38" s="0"/>
      <c r="EZ38" s="0"/>
      <c r="FA38" s="0"/>
      <c r="FB38" s="0"/>
      <c r="FC38" s="0"/>
      <c r="FD38" s="0"/>
      <c r="FE38" s="0"/>
      <c r="FF38" s="0"/>
      <c r="FG38" s="0"/>
      <c r="FH38" s="0"/>
      <c r="FI38" s="0"/>
      <c r="FJ38" s="0"/>
      <c r="FK38" s="0"/>
      <c r="FL38" s="0"/>
      <c r="FM38" s="0"/>
      <c r="FN38" s="0"/>
      <c r="FO38" s="0"/>
      <c r="FP38" s="0"/>
      <c r="FQ38" s="0"/>
      <c r="FR38" s="0"/>
      <c r="FS38" s="0"/>
      <c r="FT38" s="0"/>
      <c r="FU38" s="0"/>
      <c r="FV38" s="0"/>
      <c r="FW38" s="0"/>
      <c r="FX38" s="0"/>
      <c r="FY38" s="0"/>
      <c r="FZ38" s="0"/>
      <c r="GA38" s="0"/>
      <c r="GB38" s="0"/>
      <c r="GC38" s="0"/>
      <c r="GD38" s="0"/>
      <c r="GE38" s="0"/>
      <c r="GF38" s="0"/>
      <c r="GG38" s="0"/>
      <c r="GH38" s="0"/>
      <c r="GI38" s="0"/>
      <c r="GJ38" s="0"/>
      <c r="GK38" s="0"/>
      <c r="GL38" s="0"/>
      <c r="GM38" s="0"/>
      <c r="GN38" s="0"/>
      <c r="GO38" s="0"/>
      <c r="GP38" s="0"/>
      <c r="GQ38" s="0"/>
      <c r="GR38" s="0"/>
      <c r="GS38" s="0"/>
      <c r="GT38" s="0"/>
      <c r="GU38" s="0"/>
      <c r="GV38" s="0"/>
      <c r="GW38" s="0"/>
      <c r="GX38" s="0"/>
      <c r="GY38" s="0"/>
      <c r="GZ38" s="0"/>
      <c r="HA38" s="0"/>
      <c r="HB38" s="0"/>
      <c r="HC38" s="0"/>
      <c r="HD38" s="0"/>
      <c r="HE38" s="0"/>
      <c r="HF38" s="0"/>
      <c r="HG38" s="0"/>
      <c r="HH38" s="0"/>
      <c r="HI38" s="0"/>
      <c r="HJ38" s="0"/>
      <c r="HK38" s="0"/>
      <c r="HL38" s="0"/>
      <c r="HM38" s="0"/>
      <c r="HN38" s="0"/>
      <c r="HO38" s="0"/>
      <c r="HP38" s="0"/>
      <c r="HQ38" s="0"/>
      <c r="HR38" s="0"/>
      <c r="HS38" s="0"/>
      <c r="HT38" s="0"/>
      <c r="HU38" s="0"/>
      <c r="HV38" s="0"/>
      <c r="HW38" s="0"/>
      <c r="HX38" s="0"/>
      <c r="HY38" s="0"/>
      <c r="HZ38" s="0"/>
      <c r="IA38" s="0"/>
      <c r="IB38" s="0"/>
      <c r="IC38" s="0"/>
      <c r="ID38" s="0"/>
      <c r="IE38" s="0"/>
      <c r="IF38" s="0"/>
      <c r="IG38" s="0"/>
      <c r="IH38" s="0"/>
      <c r="II38" s="0"/>
      <c r="IJ38" s="0"/>
      <c r="IK38" s="0"/>
      <c r="IL38" s="0"/>
      <c r="IM38" s="0"/>
      <c r="IN38" s="0"/>
      <c r="IO38" s="0"/>
      <c r="IP38" s="0"/>
      <c r="IQ38" s="0"/>
      <c r="IR38" s="0"/>
      <c r="IS38" s="0"/>
      <c r="IT38" s="0"/>
      <c r="IU38" s="0"/>
      <c r="IV38" s="0"/>
      <c r="IW38" s="0"/>
    </row>
    <row r="39" customFormat="false" ht="11.1" hidden="false" customHeight="true" outlineLevel="0" collapsed="false">
      <c r="A39" s="58" t="n">
        <v>30</v>
      </c>
      <c r="B39" s="73" t="n">
        <v>6920.54</v>
      </c>
      <c r="C39" s="52" t="n">
        <v>365918</v>
      </c>
      <c r="D39" s="57" t="n">
        <f aca="false">C39-C38</f>
        <v>-607</v>
      </c>
      <c r="E39" s="52" t="n">
        <f aca="false">C39-152000</f>
        <v>213918</v>
      </c>
      <c r="F39" s="51" t="n">
        <f aca="false">D39/$D$2</f>
        <v>-306.024703806403</v>
      </c>
      <c r="G39" s="51" t="n">
        <v>423</v>
      </c>
      <c r="H39" s="87" t="n">
        <v>0</v>
      </c>
      <c r="I39" s="51" t="n">
        <f aca="false">G39+H39</f>
        <v>423</v>
      </c>
      <c r="J39" s="81" t="n">
        <f aca="false">IF(L39&gt;0,L39,0)</f>
        <v>0</v>
      </c>
      <c r="K39" s="51" t="n">
        <f aca="false">I39+J39</f>
        <v>423</v>
      </c>
      <c r="L39" s="51" t="n">
        <f aca="false">F39-(I39-W39)</f>
        <v>-80.0247038064028</v>
      </c>
      <c r="M39" s="51" t="n">
        <v>201</v>
      </c>
      <c r="N39" s="51" t="n">
        <v>0</v>
      </c>
      <c r="O39" s="51" t="n">
        <v>0</v>
      </c>
      <c r="P39" s="6" t="n">
        <f aca="false">M39-(N39+O39)</f>
        <v>201</v>
      </c>
      <c r="Q39" s="51" t="n">
        <v>171</v>
      </c>
      <c r="R39" s="51" t="n">
        <v>84</v>
      </c>
      <c r="S39" s="51" t="n">
        <f aca="false">SUM(P39:R39)</f>
        <v>456</v>
      </c>
      <c r="T39" s="52" t="n">
        <f aca="false">(I39-S39)+T38</f>
        <v>1212</v>
      </c>
      <c r="U39" s="51" t="n">
        <v>0</v>
      </c>
      <c r="V39" s="51" t="n">
        <v>193</v>
      </c>
      <c r="W39" s="6" t="n">
        <f aca="false">N39+O39+S39+U39+V39</f>
        <v>649</v>
      </c>
      <c r="X39" s="51" t="n">
        <f aca="false">IF(L39&lt;0,L39*-1,0)</f>
        <v>80.0247038064028</v>
      </c>
      <c r="Y39" s="51" t="n">
        <f aca="false">W39+X39</f>
        <v>729.024703806403</v>
      </c>
      <c r="Z39" s="55" t="n">
        <v>0.02</v>
      </c>
      <c r="AA39" s="82" t="n">
        <v>81</v>
      </c>
      <c r="AB39" s="57" t="n">
        <v>56</v>
      </c>
      <c r="AC39" s="58" t="n">
        <v>30</v>
      </c>
      <c r="AD39" s="12" t="n">
        <f aca="false">IF(I39&gt;S39,I39-S39,I39-S39)</f>
        <v>-33</v>
      </c>
      <c r="AE39" s="12"/>
      <c r="AF39" s="0"/>
      <c r="AG39" s="6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/>
      <c r="BE39" s="0"/>
      <c r="BF39" s="0"/>
      <c r="BG39" s="0"/>
      <c r="BH39" s="0"/>
      <c r="BI39" s="0"/>
      <c r="BJ39" s="0"/>
      <c r="BK39" s="0"/>
      <c r="BL39" s="0"/>
      <c r="BM39" s="0"/>
      <c r="BN39" s="0"/>
      <c r="BO39" s="0"/>
      <c r="BP39" s="0"/>
      <c r="BQ39" s="0"/>
      <c r="BR39" s="0"/>
      <c r="BS39" s="0"/>
      <c r="BT39" s="0"/>
      <c r="BU39" s="0"/>
      <c r="BV39" s="0"/>
      <c r="BW39" s="0"/>
      <c r="BX39" s="0"/>
      <c r="BY39" s="0"/>
      <c r="BZ39" s="0"/>
      <c r="CA39" s="0"/>
      <c r="CB39" s="0"/>
      <c r="CC39" s="0"/>
      <c r="CD39" s="0"/>
      <c r="CE39" s="0"/>
      <c r="CF39" s="0"/>
      <c r="CG39" s="0"/>
      <c r="CH39" s="0"/>
      <c r="CI39" s="0"/>
      <c r="CJ39" s="0"/>
      <c r="CK39" s="0"/>
      <c r="CL39" s="0"/>
      <c r="CM39" s="0"/>
      <c r="CN39" s="0"/>
      <c r="CO39" s="0"/>
      <c r="CP39" s="0"/>
      <c r="CQ39" s="0"/>
      <c r="CR39" s="0"/>
      <c r="CS39" s="0"/>
      <c r="CT39" s="0"/>
      <c r="CU39" s="0"/>
      <c r="CV39" s="0"/>
      <c r="CW39" s="0"/>
      <c r="CX39" s="0"/>
      <c r="CY39" s="0"/>
      <c r="CZ39" s="0"/>
      <c r="DA39" s="0"/>
      <c r="DB39" s="0"/>
      <c r="DC39" s="0"/>
      <c r="DD39" s="0"/>
      <c r="DE39" s="0"/>
      <c r="DF39" s="0"/>
      <c r="DG39" s="0"/>
      <c r="DH39" s="0"/>
      <c r="DI39" s="0"/>
      <c r="DJ39" s="0"/>
      <c r="DK39" s="0"/>
      <c r="DL39" s="0"/>
      <c r="DM39" s="0"/>
      <c r="DN39" s="0"/>
      <c r="DO39" s="0"/>
      <c r="DP39" s="0"/>
      <c r="DQ39" s="0"/>
      <c r="DR39" s="0"/>
      <c r="DS39" s="0"/>
      <c r="DT39" s="0"/>
      <c r="DU39" s="0"/>
      <c r="DV39" s="0"/>
      <c r="DW39" s="0"/>
      <c r="DX39" s="0"/>
      <c r="DY39" s="0"/>
      <c r="DZ39" s="0"/>
      <c r="EA39" s="0"/>
      <c r="EB39" s="0"/>
      <c r="EC39" s="0"/>
      <c r="ED39" s="0"/>
      <c r="EE39" s="0"/>
      <c r="EF39" s="0"/>
      <c r="EG39" s="0"/>
      <c r="EH39" s="0"/>
      <c r="EI39" s="0"/>
      <c r="EJ39" s="0"/>
      <c r="EK39" s="0"/>
      <c r="EL39" s="0"/>
      <c r="EM39" s="0"/>
      <c r="EN39" s="0"/>
      <c r="EO39" s="0"/>
      <c r="EP39" s="0"/>
      <c r="EQ39" s="0"/>
      <c r="ER39" s="0"/>
      <c r="ES39" s="0"/>
      <c r="ET39" s="0"/>
      <c r="EU39" s="0"/>
      <c r="EV39" s="0"/>
      <c r="EW39" s="0"/>
      <c r="EX39" s="0"/>
      <c r="EY39" s="0"/>
      <c r="EZ39" s="0"/>
      <c r="FA39" s="0"/>
      <c r="FB39" s="0"/>
      <c r="FC39" s="0"/>
      <c r="FD39" s="0"/>
      <c r="FE39" s="0"/>
      <c r="FF39" s="0"/>
      <c r="FG39" s="0"/>
      <c r="FH39" s="0"/>
      <c r="FI39" s="0"/>
      <c r="FJ39" s="0"/>
      <c r="FK39" s="0"/>
      <c r="FL39" s="0"/>
      <c r="FM39" s="0"/>
      <c r="FN39" s="0"/>
      <c r="FO39" s="0"/>
      <c r="FP39" s="0"/>
      <c r="FQ39" s="0"/>
      <c r="FR39" s="0"/>
      <c r="FS39" s="0"/>
      <c r="FT39" s="0"/>
      <c r="FU39" s="0"/>
      <c r="FV39" s="0"/>
      <c r="FW39" s="0"/>
      <c r="FX39" s="0"/>
      <c r="FY39" s="0"/>
      <c r="FZ39" s="0"/>
      <c r="GA39" s="0"/>
      <c r="GB39" s="0"/>
      <c r="GC39" s="0"/>
      <c r="GD39" s="0"/>
      <c r="GE39" s="0"/>
      <c r="GF39" s="0"/>
      <c r="GG39" s="0"/>
      <c r="GH39" s="0"/>
      <c r="GI39" s="0"/>
      <c r="GJ39" s="0"/>
      <c r="GK39" s="0"/>
      <c r="GL39" s="0"/>
      <c r="GM39" s="0"/>
      <c r="GN39" s="0"/>
      <c r="GO39" s="0"/>
      <c r="GP39" s="0"/>
      <c r="GQ39" s="0"/>
      <c r="GR39" s="0"/>
      <c r="GS39" s="0"/>
      <c r="GT39" s="0"/>
      <c r="GU39" s="0"/>
      <c r="GV39" s="0"/>
      <c r="GW39" s="0"/>
      <c r="GX39" s="0"/>
      <c r="GY39" s="0"/>
      <c r="GZ39" s="0"/>
      <c r="HA39" s="0"/>
      <c r="HB39" s="0"/>
      <c r="HC39" s="0"/>
      <c r="HD39" s="0"/>
      <c r="HE39" s="0"/>
      <c r="HF39" s="0"/>
      <c r="HG39" s="0"/>
      <c r="HH39" s="0"/>
      <c r="HI39" s="0"/>
      <c r="HJ39" s="0"/>
      <c r="HK39" s="0"/>
      <c r="HL39" s="0"/>
      <c r="HM39" s="0"/>
      <c r="HN39" s="0"/>
      <c r="HO39" s="0"/>
      <c r="HP39" s="0"/>
      <c r="HQ39" s="0"/>
      <c r="HR39" s="0"/>
      <c r="HS39" s="0"/>
      <c r="HT39" s="0"/>
      <c r="HU39" s="0"/>
      <c r="HV39" s="0"/>
      <c r="HW39" s="0"/>
      <c r="HX39" s="0"/>
      <c r="HY39" s="0"/>
      <c r="HZ39" s="0"/>
      <c r="IA39" s="0"/>
      <c r="IB39" s="0"/>
      <c r="IC39" s="0"/>
      <c r="ID39" s="0"/>
      <c r="IE39" s="0"/>
      <c r="IF39" s="0"/>
      <c r="IG39" s="0"/>
      <c r="IH39" s="0"/>
      <c r="II39" s="0"/>
      <c r="IJ39" s="0"/>
      <c r="IK39" s="0"/>
      <c r="IL39" s="0"/>
      <c r="IM39" s="0"/>
      <c r="IN39" s="0"/>
      <c r="IO39" s="0"/>
      <c r="IP39" s="0"/>
      <c r="IQ39" s="0"/>
      <c r="IR39" s="0"/>
      <c r="IS39" s="0"/>
      <c r="IT39" s="0"/>
      <c r="IU39" s="0"/>
      <c r="IV39" s="0"/>
      <c r="IW39" s="0"/>
    </row>
    <row r="40" customFormat="false" ht="11.25" hidden="false" customHeight="true" outlineLevel="0" collapsed="false">
      <c r="A40" s="58" t="n">
        <v>31</v>
      </c>
      <c r="B40" s="73" t="n">
        <v>6920.46</v>
      </c>
      <c r="C40" s="52" t="n">
        <v>365570</v>
      </c>
      <c r="D40" s="57" t="n">
        <f aca="false">C40-C39</f>
        <v>-348</v>
      </c>
      <c r="E40" s="52" t="n">
        <f aca="false">C40-152000</f>
        <v>213570</v>
      </c>
      <c r="F40" s="51" t="n">
        <f aca="false">D40/$D$2</f>
        <v>-175.44744139148</v>
      </c>
      <c r="G40" s="51" t="n">
        <v>414</v>
      </c>
      <c r="H40" s="87" t="n">
        <v>0</v>
      </c>
      <c r="I40" s="51" t="n">
        <f aca="false">G40+H40</f>
        <v>414</v>
      </c>
      <c r="J40" s="81" t="n">
        <f aca="false">IF(L40&gt;0,L40,0)</f>
        <v>66.5525586085203</v>
      </c>
      <c r="K40" s="51" t="n">
        <f aca="false">I40+J40</f>
        <v>480.55255860852</v>
      </c>
      <c r="L40" s="51" t="n">
        <f aca="false">F40-(I40-W40)</f>
        <v>66.5525586085203</v>
      </c>
      <c r="M40" s="51" t="n">
        <v>201</v>
      </c>
      <c r="N40" s="51" t="n">
        <v>0</v>
      </c>
      <c r="O40" s="51" t="n">
        <v>0</v>
      </c>
      <c r="P40" s="6" t="n">
        <f aca="false">M40-(N40+O40)</f>
        <v>201</v>
      </c>
      <c r="Q40" s="51" t="n">
        <v>171</v>
      </c>
      <c r="R40" s="51" t="n">
        <v>82</v>
      </c>
      <c r="S40" s="51" t="n">
        <f aca="false">SUM(P40:R40)</f>
        <v>454</v>
      </c>
      <c r="T40" s="52" t="n">
        <f aca="false">(I40-S40)+T39</f>
        <v>1172</v>
      </c>
      <c r="U40" s="51" t="n">
        <v>12</v>
      </c>
      <c r="V40" s="51" t="n">
        <v>190</v>
      </c>
      <c r="W40" s="6" t="n">
        <f aca="false">N40+O40+S40+U40+V40</f>
        <v>656</v>
      </c>
      <c r="X40" s="51" t="n">
        <f aca="false">IF(L40&lt;0,L40*-1,0)</f>
        <v>0</v>
      </c>
      <c r="Y40" s="51" t="n">
        <f aca="false">W40+X40</f>
        <v>656</v>
      </c>
      <c r="Z40" s="55" t="n">
        <v>0</v>
      </c>
      <c r="AA40" s="82" t="n">
        <v>84</v>
      </c>
      <c r="AB40" s="57" t="n">
        <v>57</v>
      </c>
      <c r="AC40" s="58" t="n">
        <v>31</v>
      </c>
      <c r="AD40" s="12" t="n">
        <f aca="false">IF(I40&gt;S40,I40-S40,I40-S40)</f>
        <v>-40</v>
      </c>
      <c r="AE40" s="104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  <c r="AU40" s="0"/>
      <c r="AV40" s="0"/>
      <c r="AW40" s="0"/>
      <c r="AX40" s="0"/>
      <c r="AY40" s="0"/>
      <c r="AZ40" s="0"/>
      <c r="BA40" s="0"/>
      <c r="BB40" s="0"/>
      <c r="BC40" s="0"/>
      <c r="BD40" s="0"/>
      <c r="BE40" s="0"/>
      <c r="BF40" s="0"/>
      <c r="BG40" s="0"/>
      <c r="BH40" s="0"/>
      <c r="BI40" s="0"/>
      <c r="BJ40" s="0"/>
      <c r="BK40" s="0"/>
      <c r="BL40" s="0"/>
      <c r="BM40" s="0"/>
      <c r="BN40" s="0"/>
      <c r="BO40" s="0"/>
      <c r="BP40" s="0"/>
      <c r="BQ40" s="0"/>
      <c r="BR40" s="0"/>
      <c r="BS40" s="0"/>
      <c r="BT40" s="0"/>
      <c r="BU40" s="0"/>
      <c r="BV40" s="0"/>
      <c r="BW40" s="0"/>
      <c r="BX40" s="0"/>
      <c r="BY40" s="0"/>
      <c r="BZ40" s="0"/>
      <c r="CA40" s="0"/>
      <c r="CB40" s="0"/>
      <c r="CC40" s="0"/>
      <c r="CD40" s="0"/>
      <c r="CE40" s="0"/>
      <c r="CF40" s="0"/>
      <c r="CG40" s="0"/>
      <c r="CH40" s="0"/>
      <c r="CI40" s="0"/>
      <c r="CJ40" s="0"/>
      <c r="CK40" s="0"/>
      <c r="CL40" s="0"/>
      <c r="CM40" s="0"/>
      <c r="CN40" s="0"/>
      <c r="CO40" s="0"/>
      <c r="CP40" s="0"/>
      <c r="CQ40" s="0"/>
      <c r="CR40" s="0"/>
      <c r="CS40" s="0"/>
      <c r="CT40" s="0"/>
      <c r="CU40" s="0"/>
      <c r="CV40" s="0"/>
      <c r="CW40" s="0"/>
      <c r="CX40" s="0"/>
      <c r="CY40" s="0"/>
      <c r="CZ40" s="0"/>
      <c r="DA40" s="0"/>
      <c r="DB40" s="0"/>
      <c r="DC40" s="0"/>
      <c r="DD40" s="0"/>
      <c r="DE40" s="0"/>
      <c r="DF40" s="0"/>
      <c r="DG40" s="0"/>
      <c r="DH40" s="0"/>
      <c r="DI40" s="0"/>
      <c r="DJ40" s="0"/>
      <c r="DK40" s="0"/>
      <c r="DL40" s="0"/>
      <c r="DM40" s="0"/>
      <c r="DN40" s="0"/>
      <c r="DO40" s="0"/>
      <c r="DP40" s="0"/>
      <c r="DQ40" s="0"/>
      <c r="DR40" s="0"/>
      <c r="DS40" s="0"/>
      <c r="DT40" s="0"/>
      <c r="DU40" s="0"/>
      <c r="DV40" s="0"/>
      <c r="DW40" s="0"/>
      <c r="DX40" s="0"/>
      <c r="DY40" s="0"/>
      <c r="DZ40" s="0"/>
      <c r="EA40" s="0"/>
      <c r="EB40" s="0"/>
      <c r="EC40" s="0"/>
      <c r="ED40" s="0"/>
      <c r="EE40" s="0"/>
      <c r="EF40" s="0"/>
      <c r="EG40" s="0"/>
      <c r="EH40" s="0"/>
      <c r="EI40" s="0"/>
      <c r="EJ40" s="0"/>
      <c r="EK40" s="0"/>
      <c r="EL40" s="0"/>
      <c r="EM40" s="0"/>
      <c r="EN40" s="0"/>
      <c r="EO40" s="0"/>
      <c r="EP40" s="0"/>
      <c r="EQ40" s="0"/>
      <c r="ER40" s="0"/>
      <c r="ES40" s="0"/>
      <c r="ET40" s="0"/>
      <c r="EU40" s="0"/>
      <c r="EV40" s="0"/>
      <c r="EW40" s="0"/>
      <c r="EX40" s="0"/>
      <c r="EY40" s="0"/>
      <c r="EZ40" s="0"/>
      <c r="FA40" s="0"/>
      <c r="FB40" s="0"/>
      <c r="FC40" s="0"/>
      <c r="FD40" s="0"/>
      <c r="FE40" s="0"/>
      <c r="FF40" s="0"/>
      <c r="FG40" s="0"/>
      <c r="FH40" s="0"/>
      <c r="FI40" s="0"/>
      <c r="FJ40" s="0"/>
      <c r="FK40" s="0"/>
      <c r="FL40" s="0"/>
      <c r="FM40" s="0"/>
      <c r="FN40" s="0"/>
      <c r="FO40" s="0"/>
      <c r="FP40" s="0"/>
      <c r="FQ40" s="0"/>
      <c r="FR40" s="0"/>
      <c r="FS40" s="0"/>
      <c r="FT40" s="0"/>
      <c r="FU40" s="0"/>
      <c r="FV40" s="0"/>
      <c r="FW40" s="0"/>
      <c r="FX40" s="0"/>
      <c r="FY40" s="0"/>
      <c r="FZ40" s="0"/>
      <c r="GA40" s="0"/>
      <c r="GB40" s="0"/>
      <c r="GC40" s="0"/>
      <c r="GD40" s="0"/>
      <c r="GE40" s="0"/>
      <c r="GF40" s="0"/>
      <c r="GG40" s="0"/>
      <c r="GH40" s="0"/>
      <c r="GI40" s="0"/>
      <c r="GJ40" s="0"/>
      <c r="GK40" s="0"/>
      <c r="GL40" s="0"/>
      <c r="GM40" s="0"/>
      <c r="GN40" s="0"/>
      <c r="GO40" s="0"/>
      <c r="GP40" s="0"/>
      <c r="GQ40" s="0"/>
      <c r="GR40" s="0"/>
      <c r="GS40" s="0"/>
      <c r="GT40" s="0"/>
      <c r="GU40" s="0"/>
      <c r="GV40" s="0"/>
      <c r="GW40" s="0"/>
      <c r="GX40" s="0"/>
      <c r="GY40" s="0"/>
      <c r="GZ40" s="0"/>
      <c r="HA40" s="0"/>
      <c r="HB40" s="0"/>
      <c r="HC40" s="0"/>
      <c r="HD40" s="0"/>
      <c r="HE40" s="0"/>
      <c r="HF40" s="0"/>
      <c r="HG40" s="0"/>
      <c r="HH40" s="0"/>
      <c r="HI40" s="0"/>
      <c r="HJ40" s="0"/>
      <c r="HK40" s="0"/>
      <c r="HL40" s="0"/>
      <c r="HM40" s="0"/>
      <c r="HN40" s="0"/>
      <c r="HO40" s="0"/>
      <c r="HP40" s="0"/>
      <c r="HQ40" s="0"/>
      <c r="HR40" s="0"/>
      <c r="HS40" s="0"/>
      <c r="HT40" s="0"/>
      <c r="HU40" s="0"/>
      <c r="HV40" s="0"/>
      <c r="HW40" s="0"/>
      <c r="HX40" s="0"/>
      <c r="HY40" s="0"/>
      <c r="HZ40" s="0"/>
      <c r="IA40" s="0"/>
      <c r="IB40" s="0"/>
      <c r="IC40" s="0"/>
      <c r="ID40" s="0"/>
      <c r="IE40" s="0"/>
      <c r="IF40" s="0"/>
      <c r="IG40" s="0"/>
      <c r="IH40" s="0"/>
      <c r="II40" s="0"/>
      <c r="IJ40" s="0"/>
      <c r="IK40" s="0"/>
      <c r="IL40" s="0"/>
      <c r="IM40" s="0"/>
      <c r="IN40" s="0"/>
      <c r="IO40" s="0"/>
      <c r="IP40" s="0"/>
      <c r="IQ40" s="0"/>
      <c r="IR40" s="0"/>
      <c r="IS40" s="0"/>
      <c r="IT40" s="0"/>
      <c r="IU40" s="0"/>
      <c r="IV40" s="0"/>
      <c r="IW40" s="0"/>
    </row>
    <row r="41" customFormat="false" ht="3" hidden="false" customHeight="true" outlineLevel="0" collapsed="false">
      <c r="A41" s="74"/>
      <c r="B41" s="74"/>
      <c r="C41" s="76"/>
      <c r="D41" s="74"/>
      <c r="E41" s="76"/>
      <c r="F41" s="74"/>
      <c r="G41" s="74"/>
      <c r="H41" s="94"/>
      <c r="I41" s="74"/>
      <c r="J41" s="74"/>
      <c r="K41" s="74"/>
      <c r="L41" s="74"/>
      <c r="M41" s="74"/>
      <c r="N41" s="74"/>
      <c r="O41" s="74" t="n">
        <v>0</v>
      </c>
      <c r="P41" s="74"/>
      <c r="Q41" s="74"/>
      <c r="R41" s="74"/>
      <c r="S41" s="74"/>
      <c r="T41" s="76"/>
      <c r="U41" s="74"/>
      <c r="V41" s="74"/>
      <c r="W41" s="74"/>
      <c r="X41" s="74"/>
      <c r="Y41" s="74"/>
      <c r="Z41" s="170" t="n">
        <v>0</v>
      </c>
      <c r="AA41" s="79"/>
      <c r="AB41" s="79"/>
      <c r="AC41" s="80"/>
      <c r="AD41" s="91"/>
      <c r="AE41" s="91"/>
      <c r="AF41" s="92"/>
    </row>
    <row r="42" customFormat="false" ht="11.1" hidden="false" customHeight="true" outlineLevel="0" collapsed="false">
      <c r="A42" s="51" t="s">
        <v>44</v>
      </c>
      <c r="B42" s="51"/>
      <c r="C42" s="52"/>
      <c r="D42" s="52"/>
      <c r="E42" s="52"/>
      <c r="F42" s="52" t="n">
        <f aca="false">SUM(F10:F40)</f>
        <v>-5929.92185530628</v>
      </c>
      <c r="G42" s="52" t="n">
        <f aca="false">SUM(G10:G40)</f>
        <v>15866</v>
      </c>
      <c r="H42" s="87" t="n">
        <f aca="false">SUM(H10:H40)</f>
        <v>0</v>
      </c>
      <c r="I42" s="52" t="n">
        <f aca="false">SUM(I10:I40)</f>
        <v>15866</v>
      </c>
      <c r="J42" s="52" t="n">
        <f aca="false">SUM(J10:J40)</f>
        <v>1086.46836400302</v>
      </c>
      <c r="K42" s="52" t="n">
        <f aca="false">SUM(K10:K40)</f>
        <v>16952.468364003</v>
      </c>
      <c r="L42" s="52" t="n">
        <f aca="false">SUM(L10:L40)</f>
        <v>-829.921855306277</v>
      </c>
      <c r="M42" s="52" t="n">
        <f aca="false">SUM(M10:M40)</f>
        <v>6792</v>
      </c>
      <c r="N42" s="52" t="n">
        <f aca="false">SUM(N10:N40)</f>
        <v>0</v>
      </c>
      <c r="O42" s="52" t="n">
        <f aca="false">SUM(O10:O40)</f>
        <v>0</v>
      </c>
      <c r="P42" s="52" t="n">
        <f aca="false">SUM(P10:P40)</f>
        <v>6792</v>
      </c>
      <c r="Q42" s="52" t="n">
        <f aca="false">SUM(Q10:Q40)</f>
        <v>5124</v>
      </c>
      <c r="R42" s="52" t="n">
        <f aca="false">SUM(R10:R40)</f>
        <v>2778</v>
      </c>
      <c r="S42" s="52" t="n">
        <f aca="false">SUM(S10:S40)</f>
        <v>14694</v>
      </c>
      <c r="T42" s="52"/>
      <c r="U42" s="52" t="n">
        <f aca="false">SUM(U10:U40)</f>
        <v>271</v>
      </c>
      <c r="V42" s="52" t="n">
        <f aca="false">SUM(V10:V40)</f>
        <v>6001</v>
      </c>
      <c r="W42" s="52" t="n">
        <f aca="false">SUM(W10:W40)</f>
        <v>20966</v>
      </c>
      <c r="X42" s="52" t="n">
        <f aca="false">SUM(X10:X40)</f>
        <v>1916.3902193093</v>
      </c>
      <c r="Y42" s="52" t="n">
        <f aca="false">SUM(Y10:Y40)</f>
        <v>22882.3902193093</v>
      </c>
      <c r="Z42" s="55" t="n">
        <f aca="false">SUM(Z10:Z40)</f>
        <v>1.32</v>
      </c>
      <c r="AA42" s="57" t="n">
        <f aca="false">AVERAGE(AA10:AA40)</f>
        <v>83.6774193548387</v>
      </c>
      <c r="AB42" s="57" t="n">
        <f aca="false">AVERAGE(AB10:AB40)</f>
        <v>51.9354838709677</v>
      </c>
      <c r="AC42" s="58" t="s">
        <v>71</v>
      </c>
      <c r="AD42" s="91"/>
      <c r="AE42" s="91"/>
      <c r="AF42" s="92"/>
    </row>
    <row r="43" customFormat="false" ht="11.1" hidden="false" customHeight="true" outlineLevel="0" collapsed="false">
      <c r="A43" s="51" t="s">
        <v>46</v>
      </c>
      <c r="B43" s="51"/>
      <c r="C43" s="52"/>
      <c r="D43" s="52" t="n">
        <f aca="false">SUM(D10:D40)</f>
        <v>-11762</v>
      </c>
      <c r="E43" s="52"/>
      <c r="F43" s="52" t="n">
        <f aca="false">F42*$D$2</f>
        <v>-11762</v>
      </c>
      <c r="G43" s="52" t="n">
        <f aca="false">G42*$D$2</f>
        <v>31470.211</v>
      </c>
      <c r="H43" s="87" t="n">
        <f aca="false">H42*$D$2</f>
        <v>0</v>
      </c>
      <c r="I43" s="52" t="n">
        <f aca="false">I42*$D$2</f>
        <v>31470.211</v>
      </c>
      <c r="J43" s="52" t="n">
        <f aca="false">J42*$D$2</f>
        <v>2155.01</v>
      </c>
      <c r="K43" s="52" t="n">
        <f aca="false">K42*$D$2</f>
        <v>33625.221</v>
      </c>
      <c r="L43" s="52" t="n">
        <f aca="false">L42*$D$2</f>
        <v>-1646.15</v>
      </c>
      <c r="M43" s="52" t="n">
        <f aca="false">M42*$D$2</f>
        <v>13471.932</v>
      </c>
      <c r="N43" s="52" t="n">
        <f aca="false">N42*$D$2</f>
        <v>0</v>
      </c>
      <c r="O43" s="52" t="n">
        <f aca="false">O42*$D$2</f>
        <v>0</v>
      </c>
      <c r="P43" s="52" t="n">
        <f aca="false">P42*$D$2</f>
        <v>13471.932</v>
      </c>
      <c r="Q43" s="52" t="n">
        <f aca="false">Q42*$D$2</f>
        <v>10163.454</v>
      </c>
      <c r="R43" s="52" t="n">
        <f aca="false">R42*$D$2</f>
        <v>5510.163</v>
      </c>
      <c r="S43" s="52" t="n">
        <f aca="false">S42*$D$2</f>
        <v>29145.549</v>
      </c>
      <c r="T43" s="52"/>
      <c r="U43" s="52" t="n">
        <f aca="false">U42*$D$2</f>
        <v>537.5285</v>
      </c>
      <c r="V43" s="52" t="n">
        <f aca="false">V42*$D$2</f>
        <v>11902.9835</v>
      </c>
      <c r="W43" s="52" t="n">
        <f aca="false">W42*$D$2</f>
        <v>41586.061</v>
      </c>
      <c r="X43" s="52" t="n">
        <f aca="false">X42*$D$2</f>
        <v>3801.16</v>
      </c>
      <c r="Y43" s="52" t="n">
        <f aca="false">Y42*$D$2</f>
        <v>45387.221</v>
      </c>
      <c r="Z43" s="55"/>
      <c r="AA43" s="57" t="n">
        <f aca="false">MAX(AA10:AA40)</f>
        <v>92</v>
      </c>
      <c r="AB43" s="57" t="n">
        <f aca="false">MAX(AB10:AB40)</f>
        <v>59</v>
      </c>
      <c r="AC43" s="58" t="s">
        <v>47</v>
      </c>
      <c r="AD43" s="91"/>
      <c r="AE43" s="91"/>
      <c r="AF43" s="92"/>
    </row>
    <row r="44" customFormat="false" ht="3" hidden="false" customHeight="true" outlineLevel="0" collapsed="false">
      <c r="A44" s="74"/>
      <c r="B44" s="74"/>
      <c r="C44" s="76"/>
      <c r="D44" s="76"/>
      <c r="E44" s="76"/>
      <c r="F44" s="76"/>
      <c r="G44" s="76"/>
      <c r="H44" s="94"/>
      <c r="I44" s="76"/>
      <c r="J44" s="76"/>
      <c r="K44" s="76"/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76"/>
      <c r="W44" s="76"/>
      <c r="X44" s="76"/>
      <c r="Y44" s="76"/>
      <c r="Z44" s="55"/>
      <c r="AA44" s="57"/>
      <c r="AB44" s="57"/>
      <c r="AC44" s="58"/>
      <c r="AD44" s="91"/>
      <c r="AE44" s="91"/>
      <c r="AF44" s="92"/>
    </row>
    <row r="45" customFormat="false" ht="11.1" hidden="false" customHeight="true" outlineLevel="0" collapsed="false">
      <c r="A45" s="51" t="s">
        <v>48</v>
      </c>
      <c r="B45" s="51"/>
      <c r="C45" s="52"/>
      <c r="D45" s="52"/>
      <c r="E45" s="52"/>
      <c r="F45" s="52" t="n">
        <f aca="false">F7+F42</f>
        <v>37549.7857322914</v>
      </c>
      <c r="G45" s="52" t="n">
        <f aca="false">G7+G42</f>
        <v>178467</v>
      </c>
      <c r="H45" s="87" t="n">
        <f aca="false">H7+H42</f>
        <v>12679</v>
      </c>
      <c r="I45" s="52" t="n">
        <f aca="false">I7+I42</f>
        <v>191146</v>
      </c>
      <c r="J45" s="52" t="n">
        <f aca="false">J7+J42</f>
        <v>44253.2114948324</v>
      </c>
      <c r="K45" s="52" t="n">
        <f aca="false">K7+K42</f>
        <v>235399.211494832</v>
      </c>
      <c r="L45" s="52" t="n">
        <f aca="false">L7+L42</f>
        <v>41532.7857322914</v>
      </c>
      <c r="M45" s="52" t="n">
        <f aca="false">M7+M42</f>
        <v>19747</v>
      </c>
      <c r="N45" s="52" t="n">
        <f aca="false">N7+N42</f>
        <v>0</v>
      </c>
      <c r="O45" s="52" t="n">
        <f aca="false">O7+O42</f>
        <v>0</v>
      </c>
      <c r="P45" s="52" t="n">
        <f aca="false">P7+P42</f>
        <v>19747</v>
      </c>
      <c r="Q45" s="52" t="n">
        <f aca="false">Q7+Q42</f>
        <v>15388</v>
      </c>
      <c r="R45" s="52" t="n">
        <f aca="false">R7+R42</f>
        <v>8232</v>
      </c>
      <c r="S45" s="52" t="n">
        <f aca="false">S7+S42</f>
        <v>43367</v>
      </c>
      <c r="T45" s="172" t="n">
        <f aca="false">T40</f>
        <v>1172</v>
      </c>
      <c r="U45" s="52" t="n">
        <f aca="false">U7+U42</f>
        <v>547</v>
      </c>
      <c r="V45" s="52" t="n">
        <f aca="false">V7+V42</f>
        <v>151215</v>
      </c>
      <c r="W45" s="52" t="n">
        <f aca="false">W7+W42</f>
        <v>195129</v>
      </c>
      <c r="X45" s="52" t="n">
        <f aca="false">X7+X42</f>
        <v>2720.42576254096</v>
      </c>
      <c r="Y45" s="52" t="n">
        <f aca="false">Y7+Y42</f>
        <v>197849.425762541</v>
      </c>
      <c r="Z45" s="55"/>
      <c r="AA45" s="57" t="n">
        <f aca="false">MIN(AA10:AA40)</f>
        <v>73</v>
      </c>
      <c r="AB45" s="57" t="n">
        <f aca="false">MIN(AB10:AB40)</f>
        <v>46</v>
      </c>
      <c r="AC45" s="58" t="s">
        <v>49</v>
      </c>
      <c r="AD45" s="91"/>
      <c r="AE45" s="91"/>
      <c r="AF45" s="92"/>
    </row>
    <row r="46" customFormat="false" ht="11.1" hidden="false" customHeight="true" outlineLevel="0" collapsed="false">
      <c r="A46" s="51" t="s">
        <v>50</v>
      </c>
      <c r="B46" s="51"/>
      <c r="C46" s="52"/>
      <c r="D46" s="52"/>
      <c r="E46" s="52"/>
      <c r="F46" s="52" t="n">
        <f aca="false">F45*$D$2</f>
        <v>74480</v>
      </c>
      <c r="G46" s="52" t="n">
        <f aca="false">G45*$D$2</f>
        <v>353989.2945</v>
      </c>
      <c r="H46" s="87" t="n">
        <f aca="false">H45*$D$2</f>
        <v>25148.7965</v>
      </c>
      <c r="I46" s="52" t="n">
        <f aca="false">I45*$D$2</f>
        <v>379138.091</v>
      </c>
      <c r="J46" s="52" t="n">
        <f aca="false">J45*$D$2</f>
        <v>87776.245</v>
      </c>
      <c r="K46" s="52" t="n">
        <f aca="false">K45*$D$2</f>
        <v>466914.336</v>
      </c>
      <c r="L46" s="52" t="n">
        <f aca="false">L45*$D$2</f>
        <v>82380.2805</v>
      </c>
      <c r="M46" s="52" t="n">
        <f aca="false">M45*$D$2</f>
        <v>39168.1745</v>
      </c>
      <c r="N46" s="52" t="n">
        <f aca="false">N45*$D$2</f>
        <v>0</v>
      </c>
      <c r="O46" s="52" t="n">
        <f aca="false">O45*$D$2</f>
        <v>0</v>
      </c>
      <c r="P46" s="52" t="n">
        <f aca="false">P45*$D$2</f>
        <v>39168.1745</v>
      </c>
      <c r="Q46" s="52" t="n">
        <f aca="false">Q45*$D$2</f>
        <v>30522.098</v>
      </c>
      <c r="R46" s="52" t="n">
        <f aca="false">R45*$D$2</f>
        <v>16328.172</v>
      </c>
      <c r="S46" s="52" t="n">
        <f aca="false">S45*$D$2</f>
        <v>86018.4445</v>
      </c>
      <c r="T46" s="52" t="n">
        <f aca="false">T45*$D$2</f>
        <v>2324.662</v>
      </c>
      <c r="U46" s="52" t="n">
        <f aca="false">U45*$D$2</f>
        <v>1084.9745</v>
      </c>
      <c r="V46" s="52" t="n">
        <f aca="false">V45*$D$2</f>
        <v>299934.9525</v>
      </c>
      <c r="W46" s="52" t="n">
        <f aca="false">W45*$D$2</f>
        <v>387038.3715</v>
      </c>
      <c r="X46" s="52" t="n">
        <f aca="false">X45*$D$2</f>
        <v>5395.9645</v>
      </c>
      <c r="Y46" s="52" t="n">
        <f aca="false">Y45*$D$2</f>
        <v>392434.336</v>
      </c>
      <c r="Z46" s="55"/>
      <c r="AA46" s="57"/>
      <c r="AB46" s="57"/>
      <c r="AC46" s="58"/>
      <c r="AD46" s="91"/>
      <c r="AE46" s="91"/>
      <c r="AF46" s="92"/>
    </row>
    <row r="47" customFormat="false" ht="3" hidden="false" customHeight="true" outlineLevel="0" collapsed="false">
      <c r="A47" s="74"/>
      <c r="B47" s="74"/>
      <c r="C47" s="76"/>
      <c r="D47" s="76"/>
      <c r="E47" s="76"/>
      <c r="F47" s="76"/>
      <c r="G47" s="76"/>
      <c r="H47" s="94"/>
      <c r="I47" s="76"/>
      <c r="J47" s="76"/>
      <c r="K47" s="76"/>
      <c r="L47" s="76"/>
      <c r="M47" s="76"/>
      <c r="N47" s="76"/>
      <c r="O47" s="76"/>
      <c r="P47" s="76"/>
      <c r="Q47" s="76"/>
      <c r="R47" s="76"/>
      <c r="S47" s="76"/>
      <c r="T47" s="76"/>
      <c r="U47" s="76"/>
      <c r="V47" s="76"/>
      <c r="W47" s="76"/>
      <c r="X47" s="76"/>
      <c r="Y47" s="76"/>
      <c r="Z47" s="170"/>
      <c r="AA47" s="57"/>
      <c r="AB47" s="57"/>
      <c r="AC47" s="58"/>
      <c r="AD47" s="91"/>
      <c r="AE47" s="91"/>
      <c r="AF47" s="92"/>
    </row>
    <row r="48" customFormat="false" ht="11.1" hidden="false" customHeight="true" outlineLevel="0" collapsed="false">
      <c r="A48" s="51" t="s">
        <v>51</v>
      </c>
      <c r="B48" s="51"/>
      <c r="C48" s="52"/>
      <c r="D48" s="52"/>
      <c r="E48" s="52"/>
      <c r="F48" s="52" t="n">
        <f aca="false">F8+F42</f>
        <v>38002.0166372574</v>
      </c>
      <c r="G48" s="52" t="n">
        <f aca="false">G8+G42</f>
        <v>208917</v>
      </c>
      <c r="H48" s="87" t="n">
        <f aca="false">H8+H42</f>
        <v>16090</v>
      </c>
      <c r="I48" s="52" t="n">
        <f aca="false">I8+I42</f>
        <v>224465.9</v>
      </c>
      <c r="J48" s="52" t="n">
        <f aca="false">J8+J42</f>
        <v>51087.6563398034</v>
      </c>
      <c r="K48" s="52" t="n">
        <f aca="false">K8+K42</f>
        <v>275553.556339803</v>
      </c>
      <c r="L48" s="52" t="n">
        <f aca="false">L8+L42</f>
        <v>47261.1166372574</v>
      </c>
      <c r="M48" s="52" t="n">
        <f aca="false">M8+M42</f>
        <v>21313</v>
      </c>
      <c r="N48" s="52" t="n">
        <f aca="false">N8+N42</f>
        <v>0.08</v>
      </c>
      <c r="O48" s="52" t="n">
        <f aca="false">O8+O42</f>
        <v>0</v>
      </c>
      <c r="P48" s="52" t="n">
        <f aca="false">P8+P42</f>
        <v>21312.92</v>
      </c>
      <c r="Q48" s="52" t="n">
        <f aca="false">Q8+Q42</f>
        <v>17666</v>
      </c>
      <c r="R48" s="52" t="n">
        <f aca="false">R8+R42</f>
        <v>8681</v>
      </c>
      <c r="S48" s="52" t="n">
        <f aca="false">S8+S42</f>
        <v>47659.92</v>
      </c>
      <c r="T48" s="52" t="n">
        <f aca="false">T45</f>
        <v>1172</v>
      </c>
      <c r="U48" s="52" t="n">
        <f aca="false">U8+U42</f>
        <v>548</v>
      </c>
      <c r="V48" s="52" t="n">
        <f aca="false">V8+V42</f>
        <v>185517</v>
      </c>
      <c r="W48" s="52" t="n">
        <f aca="false">W8+W42</f>
        <v>233725</v>
      </c>
      <c r="X48" s="52" t="n">
        <f aca="false">X8+X42</f>
        <v>3826.539702546</v>
      </c>
      <c r="Y48" s="52" t="n">
        <f aca="false">Y8+Y42</f>
        <v>237551.539702546</v>
      </c>
      <c r="Z48" s="55" t="n">
        <f aca="false">Z8+Z42</f>
        <v>11.09</v>
      </c>
      <c r="AA48" s="57"/>
      <c r="AB48" s="57"/>
      <c r="AC48" s="58"/>
      <c r="AD48" s="91"/>
      <c r="AE48" s="91"/>
      <c r="AF48" s="92"/>
    </row>
    <row r="49" customFormat="false" ht="11.1" hidden="false" customHeight="true" outlineLevel="0" collapsed="false">
      <c r="A49" s="51" t="s">
        <v>52</v>
      </c>
      <c r="B49" s="51"/>
      <c r="C49" s="52"/>
      <c r="D49" s="52" t="n">
        <f aca="false">D8+D43</f>
        <v>75377</v>
      </c>
      <c r="E49" s="52" t="n">
        <f aca="false">E40</f>
        <v>213570</v>
      </c>
      <c r="F49" s="52" t="n">
        <f aca="false">F48*$D$2</f>
        <v>75377</v>
      </c>
      <c r="G49" s="52" t="n">
        <f aca="false">G48*$D$2</f>
        <v>414386.8695</v>
      </c>
      <c r="H49" s="87" t="n">
        <f aca="false">H48*$D$2</f>
        <v>31914.515</v>
      </c>
      <c r="I49" s="52" t="n">
        <f aca="false">I48*$D$2</f>
        <v>445228.11265</v>
      </c>
      <c r="J49" s="52" t="n">
        <f aca="false">J48*$D$2</f>
        <v>101332.36635</v>
      </c>
      <c r="K49" s="52" t="n">
        <f aca="false">K48*$D$2</f>
        <v>546560.479</v>
      </c>
      <c r="L49" s="52" t="n">
        <f aca="false">L48*$D$2</f>
        <v>93742.42485</v>
      </c>
      <c r="M49" s="52" t="n">
        <f aca="false">M48*$D$2</f>
        <v>42274.3355</v>
      </c>
      <c r="N49" s="52" t="n">
        <f aca="false">N48*$D$2</f>
        <v>0.15868</v>
      </c>
      <c r="O49" s="52" t="n">
        <f aca="false">O48*$D$2</f>
        <v>0</v>
      </c>
      <c r="P49" s="52" t="n">
        <f aca="false">P48*$D$2</f>
        <v>42274.17682</v>
      </c>
      <c r="Q49" s="52" t="n">
        <f aca="false">Q48*$D$2</f>
        <v>35040.511</v>
      </c>
      <c r="R49" s="52" t="n">
        <f aca="false">R48*$D$2</f>
        <v>17218.7635</v>
      </c>
      <c r="S49" s="52" t="n">
        <f aca="false">S48*$D$2</f>
        <v>94533.45132</v>
      </c>
      <c r="T49" s="52" t="n">
        <f aca="false">T48*$D$2</f>
        <v>2324.662</v>
      </c>
      <c r="U49" s="52" t="n">
        <f aca="false">U48*$D$2</f>
        <v>1086.958</v>
      </c>
      <c r="V49" s="52" t="n">
        <f aca="false">V48*$D$2</f>
        <v>367972.9695</v>
      </c>
      <c r="W49" s="52" t="n">
        <f aca="false">W48*$D$2</f>
        <v>463593.5375</v>
      </c>
      <c r="X49" s="52" t="n">
        <f aca="false">X48*$D$2</f>
        <v>7589.9415</v>
      </c>
      <c r="Y49" s="52" t="n">
        <f aca="false">Y48*$D$2</f>
        <v>471183.479</v>
      </c>
      <c r="Z49" s="55"/>
      <c r="AA49" s="57"/>
      <c r="AB49" s="57"/>
      <c r="AC49" s="58"/>
      <c r="AD49" s="91"/>
      <c r="AE49" s="91"/>
      <c r="AF49" s="92"/>
    </row>
    <row r="50" customFormat="false" ht="3" hidden="false" customHeight="true" outlineLevel="0" collapsed="false">
      <c r="A50" s="74"/>
      <c r="B50" s="74"/>
      <c r="C50" s="76"/>
      <c r="D50" s="74"/>
      <c r="E50" s="76"/>
      <c r="F50" s="74"/>
      <c r="G50" s="74"/>
      <c r="H50" s="9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6"/>
      <c r="U50" s="74"/>
      <c r="V50" s="74"/>
      <c r="W50" s="74"/>
      <c r="X50" s="74"/>
      <c r="Y50" s="74"/>
      <c r="Z50" s="55"/>
      <c r="AA50" s="57"/>
      <c r="AB50" s="57"/>
      <c r="AC50" s="58"/>
      <c r="AD50" s="91"/>
      <c r="AE50" s="91"/>
      <c r="AF50" s="92"/>
    </row>
    <row r="51" customFormat="false" ht="11.1" hidden="false" customHeight="true" outlineLevel="0" collapsed="false">
      <c r="A51" s="82"/>
      <c r="B51" s="82"/>
      <c r="C51" s="52"/>
      <c r="D51" s="82"/>
      <c r="E51" s="52"/>
      <c r="F51" s="82"/>
      <c r="G51" s="85"/>
      <c r="H51" s="87"/>
      <c r="I51" s="82"/>
      <c r="J51" s="82"/>
      <c r="K51" s="82"/>
      <c r="L51" s="82"/>
      <c r="M51" s="81"/>
      <c r="N51" s="81"/>
      <c r="O51" s="81"/>
      <c r="P51" s="82"/>
      <c r="Q51" s="82"/>
      <c r="R51" s="82"/>
      <c r="S51" s="52"/>
      <c r="T51" s="82"/>
      <c r="U51" s="82"/>
      <c r="V51" s="52"/>
      <c r="W51" s="82"/>
      <c r="X51" s="82"/>
      <c r="Y51" s="55"/>
      <c r="Z51" s="57"/>
      <c r="AA51" s="57"/>
      <c r="AB51" s="58"/>
      <c r="AC51" s="96"/>
      <c r="AD51" s="96"/>
    </row>
  </sheetData>
  <mergeCells count="2">
    <mergeCell ref="K2:T2"/>
    <mergeCell ref="M4:P4"/>
  </mergeCells>
  <printOptions headings="true" gridLines="true" gridLinesSet="true" horizontalCentered="true" verticalCentered="false"/>
  <pageMargins left="0" right="0" top="0" bottom="0" header="0.511811023622047" footer="0.511811023622047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W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9" topLeftCell="T21" activePane="bottomRight" state="frozen"/>
      <selection pane="topLeft" activeCell="A1" activeCellId="0" sqref="A1"/>
      <selection pane="topRight" activeCell="T1" activeCellId="0" sqref="T1"/>
      <selection pane="bottomLeft" activeCell="A21" activeCellId="0" sqref="A21"/>
      <selection pane="bottomRight" activeCell="AB40" activeCellId="0" sqref="AB40"/>
    </sheetView>
  </sheetViews>
  <sheetFormatPr defaultColWidth="9.328125" defaultRowHeight="11.1" zeroHeight="false" outlineLevelRow="0" outlineLevelCol="0"/>
  <cols>
    <col collapsed="false" customWidth="true" hidden="false" outlineLevel="0" max="1" min="1" style="44" width="5.66"/>
    <col collapsed="false" customWidth="true" hidden="false" outlineLevel="0" max="2" min="2" style="44" width="7.82"/>
    <col collapsed="false" customWidth="true" hidden="false" outlineLevel="0" max="3" min="3" style="45" width="7.66"/>
    <col collapsed="false" customWidth="true" hidden="false" outlineLevel="0" max="4" min="4" style="44" width="6.99"/>
    <col collapsed="false" customWidth="true" hidden="false" outlineLevel="0" max="5" min="5" style="45" width="7.66"/>
    <col collapsed="false" customWidth="true" hidden="false" outlineLevel="0" max="6" min="6" style="44" width="7.66"/>
    <col collapsed="false" customWidth="true" hidden="false" outlineLevel="0" max="7" min="7" style="44" width="7.16"/>
    <col collapsed="false" customWidth="true" hidden="false" outlineLevel="0" max="8" min="8" style="173" width="6.66"/>
    <col collapsed="false" customWidth="true" hidden="false" outlineLevel="0" max="9" min="9" style="44" width="7.99"/>
    <col collapsed="false" customWidth="true" hidden="false" outlineLevel="0" max="10" min="10" style="44" width="6.66"/>
    <col collapsed="false" customWidth="true" hidden="false" outlineLevel="0" max="12" min="11" style="44" width="7.16"/>
    <col collapsed="false" customWidth="true" hidden="false" outlineLevel="0" max="13" min="13" style="47" width="6.16"/>
    <col collapsed="false" customWidth="true" hidden="true" outlineLevel="0" max="14" min="14" style="47" width="7.32"/>
    <col collapsed="false" customWidth="true" hidden="true" outlineLevel="0" max="15" min="15" style="47" width="6.49"/>
    <col collapsed="false" customWidth="true" hidden="true" outlineLevel="0" max="16" min="16" style="44" width="7.16"/>
    <col collapsed="false" customWidth="true" hidden="false" outlineLevel="0" max="17" min="17" style="44" width="6.32"/>
    <col collapsed="false" customWidth="true" hidden="false" outlineLevel="0" max="18" min="18" style="44" width="5.82"/>
    <col collapsed="false" customWidth="true" hidden="false" outlineLevel="0" max="19" min="19" style="45" width="6.82"/>
    <col collapsed="false" customWidth="true" hidden="false" outlineLevel="0" max="20" min="20" style="44" width="7.66"/>
    <col collapsed="false" customWidth="true" hidden="false" outlineLevel="0" max="21" min="21" style="44" width="5.99"/>
    <col collapsed="false" customWidth="true" hidden="false" outlineLevel="0" max="22" min="22" style="45" width="6.66"/>
    <col collapsed="false" customWidth="true" hidden="false" outlineLevel="0" max="24" min="23" style="44" width="7.82"/>
    <col collapsed="false" customWidth="true" hidden="false" outlineLevel="0" max="25" min="25" style="48" width="8.16"/>
    <col collapsed="false" customWidth="true" hidden="false" outlineLevel="0" max="26" min="26" style="46" width="5.32"/>
    <col collapsed="false" customWidth="true" hidden="false" outlineLevel="0" max="27" min="27" style="49" width="4.66"/>
    <col collapsed="false" customWidth="true" hidden="false" outlineLevel="0" max="28" min="28" style="50" width="4.66"/>
    <col collapsed="false" customWidth="true" hidden="false" outlineLevel="0" max="29" min="29" style="44" width="5.66"/>
    <col collapsed="false" customWidth="false" hidden="false" outlineLevel="0" max="257" min="30" style="44" width="9.32"/>
  </cols>
  <sheetData>
    <row r="1" customFormat="false" ht="14.1" hidden="false" customHeight="true" outlineLevel="0" collapsed="false">
      <c r="A1" s="51"/>
      <c r="B1" s="51"/>
      <c r="C1" s="52"/>
      <c r="D1" s="51"/>
      <c r="E1" s="52"/>
      <c r="F1" s="51"/>
      <c r="G1" s="51"/>
      <c r="H1" s="53"/>
      <c r="I1" s="51"/>
      <c r="J1" s="51"/>
      <c r="K1" s="54" t="s">
        <v>0</v>
      </c>
      <c r="L1" s="51"/>
      <c r="M1" s="51"/>
      <c r="N1" s="51"/>
      <c r="O1" s="51"/>
      <c r="P1" s="51"/>
      <c r="Q1" s="51"/>
      <c r="R1" s="51"/>
      <c r="S1" s="52"/>
      <c r="T1" s="51"/>
      <c r="U1" s="51"/>
      <c r="V1" s="52"/>
      <c r="W1" s="51"/>
      <c r="X1" s="51"/>
      <c r="Y1" s="55"/>
      <c r="Z1" s="56"/>
      <c r="AA1" s="57"/>
      <c r="AB1" s="58"/>
      <c r="AC1" s="88"/>
      <c r="AD1" s="88"/>
    </row>
    <row r="2" customFormat="false" ht="14.1" hidden="false" customHeight="true" outlineLevel="0" collapsed="false">
      <c r="A2" s="51" t="s">
        <v>1</v>
      </c>
      <c r="B2" s="51"/>
      <c r="C2" s="52"/>
      <c r="D2" s="59" t="n">
        <v>1.9835</v>
      </c>
      <c r="E2" s="52"/>
      <c r="F2" s="51"/>
      <c r="G2" s="51"/>
      <c r="H2" s="53"/>
      <c r="I2" s="51"/>
      <c r="J2" s="51"/>
      <c r="K2" s="60" t="s">
        <v>91</v>
      </c>
      <c r="L2" s="60"/>
      <c r="M2" s="60"/>
      <c r="N2" s="60"/>
      <c r="O2" s="60"/>
      <c r="P2" s="60"/>
      <c r="Q2" s="60"/>
      <c r="R2" s="60"/>
      <c r="S2" s="60"/>
      <c r="T2" s="60"/>
      <c r="U2" s="51"/>
      <c r="V2" s="52"/>
      <c r="W2" s="51"/>
      <c r="X2" s="51"/>
      <c r="Y2" s="55"/>
      <c r="Z2" s="56"/>
      <c r="AA2" s="57"/>
      <c r="AB2" s="58"/>
      <c r="AC2" s="88"/>
      <c r="AD2" s="88"/>
    </row>
    <row r="3" customFormat="false" ht="11.1" hidden="false" customHeight="true" outlineLevel="0" collapsed="false">
      <c r="A3" s="51"/>
      <c r="B3" s="51"/>
      <c r="C3" s="52"/>
      <c r="D3" s="61"/>
      <c r="E3" s="52"/>
      <c r="F3" s="51"/>
      <c r="G3" s="51"/>
      <c r="H3" s="53"/>
      <c r="I3" s="51"/>
      <c r="J3" s="51"/>
      <c r="K3" s="51"/>
      <c r="L3" s="51"/>
      <c r="M3" s="51"/>
      <c r="N3" s="51"/>
      <c r="O3" s="51"/>
      <c r="P3" s="51"/>
      <c r="Q3" s="51"/>
      <c r="R3" s="51"/>
      <c r="S3" s="52"/>
      <c r="T3" s="51"/>
      <c r="U3" s="51"/>
      <c r="V3" s="52"/>
      <c r="W3" s="51"/>
      <c r="X3" s="51"/>
      <c r="Y3" s="55"/>
      <c r="Z3" s="56"/>
      <c r="AA3" s="57"/>
      <c r="AB3" s="58"/>
      <c r="AC3" s="88"/>
      <c r="AD3" s="88"/>
    </row>
    <row r="4" customFormat="false" ht="11.1" hidden="false" customHeight="true" outlineLevel="0" collapsed="false">
      <c r="A4" s="62" t="s">
        <v>3</v>
      </c>
      <c r="B4" s="62" t="s">
        <v>4</v>
      </c>
      <c r="C4" s="63" t="s">
        <v>4</v>
      </c>
      <c r="D4" s="62" t="s">
        <v>5</v>
      </c>
      <c r="E4" s="63" t="s">
        <v>6</v>
      </c>
      <c r="F4" s="62" t="s">
        <v>7</v>
      </c>
      <c r="G4" s="62" t="s">
        <v>8</v>
      </c>
      <c r="H4" s="64" t="s">
        <v>9</v>
      </c>
      <c r="I4" s="62" t="s">
        <v>10</v>
      </c>
      <c r="J4" s="62" t="s">
        <v>11</v>
      </c>
      <c r="K4" s="62" t="s">
        <v>12</v>
      </c>
      <c r="L4" s="62" t="s">
        <v>11</v>
      </c>
      <c r="M4" s="62" t="s">
        <v>13</v>
      </c>
      <c r="N4" s="62"/>
      <c r="O4" s="62"/>
      <c r="P4" s="62"/>
      <c r="Q4" s="62" t="s">
        <v>14</v>
      </c>
      <c r="R4" s="62" t="s">
        <v>15</v>
      </c>
      <c r="S4" s="62" t="s">
        <v>12</v>
      </c>
      <c r="T4" s="63" t="s">
        <v>16</v>
      </c>
      <c r="U4" s="62" t="s">
        <v>17</v>
      </c>
      <c r="V4" s="62" t="s">
        <v>18</v>
      </c>
      <c r="W4" s="62" t="s">
        <v>10</v>
      </c>
      <c r="X4" s="62" t="s">
        <v>11</v>
      </c>
      <c r="Y4" s="62" t="s">
        <v>12</v>
      </c>
      <c r="Z4" s="65" t="s">
        <v>19</v>
      </c>
      <c r="AA4" s="66" t="s">
        <v>20</v>
      </c>
      <c r="AB4" s="66" t="s">
        <v>21</v>
      </c>
      <c r="AC4" s="66" t="s">
        <v>3</v>
      </c>
      <c r="AD4" s="174" t="s">
        <v>78</v>
      </c>
      <c r="AE4" s="88"/>
    </row>
    <row r="5" customFormat="false" ht="11.1" hidden="false" customHeight="true" outlineLevel="0" collapsed="false">
      <c r="A5" s="67" t="s">
        <v>92</v>
      </c>
      <c r="B5" s="62" t="s">
        <v>23</v>
      </c>
      <c r="C5" s="63" t="s">
        <v>5</v>
      </c>
      <c r="D5" s="62" t="s">
        <v>24</v>
      </c>
      <c r="E5" s="63" t="s">
        <v>25</v>
      </c>
      <c r="F5" s="62" t="s">
        <v>26</v>
      </c>
      <c r="G5" s="62" t="s">
        <v>27</v>
      </c>
      <c r="H5" s="64" t="s">
        <v>28</v>
      </c>
      <c r="I5" s="62" t="s">
        <v>29</v>
      </c>
      <c r="J5" s="62" t="s">
        <v>29</v>
      </c>
      <c r="K5" s="62" t="s">
        <v>29</v>
      </c>
      <c r="L5" s="62" t="s">
        <v>30</v>
      </c>
      <c r="M5" s="62" t="s">
        <v>31</v>
      </c>
      <c r="N5" s="62" t="s">
        <v>32</v>
      </c>
      <c r="O5" s="62" t="s">
        <v>33</v>
      </c>
      <c r="P5" s="62" t="s">
        <v>34</v>
      </c>
      <c r="Q5" s="62" t="s">
        <v>35</v>
      </c>
      <c r="R5" s="62" t="s">
        <v>36</v>
      </c>
      <c r="S5" s="62" t="s">
        <v>16</v>
      </c>
      <c r="T5" s="63" t="s">
        <v>37</v>
      </c>
      <c r="U5" s="62" t="s">
        <v>38</v>
      </c>
      <c r="V5" s="62" t="s">
        <v>39</v>
      </c>
      <c r="W5" s="62" t="s">
        <v>40</v>
      </c>
      <c r="X5" s="62" t="s">
        <v>40</v>
      </c>
      <c r="Y5" s="62" t="s">
        <v>40</v>
      </c>
      <c r="Z5" s="68"/>
      <c r="AA5" s="66" t="s">
        <v>41</v>
      </c>
      <c r="AB5" s="66" t="s">
        <v>41</v>
      </c>
      <c r="AC5" s="69" t="s">
        <v>92</v>
      </c>
      <c r="AD5" s="174" t="s">
        <v>93</v>
      </c>
      <c r="AE5" s="88"/>
      <c r="AG5" s="175"/>
      <c r="AH5" s="175"/>
    </row>
    <row r="6" customFormat="false" ht="11.1" hidden="false" customHeight="true" outlineLevel="0" collapsed="false">
      <c r="A6" s="70"/>
      <c r="B6" s="70"/>
      <c r="C6" s="71"/>
      <c r="D6" s="70"/>
      <c r="E6" s="71"/>
      <c r="F6" s="70"/>
      <c r="G6" s="70"/>
      <c r="H6" s="72"/>
      <c r="I6" s="70"/>
      <c r="J6" s="70"/>
      <c r="K6" s="70"/>
      <c r="L6" s="70"/>
      <c r="M6" s="70"/>
      <c r="N6" s="70"/>
      <c r="O6" s="70"/>
      <c r="P6" s="70"/>
      <c r="Q6" s="70"/>
      <c r="R6" s="70"/>
      <c r="S6" s="70"/>
      <c r="T6" s="71"/>
      <c r="U6" s="70"/>
      <c r="V6" s="70"/>
      <c r="W6" s="70"/>
      <c r="X6" s="70"/>
      <c r="Y6" s="70"/>
      <c r="Z6" s="56"/>
      <c r="AA6" s="58"/>
      <c r="AB6" s="58"/>
      <c r="AC6" s="58"/>
      <c r="AD6" s="91"/>
      <c r="AE6" s="91"/>
      <c r="AF6" s="92"/>
      <c r="AG6" s="175"/>
      <c r="AH6" s="175"/>
    </row>
    <row r="7" customFormat="false" ht="11.1" hidden="false" customHeight="true" outlineLevel="0" collapsed="false">
      <c r="A7" s="51" t="s">
        <v>42</v>
      </c>
      <c r="B7" s="51"/>
      <c r="C7" s="52"/>
      <c r="D7" s="52"/>
      <c r="E7" s="52"/>
      <c r="F7" s="52" t="n">
        <f aca="false">JUL!F45</f>
        <v>37549.7857322914</v>
      </c>
      <c r="G7" s="52" t="n">
        <f aca="false">JUL!G45</f>
        <v>178467</v>
      </c>
      <c r="H7" s="52" t="n">
        <f aca="false">JUL!H45</f>
        <v>12679</v>
      </c>
      <c r="I7" s="52" t="n">
        <f aca="false">JUL!I45</f>
        <v>191146</v>
      </c>
      <c r="J7" s="52" t="n">
        <f aca="false">JUL!J45</f>
        <v>44253.2114948324</v>
      </c>
      <c r="K7" s="52" t="n">
        <f aca="false">JUL!K45</f>
        <v>235399.211494832</v>
      </c>
      <c r="L7" s="52" t="n">
        <f aca="false">JUL!L45</f>
        <v>41532.7857322914</v>
      </c>
      <c r="M7" s="52" t="n">
        <f aca="false">JUL!M45</f>
        <v>19747</v>
      </c>
      <c r="N7" s="52" t="n">
        <f aca="false">JUL!N45</f>
        <v>0</v>
      </c>
      <c r="O7" s="52" t="n">
        <f aca="false">JUL!O45</f>
        <v>0</v>
      </c>
      <c r="P7" s="52" t="n">
        <f aca="false">JUL!P45</f>
        <v>19747</v>
      </c>
      <c r="Q7" s="52" t="n">
        <f aca="false">JUL!Q45</f>
        <v>15388</v>
      </c>
      <c r="R7" s="52" t="n">
        <f aca="false">JUL!R45</f>
        <v>8232</v>
      </c>
      <c r="S7" s="52" t="n">
        <f aca="false">JUL!S45</f>
        <v>43367</v>
      </c>
      <c r="T7" s="52" t="n">
        <f aca="false">JUL!T45</f>
        <v>1172</v>
      </c>
      <c r="U7" s="52" t="n">
        <f aca="false">JUL!U45</f>
        <v>547</v>
      </c>
      <c r="V7" s="52" t="n">
        <f aca="false">JUL!V45</f>
        <v>151215</v>
      </c>
      <c r="W7" s="52" t="n">
        <f aca="false">JUL!W45</f>
        <v>195129</v>
      </c>
      <c r="X7" s="52" t="n">
        <f aca="false">JUL!X45</f>
        <v>2720.42576254096</v>
      </c>
      <c r="Y7" s="52" t="n">
        <f aca="false">JUL!Y45</f>
        <v>197849.425762541</v>
      </c>
      <c r="Z7" s="56"/>
      <c r="AA7" s="57"/>
      <c r="AB7" s="57"/>
      <c r="AC7" s="58"/>
      <c r="AD7" s="91"/>
      <c r="AE7" s="92"/>
      <c r="AF7" s="92"/>
    </row>
    <row r="8" s="45" customFormat="true" ht="11.1" hidden="false" customHeight="true" outlineLevel="0" collapsed="false">
      <c r="A8" s="52" t="s">
        <v>43</v>
      </c>
      <c r="B8" s="73" t="n">
        <f aca="false">JUL!B40</f>
        <v>6920.46</v>
      </c>
      <c r="C8" s="52" t="n">
        <f aca="false">JUL!C40</f>
        <v>365570</v>
      </c>
      <c r="D8" s="52" t="n">
        <f aca="false">JUL!D49</f>
        <v>75377</v>
      </c>
      <c r="E8" s="52" t="n">
        <f aca="false">JUL!E49</f>
        <v>213570</v>
      </c>
      <c r="F8" s="52" t="n">
        <f aca="false">JUL!F48</f>
        <v>38002.0166372574</v>
      </c>
      <c r="G8" s="52" t="n">
        <f aca="false">JUL!G48</f>
        <v>208917</v>
      </c>
      <c r="H8" s="57" t="n">
        <f aca="false">JUL!H48</f>
        <v>16090</v>
      </c>
      <c r="I8" s="52" t="n">
        <f aca="false">JUL!I48</f>
        <v>224465.9</v>
      </c>
      <c r="J8" s="52" t="n">
        <f aca="false">JUL!J48</f>
        <v>51087.6563398034</v>
      </c>
      <c r="K8" s="52" t="n">
        <f aca="false">JUL!K48</f>
        <v>275553.556339803</v>
      </c>
      <c r="L8" s="52" t="n">
        <f aca="false">JUL!L48</f>
        <v>47261.1166372574</v>
      </c>
      <c r="M8" s="52" t="n">
        <f aca="false">JUL!M48</f>
        <v>21313</v>
      </c>
      <c r="N8" s="52" t="n">
        <f aca="false">JUL!N48</f>
        <v>0.08</v>
      </c>
      <c r="O8" s="52" t="n">
        <f aca="false">JUL!O48</f>
        <v>0</v>
      </c>
      <c r="P8" s="52" t="n">
        <f aca="false">JUL!P48</f>
        <v>21312.92</v>
      </c>
      <c r="Q8" s="52" t="n">
        <f aca="false">JUL!Q48</f>
        <v>17666</v>
      </c>
      <c r="R8" s="52" t="n">
        <f aca="false">JUL!R48</f>
        <v>8681</v>
      </c>
      <c r="S8" s="52" t="n">
        <f aca="false">JUL!S48</f>
        <v>47659.92</v>
      </c>
      <c r="T8" s="52" t="n">
        <f aca="false">JUL!T48</f>
        <v>1172</v>
      </c>
      <c r="U8" s="52" t="n">
        <f aca="false">JUL!U48</f>
        <v>548</v>
      </c>
      <c r="V8" s="52" t="n">
        <f aca="false">JUL!V48</f>
        <v>185517</v>
      </c>
      <c r="W8" s="52" t="n">
        <f aca="false">JUL!W48</f>
        <v>233725</v>
      </c>
      <c r="X8" s="52" t="n">
        <f aca="false">JUL!X48</f>
        <v>3826.539702546</v>
      </c>
      <c r="Y8" s="52" t="n">
        <f aca="false">JUL!Y48</f>
        <v>237551.539702546</v>
      </c>
      <c r="Z8" s="56" t="n">
        <f aca="false">JUL!Z48</f>
        <v>11.09</v>
      </c>
      <c r="AA8" s="57"/>
      <c r="AB8" s="57"/>
      <c r="AC8" s="58"/>
      <c r="AD8" s="93"/>
      <c r="AE8" s="91"/>
      <c r="AF8" s="93"/>
    </row>
    <row r="9" customFormat="false" ht="3" hidden="false" customHeight="true" outlineLevel="0" collapsed="false">
      <c r="A9" s="74"/>
      <c r="B9" s="75"/>
      <c r="C9" s="76"/>
      <c r="D9" s="74"/>
      <c r="E9" s="76"/>
      <c r="F9" s="74"/>
      <c r="G9" s="74"/>
      <c r="H9" s="77"/>
      <c r="I9" s="74"/>
      <c r="J9" s="74"/>
      <c r="K9" s="74"/>
      <c r="L9" s="74"/>
      <c r="M9" s="74"/>
      <c r="N9" s="74"/>
      <c r="O9" s="74"/>
      <c r="P9" s="74"/>
      <c r="Q9" s="74"/>
      <c r="R9" s="74"/>
      <c r="S9" s="74"/>
      <c r="T9" s="76"/>
      <c r="U9" s="74"/>
      <c r="V9" s="74"/>
      <c r="W9" s="74"/>
      <c r="X9" s="74"/>
      <c r="Y9" s="74"/>
      <c r="Z9" s="78"/>
      <c r="AA9" s="79"/>
      <c r="AB9" s="79"/>
      <c r="AC9" s="80"/>
      <c r="AD9" s="80"/>
      <c r="AE9" s="91"/>
      <c r="AF9" s="92"/>
    </row>
    <row r="10" customFormat="false" ht="11.1" hidden="false" customHeight="true" outlineLevel="0" collapsed="false">
      <c r="A10" s="58" t="n">
        <v>1</v>
      </c>
      <c r="B10" s="73" t="n">
        <v>6920.39</v>
      </c>
      <c r="C10" s="52" t="n">
        <v>365266</v>
      </c>
      <c r="D10" s="57" t="n">
        <f aca="false">C10-C8</f>
        <v>-304</v>
      </c>
      <c r="E10" s="52" t="n">
        <f aca="false">C10-152000</f>
        <v>213266</v>
      </c>
      <c r="F10" s="51" t="n">
        <f aca="false">D10/$D$2</f>
        <v>-153.264431560373</v>
      </c>
      <c r="G10" s="51" t="n">
        <v>403</v>
      </c>
      <c r="H10" s="53" t="n">
        <v>0</v>
      </c>
      <c r="I10" s="51" t="n">
        <f aca="false">G10+H10</f>
        <v>403</v>
      </c>
      <c r="J10" s="81" t="n">
        <f aca="false">IF(L10&gt;0,L10,0)</f>
        <v>93.7355684396269</v>
      </c>
      <c r="K10" s="51" t="n">
        <f aca="false">I10+J10</f>
        <v>496.735568439627</v>
      </c>
      <c r="L10" s="51" t="n">
        <f aca="false">F10-(I10-W10)</f>
        <v>93.7355684396269</v>
      </c>
      <c r="M10" s="51" t="n">
        <v>201</v>
      </c>
      <c r="N10" s="100" t="n">
        <v>0</v>
      </c>
      <c r="O10" s="100" t="n">
        <v>0</v>
      </c>
      <c r="P10" s="6" t="n">
        <f aca="false">M10-(N10+O10)</f>
        <v>201</v>
      </c>
      <c r="Q10" s="51" t="n">
        <v>171</v>
      </c>
      <c r="R10" s="51" t="n">
        <v>87</v>
      </c>
      <c r="S10" s="51" t="n">
        <f aca="false">SUM(P10:R10)</f>
        <v>459</v>
      </c>
      <c r="T10" s="52" t="n">
        <f aca="false">(I10-S10)+T7</f>
        <v>1116</v>
      </c>
      <c r="U10" s="51" t="n">
        <v>0</v>
      </c>
      <c r="V10" s="51" t="n">
        <v>191</v>
      </c>
      <c r="W10" s="6" t="n">
        <f aca="false">N10+O10+S10+U10+V10</f>
        <v>650</v>
      </c>
      <c r="X10" s="51" t="n">
        <f aca="false">IF(L10&lt;0,L10*-1,0)</f>
        <v>0</v>
      </c>
      <c r="Y10" s="51" t="n">
        <f aca="false">W10+X10</f>
        <v>650</v>
      </c>
      <c r="Z10" s="56" t="n">
        <v>0</v>
      </c>
      <c r="AA10" s="57" t="n">
        <v>85</v>
      </c>
      <c r="AB10" s="57" t="n">
        <v>55</v>
      </c>
      <c r="AC10" s="58" t="n">
        <v>1</v>
      </c>
      <c r="AD10" s="92" t="n">
        <f aca="false">IF(I10&gt;S10,I10-S10,I10-S10)</f>
        <v>-56</v>
      </c>
      <c r="AE10" s="12"/>
      <c r="AF10" s="136"/>
      <c r="AG10" s="6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  <c r="BH10" s="0"/>
      <c r="BI10" s="0"/>
      <c r="BJ10" s="0"/>
      <c r="BK10" s="0"/>
      <c r="BL10" s="0"/>
      <c r="BM10" s="0"/>
      <c r="BN10" s="0"/>
      <c r="BO10" s="0"/>
      <c r="BP10" s="0"/>
      <c r="BQ10" s="0"/>
      <c r="BR10" s="0"/>
      <c r="BS10" s="0"/>
      <c r="BT10" s="0"/>
      <c r="BU10" s="0"/>
      <c r="BV10" s="0"/>
      <c r="BW10" s="0"/>
      <c r="BX10" s="0"/>
      <c r="BY10" s="0"/>
      <c r="BZ10" s="0"/>
      <c r="CA10" s="0"/>
      <c r="CB10" s="0"/>
      <c r="CC10" s="0"/>
      <c r="CD10" s="0"/>
      <c r="CE10" s="0"/>
      <c r="CF10" s="0"/>
      <c r="CG10" s="0"/>
      <c r="CH10" s="0"/>
      <c r="CI10" s="0"/>
      <c r="CJ10" s="0"/>
      <c r="CK10" s="0"/>
      <c r="CL10" s="0"/>
      <c r="CM10" s="0"/>
      <c r="CN10" s="0"/>
      <c r="CO10" s="0"/>
      <c r="CP10" s="0"/>
      <c r="CQ10" s="0"/>
      <c r="CR10" s="0"/>
      <c r="CS10" s="0"/>
      <c r="CT10" s="0"/>
      <c r="CU10" s="0"/>
      <c r="CV10" s="0"/>
      <c r="CW10" s="0"/>
      <c r="CX10" s="0"/>
      <c r="CY10" s="0"/>
      <c r="CZ10" s="0"/>
      <c r="DA10" s="0"/>
      <c r="DB10" s="0"/>
      <c r="DC10" s="0"/>
      <c r="DD10" s="0"/>
      <c r="DE10" s="0"/>
      <c r="DF10" s="0"/>
      <c r="DG10" s="0"/>
      <c r="DH10" s="0"/>
      <c r="DI10" s="0"/>
      <c r="DJ10" s="0"/>
      <c r="DK10" s="0"/>
      <c r="DL10" s="0"/>
      <c r="DM10" s="0"/>
      <c r="DN10" s="0"/>
      <c r="DO10" s="0"/>
      <c r="DP10" s="0"/>
      <c r="DQ10" s="0"/>
      <c r="DR10" s="0"/>
      <c r="DS10" s="0"/>
      <c r="DT10" s="0"/>
      <c r="DU10" s="0"/>
      <c r="DV10" s="0"/>
      <c r="DW10" s="0"/>
      <c r="DX10" s="0"/>
      <c r="DY10" s="0"/>
      <c r="DZ10" s="0"/>
      <c r="EA10" s="0"/>
      <c r="EB10" s="0"/>
      <c r="EC10" s="0"/>
      <c r="ED10" s="0"/>
      <c r="EE10" s="0"/>
      <c r="EF10" s="0"/>
      <c r="EG10" s="0"/>
      <c r="EH10" s="0"/>
      <c r="EI10" s="0"/>
      <c r="EJ10" s="0"/>
      <c r="EK10" s="0"/>
      <c r="EL10" s="0"/>
      <c r="EM10" s="0"/>
      <c r="EN10" s="0"/>
      <c r="EO10" s="0"/>
      <c r="EP10" s="0"/>
      <c r="EQ10" s="0"/>
      <c r="ER10" s="0"/>
      <c r="ES10" s="0"/>
      <c r="ET10" s="0"/>
      <c r="EU10" s="0"/>
      <c r="EV10" s="0"/>
      <c r="EW10" s="0"/>
      <c r="EX10" s="0"/>
      <c r="EY10" s="0"/>
      <c r="EZ10" s="0"/>
      <c r="FA10" s="0"/>
      <c r="FB10" s="0"/>
      <c r="FC10" s="0"/>
      <c r="FD10" s="0"/>
      <c r="FE10" s="0"/>
      <c r="FF10" s="0"/>
      <c r="FG10" s="0"/>
      <c r="FH10" s="0"/>
      <c r="FI10" s="0"/>
      <c r="FJ10" s="0"/>
      <c r="FK10" s="0"/>
      <c r="FL10" s="0"/>
      <c r="FM10" s="0"/>
      <c r="FN10" s="0"/>
      <c r="FO10" s="0"/>
      <c r="FP10" s="0"/>
      <c r="FQ10" s="0"/>
      <c r="FR10" s="0"/>
      <c r="FS10" s="0"/>
      <c r="FT10" s="0"/>
      <c r="FU10" s="0"/>
      <c r="FV10" s="0"/>
      <c r="FW10" s="0"/>
      <c r="FX10" s="0"/>
      <c r="FY10" s="0"/>
      <c r="FZ10" s="0"/>
      <c r="GA10" s="0"/>
      <c r="GB10" s="0"/>
      <c r="GC10" s="0"/>
      <c r="GD10" s="0"/>
      <c r="GE10" s="0"/>
      <c r="GF10" s="0"/>
      <c r="GG10" s="0"/>
      <c r="GH10" s="0"/>
      <c r="GI10" s="0"/>
      <c r="GJ10" s="0"/>
      <c r="GK10" s="0"/>
      <c r="GL10" s="0"/>
      <c r="GM10" s="0"/>
      <c r="GN10" s="0"/>
      <c r="GO10" s="0"/>
      <c r="GP10" s="0"/>
      <c r="GQ10" s="0"/>
      <c r="GR10" s="0"/>
      <c r="GS10" s="0"/>
      <c r="GT10" s="0"/>
      <c r="GU10" s="0"/>
      <c r="GV10" s="0"/>
      <c r="GW10" s="0"/>
      <c r="GX10" s="0"/>
      <c r="GY10" s="0"/>
      <c r="GZ10" s="0"/>
      <c r="HA10" s="0"/>
      <c r="HB10" s="0"/>
      <c r="HC10" s="0"/>
      <c r="HD10" s="0"/>
      <c r="HE10" s="0"/>
      <c r="HF10" s="0"/>
      <c r="HG10" s="0"/>
      <c r="HH10" s="0"/>
      <c r="HI10" s="0"/>
      <c r="HJ10" s="0"/>
      <c r="HK10" s="0"/>
      <c r="HL10" s="0"/>
      <c r="HM10" s="0"/>
      <c r="HN10" s="0"/>
      <c r="HO10" s="0"/>
      <c r="HP10" s="0"/>
      <c r="HQ10" s="0"/>
      <c r="HR10" s="0"/>
      <c r="HS10" s="0"/>
      <c r="HT10" s="0"/>
      <c r="HU10" s="0"/>
      <c r="HV10" s="0"/>
      <c r="HW10" s="0"/>
      <c r="HX10" s="0"/>
      <c r="HY10" s="0"/>
      <c r="HZ10" s="0"/>
      <c r="IA10" s="0"/>
      <c r="IB10" s="0"/>
      <c r="IC10" s="0"/>
      <c r="ID10" s="0"/>
      <c r="IE10" s="0"/>
      <c r="IF10" s="0"/>
      <c r="IG10" s="0"/>
      <c r="IH10" s="0"/>
      <c r="II10" s="0"/>
      <c r="IJ10" s="0"/>
      <c r="IK10" s="0"/>
      <c r="IL10" s="0"/>
      <c r="IM10" s="0"/>
      <c r="IN10" s="0"/>
      <c r="IO10" s="0"/>
      <c r="IP10" s="0"/>
      <c r="IQ10" s="0"/>
      <c r="IR10" s="0"/>
      <c r="IS10" s="0"/>
      <c r="IT10" s="0"/>
      <c r="IU10" s="0"/>
      <c r="IV10" s="0"/>
      <c r="IW10" s="0"/>
    </row>
    <row r="11" customFormat="false" ht="11.1" hidden="false" customHeight="true" outlineLevel="0" collapsed="false">
      <c r="A11" s="58" t="n">
        <f aca="false">A10+1</f>
        <v>2</v>
      </c>
      <c r="B11" s="73" t="n">
        <v>6920.31</v>
      </c>
      <c r="C11" s="52" t="n">
        <v>364919</v>
      </c>
      <c r="D11" s="57" t="n">
        <f aca="false">C11-C10</f>
        <v>-347</v>
      </c>
      <c r="E11" s="52" t="n">
        <f aca="false">C11-152000</f>
        <v>212919</v>
      </c>
      <c r="F11" s="51" t="n">
        <f aca="false">D11/$D$2</f>
        <v>-174.943282077136</v>
      </c>
      <c r="G11" s="51" t="n">
        <v>452</v>
      </c>
      <c r="H11" s="53" t="n">
        <v>0</v>
      </c>
      <c r="I11" s="51" t="n">
        <f aca="false">G11+H11</f>
        <v>452</v>
      </c>
      <c r="J11" s="81" t="n">
        <f aca="false">IF(L11&gt;0,L11,0)</f>
        <v>17.0567179228636</v>
      </c>
      <c r="K11" s="51" t="n">
        <f aca="false">I11+J11</f>
        <v>469.056717922864</v>
      </c>
      <c r="L11" s="51" t="n">
        <f aca="false">F11-(I11-W11)</f>
        <v>17.0567179228636</v>
      </c>
      <c r="M11" s="51" t="n">
        <v>201</v>
      </c>
      <c r="N11" s="100" t="n">
        <v>0</v>
      </c>
      <c r="O11" s="100" t="n">
        <v>0</v>
      </c>
      <c r="P11" s="6" t="n">
        <f aca="false">M11-(N11+O11)</f>
        <v>201</v>
      </c>
      <c r="Q11" s="51" t="n">
        <v>171</v>
      </c>
      <c r="R11" s="51" t="n">
        <v>90</v>
      </c>
      <c r="S11" s="51" t="n">
        <f aca="false">SUM(P11:R11)</f>
        <v>462</v>
      </c>
      <c r="T11" s="52" t="n">
        <f aca="false">(I11-S11)+T10</f>
        <v>1106</v>
      </c>
      <c r="U11" s="51" t="n">
        <v>0</v>
      </c>
      <c r="V11" s="51" t="n">
        <v>182</v>
      </c>
      <c r="W11" s="6" t="n">
        <f aca="false">N11+O11+S11+U11+V11</f>
        <v>644</v>
      </c>
      <c r="X11" s="51" t="n">
        <f aca="false">IF(L11&lt;0,L11*-1,0)</f>
        <v>0</v>
      </c>
      <c r="Y11" s="51" t="n">
        <f aca="false">W11+X11</f>
        <v>644</v>
      </c>
      <c r="Z11" s="56" t="n">
        <v>0.6</v>
      </c>
      <c r="AA11" s="57" t="n">
        <v>87</v>
      </c>
      <c r="AB11" s="57" t="n">
        <v>54</v>
      </c>
      <c r="AC11" s="58" t="n">
        <f aca="false">AC10+1</f>
        <v>2</v>
      </c>
      <c r="AD11" s="92" t="n">
        <f aca="false">IF(I11&gt;S11,I11-S11,I11-S11)</f>
        <v>-10</v>
      </c>
      <c r="AE11" s="12"/>
      <c r="AF11" s="0"/>
      <c r="AG11" s="6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  <c r="BH11" s="0"/>
      <c r="BI11" s="0"/>
      <c r="BJ11" s="0"/>
      <c r="BK11" s="0"/>
      <c r="BL11" s="0"/>
      <c r="BM11" s="0"/>
      <c r="BN11" s="0"/>
      <c r="BO11" s="0"/>
      <c r="BP11" s="0"/>
      <c r="BQ11" s="0"/>
      <c r="BR11" s="0"/>
      <c r="BS11" s="0"/>
      <c r="BT11" s="0"/>
      <c r="BU11" s="0"/>
      <c r="BV11" s="0"/>
      <c r="BW11" s="0"/>
      <c r="BX11" s="0"/>
      <c r="BY11" s="0"/>
      <c r="BZ11" s="0"/>
      <c r="CA11" s="0"/>
      <c r="CB11" s="0"/>
      <c r="CC11" s="0"/>
      <c r="CD11" s="0"/>
      <c r="CE11" s="0"/>
      <c r="CF11" s="0"/>
      <c r="CG11" s="0"/>
      <c r="CH11" s="0"/>
      <c r="CI11" s="0"/>
      <c r="CJ11" s="0"/>
      <c r="CK11" s="0"/>
      <c r="CL11" s="0"/>
      <c r="CM11" s="0"/>
      <c r="CN11" s="0"/>
      <c r="CO11" s="0"/>
      <c r="CP11" s="0"/>
      <c r="CQ11" s="0"/>
      <c r="CR11" s="0"/>
      <c r="CS11" s="0"/>
      <c r="CT11" s="0"/>
      <c r="CU11" s="0"/>
      <c r="CV11" s="0"/>
      <c r="CW11" s="0"/>
      <c r="CX11" s="0"/>
      <c r="CY11" s="0"/>
      <c r="CZ11" s="0"/>
      <c r="DA11" s="0"/>
      <c r="DB11" s="0"/>
      <c r="DC11" s="0"/>
      <c r="DD11" s="0"/>
      <c r="DE11" s="0"/>
      <c r="DF11" s="0"/>
      <c r="DG11" s="0"/>
      <c r="DH11" s="0"/>
      <c r="DI11" s="0"/>
      <c r="DJ11" s="0"/>
      <c r="DK11" s="0"/>
      <c r="DL11" s="0"/>
      <c r="DM11" s="0"/>
      <c r="DN11" s="0"/>
      <c r="DO11" s="0"/>
      <c r="DP11" s="0"/>
      <c r="DQ11" s="0"/>
      <c r="DR11" s="0"/>
      <c r="DS11" s="0"/>
      <c r="DT11" s="0"/>
      <c r="DU11" s="0"/>
      <c r="DV11" s="0"/>
      <c r="DW11" s="0"/>
      <c r="DX11" s="0"/>
      <c r="DY11" s="0"/>
      <c r="DZ11" s="0"/>
      <c r="EA11" s="0"/>
      <c r="EB11" s="0"/>
      <c r="EC11" s="0"/>
      <c r="ED11" s="0"/>
      <c r="EE11" s="0"/>
      <c r="EF11" s="0"/>
      <c r="EG11" s="0"/>
      <c r="EH11" s="0"/>
      <c r="EI11" s="0"/>
      <c r="EJ11" s="0"/>
      <c r="EK11" s="0"/>
      <c r="EL11" s="0"/>
      <c r="EM11" s="0"/>
      <c r="EN11" s="0"/>
      <c r="EO11" s="0"/>
      <c r="EP11" s="0"/>
      <c r="EQ11" s="0"/>
      <c r="ER11" s="0"/>
      <c r="ES11" s="0"/>
      <c r="ET11" s="0"/>
      <c r="EU11" s="0"/>
      <c r="EV11" s="0"/>
      <c r="EW11" s="0"/>
      <c r="EX11" s="0"/>
      <c r="EY11" s="0"/>
      <c r="EZ11" s="0"/>
      <c r="FA11" s="0"/>
      <c r="FB11" s="0"/>
      <c r="FC11" s="0"/>
      <c r="FD11" s="0"/>
      <c r="FE11" s="0"/>
      <c r="FF11" s="0"/>
      <c r="FG11" s="0"/>
      <c r="FH11" s="0"/>
      <c r="FI11" s="0"/>
      <c r="FJ11" s="0"/>
      <c r="FK11" s="0"/>
      <c r="FL11" s="0"/>
      <c r="FM11" s="0"/>
      <c r="FN11" s="0"/>
      <c r="FO11" s="0"/>
      <c r="FP11" s="0"/>
      <c r="FQ11" s="0"/>
      <c r="FR11" s="0"/>
      <c r="FS11" s="0"/>
      <c r="FT11" s="0"/>
      <c r="FU11" s="0"/>
      <c r="FV11" s="0"/>
      <c r="FW11" s="0"/>
      <c r="FX11" s="0"/>
      <c r="FY11" s="0"/>
      <c r="FZ11" s="0"/>
      <c r="GA11" s="0"/>
      <c r="GB11" s="0"/>
      <c r="GC11" s="0"/>
      <c r="GD11" s="0"/>
      <c r="GE11" s="0"/>
      <c r="GF11" s="0"/>
      <c r="GG11" s="0"/>
      <c r="GH11" s="0"/>
      <c r="GI11" s="0"/>
      <c r="GJ11" s="0"/>
      <c r="GK11" s="0"/>
      <c r="GL11" s="0"/>
      <c r="GM11" s="0"/>
      <c r="GN11" s="0"/>
      <c r="GO11" s="0"/>
      <c r="GP11" s="0"/>
      <c r="GQ11" s="0"/>
      <c r="GR11" s="0"/>
      <c r="GS11" s="0"/>
      <c r="GT11" s="0"/>
      <c r="GU11" s="0"/>
      <c r="GV11" s="0"/>
      <c r="GW11" s="0"/>
      <c r="GX11" s="0"/>
      <c r="GY11" s="0"/>
      <c r="GZ11" s="0"/>
      <c r="HA11" s="0"/>
      <c r="HB11" s="0"/>
      <c r="HC11" s="0"/>
      <c r="HD11" s="0"/>
      <c r="HE11" s="0"/>
      <c r="HF11" s="0"/>
      <c r="HG11" s="0"/>
      <c r="HH11" s="0"/>
      <c r="HI11" s="0"/>
      <c r="HJ11" s="0"/>
      <c r="HK11" s="0"/>
      <c r="HL11" s="0"/>
      <c r="HM11" s="0"/>
      <c r="HN11" s="0"/>
      <c r="HO11" s="0"/>
      <c r="HP11" s="0"/>
      <c r="HQ11" s="0"/>
      <c r="HR11" s="0"/>
      <c r="HS11" s="0"/>
      <c r="HT11" s="0"/>
      <c r="HU11" s="0"/>
      <c r="HV11" s="0"/>
      <c r="HW11" s="0"/>
      <c r="HX11" s="0"/>
      <c r="HY11" s="0"/>
      <c r="HZ11" s="0"/>
      <c r="IA11" s="0"/>
      <c r="IB11" s="0"/>
      <c r="IC11" s="0"/>
      <c r="ID11" s="0"/>
      <c r="IE11" s="0"/>
      <c r="IF11" s="0"/>
      <c r="IG11" s="0"/>
      <c r="IH11" s="0"/>
      <c r="II11" s="0"/>
      <c r="IJ11" s="0"/>
      <c r="IK11" s="0"/>
      <c r="IL11" s="0"/>
      <c r="IM11" s="0"/>
      <c r="IN11" s="0"/>
      <c r="IO11" s="0"/>
      <c r="IP11" s="0"/>
      <c r="IQ11" s="0"/>
      <c r="IR11" s="0"/>
      <c r="IS11" s="0"/>
      <c r="IT11" s="0"/>
      <c r="IU11" s="0"/>
      <c r="IV11" s="0"/>
      <c r="IW11" s="0"/>
    </row>
    <row r="12" customFormat="false" ht="11.1" hidden="false" customHeight="true" outlineLevel="0" collapsed="false">
      <c r="A12" s="58" t="n">
        <f aca="false">A11+1</f>
        <v>3</v>
      </c>
      <c r="B12" s="73" t="n">
        <v>6920.19</v>
      </c>
      <c r="C12" s="52" t="n">
        <v>364398</v>
      </c>
      <c r="D12" s="57" t="n">
        <f aca="false">C12-C11</f>
        <v>-521</v>
      </c>
      <c r="E12" s="52" t="n">
        <f aca="false">C12-152000</f>
        <v>212398</v>
      </c>
      <c r="F12" s="51" t="n">
        <f aca="false">D12/$D$2</f>
        <v>-262.667002772876</v>
      </c>
      <c r="G12" s="51" t="n">
        <v>417</v>
      </c>
      <c r="H12" s="53" t="n">
        <v>0</v>
      </c>
      <c r="I12" s="51" t="n">
        <f aca="false">G12+H12</f>
        <v>417</v>
      </c>
      <c r="J12" s="81" t="n">
        <f aca="false">IF(L12&gt;0,L12,0)</f>
        <v>0</v>
      </c>
      <c r="K12" s="51" t="n">
        <f aca="false">I12+J12</f>
        <v>417</v>
      </c>
      <c r="L12" s="51" t="n">
        <f aca="false">F12-(I12-W12)</f>
        <v>-7.66700277287623</v>
      </c>
      <c r="M12" s="51" t="n">
        <v>201</v>
      </c>
      <c r="N12" s="100" t="n">
        <v>0</v>
      </c>
      <c r="O12" s="100" t="n">
        <v>0</v>
      </c>
      <c r="P12" s="6" t="n">
        <f aca="false">M12-(N12+O12)</f>
        <v>201</v>
      </c>
      <c r="Q12" s="51" t="n">
        <v>171</v>
      </c>
      <c r="R12" s="51" t="n">
        <v>90</v>
      </c>
      <c r="S12" s="51" t="n">
        <f aca="false">SUM(P12:R12)</f>
        <v>462</v>
      </c>
      <c r="T12" s="52" t="n">
        <f aca="false">(I12-S12)+T11</f>
        <v>1061</v>
      </c>
      <c r="U12" s="51" t="n">
        <v>19</v>
      </c>
      <c r="V12" s="51" t="n">
        <v>191</v>
      </c>
      <c r="W12" s="6" t="n">
        <f aca="false">N12+O12+S12+U12+V12</f>
        <v>672</v>
      </c>
      <c r="X12" s="51" t="n">
        <f aca="false">IF(L12&lt;0,L12*-1,0)</f>
        <v>7.66700277287623</v>
      </c>
      <c r="Y12" s="51" t="n">
        <f aca="false">W12+X12</f>
        <v>679.667002772876</v>
      </c>
      <c r="Z12" s="56" t="n">
        <v>0.06</v>
      </c>
      <c r="AA12" s="57" t="n">
        <v>84</v>
      </c>
      <c r="AB12" s="57" t="n">
        <v>55</v>
      </c>
      <c r="AC12" s="58" t="n">
        <f aca="false">AC11+1</f>
        <v>3</v>
      </c>
      <c r="AD12" s="92" t="n">
        <f aca="false">IF(I12&gt;S12,I12-S12,I12-S12)</f>
        <v>-45</v>
      </c>
      <c r="AE12" s="12"/>
      <c r="AF12" s="0"/>
      <c r="AG12" s="6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  <c r="BH12" s="0"/>
      <c r="BI12" s="0"/>
      <c r="BJ12" s="0"/>
      <c r="BK12" s="0"/>
      <c r="BL12" s="0"/>
      <c r="BM12" s="0"/>
      <c r="BN12" s="0"/>
      <c r="BO12" s="0"/>
      <c r="BP12" s="0"/>
      <c r="BQ12" s="0"/>
      <c r="BR12" s="0"/>
      <c r="BS12" s="0"/>
      <c r="BT12" s="0"/>
      <c r="BU12" s="0"/>
      <c r="BV12" s="0"/>
      <c r="BW12" s="0"/>
      <c r="BX12" s="0"/>
      <c r="BY12" s="0"/>
      <c r="BZ12" s="0"/>
      <c r="CA12" s="0"/>
      <c r="CB12" s="0"/>
      <c r="CC12" s="0"/>
      <c r="CD12" s="0"/>
      <c r="CE12" s="0"/>
      <c r="CF12" s="0"/>
      <c r="CG12" s="0"/>
      <c r="CH12" s="0"/>
      <c r="CI12" s="0"/>
      <c r="CJ12" s="0"/>
      <c r="CK12" s="0"/>
      <c r="CL12" s="0"/>
      <c r="CM12" s="0"/>
      <c r="CN12" s="0"/>
      <c r="CO12" s="0"/>
      <c r="CP12" s="0"/>
      <c r="CQ12" s="0"/>
      <c r="CR12" s="0"/>
      <c r="CS12" s="0"/>
      <c r="CT12" s="0"/>
      <c r="CU12" s="0"/>
      <c r="CV12" s="0"/>
      <c r="CW12" s="0"/>
      <c r="CX12" s="0"/>
      <c r="CY12" s="0"/>
      <c r="CZ12" s="0"/>
      <c r="DA12" s="0"/>
      <c r="DB12" s="0"/>
      <c r="DC12" s="0"/>
      <c r="DD12" s="0"/>
      <c r="DE12" s="0"/>
      <c r="DF12" s="0"/>
      <c r="DG12" s="0"/>
      <c r="DH12" s="0"/>
      <c r="DI12" s="0"/>
      <c r="DJ12" s="0"/>
      <c r="DK12" s="0"/>
      <c r="DL12" s="0"/>
      <c r="DM12" s="0"/>
      <c r="DN12" s="0"/>
      <c r="DO12" s="0"/>
      <c r="DP12" s="0"/>
      <c r="DQ12" s="0"/>
      <c r="DR12" s="0"/>
      <c r="DS12" s="0"/>
      <c r="DT12" s="0"/>
      <c r="DU12" s="0"/>
      <c r="DV12" s="0"/>
      <c r="DW12" s="0"/>
      <c r="DX12" s="0"/>
      <c r="DY12" s="0"/>
      <c r="DZ12" s="0"/>
      <c r="EA12" s="0"/>
      <c r="EB12" s="0"/>
      <c r="EC12" s="0"/>
      <c r="ED12" s="0"/>
      <c r="EE12" s="0"/>
      <c r="EF12" s="0"/>
      <c r="EG12" s="0"/>
      <c r="EH12" s="0"/>
      <c r="EI12" s="0"/>
      <c r="EJ12" s="0"/>
      <c r="EK12" s="0"/>
      <c r="EL12" s="0"/>
      <c r="EM12" s="0"/>
      <c r="EN12" s="0"/>
      <c r="EO12" s="0"/>
      <c r="EP12" s="0"/>
      <c r="EQ12" s="0"/>
      <c r="ER12" s="0"/>
      <c r="ES12" s="0"/>
      <c r="ET12" s="0"/>
      <c r="EU12" s="0"/>
      <c r="EV12" s="0"/>
      <c r="EW12" s="0"/>
      <c r="EX12" s="0"/>
      <c r="EY12" s="0"/>
      <c r="EZ12" s="0"/>
      <c r="FA12" s="0"/>
      <c r="FB12" s="0"/>
      <c r="FC12" s="0"/>
      <c r="FD12" s="0"/>
      <c r="FE12" s="0"/>
      <c r="FF12" s="0"/>
      <c r="FG12" s="0"/>
      <c r="FH12" s="0"/>
      <c r="FI12" s="0"/>
      <c r="FJ12" s="0"/>
      <c r="FK12" s="0"/>
      <c r="FL12" s="0"/>
      <c r="FM12" s="0"/>
      <c r="FN12" s="0"/>
      <c r="FO12" s="0"/>
      <c r="FP12" s="0"/>
      <c r="FQ12" s="0"/>
      <c r="FR12" s="0"/>
      <c r="FS12" s="0"/>
      <c r="FT12" s="0"/>
      <c r="FU12" s="0"/>
      <c r="FV12" s="0"/>
      <c r="FW12" s="0"/>
      <c r="FX12" s="0"/>
      <c r="FY12" s="0"/>
      <c r="FZ12" s="0"/>
      <c r="GA12" s="0"/>
      <c r="GB12" s="0"/>
      <c r="GC12" s="0"/>
      <c r="GD12" s="0"/>
      <c r="GE12" s="0"/>
      <c r="GF12" s="0"/>
      <c r="GG12" s="0"/>
      <c r="GH12" s="0"/>
      <c r="GI12" s="0"/>
      <c r="GJ12" s="0"/>
      <c r="GK12" s="0"/>
      <c r="GL12" s="0"/>
      <c r="GM12" s="0"/>
      <c r="GN12" s="0"/>
      <c r="GO12" s="0"/>
      <c r="GP12" s="0"/>
      <c r="GQ12" s="0"/>
      <c r="GR12" s="0"/>
      <c r="GS12" s="0"/>
      <c r="GT12" s="0"/>
      <c r="GU12" s="0"/>
      <c r="GV12" s="0"/>
      <c r="GW12" s="0"/>
      <c r="GX12" s="0"/>
      <c r="GY12" s="0"/>
      <c r="GZ12" s="0"/>
      <c r="HA12" s="0"/>
      <c r="HB12" s="0"/>
      <c r="HC12" s="0"/>
      <c r="HD12" s="0"/>
      <c r="HE12" s="0"/>
      <c r="HF12" s="0"/>
      <c r="HG12" s="0"/>
      <c r="HH12" s="0"/>
      <c r="HI12" s="0"/>
      <c r="HJ12" s="0"/>
      <c r="HK12" s="0"/>
      <c r="HL12" s="0"/>
      <c r="HM12" s="0"/>
      <c r="HN12" s="0"/>
      <c r="HO12" s="0"/>
      <c r="HP12" s="0"/>
      <c r="HQ12" s="0"/>
      <c r="HR12" s="0"/>
      <c r="HS12" s="0"/>
      <c r="HT12" s="0"/>
      <c r="HU12" s="0"/>
      <c r="HV12" s="0"/>
      <c r="HW12" s="0"/>
      <c r="HX12" s="0"/>
      <c r="HY12" s="0"/>
      <c r="HZ12" s="0"/>
      <c r="IA12" s="0"/>
      <c r="IB12" s="0"/>
      <c r="IC12" s="0"/>
      <c r="ID12" s="0"/>
      <c r="IE12" s="0"/>
      <c r="IF12" s="0"/>
      <c r="IG12" s="0"/>
      <c r="IH12" s="0"/>
      <c r="II12" s="0"/>
      <c r="IJ12" s="0"/>
      <c r="IK12" s="0"/>
      <c r="IL12" s="0"/>
      <c r="IM12" s="0"/>
      <c r="IN12" s="0"/>
      <c r="IO12" s="0"/>
      <c r="IP12" s="0"/>
      <c r="IQ12" s="0"/>
      <c r="IR12" s="0"/>
      <c r="IS12" s="0"/>
      <c r="IT12" s="0"/>
      <c r="IU12" s="0"/>
      <c r="IV12" s="0"/>
      <c r="IW12" s="0"/>
    </row>
    <row r="13" customFormat="false" ht="11.1" hidden="false" customHeight="true" outlineLevel="0" collapsed="false">
      <c r="A13" s="58" t="n">
        <f aca="false">A12+1</f>
        <v>4</v>
      </c>
      <c r="B13" s="73" t="n">
        <v>6920.05</v>
      </c>
      <c r="C13" s="52" t="n">
        <v>363790</v>
      </c>
      <c r="D13" s="57" t="n">
        <f aca="false">C13-C12</f>
        <v>-608</v>
      </c>
      <c r="E13" s="52" t="n">
        <f aca="false">C13-152000</f>
        <v>211790</v>
      </c>
      <c r="F13" s="51" t="n">
        <f aca="false">D13/$D$2</f>
        <v>-306.528863120746</v>
      </c>
      <c r="G13" s="51" t="n">
        <v>409</v>
      </c>
      <c r="H13" s="53" t="n">
        <v>0</v>
      </c>
      <c r="I13" s="51" t="n">
        <f aca="false">G13+H13</f>
        <v>409</v>
      </c>
      <c r="J13" s="81" t="n">
        <f aca="false">IF(L13&gt;0,L13,0)</f>
        <v>0</v>
      </c>
      <c r="K13" s="51" t="n">
        <f aca="false">I13+J13</f>
        <v>409</v>
      </c>
      <c r="L13" s="51" t="n">
        <f aca="false">F13-(I13-W13)</f>
        <v>-69.5288631207462</v>
      </c>
      <c r="M13" s="51" t="n">
        <v>185</v>
      </c>
      <c r="N13" s="100" t="n">
        <v>0</v>
      </c>
      <c r="O13" s="100" t="n">
        <v>0</v>
      </c>
      <c r="P13" s="6" t="n">
        <f aca="false">M13-(N13+O13)</f>
        <v>185</v>
      </c>
      <c r="Q13" s="51" t="n">
        <v>171</v>
      </c>
      <c r="R13" s="51" t="n">
        <v>88</v>
      </c>
      <c r="S13" s="51" t="n">
        <f aca="false">SUM(P13:R13)</f>
        <v>444</v>
      </c>
      <c r="T13" s="52" t="n">
        <f aca="false">(I13-S13)+T12</f>
        <v>1026</v>
      </c>
      <c r="U13" s="51" t="n">
        <v>11</v>
      </c>
      <c r="V13" s="51" t="n">
        <v>191</v>
      </c>
      <c r="W13" s="6" t="n">
        <f aca="false">N13+O13+S13+U13+V13</f>
        <v>646</v>
      </c>
      <c r="X13" s="51" t="n">
        <f aca="false">IF(L13&lt;0,L13*-1,0)</f>
        <v>69.5288631207462</v>
      </c>
      <c r="Y13" s="51" t="n">
        <f aca="false">W13+X13</f>
        <v>715.528863120746</v>
      </c>
      <c r="Z13" s="56" t="n">
        <v>0.01</v>
      </c>
      <c r="AA13" s="57" t="n">
        <v>86</v>
      </c>
      <c r="AB13" s="57" t="n">
        <v>55</v>
      </c>
      <c r="AC13" s="58" t="n">
        <f aca="false">AC12+1</f>
        <v>4</v>
      </c>
      <c r="AD13" s="92" t="n">
        <f aca="false">IF(I13&gt;S13,I13-S13,I13-S13)</f>
        <v>-35</v>
      </c>
      <c r="AE13" s="12"/>
      <c r="AF13" s="0"/>
      <c r="AG13" s="6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  <c r="BH13" s="0"/>
      <c r="BI13" s="0"/>
      <c r="BJ13" s="0"/>
      <c r="BK13" s="0"/>
      <c r="BL13" s="0"/>
      <c r="BM13" s="0"/>
      <c r="BN13" s="0"/>
      <c r="BO13" s="0"/>
      <c r="BP13" s="0"/>
      <c r="BQ13" s="0"/>
      <c r="BR13" s="0"/>
      <c r="BS13" s="0"/>
      <c r="BT13" s="0"/>
      <c r="BU13" s="0"/>
      <c r="BV13" s="0"/>
      <c r="BW13" s="0"/>
      <c r="BX13" s="0"/>
      <c r="BY13" s="0"/>
      <c r="BZ13" s="0"/>
      <c r="CA13" s="0"/>
      <c r="CB13" s="0"/>
      <c r="CC13" s="0"/>
      <c r="CD13" s="0"/>
      <c r="CE13" s="0"/>
      <c r="CF13" s="0"/>
      <c r="CG13" s="0"/>
      <c r="CH13" s="0"/>
      <c r="CI13" s="0"/>
      <c r="CJ13" s="0"/>
      <c r="CK13" s="0"/>
      <c r="CL13" s="0"/>
      <c r="CM13" s="0"/>
      <c r="CN13" s="0"/>
      <c r="CO13" s="0"/>
      <c r="CP13" s="0"/>
      <c r="CQ13" s="0"/>
      <c r="CR13" s="0"/>
      <c r="CS13" s="0"/>
      <c r="CT13" s="0"/>
      <c r="CU13" s="0"/>
      <c r="CV13" s="0"/>
      <c r="CW13" s="0"/>
      <c r="CX13" s="0"/>
      <c r="CY13" s="0"/>
      <c r="CZ13" s="0"/>
      <c r="DA13" s="0"/>
      <c r="DB13" s="0"/>
      <c r="DC13" s="0"/>
      <c r="DD13" s="0"/>
      <c r="DE13" s="0"/>
      <c r="DF13" s="0"/>
      <c r="DG13" s="0"/>
      <c r="DH13" s="0"/>
      <c r="DI13" s="0"/>
      <c r="DJ13" s="0"/>
      <c r="DK13" s="0"/>
      <c r="DL13" s="0"/>
      <c r="DM13" s="0"/>
      <c r="DN13" s="0"/>
      <c r="DO13" s="0"/>
      <c r="DP13" s="0"/>
      <c r="DQ13" s="0"/>
      <c r="DR13" s="0"/>
      <c r="DS13" s="0"/>
      <c r="DT13" s="0"/>
      <c r="DU13" s="0"/>
      <c r="DV13" s="0"/>
      <c r="DW13" s="0"/>
      <c r="DX13" s="0"/>
      <c r="DY13" s="0"/>
      <c r="DZ13" s="0"/>
      <c r="EA13" s="0"/>
      <c r="EB13" s="0"/>
      <c r="EC13" s="0"/>
      <c r="ED13" s="0"/>
      <c r="EE13" s="0"/>
      <c r="EF13" s="0"/>
      <c r="EG13" s="0"/>
      <c r="EH13" s="0"/>
      <c r="EI13" s="0"/>
      <c r="EJ13" s="0"/>
      <c r="EK13" s="0"/>
      <c r="EL13" s="0"/>
      <c r="EM13" s="0"/>
      <c r="EN13" s="0"/>
      <c r="EO13" s="0"/>
      <c r="EP13" s="0"/>
      <c r="EQ13" s="0"/>
      <c r="ER13" s="0"/>
      <c r="ES13" s="0"/>
      <c r="ET13" s="0"/>
      <c r="EU13" s="0"/>
      <c r="EV13" s="0"/>
      <c r="EW13" s="0"/>
      <c r="EX13" s="0"/>
      <c r="EY13" s="0"/>
      <c r="EZ13" s="0"/>
      <c r="FA13" s="0"/>
      <c r="FB13" s="0"/>
      <c r="FC13" s="0"/>
      <c r="FD13" s="0"/>
      <c r="FE13" s="0"/>
      <c r="FF13" s="0"/>
      <c r="FG13" s="0"/>
      <c r="FH13" s="0"/>
      <c r="FI13" s="0"/>
      <c r="FJ13" s="0"/>
      <c r="FK13" s="0"/>
      <c r="FL13" s="0"/>
      <c r="FM13" s="0"/>
      <c r="FN13" s="0"/>
      <c r="FO13" s="0"/>
      <c r="FP13" s="0"/>
      <c r="FQ13" s="0"/>
      <c r="FR13" s="0"/>
      <c r="FS13" s="0"/>
      <c r="FT13" s="0"/>
      <c r="FU13" s="0"/>
      <c r="FV13" s="0"/>
      <c r="FW13" s="0"/>
      <c r="FX13" s="0"/>
      <c r="FY13" s="0"/>
      <c r="FZ13" s="0"/>
      <c r="GA13" s="0"/>
      <c r="GB13" s="0"/>
      <c r="GC13" s="0"/>
      <c r="GD13" s="0"/>
      <c r="GE13" s="0"/>
      <c r="GF13" s="0"/>
      <c r="GG13" s="0"/>
      <c r="GH13" s="0"/>
      <c r="GI13" s="0"/>
      <c r="GJ13" s="0"/>
      <c r="GK13" s="0"/>
      <c r="GL13" s="0"/>
      <c r="GM13" s="0"/>
      <c r="GN13" s="0"/>
      <c r="GO13" s="0"/>
      <c r="GP13" s="0"/>
      <c r="GQ13" s="0"/>
      <c r="GR13" s="0"/>
      <c r="GS13" s="0"/>
      <c r="GT13" s="0"/>
      <c r="GU13" s="0"/>
      <c r="GV13" s="0"/>
      <c r="GW13" s="0"/>
      <c r="GX13" s="0"/>
      <c r="GY13" s="0"/>
      <c r="GZ13" s="0"/>
      <c r="HA13" s="0"/>
      <c r="HB13" s="0"/>
      <c r="HC13" s="0"/>
      <c r="HD13" s="0"/>
      <c r="HE13" s="0"/>
      <c r="HF13" s="0"/>
      <c r="HG13" s="0"/>
      <c r="HH13" s="0"/>
      <c r="HI13" s="0"/>
      <c r="HJ13" s="0"/>
      <c r="HK13" s="0"/>
      <c r="HL13" s="0"/>
      <c r="HM13" s="0"/>
      <c r="HN13" s="0"/>
      <c r="HO13" s="0"/>
      <c r="HP13" s="0"/>
      <c r="HQ13" s="0"/>
      <c r="HR13" s="0"/>
      <c r="HS13" s="0"/>
      <c r="HT13" s="0"/>
      <c r="HU13" s="0"/>
      <c r="HV13" s="0"/>
      <c r="HW13" s="0"/>
      <c r="HX13" s="0"/>
      <c r="HY13" s="0"/>
      <c r="HZ13" s="0"/>
      <c r="IA13" s="0"/>
      <c r="IB13" s="0"/>
      <c r="IC13" s="0"/>
      <c r="ID13" s="0"/>
      <c r="IE13" s="0"/>
      <c r="IF13" s="0"/>
      <c r="IG13" s="0"/>
      <c r="IH13" s="0"/>
      <c r="II13" s="0"/>
      <c r="IJ13" s="0"/>
      <c r="IK13" s="0"/>
      <c r="IL13" s="0"/>
      <c r="IM13" s="0"/>
      <c r="IN13" s="0"/>
      <c r="IO13" s="0"/>
      <c r="IP13" s="0"/>
      <c r="IQ13" s="0"/>
      <c r="IR13" s="0"/>
      <c r="IS13" s="0"/>
      <c r="IT13" s="0"/>
      <c r="IU13" s="0"/>
      <c r="IV13" s="0"/>
      <c r="IW13" s="0"/>
    </row>
    <row r="14" customFormat="false" ht="11.1" hidden="false" customHeight="true" outlineLevel="0" collapsed="false">
      <c r="A14" s="58" t="n">
        <f aca="false">A13+1</f>
        <v>5</v>
      </c>
      <c r="B14" s="73" t="n">
        <v>6919.95</v>
      </c>
      <c r="C14" s="52" t="n">
        <v>363358</v>
      </c>
      <c r="D14" s="57" t="n">
        <f aca="false">C14-C13</f>
        <v>-432</v>
      </c>
      <c r="E14" s="52" t="n">
        <f aca="false">C14-152000</f>
        <v>211358</v>
      </c>
      <c r="F14" s="51" t="n">
        <f aca="false">D14/$D$2</f>
        <v>-217.79682379632</v>
      </c>
      <c r="G14" s="51" t="n">
        <v>382</v>
      </c>
      <c r="H14" s="53" t="n">
        <v>0</v>
      </c>
      <c r="I14" s="51" t="n">
        <f aca="false">G14+H14</f>
        <v>382</v>
      </c>
      <c r="J14" s="81" t="n">
        <f aca="false">IF(L14&gt;0,L14,0)</f>
        <v>36.2031762036804</v>
      </c>
      <c r="K14" s="51" t="n">
        <f aca="false">I14+J14</f>
        <v>418.20317620368</v>
      </c>
      <c r="L14" s="51" t="n">
        <f aca="false">F14-(I14-W14)</f>
        <v>36.2031762036804</v>
      </c>
      <c r="M14" s="51" t="n">
        <v>178</v>
      </c>
      <c r="N14" s="100" t="n">
        <v>0</v>
      </c>
      <c r="O14" s="100" t="n">
        <v>0</v>
      </c>
      <c r="P14" s="6" t="n">
        <f aca="false">M14-(N14+O14)</f>
        <v>178</v>
      </c>
      <c r="Q14" s="51" t="n">
        <v>171</v>
      </c>
      <c r="R14" s="51" t="n">
        <v>82</v>
      </c>
      <c r="S14" s="51" t="n">
        <f aca="false">SUM(P14:R14)</f>
        <v>431</v>
      </c>
      <c r="T14" s="52" t="n">
        <f aca="false">(I14-S14)+T13</f>
        <v>977</v>
      </c>
      <c r="U14" s="51" t="n">
        <v>14</v>
      </c>
      <c r="V14" s="51" t="n">
        <v>191</v>
      </c>
      <c r="W14" s="6" t="n">
        <f aca="false">N14+O14+S14+U14+V14</f>
        <v>636</v>
      </c>
      <c r="X14" s="51" t="n">
        <f aca="false">IF(L14&lt;0,L14*-1,0)</f>
        <v>0</v>
      </c>
      <c r="Y14" s="51" t="n">
        <f aca="false">W14+X14</f>
        <v>636</v>
      </c>
      <c r="Z14" s="56" t="n">
        <v>0.01</v>
      </c>
      <c r="AA14" s="57" t="n">
        <v>86</v>
      </c>
      <c r="AB14" s="57" t="n">
        <v>55</v>
      </c>
      <c r="AC14" s="58" t="n">
        <f aca="false">AC13+1</f>
        <v>5</v>
      </c>
      <c r="AD14" s="92" t="n">
        <f aca="false">IF(I14&gt;S14,I14-S14,I14-S14)</f>
        <v>-49</v>
      </c>
      <c r="AE14" s="12"/>
      <c r="AF14" s="0"/>
      <c r="AG14" s="6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  <c r="BH14" s="0"/>
      <c r="BI14" s="0"/>
      <c r="BJ14" s="0"/>
      <c r="BK14" s="0"/>
      <c r="BL14" s="0"/>
      <c r="BM14" s="0"/>
      <c r="BN14" s="0"/>
      <c r="BO14" s="0"/>
      <c r="BP14" s="0"/>
      <c r="BQ14" s="0"/>
      <c r="BR14" s="0"/>
      <c r="BS14" s="0"/>
      <c r="BT14" s="0"/>
      <c r="BU14" s="0"/>
      <c r="BV14" s="0"/>
      <c r="BW14" s="0"/>
      <c r="BX14" s="0"/>
      <c r="BY14" s="0"/>
      <c r="BZ14" s="0"/>
      <c r="CA14" s="0"/>
      <c r="CB14" s="0"/>
      <c r="CC14" s="0"/>
      <c r="CD14" s="0"/>
      <c r="CE14" s="0"/>
      <c r="CF14" s="0"/>
      <c r="CG14" s="0"/>
      <c r="CH14" s="0"/>
      <c r="CI14" s="0"/>
      <c r="CJ14" s="0"/>
      <c r="CK14" s="0"/>
      <c r="CL14" s="0"/>
      <c r="CM14" s="0"/>
      <c r="CN14" s="0"/>
      <c r="CO14" s="0"/>
      <c r="CP14" s="0"/>
      <c r="CQ14" s="0"/>
      <c r="CR14" s="0"/>
      <c r="CS14" s="0"/>
      <c r="CT14" s="0"/>
      <c r="CU14" s="0"/>
      <c r="CV14" s="0"/>
      <c r="CW14" s="0"/>
      <c r="CX14" s="0"/>
      <c r="CY14" s="0"/>
      <c r="CZ14" s="0"/>
      <c r="DA14" s="0"/>
      <c r="DB14" s="0"/>
      <c r="DC14" s="0"/>
      <c r="DD14" s="0"/>
      <c r="DE14" s="0"/>
      <c r="DF14" s="0"/>
      <c r="DG14" s="0"/>
      <c r="DH14" s="0"/>
      <c r="DI14" s="0"/>
      <c r="DJ14" s="0"/>
      <c r="DK14" s="0"/>
      <c r="DL14" s="0"/>
      <c r="DM14" s="0"/>
      <c r="DN14" s="0"/>
      <c r="DO14" s="0"/>
      <c r="DP14" s="0"/>
      <c r="DQ14" s="0"/>
      <c r="DR14" s="0"/>
      <c r="DS14" s="0"/>
      <c r="DT14" s="0"/>
      <c r="DU14" s="0"/>
      <c r="DV14" s="0"/>
      <c r="DW14" s="0"/>
      <c r="DX14" s="0"/>
      <c r="DY14" s="0"/>
      <c r="DZ14" s="0"/>
      <c r="EA14" s="0"/>
      <c r="EB14" s="0"/>
      <c r="EC14" s="0"/>
      <c r="ED14" s="0"/>
      <c r="EE14" s="0"/>
      <c r="EF14" s="0"/>
      <c r="EG14" s="0"/>
      <c r="EH14" s="0"/>
      <c r="EI14" s="0"/>
      <c r="EJ14" s="0"/>
      <c r="EK14" s="0"/>
      <c r="EL14" s="0"/>
      <c r="EM14" s="0"/>
      <c r="EN14" s="0"/>
      <c r="EO14" s="0"/>
      <c r="EP14" s="0"/>
      <c r="EQ14" s="0"/>
      <c r="ER14" s="0"/>
      <c r="ES14" s="0"/>
      <c r="ET14" s="0"/>
      <c r="EU14" s="0"/>
      <c r="EV14" s="0"/>
      <c r="EW14" s="0"/>
      <c r="EX14" s="0"/>
      <c r="EY14" s="0"/>
      <c r="EZ14" s="0"/>
      <c r="FA14" s="0"/>
      <c r="FB14" s="0"/>
      <c r="FC14" s="0"/>
      <c r="FD14" s="0"/>
      <c r="FE14" s="0"/>
      <c r="FF14" s="0"/>
      <c r="FG14" s="0"/>
      <c r="FH14" s="0"/>
      <c r="FI14" s="0"/>
      <c r="FJ14" s="0"/>
      <c r="FK14" s="0"/>
      <c r="FL14" s="0"/>
      <c r="FM14" s="0"/>
      <c r="FN14" s="0"/>
      <c r="FO14" s="0"/>
      <c r="FP14" s="0"/>
      <c r="FQ14" s="0"/>
      <c r="FR14" s="0"/>
      <c r="FS14" s="0"/>
      <c r="FT14" s="0"/>
      <c r="FU14" s="0"/>
      <c r="FV14" s="0"/>
      <c r="FW14" s="0"/>
      <c r="FX14" s="0"/>
      <c r="FY14" s="0"/>
      <c r="FZ14" s="0"/>
      <c r="GA14" s="0"/>
      <c r="GB14" s="0"/>
      <c r="GC14" s="0"/>
      <c r="GD14" s="0"/>
      <c r="GE14" s="0"/>
      <c r="GF14" s="0"/>
      <c r="GG14" s="0"/>
      <c r="GH14" s="0"/>
      <c r="GI14" s="0"/>
      <c r="GJ14" s="0"/>
      <c r="GK14" s="0"/>
      <c r="GL14" s="0"/>
      <c r="GM14" s="0"/>
      <c r="GN14" s="0"/>
      <c r="GO14" s="0"/>
      <c r="GP14" s="0"/>
      <c r="GQ14" s="0"/>
      <c r="GR14" s="0"/>
      <c r="GS14" s="0"/>
      <c r="GT14" s="0"/>
      <c r="GU14" s="0"/>
      <c r="GV14" s="0"/>
      <c r="GW14" s="0"/>
      <c r="GX14" s="0"/>
      <c r="GY14" s="0"/>
      <c r="GZ14" s="0"/>
      <c r="HA14" s="0"/>
      <c r="HB14" s="0"/>
      <c r="HC14" s="0"/>
      <c r="HD14" s="0"/>
      <c r="HE14" s="0"/>
      <c r="HF14" s="0"/>
      <c r="HG14" s="0"/>
      <c r="HH14" s="0"/>
      <c r="HI14" s="0"/>
      <c r="HJ14" s="0"/>
      <c r="HK14" s="0"/>
      <c r="HL14" s="0"/>
      <c r="HM14" s="0"/>
      <c r="HN14" s="0"/>
      <c r="HO14" s="0"/>
      <c r="HP14" s="0"/>
      <c r="HQ14" s="0"/>
      <c r="HR14" s="0"/>
      <c r="HS14" s="0"/>
      <c r="HT14" s="0"/>
      <c r="HU14" s="0"/>
      <c r="HV14" s="0"/>
      <c r="HW14" s="0"/>
      <c r="HX14" s="0"/>
      <c r="HY14" s="0"/>
      <c r="HZ14" s="0"/>
      <c r="IA14" s="0"/>
      <c r="IB14" s="0"/>
      <c r="IC14" s="0"/>
      <c r="ID14" s="0"/>
      <c r="IE14" s="0"/>
      <c r="IF14" s="0"/>
      <c r="IG14" s="0"/>
      <c r="IH14" s="0"/>
      <c r="II14" s="0"/>
      <c r="IJ14" s="0"/>
      <c r="IK14" s="0"/>
      <c r="IL14" s="0"/>
      <c r="IM14" s="0"/>
      <c r="IN14" s="0"/>
      <c r="IO14" s="0"/>
      <c r="IP14" s="0"/>
      <c r="IQ14" s="0"/>
      <c r="IR14" s="0"/>
      <c r="IS14" s="0"/>
      <c r="IT14" s="0"/>
      <c r="IU14" s="0"/>
      <c r="IV14" s="0"/>
      <c r="IW14" s="0"/>
    </row>
    <row r="15" customFormat="false" ht="11.1" hidden="false" customHeight="true" outlineLevel="0" collapsed="false">
      <c r="A15" s="58" t="n">
        <f aca="false">A14+1</f>
        <v>6</v>
      </c>
      <c r="B15" s="73" t="n">
        <v>6919.84</v>
      </c>
      <c r="C15" s="52" t="n">
        <v>362884</v>
      </c>
      <c r="D15" s="57" t="n">
        <f aca="false">C15-C14</f>
        <v>-474</v>
      </c>
      <c r="E15" s="52" t="n">
        <f aca="false">C15-152000</f>
        <v>210884</v>
      </c>
      <c r="F15" s="51" t="n">
        <f aca="false">D15/$D$2</f>
        <v>-238.97151499874</v>
      </c>
      <c r="G15" s="51" t="n">
        <v>352</v>
      </c>
      <c r="H15" s="53" t="n">
        <v>0</v>
      </c>
      <c r="I15" s="51" t="n">
        <f aca="false">G15+H15</f>
        <v>352</v>
      </c>
      <c r="J15" s="81" t="n">
        <f aca="false">IF(L15&gt;0,L15,0)</f>
        <v>16.0284850012604</v>
      </c>
      <c r="K15" s="51" t="n">
        <f aca="false">I15+J15</f>
        <v>368.02848500126</v>
      </c>
      <c r="L15" s="51" t="n">
        <f aca="false">F15-(I15-W15)</f>
        <v>16.0284850012604</v>
      </c>
      <c r="M15" s="51" t="n">
        <v>161</v>
      </c>
      <c r="N15" s="100" t="n">
        <v>0</v>
      </c>
      <c r="O15" s="100" t="n">
        <v>0</v>
      </c>
      <c r="P15" s="6" t="n">
        <f aca="false">M15-(N15+O15)</f>
        <v>161</v>
      </c>
      <c r="Q15" s="51" t="n">
        <v>171</v>
      </c>
      <c r="R15" s="51" t="n">
        <v>81</v>
      </c>
      <c r="S15" s="51" t="n">
        <f aca="false">SUM(P15:R15)</f>
        <v>413</v>
      </c>
      <c r="T15" s="52" t="n">
        <f aca="false">(I15-S15)+T14</f>
        <v>916</v>
      </c>
      <c r="U15" s="51" t="n">
        <v>0</v>
      </c>
      <c r="V15" s="51" t="n">
        <v>194</v>
      </c>
      <c r="W15" s="6" t="n">
        <f aca="false">N15+O15+S15+U15+V15</f>
        <v>607</v>
      </c>
      <c r="X15" s="51" t="n">
        <f aca="false">IF(L15&lt;0,L15*-1,0)</f>
        <v>0</v>
      </c>
      <c r="Y15" s="51" t="n">
        <f aca="false">W15+X15</f>
        <v>607</v>
      </c>
      <c r="Z15" s="56" t="n">
        <v>0.62</v>
      </c>
      <c r="AA15" s="57" t="n">
        <v>83</v>
      </c>
      <c r="AB15" s="57" t="n">
        <v>57</v>
      </c>
      <c r="AC15" s="58" t="n">
        <f aca="false">AC14+1</f>
        <v>6</v>
      </c>
      <c r="AD15" s="92" t="n">
        <f aca="false">IF(I15&gt;S15,I15-S15,I15-S15)</f>
        <v>-61</v>
      </c>
      <c r="AE15" s="12"/>
      <c r="AF15" s="0"/>
      <c r="AG15" s="6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  <c r="BH15" s="0"/>
      <c r="BI15" s="0"/>
      <c r="BJ15" s="0"/>
      <c r="BK15" s="0"/>
      <c r="BL15" s="0"/>
      <c r="BM15" s="0"/>
      <c r="BN15" s="0"/>
      <c r="BO15" s="0"/>
      <c r="BP15" s="0"/>
      <c r="BQ15" s="0"/>
      <c r="BR15" s="0"/>
      <c r="BS15" s="0"/>
      <c r="BT15" s="0"/>
      <c r="BU15" s="0"/>
      <c r="BV15" s="0"/>
      <c r="BW15" s="0"/>
      <c r="BX15" s="0"/>
      <c r="BY15" s="0"/>
      <c r="BZ15" s="0"/>
      <c r="CA15" s="0"/>
      <c r="CB15" s="0"/>
      <c r="CC15" s="0"/>
      <c r="CD15" s="0"/>
      <c r="CE15" s="0"/>
      <c r="CF15" s="0"/>
      <c r="CG15" s="0"/>
      <c r="CH15" s="0"/>
      <c r="CI15" s="0"/>
      <c r="CJ15" s="0"/>
      <c r="CK15" s="0"/>
      <c r="CL15" s="0"/>
      <c r="CM15" s="0"/>
      <c r="CN15" s="0"/>
      <c r="CO15" s="0"/>
      <c r="CP15" s="0"/>
      <c r="CQ15" s="0"/>
      <c r="CR15" s="0"/>
      <c r="CS15" s="0"/>
      <c r="CT15" s="0"/>
      <c r="CU15" s="0"/>
      <c r="CV15" s="0"/>
      <c r="CW15" s="0"/>
      <c r="CX15" s="0"/>
      <c r="CY15" s="0"/>
      <c r="CZ15" s="0"/>
      <c r="DA15" s="0"/>
      <c r="DB15" s="0"/>
      <c r="DC15" s="0"/>
      <c r="DD15" s="0"/>
      <c r="DE15" s="0"/>
      <c r="DF15" s="0"/>
      <c r="DG15" s="0"/>
      <c r="DH15" s="0"/>
      <c r="DI15" s="0"/>
      <c r="DJ15" s="0"/>
      <c r="DK15" s="0"/>
      <c r="DL15" s="0"/>
      <c r="DM15" s="0"/>
      <c r="DN15" s="0"/>
      <c r="DO15" s="0"/>
      <c r="DP15" s="0"/>
      <c r="DQ15" s="0"/>
      <c r="DR15" s="0"/>
      <c r="DS15" s="0"/>
      <c r="DT15" s="0"/>
      <c r="DU15" s="0"/>
      <c r="DV15" s="0"/>
      <c r="DW15" s="0"/>
      <c r="DX15" s="0"/>
      <c r="DY15" s="0"/>
      <c r="DZ15" s="0"/>
      <c r="EA15" s="0"/>
      <c r="EB15" s="0"/>
      <c r="EC15" s="0"/>
      <c r="ED15" s="0"/>
      <c r="EE15" s="0"/>
      <c r="EF15" s="0"/>
      <c r="EG15" s="0"/>
      <c r="EH15" s="0"/>
      <c r="EI15" s="0"/>
      <c r="EJ15" s="0"/>
      <c r="EK15" s="0"/>
      <c r="EL15" s="0"/>
      <c r="EM15" s="0"/>
      <c r="EN15" s="0"/>
      <c r="EO15" s="0"/>
      <c r="EP15" s="0"/>
      <c r="EQ15" s="0"/>
      <c r="ER15" s="0"/>
      <c r="ES15" s="0"/>
      <c r="ET15" s="0"/>
      <c r="EU15" s="0"/>
      <c r="EV15" s="0"/>
      <c r="EW15" s="0"/>
      <c r="EX15" s="0"/>
      <c r="EY15" s="0"/>
      <c r="EZ15" s="0"/>
      <c r="FA15" s="0"/>
      <c r="FB15" s="0"/>
      <c r="FC15" s="0"/>
      <c r="FD15" s="0"/>
      <c r="FE15" s="0"/>
      <c r="FF15" s="0"/>
      <c r="FG15" s="0"/>
      <c r="FH15" s="0"/>
      <c r="FI15" s="0"/>
      <c r="FJ15" s="0"/>
      <c r="FK15" s="0"/>
      <c r="FL15" s="0"/>
      <c r="FM15" s="0"/>
      <c r="FN15" s="0"/>
      <c r="FO15" s="0"/>
      <c r="FP15" s="0"/>
      <c r="FQ15" s="0"/>
      <c r="FR15" s="0"/>
      <c r="FS15" s="0"/>
      <c r="FT15" s="0"/>
      <c r="FU15" s="0"/>
      <c r="FV15" s="0"/>
      <c r="FW15" s="0"/>
      <c r="FX15" s="0"/>
      <c r="FY15" s="0"/>
      <c r="FZ15" s="0"/>
      <c r="GA15" s="0"/>
      <c r="GB15" s="0"/>
      <c r="GC15" s="0"/>
      <c r="GD15" s="0"/>
      <c r="GE15" s="0"/>
      <c r="GF15" s="0"/>
      <c r="GG15" s="0"/>
      <c r="GH15" s="0"/>
      <c r="GI15" s="0"/>
      <c r="GJ15" s="0"/>
      <c r="GK15" s="0"/>
      <c r="GL15" s="0"/>
      <c r="GM15" s="0"/>
      <c r="GN15" s="0"/>
      <c r="GO15" s="0"/>
      <c r="GP15" s="0"/>
      <c r="GQ15" s="0"/>
      <c r="GR15" s="0"/>
      <c r="GS15" s="0"/>
      <c r="GT15" s="0"/>
      <c r="GU15" s="0"/>
      <c r="GV15" s="0"/>
      <c r="GW15" s="0"/>
      <c r="GX15" s="0"/>
      <c r="GY15" s="0"/>
      <c r="GZ15" s="0"/>
      <c r="HA15" s="0"/>
      <c r="HB15" s="0"/>
      <c r="HC15" s="0"/>
      <c r="HD15" s="0"/>
      <c r="HE15" s="0"/>
      <c r="HF15" s="0"/>
      <c r="HG15" s="0"/>
      <c r="HH15" s="0"/>
      <c r="HI15" s="0"/>
      <c r="HJ15" s="0"/>
      <c r="HK15" s="0"/>
      <c r="HL15" s="0"/>
      <c r="HM15" s="0"/>
      <c r="HN15" s="0"/>
      <c r="HO15" s="0"/>
      <c r="HP15" s="0"/>
      <c r="HQ15" s="0"/>
      <c r="HR15" s="0"/>
      <c r="HS15" s="0"/>
      <c r="HT15" s="0"/>
      <c r="HU15" s="0"/>
      <c r="HV15" s="0"/>
      <c r="HW15" s="0"/>
      <c r="HX15" s="0"/>
      <c r="HY15" s="0"/>
      <c r="HZ15" s="0"/>
      <c r="IA15" s="0"/>
      <c r="IB15" s="0"/>
      <c r="IC15" s="0"/>
      <c r="ID15" s="0"/>
      <c r="IE15" s="0"/>
      <c r="IF15" s="0"/>
      <c r="IG15" s="0"/>
      <c r="IH15" s="0"/>
      <c r="II15" s="0"/>
      <c r="IJ15" s="0"/>
      <c r="IK15" s="0"/>
      <c r="IL15" s="0"/>
      <c r="IM15" s="0"/>
      <c r="IN15" s="0"/>
      <c r="IO15" s="0"/>
      <c r="IP15" s="0"/>
      <c r="IQ15" s="0"/>
      <c r="IR15" s="0"/>
      <c r="IS15" s="0"/>
      <c r="IT15" s="0"/>
      <c r="IU15" s="0"/>
      <c r="IV15" s="0"/>
      <c r="IW15" s="0"/>
    </row>
    <row r="16" customFormat="false" ht="11.1" hidden="false" customHeight="true" outlineLevel="0" collapsed="false">
      <c r="A16" s="58" t="n">
        <f aca="false">A15+1</f>
        <v>7</v>
      </c>
      <c r="B16" s="73" t="n">
        <v>6919.74</v>
      </c>
      <c r="C16" s="52" t="n">
        <v>362453</v>
      </c>
      <c r="D16" s="57" t="n">
        <f aca="false">C16-C15</f>
        <v>-431</v>
      </c>
      <c r="E16" s="52" t="n">
        <f aca="false">C16-152000</f>
        <v>210453</v>
      </c>
      <c r="F16" s="51" t="n">
        <f aca="false">D16/$D$2</f>
        <v>-217.292664481976</v>
      </c>
      <c r="G16" s="51" t="n">
        <v>474</v>
      </c>
      <c r="H16" s="53" t="n">
        <v>0</v>
      </c>
      <c r="I16" s="51" t="n">
        <f aca="false">G16+H16</f>
        <v>474</v>
      </c>
      <c r="J16" s="81" t="n">
        <f aca="false">IF(L16&gt;0,L16,0)</f>
        <v>0</v>
      </c>
      <c r="K16" s="51" t="n">
        <f aca="false">I16+J16</f>
        <v>474</v>
      </c>
      <c r="L16" s="51" t="n">
        <f aca="false">F16-(I16-W16)</f>
        <v>-70.2926644819763</v>
      </c>
      <c r="M16" s="51" t="n">
        <v>153</v>
      </c>
      <c r="N16" s="100" t="n">
        <v>0</v>
      </c>
      <c r="O16" s="100" t="n">
        <v>0</v>
      </c>
      <c r="P16" s="6" t="n">
        <f aca="false">M16-(N16+O16)</f>
        <v>153</v>
      </c>
      <c r="Q16" s="51" t="n">
        <v>171</v>
      </c>
      <c r="R16" s="51" t="n">
        <v>77</v>
      </c>
      <c r="S16" s="51" t="n">
        <f aca="false">SUM(P16:R16)</f>
        <v>401</v>
      </c>
      <c r="T16" s="52" t="n">
        <f aca="false">(I16-S16)+T15</f>
        <v>989</v>
      </c>
      <c r="U16" s="51" t="n">
        <v>28</v>
      </c>
      <c r="V16" s="51" t="n">
        <v>192</v>
      </c>
      <c r="W16" s="6" t="n">
        <f aca="false">N16+O16+S16+U16+V16</f>
        <v>621</v>
      </c>
      <c r="X16" s="51" t="n">
        <f aca="false">IF(L16&lt;0,L16*-1,0)</f>
        <v>70.2926644819763</v>
      </c>
      <c r="Y16" s="51" t="n">
        <f aca="false">W16+X16</f>
        <v>691.292664481976</v>
      </c>
      <c r="Z16" s="56" t="n">
        <v>0.17</v>
      </c>
      <c r="AA16" s="57" t="n">
        <v>85</v>
      </c>
      <c r="AB16" s="57" t="n">
        <v>59</v>
      </c>
      <c r="AC16" s="58" t="n">
        <f aca="false">AC15+1</f>
        <v>7</v>
      </c>
      <c r="AD16" s="92" t="n">
        <f aca="false">IF(I16&gt;S16,I16-S16,I16-S16)</f>
        <v>73</v>
      </c>
      <c r="AE16" s="12"/>
      <c r="AF16" s="0"/>
      <c r="AG16" s="6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  <c r="BH16" s="0"/>
      <c r="BI16" s="0"/>
      <c r="BJ16" s="0"/>
      <c r="BK16" s="0"/>
      <c r="BL16" s="0"/>
      <c r="BM16" s="0"/>
      <c r="BN16" s="0"/>
      <c r="BO16" s="0"/>
      <c r="BP16" s="0"/>
      <c r="BQ16" s="0"/>
      <c r="BR16" s="0"/>
      <c r="BS16" s="0"/>
      <c r="BT16" s="0"/>
      <c r="BU16" s="0"/>
      <c r="BV16" s="0"/>
      <c r="BW16" s="0"/>
      <c r="BX16" s="0"/>
      <c r="BY16" s="0"/>
      <c r="BZ16" s="0"/>
      <c r="CA16" s="0"/>
      <c r="CB16" s="0"/>
      <c r="CC16" s="0"/>
      <c r="CD16" s="0"/>
      <c r="CE16" s="0"/>
      <c r="CF16" s="0"/>
      <c r="CG16" s="0"/>
      <c r="CH16" s="0"/>
      <c r="CI16" s="0"/>
      <c r="CJ16" s="0"/>
      <c r="CK16" s="0"/>
      <c r="CL16" s="0"/>
      <c r="CM16" s="0"/>
      <c r="CN16" s="0"/>
      <c r="CO16" s="0"/>
      <c r="CP16" s="0"/>
      <c r="CQ16" s="0"/>
      <c r="CR16" s="0"/>
      <c r="CS16" s="0"/>
      <c r="CT16" s="0"/>
      <c r="CU16" s="0"/>
      <c r="CV16" s="0"/>
      <c r="CW16" s="0"/>
      <c r="CX16" s="0"/>
      <c r="CY16" s="0"/>
      <c r="CZ16" s="0"/>
      <c r="DA16" s="0"/>
      <c r="DB16" s="0"/>
      <c r="DC16" s="0"/>
      <c r="DD16" s="0"/>
      <c r="DE16" s="0"/>
      <c r="DF16" s="0"/>
      <c r="DG16" s="0"/>
      <c r="DH16" s="0"/>
      <c r="DI16" s="0"/>
      <c r="DJ16" s="0"/>
      <c r="DK16" s="0"/>
      <c r="DL16" s="0"/>
      <c r="DM16" s="0"/>
      <c r="DN16" s="0"/>
      <c r="DO16" s="0"/>
      <c r="DP16" s="0"/>
      <c r="DQ16" s="0"/>
      <c r="DR16" s="0"/>
      <c r="DS16" s="0"/>
      <c r="DT16" s="0"/>
      <c r="DU16" s="0"/>
      <c r="DV16" s="0"/>
      <c r="DW16" s="0"/>
      <c r="DX16" s="0"/>
      <c r="DY16" s="0"/>
      <c r="DZ16" s="0"/>
      <c r="EA16" s="0"/>
      <c r="EB16" s="0"/>
      <c r="EC16" s="0"/>
      <c r="ED16" s="0"/>
      <c r="EE16" s="0"/>
      <c r="EF16" s="0"/>
      <c r="EG16" s="0"/>
      <c r="EH16" s="0"/>
      <c r="EI16" s="0"/>
      <c r="EJ16" s="0"/>
      <c r="EK16" s="0"/>
      <c r="EL16" s="0"/>
      <c r="EM16" s="0"/>
      <c r="EN16" s="0"/>
      <c r="EO16" s="0"/>
      <c r="EP16" s="0"/>
      <c r="EQ16" s="0"/>
      <c r="ER16" s="0"/>
      <c r="ES16" s="0"/>
      <c r="ET16" s="0"/>
      <c r="EU16" s="0"/>
      <c r="EV16" s="0"/>
      <c r="EW16" s="0"/>
      <c r="EX16" s="0"/>
      <c r="EY16" s="0"/>
      <c r="EZ16" s="0"/>
      <c r="FA16" s="0"/>
      <c r="FB16" s="0"/>
      <c r="FC16" s="0"/>
      <c r="FD16" s="0"/>
      <c r="FE16" s="0"/>
      <c r="FF16" s="0"/>
      <c r="FG16" s="0"/>
      <c r="FH16" s="0"/>
      <c r="FI16" s="0"/>
      <c r="FJ16" s="0"/>
      <c r="FK16" s="0"/>
      <c r="FL16" s="0"/>
      <c r="FM16" s="0"/>
      <c r="FN16" s="0"/>
      <c r="FO16" s="0"/>
      <c r="FP16" s="0"/>
      <c r="FQ16" s="0"/>
      <c r="FR16" s="0"/>
      <c r="FS16" s="0"/>
      <c r="FT16" s="0"/>
      <c r="FU16" s="0"/>
      <c r="FV16" s="0"/>
      <c r="FW16" s="0"/>
      <c r="FX16" s="0"/>
      <c r="FY16" s="0"/>
      <c r="FZ16" s="0"/>
      <c r="GA16" s="0"/>
      <c r="GB16" s="0"/>
      <c r="GC16" s="0"/>
      <c r="GD16" s="0"/>
      <c r="GE16" s="0"/>
      <c r="GF16" s="0"/>
      <c r="GG16" s="0"/>
      <c r="GH16" s="0"/>
      <c r="GI16" s="0"/>
      <c r="GJ16" s="0"/>
      <c r="GK16" s="0"/>
      <c r="GL16" s="0"/>
      <c r="GM16" s="0"/>
      <c r="GN16" s="0"/>
      <c r="GO16" s="0"/>
      <c r="GP16" s="0"/>
      <c r="GQ16" s="0"/>
      <c r="GR16" s="0"/>
      <c r="GS16" s="0"/>
      <c r="GT16" s="0"/>
      <c r="GU16" s="0"/>
      <c r="GV16" s="0"/>
      <c r="GW16" s="0"/>
      <c r="GX16" s="0"/>
      <c r="GY16" s="0"/>
      <c r="GZ16" s="0"/>
      <c r="HA16" s="0"/>
      <c r="HB16" s="0"/>
      <c r="HC16" s="0"/>
      <c r="HD16" s="0"/>
      <c r="HE16" s="0"/>
      <c r="HF16" s="0"/>
      <c r="HG16" s="0"/>
      <c r="HH16" s="0"/>
      <c r="HI16" s="0"/>
      <c r="HJ16" s="0"/>
      <c r="HK16" s="0"/>
      <c r="HL16" s="0"/>
      <c r="HM16" s="0"/>
      <c r="HN16" s="0"/>
      <c r="HO16" s="0"/>
      <c r="HP16" s="0"/>
      <c r="HQ16" s="0"/>
      <c r="HR16" s="0"/>
      <c r="HS16" s="0"/>
      <c r="HT16" s="0"/>
      <c r="HU16" s="0"/>
      <c r="HV16" s="0"/>
      <c r="HW16" s="0"/>
      <c r="HX16" s="0"/>
      <c r="HY16" s="0"/>
      <c r="HZ16" s="0"/>
      <c r="IA16" s="0"/>
      <c r="IB16" s="0"/>
      <c r="IC16" s="0"/>
      <c r="ID16" s="0"/>
      <c r="IE16" s="0"/>
      <c r="IF16" s="0"/>
      <c r="IG16" s="0"/>
      <c r="IH16" s="0"/>
      <c r="II16" s="0"/>
      <c r="IJ16" s="0"/>
      <c r="IK16" s="0"/>
      <c r="IL16" s="0"/>
      <c r="IM16" s="0"/>
      <c r="IN16" s="0"/>
      <c r="IO16" s="0"/>
      <c r="IP16" s="0"/>
      <c r="IQ16" s="0"/>
      <c r="IR16" s="0"/>
      <c r="IS16" s="0"/>
      <c r="IT16" s="0"/>
      <c r="IU16" s="0"/>
      <c r="IV16" s="0"/>
      <c r="IW16" s="0"/>
    </row>
    <row r="17" customFormat="false" ht="11.1" hidden="false" customHeight="true" outlineLevel="0" collapsed="false">
      <c r="A17" s="58" t="n">
        <f aca="false">A16+1</f>
        <v>8</v>
      </c>
      <c r="B17" s="73" t="n">
        <v>6919.67</v>
      </c>
      <c r="C17" s="52" t="n">
        <v>362152</v>
      </c>
      <c r="D17" s="57" t="n">
        <f aca="false">C17-C16</f>
        <v>-301</v>
      </c>
      <c r="E17" s="52" t="n">
        <f aca="false">C17-152000</f>
        <v>210152</v>
      </c>
      <c r="F17" s="51" t="n">
        <f aca="false">D17/$D$2</f>
        <v>-151.751953617343</v>
      </c>
      <c r="G17" s="51" t="n">
        <v>508</v>
      </c>
      <c r="H17" s="53" t="n">
        <v>0</v>
      </c>
      <c r="I17" s="51" t="n">
        <f aca="false">G17+H17</f>
        <v>508</v>
      </c>
      <c r="J17" s="81" t="n">
        <f aca="false">IF(L17&gt;0,L17,0)</f>
        <v>0</v>
      </c>
      <c r="K17" s="51" t="n">
        <f aca="false">I17+J17</f>
        <v>508</v>
      </c>
      <c r="L17" s="51" t="n">
        <f aca="false">F17-(I17-W17)</f>
        <v>-77.7519536173431</v>
      </c>
      <c r="M17" s="51" t="n">
        <v>147</v>
      </c>
      <c r="N17" s="100" t="n">
        <v>0</v>
      </c>
      <c r="O17" s="100" t="n">
        <v>0</v>
      </c>
      <c r="P17" s="6" t="n">
        <f aca="false">M17-(N17+O17)</f>
        <v>147</v>
      </c>
      <c r="Q17" s="51" t="n">
        <v>171</v>
      </c>
      <c r="R17" s="51" t="n">
        <v>75</v>
      </c>
      <c r="S17" s="51" t="n">
        <f aca="false">SUM(P17:R17)</f>
        <v>393</v>
      </c>
      <c r="T17" s="52" t="n">
        <f aca="false">(I17-S17)+T16</f>
        <v>1104</v>
      </c>
      <c r="U17" s="51" t="n">
        <v>0</v>
      </c>
      <c r="V17" s="51" t="n">
        <v>189</v>
      </c>
      <c r="W17" s="6" t="n">
        <f aca="false">N17+O17+S17+U17+V17</f>
        <v>582</v>
      </c>
      <c r="X17" s="51" t="n">
        <f aca="false">IF(L17&lt;0,L17*-1,0)</f>
        <v>77.7519536173431</v>
      </c>
      <c r="Y17" s="51" t="n">
        <f aca="false">W17+X17</f>
        <v>659.751953617343</v>
      </c>
      <c r="Z17" s="56" t="n">
        <v>0.18</v>
      </c>
      <c r="AA17" s="57" t="n">
        <v>86</v>
      </c>
      <c r="AB17" s="57" t="n">
        <v>58</v>
      </c>
      <c r="AC17" s="58" t="n">
        <f aca="false">AC16+1</f>
        <v>8</v>
      </c>
      <c r="AD17" s="92" t="n">
        <f aca="false">IF(I17&gt;S17,I17-S17,I17-S17)</f>
        <v>115</v>
      </c>
      <c r="AE17" s="12"/>
      <c r="AF17" s="0"/>
      <c r="AG17" s="6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  <c r="BH17" s="0"/>
      <c r="BI17" s="0"/>
      <c r="BJ17" s="0"/>
      <c r="BK17" s="0"/>
      <c r="BL17" s="0"/>
      <c r="BM17" s="0"/>
      <c r="BN17" s="0"/>
      <c r="BO17" s="0"/>
      <c r="BP17" s="0"/>
      <c r="BQ17" s="0"/>
      <c r="BR17" s="0"/>
      <c r="BS17" s="0"/>
      <c r="BT17" s="0"/>
      <c r="BU17" s="0"/>
      <c r="BV17" s="0"/>
      <c r="BW17" s="0"/>
      <c r="BX17" s="0"/>
      <c r="BY17" s="0"/>
      <c r="BZ17" s="0"/>
      <c r="CA17" s="0"/>
      <c r="CB17" s="0"/>
      <c r="CC17" s="0"/>
      <c r="CD17" s="0"/>
      <c r="CE17" s="0"/>
      <c r="CF17" s="0"/>
      <c r="CG17" s="0"/>
      <c r="CH17" s="0"/>
      <c r="CI17" s="0"/>
      <c r="CJ17" s="0"/>
      <c r="CK17" s="0"/>
      <c r="CL17" s="0"/>
      <c r="CM17" s="0"/>
      <c r="CN17" s="0"/>
      <c r="CO17" s="0"/>
      <c r="CP17" s="0"/>
      <c r="CQ17" s="0"/>
      <c r="CR17" s="0"/>
      <c r="CS17" s="0"/>
      <c r="CT17" s="0"/>
      <c r="CU17" s="0"/>
      <c r="CV17" s="0"/>
      <c r="CW17" s="0"/>
      <c r="CX17" s="0"/>
      <c r="CY17" s="0"/>
      <c r="CZ17" s="0"/>
      <c r="DA17" s="0"/>
      <c r="DB17" s="0"/>
      <c r="DC17" s="0"/>
      <c r="DD17" s="0"/>
      <c r="DE17" s="0"/>
      <c r="DF17" s="0"/>
      <c r="DG17" s="0"/>
      <c r="DH17" s="0"/>
      <c r="DI17" s="0"/>
      <c r="DJ17" s="0"/>
      <c r="DK17" s="0"/>
      <c r="DL17" s="0"/>
      <c r="DM17" s="0"/>
      <c r="DN17" s="0"/>
      <c r="DO17" s="0"/>
      <c r="DP17" s="0"/>
      <c r="DQ17" s="0"/>
      <c r="DR17" s="0"/>
      <c r="DS17" s="0"/>
      <c r="DT17" s="0"/>
      <c r="DU17" s="0"/>
      <c r="DV17" s="0"/>
      <c r="DW17" s="0"/>
      <c r="DX17" s="0"/>
      <c r="DY17" s="0"/>
      <c r="DZ17" s="0"/>
      <c r="EA17" s="0"/>
      <c r="EB17" s="0"/>
      <c r="EC17" s="0"/>
      <c r="ED17" s="0"/>
      <c r="EE17" s="0"/>
      <c r="EF17" s="0"/>
      <c r="EG17" s="0"/>
      <c r="EH17" s="0"/>
      <c r="EI17" s="0"/>
      <c r="EJ17" s="0"/>
      <c r="EK17" s="0"/>
      <c r="EL17" s="0"/>
      <c r="EM17" s="0"/>
      <c r="EN17" s="0"/>
      <c r="EO17" s="0"/>
      <c r="EP17" s="0"/>
      <c r="EQ17" s="0"/>
      <c r="ER17" s="0"/>
      <c r="ES17" s="0"/>
      <c r="ET17" s="0"/>
      <c r="EU17" s="0"/>
      <c r="EV17" s="0"/>
      <c r="EW17" s="0"/>
      <c r="EX17" s="0"/>
      <c r="EY17" s="0"/>
      <c r="EZ17" s="0"/>
      <c r="FA17" s="0"/>
      <c r="FB17" s="0"/>
      <c r="FC17" s="0"/>
      <c r="FD17" s="0"/>
      <c r="FE17" s="0"/>
      <c r="FF17" s="0"/>
      <c r="FG17" s="0"/>
      <c r="FH17" s="0"/>
      <c r="FI17" s="0"/>
      <c r="FJ17" s="0"/>
      <c r="FK17" s="0"/>
      <c r="FL17" s="0"/>
      <c r="FM17" s="0"/>
      <c r="FN17" s="0"/>
      <c r="FO17" s="0"/>
      <c r="FP17" s="0"/>
      <c r="FQ17" s="0"/>
      <c r="FR17" s="0"/>
      <c r="FS17" s="0"/>
      <c r="FT17" s="0"/>
      <c r="FU17" s="0"/>
      <c r="FV17" s="0"/>
      <c r="FW17" s="0"/>
      <c r="FX17" s="0"/>
      <c r="FY17" s="0"/>
      <c r="FZ17" s="0"/>
      <c r="GA17" s="0"/>
      <c r="GB17" s="0"/>
      <c r="GC17" s="0"/>
      <c r="GD17" s="0"/>
      <c r="GE17" s="0"/>
      <c r="GF17" s="0"/>
      <c r="GG17" s="0"/>
      <c r="GH17" s="0"/>
      <c r="GI17" s="0"/>
      <c r="GJ17" s="0"/>
      <c r="GK17" s="0"/>
      <c r="GL17" s="0"/>
      <c r="GM17" s="0"/>
      <c r="GN17" s="0"/>
      <c r="GO17" s="0"/>
      <c r="GP17" s="0"/>
      <c r="GQ17" s="0"/>
      <c r="GR17" s="0"/>
      <c r="GS17" s="0"/>
      <c r="GT17" s="0"/>
      <c r="GU17" s="0"/>
      <c r="GV17" s="0"/>
      <c r="GW17" s="0"/>
      <c r="GX17" s="0"/>
      <c r="GY17" s="0"/>
      <c r="GZ17" s="0"/>
      <c r="HA17" s="0"/>
      <c r="HB17" s="0"/>
      <c r="HC17" s="0"/>
      <c r="HD17" s="0"/>
      <c r="HE17" s="0"/>
      <c r="HF17" s="0"/>
      <c r="HG17" s="0"/>
      <c r="HH17" s="0"/>
      <c r="HI17" s="0"/>
      <c r="HJ17" s="0"/>
      <c r="HK17" s="0"/>
      <c r="HL17" s="0"/>
      <c r="HM17" s="0"/>
      <c r="HN17" s="0"/>
      <c r="HO17" s="0"/>
      <c r="HP17" s="0"/>
      <c r="HQ17" s="0"/>
      <c r="HR17" s="0"/>
      <c r="HS17" s="0"/>
      <c r="HT17" s="0"/>
      <c r="HU17" s="0"/>
      <c r="HV17" s="0"/>
      <c r="HW17" s="0"/>
      <c r="HX17" s="0"/>
      <c r="HY17" s="0"/>
      <c r="HZ17" s="0"/>
      <c r="IA17" s="0"/>
      <c r="IB17" s="0"/>
      <c r="IC17" s="0"/>
      <c r="ID17" s="0"/>
      <c r="IE17" s="0"/>
      <c r="IF17" s="0"/>
      <c r="IG17" s="0"/>
      <c r="IH17" s="0"/>
      <c r="II17" s="0"/>
      <c r="IJ17" s="0"/>
      <c r="IK17" s="0"/>
      <c r="IL17" s="0"/>
      <c r="IM17" s="0"/>
      <c r="IN17" s="0"/>
      <c r="IO17" s="0"/>
      <c r="IP17" s="0"/>
      <c r="IQ17" s="0"/>
      <c r="IR17" s="0"/>
      <c r="IS17" s="0"/>
      <c r="IT17" s="0"/>
      <c r="IU17" s="0"/>
      <c r="IV17" s="0"/>
      <c r="IW17" s="0"/>
    </row>
    <row r="18" customFormat="false" ht="11.1" hidden="false" customHeight="true" outlineLevel="0" collapsed="false">
      <c r="A18" s="58" t="n">
        <f aca="false">A17+1</f>
        <v>9</v>
      </c>
      <c r="B18" s="73" t="n">
        <v>6919.61</v>
      </c>
      <c r="C18" s="52" t="n">
        <v>361894</v>
      </c>
      <c r="D18" s="57" t="n">
        <f aca="false">C18-C17</f>
        <v>-258</v>
      </c>
      <c r="E18" s="52" t="n">
        <f aca="false">C18-152000</f>
        <v>209894</v>
      </c>
      <c r="F18" s="51" t="n">
        <f aca="false">D18/$D$2</f>
        <v>-130.07310310058</v>
      </c>
      <c r="G18" s="51" t="n">
        <v>412</v>
      </c>
      <c r="H18" s="53" t="n">
        <v>0</v>
      </c>
      <c r="I18" s="51" t="n">
        <f aca="false">G18+H18</f>
        <v>412</v>
      </c>
      <c r="J18" s="81" t="n">
        <f aca="false">IF(L18&gt;0,L18,0)</f>
        <v>36.9268968994202</v>
      </c>
      <c r="K18" s="51" t="n">
        <f aca="false">I18+J18</f>
        <v>448.92689689942</v>
      </c>
      <c r="L18" s="51" t="n">
        <f aca="false">F18-(I18-W18)</f>
        <v>36.9268968994202</v>
      </c>
      <c r="M18" s="51" t="n">
        <v>147</v>
      </c>
      <c r="N18" s="100" t="n">
        <v>0</v>
      </c>
      <c r="O18" s="100" t="n">
        <v>0</v>
      </c>
      <c r="P18" s="6" t="n">
        <f aca="false">M18-(N18+O18)</f>
        <v>147</v>
      </c>
      <c r="Q18" s="51" t="n">
        <v>171</v>
      </c>
      <c r="R18" s="51" t="n">
        <v>73</v>
      </c>
      <c r="S18" s="51" t="n">
        <f aca="false">SUM(P18:R18)</f>
        <v>391</v>
      </c>
      <c r="T18" s="52" t="n">
        <f aca="false">(I18-S18)+T17</f>
        <v>1125</v>
      </c>
      <c r="U18" s="51" t="n">
        <v>0</v>
      </c>
      <c r="V18" s="51" t="n">
        <v>188</v>
      </c>
      <c r="W18" s="6" t="n">
        <f aca="false">N18+O18+S18+U18+V18</f>
        <v>579</v>
      </c>
      <c r="X18" s="51" t="n">
        <f aca="false">IF(L18&lt;0,L18*-1,0)</f>
        <v>0</v>
      </c>
      <c r="Y18" s="51" t="n">
        <f aca="false">W18+X18</f>
        <v>579</v>
      </c>
      <c r="Z18" s="56" t="n">
        <v>0</v>
      </c>
      <c r="AA18" s="82" t="n">
        <v>84</v>
      </c>
      <c r="AB18" s="57" t="n">
        <v>57</v>
      </c>
      <c r="AC18" s="58" t="n">
        <f aca="false">AC17+1</f>
        <v>9</v>
      </c>
      <c r="AD18" s="92" t="n">
        <f aca="false">IF(I18&gt;S18,I18-S18,I18-S18)</f>
        <v>21</v>
      </c>
      <c r="AE18" s="12"/>
      <c r="AF18" s="0"/>
      <c r="AG18" s="6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  <c r="BH18" s="0"/>
      <c r="BI18" s="0"/>
      <c r="BJ18" s="0"/>
      <c r="BK18" s="0"/>
      <c r="BL18" s="0"/>
      <c r="BM18" s="0"/>
      <c r="BN18" s="0"/>
      <c r="BO18" s="0"/>
      <c r="BP18" s="0"/>
      <c r="BQ18" s="0"/>
      <c r="BR18" s="0"/>
      <c r="BS18" s="0"/>
      <c r="BT18" s="0"/>
      <c r="BU18" s="0"/>
      <c r="BV18" s="0"/>
      <c r="BW18" s="0"/>
      <c r="BX18" s="0"/>
      <c r="BY18" s="0"/>
      <c r="BZ18" s="0"/>
      <c r="CA18" s="0"/>
      <c r="CB18" s="0"/>
      <c r="CC18" s="0"/>
      <c r="CD18" s="0"/>
      <c r="CE18" s="0"/>
      <c r="CF18" s="0"/>
      <c r="CG18" s="0"/>
      <c r="CH18" s="0"/>
      <c r="CI18" s="0"/>
      <c r="CJ18" s="0"/>
      <c r="CK18" s="0"/>
      <c r="CL18" s="0"/>
      <c r="CM18" s="0"/>
      <c r="CN18" s="0"/>
      <c r="CO18" s="0"/>
      <c r="CP18" s="0"/>
      <c r="CQ18" s="0"/>
      <c r="CR18" s="0"/>
      <c r="CS18" s="0"/>
      <c r="CT18" s="0"/>
      <c r="CU18" s="0"/>
      <c r="CV18" s="0"/>
      <c r="CW18" s="0"/>
      <c r="CX18" s="0"/>
      <c r="CY18" s="0"/>
      <c r="CZ18" s="0"/>
      <c r="DA18" s="0"/>
      <c r="DB18" s="0"/>
      <c r="DC18" s="0"/>
      <c r="DD18" s="0"/>
      <c r="DE18" s="0"/>
      <c r="DF18" s="0"/>
      <c r="DG18" s="0"/>
      <c r="DH18" s="0"/>
      <c r="DI18" s="0"/>
      <c r="DJ18" s="0"/>
      <c r="DK18" s="0"/>
      <c r="DL18" s="0"/>
      <c r="DM18" s="0"/>
      <c r="DN18" s="0"/>
      <c r="DO18" s="0"/>
      <c r="DP18" s="0"/>
      <c r="DQ18" s="0"/>
      <c r="DR18" s="0"/>
      <c r="DS18" s="0"/>
      <c r="DT18" s="0"/>
      <c r="DU18" s="0"/>
      <c r="DV18" s="0"/>
      <c r="DW18" s="0"/>
      <c r="DX18" s="0"/>
      <c r="DY18" s="0"/>
      <c r="DZ18" s="0"/>
      <c r="EA18" s="0"/>
      <c r="EB18" s="0"/>
      <c r="EC18" s="0"/>
      <c r="ED18" s="0"/>
      <c r="EE18" s="0"/>
      <c r="EF18" s="0"/>
      <c r="EG18" s="0"/>
      <c r="EH18" s="0"/>
      <c r="EI18" s="0"/>
      <c r="EJ18" s="0"/>
      <c r="EK18" s="0"/>
      <c r="EL18" s="0"/>
      <c r="EM18" s="0"/>
      <c r="EN18" s="0"/>
      <c r="EO18" s="0"/>
      <c r="EP18" s="0"/>
      <c r="EQ18" s="0"/>
      <c r="ER18" s="0"/>
      <c r="ES18" s="0"/>
      <c r="ET18" s="0"/>
      <c r="EU18" s="0"/>
      <c r="EV18" s="0"/>
      <c r="EW18" s="0"/>
      <c r="EX18" s="0"/>
      <c r="EY18" s="0"/>
      <c r="EZ18" s="0"/>
      <c r="FA18" s="0"/>
      <c r="FB18" s="0"/>
      <c r="FC18" s="0"/>
      <c r="FD18" s="0"/>
      <c r="FE18" s="0"/>
      <c r="FF18" s="0"/>
      <c r="FG18" s="0"/>
      <c r="FH18" s="0"/>
      <c r="FI18" s="0"/>
      <c r="FJ18" s="0"/>
      <c r="FK18" s="0"/>
      <c r="FL18" s="0"/>
      <c r="FM18" s="0"/>
      <c r="FN18" s="0"/>
      <c r="FO18" s="0"/>
      <c r="FP18" s="0"/>
      <c r="FQ18" s="0"/>
      <c r="FR18" s="0"/>
      <c r="FS18" s="0"/>
      <c r="FT18" s="0"/>
      <c r="FU18" s="0"/>
      <c r="FV18" s="0"/>
      <c r="FW18" s="0"/>
      <c r="FX18" s="0"/>
      <c r="FY18" s="0"/>
      <c r="FZ18" s="0"/>
      <c r="GA18" s="0"/>
      <c r="GB18" s="0"/>
      <c r="GC18" s="0"/>
      <c r="GD18" s="0"/>
      <c r="GE18" s="0"/>
      <c r="GF18" s="0"/>
      <c r="GG18" s="0"/>
      <c r="GH18" s="0"/>
      <c r="GI18" s="0"/>
      <c r="GJ18" s="0"/>
      <c r="GK18" s="0"/>
      <c r="GL18" s="0"/>
      <c r="GM18" s="0"/>
      <c r="GN18" s="0"/>
      <c r="GO18" s="0"/>
      <c r="GP18" s="0"/>
      <c r="GQ18" s="0"/>
      <c r="GR18" s="0"/>
      <c r="GS18" s="0"/>
      <c r="GT18" s="0"/>
      <c r="GU18" s="0"/>
      <c r="GV18" s="0"/>
      <c r="GW18" s="0"/>
      <c r="GX18" s="0"/>
      <c r="GY18" s="0"/>
      <c r="GZ18" s="0"/>
      <c r="HA18" s="0"/>
      <c r="HB18" s="0"/>
      <c r="HC18" s="0"/>
      <c r="HD18" s="0"/>
      <c r="HE18" s="0"/>
      <c r="HF18" s="0"/>
      <c r="HG18" s="0"/>
      <c r="HH18" s="0"/>
      <c r="HI18" s="0"/>
      <c r="HJ18" s="0"/>
      <c r="HK18" s="0"/>
      <c r="HL18" s="0"/>
      <c r="HM18" s="0"/>
      <c r="HN18" s="0"/>
      <c r="HO18" s="0"/>
      <c r="HP18" s="0"/>
      <c r="HQ18" s="0"/>
      <c r="HR18" s="0"/>
      <c r="HS18" s="0"/>
      <c r="HT18" s="0"/>
      <c r="HU18" s="0"/>
      <c r="HV18" s="0"/>
      <c r="HW18" s="0"/>
      <c r="HX18" s="0"/>
      <c r="HY18" s="0"/>
      <c r="HZ18" s="0"/>
      <c r="IA18" s="0"/>
      <c r="IB18" s="0"/>
      <c r="IC18" s="0"/>
      <c r="ID18" s="0"/>
      <c r="IE18" s="0"/>
      <c r="IF18" s="0"/>
      <c r="IG18" s="0"/>
      <c r="IH18" s="0"/>
      <c r="II18" s="0"/>
      <c r="IJ18" s="0"/>
      <c r="IK18" s="0"/>
      <c r="IL18" s="0"/>
      <c r="IM18" s="0"/>
      <c r="IN18" s="0"/>
      <c r="IO18" s="0"/>
      <c r="IP18" s="0"/>
      <c r="IQ18" s="0"/>
      <c r="IR18" s="0"/>
      <c r="IS18" s="0"/>
      <c r="IT18" s="0"/>
      <c r="IU18" s="0"/>
      <c r="IV18" s="0"/>
      <c r="IW18" s="0"/>
    </row>
    <row r="19" customFormat="false" ht="11.1" hidden="false" customHeight="true" outlineLevel="0" collapsed="false">
      <c r="A19" s="58" t="n">
        <f aca="false">A18+1</f>
        <v>10</v>
      </c>
      <c r="B19" s="73" t="n">
        <v>6919.55</v>
      </c>
      <c r="C19" s="52" t="n">
        <v>361635</v>
      </c>
      <c r="D19" s="57" t="n">
        <f aca="false">C19-C18</f>
        <v>-259</v>
      </c>
      <c r="E19" s="52" t="n">
        <f aca="false">C19-152000</f>
        <v>209635</v>
      </c>
      <c r="F19" s="51" t="n">
        <f aca="false">D19/$D$2</f>
        <v>-130.577262414923</v>
      </c>
      <c r="G19" s="51" t="n">
        <v>376</v>
      </c>
      <c r="H19" s="53" t="n">
        <v>0</v>
      </c>
      <c r="I19" s="51" t="n">
        <f aca="false">G19+H19</f>
        <v>376</v>
      </c>
      <c r="J19" s="81" t="n">
        <v>0</v>
      </c>
      <c r="K19" s="51" t="n">
        <f aca="false">I19+J19</f>
        <v>376</v>
      </c>
      <c r="L19" s="51" t="n">
        <f aca="false">F19-(I19-W19)</f>
        <v>77.4227375850769</v>
      </c>
      <c r="M19" s="51" t="n">
        <v>130</v>
      </c>
      <c r="N19" s="100" t="n">
        <v>0</v>
      </c>
      <c r="O19" s="100" t="n">
        <v>0</v>
      </c>
      <c r="P19" s="6" t="n">
        <f aca="false">M19-(N19+O19)</f>
        <v>130</v>
      </c>
      <c r="Q19" s="51" t="n">
        <v>170</v>
      </c>
      <c r="R19" s="51" t="n">
        <v>74</v>
      </c>
      <c r="S19" s="51" t="n">
        <f aca="false">SUM(P19:R19)</f>
        <v>374</v>
      </c>
      <c r="T19" s="52" t="n">
        <f aca="false">(I19-S19)+T18</f>
        <v>1127</v>
      </c>
      <c r="U19" s="51" t="n">
        <v>17</v>
      </c>
      <c r="V19" s="51" t="n">
        <v>193</v>
      </c>
      <c r="W19" s="6" t="n">
        <f aca="false">N19+O19+S19+U19+V19</f>
        <v>584</v>
      </c>
      <c r="X19" s="51" t="n">
        <f aca="false">IF(L19&lt;0,L19*-1,0)</f>
        <v>0</v>
      </c>
      <c r="Y19" s="51" t="n">
        <f aca="false">W19+X19</f>
        <v>584</v>
      </c>
      <c r="Z19" s="56" t="n">
        <v>0</v>
      </c>
      <c r="AA19" s="57" t="n">
        <v>81</v>
      </c>
      <c r="AB19" s="57" t="n">
        <v>54</v>
      </c>
      <c r="AC19" s="58" t="n">
        <f aca="false">AC18+1</f>
        <v>10</v>
      </c>
      <c r="AD19" s="92" t="n">
        <f aca="false">IF(I19&gt;S19,I19-S19,I19-S19)</f>
        <v>2</v>
      </c>
      <c r="AE19" s="12"/>
      <c r="AF19" s="0"/>
      <c r="AG19" s="6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  <c r="BH19" s="0"/>
      <c r="BI19" s="0"/>
      <c r="BJ19" s="0"/>
      <c r="BK19" s="0"/>
      <c r="BL19" s="0"/>
      <c r="BM19" s="0"/>
      <c r="BN19" s="0"/>
      <c r="BO19" s="0"/>
      <c r="BP19" s="0"/>
      <c r="BQ19" s="0"/>
      <c r="BR19" s="0"/>
      <c r="BS19" s="0"/>
      <c r="BT19" s="0"/>
      <c r="BU19" s="0"/>
      <c r="BV19" s="0"/>
      <c r="BW19" s="0"/>
      <c r="BX19" s="0"/>
      <c r="BY19" s="0"/>
      <c r="BZ19" s="0"/>
      <c r="CA19" s="0"/>
      <c r="CB19" s="0"/>
      <c r="CC19" s="0"/>
      <c r="CD19" s="0"/>
      <c r="CE19" s="0"/>
      <c r="CF19" s="0"/>
      <c r="CG19" s="0"/>
      <c r="CH19" s="0"/>
      <c r="CI19" s="0"/>
      <c r="CJ19" s="0"/>
      <c r="CK19" s="0"/>
      <c r="CL19" s="0"/>
      <c r="CM19" s="0"/>
      <c r="CN19" s="0"/>
      <c r="CO19" s="0"/>
      <c r="CP19" s="0"/>
      <c r="CQ19" s="0"/>
      <c r="CR19" s="0"/>
      <c r="CS19" s="0"/>
      <c r="CT19" s="0"/>
      <c r="CU19" s="0"/>
      <c r="CV19" s="0"/>
      <c r="CW19" s="0"/>
      <c r="CX19" s="0"/>
      <c r="CY19" s="0"/>
      <c r="CZ19" s="0"/>
      <c r="DA19" s="0"/>
      <c r="DB19" s="0"/>
      <c r="DC19" s="0"/>
      <c r="DD19" s="0"/>
      <c r="DE19" s="0"/>
      <c r="DF19" s="0"/>
      <c r="DG19" s="0"/>
      <c r="DH19" s="0"/>
      <c r="DI19" s="0"/>
      <c r="DJ19" s="0"/>
      <c r="DK19" s="0"/>
      <c r="DL19" s="0"/>
      <c r="DM19" s="0"/>
      <c r="DN19" s="0"/>
      <c r="DO19" s="0"/>
      <c r="DP19" s="0"/>
      <c r="DQ19" s="0"/>
      <c r="DR19" s="0"/>
      <c r="DS19" s="0"/>
      <c r="DT19" s="0"/>
      <c r="DU19" s="0"/>
      <c r="DV19" s="0"/>
      <c r="DW19" s="0"/>
      <c r="DX19" s="0"/>
      <c r="DY19" s="0"/>
      <c r="DZ19" s="0"/>
      <c r="EA19" s="0"/>
      <c r="EB19" s="0"/>
      <c r="EC19" s="0"/>
      <c r="ED19" s="0"/>
      <c r="EE19" s="0"/>
      <c r="EF19" s="0"/>
      <c r="EG19" s="0"/>
      <c r="EH19" s="0"/>
      <c r="EI19" s="0"/>
      <c r="EJ19" s="0"/>
      <c r="EK19" s="0"/>
      <c r="EL19" s="0"/>
      <c r="EM19" s="0"/>
      <c r="EN19" s="0"/>
      <c r="EO19" s="0"/>
      <c r="EP19" s="0"/>
      <c r="EQ19" s="0"/>
      <c r="ER19" s="0"/>
      <c r="ES19" s="0"/>
      <c r="ET19" s="0"/>
      <c r="EU19" s="0"/>
      <c r="EV19" s="0"/>
      <c r="EW19" s="0"/>
      <c r="EX19" s="0"/>
      <c r="EY19" s="0"/>
      <c r="EZ19" s="0"/>
      <c r="FA19" s="0"/>
      <c r="FB19" s="0"/>
      <c r="FC19" s="0"/>
      <c r="FD19" s="0"/>
      <c r="FE19" s="0"/>
      <c r="FF19" s="0"/>
      <c r="FG19" s="0"/>
      <c r="FH19" s="0"/>
      <c r="FI19" s="0"/>
      <c r="FJ19" s="0"/>
      <c r="FK19" s="0"/>
      <c r="FL19" s="0"/>
      <c r="FM19" s="0"/>
      <c r="FN19" s="0"/>
      <c r="FO19" s="0"/>
      <c r="FP19" s="0"/>
      <c r="FQ19" s="0"/>
      <c r="FR19" s="0"/>
      <c r="FS19" s="0"/>
      <c r="FT19" s="0"/>
      <c r="FU19" s="0"/>
      <c r="FV19" s="0"/>
      <c r="FW19" s="0"/>
      <c r="FX19" s="0"/>
      <c r="FY19" s="0"/>
      <c r="FZ19" s="0"/>
      <c r="GA19" s="0"/>
      <c r="GB19" s="0"/>
      <c r="GC19" s="0"/>
      <c r="GD19" s="0"/>
      <c r="GE19" s="0"/>
      <c r="GF19" s="0"/>
      <c r="GG19" s="0"/>
      <c r="GH19" s="0"/>
      <c r="GI19" s="0"/>
      <c r="GJ19" s="0"/>
      <c r="GK19" s="0"/>
      <c r="GL19" s="0"/>
      <c r="GM19" s="0"/>
      <c r="GN19" s="0"/>
      <c r="GO19" s="0"/>
      <c r="GP19" s="0"/>
      <c r="GQ19" s="0"/>
      <c r="GR19" s="0"/>
      <c r="GS19" s="0"/>
      <c r="GT19" s="0"/>
      <c r="GU19" s="0"/>
      <c r="GV19" s="0"/>
      <c r="GW19" s="0"/>
      <c r="GX19" s="0"/>
      <c r="GY19" s="0"/>
      <c r="GZ19" s="0"/>
      <c r="HA19" s="0"/>
      <c r="HB19" s="0"/>
      <c r="HC19" s="0"/>
      <c r="HD19" s="0"/>
      <c r="HE19" s="0"/>
      <c r="HF19" s="0"/>
      <c r="HG19" s="0"/>
      <c r="HH19" s="0"/>
      <c r="HI19" s="0"/>
      <c r="HJ19" s="0"/>
      <c r="HK19" s="0"/>
      <c r="HL19" s="0"/>
      <c r="HM19" s="0"/>
      <c r="HN19" s="0"/>
      <c r="HO19" s="0"/>
      <c r="HP19" s="0"/>
      <c r="HQ19" s="0"/>
      <c r="HR19" s="0"/>
      <c r="HS19" s="0"/>
      <c r="HT19" s="0"/>
      <c r="HU19" s="0"/>
      <c r="HV19" s="0"/>
      <c r="HW19" s="0"/>
      <c r="HX19" s="0"/>
      <c r="HY19" s="0"/>
      <c r="HZ19" s="0"/>
      <c r="IA19" s="0"/>
      <c r="IB19" s="0"/>
      <c r="IC19" s="0"/>
      <c r="ID19" s="0"/>
      <c r="IE19" s="0"/>
      <c r="IF19" s="0"/>
      <c r="IG19" s="0"/>
      <c r="IH19" s="0"/>
      <c r="II19" s="0"/>
      <c r="IJ19" s="0"/>
      <c r="IK19" s="0"/>
      <c r="IL19" s="0"/>
      <c r="IM19" s="0"/>
      <c r="IN19" s="0"/>
      <c r="IO19" s="0"/>
      <c r="IP19" s="0"/>
      <c r="IQ19" s="0"/>
      <c r="IR19" s="0"/>
      <c r="IS19" s="0"/>
      <c r="IT19" s="0"/>
      <c r="IU19" s="0"/>
      <c r="IV19" s="0"/>
      <c r="IW19" s="0"/>
    </row>
    <row r="20" customFormat="false" ht="11.1" hidden="false" customHeight="true" outlineLevel="0" collapsed="false">
      <c r="A20" s="58" t="n">
        <v>11</v>
      </c>
      <c r="B20" s="73" t="n">
        <v>6919.48</v>
      </c>
      <c r="C20" s="52" t="n">
        <v>361334</v>
      </c>
      <c r="D20" s="57" t="n">
        <f aca="false">C20-C19</f>
        <v>-301</v>
      </c>
      <c r="E20" s="52" t="n">
        <f aca="false">C20-152000</f>
        <v>209334</v>
      </c>
      <c r="F20" s="51" t="n">
        <f aca="false">D20/$D$2</f>
        <v>-151.751953617343</v>
      </c>
      <c r="G20" s="51" t="n">
        <v>351</v>
      </c>
      <c r="H20" s="53" t="n">
        <v>0</v>
      </c>
      <c r="I20" s="51" t="n">
        <f aca="false">G20+H20</f>
        <v>351</v>
      </c>
      <c r="J20" s="81" t="n">
        <f aca="false">IF(L20&gt;0,L20,0)</f>
        <v>47.2480463826569</v>
      </c>
      <c r="K20" s="51" t="n">
        <f aca="false">I20+J20</f>
        <v>398.248046382657</v>
      </c>
      <c r="L20" s="51" t="n">
        <f aca="false">F20-(I20-W20)</f>
        <v>47.2480463826569</v>
      </c>
      <c r="M20" s="51" t="n">
        <v>114</v>
      </c>
      <c r="N20" s="100" t="n">
        <v>0</v>
      </c>
      <c r="O20" s="100" t="n">
        <v>0</v>
      </c>
      <c r="P20" s="6" t="n">
        <f aca="false">M20-(N20+O20)</f>
        <v>114</v>
      </c>
      <c r="Q20" s="51" t="n">
        <v>171</v>
      </c>
      <c r="R20" s="51" t="n">
        <v>73</v>
      </c>
      <c r="S20" s="51" t="n">
        <f aca="false">SUM(P20:R20)</f>
        <v>358</v>
      </c>
      <c r="T20" s="52" t="n">
        <f aca="false">(I20-S20)+T19</f>
        <v>1120</v>
      </c>
      <c r="U20" s="51" t="n">
        <v>0</v>
      </c>
      <c r="V20" s="51" t="n">
        <v>192</v>
      </c>
      <c r="W20" s="6" t="n">
        <f aca="false">N20+O20+S20+U20+V20</f>
        <v>550</v>
      </c>
      <c r="X20" s="51" t="n">
        <f aca="false">IF(L20&lt;0,L20*-1,0)</f>
        <v>0</v>
      </c>
      <c r="Y20" s="51" t="n">
        <f aca="false">W20+X20</f>
        <v>550</v>
      </c>
      <c r="Z20" s="56" t="n">
        <v>0</v>
      </c>
      <c r="AA20" s="57" t="n">
        <v>83</v>
      </c>
      <c r="AB20" s="57" t="n">
        <v>56</v>
      </c>
      <c r="AC20" s="58" t="n">
        <v>11</v>
      </c>
      <c r="AD20" s="92" t="n">
        <f aca="false">IF(I20&gt;S20,I20-S20,I20-S20)</f>
        <v>-7</v>
      </c>
      <c r="AE20" s="12"/>
      <c r="AF20" s="0"/>
      <c r="AG20" s="6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  <c r="BH20" s="0"/>
      <c r="BI20" s="0"/>
      <c r="BJ20" s="0"/>
      <c r="BK20" s="0"/>
      <c r="BL20" s="0"/>
      <c r="BM20" s="0"/>
      <c r="BN20" s="0"/>
      <c r="BO20" s="0"/>
      <c r="BP20" s="0"/>
      <c r="BQ20" s="0"/>
      <c r="BR20" s="0"/>
      <c r="BS20" s="0"/>
      <c r="BT20" s="0"/>
      <c r="BU20" s="0"/>
      <c r="BV20" s="0"/>
      <c r="BW20" s="0"/>
      <c r="BX20" s="0"/>
      <c r="BY20" s="0"/>
      <c r="BZ20" s="0"/>
      <c r="CA20" s="0"/>
      <c r="CB20" s="0"/>
      <c r="CC20" s="0"/>
      <c r="CD20" s="0"/>
      <c r="CE20" s="0"/>
      <c r="CF20" s="0"/>
      <c r="CG20" s="0"/>
      <c r="CH20" s="0"/>
      <c r="CI20" s="0"/>
      <c r="CJ20" s="0"/>
      <c r="CK20" s="0"/>
      <c r="CL20" s="0"/>
      <c r="CM20" s="0"/>
      <c r="CN20" s="0"/>
      <c r="CO20" s="0"/>
      <c r="CP20" s="0"/>
      <c r="CQ20" s="0"/>
      <c r="CR20" s="0"/>
      <c r="CS20" s="0"/>
      <c r="CT20" s="0"/>
      <c r="CU20" s="0"/>
      <c r="CV20" s="0"/>
      <c r="CW20" s="0"/>
      <c r="CX20" s="0"/>
      <c r="CY20" s="0"/>
      <c r="CZ20" s="0"/>
      <c r="DA20" s="0"/>
      <c r="DB20" s="0"/>
      <c r="DC20" s="0"/>
      <c r="DD20" s="0"/>
      <c r="DE20" s="0"/>
      <c r="DF20" s="0"/>
      <c r="DG20" s="0"/>
      <c r="DH20" s="0"/>
      <c r="DI20" s="0"/>
      <c r="DJ20" s="0"/>
      <c r="DK20" s="0"/>
      <c r="DL20" s="0"/>
      <c r="DM20" s="0"/>
      <c r="DN20" s="0"/>
      <c r="DO20" s="0"/>
      <c r="DP20" s="0"/>
      <c r="DQ20" s="0"/>
      <c r="DR20" s="0"/>
      <c r="DS20" s="0"/>
      <c r="DT20" s="0"/>
      <c r="DU20" s="0"/>
      <c r="DV20" s="0"/>
      <c r="DW20" s="0"/>
      <c r="DX20" s="0"/>
      <c r="DY20" s="0"/>
      <c r="DZ20" s="0"/>
      <c r="EA20" s="0"/>
      <c r="EB20" s="0"/>
      <c r="EC20" s="0"/>
      <c r="ED20" s="0"/>
      <c r="EE20" s="0"/>
      <c r="EF20" s="0"/>
      <c r="EG20" s="0"/>
      <c r="EH20" s="0"/>
      <c r="EI20" s="0"/>
      <c r="EJ20" s="0"/>
      <c r="EK20" s="0"/>
      <c r="EL20" s="0"/>
      <c r="EM20" s="0"/>
      <c r="EN20" s="0"/>
      <c r="EO20" s="0"/>
      <c r="EP20" s="0"/>
      <c r="EQ20" s="0"/>
      <c r="ER20" s="0"/>
      <c r="ES20" s="0"/>
      <c r="ET20" s="0"/>
      <c r="EU20" s="0"/>
      <c r="EV20" s="0"/>
      <c r="EW20" s="0"/>
      <c r="EX20" s="0"/>
      <c r="EY20" s="0"/>
      <c r="EZ20" s="0"/>
      <c r="FA20" s="0"/>
      <c r="FB20" s="0"/>
      <c r="FC20" s="0"/>
      <c r="FD20" s="0"/>
      <c r="FE20" s="0"/>
      <c r="FF20" s="0"/>
      <c r="FG20" s="0"/>
      <c r="FH20" s="0"/>
      <c r="FI20" s="0"/>
      <c r="FJ20" s="0"/>
      <c r="FK20" s="0"/>
      <c r="FL20" s="0"/>
      <c r="FM20" s="0"/>
      <c r="FN20" s="0"/>
      <c r="FO20" s="0"/>
      <c r="FP20" s="0"/>
      <c r="FQ20" s="0"/>
      <c r="FR20" s="0"/>
      <c r="FS20" s="0"/>
      <c r="FT20" s="0"/>
      <c r="FU20" s="0"/>
      <c r="FV20" s="0"/>
      <c r="FW20" s="0"/>
      <c r="FX20" s="0"/>
      <c r="FY20" s="0"/>
      <c r="FZ20" s="0"/>
      <c r="GA20" s="0"/>
      <c r="GB20" s="0"/>
      <c r="GC20" s="0"/>
      <c r="GD20" s="0"/>
      <c r="GE20" s="0"/>
      <c r="GF20" s="0"/>
      <c r="GG20" s="0"/>
      <c r="GH20" s="0"/>
      <c r="GI20" s="0"/>
      <c r="GJ20" s="0"/>
      <c r="GK20" s="0"/>
      <c r="GL20" s="0"/>
      <c r="GM20" s="0"/>
      <c r="GN20" s="0"/>
      <c r="GO20" s="0"/>
      <c r="GP20" s="0"/>
      <c r="GQ20" s="0"/>
      <c r="GR20" s="0"/>
      <c r="GS20" s="0"/>
      <c r="GT20" s="0"/>
      <c r="GU20" s="0"/>
      <c r="GV20" s="0"/>
      <c r="GW20" s="0"/>
      <c r="GX20" s="0"/>
      <c r="GY20" s="0"/>
      <c r="GZ20" s="0"/>
      <c r="HA20" s="0"/>
      <c r="HB20" s="0"/>
      <c r="HC20" s="0"/>
      <c r="HD20" s="0"/>
      <c r="HE20" s="0"/>
      <c r="HF20" s="0"/>
      <c r="HG20" s="0"/>
      <c r="HH20" s="0"/>
      <c r="HI20" s="0"/>
      <c r="HJ20" s="0"/>
      <c r="HK20" s="0"/>
      <c r="HL20" s="0"/>
      <c r="HM20" s="0"/>
      <c r="HN20" s="0"/>
      <c r="HO20" s="0"/>
      <c r="HP20" s="0"/>
      <c r="HQ20" s="0"/>
      <c r="HR20" s="0"/>
      <c r="HS20" s="0"/>
      <c r="HT20" s="0"/>
      <c r="HU20" s="0"/>
      <c r="HV20" s="0"/>
      <c r="HW20" s="0"/>
      <c r="HX20" s="0"/>
      <c r="HY20" s="0"/>
      <c r="HZ20" s="0"/>
      <c r="IA20" s="0"/>
      <c r="IB20" s="0"/>
      <c r="IC20" s="0"/>
      <c r="ID20" s="0"/>
      <c r="IE20" s="0"/>
      <c r="IF20" s="0"/>
      <c r="IG20" s="0"/>
      <c r="IH20" s="0"/>
      <c r="II20" s="0"/>
      <c r="IJ20" s="0"/>
      <c r="IK20" s="0"/>
      <c r="IL20" s="0"/>
      <c r="IM20" s="0"/>
      <c r="IN20" s="0"/>
      <c r="IO20" s="0"/>
      <c r="IP20" s="0"/>
      <c r="IQ20" s="0"/>
      <c r="IR20" s="0"/>
      <c r="IS20" s="0"/>
      <c r="IT20" s="0"/>
      <c r="IU20" s="0"/>
      <c r="IV20" s="0"/>
      <c r="IW20" s="0"/>
    </row>
    <row r="21" customFormat="false" ht="11.1" hidden="false" customHeight="true" outlineLevel="0" collapsed="false">
      <c r="A21" s="58" t="n">
        <v>12</v>
      </c>
      <c r="B21" s="73" t="n">
        <v>6919.35</v>
      </c>
      <c r="C21" s="52" t="n">
        <v>360774</v>
      </c>
      <c r="D21" s="57" t="n">
        <f aca="false">C21-C20</f>
        <v>-560</v>
      </c>
      <c r="E21" s="52" t="n">
        <f aca="false">C21-152000</f>
        <v>208774</v>
      </c>
      <c r="F21" s="51" t="n">
        <f aca="false">D21/$D$2</f>
        <v>-282.329216032266</v>
      </c>
      <c r="G21" s="51" t="n">
        <v>331</v>
      </c>
      <c r="H21" s="53" t="n">
        <v>0</v>
      </c>
      <c r="I21" s="51" t="n">
        <f aca="false">G21+H21</f>
        <v>331</v>
      </c>
      <c r="J21" s="81" t="n">
        <f aca="false">IF(L21&gt;0,L21,0)</f>
        <v>0</v>
      </c>
      <c r="K21" s="51" t="n">
        <f aca="false">I21+J21</f>
        <v>331</v>
      </c>
      <c r="L21" s="51" t="n">
        <f aca="false">F21-(I21-W21)</f>
        <v>-55.3292160322662</v>
      </c>
      <c r="M21" s="51" t="n">
        <v>109</v>
      </c>
      <c r="N21" s="100" t="n">
        <v>0</v>
      </c>
      <c r="O21" s="100" t="n">
        <v>0</v>
      </c>
      <c r="P21" s="6" t="n">
        <f aca="false">M21-(N21+O21)</f>
        <v>109</v>
      </c>
      <c r="Q21" s="51" t="n">
        <v>170</v>
      </c>
      <c r="R21" s="51" t="n">
        <v>75</v>
      </c>
      <c r="S21" s="51" t="n">
        <f aca="false">SUM(P21:R21)</f>
        <v>354</v>
      </c>
      <c r="T21" s="52" t="n">
        <f aca="false">(I21-S21)+T20</f>
        <v>1097</v>
      </c>
      <c r="U21" s="51" t="n">
        <v>16</v>
      </c>
      <c r="V21" s="51" t="n">
        <v>188</v>
      </c>
      <c r="W21" s="6" t="n">
        <f aca="false">N21+O21+S21+U21+V21</f>
        <v>558</v>
      </c>
      <c r="X21" s="51" t="n">
        <f aca="false">IF(L21&lt;0,L21*-1,0)</f>
        <v>55.3292160322662</v>
      </c>
      <c r="Y21" s="51" t="n">
        <f aca="false">W21+X21</f>
        <v>613.329216032266</v>
      </c>
      <c r="Z21" s="56" t="n">
        <v>0</v>
      </c>
      <c r="AA21" s="57" t="n">
        <v>82</v>
      </c>
      <c r="AB21" s="57" t="n">
        <v>57</v>
      </c>
      <c r="AC21" s="58" t="n">
        <v>12</v>
      </c>
      <c r="AD21" s="92" t="n">
        <f aca="false">IF(I21&gt;S21,I21-S21,I21-S21)</f>
        <v>-23</v>
      </c>
      <c r="AE21" s="12"/>
      <c r="AF21" s="0"/>
      <c r="AG21" s="6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  <c r="BH21" s="0"/>
      <c r="BI21" s="0"/>
      <c r="BJ21" s="0"/>
      <c r="BK21" s="0"/>
      <c r="BL21" s="0"/>
      <c r="BM21" s="0"/>
      <c r="BN21" s="0"/>
      <c r="BO21" s="0"/>
      <c r="BP21" s="0"/>
      <c r="BQ21" s="0"/>
      <c r="BR21" s="0"/>
      <c r="BS21" s="0"/>
      <c r="BT21" s="0"/>
      <c r="BU21" s="0"/>
      <c r="BV21" s="0"/>
      <c r="BW21" s="0"/>
      <c r="BX21" s="0"/>
      <c r="BY21" s="0"/>
      <c r="BZ21" s="0"/>
      <c r="CA21" s="0"/>
      <c r="CB21" s="0"/>
      <c r="CC21" s="0"/>
      <c r="CD21" s="0"/>
      <c r="CE21" s="0"/>
      <c r="CF21" s="0"/>
      <c r="CG21" s="0"/>
      <c r="CH21" s="0"/>
      <c r="CI21" s="0"/>
      <c r="CJ21" s="0"/>
      <c r="CK21" s="0"/>
      <c r="CL21" s="0"/>
      <c r="CM21" s="0"/>
      <c r="CN21" s="0"/>
      <c r="CO21" s="0"/>
      <c r="CP21" s="0"/>
      <c r="CQ21" s="0"/>
      <c r="CR21" s="0"/>
      <c r="CS21" s="0"/>
      <c r="CT21" s="0"/>
      <c r="CU21" s="0"/>
      <c r="CV21" s="0"/>
      <c r="CW21" s="0"/>
      <c r="CX21" s="0"/>
      <c r="CY21" s="0"/>
      <c r="CZ21" s="0"/>
      <c r="DA21" s="0"/>
      <c r="DB21" s="0"/>
      <c r="DC21" s="0"/>
      <c r="DD21" s="0"/>
      <c r="DE21" s="0"/>
      <c r="DF21" s="0"/>
      <c r="DG21" s="0"/>
      <c r="DH21" s="0"/>
      <c r="DI21" s="0"/>
      <c r="DJ21" s="0"/>
      <c r="DK21" s="0"/>
      <c r="DL21" s="0"/>
      <c r="DM21" s="0"/>
      <c r="DN21" s="0"/>
      <c r="DO21" s="0"/>
      <c r="DP21" s="0"/>
      <c r="DQ21" s="0"/>
      <c r="DR21" s="0"/>
      <c r="DS21" s="0"/>
      <c r="DT21" s="0"/>
      <c r="DU21" s="0"/>
      <c r="DV21" s="0"/>
      <c r="DW21" s="0"/>
      <c r="DX21" s="0"/>
      <c r="DY21" s="0"/>
      <c r="DZ21" s="0"/>
      <c r="EA21" s="0"/>
      <c r="EB21" s="0"/>
      <c r="EC21" s="0"/>
      <c r="ED21" s="0"/>
      <c r="EE21" s="0"/>
      <c r="EF21" s="0"/>
      <c r="EG21" s="0"/>
      <c r="EH21" s="0"/>
      <c r="EI21" s="0"/>
      <c r="EJ21" s="0"/>
      <c r="EK21" s="0"/>
      <c r="EL21" s="0"/>
      <c r="EM21" s="0"/>
      <c r="EN21" s="0"/>
      <c r="EO21" s="0"/>
      <c r="EP21" s="0"/>
      <c r="EQ21" s="0"/>
      <c r="ER21" s="0"/>
      <c r="ES21" s="0"/>
      <c r="ET21" s="0"/>
      <c r="EU21" s="0"/>
      <c r="EV21" s="0"/>
      <c r="EW21" s="0"/>
      <c r="EX21" s="0"/>
      <c r="EY21" s="0"/>
      <c r="EZ21" s="0"/>
      <c r="FA21" s="0"/>
      <c r="FB21" s="0"/>
      <c r="FC21" s="0"/>
      <c r="FD21" s="0"/>
      <c r="FE21" s="0"/>
      <c r="FF21" s="0"/>
      <c r="FG21" s="0"/>
      <c r="FH21" s="0"/>
      <c r="FI21" s="0"/>
      <c r="FJ21" s="0"/>
      <c r="FK21" s="0"/>
      <c r="FL21" s="0"/>
      <c r="FM21" s="0"/>
      <c r="FN21" s="0"/>
      <c r="FO21" s="0"/>
      <c r="FP21" s="0"/>
      <c r="FQ21" s="0"/>
      <c r="FR21" s="0"/>
      <c r="FS21" s="0"/>
      <c r="FT21" s="0"/>
      <c r="FU21" s="0"/>
      <c r="FV21" s="0"/>
      <c r="FW21" s="0"/>
      <c r="FX21" s="0"/>
      <c r="FY21" s="0"/>
      <c r="FZ21" s="0"/>
      <c r="GA21" s="0"/>
      <c r="GB21" s="0"/>
      <c r="GC21" s="0"/>
      <c r="GD21" s="0"/>
      <c r="GE21" s="0"/>
      <c r="GF21" s="0"/>
      <c r="GG21" s="0"/>
      <c r="GH21" s="0"/>
      <c r="GI21" s="0"/>
      <c r="GJ21" s="0"/>
      <c r="GK21" s="0"/>
      <c r="GL21" s="0"/>
      <c r="GM21" s="0"/>
      <c r="GN21" s="0"/>
      <c r="GO21" s="0"/>
      <c r="GP21" s="0"/>
      <c r="GQ21" s="0"/>
      <c r="GR21" s="0"/>
      <c r="GS21" s="0"/>
      <c r="GT21" s="0"/>
      <c r="GU21" s="0"/>
      <c r="GV21" s="0"/>
      <c r="GW21" s="0"/>
      <c r="GX21" s="0"/>
      <c r="GY21" s="0"/>
      <c r="GZ21" s="0"/>
      <c r="HA21" s="0"/>
      <c r="HB21" s="0"/>
      <c r="HC21" s="0"/>
      <c r="HD21" s="0"/>
      <c r="HE21" s="0"/>
      <c r="HF21" s="0"/>
      <c r="HG21" s="0"/>
      <c r="HH21" s="0"/>
      <c r="HI21" s="0"/>
      <c r="HJ21" s="0"/>
      <c r="HK21" s="0"/>
      <c r="HL21" s="0"/>
      <c r="HM21" s="0"/>
      <c r="HN21" s="0"/>
      <c r="HO21" s="0"/>
      <c r="HP21" s="0"/>
      <c r="HQ21" s="0"/>
      <c r="HR21" s="0"/>
      <c r="HS21" s="0"/>
      <c r="HT21" s="0"/>
      <c r="HU21" s="0"/>
      <c r="HV21" s="0"/>
      <c r="HW21" s="0"/>
      <c r="HX21" s="0"/>
      <c r="HY21" s="0"/>
      <c r="HZ21" s="0"/>
      <c r="IA21" s="0"/>
      <c r="IB21" s="0"/>
      <c r="IC21" s="0"/>
      <c r="ID21" s="0"/>
      <c r="IE21" s="0"/>
      <c r="IF21" s="0"/>
      <c r="IG21" s="0"/>
      <c r="IH21" s="0"/>
      <c r="II21" s="0"/>
      <c r="IJ21" s="0"/>
      <c r="IK21" s="0"/>
      <c r="IL21" s="0"/>
      <c r="IM21" s="0"/>
      <c r="IN21" s="0"/>
      <c r="IO21" s="0"/>
      <c r="IP21" s="0"/>
      <c r="IQ21" s="0"/>
      <c r="IR21" s="0"/>
      <c r="IS21" s="0"/>
      <c r="IT21" s="0"/>
      <c r="IU21" s="0"/>
      <c r="IV21" s="0"/>
      <c r="IW21" s="0"/>
    </row>
    <row r="22" customFormat="false" ht="11.1" hidden="false" customHeight="true" outlineLevel="0" collapsed="false">
      <c r="A22" s="58" t="n">
        <v>13</v>
      </c>
      <c r="B22" s="73" t="n">
        <v>6919.22</v>
      </c>
      <c r="C22" s="52" t="n">
        <v>360214</v>
      </c>
      <c r="D22" s="57" t="n">
        <f aca="false">C22-C21</f>
        <v>-560</v>
      </c>
      <c r="E22" s="52" t="n">
        <f aca="false">C22-152000</f>
        <v>208214</v>
      </c>
      <c r="F22" s="51" t="n">
        <f aca="false">D22/$D$2</f>
        <v>-282.329216032266</v>
      </c>
      <c r="G22" s="51" t="n">
        <v>319</v>
      </c>
      <c r="H22" s="53" t="n">
        <v>0</v>
      </c>
      <c r="I22" s="51" t="n">
        <f aca="false">G22+H22</f>
        <v>319</v>
      </c>
      <c r="J22" s="81" t="n">
        <f aca="false">IF(L22&gt;0,L22,0)</f>
        <v>0</v>
      </c>
      <c r="K22" s="51" t="n">
        <f aca="false">I22+J22</f>
        <v>319</v>
      </c>
      <c r="L22" s="51" t="n">
        <f aca="false">F22-(I22-W22)</f>
        <v>-86.3292160322662</v>
      </c>
      <c r="M22" s="51" t="n">
        <v>109</v>
      </c>
      <c r="N22" s="100" t="n">
        <v>0</v>
      </c>
      <c r="O22" s="100" t="n">
        <v>0</v>
      </c>
      <c r="P22" s="6" t="n">
        <f aca="false">M22-(N22+O22)</f>
        <v>109</v>
      </c>
      <c r="Q22" s="51" t="n">
        <v>151</v>
      </c>
      <c r="R22" s="51" t="n">
        <v>74</v>
      </c>
      <c r="S22" s="51" t="n">
        <f aca="false">SUM(P22:R22)</f>
        <v>334</v>
      </c>
      <c r="T22" s="52" t="n">
        <f aca="false">(I22-S22)+T21</f>
        <v>1082</v>
      </c>
      <c r="U22" s="51" t="n">
        <v>0</v>
      </c>
      <c r="V22" s="51" t="n">
        <v>181</v>
      </c>
      <c r="W22" s="6" t="n">
        <f aca="false">N22+O22+S22+U22+V22</f>
        <v>515</v>
      </c>
      <c r="X22" s="51" t="n">
        <f aca="false">IF(L22&lt;0,L22*-1,0)</f>
        <v>86.3292160322662</v>
      </c>
      <c r="Y22" s="51" t="n">
        <f aca="false">W22+X22</f>
        <v>601.329216032266</v>
      </c>
      <c r="Z22" s="56" t="n">
        <v>0</v>
      </c>
      <c r="AA22" s="57" t="n">
        <v>78</v>
      </c>
      <c r="AB22" s="57" t="n">
        <v>58</v>
      </c>
      <c r="AC22" s="58" t="n">
        <v>13</v>
      </c>
      <c r="AD22" s="92" t="n">
        <f aca="false">IF(I22&gt;S22,I22-S22,I22-S22)</f>
        <v>-15</v>
      </c>
      <c r="AE22" s="12"/>
      <c r="AF22" s="0"/>
      <c r="AG22" s="6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  <c r="BH22" s="0"/>
      <c r="BI22" s="0"/>
      <c r="BJ22" s="0"/>
      <c r="BK22" s="0"/>
      <c r="BL22" s="0"/>
      <c r="BM22" s="0"/>
      <c r="BN22" s="0"/>
      <c r="BO22" s="0"/>
      <c r="BP22" s="0"/>
      <c r="BQ22" s="0"/>
      <c r="BR22" s="0"/>
      <c r="BS22" s="0"/>
      <c r="BT22" s="0"/>
      <c r="BU22" s="0"/>
      <c r="BV22" s="0"/>
      <c r="BW22" s="0"/>
      <c r="BX22" s="0"/>
      <c r="BY22" s="0"/>
      <c r="BZ22" s="0"/>
      <c r="CA22" s="0"/>
      <c r="CB22" s="0"/>
      <c r="CC22" s="0"/>
      <c r="CD22" s="0"/>
      <c r="CE22" s="0"/>
      <c r="CF22" s="0"/>
      <c r="CG22" s="0"/>
      <c r="CH22" s="0"/>
      <c r="CI22" s="0"/>
      <c r="CJ22" s="0"/>
      <c r="CK22" s="0"/>
      <c r="CL22" s="0"/>
      <c r="CM22" s="0"/>
      <c r="CN22" s="0"/>
      <c r="CO22" s="0"/>
      <c r="CP22" s="0"/>
      <c r="CQ22" s="0"/>
      <c r="CR22" s="0"/>
      <c r="CS22" s="0"/>
      <c r="CT22" s="0"/>
      <c r="CU22" s="0"/>
      <c r="CV22" s="0"/>
      <c r="CW22" s="0"/>
      <c r="CX22" s="0"/>
      <c r="CY22" s="0"/>
      <c r="CZ22" s="0"/>
      <c r="DA22" s="0"/>
      <c r="DB22" s="0"/>
      <c r="DC22" s="0"/>
      <c r="DD22" s="0"/>
      <c r="DE22" s="0"/>
      <c r="DF22" s="0"/>
      <c r="DG22" s="0"/>
      <c r="DH22" s="0"/>
      <c r="DI22" s="0"/>
      <c r="DJ22" s="0"/>
      <c r="DK22" s="0"/>
      <c r="DL22" s="0"/>
      <c r="DM22" s="0"/>
      <c r="DN22" s="0"/>
      <c r="DO22" s="0"/>
      <c r="DP22" s="0"/>
      <c r="DQ22" s="0"/>
      <c r="DR22" s="0"/>
      <c r="DS22" s="0"/>
      <c r="DT22" s="0"/>
      <c r="DU22" s="0"/>
      <c r="DV22" s="0"/>
      <c r="DW22" s="0"/>
      <c r="DX22" s="0"/>
      <c r="DY22" s="0"/>
      <c r="DZ22" s="0"/>
      <c r="EA22" s="0"/>
      <c r="EB22" s="0"/>
      <c r="EC22" s="0"/>
      <c r="ED22" s="0"/>
      <c r="EE22" s="0"/>
      <c r="EF22" s="0"/>
      <c r="EG22" s="0"/>
      <c r="EH22" s="0"/>
      <c r="EI22" s="0"/>
      <c r="EJ22" s="0"/>
      <c r="EK22" s="0"/>
      <c r="EL22" s="0"/>
      <c r="EM22" s="0"/>
      <c r="EN22" s="0"/>
      <c r="EO22" s="0"/>
      <c r="EP22" s="0"/>
      <c r="EQ22" s="0"/>
      <c r="ER22" s="0"/>
      <c r="ES22" s="0"/>
      <c r="ET22" s="0"/>
      <c r="EU22" s="0"/>
      <c r="EV22" s="0"/>
      <c r="EW22" s="0"/>
      <c r="EX22" s="0"/>
      <c r="EY22" s="0"/>
      <c r="EZ22" s="0"/>
      <c r="FA22" s="0"/>
      <c r="FB22" s="0"/>
      <c r="FC22" s="0"/>
      <c r="FD22" s="0"/>
      <c r="FE22" s="0"/>
      <c r="FF22" s="0"/>
      <c r="FG22" s="0"/>
      <c r="FH22" s="0"/>
      <c r="FI22" s="0"/>
      <c r="FJ22" s="0"/>
      <c r="FK22" s="0"/>
      <c r="FL22" s="0"/>
      <c r="FM22" s="0"/>
      <c r="FN22" s="0"/>
      <c r="FO22" s="0"/>
      <c r="FP22" s="0"/>
      <c r="FQ22" s="0"/>
      <c r="FR22" s="0"/>
      <c r="FS22" s="0"/>
      <c r="FT22" s="0"/>
      <c r="FU22" s="0"/>
      <c r="FV22" s="0"/>
      <c r="FW22" s="0"/>
      <c r="FX22" s="0"/>
      <c r="FY22" s="0"/>
      <c r="FZ22" s="0"/>
      <c r="GA22" s="0"/>
      <c r="GB22" s="0"/>
      <c r="GC22" s="0"/>
      <c r="GD22" s="0"/>
      <c r="GE22" s="0"/>
      <c r="GF22" s="0"/>
      <c r="GG22" s="0"/>
      <c r="GH22" s="0"/>
      <c r="GI22" s="0"/>
      <c r="GJ22" s="0"/>
      <c r="GK22" s="0"/>
      <c r="GL22" s="0"/>
      <c r="GM22" s="0"/>
      <c r="GN22" s="0"/>
      <c r="GO22" s="0"/>
      <c r="GP22" s="0"/>
      <c r="GQ22" s="0"/>
      <c r="GR22" s="0"/>
      <c r="GS22" s="0"/>
      <c r="GT22" s="0"/>
      <c r="GU22" s="0"/>
      <c r="GV22" s="0"/>
      <c r="GW22" s="0"/>
      <c r="GX22" s="0"/>
      <c r="GY22" s="0"/>
      <c r="GZ22" s="0"/>
      <c r="HA22" s="0"/>
      <c r="HB22" s="0"/>
      <c r="HC22" s="0"/>
      <c r="HD22" s="0"/>
      <c r="HE22" s="0"/>
      <c r="HF22" s="0"/>
      <c r="HG22" s="0"/>
      <c r="HH22" s="0"/>
      <c r="HI22" s="0"/>
      <c r="HJ22" s="0"/>
      <c r="HK22" s="0"/>
      <c r="HL22" s="0"/>
      <c r="HM22" s="0"/>
      <c r="HN22" s="0"/>
      <c r="HO22" s="0"/>
      <c r="HP22" s="0"/>
      <c r="HQ22" s="0"/>
      <c r="HR22" s="0"/>
      <c r="HS22" s="0"/>
      <c r="HT22" s="0"/>
      <c r="HU22" s="0"/>
      <c r="HV22" s="0"/>
      <c r="HW22" s="0"/>
      <c r="HX22" s="0"/>
      <c r="HY22" s="0"/>
      <c r="HZ22" s="0"/>
      <c r="IA22" s="0"/>
      <c r="IB22" s="0"/>
      <c r="IC22" s="0"/>
      <c r="ID22" s="0"/>
      <c r="IE22" s="0"/>
      <c r="IF22" s="0"/>
      <c r="IG22" s="0"/>
      <c r="IH22" s="0"/>
      <c r="II22" s="0"/>
      <c r="IJ22" s="0"/>
      <c r="IK22" s="0"/>
      <c r="IL22" s="0"/>
      <c r="IM22" s="0"/>
      <c r="IN22" s="0"/>
      <c r="IO22" s="0"/>
      <c r="IP22" s="0"/>
      <c r="IQ22" s="0"/>
      <c r="IR22" s="0"/>
      <c r="IS22" s="0"/>
      <c r="IT22" s="0"/>
      <c r="IU22" s="0"/>
      <c r="IV22" s="0"/>
      <c r="IW22" s="0"/>
    </row>
    <row r="23" customFormat="false" ht="11.1" hidden="false" customHeight="true" outlineLevel="0" collapsed="false">
      <c r="A23" s="58" t="n">
        <v>14</v>
      </c>
      <c r="B23" s="73" t="n">
        <v>6919.07</v>
      </c>
      <c r="C23" s="52" t="n">
        <v>359568</v>
      </c>
      <c r="D23" s="57" t="n">
        <f aca="false">C23-C22</f>
        <v>-646</v>
      </c>
      <c r="E23" s="52" t="n">
        <f aca="false">C23-152000</f>
        <v>207568</v>
      </c>
      <c r="F23" s="51" t="n">
        <f aca="false">D23/$D$2</f>
        <v>-325.686917065793</v>
      </c>
      <c r="G23" s="51" t="n">
        <v>309</v>
      </c>
      <c r="H23" s="53" t="n">
        <v>0</v>
      </c>
      <c r="I23" s="51" t="n">
        <f aca="false">G23+H23</f>
        <v>309</v>
      </c>
      <c r="J23" s="81" t="n">
        <f aca="false">IF(L23&gt;0,L23,0)</f>
        <v>0</v>
      </c>
      <c r="K23" s="51" t="n">
        <f aca="false">I23+J23</f>
        <v>309</v>
      </c>
      <c r="L23" s="51" t="n">
        <f aca="false">F23-(I23-W23)</f>
        <v>-100.686917065793</v>
      </c>
      <c r="M23" s="51" t="n">
        <v>120</v>
      </c>
      <c r="N23" s="100" t="n">
        <v>0</v>
      </c>
      <c r="O23" s="100" t="n">
        <v>0</v>
      </c>
      <c r="P23" s="6" t="n">
        <f aca="false">M23-(N23+O23)</f>
        <v>120</v>
      </c>
      <c r="Q23" s="51" t="n">
        <v>142</v>
      </c>
      <c r="R23" s="51" t="n">
        <v>74</v>
      </c>
      <c r="S23" s="51" t="n">
        <f aca="false">SUM(P23:R23)</f>
        <v>336</v>
      </c>
      <c r="T23" s="52" t="n">
        <f aca="false">(I23-S23)+T22</f>
        <v>1055</v>
      </c>
      <c r="U23" s="51" t="n">
        <v>14</v>
      </c>
      <c r="V23" s="51" t="n">
        <v>184</v>
      </c>
      <c r="W23" s="6" t="n">
        <f aca="false">N23+O23+S23+U23+V23</f>
        <v>534</v>
      </c>
      <c r="X23" s="51" t="n">
        <f aca="false">IF(L23&lt;0,L23*-1,0)</f>
        <v>100.686917065793</v>
      </c>
      <c r="Y23" s="51" t="n">
        <f aca="false">W23+X23</f>
        <v>634.686917065793</v>
      </c>
      <c r="Z23" s="56" t="n">
        <v>0</v>
      </c>
      <c r="AA23" s="57" t="n">
        <v>78</v>
      </c>
      <c r="AB23" s="57" t="n">
        <v>52</v>
      </c>
      <c r="AC23" s="58" t="n">
        <v>14</v>
      </c>
      <c r="AD23" s="92" t="n">
        <f aca="false">IF(I23&gt;S23,I23-S23,I23-S23)</f>
        <v>-27</v>
      </c>
      <c r="AE23" s="12"/>
      <c r="AF23" s="0"/>
      <c r="AG23" s="6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  <c r="BH23" s="0"/>
      <c r="BI23" s="0"/>
      <c r="BJ23" s="0"/>
      <c r="BK23" s="0"/>
      <c r="BL23" s="0"/>
      <c r="BM23" s="0"/>
      <c r="BN23" s="0"/>
      <c r="BO23" s="0"/>
      <c r="BP23" s="0"/>
      <c r="BQ23" s="0"/>
      <c r="BR23" s="0"/>
      <c r="BS23" s="0"/>
      <c r="BT23" s="0"/>
      <c r="BU23" s="0"/>
      <c r="BV23" s="0"/>
      <c r="BW23" s="0"/>
      <c r="BX23" s="0"/>
      <c r="BY23" s="0"/>
      <c r="BZ23" s="0"/>
      <c r="CA23" s="0"/>
      <c r="CB23" s="0"/>
      <c r="CC23" s="0"/>
      <c r="CD23" s="0"/>
      <c r="CE23" s="0"/>
      <c r="CF23" s="0"/>
      <c r="CG23" s="0"/>
      <c r="CH23" s="0"/>
      <c r="CI23" s="0"/>
      <c r="CJ23" s="0"/>
      <c r="CK23" s="0"/>
      <c r="CL23" s="0"/>
      <c r="CM23" s="0"/>
      <c r="CN23" s="0"/>
      <c r="CO23" s="0"/>
      <c r="CP23" s="0"/>
      <c r="CQ23" s="0"/>
      <c r="CR23" s="0"/>
      <c r="CS23" s="0"/>
      <c r="CT23" s="0"/>
      <c r="CU23" s="0"/>
      <c r="CV23" s="0"/>
      <c r="CW23" s="0"/>
      <c r="CX23" s="0"/>
      <c r="CY23" s="0"/>
      <c r="CZ23" s="0"/>
      <c r="DA23" s="0"/>
      <c r="DB23" s="0"/>
      <c r="DC23" s="0"/>
      <c r="DD23" s="0"/>
      <c r="DE23" s="0"/>
      <c r="DF23" s="0"/>
      <c r="DG23" s="0"/>
      <c r="DH23" s="0"/>
      <c r="DI23" s="0"/>
      <c r="DJ23" s="0"/>
      <c r="DK23" s="0"/>
      <c r="DL23" s="0"/>
      <c r="DM23" s="0"/>
      <c r="DN23" s="0"/>
      <c r="DO23" s="0"/>
      <c r="DP23" s="0"/>
      <c r="DQ23" s="0"/>
      <c r="DR23" s="0"/>
      <c r="DS23" s="0"/>
      <c r="DT23" s="0"/>
      <c r="DU23" s="0"/>
      <c r="DV23" s="0"/>
      <c r="DW23" s="0"/>
      <c r="DX23" s="0"/>
      <c r="DY23" s="0"/>
      <c r="DZ23" s="0"/>
      <c r="EA23" s="0"/>
      <c r="EB23" s="0"/>
      <c r="EC23" s="0"/>
      <c r="ED23" s="0"/>
      <c r="EE23" s="0"/>
      <c r="EF23" s="0"/>
      <c r="EG23" s="0"/>
      <c r="EH23" s="0"/>
      <c r="EI23" s="0"/>
      <c r="EJ23" s="0"/>
      <c r="EK23" s="0"/>
      <c r="EL23" s="0"/>
      <c r="EM23" s="0"/>
      <c r="EN23" s="0"/>
      <c r="EO23" s="0"/>
      <c r="EP23" s="0"/>
      <c r="EQ23" s="0"/>
      <c r="ER23" s="0"/>
      <c r="ES23" s="0"/>
      <c r="ET23" s="0"/>
      <c r="EU23" s="0"/>
      <c r="EV23" s="0"/>
      <c r="EW23" s="0"/>
      <c r="EX23" s="0"/>
      <c r="EY23" s="0"/>
      <c r="EZ23" s="0"/>
      <c r="FA23" s="0"/>
      <c r="FB23" s="0"/>
      <c r="FC23" s="0"/>
      <c r="FD23" s="0"/>
      <c r="FE23" s="0"/>
      <c r="FF23" s="0"/>
      <c r="FG23" s="0"/>
      <c r="FH23" s="0"/>
      <c r="FI23" s="0"/>
      <c r="FJ23" s="0"/>
      <c r="FK23" s="0"/>
      <c r="FL23" s="0"/>
      <c r="FM23" s="0"/>
      <c r="FN23" s="0"/>
      <c r="FO23" s="0"/>
      <c r="FP23" s="0"/>
      <c r="FQ23" s="0"/>
      <c r="FR23" s="0"/>
      <c r="FS23" s="0"/>
      <c r="FT23" s="0"/>
      <c r="FU23" s="0"/>
      <c r="FV23" s="0"/>
      <c r="FW23" s="0"/>
      <c r="FX23" s="0"/>
      <c r="FY23" s="0"/>
      <c r="FZ23" s="0"/>
      <c r="GA23" s="0"/>
      <c r="GB23" s="0"/>
      <c r="GC23" s="0"/>
      <c r="GD23" s="0"/>
      <c r="GE23" s="0"/>
      <c r="GF23" s="0"/>
      <c r="GG23" s="0"/>
      <c r="GH23" s="0"/>
      <c r="GI23" s="0"/>
      <c r="GJ23" s="0"/>
      <c r="GK23" s="0"/>
      <c r="GL23" s="0"/>
      <c r="GM23" s="0"/>
      <c r="GN23" s="0"/>
      <c r="GO23" s="0"/>
      <c r="GP23" s="0"/>
      <c r="GQ23" s="0"/>
      <c r="GR23" s="0"/>
      <c r="GS23" s="0"/>
      <c r="GT23" s="0"/>
      <c r="GU23" s="0"/>
      <c r="GV23" s="0"/>
      <c r="GW23" s="0"/>
      <c r="GX23" s="0"/>
      <c r="GY23" s="0"/>
      <c r="GZ23" s="0"/>
      <c r="HA23" s="0"/>
      <c r="HB23" s="0"/>
      <c r="HC23" s="0"/>
      <c r="HD23" s="0"/>
      <c r="HE23" s="0"/>
      <c r="HF23" s="0"/>
      <c r="HG23" s="0"/>
      <c r="HH23" s="0"/>
      <c r="HI23" s="0"/>
      <c r="HJ23" s="0"/>
      <c r="HK23" s="0"/>
      <c r="HL23" s="0"/>
      <c r="HM23" s="0"/>
      <c r="HN23" s="0"/>
      <c r="HO23" s="0"/>
      <c r="HP23" s="0"/>
      <c r="HQ23" s="0"/>
      <c r="HR23" s="0"/>
      <c r="HS23" s="0"/>
      <c r="HT23" s="0"/>
      <c r="HU23" s="0"/>
      <c r="HV23" s="0"/>
      <c r="HW23" s="0"/>
      <c r="HX23" s="0"/>
      <c r="HY23" s="0"/>
      <c r="HZ23" s="0"/>
      <c r="IA23" s="0"/>
      <c r="IB23" s="0"/>
      <c r="IC23" s="0"/>
      <c r="ID23" s="0"/>
      <c r="IE23" s="0"/>
      <c r="IF23" s="0"/>
      <c r="IG23" s="0"/>
      <c r="IH23" s="0"/>
      <c r="II23" s="0"/>
      <c r="IJ23" s="0"/>
      <c r="IK23" s="0"/>
      <c r="IL23" s="0"/>
      <c r="IM23" s="0"/>
      <c r="IN23" s="0"/>
      <c r="IO23" s="0"/>
      <c r="IP23" s="0"/>
      <c r="IQ23" s="0"/>
      <c r="IR23" s="0"/>
      <c r="IS23" s="0"/>
      <c r="IT23" s="0"/>
      <c r="IU23" s="0"/>
      <c r="IV23" s="0"/>
      <c r="IW23" s="0"/>
    </row>
    <row r="24" customFormat="false" ht="11.1" hidden="false" customHeight="true" outlineLevel="0" collapsed="false">
      <c r="A24" s="58" t="n">
        <v>15</v>
      </c>
      <c r="B24" s="73" t="n">
        <v>6918.91</v>
      </c>
      <c r="C24" s="52" t="n">
        <v>358882</v>
      </c>
      <c r="D24" s="57" t="n">
        <f aca="false">C24-C23</f>
        <v>-686</v>
      </c>
      <c r="E24" s="52" t="n">
        <f aca="false">C24-152000</f>
        <v>206882</v>
      </c>
      <c r="F24" s="51" t="n">
        <f aca="false">D24/$D$2</f>
        <v>-345.853289639526</v>
      </c>
      <c r="G24" s="51" t="n">
        <v>297</v>
      </c>
      <c r="H24" s="53" t="n">
        <v>0</v>
      </c>
      <c r="I24" s="51" t="n">
        <f aca="false">G24+H24</f>
        <v>297</v>
      </c>
      <c r="J24" s="81" t="n">
        <f aca="false">IF(L24&gt;0,L24,0)</f>
        <v>0</v>
      </c>
      <c r="K24" s="51" t="n">
        <f aca="false">I24+J24</f>
        <v>297</v>
      </c>
      <c r="L24" s="51" t="n">
        <f aca="false">F24-(I24-W24)</f>
        <v>-114.853289639526</v>
      </c>
      <c r="M24" s="51" t="n">
        <v>128</v>
      </c>
      <c r="N24" s="100" t="n">
        <v>0</v>
      </c>
      <c r="O24" s="100" t="n">
        <v>0</v>
      </c>
      <c r="P24" s="6" t="n">
        <f aca="false">M24-(N24+O24)</f>
        <v>128</v>
      </c>
      <c r="Q24" s="51" t="n">
        <v>142</v>
      </c>
      <c r="R24" s="51" t="n">
        <v>74</v>
      </c>
      <c r="S24" s="51" t="n">
        <f aca="false">SUM(P24:R24)</f>
        <v>344</v>
      </c>
      <c r="T24" s="52" t="n">
        <f aca="false">(I24-S24)+T23</f>
        <v>1008</v>
      </c>
      <c r="U24" s="51" t="n">
        <v>0</v>
      </c>
      <c r="V24" s="51" t="n">
        <v>184</v>
      </c>
      <c r="W24" s="6" t="n">
        <f aca="false">N24+O24+S24+U24+V24</f>
        <v>528</v>
      </c>
      <c r="X24" s="51" t="n">
        <f aca="false">IF(L24&lt;0,L24*-1,0)</f>
        <v>114.853289639526</v>
      </c>
      <c r="Y24" s="51" t="n">
        <f aca="false">W24+X24</f>
        <v>642.853289639526</v>
      </c>
      <c r="Z24" s="56" t="n">
        <v>0</v>
      </c>
      <c r="AA24" s="57" t="n">
        <v>79</v>
      </c>
      <c r="AB24" s="57" t="n">
        <v>51</v>
      </c>
      <c r="AC24" s="58" t="n">
        <v>15</v>
      </c>
      <c r="AD24" s="92" t="n">
        <f aca="false">IF(I24&gt;S24,I24-S24,I24-S24)</f>
        <v>-47</v>
      </c>
      <c r="AE24" s="12"/>
      <c r="AF24" s="0"/>
      <c r="AG24" s="6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  <c r="BH24" s="0"/>
      <c r="BI24" s="0"/>
      <c r="BJ24" s="0"/>
      <c r="BK24" s="0"/>
      <c r="BL24" s="0"/>
      <c r="BM24" s="0"/>
      <c r="BN24" s="0"/>
      <c r="BO24" s="0"/>
      <c r="BP24" s="0"/>
      <c r="BQ24" s="0"/>
      <c r="BR24" s="0"/>
      <c r="BS24" s="0"/>
      <c r="BT24" s="0"/>
      <c r="BU24" s="0"/>
      <c r="BV24" s="0"/>
      <c r="BW24" s="0"/>
      <c r="BX24" s="0"/>
      <c r="BY24" s="0"/>
      <c r="BZ24" s="0"/>
      <c r="CA24" s="0"/>
      <c r="CB24" s="0"/>
      <c r="CC24" s="0"/>
      <c r="CD24" s="0"/>
      <c r="CE24" s="0"/>
      <c r="CF24" s="0"/>
      <c r="CG24" s="0"/>
      <c r="CH24" s="0"/>
      <c r="CI24" s="0"/>
      <c r="CJ24" s="0"/>
      <c r="CK24" s="0"/>
      <c r="CL24" s="0"/>
      <c r="CM24" s="0"/>
      <c r="CN24" s="0"/>
      <c r="CO24" s="0"/>
      <c r="CP24" s="0"/>
      <c r="CQ24" s="0"/>
      <c r="CR24" s="0"/>
      <c r="CS24" s="0"/>
      <c r="CT24" s="0"/>
      <c r="CU24" s="0"/>
      <c r="CV24" s="0"/>
      <c r="CW24" s="0"/>
      <c r="CX24" s="0"/>
      <c r="CY24" s="0"/>
      <c r="CZ24" s="0"/>
      <c r="DA24" s="0"/>
      <c r="DB24" s="0"/>
      <c r="DC24" s="0"/>
      <c r="DD24" s="0"/>
      <c r="DE24" s="0"/>
      <c r="DF24" s="0"/>
      <c r="DG24" s="0"/>
      <c r="DH24" s="0"/>
      <c r="DI24" s="0"/>
      <c r="DJ24" s="0"/>
      <c r="DK24" s="0"/>
      <c r="DL24" s="0"/>
      <c r="DM24" s="0"/>
      <c r="DN24" s="0"/>
      <c r="DO24" s="0"/>
      <c r="DP24" s="0"/>
      <c r="DQ24" s="0"/>
      <c r="DR24" s="0"/>
      <c r="DS24" s="0"/>
      <c r="DT24" s="0"/>
      <c r="DU24" s="0"/>
      <c r="DV24" s="0"/>
      <c r="DW24" s="0"/>
      <c r="DX24" s="0"/>
      <c r="DY24" s="0"/>
      <c r="DZ24" s="0"/>
      <c r="EA24" s="0"/>
      <c r="EB24" s="0"/>
      <c r="EC24" s="0"/>
      <c r="ED24" s="0"/>
      <c r="EE24" s="0"/>
      <c r="EF24" s="0"/>
      <c r="EG24" s="0"/>
      <c r="EH24" s="0"/>
      <c r="EI24" s="0"/>
      <c r="EJ24" s="0"/>
      <c r="EK24" s="0"/>
      <c r="EL24" s="0"/>
      <c r="EM24" s="0"/>
      <c r="EN24" s="0"/>
      <c r="EO24" s="0"/>
      <c r="EP24" s="0"/>
      <c r="EQ24" s="0"/>
      <c r="ER24" s="0"/>
      <c r="ES24" s="0"/>
      <c r="ET24" s="0"/>
      <c r="EU24" s="0"/>
      <c r="EV24" s="0"/>
      <c r="EW24" s="0"/>
      <c r="EX24" s="0"/>
      <c r="EY24" s="0"/>
      <c r="EZ24" s="0"/>
      <c r="FA24" s="0"/>
      <c r="FB24" s="0"/>
      <c r="FC24" s="0"/>
      <c r="FD24" s="0"/>
      <c r="FE24" s="0"/>
      <c r="FF24" s="0"/>
      <c r="FG24" s="0"/>
      <c r="FH24" s="0"/>
      <c r="FI24" s="0"/>
      <c r="FJ24" s="0"/>
      <c r="FK24" s="0"/>
      <c r="FL24" s="0"/>
      <c r="FM24" s="0"/>
      <c r="FN24" s="0"/>
      <c r="FO24" s="0"/>
      <c r="FP24" s="0"/>
      <c r="FQ24" s="0"/>
      <c r="FR24" s="0"/>
      <c r="FS24" s="0"/>
      <c r="FT24" s="0"/>
      <c r="FU24" s="0"/>
      <c r="FV24" s="0"/>
      <c r="FW24" s="0"/>
      <c r="FX24" s="0"/>
      <c r="FY24" s="0"/>
      <c r="FZ24" s="0"/>
      <c r="GA24" s="0"/>
      <c r="GB24" s="0"/>
      <c r="GC24" s="0"/>
      <c r="GD24" s="0"/>
      <c r="GE24" s="0"/>
      <c r="GF24" s="0"/>
      <c r="GG24" s="0"/>
      <c r="GH24" s="0"/>
      <c r="GI24" s="0"/>
      <c r="GJ24" s="0"/>
      <c r="GK24" s="0"/>
      <c r="GL24" s="0"/>
      <c r="GM24" s="0"/>
      <c r="GN24" s="0"/>
      <c r="GO24" s="0"/>
      <c r="GP24" s="0"/>
      <c r="GQ24" s="0"/>
      <c r="GR24" s="0"/>
      <c r="GS24" s="0"/>
      <c r="GT24" s="0"/>
      <c r="GU24" s="0"/>
      <c r="GV24" s="0"/>
      <c r="GW24" s="0"/>
      <c r="GX24" s="0"/>
      <c r="GY24" s="0"/>
      <c r="GZ24" s="0"/>
      <c r="HA24" s="0"/>
      <c r="HB24" s="0"/>
      <c r="HC24" s="0"/>
      <c r="HD24" s="0"/>
      <c r="HE24" s="0"/>
      <c r="HF24" s="0"/>
      <c r="HG24" s="0"/>
      <c r="HH24" s="0"/>
      <c r="HI24" s="0"/>
      <c r="HJ24" s="0"/>
      <c r="HK24" s="0"/>
      <c r="HL24" s="0"/>
      <c r="HM24" s="0"/>
      <c r="HN24" s="0"/>
      <c r="HO24" s="0"/>
      <c r="HP24" s="0"/>
      <c r="HQ24" s="0"/>
      <c r="HR24" s="0"/>
      <c r="HS24" s="0"/>
      <c r="HT24" s="0"/>
      <c r="HU24" s="0"/>
      <c r="HV24" s="0"/>
      <c r="HW24" s="0"/>
      <c r="HX24" s="0"/>
      <c r="HY24" s="0"/>
      <c r="HZ24" s="0"/>
      <c r="IA24" s="0"/>
      <c r="IB24" s="0"/>
      <c r="IC24" s="0"/>
      <c r="ID24" s="0"/>
      <c r="IE24" s="0"/>
      <c r="IF24" s="0"/>
      <c r="IG24" s="0"/>
      <c r="IH24" s="0"/>
      <c r="II24" s="0"/>
      <c r="IJ24" s="0"/>
      <c r="IK24" s="0"/>
      <c r="IL24" s="0"/>
      <c r="IM24" s="0"/>
      <c r="IN24" s="0"/>
      <c r="IO24" s="0"/>
      <c r="IP24" s="0"/>
      <c r="IQ24" s="0"/>
      <c r="IR24" s="0"/>
      <c r="IS24" s="0"/>
      <c r="IT24" s="0"/>
      <c r="IU24" s="0"/>
      <c r="IV24" s="0"/>
      <c r="IW24" s="0"/>
    </row>
    <row r="25" customFormat="false" ht="11.1" hidden="false" customHeight="true" outlineLevel="0" collapsed="false">
      <c r="A25" s="58" t="n">
        <v>16</v>
      </c>
      <c r="B25" s="73" t="n">
        <v>6918.76</v>
      </c>
      <c r="C25" s="52" t="n">
        <v>358241</v>
      </c>
      <c r="D25" s="57" t="n">
        <f aca="false">C25-C24</f>
        <v>-641</v>
      </c>
      <c r="E25" s="52" t="n">
        <f aca="false">C25-152000</f>
        <v>206241</v>
      </c>
      <c r="F25" s="51" t="n">
        <f aca="false">D25/$D$2</f>
        <v>-323.166120494076</v>
      </c>
      <c r="G25" s="51" t="n">
        <v>286</v>
      </c>
      <c r="H25" s="53" t="n">
        <v>0</v>
      </c>
      <c r="I25" s="51" t="n">
        <f aca="false">G25+H25</f>
        <v>286</v>
      </c>
      <c r="J25" s="81" t="n">
        <f aca="false">IF(L25&gt;0,L25,0)</f>
        <v>0</v>
      </c>
      <c r="K25" s="51" t="n">
        <f aca="false">I25+J25</f>
        <v>286</v>
      </c>
      <c r="L25" s="51" t="n">
        <f aca="false">F25-(I25-W25)</f>
        <v>-424.166120494076</v>
      </c>
      <c r="M25" s="51" t="n">
        <v>128</v>
      </c>
      <c r="N25" s="100" t="n">
        <v>0</v>
      </c>
      <c r="O25" s="100" t="n">
        <v>0</v>
      </c>
      <c r="P25" s="6" t="n">
        <f aca="false">M25-(N25+O25)</f>
        <v>128</v>
      </c>
      <c r="Q25" s="51" t="n">
        <v>142</v>
      </c>
      <c r="R25" s="51" t="n">
        <v>74</v>
      </c>
      <c r="S25" s="51" t="n">
        <v>0</v>
      </c>
      <c r="T25" s="52" t="n">
        <f aca="false">(I25-S25)+T24</f>
        <v>1294</v>
      </c>
      <c r="U25" s="51" t="n">
        <v>0</v>
      </c>
      <c r="V25" s="51" t="n">
        <v>185</v>
      </c>
      <c r="W25" s="6" t="n">
        <f aca="false">N25+O25+S25+U25+V25</f>
        <v>185</v>
      </c>
      <c r="X25" s="51" t="n">
        <f aca="false">IF(L25&lt;0,L25*-1,0)</f>
        <v>424.166120494076</v>
      </c>
      <c r="Y25" s="51" t="n">
        <f aca="false">W25+X25</f>
        <v>609.166120494076</v>
      </c>
      <c r="Z25" s="56" t="n">
        <v>0</v>
      </c>
      <c r="AA25" s="57" t="n">
        <v>80</v>
      </c>
      <c r="AB25" s="57" t="n">
        <v>56</v>
      </c>
      <c r="AC25" s="58" t="n">
        <v>16</v>
      </c>
      <c r="AD25" s="92" t="n">
        <f aca="false">IF(I25&gt;S25,I25-S25,I25-S25)</f>
        <v>286</v>
      </c>
      <c r="AE25" s="12"/>
      <c r="AF25" s="0"/>
      <c r="AG25" s="6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  <c r="BH25" s="0"/>
      <c r="BI25" s="0"/>
      <c r="BJ25" s="0"/>
      <c r="BK25" s="0"/>
      <c r="BL25" s="0"/>
      <c r="BM25" s="0"/>
      <c r="BN25" s="0"/>
      <c r="BO25" s="0"/>
      <c r="BP25" s="0"/>
      <c r="BQ25" s="0"/>
      <c r="BR25" s="0"/>
      <c r="BS25" s="0"/>
      <c r="BT25" s="0"/>
      <c r="BU25" s="0"/>
      <c r="BV25" s="0"/>
      <c r="BW25" s="0"/>
      <c r="BX25" s="0"/>
      <c r="BY25" s="0"/>
      <c r="BZ25" s="0"/>
      <c r="CA25" s="0"/>
      <c r="CB25" s="0"/>
      <c r="CC25" s="0"/>
      <c r="CD25" s="0"/>
      <c r="CE25" s="0"/>
      <c r="CF25" s="0"/>
      <c r="CG25" s="0"/>
      <c r="CH25" s="0"/>
      <c r="CI25" s="0"/>
      <c r="CJ25" s="0"/>
      <c r="CK25" s="0"/>
      <c r="CL25" s="0"/>
      <c r="CM25" s="0"/>
      <c r="CN25" s="0"/>
      <c r="CO25" s="0"/>
      <c r="CP25" s="0"/>
      <c r="CQ25" s="0"/>
      <c r="CR25" s="0"/>
      <c r="CS25" s="0"/>
      <c r="CT25" s="0"/>
      <c r="CU25" s="0"/>
      <c r="CV25" s="0"/>
      <c r="CW25" s="0"/>
      <c r="CX25" s="0"/>
      <c r="CY25" s="0"/>
      <c r="CZ25" s="0"/>
      <c r="DA25" s="0"/>
      <c r="DB25" s="0"/>
      <c r="DC25" s="0"/>
      <c r="DD25" s="0"/>
      <c r="DE25" s="0"/>
      <c r="DF25" s="0"/>
      <c r="DG25" s="0"/>
      <c r="DH25" s="0"/>
      <c r="DI25" s="0"/>
      <c r="DJ25" s="0"/>
      <c r="DK25" s="0"/>
      <c r="DL25" s="0"/>
      <c r="DM25" s="0"/>
      <c r="DN25" s="0"/>
      <c r="DO25" s="0"/>
      <c r="DP25" s="0"/>
      <c r="DQ25" s="0"/>
      <c r="DR25" s="0"/>
      <c r="DS25" s="0"/>
      <c r="DT25" s="0"/>
      <c r="DU25" s="0"/>
      <c r="DV25" s="0"/>
      <c r="DW25" s="0"/>
      <c r="DX25" s="0"/>
      <c r="DY25" s="0"/>
      <c r="DZ25" s="0"/>
      <c r="EA25" s="0"/>
      <c r="EB25" s="0"/>
      <c r="EC25" s="0"/>
      <c r="ED25" s="0"/>
      <c r="EE25" s="0"/>
      <c r="EF25" s="0"/>
      <c r="EG25" s="0"/>
      <c r="EH25" s="0"/>
      <c r="EI25" s="0"/>
      <c r="EJ25" s="0"/>
      <c r="EK25" s="0"/>
      <c r="EL25" s="0"/>
      <c r="EM25" s="0"/>
      <c r="EN25" s="0"/>
      <c r="EO25" s="0"/>
      <c r="EP25" s="0"/>
      <c r="EQ25" s="0"/>
      <c r="ER25" s="0"/>
      <c r="ES25" s="0"/>
      <c r="ET25" s="0"/>
      <c r="EU25" s="0"/>
      <c r="EV25" s="0"/>
      <c r="EW25" s="0"/>
      <c r="EX25" s="0"/>
      <c r="EY25" s="0"/>
      <c r="EZ25" s="0"/>
      <c r="FA25" s="0"/>
      <c r="FB25" s="0"/>
      <c r="FC25" s="0"/>
      <c r="FD25" s="0"/>
      <c r="FE25" s="0"/>
      <c r="FF25" s="0"/>
      <c r="FG25" s="0"/>
      <c r="FH25" s="0"/>
      <c r="FI25" s="0"/>
      <c r="FJ25" s="0"/>
      <c r="FK25" s="0"/>
      <c r="FL25" s="0"/>
      <c r="FM25" s="0"/>
      <c r="FN25" s="0"/>
      <c r="FO25" s="0"/>
      <c r="FP25" s="0"/>
      <c r="FQ25" s="0"/>
      <c r="FR25" s="0"/>
      <c r="FS25" s="0"/>
      <c r="FT25" s="0"/>
      <c r="FU25" s="0"/>
      <c r="FV25" s="0"/>
      <c r="FW25" s="0"/>
      <c r="FX25" s="0"/>
      <c r="FY25" s="0"/>
      <c r="FZ25" s="0"/>
      <c r="GA25" s="0"/>
      <c r="GB25" s="0"/>
      <c r="GC25" s="0"/>
      <c r="GD25" s="0"/>
      <c r="GE25" s="0"/>
      <c r="GF25" s="0"/>
      <c r="GG25" s="0"/>
      <c r="GH25" s="0"/>
      <c r="GI25" s="0"/>
      <c r="GJ25" s="0"/>
      <c r="GK25" s="0"/>
      <c r="GL25" s="0"/>
      <c r="GM25" s="0"/>
      <c r="GN25" s="0"/>
      <c r="GO25" s="0"/>
      <c r="GP25" s="0"/>
      <c r="GQ25" s="0"/>
      <c r="GR25" s="0"/>
      <c r="GS25" s="0"/>
      <c r="GT25" s="0"/>
      <c r="GU25" s="0"/>
      <c r="GV25" s="0"/>
      <c r="GW25" s="0"/>
      <c r="GX25" s="0"/>
      <c r="GY25" s="0"/>
      <c r="GZ25" s="0"/>
      <c r="HA25" s="0"/>
      <c r="HB25" s="0"/>
      <c r="HC25" s="0"/>
      <c r="HD25" s="0"/>
      <c r="HE25" s="0"/>
      <c r="HF25" s="0"/>
      <c r="HG25" s="0"/>
      <c r="HH25" s="0"/>
      <c r="HI25" s="0"/>
      <c r="HJ25" s="0"/>
      <c r="HK25" s="0"/>
      <c r="HL25" s="0"/>
      <c r="HM25" s="0"/>
      <c r="HN25" s="0"/>
      <c r="HO25" s="0"/>
      <c r="HP25" s="0"/>
      <c r="HQ25" s="0"/>
      <c r="HR25" s="0"/>
      <c r="HS25" s="0"/>
      <c r="HT25" s="0"/>
      <c r="HU25" s="0"/>
      <c r="HV25" s="0"/>
      <c r="HW25" s="0"/>
      <c r="HX25" s="0"/>
      <c r="HY25" s="0"/>
      <c r="HZ25" s="0"/>
      <c r="IA25" s="0"/>
      <c r="IB25" s="0"/>
      <c r="IC25" s="0"/>
      <c r="ID25" s="0"/>
      <c r="IE25" s="0"/>
      <c r="IF25" s="0"/>
      <c r="IG25" s="0"/>
      <c r="IH25" s="0"/>
      <c r="II25" s="0"/>
      <c r="IJ25" s="0"/>
      <c r="IK25" s="0"/>
      <c r="IL25" s="0"/>
      <c r="IM25" s="0"/>
      <c r="IN25" s="0"/>
      <c r="IO25" s="0"/>
      <c r="IP25" s="0"/>
      <c r="IQ25" s="0"/>
      <c r="IR25" s="0"/>
      <c r="IS25" s="0"/>
      <c r="IT25" s="0"/>
      <c r="IU25" s="0"/>
      <c r="IV25" s="0"/>
      <c r="IW25" s="0"/>
    </row>
    <row r="26" customFormat="false" ht="11.1" hidden="false" customHeight="true" outlineLevel="0" collapsed="false">
      <c r="A26" s="58" t="n">
        <v>17</v>
      </c>
      <c r="B26" s="73" t="n">
        <v>6918.62</v>
      </c>
      <c r="C26" s="52" t="n">
        <v>357643</v>
      </c>
      <c r="D26" s="57" t="n">
        <f aca="false">C26-C25</f>
        <v>-598</v>
      </c>
      <c r="E26" s="52" t="n">
        <f aca="false">C26-152000</f>
        <v>205643</v>
      </c>
      <c r="F26" s="51" t="n">
        <f aca="false">D26/$D$2</f>
        <v>-301.487269977313</v>
      </c>
      <c r="G26" s="51" t="n">
        <v>276</v>
      </c>
      <c r="H26" s="53" t="n">
        <v>0</v>
      </c>
      <c r="I26" s="51" t="n">
        <f aca="false">G26+H26</f>
        <v>276</v>
      </c>
      <c r="J26" s="81" t="n">
        <f aca="false">IF(L26&gt;0,L26,0)</f>
        <v>0</v>
      </c>
      <c r="K26" s="51" t="n">
        <f aca="false">I26+J26</f>
        <v>276</v>
      </c>
      <c r="L26" s="51" t="n">
        <f aca="false">F26-(I26-W26)</f>
        <v>-32.4872699773128</v>
      </c>
      <c r="M26" s="51" t="n">
        <v>128</v>
      </c>
      <c r="N26" s="100" t="n">
        <v>0</v>
      </c>
      <c r="O26" s="100" t="n">
        <v>0</v>
      </c>
      <c r="P26" s="6" t="n">
        <f aca="false">M26-(N26+O26)</f>
        <v>128</v>
      </c>
      <c r="Q26" s="51" t="n">
        <v>143</v>
      </c>
      <c r="R26" s="51" t="n">
        <v>74</v>
      </c>
      <c r="S26" s="51" t="n">
        <f aca="false">SUM(P26:R26)</f>
        <v>345</v>
      </c>
      <c r="T26" s="52" t="n">
        <f aca="false">(I26-S26)+T25</f>
        <v>1225</v>
      </c>
      <c r="U26" s="51" t="n">
        <v>18</v>
      </c>
      <c r="V26" s="51" t="n">
        <v>182</v>
      </c>
      <c r="W26" s="6" t="n">
        <f aca="false">N26+O26+S26+U26+V26</f>
        <v>545</v>
      </c>
      <c r="X26" s="51" t="n">
        <f aca="false">IF(L26&lt;0,L26*-1,0)</f>
        <v>32.4872699773128</v>
      </c>
      <c r="Y26" s="51" t="n">
        <f aca="false">W26+X26</f>
        <v>577.487269977313</v>
      </c>
      <c r="Z26" s="56" t="n">
        <v>0</v>
      </c>
      <c r="AA26" s="57" t="n">
        <v>83</v>
      </c>
      <c r="AB26" s="57" t="n">
        <v>58</v>
      </c>
      <c r="AC26" s="58" t="n">
        <v>17</v>
      </c>
      <c r="AD26" s="92" t="n">
        <f aca="false">IF(I26&gt;S26,I26-S26,I26-S26)</f>
        <v>-69</v>
      </c>
      <c r="AE26" s="12"/>
      <c r="AF26" s="0"/>
      <c r="AG26" s="6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  <c r="BH26" s="0"/>
      <c r="BI26" s="0"/>
      <c r="BJ26" s="0"/>
      <c r="BK26" s="0"/>
      <c r="BL26" s="0"/>
      <c r="BM26" s="0"/>
      <c r="BN26" s="0"/>
      <c r="BO26" s="0"/>
      <c r="BP26" s="0"/>
      <c r="BQ26" s="0"/>
      <c r="BR26" s="0"/>
      <c r="BS26" s="0"/>
      <c r="BT26" s="0"/>
      <c r="BU26" s="0"/>
      <c r="BV26" s="0"/>
      <c r="BW26" s="0"/>
      <c r="BX26" s="0"/>
      <c r="BY26" s="0"/>
      <c r="BZ26" s="0"/>
      <c r="CA26" s="0"/>
      <c r="CB26" s="0"/>
      <c r="CC26" s="0"/>
      <c r="CD26" s="0"/>
      <c r="CE26" s="0"/>
      <c r="CF26" s="0"/>
      <c r="CG26" s="0"/>
      <c r="CH26" s="0"/>
      <c r="CI26" s="0"/>
      <c r="CJ26" s="0"/>
      <c r="CK26" s="0"/>
      <c r="CL26" s="0"/>
      <c r="CM26" s="0"/>
      <c r="CN26" s="0"/>
      <c r="CO26" s="0"/>
      <c r="CP26" s="0"/>
      <c r="CQ26" s="0"/>
      <c r="CR26" s="0"/>
      <c r="CS26" s="0"/>
      <c r="CT26" s="0"/>
      <c r="CU26" s="0"/>
      <c r="CV26" s="0"/>
      <c r="CW26" s="0"/>
      <c r="CX26" s="0"/>
      <c r="CY26" s="0"/>
      <c r="CZ26" s="0"/>
      <c r="DA26" s="0"/>
      <c r="DB26" s="0"/>
      <c r="DC26" s="0"/>
      <c r="DD26" s="0"/>
      <c r="DE26" s="0"/>
      <c r="DF26" s="0"/>
      <c r="DG26" s="0"/>
      <c r="DH26" s="0"/>
      <c r="DI26" s="0"/>
      <c r="DJ26" s="0"/>
      <c r="DK26" s="0"/>
      <c r="DL26" s="0"/>
      <c r="DM26" s="0"/>
      <c r="DN26" s="0"/>
      <c r="DO26" s="0"/>
      <c r="DP26" s="0"/>
      <c r="DQ26" s="0"/>
      <c r="DR26" s="0"/>
      <c r="DS26" s="0"/>
      <c r="DT26" s="0"/>
      <c r="DU26" s="0"/>
      <c r="DV26" s="0"/>
      <c r="DW26" s="0"/>
      <c r="DX26" s="0"/>
      <c r="DY26" s="0"/>
      <c r="DZ26" s="0"/>
      <c r="EA26" s="0"/>
      <c r="EB26" s="0"/>
      <c r="EC26" s="0"/>
      <c r="ED26" s="0"/>
      <c r="EE26" s="0"/>
      <c r="EF26" s="0"/>
      <c r="EG26" s="0"/>
      <c r="EH26" s="0"/>
      <c r="EI26" s="0"/>
      <c r="EJ26" s="0"/>
      <c r="EK26" s="0"/>
      <c r="EL26" s="0"/>
      <c r="EM26" s="0"/>
      <c r="EN26" s="0"/>
      <c r="EO26" s="0"/>
      <c r="EP26" s="0"/>
      <c r="EQ26" s="0"/>
      <c r="ER26" s="0"/>
      <c r="ES26" s="0"/>
      <c r="ET26" s="0"/>
      <c r="EU26" s="0"/>
      <c r="EV26" s="0"/>
      <c r="EW26" s="0"/>
      <c r="EX26" s="0"/>
      <c r="EY26" s="0"/>
      <c r="EZ26" s="0"/>
      <c r="FA26" s="0"/>
      <c r="FB26" s="0"/>
      <c r="FC26" s="0"/>
      <c r="FD26" s="0"/>
      <c r="FE26" s="0"/>
      <c r="FF26" s="0"/>
      <c r="FG26" s="0"/>
      <c r="FH26" s="0"/>
      <c r="FI26" s="0"/>
      <c r="FJ26" s="0"/>
      <c r="FK26" s="0"/>
      <c r="FL26" s="0"/>
      <c r="FM26" s="0"/>
      <c r="FN26" s="0"/>
      <c r="FO26" s="0"/>
      <c r="FP26" s="0"/>
      <c r="FQ26" s="0"/>
      <c r="FR26" s="0"/>
      <c r="FS26" s="0"/>
      <c r="FT26" s="0"/>
      <c r="FU26" s="0"/>
      <c r="FV26" s="0"/>
      <c r="FW26" s="0"/>
      <c r="FX26" s="0"/>
      <c r="FY26" s="0"/>
      <c r="FZ26" s="0"/>
      <c r="GA26" s="0"/>
      <c r="GB26" s="0"/>
      <c r="GC26" s="0"/>
      <c r="GD26" s="0"/>
      <c r="GE26" s="0"/>
      <c r="GF26" s="0"/>
      <c r="GG26" s="0"/>
      <c r="GH26" s="0"/>
      <c r="GI26" s="0"/>
      <c r="GJ26" s="0"/>
      <c r="GK26" s="0"/>
      <c r="GL26" s="0"/>
      <c r="GM26" s="0"/>
      <c r="GN26" s="0"/>
      <c r="GO26" s="0"/>
      <c r="GP26" s="0"/>
      <c r="GQ26" s="0"/>
      <c r="GR26" s="0"/>
      <c r="GS26" s="0"/>
      <c r="GT26" s="0"/>
      <c r="GU26" s="0"/>
      <c r="GV26" s="0"/>
      <c r="GW26" s="0"/>
      <c r="GX26" s="0"/>
      <c r="GY26" s="0"/>
      <c r="GZ26" s="0"/>
      <c r="HA26" s="0"/>
      <c r="HB26" s="0"/>
      <c r="HC26" s="0"/>
      <c r="HD26" s="0"/>
      <c r="HE26" s="0"/>
      <c r="HF26" s="0"/>
      <c r="HG26" s="0"/>
      <c r="HH26" s="0"/>
      <c r="HI26" s="0"/>
      <c r="HJ26" s="0"/>
      <c r="HK26" s="0"/>
      <c r="HL26" s="0"/>
      <c r="HM26" s="0"/>
      <c r="HN26" s="0"/>
      <c r="HO26" s="0"/>
      <c r="HP26" s="0"/>
      <c r="HQ26" s="0"/>
      <c r="HR26" s="0"/>
      <c r="HS26" s="0"/>
      <c r="HT26" s="0"/>
      <c r="HU26" s="0"/>
      <c r="HV26" s="0"/>
      <c r="HW26" s="0"/>
      <c r="HX26" s="0"/>
      <c r="HY26" s="0"/>
      <c r="HZ26" s="0"/>
      <c r="IA26" s="0"/>
      <c r="IB26" s="0"/>
      <c r="IC26" s="0"/>
      <c r="ID26" s="0"/>
      <c r="IE26" s="0"/>
      <c r="IF26" s="0"/>
      <c r="IG26" s="0"/>
      <c r="IH26" s="0"/>
      <c r="II26" s="0"/>
      <c r="IJ26" s="0"/>
      <c r="IK26" s="0"/>
      <c r="IL26" s="0"/>
      <c r="IM26" s="0"/>
      <c r="IN26" s="0"/>
      <c r="IO26" s="0"/>
      <c r="IP26" s="0"/>
      <c r="IQ26" s="0"/>
      <c r="IR26" s="0"/>
      <c r="IS26" s="0"/>
      <c r="IT26" s="0"/>
      <c r="IU26" s="0"/>
      <c r="IV26" s="0"/>
      <c r="IW26" s="0"/>
    </row>
    <row r="27" customFormat="false" ht="11.1" hidden="false" customHeight="true" outlineLevel="0" collapsed="false">
      <c r="A27" s="58" t="n">
        <v>18</v>
      </c>
      <c r="B27" s="73" t="n">
        <v>6918.51</v>
      </c>
      <c r="C27" s="52" t="n">
        <v>357173</v>
      </c>
      <c r="D27" s="57" t="n">
        <f aca="false">C27-C26</f>
        <v>-470</v>
      </c>
      <c r="E27" s="52" t="n">
        <f aca="false">C27-152000</f>
        <v>205173</v>
      </c>
      <c r="F27" s="51" t="n">
        <f aca="false">D27/$D$2</f>
        <v>-236.954877741366</v>
      </c>
      <c r="G27" s="51" t="n">
        <v>270</v>
      </c>
      <c r="H27" s="53" t="n">
        <v>0</v>
      </c>
      <c r="I27" s="51" t="n">
        <f aca="false">G27+H27</f>
        <v>270</v>
      </c>
      <c r="J27" s="81" t="n">
        <f aca="false">IF(L27&gt;0,L27,0)</f>
        <v>52.0451222586337</v>
      </c>
      <c r="K27" s="51" t="n">
        <f aca="false">I27+J27</f>
        <v>322.045122258634</v>
      </c>
      <c r="L27" s="51" t="n">
        <f aca="false">F27-(I27-W27)</f>
        <v>52.0451222586337</v>
      </c>
      <c r="M27" s="51" t="n">
        <v>137</v>
      </c>
      <c r="N27" s="100" t="n">
        <v>0</v>
      </c>
      <c r="O27" s="100" t="n">
        <v>0</v>
      </c>
      <c r="P27" s="6" t="n">
        <f aca="false">M27-(N27+O27)</f>
        <v>137</v>
      </c>
      <c r="Q27" s="51" t="n">
        <v>147</v>
      </c>
      <c r="R27" s="51" t="n">
        <v>75</v>
      </c>
      <c r="S27" s="51" t="n">
        <f aca="false">SUM(P27:R27)</f>
        <v>359</v>
      </c>
      <c r="T27" s="52" t="n">
        <f aca="false">(I27-S27)+T26</f>
        <v>1136</v>
      </c>
      <c r="U27" s="51" t="n">
        <v>19</v>
      </c>
      <c r="V27" s="51" t="n">
        <v>181</v>
      </c>
      <c r="W27" s="6" t="n">
        <f aca="false">N27+O27+S27+U27+V27</f>
        <v>559</v>
      </c>
      <c r="X27" s="51" t="n">
        <f aca="false">IF(L27&lt;0,L27*-1,0)</f>
        <v>0</v>
      </c>
      <c r="Y27" s="51" t="n">
        <f aca="false">W27+X27</f>
        <v>559</v>
      </c>
      <c r="Z27" s="56" t="n">
        <v>0</v>
      </c>
      <c r="AA27" s="57" t="n">
        <v>85</v>
      </c>
      <c r="AB27" s="57" t="n">
        <v>48</v>
      </c>
      <c r="AC27" s="58" t="n">
        <v>18</v>
      </c>
      <c r="AD27" s="92" t="n">
        <f aca="false">IF(I27&gt;S27,I27-S27,I27-S27)</f>
        <v>-89</v>
      </c>
      <c r="AE27" s="12"/>
      <c r="AF27" s="0"/>
      <c r="AG27" s="6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  <c r="BH27" s="0"/>
      <c r="BI27" s="0"/>
      <c r="BJ27" s="0"/>
      <c r="BK27" s="0"/>
      <c r="BL27" s="0"/>
      <c r="BM27" s="0"/>
      <c r="BN27" s="0"/>
      <c r="BO27" s="0"/>
      <c r="BP27" s="0"/>
      <c r="BQ27" s="0"/>
      <c r="BR27" s="0"/>
      <c r="BS27" s="0"/>
      <c r="BT27" s="0"/>
      <c r="BU27" s="0"/>
      <c r="BV27" s="0"/>
      <c r="BW27" s="0"/>
      <c r="BX27" s="0"/>
      <c r="BY27" s="0"/>
      <c r="BZ27" s="0"/>
      <c r="CA27" s="0"/>
      <c r="CB27" s="0"/>
      <c r="CC27" s="0"/>
      <c r="CD27" s="0"/>
      <c r="CE27" s="0"/>
      <c r="CF27" s="0"/>
      <c r="CG27" s="0"/>
      <c r="CH27" s="0"/>
      <c r="CI27" s="0"/>
      <c r="CJ27" s="0"/>
      <c r="CK27" s="0"/>
      <c r="CL27" s="0"/>
      <c r="CM27" s="0"/>
      <c r="CN27" s="0"/>
      <c r="CO27" s="0"/>
      <c r="CP27" s="0"/>
      <c r="CQ27" s="0"/>
      <c r="CR27" s="0"/>
      <c r="CS27" s="0"/>
      <c r="CT27" s="0"/>
      <c r="CU27" s="0"/>
      <c r="CV27" s="0"/>
      <c r="CW27" s="0"/>
      <c r="CX27" s="0"/>
      <c r="CY27" s="0"/>
      <c r="CZ27" s="0"/>
      <c r="DA27" s="0"/>
      <c r="DB27" s="0"/>
      <c r="DC27" s="0"/>
      <c r="DD27" s="0"/>
      <c r="DE27" s="0"/>
      <c r="DF27" s="0"/>
      <c r="DG27" s="0"/>
      <c r="DH27" s="0"/>
      <c r="DI27" s="0"/>
      <c r="DJ27" s="0"/>
      <c r="DK27" s="0"/>
      <c r="DL27" s="0"/>
      <c r="DM27" s="0"/>
      <c r="DN27" s="0"/>
      <c r="DO27" s="0"/>
      <c r="DP27" s="0"/>
      <c r="DQ27" s="0"/>
      <c r="DR27" s="0"/>
      <c r="DS27" s="0"/>
      <c r="DT27" s="0"/>
      <c r="DU27" s="0"/>
      <c r="DV27" s="0"/>
      <c r="DW27" s="0"/>
      <c r="DX27" s="0"/>
      <c r="DY27" s="0"/>
      <c r="DZ27" s="0"/>
      <c r="EA27" s="0"/>
      <c r="EB27" s="0"/>
      <c r="EC27" s="0"/>
      <c r="ED27" s="0"/>
      <c r="EE27" s="0"/>
      <c r="EF27" s="0"/>
      <c r="EG27" s="0"/>
      <c r="EH27" s="0"/>
      <c r="EI27" s="0"/>
      <c r="EJ27" s="0"/>
      <c r="EK27" s="0"/>
      <c r="EL27" s="0"/>
      <c r="EM27" s="0"/>
      <c r="EN27" s="0"/>
      <c r="EO27" s="0"/>
      <c r="EP27" s="0"/>
      <c r="EQ27" s="0"/>
      <c r="ER27" s="0"/>
      <c r="ES27" s="0"/>
      <c r="ET27" s="0"/>
      <c r="EU27" s="0"/>
      <c r="EV27" s="0"/>
      <c r="EW27" s="0"/>
      <c r="EX27" s="0"/>
      <c r="EY27" s="0"/>
      <c r="EZ27" s="0"/>
      <c r="FA27" s="0"/>
      <c r="FB27" s="0"/>
      <c r="FC27" s="0"/>
      <c r="FD27" s="0"/>
      <c r="FE27" s="0"/>
      <c r="FF27" s="0"/>
      <c r="FG27" s="0"/>
      <c r="FH27" s="0"/>
      <c r="FI27" s="0"/>
      <c r="FJ27" s="0"/>
      <c r="FK27" s="0"/>
      <c r="FL27" s="0"/>
      <c r="FM27" s="0"/>
      <c r="FN27" s="0"/>
      <c r="FO27" s="0"/>
      <c r="FP27" s="0"/>
      <c r="FQ27" s="0"/>
      <c r="FR27" s="0"/>
      <c r="FS27" s="0"/>
      <c r="FT27" s="0"/>
      <c r="FU27" s="0"/>
      <c r="FV27" s="0"/>
      <c r="FW27" s="0"/>
      <c r="FX27" s="0"/>
      <c r="FY27" s="0"/>
      <c r="FZ27" s="0"/>
      <c r="GA27" s="0"/>
      <c r="GB27" s="0"/>
      <c r="GC27" s="0"/>
      <c r="GD27" s="0"/>
      <c r="GE27" s="0"/>
      <c r="GF27" s="0"/>
      <c r="GG27" s="0"/>
      <c r="GH27" s="0"/>
      <c r="GI27" s="0"/>
      <c r="GJ27" s="0"/>
      <c r="GK27" s="0"/>
      <c r="GL27" s="0"/>
      <c r="GM27" s="0"/>
      <c r="GN27" s="0"/>
      <c r="GO27" s="0"/>
      <c r="GP27" s="0"/>
      <c r="GQ27" s="0"/>
      <c r="GR27" s="0"/>
      <c r="GS27" s="0"/>
      <c r="GT27" s="0"/>
      <c r="GU27" s="0"/>
      <c r="GV27" s="0"/>
      <c r="GW27" s="0"/>
      <c r="GX27" s="0"/>
      <c r="GY27" s="0"/>
      <c r="GZ27" s="0"/>
      <c r="HA27" s="0"/>
      <c r="HB27" s="0"/>
      <c r="HC27" s="0"/>
      <c r="HD27" s="0"/>
      <c r="HE27" s="0"/>
      <c r="HF27" s="0"/>
      <c r="HG27" s="0"/>
      <c r="HH27" s="0"/>
      <c r="HI27" s="0"/>
      <c r="HJ27" s="0"/>
      <c r="HK27" s="0"/>
      <c r="HL27" s="0"/>
      <c r="HM27" s="0"/>
      <c r="HN27" s="0"/>
      <c r="HO27" s="0"/>
      <c r="HP27" s="0"/>
      <c r="HQ27" s="0"/>
      <c r="HR27" s="0"/>
      <c r="HS27" s="0"/>
      <c r="HT27" s="0"/>
      <c r="HU27" s="0"/>
      <c r="HV27" s="0"/>
      <c r="HW27" s="0"/>
      <c r="HX27" s="0"/>
      <c r="HY27" s="0"/>
      <c r="HZ27" s="0"/>
      <c r="IA27" s="0"/>
      <c r="IB27" s="0"/>
      <c r="IC27" s="0"/>
      <c r="ID27" s="0"/>
      <c r="IE27" s="0"/>
      <c r="IF27" s="0"/>
      <c r="IG27" s="0"/>
      <c r="IH27" s="0"/>
      <c r="II27" s="0"/>
      <c r="IJ27" s="0"/>
      <c r="IK27" s="0"/>
      <c r="IL27" s="0"/>
      <c r="IM27" s="0"/>
      <c r="IN27" s="0"/>
      <c r="IO27" s="0"/>
      <c r="IP27" s="0"/>
      <c r="IQ27" s="0"/>
      <c r="IR27" s="0"/>
      <c r="IS27" s="0"/>
      <c r="IT27" s="0"/>
      <c r="IU27" s="0"/>
      <c r="IV27" s="0"/>
      <c r="IW27" s="0"/>
    </row>
    <row r="28" customFormat="false" ht="11.1" hidden="false" customHeight="true" outlineLevel="0" collapsed="false">
      <c r="A28" s="58" t="n">
        <v>19</v>
      </c>
      <c r="B28" s="73" t="n">
        <v>6918.39</v>
      </c>
      <c r="C28" s="52" t="n">
        <v>356660</v>
      </c>
      <c r="D28" s="57" t="n">
        <f aca="false">C28-C27</f>
        <v>-513</v>
      </c>
      <c r="E28" s="52" t="n">
        <f aca="false">C28-152000</f>
        <v>204660</v>
      </c>
      <c r="F28" s="51" t="n">
        <f aca="false">D28/$D$2</f>
        <v>-258.63372825813</v>
      </c>
      <c r="G28" s="51" t="n">
        <v>263</v>
      </c>
      <c r="H28" s="53" t="n">
        <v>0</v>
      </c>
      <c r="I28" s="51" t="n">
        <f aca="false">G28+H28</f>
        <v>263</v>
      </c>
      <c r="J28" s="81" t="n">
        <f aca="false">IF(L28&gt;0,L28,0)</f>
        <v>37.3662717418704</v>
      </c>
      <c r="K28" s="51" t="n">
        <f aca="false">I28+J28</f>
        <v>300.36627174187</v>
      </c>
      <c r="L28" s="51" t="n">
        <f aca="false">F28-(I28-W28)</f>
        <v>37.3662717418704</v>
      </c>
      <c r="M28" s="51" t="n">
        <v>152</v>
      </c>
      <c r="N28" s="100" t="n">
        <v>0</v>
      </c>
      <c r="O28" s="100" t="n">
        <v>0</v>
      </c>
      <c r="P28" s="6" t="n">
        <f aca="false">M28-(N28+O28)</f>
        <v>152</v>
      </c>
      <c r="Q28" s="51" t="n">
        <v>147</v>
      </c>
      <c r="R28" s="101" t="n">
        <v>77</v>
      </c>
      <c r="S28" s="51" t="n">
        <f aca="false">SUM(P28:R28)</f>
        <v>376</v>
      </c>
      <c r="T28" s="52" t="n">
        <f aca="false">(I28-S28)+T27</f>
        <v>1023</v>
      </c>
      <c r="U28" s="51" t="n">
        <v>0</v>
      </c>
      <c r="V28" s="51" t="n">
        <v>183</v>
      </c>
      <c r="W28" s="6" t="n">
        <f aca="false">N28+O28+S28+U28+V28</f>
        <v>559</v>
      </c>
      <c r="X28" s="51" t="n">
        <f aca="false">IF(L28&lt;0,L28*-1,0)</f>
        <v>0</v>
      </c>
      <c r="Y28" s="51" t="n">
        <f aca="false">W28+X28</f>
        <v>559</v>
      </c>
      <c r="Z28" s="56" t="n">
        <v>0</v>
      </c>
      <c r="AA28" s="57" t="n">
        <v>87</v>
      </c>
      <c r="AB28" s="57" t="n">
        <v>50</v>
      </c>
      <c r="AC28" s="58" t="n">
        <v>19</v>
      </c>
      <c r="AD28" s="92" t="n">
        <f aca="false">IF(I28&gt;S28,I28-S28,I28-S28)</f>
        <v>-113</v>
      </c>
      <c r="AE28" s="12"/>
      <c r="AF28" s="0"/>
      <c r="AG28" s="6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  <c r="BH28" s="0"/>
      <c r="BI28" s="0"/>
      <c r="BJ28" s="0"/>
      <c r="BK28" s="0"/>
      <c r="BL28" s="0"/>
      <c r="BM28" s="0"/>
      <c r="BN28" s="0"/>
      <c r="BO28" s="0"/>
      <c r="BP28" s="0"/>
      <c r="BQ28" s="0"/>
      <c r="BR28" s="0"/>
      <c r="BS28" s="0"/>
      <c r="BT28" s="0"/>
      <c r="BU28" s="0"/>
      <c r="BV28" s="0"/>
      <c r="BW28" s="0"/>
      <c r="BX28" s="0"/>
      <c r="BY28" s="0"/>
      <c r="BZ28" s="0"/>
      <c r="CA28" s="0"/>
      <c r="CB28" s="0"/>
      <c r="CC28" s="0"/>
      <c r="CD28" s="0"/>
      <c r="CE28" s="0"/>
      <c r="CF28" s="0"/>
      <c r="CG28" s="0"/>
      <c r="CH28" s="0"/>
      <c r="CI28" s="0"/>
      <c r="CJ28" s="0"/>
      <c r="CK28" s="0"/>
      <c r="CL28" s="0"/>
      <c r="CM28" s="0"/>
      <c r="CN28" s="0"/>
      <c r="CO28" s="0"/>
      <c r="CP28" s="0"/>
      <c r="CQ28" s="0"/>
      <c r="CR28" s="0"/>
      <c r="CS28" s="0"/>
      <c r="CT28" s="0"/>
      <c r="CU28" s="0"/>
      <c r="CV28" s="0"/>
      <c r="CW28" s="0"/>
      <c r="CX28" s="0"/>
      <c r="CY28" s="0"/>
      <c r="CZ28" s="0"/>
      <c r="DA28" s="0"/>
      <c r="DB28" s="0"/>
      <c r="DC28" s="0"/>
      <c r="DD28" s="0"/>
      <c r="DE28" s="0"/>
      <c r="DF28" s="0"/>
      <c r="DG28" s="0"/>
      <c r="DH28" s="0"/>
      <c r="DI28" s="0"/>
      <c r="DJ28" s="0"/>
      <c r="DK28" s="0"/>
      <c r="DL28" s="0"/>
      <c r="DM28" s="0"/>
      <c r="DN28" s="0"/>
      <c r="DO28" s="0"/>
      <c r="DP28" s="0"/>
      <c r="DQ28" s="0"/>
      <c r="DR28" s="0"/>
      <c r="DS28" s="0"/>
      <c r="DT28" s="0"/>
      <c r="DU28" s="0"/>
      <c r="DV28" s="0"/>
      <c r="DW28" s="0"/>
      <c r="DX28" s="0"/>
      <c r="DY28" s="0"/>
      <c r="DZ28" s="0"/>
      <c r="EA28" s="0"/>
      <c r="EB28" s="0"/>
      <c r="EC28" s="0"/>
      <c r="ED28" s="0"/>
      <c r="EE28" s="0"/>
      <c r="EF28" s="0"/>
      <c r="EG28" s="0"/>
      <c r="EH28" s="0"/>
      <c r="EI28" s="0"/>
      <c r="EJ28" s="0"/>
      <c r="EK28" s="0"/>
      <c r="EL28" s="0"/>
      <c r="EM28" s="0"/>
      <c r="EN28" s="0"/>
      <c r="EO28" s="0"/>
      <c r="EP28" s="0"/>
      <c r="EQ28" s="0"/>
      <c r="ER28" s="0"/>
      <c r="ES28" s="0"/>
      <c r="ET28" s="0"/>
      <c r="EU28" s="0"/>
      <c r="EV28" s="0"/>
      <c r="EW28" s="0"/>
      <c r="EX28" s="0"/>
      <c r="EY28" s="0"/>
      <c r="EZ28" s="0"/>
      <c r="FA28" s="0"/>
      <c r="FB28" s="0"/>
      <c r="FC28" s="0"/>
      <c r="FD28" s="0"/>
      <c r="FE28" s="0"/>
      <c r="FF28" s="0"/>
      <c r="FG28" s="0"/>
      <c r="FH28" s="0"/>
      <c r="FI28" s="0"/>
      <c r="FJ28" s="0"/>
      <c r="FK28" s="0"/>
      <c r="FL28" s="0"/>
      <c r="FM28" s="0"/>
      <c r="FN28" s="0"/>
      <c r="FO28" s="0"/>
      <c r="FP28" s="0"/>
      <c r="FQ28" s="0"/>
      <c r="FR28" s="0"/>
      <c r="FS28" s="0"/>
      <c r="FT28" s="0"/>
      <c r="FU28" s="0"/>
      <c r="FV28" s="0"/>
      <c r="FW28" s="0"/>
      <c r="FX28" s="0"/>
      <c r="FY28" s="0"/>
      <c r="FZ28" s="0"/>
      <c r="GA28" s="0"/>
      <c r="GB28" s="0"/>
      <c r="GC28" s="0"/>
      <c r="GD28" s="0"/>
      <c r="GE28" s="0"/>
      <c r="GF28" s="0"/>
      <c r="GG28" s="0"/>
      <c r="GH28" s="0"/>
      <c r="GI28" s="0"/>
      <c r="GJ28" s="0"/>
      <c r="GK28" s="0"/>
      <c r="GL28" s="0"/>
      <c r="GM28" s="0"/>
      <c r="GN28" s="0"/>
      <c r="GO28" s="0"/>
      <c r="GP28" s="0"/>
      <c r="GQ28" s="0"/>
      <c r="GR28" s="0"/>
      <c r="GS28" s="0"/>
      <c r="GT28" s="0"/>
      <c r="GU28" s="0"/>
      <c r="GV28" s="0"/>
      <c r="GW28" s="0"/>
      <c r="GX28" s="0"/>
      <c r="GY28" s="0"/>
      <c r="GZ28" s="0"/>
      <c r="HA28" s="0"/>
      <c r="HB28" s="0"/>
      <c r="HC28" s="0"/>
      <c r="HD28" s="0"/>
      <c r="HE28" s="0"/>
      <c r="HF28" s="0"/>
      <c r="HG28" s="0"/>
      <c r="HH28" s="0"/>
      <c r="HI28" s="0"/>
      <c r="HJ28" s="0"/>
      <c r="HK28" s="0"/>
      <c r="HL28" s="0"/>
      <c r="HM28" s="0"/>
      <c r="HN28" s="0"/>
      <c r="HO28" s="0"/>
      <c r="HP28" s="0"/>
      <c r="HQ28" s="0"/>
      <c r="HR28" s="0"/>
      <c r="HS28" s="0"/>
      <c r="HT28" s="0"/>
      <c r="HU28" s="0"/>
      <c r="HV28" s="0"/>
      <c r="HW28" s="0"/>
      <c r="HX28" s="0"/>
      <c r="HY28" s="0"/>
      <c r="HZ28" s="0"/>
      <c r="IA28" s="0"/>
      <c r="IB28" s="0"/>
      <c r="IC28" s="0"/>
      <c r="ID28" s="0"/>
      <c r="IE28" s="0"/>
      <c r="IF28" s="0"/>
      <c r="IG28" s="0"/>
      <c r="IH28" s="0"/>
      <c r="II28" s="0"/>
      <c r="IJ28" s="0"/>
      <c r="IK28" s="0"/>
      <c r="IL28" s="0"/>
      <c r="IM28" s="0"/>
      <c r="IN28" s="0"/>
      <c r="IO28" s="0"/>
      <c r="IP28" s="0"/>
      <c r="IQ28" s="0"/>
      <c r="IR28" s="0"/>
      <c r="IS28" s="0"/>
      <c r="IT28" s="0"/>
      <c r="IU28" s="0"/>
      <c r="IV28" s="0"/>
      <c r="IW28" s="0"/>
    </row>
    <row r="29" customFormat="false" ht="11.1" hidden="false" customHeight="true" outlineLevel="0" collapsed="false">
      <c r="A29" s="58" t="n">
        <v>20</v>
      </c>
      <c r="B29" s="73" t="n">
        <v>6918.22</v>
      </c>
      <c r="C29" s="52" t="n">
        <v>355891</v>
      </c>
      <c r="D29" s="57" t="n">
        <f aca="false">C29-C28</f>
        <v>-769</v>
      </c>
      <c r="E29" s="52" t="n">
        <f aca="false">C29-152000</f>
        <v>203891</v>
      </c>
      <c r="F29" s="51" t="n">
        <f aca="false">D29/$D$2</f>
        <v>-387.698512730023</v>
      </c>
      <c r="G29" s="51" t="n">
        <v>258</v>
      </c>
      <c r="H29" s="53" t="n">
        <v>0</v>
      </c>
      <c r="I29" s="51" t="n">
        <f aca="false">G29+H29</f>
        <v>258</v>
      </c>
      <c r="J29" s="81" t="n">
        <f aca="false">IF(L29&gt;0,L29,0)</f>
        <v>0</v>
      </c>
      <c r="K29" s="51" t="n">
        <f aca="false">I29+J29</f>
        <v>258</v>
      </c>
      <c r="L29" s="51" t="n">
        <f aca="false">F29-(I29-W29)</f>
        <v>-77.6985127300227</v>
      </c>
      <c r="M29" s="51" t="n">
        <v>167</v>
      </c>
      <c r="N29" s="100" t="n">
        <v>0</v>
      </c>
      <c r="O29" s="100" t="n">
        <v>0</v>
      </c>
      <c r="P29" s="6" t="n">
        <f aca="false">M29-(N29+O29)</f>
        <v>167</v>
      </c>
      <c r="Q29" s="51" t="n">
        <v>147</v>
      </c>
      <c r="R29" s="101" t="n">
        <v>75</v>
      </c>
      <c r="S29" s="51" t="n">
        <f aca="false">SUM(P29:R29)</f>
        <v>389</v>
      </c>
      <c r="T29" s="52" t="n">
        <f aca="false">(I29-S29)+T28</f>
        <v>892</v>
      </c>
      <c r="U29" s="51" t="n">
        <v>0</v>
      </c>
      <c r="V29" s="51" t="n">
        <v>179</v>
      </c>
      <c r="W29" s="6" t="n">
        <f aca="false">N29+O29+S29+U29+V29</f>
        <v>568</v>
      </c>
      <c r="X29" s="51" t="n">
        <f aca="false">IF(L29&lt;0,L29*-1,0)</f>
        <v>77.6985127300227</v>
      </c>
      <c r="Y29" s="51" t="n">
        <f aca="false">W29+X29</f>
        <v>645.698512730023</v>
      </c>
      <c r="Z29" s="56" t="n">
        <v>0.03</v>
      </c>
      <c r="AA29" s="57" t="n">
        <v>84</v>
      </c>
      <c r="AB29" s="57" t="n">
        <v>57</v>
      </c>
      <c r="AC29" s="58" t="n">
        <v>20</v>
      </c>
      <c r="AD29" s="92" t="n">
        <f aca="false">IF(I29&gt;S29,I29-S29,I29-S29)</f>
        <v>-131</v>
      </c>
      <c r="AE29" s="12"/>
      <c r="AF29" s="0"/>
      <c r="AG29" s="6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  <c r="BH29" s="0"/>
      <c r="BI29" s="0"/>
      <c r="BJ29" s="0"/>
      <c r="BK29" s="0"/>
      <c r="BL29" s="0"/>
      <c r="BM29" s="0"/>
      <c r="BN29" s="0"/>
      <c r="BO29" s="0"/>
      <c r="BP29" s="0"/>
      <c r="BQ29" s="0"/>
      <c r="BR29" s="0"/>
      <c r="BS29" s="0"/>
      <c r="BT29" s="0"/>
      <c r="BU29" s="0"/>
      <c r="BV29" s="0"/>
      <c r="BW29" s="0"/>
      <c r="BX29" s="0"/>
      <c r="BY29" s="0"/>
      <c r="BZ29" s="0"/>
      <c r="CA29" s="0"/>
      <c r="CB29" s="0"/>
      <c r="CC29" s="0"/>
      <c r="CD29" s="0"/>
      <c r="CE29" s="0"/>
      <c r="CF29" s="0"/>
      <c r="CG29" s="0"/>
      <c r="CH29" s="0"/>
      <c r="CI29" s="0"/>
      <c r="CJ29" s="0"/>
      <c r="CK29" s="0"/>
      <c r="CL29" s="0"/>
      <c r="CM29" s="0"/>
      <c r="CN29" s="0"/>
      <c r="CO29" s="0"/>
      <c r="CP29" s="0"/>
      <c r="CQ29" s="0"/>
      <c r="CR29" s="0"/>
      <c r="CS29" s="0"/>
      <c r="CT29" s="0"/>
      <c r="CU29" s="0"/>
      <c r="CV29" s="0"/>
      <c r="CW29" s="0"/>
      <c r="CX29" s="0"/>
      <c r="CY29" s="0"/>
      <c r="CZ29" s="0"/>
      <c r="DA29" s="0"/>
      <c r="DB29" s="0"/>
      <c r="DC29" s="0"/>
      <c r="DD29" s="0"/>
      <c r="DE29" s="0"/>
      <c r="DF29" s="0"/>
      <c r="DG29" s="0"/>
      <c r="DH29" s="0"/>
      <c r="DI29" s="0"/>
      <c r="DJ29" s="0"/>
      <c r="DK29" s="0"/>
      <c r="DL29" s="0"/>
      <c r="DM29" s="0"/>
      <c r="DN29" s="0"/>
      <c r="DO29" s="0"/>
      <c r="DP29" s="0"/>
      <c r="DQ29" s="0"/>
      <c r="DR29" s="0"/>
      <c r="DS29" s="0"/>
      <c r="DT29" s="0"/>
      <c r="DU29" s="0"/>
      <c r="DV29" s="0"/>
      <c r="DW29" s="0"/>
      <c r="DX29" s="0"/>
      <c r="DY29" s="0"/>
      <c r="DZ29" s="0"/>
      <c r="EA29" s="0"/>
      <c r="EB29" s="0"/>
      <c r="EC29" s="0"/>
      <c r="ED29" s="0"/>
      <c r="EE29" s="0"/>
      <c r="EF29" s="0"/>
      <c r="EG29" s="0"/>
      <c r="EH29" s="0"/>
      <c r="EI29" s="0"/>
      <c r="EJ29" s="0"/>
      <c r="EK29" s="0"/>
      <c r="EL29" s="0"/>
      <c r="EM29" s="0"/>
      <c r="EN29" s="0"/>
      <c r="EO29" s="0"/>
      <c r="EP29" s="0"/>
      <c r="EQ29" s="0"/>
      <c r="ER29" s="0"/>
      <c r="ES29" s="0"/>
      <c r="ET29" s="0"/>
      <c r="EU29" s="0"/>
      <c r="EV29" s="0"/>
      <c r="EW29" s="0"/>
      <c r="EX29" s="0"/>
      <c r="EY29" s="0"/>
      <c r="EZ29" s="0"/>
      <c r="FA29" s="0"/>
      <c r="FB29" s="0"/>
      <c r="FC29" s="0"/>
      <c r="FD29" s="0"/>
      <c r="FE29" s="0"/>
      <c r="FF29" s="0"/>
      <c r="FG29" s="0"/>
      <c r="FH29" s="0"/>
      <c r="FI29" s="0"/>
      <c r="FJ29" s="0"/>
      <c r="FK29" s="0"/>
      <c r="FL29" s="0"/>
      <c r="FM29" s="0"/>
      <c r="FN29" s="0"/>
      <c r="FO29" s="0"/>
      <c r="FP29" s="0"/>
      <c r="FQ29" s="0"/>
      <c r="FR29" s="0"/>
      <c r="FS29" s="0"/>
      <c r="FT29" s="0"/>
      <c r="FU29" s="0"/>
      <c r="FV29" s="0"/>
      <c r="FW29" s="0"/>
      <c r="FX29" s="0"/>
      <c r="FY29" s="0"/>
      <c r="FZ29" s="0"/>
      <c r="GA29" s="0"/>
      <c r="GB29" s="0"/>
      <c r="GC29" s="0"/>
      <c r="GD29" s="0"/>
      <c r="GE29" s="0"/>
      <c r="GF29" s="0"/>
      <c r="GG29" s="0"/>
      <c r="GH29" s="0"/>
      <c r="GI29" s="0"/>
      <c r="GJ29" s="0"/>
      <c r="GK29" s="0"/>
      <c r="GL29" s="0"/>
      <c r="GM29" s="0"/>
      <c r="GN29" s="0"/>
      <c r="GO29" s="0"/>
      <c r="GP29" s="0"/>
      <c r="GQ29" s="0"/>
      <c r="GR29" s="0"/>
      <c r="GS29" s="0"/>
      <c r="GT29" s="0"/>
      <c r="GU29" s="0"/>
      <c r="GV29" s="0"/>
      <c r="GW29" s="0"/>
      <c r="GX29" s="0"/>
      <c r="GY29" s="0"/>
      <c r="GZ29" s="0"/>
      <c r="HA29" s="0"/>
      <c r="HB29" s="0"/>
      <c r="HC29" s="0"/>
      <c r="HD29" s="0"/>
      <c r="HE29" s="0"/>
      <c r="HF29" s="0"/>
      <c r="HG29" s="0"/>
      <c r="HH29" s="0"/>
      <c r="HI29" s="0"/>
      <c r="HJ29" s="0"/>
      <c r="HK29" s="0"/>
      <c r="HL29" s="0"/>
      <c r="HM29" s="0"/>
      <c r="HN29" s="0"/>
      <c r="HO29" s="0"/>
      <c r="HP29" s="0"/>
      <c r="HQ29" s="0"/>
      <c r="HR29" s="0"/>
      <c r="HS29" s="0"/>
      <c r="HT29" s="0"/>
      <c r="HU29" s="0"/>
      <c r="HV29" s="0"/>
      <c r="HW29" s="0"/>
      <c r="HX29" s="0"/>
      <c r="HY29" s="0"/>
      <c r="HZ29" s="0"/>
      <c r="IA29" s="0"/>
      <c r="IB29" s="0"/>
      <c r="IC29" s="0"/>
      <c r="ID29" s="0"/>
      <c r="IE29" s="0"/>
      <c r="IF29" s="0"/>
      <c r="IG29" s="0"/>
      <c r="IH29" s="0"/>
      <c r="II29" s="0"/>
      <c r="IJ29" s="0"/>
      <c r="IK29" s="0"/>
      <c r="IL29" s="0"/>
      <c r="IM29" s="0"/>
      <c r="IN29" s="0"/>
      <c r="IO29" s="0"/>
      <c r="IP29" s="0"/>
      <c r="IQ29" s="0"/>
      <c r="IR29" s="0"/>
      <c r="IS29" s="0"/>
      <c r="IT29" s="0"/>
      <c r="IU29" s="0"/>
      <c r="IV29" s="0"/>
      <c r="IW29" s="0"/>
    </row>
    <row r="30" customFormat="false" ht="11.1" hidden="false" customHeight="true" outlineLevel="0" collapsed="false">
      <c r="A30" s="58" t="n">
        <v>21</v>
      </c>
      <c r="B30" s="73" t="n">
        <v>6918.04</v>
      </c>
      <c r="C30" s="52" t="n">
        <v>355165</v>
      </c>
      <c r="D30" s="57" t="n">
        <f aca="false">C30-C29</f>
        <v>-726</v>
      </c>
      <c r="E30" s="52" t="n">
        <f aca="false">C30-152000</f>
        <v>203165</v>
      </c>
      <c r="F30" s="51" t="n">
        <f aca="false">D30/$D$2</f>
        <v>-366.019662213259</v>
      </c>
      <c r="G30" s="51" t="n">
        <v>256</v>
      </c>
      <c r="H30" s="53" t="n">
        <v>0</v>
      </c>
      <c r="I30" s="51" t="n">
        <f aca="false">G30+H30</f>
        <v>256</v>
      </c>
      <c r="J30" s="81" t="n">
        <f aca="false">IF(L30&gt;0,L30,0)</f>
        <v>0</v>
      </c>
      <c r="K30" s="51" t="n">
        <f aca="false">I30+J30</f>
        <v>256</v>
      </c>
      <c r="L30" s="51" t="n">
        <f aca="false">F30-(I30-W30)</f>
        <v>-26.0196622132594</v>
      </c>
      <c r="M30" s="51" t="n">
        <v>166</v>
      </c>
      <c r="N30" s="100" t="n">
        <v>0</v>
      </c>
      <c r="O30" s="100" t="n">
        <v>0</v>
      </c>
      <c r="P30" s="6" t="n">
        <f aca="false">M30-(N30+O30)</f>
        <v>166</v>
      </c>
      <c r="Q30" s="51" t="n">
        <v>146</v>
      </c>
      <c r="R30" s="101" t="n">
        <v>76</v>
      </c>
      <c r="S30" s="51" t="n">
        <f aca="false">SUM(P30:R30)</f>
        <v>388</v>
      </c>
      <c r="T30" s="52" t="n">
        <f aca="false">(I30-S30)+T29</f>
        <v>760</v>
      </c>
      <c r="U30" s="51" t="n">
        <v>27</v>
      </c>
      <c r="V30" s="51" t="n">
        <v>181</v>
      </c>
      <c r="W30" s="6" t="n">
        <f aca="false">N30+O30+S30+U30+V30</f>
        <v>596</v>
      </c>
      <c r="X30" s="51" t="n">
        <f aca="false">IF(L30&lt;0,L30*-1,0)</f>
        <v>26.0196622132594</v>
      </c>
      <c r="Y30" s="51" t="n">
        <f aca="false">W30+X30</f>
        <v>622.019662213259</v>
      </c>
      <c r="Z30" s="56" t="n">
        <v>0.18</v>
      </c>
      <c r="AA30" s="57" t="n">
        <v>82</v>
      </c>
      <c r="AB30" s="57" t="n">
        <v>56</v>
      </c>
      <c r="AC30" s="58" t="n">
        <v>21</v>
      </c>
      <c r="AD30" s="92" t="n">
        <f aca="false">IF(I30&gt;S30,I30-S30,I30-S30)</f>
        <v>-132</v>
      </c>
      <c r="AE30" s="12"/>
      <c r="AF30" s="0"/>
      <c r="AG30" s="6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  <c r="BH30" s="0"/>
      <c r="BI30" s="0"/>
      <c r="BJ30" s="0"/>
      <c r="BK30" s="0"/>
      <c r="BL30" s="0"/>
      <c r="BM30" s="0"/>
      <c r="BN30" s="0"/>
      <c r="BO30" s="0"/>
      <c r="BP30" s="0"/>
      <c r="BQ30" s="0"/>
      <c r="BR30" s="0"/>
      <c r="BS30" s="0"/>
      <c r="BT30" s="0"/>
      <c r="BU30" s="0"/>
      <c r="BV30" s="0"/>
      <c r="BW30" s="0"/>
      <c r="BX30" s="0"/>
      <c r="BY30" s="0"/>
      <c r="BZ30" s="0"/>
      <c r="CA30" s="0"/>
      <c r="CB30" s="0"/>
      <c r="CC30" s="0"/>
      <c r="CD30" s="0"/>
      <c r="CE30" s="0"/>
      <c r="CF30" s="0"/>
      <c r="CG30" s="0"/>
      <c r="CH30" s="0"/>
      <c r="CI30" s="0"/>
      <c r="CJ30" s="0"/>
      <c r="CK30" s="0"/>
      <c r="CL30" s="0"/>
      <c r="CM30" s="0"/>
      <c r="CN30" s="0"/>
      <c r="CO30" s="0"/>
      <c r="CP30" s="0"/>
      <c r="CQ30" s="0"/>
      <c r="CR30" s="0"/>
      <c r="CS30" s="0"/>
      <c r="CT30" s="0"/>
      <c r="CU30" s="0"/>
      <c r="CV30" s="0"/>
      <c r="CW30" s="0"/>
      <c r="CX30" s="0"/>
      <c r="CY30" s="0"/>
      <c r="CZ30" s="0"/>
      <c r="DA30" s="0"/>
      <c r="DB30" s="0"/>
      <c r="DC30" s="0"/>
      <c r="DD30" s="0"/>
      <c r="DE30" s="0"/>
      <c r="DF30" s="0"/>
      <c r="DG30" s="0"/>
      <c r="DH30" s="0"/>
      <c r="DI30" s="0"/>
      <c r="DJ30" s="0"/>
      <c r="DK30" s="0"/>
      <c r="DL30" s="0"/>
      <c r="DM30" s="0"/>
      <c r="DN30" s="0"/>
      <c r="DO30" s="0"/>
      <c r="DP30" s="0"/>
      <c r="DQ30" s="0"/>
      <c r="DR30" s="0"/>
      <c r="DS30" s="0"/>
      <c r="DT30" s="0"/>
      <c r="DU30" s="0"/>
      <c r="DV30" s="0"/>
      <c r="DW30" s="0"/>
      <c r="DX30" s="0"/>
      <c r="DY30" s="0"/>
      <c r="DZ30" s="0"/>
      <c r="EA30" s="0"/>
      <c r="EB30" s="0"/>
      <c r="EC30" s="0"/>
      <c r="ED30" s="0"/>
      <c r="EE30" s="0"/>
      <c r="EF30" s="0"/>
      <c r="EG30" s="0"/>
      <c r="EH30" s="0"/>
      <c r="EI30" s="0"/>
      <c r="EJ30" s="0"/>
      <c r="EK30" s="0"/>
      <c r="EL30" s="0"/>
      <c r="EM30" s="0"/>
      <c r="EN30" s="0"/>
      <c r="EO30" s="0"/>
      <c r="EP30" s="0"/>
      <c r="EQ30" s="0"/>
      <c r="ER30" s="0"/>
      <c r="ES30" s="0"/>
      <c r="ET30" s="0"/>
      <c r="EU30" s="0"/>
      <c r="EV30" s="0"/>
      <c r="EW30" s="0"/>
      <c r="EX30" s="0"/>
      <c r="EY30" s="0"/>
      <c r="EZ30" s="0"/>
      <c r="FA30" s="0"/>
      <c r="FB30" s="0"/>
      <c r="FC30" s="0"/>
      <c r="FD30" s="0"/>
      <c r="FE30" s="0"/>
      <c r="FF30" s="0"/>
      <c r="FG30" s="0"/>
      <c r="FH30" s="0"/>
      <c r="FI30" s="0"/>
      <c r="FJ30" s="0"/>
      <c r="FK30" s="0"/>
      <c r="FL30" s="0"/>
      <c r="FM30" s="0"/>
      <c r="FN30" s="0"/>
      <c r="FO30" s="0"/>
      <c r="FP30" s="0"/>
      <c r="FQ30" s="0"/>
      <c r="FR30" s="0"/>
      <c r="FS30" s="0"/>
      <c r="FT30" s="0"/>
      <c r="FU30" s="0"/>
      <c r="FV30" s="0"/>
      <c r="FW30" s="0"/>
      <c r="FX30" s="0"/>
      <c r="FY30" s="0"/>
      <c r="FZ30" s="0"/>
      <c r="GA30" s="0"/>
      <c r="GB30" s="0"/>
      <c r="GC30" s="0"/>
      <c r="GD30" s="0"/>
      <c r="GE30" s="0"/>
      <c r="GF30" s="0"/>
      <c r="GG30" s="0"/>
      <c r="GH30" s="0"/>
      <c r="GI30" s="0"/>
      <c r="GJ30" s="0"/>
      <c r="GK30" s="0"/>
      <c r="GL30" s="0"/>
      <c r="GM30" s="0"/>
      <c r="GN30" s="0"/>
      <c r="GO30" s="0"/>
      <c r="GP30" s="0"/>
      <c r="GQ30" s="0"/>
      <c r="GR30" s="0"/>
      <c r="GS30" s="0"/>
      <c r="GT30" s="0"/>
      <c r="GU30" s="0"/>
      <c r="GV30" s="0"/>
      <c r="GW30" s="0"/>
      <c r="GX30" s="0"/>
      <c r="GY30" s="0"/>
      <c r="GZ30" s="0"/>
      <c r="HA30" s="0"/>
      <c r="HB30" s="0"/>
      <c r="HC30" s="0"/>
      <c r="HD30" s="0"/>
      <c r="HE30" s="0"/>
      <c r="HF30" s="0"/>
      <c r="HG30" s="0"/>
      <c r="HH30" s="0"/>
      <c r="HI30" s="0"/>
      <c r="HJ30" s="0"/>
      <c r="HK30" s="0"/>
      <c r="HL30" s="0"/>
      <c r="HM30" s="0"/>
      <c r="HN30" s="0"/>
      <c r="HO30" s="0"/>
      <c r="HP30" s="0"/>
      <c r="HQ30" s="0"/>
      <c r="HR30" s="0"/>
      <c r="HS30" s="0"/>
      <c r="HT30" s="0"/>
      <c r="HU30" s="0"/>
      <c r="HV30" s="0"/>
      <c r="HW30" s="0"/>
      <c r="HX30" s="0"/>
      <c r="HY30" s="0"/>
      <c r="HZ30" s="0"/>
      <c r="IA30" s="0"/>
      <c r="IB30" s="0"/>
      <c r="IC30" s="0"/>
      <c r="ID30" s="0"/>
      <c r="IE30" s="0"/>
      <c r="IF30" s="0"/>
      <c r="IG30" s="0"/>
      <c r="IH30" s="0"/>
      <c r="II30" s="0"/>
      <c r="IJ30" s="0"/>
      <c r="IK30" s="0"/>
      <c r="IL30" s="0"/>
      <c r="IM30" s="0"/>
      <c r="IN30" s="0"/>
      <c r="IO30" s="0"/>
      <c r="IP30" s="0"/>
      <c r="IQ30" s="0"/>
      <c r="IR30" s="0"/>
      <c r="IS30" s="0"/>
      <c r="IT30" s="0"/>
      <c r="IU30" s="0"/>
      <c r="IV30" s="0"/>
      <c r="IW30" s="0"/>
    </row>
    <row r="31" customFormat="false" ht="11.1" hidden="false" customHeight="true" outlineLevel="0" collapsed="false">
      <c r="A31" s="58" t="n">
        <v>22</v>
      </c>
      <c r="B31" s="73" t="n">
        <v>6917.87</v>
      </c>
      <c r="C31" s="52" t="n">
        <v>354443</v>
      </c>
      <c r="D31" s="57" t="n">
        <f aca="false">C31-C30</f>
        <v>-722</v>
      </c>
      <c r="E31" s="52" t="n">
        <f aca="false">C31-152000</f>
        <v>202443</v>
      </c>
      <c r="F31" s="51" t="n">
        <f aca="false">D31/$D$2</f>
        <v>-364.003024955886</v>
      </c>
      <c r="G31" s="51" t="n">
        <v>139</v>
      </c>
      <c r="H31" s="53" t="n">
        <v>0</v>
      </c>
      <c r="I31" s="51" t="n">
        <f aca="false">G31+H31</f>
        <v>139</v>
      </c>
      <c r="J31" s="81" t="n">
        <f aca="false">IF(L31&gt;0,L31,0)</f>
        <v>64.9969750441139</v>
      </c>
      <c r="K31" s="51" t="n">
        <f aca="false">I31+J31</f>
        <v>203.996975044114</v>
      </c>
      <c r="L31" s="51" t="n">
        <f aca="false">F31-(I31-W31)</f>
        <v>64.9969750441139</v>
      </c>
      <c r="M31" s="51" t="n">
        <v>166</v>
      </c>
      <c r="N31" s="100" t="n">
        <v>0</v>
      </c>
      <c r="O31" s="100" t="n">
        <v>0</v>
      </c>
      <c r="P31" s="6" t="n">
        <f aca="false">M31-(N31+O31)</f>
        <v>166</v>
      </c>
      <c r="Q31" s="51" t="n">
        <v>146</v>
      </c>
      <c r="R31" s="51" t="n">
        <v>76</v>
      </c>
      <c r="S31" s="51" t="n">
        <f aca="false">SUM(P31:R31)</f>
        <v>388</v>
      </c>
      <c r="T31" s="52" t="n">
        <f aca="false">(I31-S31)+T30</f>
        <v>511</v>
      </c>
      <c r="U31" s="51" t="n">
        <v>0</v>
      </c>
      <c r="V31" s="51" t="n">
        <v>180</v>
      </c>
      <c r="W31" s="6" t="n">
        <f aca="false">N31+O31+S31+U31+V31</f>
        <v>568</v>
      </c>
      <c r="X31" s="51" t="n">
        <f aca="false">IF(L31&lt;0,L31*-1,0)</f>
        <v>0</v>
      </c>
      <c r="Y31" s="51" t="n">
        <f aca="false">W31+X31</f>
        <v>568</v>
      </c>
      <c r="Z31" s="56" t="n">
        <v>0.37</v>
      </c>
      <c r="AA31" s="57" t="n">
        <v>82</v>
      </c>
      <c r="AB31" s="57" t="n">
        <v>49</v>
      </c>
      <c r="AC31" s="58" t="n">
        <v>22</v>
      </c>
      <c r="AD31" s="92" t="n">
        <f aca="false">IF(I31&gt;S31,I31-S31,I31-S31)</f>
        <v>-249</v>
      </c>
      <c r="AE31" s="12"/>
      <c r="AF31" s="0"/>
      <c r="AG31" s="6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  <c r="AS31" s="0"/>
      <c r="AT31" s="0"/>
      <c r="AU31" s="0"/>
      <c r="AV31" s="0"/>
      <c r="AW31" s="0"/>
      <c r="AX31" s="0"/>
      <c r="AY31" s="0"/>
      <c r="AZ31" s="0"/>
      <c r="BA31" s="0"/>
      <c r="BB31" s="0"/>
      <c r="BC31" s="0"/>
      <c r="BD31" s="0"/>
      <c r="BE31" s="0"/>
      <c r="BF31" s="0"/>
      <c r="BG31" s="0"/>
      <c r="BH31" s="0"/>
      <c r="BI31" s="0"/>
      <c r="BJ31" s="0"/>
      <c r="BK31" s="0"/>
      <c r="BL31" s="0"/>
      <c r="BM31" s="0"/>
      <c r="BN31" s="0"/>
      <c r="BO31" s="0"/>
      <c r="BP31" s="0"/>
      <c r="BQ31" s="0"/>
      <c r="BR31" s="0"/>
      <c r="BS31" s="0"/>
      <c r="BT31" s="0"/>
      <c r="BU31" s="0"/>
      <c r="BV31" s="0"/>
      <c r="BW31" s="0"/>
      <c r="BX31" s="0"/>
      <c r="BY31" s="0"/>
      <c r="BZ31" s="0"/>
      <c r="CA31" s="0"/>
      <c r="CB31" s="0"/>
      <c r="CC31" s="0"/>
      <c r="CD31" s="0"/>
      <c r="CE31" s="0"/>
      <c r="CF31" s="0"/>
      <c r="CG31" s="0"/>
      <c r="CH31" s="0"/>
      <c r="CI31" s="0"/>
      <c r="CJ31" s="0"/>
      <c r="CK31" s="0"/>
      <c r="CL31" s="0"/>
      <c r="CM31" s="0"/>
      <c r="CN31" s="0"/>
      <c r="CO31" s="0"/>
      <c r="CP31" s="0"/>
      <c r="CQ31" s="0"/>
      <c r="CR31" s="0"/>
      <c r="CS31" s="0"/>
      <c r="CT31" s="0"/>
      <c r="CU31" s="0"/>
      <c r="CV31" s="0"/>
      <c r="CW31" s="0"/>
      <c r="CX31" s="0"/>
      <c r="CY31" s="0"/>
      <c r="CZ31" s="0"/>
      <c r="DA31" s="0"/>
      <c r="DB31" s="0"/>
      <c r="DC31" s="0"/>
      <c r="DD31" s="0"/>
      <c r="DE31" s="0"/>
      <c r="DF31" s="0"/>
      <c r="DG31" s="0"/>
      <c r="DH31" s="0"/>
      <c r="DI31" s="0"/>
      <c r="DJ31" s="0"/>
      <c r="DK31" s="0"/>
      <c r="DL31" s="0"/>
      <c r="DM31" s="0"/>
      <c r="DN31" s="0"/>
      <c r="DO31" s="0"/>
      <c r="DP31" s="0"/>
      <c r="DQ31" s="0"/>
      <c r="DR31" s="0"/>
      <c r="DS31" s="0"/>
      <c r="DT31" s="0"/>
      <c r="DU31" s="0"/>
      <c r="DV31" s="0"/>
      <c r="DW31" s="0"/>
      <c r="DX31" s="0"/>
      <c r="DY31" s="0"/>
      <c r="DZ31" s="0"/>
      <c r="EA31" s="0"/>
      <c r="EB31" s="0"/>
      <c r="EC31" s="0"/>
      <c r="ED31" s="0"/>
      <c r="EE31" s="0"/>
      <c r="EF31" s="0"/>
      <c r="EG31" s="0"/>
      <c r="EH31" s="0"/>
      <c r="EI31" s="0"/>
      <c r="EJ31" s="0"/>
      <c r="EK31" s="0"/>
      <c r="EL31" s="0"/>
      <c r="EM31" s="0"/>
      <c r="EN31" s="0"/>
      <c r="EO31" s="0"/>
      <c r="EP31" s="0"/>
      <c r="EQ31" s="0"/>
      <c r="ER31" s="0"/>
      <c r="ES31" s="0"/>
      <c r="ET31" s="0"/>
      <c r="EU31" s="0"/>
      <c r="EV31" s="0"/>
      <c r="EW31" s="0"/>
      <c r="EX31" s="0"/>
      <c r="EY31" s="0"/>
      <c r="EZ31" s="0"/>
      <c r="FA31" s="0"/>
      <c r="FB31" s="0"/>
      <c r="FC31" s="0"/>
      <c r="FD31" s="0"/>
      <c r="FE31" s="0"/>
      <c r="FF31" s="0"/>
      <c r="FG31" s="0"/>
      <c r="FH31" s="0"/>
      <c r="FI31" s="0"/>
      <c r="FJ31" s="0"/>
      <c r="FK31" s="0"/>
      <c r="FL31" s="0"/>
      <c r="FM31" s="0"/>
      <c r="FN31" s="0"/>
      <c r="FO31" s="0"/>
      <c r="FP31" s="0"/>
      <c r="FQ31" s="0"/>
      <c r="FR31" s="0"/>
      <c r="FS31" s="0"/>
      <c r="FT31" s="0"/>
      <c r="FU31" s="0"/>
      <c r="FV31" s="0"/>
      <c r="FW31" s="0"/>
      <c r="FX31" s="0"/>
      <c r="FY31" s="0"/>
      <c r="FZ31" s="0"/>
      <c r="GA31" s="0"/>
      <c r="GB31" s="0"/>
      <c r="GC31" s="0"/>
      <c r="GD31" s="0"/>
      <c r="GE31" s="0"/>
      <c r="GF31" s="0"/>
      <c r="GG31" s="0"/>
      <c r="GH31" s="0"/>
      <c r="GI31" s="0"/>
      <c r="GJ31" s="0"/>
      <c r="GK31" s="0"/>
      <c r="GL31" s="0"/>
      <c r="GM31" s="0"/>
      <c r="GN31" s="0"/>
      <c r="GO31" s="0"/>
      <c r="GP31" s="0"/>
      <c r="GQ31" s="0"/>
      <c r="GR31" s="0"/>
      <c r="GS31" s="0"/>
      <c r="GT31" s="0"/>
      <c r="GU31" s="0"/>
      <c r="GV31" s="0"/>
      <c r="GW31" s="0"/>
      <c r="GX31" s="0"/>
      <c r="GY31" s="0"/>
      <c r="GZ31" s="0"/>
      <c r="HA31" s="0"/>
      <c r="HB31" s="0"/>
      <c r="HC31" s="0"/>
      <c r="HD31" s="0"/>
      <c r="HE31" s="0"/>
      <c r="HF31" s="0"/>
      <c r="HG31" s="0"/>
      <c r="HH31" s="0"/>
      <c r="HI31" s="0"/>
      <c r="HJ31" s="0"/>
      <c r="HK31" s="0"/>
      <c r="HL31" s="0"/>
      <c r="HM31" s="0"/>
      <c r="HN31" s="0"/>
      <c r="HO31" s="0"/>
      <c r="HP31" s="0"/>
      <c r="HQ31" s="0"/>
      <c r="HR31" s="0"/>
      <c r="HS31" s="0"/>
      <c r="HT31" s="0"/>
      <c r="HU31" s="0"/>
      <c r="HV31" s="0"/>
      <c r="HW31" s="0"/>
      <c r="HX31" s="0"/>
      <c r="HY31" s="0"/>
      <c r="HZ31" s="0"/>
      <c r="IA31" s="0"/>
      <c r="IB31" s="0"/>
      <c r="IC31" s="0"/>
      <c r="ID31" s="0"/>
      <c r="IE31" s="0"/>
      <c r="IF31" s="0"/>
      <c r="IG31" s="0"/>
      <c r="IH31" s="0"/>
      <c r="II31" s="0"/>
      <c r="IJ31" s="0"/>
      <c r="IK31" s="0"/>
      <c r="IL31" s="0"/>
      <c r="IM31" s="0"/>
      <c r="IN31" s="0"/>
      <c r="IO31" s="0"/>
      <c r="IP31" s="0"/>
      <c r="IQ31" s="0"/>
      <c r="IR31" s="0"/>
      <c r="IS31" s="0"/>
      <c r="IT31" s="0"/>
      <c r="IU31" s="0"/>
      <c r="IV31" s="0"/>
      <c r="IW31" s="0"/>
    </row>
    <row r="32" customFormat="false" ht="11.1" hidden="false" customHeight="true" outlineLevel="0" collapsed="false">
      <c r="A32" s="58" t="n">
        <v>23</v>
      </c>
      <c r="B32" s="73" t="n">
        <v>6917.72</v>
      </c>
      <c r="C32" s="52" t="n">
        <v>353807</v>
      </c>
      <c r="D32" s="57" t="n">
        <f aca="false">C32-C31</f>
        <v>-636</v>
      </c>
      <c r="E32" s="52" t="n">
        <f aca="false">C32-152000</f>
        <v>201807</v>
      </c>
      <c r="F32" s="51" t="n">
        <f aca="false">D32/$D$2</f>
        <v>-320.645323922359</v>
      </c>
      <c r="G32" s="51" t="n">
        <v>281</v>
      </c>
      <c r="H32" s="53" t="n">
        <v>0</v>
      </c>
      <c r="I32" s="51" t="n">
        <f aca="false">G32+H32</f>
        <v>281</v>
      </c>
      <c r="J32" s="81" t="n">
        <f aca="false">IF(L32&gt;0,L32,0)</f>
        <v>0</v>
      </c>
      <c r="K32" s="51" t="n">
        <f aca="false">I32+J32</f>
        <v>281</v>
      </c>
      <c r="L32" s="51" t="n">
        <f aca="false">F32-(I32-W32)</f>
        <v>-39.6453239223595</v>
      </c>
      <c r="M32" s="51" t="n">
        <v>166</v>
      </c>
      <c r="N32" s="100" t="n">
        <v>0</v>
      </c>
      <c r="O32" s="100" t="n">
        <v>0</v>
      </c>
      <c r="P32" s="6" t="n">
        <f aca="false">M32-(N32+O32)</f>
        <v>166</v>
      </c>
      <c r="Q32" s="51" t="n">
        <v>145</v>
      </c>
      <c r="R32" s="51" t="n">
        <v>75</v>
      </c>
      <c r="S32" s="51" t="n">
        <f aca="false">SUM(P32:R32)</f>
        <v>386</v>
      </c>
      <c r="T32" s="52" t="n">
        <f aca="false">(I32-S32)+T31</f>
        <v>406</v>
      </c>
      <c r="U32" s="51" t="n">
        <v>0</v>
      </c>
      <c r="V32" s="51" t="n">
        <v>176</v>
      </c>
      <c r="W32" s="6" t="n">
        <f aca="false">N32+O32+S32+U32+V32</f>
        <v>562</v>
      </c>
      <c r="X32" s="51" t="n">
        <f aca="false">IF(L32&lt;0,L32*-1,0)</f>
        <v>39.6453239223595</v>
      </c>
      <c r="Y32" s="51" t="n">
        <f aca="false">W32+X32</f>
        <v>601.64532392236</v>
      </c>
      <c r="Z32" s="56" t="n">
        <v>0.34</v>
      </c>
      <c r="AA32" s="57" t="n">
        <v>81</v>
      </c>
      <c r="AB32" s="57" t="n">
        <v>45</v>
      </c>
      <c r="AC32" s="58" t="n">
        <v>23</v>
      </c>
      <c r="AD32" s="92" t="n">
        <f aca="false">IF(I32&gt;S32,I32-S32,I32-S32)</f>
        <v>-105</v>
      </c>
      <c r="AE32" s="12"/>
      <c r="AF32" s="0"/>
      <c r="AG32" s="6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  <c r="AS32" s="0"/>
      <c r="AT32" s="0"/>
      <c r="AU32" s="0"/>
      <c r="AV32" s="0"/>
      <c r="AW32" s="0"/>
      <c r="AX32" s="0"/>
      <c r="AY32" s="0"/>
      <c r="AZ32" s="0"/>
      <c r="BA32" s="0"/>
      <c r="BB32" s="0"/>
      <c r="BC32" s="0"/>
      <c r="BD32" s="0"/>
      <c r="BE32" s="0"/>
      <c r="BF32" s="0"/>
      <c r="BG32" s="0"/>
      <c r="BH32" s="0"/>
      <c r="BI32" s="0"/>
      <c r="BJ32" s="0"/>
      <c r="BK32" s="0"/>
      <c r="BL32" s="0"/>
      <c r="BM32" s="0"/>
      <c r="BN32" s="0"/>
      <c r="BO32" s="0"/>
      <c r="BP32" s="0"/>
      <c r="BQ32" s="0"/>
      <c r="BR32" s="0"/>
      <c r="BS32" s="0"/>
      <c r="BT32" s="0"/>
      <c r="BU32" s="0"/>
      <c r="BV32" s="0"/>
      <c r="BW32" s="0"/>
      <c r="BX32" s="0"/>
      <c r="BY32" s="0"/>
      <c r="BZ32" s="0"/>
      <c r="CA32" s="0"/>
      <c r="CB32" s="0"/>
      <c r="CC32" s="0"/>
      <c r="CD32" s="0"/>
      <c r="CE32" s="0"/>
      <c r="CF32" s="0"/>
      <c r="CG32" s="0"/>
      <c r="CH32" s="0"/>
      <c r="CI32" s="0"/>
      <c r="CJ32" s="0"/>
      <c r="CK32" s="0"/>
      <c r="CL32" s="0"/>
      <c r="CM32" s="0"/>
      <c r="CN32" s="0"/>
      <c r="CO32" s="0"/>
      <c r="CP32" s="0"/>
      <c r="CQ32" s="0"/>
      <c r="CR32" s="0"/>
      <c r="CS32" s="0"/>
      <c r="CT32" s="0"/>
      <c r="CU32" s="0"/>
      <c r="CV32" s="0"/>
      <c r="CW32" s="0"/>
      <c r="CX32" s="0"/>
      <c r="CY32" s="0"/>
      <c r="CZ32" s="0"/>
      <c r="DA32" s="0"/>
      <c r="DB32" s="0"/>
      <c r="DC32" s="0"/>
      <c r="DD32" s="0"/>
      <c r="DE32" s="0"/>
      <c r="DF32" s="0"/>
      <c r="DG32" s="0"/>
      <c r="DH32" s="0"/>
      <c r="DI32" s="0"/>
      <c r="DJ32" s="0"/>
      <c r="DK32" s="0"/>
      <c r="DL32" s="0"/>
      <c r="DM32" s="0"/>
      <c r="DN32" s="0"/>
      <c r="DO32" s="0"/>
      <c r="DP32" s="0"/>
      <c r="DQ32" s="0"/>
      <c r="DR32" s="0"/>
      <c r="DS32" s="0"/>
      <c r="DT32" s="0"/>
      <c r="DU32" s="0"/>
      <c r="DV32" s="0"/>
      <c r="DW32" s="0"/>
      <c r="DX32" s="0"/>
      <c r="DY32" s="0"/>
      <c r="DZ32" s="0"/>
      <c r="EA32" s="0"/>
      <c r="EB32" s="0"/>
      <c r="EC32" s="0"/>
      <c r="ED32" s="0"/>
      <c r="EE32" s="0"/>
      <c r="EF32" s="0"/>
      <c r="EG32" s="0"/>
      <c r="EH32" s="0"/>
      <c r="EI32" s="0"/>
      <c r="EJ32" s="0"/>
      <c r="EK32" s="0"/>
      <c r="EL32" s="0"/>
      <c r="EM32" s="0"/>
      <c r="EN32" s="0"/>
      <c r="EO32" s="0"/>
      <c r="EP32" s="0"/>
      <c r="EQ32" s="0"/>
      <c r="ER32" s="0"/>
      <c r="ES32" s="0"/>
      <c r="ET32" s="0"/>
      <c r="EU32" s="0"/>
      <c r="EV32" s="0"/>
      <c r="EW32" s="0"/>
      <c r="EX32" s="0"/>
      <c r="EY32" s="0"/>
      <c r="EZ32" s="0"/>
      <c r="FA32" s="0"/>
      <c r="FB32" s="0"/>
      <c r="FC32" s="0"/>
      <c r="FD32" s="0"/>
      <c r="FE32" s="0"/>
      <c r="FF32" s="0"/>
      <c r="FG32" s="0"/>
      <c r="FH32" s="0"/>
      <c r="FI32" s="0"/>
      <c r="FJ32" s="0"/>
      <c r="FK32" s="0"/>
      <c r="FL32" s="0"/>
      <c r="FM32" s="0"/>
      <c r="FN32" s="0"/>
      <c r="FO32" s="0"/>
      <c r="FP32" s="0"/>
      <c r="FQ32" s="0"/>
      <c r="FR32" s="0"/>
      <c r="FS32" s="0"/>
      <c r="FT32" s="0"/>
      <c r="FU32" s="0"/>
      <c r="FV32" s="0"/>
      <c r="FW32" s="0"/>
      <c r="FX32" s="0"/>
      <c r="FY32" s="0"/>
      <c r="FZ32" s="0"/>
      <c r="GA32" s="0"/>
      <c r="GB32" s="0"/>
      <c r="GC32" s="0"/>
      <c r="GD32" s="0"/>
      <c r="GE32" s="0"/>
      <c r="GF32" s="0"/>
      <c r="GG32" s="0"/>
      <c r="GH32" s="0"/>
      <c r="GI32" s="0"/>
      <c r="GJ32" s="0"/>
      <c r="GK32" s="0"/>
      <c r="GL32" s="0"/>
      <c r="GM32" s="0"/>
      <c r="GN32" s="0"/>
      <c r="GO32" s="0"/>
      <c r="GP32" s="0"/>
      <c r="GQ32" s="0"/>
      <c r="GR32" s="0"/>
      <c r="GS32" s="0"/>
      <c r="GT32" s="0"/>
      <c r="GU32" s="0"/>
      <c r="GV32" s="0"/>
      <c r="GW32" s="0"/>
      <c r="GX32" s="0"/>
      <c r="GY32" s="0"/>
      <c r="GZ32" s="0"/>
      <c r="HA32" s="0"/>
      <c r="HB32" s="0"/>
      <c r="HC32" s="0"/>
      <c r="HD32" s="0"/>
      <c r="HE32" s="0"/>
      <c r="HF32" s="0"/>
      <c r="HG32" s="0"/>
      <c r="HH32" s="0"/>
      <c r="HI32" s="0"/>
      <c r="HJ32" s="0"/>
      <c r="HK32" s="0"/>
      <c r="HL32" s="0"/>
      <c r="HM32" s="0"/>
      <c r="HN32" s="0"/>
      <c r="HO32" s="0"/>
      <c r="HP32" s="0"/>
      <c r="HQ32" s="0"/>
      <c r="HR32" s="0"/>
      <c r="HS32" s="0"/>
      <c r="HT32" s="0"/>
      <c r="HU32" s="0"/>
      <c r="HV32" s="0"/>
      <c r="HW32" s="0"/>
      <c r="HX32" s="0"/>
      <c r="HY32" s="0"/>
      <c r="HZ32" s="0"/>
      <c r="IA32" s="0"/>
      <c r="IB32" s="0"/>
      <c r="IC32" s="0"/>
      <c r="ID32" s="0"/>
      <c r="IE32" s="0"/>
      <c r="IF32" s="0"/>
      <c r="IG32" s="0"/>
      <c r="IH32" s="0"/>
      <c r="II32" s="0"/>
      <c r="IJ32" s="0"/>
      <c r="IK32" s="0"/>
      <c r="IL32" s="0"/>
      <c r="IM32" s="0"/>
      <c r="IN32" s="0"/>
      <c r="IO32" s="0"/>
      <c r="IP32" s="0"/>
      <c r="IQ32" s="0"/>
      <c r="IR32" s="0"/>
      <c r="IS32" s="0"/>
      <c r="IT32" s="0"/>
      <c r="IU32" s="0"/>
      <c r="IV32" s="0"/>
      <c r="IW32" s="0"/>
    </row>
    <row r="33" customFormat="false" ht="11.1" hidden="false" customHeight="true" outlineLevel="0" collapsed="false">
      <c r="A33" s="58" t="n">
        <v>24</v>
      </c>
      <c r="B33" s="73" t="n">
        <v>6917.85</v>
      </c>
      <c r="C33" s="52" t="n">
        <v>354358</v>
      </c>
      <c r="D33" s="57" t="n">
        <f aca="false">C33-C32</f>
        <v>551</v>
      </c>
      <c r="E33" s="52" t="n">
        <f aca="false">C33-152000</f>
        <v>202358</v>
      </c>
      <c r="F33" s="51" t="n">
        <f aca="false">D33/$D$2</f>
        <v>277.791782203176</v>
      </c>
      <c r="G33" s="51" t="n">
        <v>581</v>
      </c>
      <c r="H33" s="53" t="n">
        <v>0</v>
      </c>
      <c r="I33" s="51" t="n">
        <f aca="false">G33+H33</f>
        <v>581</v>
      </c>
      <c r="J33" s="81" t="n">
        <f aca="false">IF(L33&gt;0,L33,0)</f>
        <v>236.791782203176</v>
      </c>
      <c r="K33" s="51" t="n">
        <f aca="false">I33+J33</f>
        <v>817.791782203176</v>
      </c>
      <c r="L33" s="51" t="n">
        <f aca="false">F33-(I33-W33)</f>
        <v>236.791782203176</v>
      </c>
      <c r="M33" s="51" t="n">
        <v>135</v>
      </c>
      <c r="N33" s="100" t="n">
        <v>0</v>
      </c>
      <c r="O33" s="100" t="n">
        <v>0</v>
      </c>
      <c r="P33" s="6" t="n">
        <f aca="false">M33-(N33+O33)</f>
        <v>135</v>
      </c>
      <c r="Q33" s="51" t="n">
        <v>145</v>
      </c>
      <c r="R33" s="51" t="n">
        <v>62</v>
      </c>
      <c r="S33" s="51" t="n">
        <f aca="false">SUM(P33:R33)</f>
        <v>342</v>
      </c>
      <c r="T33" s="52" t="n">
        <f aca="false">(I33-S33)+T32</f>
        <v>645</v>
      </c>
      <c r="U33" s="51" t="n">
        <v>24</v>
      </c>
      <c r="V33" s="51" t="n">
        <v>174</v>
      </c>
      <c r="W33" s="6" t="n">
        <f aca="false">N33+O33+S33+U33+V33</f>
        <v>540</v>
      </c>
      <c r="X33" s="51" t="n">
        <f aca="false">IF(L33&lt;0,L33*-1,0)</f>
        <v>0</v>
      </c>
      <c r="Y33" s="51" t="n">
        <f aca="false">W33+X33</f>
        <v>540</v>
      </c>
      <c r="Z33" s="56" t="n">
        <v>0.31</v>
      </c>
      <c r="AA33" s="57" t="n">
        <v>78</v>
      </c>
      <c r="AB33" s="57" t="n">
        <v>55</v>
      </c>
      <c r="AC33" s="58" t="n">
        <v>24</v>
      </c>
      <c r="AD33" s="92" t="n">
        <f aca="false">IF(I33&gt;S33,I33-S33,I33-S33)</f>
        <v>239</v>
      </c>
      <c r="AE33" s="12"/>
      <c r="AF33" s="0"/>
      <c r="AG33" s="6"/>
      <c r="AH33" s="0"/>
      <c r="AI33" s="0"/>
      <c r="AJ33" s="0"/>
      <c r="AK33" s="0"/>
      <c r="AL33" s="0"/>
      <c r="AM33" s="0"/>
      <c r="AN33" s="0"/>
      <c r="AO33" s="0"/>
      <c r="AP33" s="0"/>
      <c r="AQ33" s="0"/>
      <c r="AR33" s="0"/>
      <c r="AS33" s="0"/>
      <c r="AT33" s="0"/>
      <c r="AU33" s="0"/>
      <c r="AV33" s="0"/>
      <c r="AW33" s="0"/>
      <c r="AX33" s="0"/>
      <c r="AY33" s="0"/>
      <c r="AZ33" s="0"/>
      <c r="BA33" s="0"/>
      <c r="BB33" s="0"/>
      <c r="BC33" s="0"/>
      <c r="BD33" s="0"/>
      <c r="BE33" s="0"/>
      <c r="BF33" s="0"/>
      <c r="BG33" s="0"/>
      <c r="BH33" s="0"/>
      <c r="BI33" s="0"/>
      <c r="BJ33" s="0"/>
      <c r="BK33" s="0"/>
      <c r="BL33" s="0"/>
      <c r="BM33" s="0"/>
      <c r="BN33" s="0"/>
      <c r="BO33" s="0"/>
      <c r="BP33" s="0"/>
      <c r="BQ33" s="0"/>
      <c r="BR33" s="0"/>
      <c r="BS33" s="0"/>
      <c r="BT33" s="0"/>
      <c r="BU33" s="0"/>
      <c r="BV33" s="0"/>
      <c r="BW33" s="0"/>
      <c r="BX33" s="0"/>
      <c r="BY33" s="0"/>
      <c r="BZ33" s="0"/>
      <c r="CA33" s="0"/>
      <c r="CB33" s="0"/>
      <c r="CC33" s="0"/>
      <c r="CD33" s="0"/>
      <c r="CE33" s="0"/>
      <c r="CF33" s="0"/>
      <c r="CG33" s="0"/>
      <c r="CH33" s="0"/>
      <c r="CI33" s="0"/>
      <c r="CJ33" s="0"/>
      <c r="CK33" s="0"/>
      <c r="CL33" s="0"/>
      <c r="CM33" s="0"/>
      <c r="CN33" s="0"/>
      <c r="CO33" s="0"/>
      <c r="CP33" s="0"/>
      <c r="CQ33" s="0"/>
      <c r="CR33" s="0"/>
      <c r="CS33" s="0"/>
      <c r="CT33" s="0"/>
      <c r="CU33" s="0"/>
      <c r="CV33" s="0"/>
      <c r="CW33" s="0"/>
      <c r="CX33" s="0"/>
      <c r="CY33" s="0"/>
      <c r="CZ33" s="0"/>
      <c r="DA33" s="0"/>
      <c r="DB33" s="0"/>
      <c r="DC33" s="0"/>
      <c r="DD33" s="0"/>
      <c r="DE33" s="0"/>
      <c r="DF33" s="0"/>
      <c r="DG33" s="0"/>
      <c r="DH33" s="0"/>
      <c r="DI33" s="0"/>
      <c r="DJ33" s="0"/>
      <c r="DK33" s="0"/>
      <c r="DL33" s="0"/>
      <c r="DM33" s="0"/>
      <c r="DN33" s="0"/>
      <c r="DO33" s="0"/>
      <c r="DP33" s="0"/>
      <c r="DQ33" s="0"/>
      <c r="DR33" s="0"/>
      <c r="DS33" s="0"/>
      <c r="DT33" s="0"/>
      <c r="DU33" s="0"/>
      <c r="DV33" s="0"/>
      <c r="DW33" s="0"/>
      <c r="DX33" s="0"/>
      <c r="DY33" s="0"/>
      <c r="DZ33" s="0"/>
      <c r="EA33" s="0"/>
      <c r="EB33" s="0"/>
      <c r="EC33" s="0"/>
      <c r="ED33" s="0"/>
      <c r="EE33" s="0"/>
      <c r="EF33" s="0"/>
      <c r="EG33" s="0"/>
      <c r="EH33" s="0"/>
      <c r="EI33" s="0"/>
      <c r="EJ33" s="0"/>
      <c r="EK33" s="0"/>
      <c r="EL33" s="0"/>
      <c r="EM33" s="0"/>
      <c r="EN33" s="0"/>
      <c r="EO33" s="0"/>
      <c r="EP33" s="0"/>
      <c r="EQ33" s="0"/>
      <c r="ER33" s="0"/>
      <c r="ES33" s="0"/>
      <c r="ET33" s="0"/>
      <c r="EU33" s="0"/>
      <c r="EV33" s="0"/>
      <c r="EW33" s="0"/>
      <c r="EX33" s="0"/>
      <c r="EY33" s="0"/>
      <c r="EZ33" s="0"/>
      <c r="FA33" s="0"/>
      <c r="FB33" s="0"/>
      <c r="FC33" s="0"/>
      <c r="FD33" s="0"/>
      <c r="FE33" s="0"/>
      <c r="FF33" s="0"/>
      <c r="FG33" s="0"/>
      <c r="FH33" s="0"/>
      <c r="FI33" s="0"/>
      <c r="FJ33" s="0"/>
      <c r="FK33" s="0"/>
      <c r="FL33" s="0"/>
      <c r="FM33" s="0"/>
      <c r="FN33" s="0"/>
      <c r="FO33" s="0"/>
      <c r="FP33" s="0"/>
      <c r="FQ33" s="0"/>
      <c r="FR33" s="0"/>
      <c r="FS33" s="0"/>
      <c r="FT33" s="0"/>
      <c r="FU33" s="0"/>
      <c r="FV33" s="0"/>
      <c r="FW33" s="0"/>
      <c r="FX33" s="0"/>
      <c r="FY33" s="0"/>
      <c r="FZ33" s="0"/>
      <c r="GA33" s="0"/>
      <c r="GB33" s="0"/>
      <c r="GC33" s="0"/>
      <c r="GD33" s="0"/>
      <c r="GE33" s="0"/>
      <c r="GF33" s="0"/>
      <c r="GG33" s="0"/>
      <c r="GH33" s="0"/>
      <c r="GI33" s="0"/>
      <c r="GJ33" s="0"/>
      <c r="GK33" s="0"/>
      <c r="GL33" s="0"/>
      <c r="GM33" s="0"/>
      <c r="GN33" s="0"/>
      <c r="GO33" s="0"/>
      <c r="GP33" s="0"/>
      <c r="GQ33" s="0"/>
      <c r="GR33" s="0"/>
      <c r="GS33" s="0"/>
      <c r="GT33" s="0"/>
      <c r="GU33" s="0"/>
      <c r="GV33" s="0"/>
      <c r="GW33" s="0"/>
      <c r="GX33" s="0"/>
      <c r="GY33" s="0"/>
      <c r="GZ33" s="0"/>
      <c r="HA33" s="0"/>
      <c r="HB33" s="0"/>
      <c r="HC33" s="0"/>
      <c r="HD33" s="0"/>
      <c r="HE33" s="0"/>
      <c r="HF33" s="0"/>
      <c r="HG33" s="0"/>
      <c r="HH33" s="0"/>
      <c r="HI33" s="0"/>
      <c r="HJ33" s="0"/>
      <c r="HK33" s="0"/>
      <c r="HL33" s="0"/>
      <c r="HM33" s="0"/>
      <c r="HN33" s="0"/>
      <c r="HO33" s="0"/>
      <c r="HP33" s="0"/>
      <c r="HQ33" s="0"/>
      <c r="HR33" s="0"/>
      <c r="HS33" s="0"/>
      <c r="HT33" s="0"/>
      <c r="HU33" s="0"/>
      <c r="HV33" s="0"/>
      <c r="HW33" s="0"/>
      <c r="HX33" s="0"/>
      <c r="HY33" s="0"/>
      <c r="HZ33" s="0"/>
      <c r="IA33" s="0"/>
      <c r="IB33" s="0"/>
      <c r="IC33" s="0"/>
      <c r="ID33" s="0"/>
      <c r="IE33" s="0"/>
      <c r="IF33" s="0"/>
      <c r="IG33" s="0"/>
      <c r="IH33" s="0"/>
      <c r="II33" s="0"/>
      <c r="IJ33" s="0"/>
      <c r="IK33" s="0"/>
      <c r="IL33" s="0"/>
      <c r="IM33" s="0"/>
      <c r="IN33" s="0"/>
      <c r="IO33" s="0"/>
      <c r="IP33" s="0"/>
      <c r="IQ33" s="0"/>
      <c r="IR33" s="0"/>
      <c r="IS33" s="0"/>
      <c r="IT33" s="0"/>
      <c r="IU33" s="0"/>
      <c r="IV33" s="0"/>
      <c r="IW33" s="0"/>
    </row>
    <row r="34" customFormat="false" ht="11.1" hidden="false" customHeight="true" outlineLevel="0" collapsed="false">
      <c r="A34" s="58" t="n">
        <v>25</v>
      </c>
      <c r="B34" s="73" t="n">
        <v>6917.91</v>
      </c>
      <c r="C34" s="52" t="n">
        <v>354612</v>
      </c>
      <c r="D34" s="57" t="n">
        <f aca="false">C34-C33</f>
        <v>254</v>
      </c>
      <c r="E34" s="52" t="n">
        <f aca="false">C34-152000</f>
        <v>202612</v>
      </c>
      <c r="F34" s="51" t="n">
        <f aca="false">D34/$D$2</f>
        <v>128.056465843206</v>
      </c>
      <c r="G34" s="51" t="n">
        <v>708</v>
      </c>
      <c r="H34" s="53" t="n">
        <v>0</v>
      </c>
      <c r="I34" s="51" t="n">
        <f aca="false">G34+H34</f>
        <v>708</v>
      </c>
      <c r="J34" s="81" t="n">
        <f aca="false">IF(L34&gt;0,L34,0)</f>
        <v>0</v>
      </c>
      <c r="K34" s="51" t="n">
        <f aca="false">I34+J34</f>
        <v>708</v>
      </c>
      <c r="L34" s="51" t="n">
        <f aca="false">F34-(I34-W34)</f>
        <v>-104.943534156794</v>
      </c>
      <c r="M34" s="51" t="n">
        <v>103</v>
      </c>
      <c r="N34" s="100" t="n">
        <v>0</v>
      </c>
      <c r="O34" s="100" t="n">
        <v>0</v>
      </c>
      <c r="P34" s="6" t="n">
        <f aca="false">M34-(N34+O34)</f>
        <v>103</v>
      </c>
      <c r="Q34" s="51" t="n">
        <v>145</v>
      </c>
      <c r="R34" s="51" t="n">
        <v>51</v>
      </c>
      <c r="S34" s="51" t="n">
        <f aca="false">SUM(P34:R34)</f>
        <v>299</v>
      </c>
      <c r="T34" s="52" t="n">
        <f aca="false">(I34-S34)+T33</f>
        <v>1054</v>
      </c>
      <c r="U34" s="51" t="n">
        <v>0</v>
      </c>
      <c r="V34" s="51" t="n">
        <v>176</v>
      </c>
      <c r="W34" s="6" t="n">
        <f aca="false">N34+O34+S34+U34+V34</f>
        <v>475</v>
      </c>
      <c r="X34" s="51" t="n">
        <f aca="false">IF(L34&lt;0,L34*-1,0)</f>
        <v>104.943534156794</v>
      </c>
      <c r="Y34" s="51" t="n">
        <f aca="false">W34+X34</f>
        <v>579.943534156794</v>
      </c>
      <c r="Z34" s="56" t="n">
        <v>0.21</v>
      </c>
      <c r="AA34" s="57" t="n">
        <v>77</v>
      </c>
      <c r="AB34" s="57" t="n">
        <v>50</v>
      </c>
      <c r="AC34" s="58" t="n">
        <v>25</v>
      </c>
      <c r="AD34" s="92" t="n">
        <f aca="false">IF(I34&gt;S34,I34-S34,I34-S34)</f>
        <v>409</v>
      </c>
      <c r="AE34" s="12"/>
      <c r="AF34" s="0"/>
      <c r="AG34" s="6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  <c r="BH34" s="0"/>
      <c r="BI34" s="0"/>
      <c r="BJ34" s="0"/>
      <c r="BK34" s="0"/>
      <c r="BL34" s="0"/>
      <c r="BM34" s="0"/>
      <c r="BN34" s="0"/>
      <c r="BO34" s="0"/>
      <c r="BP34" s="0"/>
      <c r="BQ34" s="0"/>
      <c r="BR34" s="0"/>
      <c r="BS34" s="0"/>
      <c r="BT34" s="0"/>
      <c r="BU34" s="0"/>
      <c r="BV34" s="0"/>
      <c r="BW34" s="0"/>
      <c r="BX34" s="0"/>
      <c r="BY34" s="0"/>
      <c r="BZ34" s="0"/>
      <c r="CA34" s="0"/>
      <c r="CB34" s="0"/>
      <c r="CC34" s="0"/>
      <c r="CD34" s="0"/>
      <c r="CE34" s="0"/>
      <c r="CF34" s="0"/>
      <c r="CG34" s="0"/>
      <c r="CH34" s="0"/>
      <c r="CI34" s="0"/>
      <c r="CJ34" s="0"/>
      <c r="CK34" s="0"/>
      <c r="CL34" s="0"/>
      <c r="CM34" s="0"/>
      <c r="CN34" s="0"/>
      <c r="CO34" s="0"/>
      <c r="CP34" s="0"/>
      <c r="CQ34" s="0"/>
      <c r="CR34" s="0"/>
      <c r="CS34" s="0"/>
      <c r="CT34" s="0"/>
      <c r="CU34" s="0"/>
      <c r="CV34" s="0"/>
      <c r="CW34" s="0"/>
      <c r="CX34" s="0"/>
      <c r="CY34" s="0"/>
      <c r="CZ34" s="0"/>
      <c r="DA34" s="0"/>
      <c r="DB34" s="0"/>
      <c r="DC34" s="0"/>
      <c r="DD34" s="0"/>
      <c r="DE34" s="0"/>
      <c r="DF34" s="0"/>
      <c r="DG34" s="0"/>
      <c r="DH34" s="0"/>
      <c r="DI34" s="0"/>
      <c r="DJ34" s="0"/>
      <c r="DK34" s="0"/>
      <c r="DL34" s="0"/>
      <c r="DM34" s="0"/>
      <c r="DN34" s="0"/>
      <c r="DO34" s="0"/>
      <c r="DP34" s="0"/>
      <c r="DQ34" s="0"/>
      <c r="DR34" s="0"/>
      <c r="DS34" s="0"/>
      <c r="DT34" s="0"/>
      <c r="DU34" s="0"/>
      <c r="DV34" s="0"/>
      <c r="DW34" s="0"/>
      <c r="DX34" s="0"/>
      <c r="DY34" s="0"/>
      <c r="DZ34" s="0"/>
      <c r="EA34" s="0"/>
      <c r="EB34" s="0"/>
      <c r="EC34" s="0"/>
      <c r="ED34" s="0"/>
      <c r="EE34" s="0"/>
      <c r="EF34" s="0"/>
      <c r="EG34" s="0"/>
      <c r="EH34" s="0"/>
      <c r="EI34" s="0"/>
      <c r="EJ34" s="0"/>
      <c r="EK34" s="0"/>
      <c r="EL34" s="0"/>
      <c r="EM34" s="0"/>
      <c r="EN34" s="0"/>
      <c r="EO34" s="0"/>
      <c r="EP34" s="0"/>
      <c r="EQ34" s="0"/>
      <c r="ER34" s="0"/>
      <c r="ES34" s="0"/>
      <c r="ET34" s="0"/>
      <c r="EU34" s="0"/>
      <c r="EV34" s="0"/>
      <c r="EW34" s="0"/>
      <c r="EX34" s="0"/>
      <c r="EY34" s="0"/>
      <c r="EZ34" s="0"/>
      <c r="FA34" s="0"/>
      <c r="FB34" s="0"/>
      <c r="FC34" s="0"/>
      <c r="FD34" s="0"/>
      <c r="FE34" s="0"/>
      <c r="FF34" s="0"/>
      <c r="FG34" s="0"/>
      <c r="FH34" s="0"/>
      <c r="FI34" s="0"/>
      <c r="FJ34" s="0"/>
      <c r="FK34" s="0"/>
      <c r="FL34" s="0"/>
      <c r="FM34" s="0"/>
      <c r="FN34" s="0"/>
      <c r="FO34" s="0"/>
      <c r="FP34" s="0"/>
      <c r="FQ34" s="0"/>
      <c r="FR34" s="0"/>
      <c r="FS34" s="0"/>
      <c r="FT34" s="0"/>
      <c r="FU34" s="0"/>
      <c r="FV34" s="0"/>
      <c r="FW34" s="0"/>
      <c r="FX34" s="0"/>
      <c r="FY34" s="0"/>
      <c r="FZ34" s="0"/>
      <c r="GA34" s="0"/>
      <c r="GB34" s="0"/>
      <c r="GC34" s="0"/>
      <c r="GD34" s="0"/>
      <c r="GE34" s="0"/>
      <c r="GF34" s="0"/>
      <c r="GG34" s="0"/>
      <c r="GH34" s="0"/>
      <c r="GI34" s="0"/>
      <c r="GJ34" s="0"/>
      <c r="GK34" s="0"/>
      <c r="GL34" s="0"/>
      <c r="GM34" s="0"/>
      <c r="GN34" s="0"/>
      <c r="GO34" s="0"/>
      <c r="GP34" s="0"/>
      <c r="GQ34" s="0"/>
      <c r="GR34" s="0"/>
      <c r="GS34" s="0"/>
      <c r="GT34" s="0"/>
      <c r="GU34" s="0"/>
      <c r="GV34" s="0"/>
      <c r="GW34" s="0"/>
      <c r="GX34" s="0"/>
      <c r="GY34" s="0"/>
      <c r="GZ34" s="0"/>
      <c r="HA34" s="0"/>
      <c r="HB34" s="0"/>
      <c r="HC34" s="0"/>
      <c r="HD34" s="0"/>
      <c r="HE34" s="0"/>
      <c r="HF34" s="0"/>
      <c r="HG34" s="0"/>
      <c r="HH34" s="0"/>
      <c r="HI34" s="0"/>
      <c r="HJ34" s="0"/>
      <c r="HK34" s="0"/>
      <c r="HL34" s="0"/>
      <c r="HM34" s="0"/>
      <c r="HN34" s="0"/>
      <c r="HO34" s="0"/>
      <c r="HP34" s="0"/>
      <c r="HQ34" s="0"/>
      <c r="HR34" s="0"/>
      <c r="HS34" s="0"/>
      <c r="HT34" s="0"/>
      <c r="HU34" s="0"/>
      <c r="HV34" s="0"/>
      <c r="HW34" s="0"/>
      <c r="HX34" s="0"/>
      <c r="HY34" s="0"/>
      <c r="HZ34" s="0"/>
      <c r="IA34" s="0"/>
      <c r="IB34" s="0"/>
      <c r="IC34" s="0"/>
      <c r="ID34" s="0"/>
      <c r="IE34" s="0"/>
      <c r="IF34" s="0"/>
      <c r="IG34" s="0"/>
      <c r="IH34" s="0"/>
      <c r="II34" s="0"/>
      <c r="IJ34" s="0"/>
      <c r="IK34" s="0"/>
      <c r="IL34" s="0"/>
      <c r="IM34" s="0"/>
      <c r="IN34" s="0"/>
      <c r="IO34" s="0"/>
      <c r="IP34" s="0"/>
      <c r="IQ34" s="0"/>
      <c r="IR34" s="0"/>
      <c r="IS34" s="0"/>
      <c r="IT34" s="0"/>
      <c r="IU34" s="0"/>
      <c r="IV34" s="0"/>
      <c r="IW34" s="0"/>
    </row>
    <row r="35" customFormat="false" ht="11.1" hidden="false" customHeight="true" outlineLevel="0" collapsed="false">
      <c r="A35" s="58" t="n">
        <v>26</v>
      </c>
      <c r="B35" s="73" t="n">
        <v>6917.9</v>
      </c>
      <c r="C35" s="52" t="n">
        <v>354570</v>
      </c>
      <c r="D35" s="57" t="n">
        <f aca="false">C35-C34</f>
        <v>-42</v>
      </c>
      <c r="E35" s="52" t="n">
        <f aca="false">C35-152000</f>
        <v>202570</v>
      </c>
      <c r="F35" s="51" t="n">
        <f aca="false">D35/$D$2</f>
        <v>-21.17469120242</v>
      </c>
      <c r="G35" s="51" t="n">
        <v>533</v>
      </c>
      <c r="H35" s="53" t="n">
        <v>0</v>
      </c>
      <c r="I35" s="51" t="n">
        <f aca="false">G35+H35</f>
        <v>533</v>
      </c>
      <c r="J35" s="81" t="n">
        <f aca="false">IF(L35&gt;0,L35,0)</f>
        <v>0</v>
      </c>
      <c r="K35" s="51" t="n">
        <f aca="false">I35+J35</f>
        <v>533</v>
      </c>
      <c r="L35" s="51" t="n">
        <f aca="false">F35-(I35-W35)</f>
        <v>-83.17469120242</v>
      </c>
      <c r="M35" s="51" t="n">
        <v>95</v>
      </c>
      <c r="N35" s="100" t="n">
        <v>0</v>
      </c>
      <c r="O35" s="100" t="n">
        <v>0</v>
      </c>
      <c r="P35" s="6" t="n">
        <f aca="false">M35-(N35+O35)</f>
        <v>95</v>
      </c>
      <c r="Q35" s="51" t="n">
        <v>137</v>
      </c>
      <c r="R35" s="51" t="n">
        <v>60</v>
      </c>
      <c r="S35" s="51" t="n">
        <f aca="false">SUM(P35:R35)</f>
        <v>292</v>
      </c>
      <c r="T35" s="52" t="n">
        <f aca="false">(I35-S35)+T34</f>
        <v>1295</v>
      </c>
      <c r="U35" s="51" t="n">
        <v>0</v>
      </c>
      <c r="V35" s="51" t="n">
        <v>179</v>
      </c>
      <c r="W35" s="6" t="n">
        <f aca="false">N35+O35+S35+U35+V35</f>
        <v>471</v>
      </c>
      <c r="X35" s="51" t="n">
        <f aca="false">IF(L35&lt;0,L35*-1,0)</f>
        <v>83.17469120242</v>
      </c>
      <c r="Y35" s="51" t="n">
        <f aca="false">W35+X35</f>
        <v>554.17469120242</v>
      </c>
      <c r="Z35" s="56" t="n">
        <v>0</v>
      </c>
      <c r="AA35" s="57" t="n">
        <v>70</v>
      </c>
      <c r="AB35" s="57" t="n">
        <v>44</v>
      </c>
      <c r="AC35" s="58" t="n">
        <v>26</v>
      </c>
      <c r="AD35" s="92" t="n">
        <f aca="false">IF(I35&gt;S35,I35-S35,I35-S35)</f>
        <v>241</v>
      </c>
      <c r="AE35" s="12"/>
      <c r="AF35" s="0"/>
      <c r="AG35" s="3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/>
      <c r="BE35" s="0"/>
      <c r="BF35" s="0"/>
      <c r="BG35" s="0"/>
      <c r="BH35" s="0"/>
      <c r="BI35" s="0"/>
      <c r="BJ35" s="0"/>
      <c r="BK35" s="0"/>
      <c r="BL35" s="0"/>
      <c r="BM35" s="0"/>
      <c r="BN35" s="0"/>
      <c r="BO35" s="0"/>
      <c r="BP35" s="0"/>
      <c r="BQ35" s="0"/>
      <c r="BR35" s="0"/>
      <c r="BS35" s="0"/>
      <c r="BT35" s="0"/>
      <c r="BU35" s="0"/>
      <c r="BV35" s="0"/>
      <c r="BW35" s="0"/>
      <c r="BX35" s="0"/>
      <c r="BY35" s="0"/>
      <c r="BZ35" s="0"/>
      <c r="CA35" s="0"/>
      <c r="CB35" s="0"/>
      <c r="CC35" s="0"/>
      <c r="CD35" s="0"/>
      <c r="CE35" s="0"/>
      <c r="CF35" s="0"/>
      <c r="CG35" s="0"/>
      <c r="CH35" s="0"/>
      <c r="CI35" s="0"/>
      <c r="CJ35" s="0"/>
      <c r="CK35" s="0"/>
      <c r="CL35" s="0"/>
      <c r="CM35" s="0"/>
      <c r="CN35" s="0"/>
      <c r="CO35" s="0"/>
      <c r="CP35" s="0"/>
      <c r="CQ35" s="0"/>
      <c r="CR35" s="0"/>
      <c r="CS35" s="0"/>
      <c r="CT35" s="0"/>
      <c r="CU35" s="0"/>
      <c r="CV35" s="0"/>
      <c r="CW35" s="0"/>
      <c r="CX35" s="0"/>
      <c r="CY35" s="0"/>
      <c r="CZ35" s="0"/>
      <c r="DA35" s="0"/>
      <c r="DB35" s="0"/>
      <c r="DC35" s="0"/>
      <c r="DD35" s="0"/>
      <c r="DE35" s="0"/>
      <c r="DF35" s="0"/>
      <c r="DG35" s="0"/>
      <c r="DH35" s="0"/>
      <c r="DI35" s="0"/>
      <c r="DJ35" s="0"/>
      <c r="DK35" s="0"/>
      <c r="DL35" s="0"/>
      <c r="DM35" s="0"/>
      <c r="DN35" s="0"/>
      <c r="DO35" s="0"/>
      <c r="DP35" s="0"/>
      <c r="DQ35" s="0"/>
      <c r="DR35" s="0"/>
      <c r="DS35" s="0"/>
      <c r="DT35" s="0"/>
      <c r="DU35" s="0"/>
      <c r="DV35" s="0"/>
      <c r="DW35" s="0"/>
      <c r="DX35" s="0"/>
      <c r="DY35" s="0"/>
      <c r="DZ35" s="0"/>
      <c r="EA35" s="0"/>
      <c r="EB35" s="0"/>
      <c r="EC35" s="0"/>
      <c r="ED35" s="0"/>
      <c r="EE35" s="0"/>
      <c r="EF35" s="0"/>
      <c r="EG35" s="0"/>
      <c r="EH35" s="0"/>
      <c r="EI35" s="0"/>
      <c r="EJ35" s="0"/>
      <c r="EK35" s="0"/>
      <c r="EL35" s="0"/>
      <c r="EM35" s="0"/>
      <c r="EN35" s="0"/>
      <c r="EO35" s="0"/>
      <c r="EP35" s="0"/>
      <c r="EQ35" s="0"/>
      <c r="ER35" s="0"/>
      <c r="ES35" s="0"/>
      <c r="ET35" s="0"/>
      <c r="EU35" s="0"/>
      <c r="EV35" s="0"/>
      <c r="EW35" s="0"/>
      <c r="EX35" s="0"/>
      <c r="EY35" s="0"/>
      <c r="EZ35" s="0"/>
      <c r="FA35" s="0"/>
      <c r="FB35" s="0"/>
      <c r="FC35" s="0"/>
      <c r="FD35" s="0"/>
      <c r="FE35" s="0"/>
      <c r="FF35" s="0"/>
      <c r="FG35" s="0"/>
      <c r="FH35" s="0"/>
      <c r="FI35" s="0"/>
      <c r="FJ35" s="0"/>
      <c r="FK35" s="0"/>
      <c r="FL35" s="0"/>
      <c r="FM35" s="0"/>
      <c r="FN35" s="0"/>
      <c r="FO35" s="0"/>
      <c r="FP35" s="0"/>
      <c r="FQ35" s="0"/>
      <c r="FR35" s="0"/>
      <c r="FS35" s="0"/>
      <c r="FT35" s="0"/>
      <c r="FU35" s="0"/>
      <c r="FV35" s="0"/>
      <c r="FW35" s="0"/>
      <c r="FX35" s="0"/>
      <c r="FY35" s="0"/>
      <c r="FZ35" s="0"/>
      <c r="GA35" s="0"/>
      <c r="GB35" s="0"/>
      <c r="GC35" s="0"/>
      <c r="GD35" s="0"/>
      <c r="GE35" s="0"/>
      <c r="GF35" s="0"/>
      <c r="GG35" s="0"/>
      <c r="GH35" s="0"/>
      <c r="GI35" s="0"/>
      <c r="GJ35" s="0"/>
      <c r="GK35" s="0"/>
      <c r="GL35" s="0"/>
      <c r="GM35" s="0"/>
      <c r="GN35" s="0"/>
      <c r="GO35" s="0"/>
      <c r="GP35" s="0"/>
      <c r="GQ35" s="0"/>
      <c r="GR35" s="0"/>
      <c r="GS35" s="0"/>
      <c r="GT35" s="0"/>
      <c r="GU35" s="0"/>
      <c r="GV35" s="0"/>
      <c r="GW35" s="0"/>
      <c r="GX35" s="0"/>
      <c r="GY35" s="0"/>
      <c r="GZ35" s="0"/>
      <c r="HA35" s="0"/>
      <c r="HB35" s="0"/>
      <c r="HC35" s="0"/>
      <c r="HD35" s="0"/>
      <c r="HE35" s="0"/>
      <c r="HF35" s="0"/>
      <c r="HG35" s="0"/>
      <c r="HH35" s="0"/>
      <c r="HI35" s="0"/>
      <c r="HJ35" s="0"/>
      <c r="HK35" s="0"/>
      <c r="HL35" s="0"/>
      <c r="HM35" s="0"/>
      <c r="HN35" s="0"/>
      <c r="HO35" s="0"/>
      <c r="HP35" s="0"/>
      <c r="HQ35" s="0"/>
      <c r="HR35" s="0"/>
      <c r="HS35" s="0"/>
      <c r="HT35" s="0"/>
      <c r="HU35" s="0"/>
      <c r="HV35" s="0"/>
      <c r="HW35" s="0"/>
      <c r="HX35" s="0"/>
      <c r="HY35" s="0"/>
      <c r="HZ35" s="0"/>
      <c r="IA35" s="0"/>
      <c r="IB35" s="0"/>
      <c r="IC35" s="0"/>
      <c r="ID35" s="0"/>
      <c r="IE35" s="0"/>
      <c r="IF35" s="0"/>
      <c r="IG35" s="0"/>
      <c r="IH35" s="0"/>
      <c r="II35" s="0"/>
      <c r="IJ35" s="0"/>
      <c r="IK35" s="0"/>
      <c r="IL35" s="0"/>
      <c r="IM35" s="0"/>
      <c r="IN35" s="0"/>
      <c r="IO35" s="0"/>
      <c r="IP35" s="0"/>
      <c r="IQ35" s="0"/>
      <c r="IR35" s="0"/>
      <c r="IS35" s="0"/>
      <c r="IT35" s="0"/>
      <c r="IU35" s="0"/>
      <c r="IV35" s="0"/>
      <c r="IW35" s="0"/>
    </row>
    <row r="36" customFormat="false" ht="11.1" hidden="false" customHeight="true" outlineLevel="0" collapsed="false">
      <c r="A36" s="58" t="n">
        <v>27</v>
      </c>
      <c r="B36" s="73" t="n">
        <v>6917.79</v>
      </c>
      <c r="C36" s="52" t="n">
        <v>354103</v>
      </c>
      <c r="D36" s="57" t="n">
        <f aca="false">C36-C35</f>
        <v>-467</v>
      </c>
      <c r="E36" s="52" t="n">
        <f aca="false">C36-152000</f>
        <v>202103</v>
      </c>
      <c r="F36" s="51" t="n">
        <f aca="false">D36/$D$2</f>
        <v>-235.442399798336</v>
      </c>
      <c r="G36" s="51" t="n">
        <v>369</v>
      </c>
      <c r="H36" s="53" t="n">
        <v>0</v>
      </c>
      <c r="I36" s="51" t="n">
        <f aca="false">G36+H36</f>
        <v>369</v>
      </c>
      <c r="J36" s="81" t="n">
        <f aca="false">IF(L36&gt;0,L36,0)</f>
        <v>0</v>
      </c>
      <c r="K36" s="51" t="n">
        <f aca="false">I36+J36</f>
        <v>369</v>
      </c>
      <c r="L36" s="51" t="n">
        <f aca="false">F36-(I36-W36)</f>
        <v>-124.442399798336</v>
      </c>
      <c r="M36" s="51" t="n">
        <v>103</v>
      </c>
      <c r="N36" s="100" t="n">
        <v>0</v>
      </c>
      <c r="O36" s="100" t="n">
        <v>0</v>
      </c>
      <c r="P36" s="6" t="n">
        <f aca="false">M36-(N36+O36)</f>
        <v>103</v>
      </c>
      <c r="Q36" s="51" t="n">
        <v>133</v>
      </c>
      <c r="R36" s="51" t="n">
        <v>65</v>
      </c>
      <c r="S36" s="51" t="n">
        <f aca="false">SUM(P36:R36)</f>
        <v>301</v>
      </c>
      <c r="T36" s="52" t="n">
        <f aca="false">(I36-S36)+T35</f>
        <v>1363</v>
      </c>
      <c r="U36" s="51" t="n">
        <v>0</v>
      </c>
      <c r="V36" s="51" t="n">
        <v>179</v>
      </c>
      <c r="W36" s="6" t="n">
        <f aca="false">N36+O36+S36+U36+V36</f>
        <v>480</v>
      </c>
      <c r="X36" s="51" t="n">
        <f aca="false">IF(L36&lt;0,L36*-1,0)</f>
        <v>124.442399798336</v>
      </c>
      <c r="Y36" s="51" t="n">
        <f aca="false">W36+X36</f>
        <v>604.442399798336</v>
      </c>
      <c r="Z36" s="56" t="n">
        <v>0</v>
      </c>
      <c r="AA36" s="57" t="n">
        <v>72</v>
      </c>
      <c r="AB36" s="57" t="n">
        <v>44</v>
      </c>
      <c r="AC36" s="58" t="n">
        <v>27</v>
      </c>
      <c r="AD36" s="92" t="n">
        <f aca="false">IF(I36&gt;S36,I36-S36,I36-S36)</f>
        <v>68</v>
      </c>
      <c r="AE36" s="12"/>
      <c r="AF36" s="0"/>
      <c r="AG36" s="6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/>
      <c r="BE36" s="0"/>
      <c r="BF36" s="0"/>
      <c r="BG36" s="0"/>
      <c r="BH36" s="0"/>
      <c r="BI36" s="0"/>
      <c r="BJ36" s="0"/>
      <c r="BK36" s="0"/>
      <c r="BL36" s="0"/>
      <c r="BM36" s="0"/>
      <c r="BN36" s="0"/>
      <c r="BO36" s="0"/>
      <c r="BP36" s="0"/>
      <c r="BQ36" s="0"/>
      <c r="BR36" s="0"/>
      <c r="BS36" s="0"/>
      <c r="BT36" s="0"/>
      <c r="BU36" s="0"/>
      <c r="BV36" s="0"/>
      <c r="BW36" s="0"/>
      <c r="BX36" s="0"/>
      <c r="BY36" s="0"/>
      <c r="BZ36" s="0"/>
      <c r="CA36" s="0"/>
      <c r="CB36" s="0"/>
      <c r="CC36" s="0"/>
      <c r="CD36" s="0"/>
      <c r="CE36" s="0"/>
      <c r="CF36" s="0"/>
      <c r="CG36" s="0"/>
      <c r="CH36" s="0"/>
      <c r="CI36" s="0"/>
      <c r="CJ36" s="0"/>
      <c r="CK36" s="0"/>
      <c r="CL36" s="0"/>
      <c r="CM36" s="0"/>
      <c r="CN36" s="0"/>
      <c r="CO36" s="0"/>
      <c r="CP36" s="0"/>
      <c r="CQ36" s="0"/>
      <c r="CR36" s="0"/>
      <c r="CS36" s="0"/>
      <c r="CT36" s="0"/>
      <c r="CU36" s="0"/>
      <c r="CV36" s="0"/>
      <c r="CW36" s="0"/>
      <c r="CX36" s="0"/>
      <c r="CY36" s="0"/>
      <c r="CZ36" s="0"/>
      <c r="DA36" s="0"/>
      <c r="DB36" s="0"/>
      <c r="DC36" s="0"/>
      <c r="DD36" s="0"/>
      <c r="DE36" s="0"/>
      <c r="DF36" s="0"/>
      <c r="DG36" s="0"/>
      <c r="DH36" s="0"/>
      <c r="DI36" s="0"/>
      <c r="DJ36" s="0"/>
      <c r="DK36" s="0"/>
      <c r="DL36" s="0"/>
      <c r="DM36" s="0"/>
      <c r="DN36" s="0"/>
      <c r="DO36" s="0"/>
      <c r="DP36" s="0"/>
      <c r="DQ36" s="0"/>
      <c r="DR36" s="0"/>
      <c r="DS36" s="0"/>
      <c r="DT36" s="0"/>
      <c r="DU36" s="0"/>
      <c r="DV36" s="0"/>
      <c r="DW36" s="0"/>
      <c r="DX36" s="0"/>
      <c r="DY36" s="0"/>
      <c r="DZ36" s="0"/>
      <c r="EA36" s="0"/>
      <c r="EB36" s="0"/>
      <c r="EC36" s="0"/>
      <c r="ED36" s="0"/>
      <c r="EE36" s="0"/>
      <c r="EF36" s="0"/>
      <c r="EG36" s="0"/>
      <c r="EH36" s="0"/>
      <c r="EI36" s="0"/>
      <c r="EJ36" s="0"/>
      <c r="EK36" s="0"/>
      <c r="EL36" s="0"/>
      <c r="EM36" s="0"/>
      <c r="EN36" s="0"/>
      <c r="EO36" s="0"/>
      <c r="EP36" s="0"/>
      <c r="EQ36" s="0"/>
      <c r="ER36" s="0"/>
      <c r="ES36" s="0"/>
      <c r="ET36" s="0"/>
      <c r="EU36" s="0"/>
      <c r="EV36" s="0"/>
      <c r="EW36" s="0"/>
      <c r="EX36" s="0"/>
      <c r="EY36" s="0"/>
      <c r="EZ36" s="0"/>
      <c r="FA36" s="0"/>
      <c r="FB36" s="0"/>
      <c r="FC36" s="0"/>
      <c r="FD36" s="0"/>
      <c r="FE36" s="0"/>
      <c r="FF36" s="0"/>
      <c r="FG36" s="0"/>
      <c r="FH36" s="0"/>
      <c r="FI36" s="0"/>
      <c r="FJ36" s="0"/>
      <c r="FK36" s="0"/>
      <c r="FL36" s="0"/>
      <c r="FM36" s="0"/>
      <c r="FN36" s="0"/>
      <c r="FO36" s="0"/>
      <c r="FP36" s="0"/>
      <c r="FQ36" s="0"/>
      <c r="FR36" s="0"/>
      <c r="FS36" s="0"/>
      <c r="FT36" s="0"/>
      <c r="FU36" s="0"/>
      <c r="FV36" s="0"/>
      <c r="FW36" s="0"/>
      <c r="FX36" s="0"/>
      <c r="FY36" s="0"/>
      <c r="FZ36" s="0"/>
      <c r="GA36" s="0"/>
      <c r="GB36" s="0"/>
      <c r="GC36" s="0"/>
      <c r="GD36" s="0"/>
      <c r="GE36" s="0"/>
      <c r="GF36" s="0"/>
      <c r="GG36" s="0"/>
      <c r="GH36" s="0"/>
      <c r="GI36" s="0"/>
      <c r="GJ36" s="0"/>
      <c r="GK36" s="0"/>
      <c r="GL36" s="0"/>
      <c r="GM36" s="0"/>
      <c r="GN36" s="0"/>
      <c r="GO36" s="0"/>
      <c r="GP36" s="0"/>
      <c r="GQ36" s="0"/>
      <c r="GR36" s="0"/>
      <c r="GS36" s="0"/>
      <c r="GT36" s="0"/>
      <c r="GU36" s="0"/>
      <c r="GV36" s="0"/>
      <c r="GW36" s="0"/>
      <c r="GX36" s="0"/>
      <c r="GY36" s="0"/>
      <c r="GZ36" s="0"/>
      <c r="HA36" s="0"/>
      <c r="HB36" s="0"/>
      <c r="HC36" s="0"/>
      <c r="HD36" s="0"/>
      <c r="HE36" s="0"/>
      <c r="HF36" s="0"/>
      <c r="HG36" s="0"/>
      <c r="HH36" s="0"/>
      <c r="HI36" s="0"/>
      <c r="HJ36" s="0"/>
      <c r="HK36" s="0"/>
      <c r="HL36" s="0"/>
      <c r="HM36" s="0"/>
      <c r="HN36" s="0"/>
      <c r="HO36" s="0"/>
      <c r="HP36" s="0"/>
      <c r="HQ36" s="0"/>
      <c r="HR36" s="0"/>
      <c r="HS36" s="0"/>
      <c r="HT36" s="0"/>
      <c r="HU36" s="0"/>
      <c r="HV36" s="0"/>
      <c r="HW36" s="0"/>
      <c r="HX36" s="0"/>
      <c r="HY36" s="0"/>
      <c r="HZ36" s="0"/>
      <c r="IA36" s="0"/>
      <c r="IB36" s="0"/>
      <c r="IC36" s="0"/>
      <c r="ID36" s="0"/>
      <c r="IE36" s="0"/>
      <c r="IF36" s="0"/>
      <c r="IG36" s="0"/>
      <c r="IH36" s="0"/>
      <c r="II36" s="0"/>
      <c r="IJ36" s="0"/>
      <c r="IK36" s="0"/>
      <c r="IL36" s="0"/>
      <c r="IM36" s="0"/>
      <c r="IN36" s="0"/>
      <c r="IO36" s="0"/>
      <c r="IP36" s="0"/>
      <c r="IQ36" s="0"/>
      <c r="IR36" s="0"/>
      <c r="IS36" s="0"/>
      <c r="IT36" s="0"/>
      <c r="IU36" s="0"/>
      <c r="IV36" s="0"/>
      <c r="IW36" s="0"/>
    </row>
    <row r="37" customFormat="false" ht="11.1" hidden="false" customHeight="true" outlineLevel="0" collapsed="false">
      <c r="A37" s="176" t="n">
        <v>28</v>
      </c>
      <c r="B37" s="116" t="n">
        <v>6917.7</v>
      </c>
      <c r="C37" s="117" t="n">
        <v>353772</v>
      </c>
      <c r="D37" s="171" t="n">
        <f aca="false">C37-C36</f>
        <v>-331</v>
      </c>
      <c r="E37" s="117" t="n">
        <f aca="false">C37-152000</f>
        <v>201772</v>
      </c>
      <c r="F37" s="101" t="n">
        <f aca="false">D37/$D$2</f>
        <v>-166.876733047643</v>
      </c>
      <c r="G37" s="101" t="n">
        <v>294</v>
      </c>
      <c r="H37" s="177" t="n">
        <v>0</v>
      </c>
      <c r="I37" s="101" t="n">
        <f aca="false">G37+H37</f>
        <v>294</v>
      </c>
      <c r="J37" s="178" t="n">
        <f aca="false">IF(L37&gt;0,L37,0)</f>
        <v>35.1232669523569</v>
      </c>
      <c r="K37" s="101" t="n">
        <f aca="false">I37+J37</f>
        <v>329.123266952357</v>
      </c>
      <c r="L37" s="101" t="n">
        <f aca="false">F37-(I37-W37)</f>
        <v>35.1232669523569</v>
      </c>
      <c r="M37" s="101" t="n">
        <v>108</v>
      </c>
      <c r="N37" s="100" t="n">
        <v>0</v>
      </c>
      <c r="O37" s="100" t="n">
        <v>0</v>
      </c>
      <c r="P37" s="6" t="n">
        <f aca="false">M37-(N37+O37)</f>
        <v>108</v>
      </c>
      <c r="Q37" s="101" t="n">
        <v>132</v>
      </c>
      <c r="R37" s="101" t="n">
        <v>65</v>
      </c>
      <c r="S37" s="101" t="n">
        <f aca="false">SUM(P37:R37)</f>
        <v>305</v>
      </c>
      <c r="T37" s="117" t="n">
        <f aca="false">(I37-S37)+T36</f>
        <v>1352</v>
      </c>
      <c r="U37" s="101" t="n">
        <v>15</v>
      </c>
      <c r="V37" s="51" t="n">
        <v>176</v>
      </c>
      <c r="W37" s="6" t="n">
        <f aca="false">N37+O37+S37+U37+V37</f>
        <v>496</v>
      </c>
      <c r="X37" s="101" t="n">
        <f aca="false">IF(L37&lt;0,L37*-1,0)</f>
        <v>0</v>
      </c>
      <c r="Y37" s="101" t="n">
        <f aca="false">W37+X37</f>
        <v>496</v>
      </c>
      <c r="Z37" s="97" t="n">
        <v>0</v>
      </c>
      <c r="AA37" s="171" t="n">
        <v>76</v>
      </c>
      <c r="AB37" s="171" t="n">
        <v>45</v>
      </c>
      <c r="AC37" s="176" t="n">
        <v>28</v>
      </c>
      <c r="AD37" s="92" t="n">
        <f aca="false">IF(I37&gt;S37,I37-S37,I37-S37)</f>
        <v>-11</v>
      </c>
      <c r="AE37" s="12"/>
      <c r="AF37" s="0"/>
      <c r="AG37" s="6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  <c r="AU37" s="0"/>
      <c r="AV37" s="0"/>
      <c r="AW37" s="0"/>
      <c r="AX37" s="0"/>
      <c r="AY37" s="0"/>
      <c r="AZ37" s="0"/>
      <c r="BA37" s="0"/>
      <c r="BB37" s="0"/>
      <c r="BC37" s="0"/>
      <c r="BD37" s="0"/>
      <c r="BE37" s="0"/>
      <c r="BF37" s="0"/>
      <c r="BG37" s="0"/>
      <c r="BH37" s="0"/>
      <c r="BI37" s="0"/>
      <c r="BJ37" s="0"/>
      <c r="BK37" s="0"/>
      <c r="BL37" s="0"/>
      <c r="BM37" s="0"/>
      <c r="BN37" s="0"/>
      <c r="BO37" s="0"/>
      <c r="BP37" s="0"/>
      <c r="BQ37" s="0"/>
      <c r="BR37" s="0"/>
      <c r="BS37" s="0"/>
      <c r="BT37" s="0"/>
      <c r="BU37" s="0"/>
      <c r="BV37" s="0"/>
      <c r="BW37" s="0"/>
      <c r="BX37" s="0"/>
      <c r="BY37" s="0"/>
      <c r="BZ37" s="0"/>
      <c r="CA37" s="0"/>
      <c r="CB37" s="0"/>
      <c r="CC37" s="0"/>
      <c r="CD37" s="0"/>
      <c r="CE37" s="0"/>
      <c r="CF37" s="0"/>
      <c r="CG37" s="0"/>
      <c r="CH37" s="0"/>
      <c r="CI37" s="0"/>
      <c r="CJ37" s="0"/>
      <c r="CK37" s="0"/>
      <c r="CL37" s="0"/>
      <c r="CM37" s="0"/>
      <c r="CN37" s="0"/>
      <c r="CO37" s="0"/>
      <c r="CP37" s="0"/>
      <c r="CQ37" s="0"/>
      <c r="CR37" s="0"/>
      <c r="CS37" s="0"/>
      <c r="CT37" s="0"/>
      <c r="CU37" s="0"/>
      <c r="CV37" s="0"/>
      <c r="CW37" s="0"/>
      <c r="CX37" s="0"/>
      <c r="CY37" s="0"/>
      <c r="CZ37" s="0"/>
      <c r="DA37" s="0"/>
      <c r="DB37" s="0"/>
      <c r="DC37" s="0"/>
      <c r="DD37" s="0"/>
      <c r="DE37" s="0"/>
      <c r="DF37" s="0"/>
      <c r="DG37" s="0"/>
      <c r="DH37" s="0"/>
      <c r="DI37" s="0"/>
      <c r="DJ37" s="0"/>
      <c r="DK37" s="0"/>
      <c r="DL37" s="0"/>
      <c r="DM37" s="0"/>
      <c r="DN37" s="0"/>
      <c r="DO37" s="0"/>
      <c r="DP37" s="0"/>
      <c r="DQ37" s="0"/>
      <c r="DR37" s="0"/>
      <c r="DS37" s="0"/>
      <c r="DT37" s="0"/>
      <c r="DU37" s="0"/>
      <c r="DV37" s="0"/>
      <c r="DW37" s="0"/>
      <c r="DX37" s="0"/>
      <c r="DY37" s="0"/>
      <c r="DZ37" s="0"/>
      <c r="EA37" s="0"/>
      <c r="EB37" s="0"/>
      <c r="EC37" s="0"/>
      <c r="ED37" s="0"/>
      <c r="EE37" s="0"/>
      <c r="EF37" s="0"/>
      <c r="EG37" s="0"/>
      <c r="EH37" s="0"/>
      <c r="EI37" s="0"/>
      <c r="EJ37" s="0"/>
      <c r="EK37" s="0"/>
      <c r="EL37" s="0"/>
      <c r="EM37" s="0"/>
      <c r="EN37" s="0"/>
      <c r="EO37" s="0"/>
      <c r="EP37" s="0"/>
      <c r="EQ37" s="0"/>
      <c r="ER37" s="0"/>
      <c r="ES37" s="0"/>
      <c r="ET37" s="0"/>
      <c r="EU37" s="0"/>
      <c r="EV37" s="0"/>
      <c r="EW37" s="0"/>
      <c r="EX37" s="0"/>
      <c r="EY37" s="0"/>
      <c r="EZ37" s="0"/>
      <c r="FA37" s="0"/>
      <c r="FB37" s="0"/>
      <c r="FC37" s="0"/>
      <c r="FD37" s="0"/>
      <c r="FE37" s="0"/>
      <c r="FF37" s="0"/>
      <c r="FG37" s="0"/>
      <c r="FH37" s="0"/>
      <c r="FI37" s="0"/>
      <c r="FJ37" s="0"/>
      <c r="FK37" s="0"/>
      <c r="FL37" s="0"/>
      <c r="FM37" s="0"/>
      <c r="FN37" s="0"/>
      <c r="FO37" s="0"/>
      <c r="FP37" s="0"/>
      <c r="FQ37" s="0"/>
      <c r="FR37" s="0"/>
      <c r="FS37" s="0"/>
      <c r="FT37" s="0"/>
      <c r="FU37" s="0"/>
      <c r="FV37" s="0"/>
      <c r="FW37" s="0"/>
      <c r="FX37" s="0"/>
      <c r="FY37" s="0"/>
      <c r="FZ37" s="0"/>
      <c r="GA37" s="0"/>
      <c r="GB37" s="0"/>
      <c r="GC37" s="0"/>
      <c r="GD37" s="0"/>
      <c r="GE37" s="0"/>
      <c r="GF37" s="0"/>
      <c r="GG37" s="0"/>
      <c r="GH37" s="0"/>
      <c r="GI37" s="0"/>
      <c r="GJ37" s="0"/>
      <c r="GK37" s="0"/>
      <c r="GL37" s="0"/>
      <c r="GM37" s="0"/>
      <c r="GN37" s="0"/>
      <c r="GO37" s="0"/>
      <c r="GP37" s="0"/>
      <c r="GQ37" s="0"/>
      <c r="GR37" s="0"/>
      <c r="GS37" s="0"/>
      <c r="GT37" s="0"/>
      <c r="GU37" s="0"/>
      <c r="GV37" s="0"/>
      <c r="GW37" s="0"/>
      <c r="GX37" s="0"/>
      <c r="GY37" s="0"/>
      <c r="GZ37" s="0"/>
      <c r="HA37" s="0"/>
      <c r="HB37" s="0"/>
      <c r="HC37" s="0"/>
      <c r="HD37" s="0"/>
      <c r="HE37" s="0"/>
      <c r="HF37" s="0"/>
      <c r="HG37" s="0"/>
      <c r="HH37" s="0"/>
      <c r="HI37" s="0"/>
      <c r="HJ37" s="0"/>
      <c r="HK37" s="0"/>
      <c r="HL37" s="0"/>
      <c r="HM37" s="0"/>
      <c r="HN37" s="0"/>
      <c r="HO37" s="0"/>
      <c r="HP37" s="0"/>
      <c r="HQ37" s="0"/>
      <c r="HR37" s="0"/>
      <c r="HS37" s="0"/>
      <c r="HT37" s="0"/>
      <c r="HU37" s="0"/>
      <c r="HV37" s="0"/>
      <c r="HW37" s="0"/>
      <c r="HX37" s="0"/>
      <c r="HY37" s="0"/>
      <c r="HZ37" s="0"/>
      <c r="IA37" s="0"/>
      <c r="IB37" s="0"/>
      <c r="IC37" s="0"/>
      <c r="ID37" s="0"/>
      <c r="IE37" s="0"/>
      <c r="IF37" s="0"/>
      <c r="IG37" s="0"/>
      <c r="IH37" s="0"/>
      <c r="II37" s="0"/>
      <c r="IJ37" s="0"/>
      <c r="IK37" s="0"/>
      <c r="IL37" s="0"/>
      <c r="IM37" s="0"/>
      <c r="IN37" s="0"/>
      <c r="IO37" s="0"/>
      <c r="IP37" s="0"/>
      <c r="IQ37" s="0"/>
      <c r="IR37" s="0"/>
      <c r="IS37" s="0"/>
      <c r="IT37" s="0"/>
      <c r="IU37" s="0"/>
      <c r="IV37" s="0"/>
      <c r="IW37" s="0"/>
    </row>
    <row r="38" customFormat="false" ht="11.1" hidden="false" customHeight="true" outlineLevel="0" collapsed="false">
      <c r="A38" s="176" t="n">
        <v>29</v>
      </c>
      <c r="B38" s="116" t="n">
        <v>6917.58</v>
      </c>
      <c r="C38" s="117" t="n">
        <v>353213</v>
      </c>
      <c r="D38" s="171" t="n">
        <f aca="false">C38-C37</f>
        <v>-559</v>
      </c>
      <c r="E38" s="117" t="n">
        <f aca="false">C38-152000</f>
        <v>201213</v>
      </c>
      <c r="F38" s="101" t="n">
        <f aca="false">D38/$D$2</f>
        <v>-281.825056717923</v>
      </c>
      <c r="G38" s="101" t="n">
        <v>254</v>
      </c>
      <c r="H38" s="177" t="n">
        <v>0</v>
      </c>
      <c r="I38" s="101" t="n">
        <f aca="false">G38+H38</f>
        <v>254</v>
      </c>
      <c r="J38" s="178" t="n">
        <f aca="false">IF(L38&gt;0,L38,0)</f>
        <v>0</v>
      </c>
      <c r="K38" s="101" t="n">
        <f aca="false">I38+J38</f>
        <v>254</v>
      </c>
      <c r="L38" s="101" t="n">
        <f aca="false">F38-(I38-W38)</f>
        <v>-55.8250567179229</v>
      </c>
      <c r="M38" s="101" t="n">
        <v>107</v>
      </c>
      <c r="N38" s="100" t="n">
        <v>0</v>
      </c>
      <c r="O38" s="100" t="n">
        <v>0</v>
      </c>
      <c r="P38" s="6" t="n">
        <f aca="false">M38-(N38+O38)</f>
        <v>107</v>
      </c>
      <c r="Q38" s="101" t="n">
        <v>132</v>
      </c>
      <c r="R38" s="101" t="n">
        <v>65</v>
      </c>
      <c r="S38" s="101" t="n">
        <f aca="false">SUM(P38:R38)</f>
        <v>304</v>
      </c>
      <c r="T38" s="117" t="n">
        <f aca="false">(I38-S38)+T37</f>
        <v>1302</v>
      </c>
      <c r="U38" s="101" t="n">
        <v>0</v>
      </c>
      <c r="V38" s="51" t="n">
        <v>176</v>
      </c>
      <c r="W38" s="6" t="n">
        <f aca="false">N38+O38+S38+U38+V38</f>
        <v>480</v>
      </c>
      <c r="X38" s="101" t="n">
        <f aca="false">IF(L38&lt;0,L38*-1,0)</f>
        <v>55.8250567179229</v>
      </c>
      <c r="Y38" s="101" t="n">
        <f aca="false">W38+X38</f>
        <v>535.825056717923</v>
      </c>
      <c r="Z38" s="97" t="n">
        <v>0</v>
      </c>
      <c r="AA38" s="171" t="n">
        <v>78</v>
      </c>
      <c r="AB38" s="171" t="n">
        <v>49</v>
      </c>
      <c r="AC38" s="176" t="n">
        <v>29</v>
      </c>
      <c r="AD38" s="92" t="n">
        <f aca="false">IF(I38&gt;S38,I38-S38,I38-S38)</f>
        <v>-50</v>
      </c>
      <c r="AE38" s="12"/>
      <c r="AF38" s="0"/>
      <c r="AG38" s="6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/>
      <c r="BE38" s="0"/>
      <c r="BF38" s="0"/>
      <c r="BG38" s="0"/>
      <c r="BH38" s="0"/>
      <c r="BI38" s="0"/>
      <c r="BJ38" s="0"/>
      <c r="BK38" s="0"/>
      <c r="BL38" s="0"/>
      <c r="BM38" s="0"/>
      <c r="BN38" s="0"/>
      <c r="BO38" s="0"/>
      <c r="BP38" s="0"/>
      <c r="BQ38" s="0"/>
      <c r="BR38" s="0"/>
      <c r="BS38" s="0"/>
      <c r="BT38" s="0"/>
      <c r="BU38" s="0"/>
      <c r="BV38" s="0"/>
      <c r="BW38" s="0"/>
      <c r="BX38" s="0"/>
      <c r="BY38" s="0"/>
      <c r="BZ38" s="0"/>
      <c r="CA38" s="0"/>
      <c r="CB38" s="0"/>
      <c r="CC38" s="0"/>
      <c r="CD38" s="0"/>
      <c r="CE38" s="0"/>
      <c r="CF38" s="0"/>
      <c r="CG38" s="0"/>
      <c r="CH38" s="0"/>
      <c r="CI38" s="0"/>
      <c r="CJ38" s="0"/>
      <c r="CK38" s="0"/>
      <c r="CL38" s="0"/>
      <c r="CM38" s="0"/>
      <c r="CN38" s="0"/>
      <c r="CO38" s="0"/>
      <c r="CP38" s="0"/>
      <c r="CQ38" s="0"/>
      <c r="CR38" s="0"/>
      <c r="CS38" s="0"/>
      <c r="CT38" s="0"/>
      <c r="CU38" s="0"/>
      <c r="CV38" s="0"/>
      <c r="CW38" s="0"/>
      <c r="CX38" s="0"/>
      <c r="CY38" s="0"/>
      <c r="CZ38" s="0"/>
      <c r="DA38" s="0"/>
      <c r="DB38" s="0"/>
      <c r="DC38" s="0"/>
      <c r="DD38" s="0"/>
      <c r="DE38" s="0"/>
      <c r="DF38" s="0"/>
      <c r="DG38" s="0"/>
      <c r="DH38" s="0"/>
      <c r="DI38" s="0"/>
      <c r="DJ38" s="0"/>
      <c r="DK38" s="0"/>
      <c r="DL38" s="0"/>
      <c r="DM38" s="0"/>
      <c r="DN38" s="0"/>
      <c r="DO38" s="0"/>
      <c r="DP38" s="0"/>
      <c r="DQ38" s="0"/>
      <c r="DR38" s="0"/>
      <c r="DS38" s="0"/>
      <c r="DT38" s="0"/>
      <c r="DU38" s="0"/>
      <c r="DV38" s="0"/>
      <c r="DW38" s="0"/>
      <c r="DX38" s="0"/>
      <c r="DY38" s="0"/>
      <c r="DZ38" s="0"/>
      <c r="EA38" s="0"/>
      <c r="EB38" s="0"/>
      <c r="EC38" s="0"/>
      <c r="ED38" s="0"/>
      <c r="EE38" s="0"/>
      <c r="EF38" s="0"/>
      <c r="EG38" s="0"/>
      <c r="EH38" s="0"/>
      <c r="EI38" s="0"/>
      <c r="EJ38" s="0"/>
      <c r="EK38" s="0"/>
      <c r="EL38" s="0"/>
      <c r="EM38" s="0"/>
      <c r="EN38" s="0"/>
      <c r="EO38" s="0"/>
      <c r="EP38" s="0"/>
      <c r="EQ38" s="0"/>
      <c r="ER38" s="0"/>
      <c r="ES38" s="0"/>
      <c r="ET38" s="0"/>
      <c r="EU38" s="0"/>
      <c r="EV38" s="0"/>
      <c r="EW38" s="0"/>
      <c r="EX38" s="0"/>
      <c r="EY38" s="0"/>
      <c r="EZ38" s="0"/>
      <c r="FA38" s="0"/>
      <c r="FB38" s="0"/>
      <c r="FC38" s="0"/>
      <c r="FD38" s="0"/>
      <c r="FE38" s="0"/>
      <c r="FF38" s="0"/>
      <c r="FG38" s="0"/>
      <c r="FH38" s="0"/>
      <c r="FI38" s="0"/>
      <c r="FJ38" s="0"/>
      <c r="FK38" s="0"/>
      <c r="FL38" s="0"/>
      <c r="FM38" s="0"/>
      <c r="FN38" s="0"/>
      <c r="FO38" s="0"/>
      <c r="FP38" s="0"/>
      <c r="FQ38" s="0"/>
      <c r="FR38" s="0"/>
      <c r="FS38" s="0"/>
      <c r="FT38" s="0"/>
      <c r="FU38" s="0"/>
      <c r="FV38" s="0"/>
      <c r="FW38" s="0"/>
      <c r="FX38" s="0"/>
      <c r="FY38" s="0"/>
      <c r="FZ38" s="0"/>
      <c r="GA38" s="0"/>
      <c r="GB38" s="0"/>
      <c r="GC38" s="0"/>
      <c r="GD38" s="0"/>
      <c r="GE38" s="0"/>
      <c r="GF38" s="0"/>
      <c r="GG38" s="0"/>
      <c r="GH38" s="0"/>
      <c r="GI38" s="0"/>
      <c r="GJ38" s="0"/>
      <c r="GK38" s="0"/>
      <c r="GL38" s="0"/>
      <c r="GM38" s="0"/>
      <c r="GN38" s="0"/>
      <c r="GO38" s="0"/>
      <c r="GP38" s="0"/>
      <c r="GQ38" s="0"/>
      <c r="GR38" s="0"/>
      <c r="GS38" s="0"/>
      <c r="GT38" s="0"/>
      <c r="GU38" s="0"/>
      <c r="GV38" s="0"/>
      <c r="GW38" s="0"/>
      <c r="GX38" s="0"/>
      <c r="GY38" s="0"/>
      <c r="GZ38" s="0"/>
      <c r="HA38" s="0"/>
      <c r="HB38" s="0"/>
      <c r="HC38" s="0"/>
      <c r="HD38" s="0"/>
      <c r="HE38" s="0"/>
      <c r="HF38" s="0"/>
      <c r="HG38" s="0"/>
      <c r="HH38" s="0"/>
      <c r="HI38" s="0"/>
      <c r="HJ38" s="0"/>
      <c r="HK38" s="0"/>
      <c r="HL38" s="0"/>
      <c r="HM38" s="0"/>
      <c r="HN38" s="0"/>
      <c r="HO38" s="0"/>
      <c r="HP38" s="0"/>
      <c r="HQ38" s="0"/>
      <c r="HR38" s="0"/>
      <c r="HS38" s="0"/>
      <c r="HT38" s="0"/>
      <c r="HU38" s="0"/>
      <c r="HV38" s="0"/>
      <c r="HW38" s="0"/>
      <c r="HX38" s="0"/>
      <c r="HY38" s="0"/>
      <c r="HZ38" s="0"/>
      <c r="IA38" s="0"/>
      <c r="IB38" s="0"/>
      <c r="IC38" s="0"/>
      <c r="ID38" s="0"/>
      <c r="IE38" s="0"/>
      <c r="IF38" s="0"/>
      <c r="IG38" s="0"/>
      <c r="IH38" s="0"/>
      <c r="II38" s="0"/>
      <c r="IJ38" s="0"/>
      <c r="IK38" s="0"/>
      <c r="IL38" s="0"/>
      <c r="IM38" s="0"/>
      <c r="IN38" s="0"/>
      <c r="IO38" s="0"/>
      <c r="IP38" s="0"/>
      <c r="IQ38" s="0"/>
      <c r="IR38" s="0"/>
      <c r="IS38" s="0"/>
      <c r="IT38" s="0"/>
      <c r="IU38" s="0"/>
      <c r="IV38" s="0"/>
      <c r="IW38" s="0"/>
    </row>
    <row r="39" customFormat="false" ht="11.1" hidden="false" customHeight="true" outlineLevel="0" collapsed="false">
      <c r="A39" s="176" t="n">
        <v>30</v>
      </c>
      <c r="B39" s="116" t="n">
        <v>6917.42</v>
      </c>
      <c r="C39" s="117" t="n">
        <v>352535</v>
      </c>
      <c r="D39" s="171" t="n">
        <f aca="false">C39-C38</f>
        <v>-678</v>
      </c>
      <c r="E39" s="117" t="n">
        <f aca="false">C39-152000</f>
        <v>200535</v>
      </c>
      <c r="F39" s="101" t="n">
        <f aca="false">D39/$D$2</f>
        <v>-341.820015124779</v>
      </c>
      <c r="G39" s="101" t="n">
        <v>220</v>
      </c>
      <c r="H39" s="177" t="n">
        <v>0</v>
      </c>
      <c r="I39" s="101" t="n">
        <f aca="false">G39+H39</f>
        <v>220</v>
      </c>
      <c r="J39" s="178" t="n">
        <f aca="false">IF(L39&gt;0,L39,0)</f>
        <v>0</v>
      </c>
      <c r="K39" s="101" t="n">
        <f aca="false">I39+J39</f>
        <v>220</v>
      </c>
      <c r="L39" s="101" t="n">
        <f aca="false">F39-(I39-W39)</f>
        <v>-77.8200151247795</v>
      </c>
      <c r="M39" s="101" t="n">
        <v>107</v>
      </c>
      <c r="N39" s="100" t="n">
        <v>0</v>
      </c>
      <c r="O39" s="100" t="n">
        <v>0</v>
      </c>
      <c r="P39" s="6" t="n">
        <f aca="false">M39-(N39+O39)</f>
        <v>107</v>
      </c>
      <c r="Q39" s="101" t="n">
        <v>132</v>
      </c>
      <c r="R39" s="101" t="n">
        <v>65</v>
      </c>
      <c r="S39" s="101" t="n">
        <f aca="false">SUM(P39:R39)</f>
        <v>304</v>
      </c>
      <c r="T39" s="117" t="n">
        <f aca="false">(I39-S39)+T38</f>
        <v>1218</v>
      </c>
      <c r="U39" s="101" t="n">
        <v>0</v>
      </c>
      <c r="V39" s="51" t="n">
        <v>180</v>
      </c>
      <c r="W39" s="6" t="n">
        <f aca="false">N39+O39+S39+U39+V39</f>
        <v>484</v>
      </c>
      <c r="X39" s="101" t="n">
        <f aca="false">IF(L39&lt;0,L39*-1,0)</f>
        <v>77.8200151247795</v>
      </c>
      <c r="Y39" s="101" t="n">
        <f aca="false">W39+X39</f>
        <v>561.820015124779</v>
      </c>
      <c r="Z39" s="97" t="n">
        <v>0</v>
      </c>
      <c r="AA39" s="171" t="n">
        <v>81</v>
      </c>
      <c r="AB39" s="171" t="n">
        <v>51</v>
      </c>
      <c r="AC39" s="176" t="n">
        <v>30</v>
      </c>
      <c r="AD39" s="92" t="n">
        <f aca="false">IF(I39&gt;S39,I39-S39,I39-S39)</f>
        <v>-84</v>
      </c>
      <c r="AE39" s="12"/>
      <c r="AF39" s="0"/>
      <c r="AG39" s="6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/>
      <c r="BE39" s="0"/>
      <c r="BF39" s="0"/>
      <c r="BG39" s="0"/>
      <c r="BH39" s="0"/>
      <c r="BI39" s="0"/>
      <c r="BJ39" s="0"/>
      <c r="BK39" s="0"/>
      <c r="BL39" s="0"/>
      <c r="BM39" s="0"/>
      <c r="BN39" s="0"/>
      <c r="BO39" s="0"/>
      <c r="BP39" s="0"/>
      <c r="BQ39" s="0"/>
      <c r="BR39" s="0"/>
      <c r="BS39" s="0"/>
      <c r="BT39" s="0"/>
      <c r="BU39" s="0"/>
      <c r="BV39" s="0"/>
      <c r="BW39" s="0"/>
      <c r="BX39" s="0"/>
      <c r="BY39" s="0"/>
      <c r="BZ39" s="0"/>
      <c r="CA39" s="0"/>
      <c r="CB39" s="0"/>
      <c r="CC39" s="0"/>
      <c r="CD39" s="0"/>
      <c r="CE39" s="0"/>
      <c r="CF39" s="0"/>
      <c r="CG39" s="0"/>
      <c r="CH39" s="0"/>
      <c r="CI39" s="0"/>
      <c r="CJ39" s="0"/>
      <c r="CK39" s="0"/>
      <c r="CL39" s="0"/>
      <c r="CM39" s="0"/>
      <c r="CN39" s="0"/>
      <c r="CO39" s="0"/>
      <c r="CP39" s="0"/>
      <c r="CQ39" s="0"/>
      <c r="CR39" s="0"/>
      <c r="CS39" s="0"/>
      <c r="CT39" s="0"/>
      <c r="CU39" s="0"/>
      <c r="CV39" s="0"/>
      <c r="CW39" s="0"/>
      <c r="CX39" s="0"/>
      <c r="CY39" s="0"/>
      <c r="CZ39" s="0"/>
      <c r="DA39" s="0"/>
      <c r="DB39" s="0"/>
      <c r="DC39" s="0"/>
      <c r="DD39" s="0"/>
      <c r="DE39" s="0"/>
      <c r="DF39" s="0"/>
      <c r="DG39" s="0"/>
      <c r="DH39" s="0"/>
      <c r="DI39" s="0"/>
      <c r="DJ39" s="0"/>
      <c r="DK39" s="0"/>
      <c r="DL39" s="0"/>
      <c r="DM39" s="0"/>
      <c r="DN39" s="0"/>
      <c r="DO39" s="0"/>
      <c r="DP39" s="0"/>
      <c r="DQ39" s="0"/>
      <c r="DR39" s="0"/>
      <c r="DS39" s="0"/>
      <c r="DT39" s="0"/>
      <c r="DU39" s="0"/>
      <c r="DV39" s="0"/>
      <c r="DW39" s="0"/>
      <c r="DX39" s="0"/>
      <c r="DY39" s="0"/>
      <c r="DZ39" s="0"/>
      <c r="EA39" s="0"/>
      <c r="EB39" s="0"/>
      <c r="EC39" s="0"/>
      <c r="ED39" s="0"/>
      <c r="EE39" s="0"/>
      <c r="EF39" s="0"/>
      <c r="EG39" s="0"/>
      <c r="EH39" s="0"/>
      <c r="EI39" s="0"/>
      <c r="EJ39" s="0"/>
      <c r="EK39" s="0"/>
      <c r="EL39" s="0"/>
      <c r="EM39" s="0"/>
      <c r="EN39" s="0"/>
      <c r="EO39" s="0"/>
      <c r="EP39" s="0"/>
      <c r="EQ39" s="0"/>
      <c r="ER39" s="0"/>
      <c r="ES39" s="0"/>
      <c r="ET39" s="0"/>
      <c r="EU39" s="0"/>
      <c r="EV39" s="0"/>
      <c r="EW39" s="0"/>
      <c r="EX39" s="0"/>
      <c r="EY39" s="0"/>
      <c r="EZ39" s="0"/>
      <c r="FA39" s="0"/>
      <c r="FB39" s="0"/>
      <c r="FC39" s="0"/>
      <c r="FD39" s="0"/>
      <c r="FE39" s="0"/>
      <c r="FF39" s="0"/>
      <c r="FG39" s="0"/>
      <c r="FH39" s="0"/>
      <c r="FI39" s="0"/>
      <c r="FJ39" s="0"/>
      <c r="FK39" s="0"/>
      <c r="FL39" s="0"/>
      <c r="FM39" s="0"/>
      <c r="FN39" s="0"/>
      <c r="FO39" s="0"/>
      <c r="FP39" s="0"/>
      <c r="FQ39" s="0"/>
      <c r="FR39" s="0"/>
      <c r="FS39" s="0"/>
      <c r="FT39" s="0"/>
      <c r="FU39" s="0"/>
      <c r="FV39" s="0"/>
      <c r="FW39" s="0"/>
      <c r="FX39" s="0"/>
      <c r="FY39" s="0"/>
      <c r="FZ39" s="0"/>
      <c r="GA39" s="0"/>
      <c r="GB39" s="0"/>
      <c r="GC39" s="0"/>
      <c r="GD39" s="0"/>
      <c r="GE39" s="0"/>
      <c r="GF39" s="0"/>
      <c r="GG39" s="0"/>
      <c r="GH39" s="0"/>
      <c r="GI39" s="0"/>
      <c r="GJ39" s="0"/>
      <c r="GK39" s="0"/>
      <c r="GL39" s="0"/>
      <c r="GM39" s="0"/>
      <c r="GN39" s="0"/>
      <c r="GO39" s="0"/>
      <c r="GP39" s="0"/>
      <c r="GQ39" s="0"/>
      <c r="GR39" s="0"/>
      <c r="GS39" s="0"/>
      <c r="GT39" s="0"/>
      <c r="GU39" s="0"/>
      <c r="GV39" s="0"/>
      <c r="GW39" s="0"/>
      <c r="GX39" s="0"/>
      <c r="GY39" s="0"/>
      <c r="GZ39" s="0"/>
      <c r="HA39" s="0"/>
      <c r="HB39" s="0"/>
      <c r="HC39" s="0"/>
      <c r="HD39" s="0"/>
      <c r="HE39" s="0"/>
      <c r="HF39" s="0"/>
      <c r="HG39" s="0"/>
      <c r="HH39" s="0"/>
      <c r="HI39" s="0"/>
      <c r="HJ39" s="0"/>
      <c r="HK39" s="0"/>
      <c r="HL39" s="0"/>
      <c r="HM39" s="0"/>
      <c r="HN39" s="0"/>
      <c r="HO39" s="0"/>
      <c r="HP39" s="0"/>
      <c r="HQ39" s="0"/>
      <c r="HR39" s="0"/>
      <c r="HS39" s="0"/>
      <c r="HT39" s="0"/>
      <c r="HU39" s="0"/>
      <c r="HV39" s="0"/>
      <c r="HW39" s="0"/>
      <c r="HX39" s="0"/>
      <c r="HY39" s="0"/>
      <c r="HZ39" s="0"/>
      <c r="IA39" s="0"/>
      <c r="IB39" s="0"/>
      <c r="IC39" s="0"/>
      <c r="ID39" s="0"/>
      <c r="IE39" s="0"/>
      <c r="IF39" s="0"/>
      <c r="IG39" s="0"/>
      <c r="IH39" s="0"/>
      <c r="II39" s="0"/>
      <c r="IJ39" s="0"/>
      <c r="IK39" s="0"/>
      <c r="IL39" s="0"/>
      <c r="IM39" s="0"/>
      <c r="IN39" s="0"/>
      <c r="IO39" s="0"/>
      <c r="IP39" s="0"/>
      <c r="IQ39" s="0"/>
      <c r="IR39" s="0"/>
      <c r="IS39" s="0"/>
      <c r="IT39" s="0"/>
      <c r="IU39" s="0"/>
      <c r="IV39" s="0"/>
      <c r="IW39" s="0"/>
    </row>
    <row r="40" customFormat="false" ht="11.25" hidden="false" customHeight="true" outlineLevel="0" collapsed="false">
      <c r="A40" s="176" t="n">
        <v>31</v>
      </c>
      <c r="B40" s="116" t="n">
        <v>6917.26</v>
      </c>
      <c r="C40" s="117" t="n">
        <v>351856</v>
      </c>
      <c r="D40" s="171" t="n">
        <f aca="false">C40-C39</f>
        <v>-679</v>
      </c>
      <c r="E40" s="117" t="n">
        <f aca="false">C40-152000</f>
        <v>199856</v>
      </c>
      <c r="F40" s="101" t="n">
        <f aca="false">D40/$D$2</f>
        <v>-342.324174439123</v>
      </c>
      <c r="G40" s="101" t="n">
        <v>195</v>
      </c>
      <c r="H40" s="177" t="n">
        <v>0</v>
      </c>
      <c r="I40" s="101" t="n">
        <f aca="false">G40+H40</f>
        <v>195</v>
      </c>
      <c r="J40" s="178" t="n">
        <f aca="false">IF(L40&gt;0,L40,0)</f>
        <v>0</v>
      </c>
      <c r="K40" s="101" t="n">
        <f aca="false">I40+J40</f>
        <v>195</v>
      </c>
      <c r="L40" s="101" t="n">
        <f aca="false">F40-(I40-W40)</f>
        <v>-34.3241744391228</v>
      </c>
      <c r="M40" s="101" t="n">
        <v>107</v>
      </c>
      <c r="N40" s="100" t="n">
        <v>0</v>
      </c>
      <c r="O40" s="101" t="n">
        <v>0</v>
      </c>
      <c r="P40" s="6" t="n">
        <f aca="false">M40-(N40+O40)</f>
        <v>107</v>
      </c>
      <c r="Q40" s="101" t="n">
        <v>131</v>
      </c>
      <c r="R40" s="101" t="n">
        <v>66</v>
      </c>
      <c r="S40" s="101" t="n">
        <f aca="false">SUM(P40:R40)</f>
        <v>304</v>
      </c>
      <c r="T40" s="117" t="n">
        <f aca="false">(I40-S40)+T39</f>
        <v>1109</v>
      </c>
      <c r="U40" s="101" t="n">
        <v>22</v>
      </c>
      <c r="V40" s="51" t="n">
        <v>177</v>
      </c>
      <c r="W40" s="6" t="n">
        <f aca="false">N40+O40+S40+U40+V40</f>
        <v>503</v>
      </c>
      <c r="X40" s="101" t="n">
        <f aca="false">IF(L40&lt;0,L40*-1,0)</f>
        <v>34.3241744391228</v>
      </c>
      <c r="Y40" s="101" t="n">
        <f aca="false">W40+X40</f>
        <v>537.324174439123</v>
      </c>
      <c r="Z40" s="97" t="n">
        <v>0</v>
      </c>
      <c r="AA40" s="171" t="n">
        <v>83</v>
      </c>
      <c r="AB40" s="171" t="n">
        <v>49</v>
      </c>
      <c r="AC40" s="176" t="n">
        <v>31</v>
      </c>
      <c r="AD40" s="92" t="n">
        <f aca="false">IF(I40&gt;S40,I40-S40,I40-S40)</f>
        <v>-109</v>
      </c>
      <c r="AE40" s="104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  <c r="AU40" s="0"/>
      <c r="AV40" s="0"/>
      <c r="AW40" s="0"/>
      <c r="AX40" s="0"/>
      <c r="AY40" s="0"/>
      <c r="AZ40" s="0"/>
      <c r="BA40" s="0"/>
      <c r="BB40" s="0"/>
      <c r="BC40" s="0"/>
      <c r="BD40" s="0"/>
      <c r="BE40" s="0"/>
      <c r="BF40" s="0"/>
      <c r="BG40" s="0"/>
      <c r="BH40" s="0"/>
      <c r="BI40" s="0"/>
      <c r="BJ40" s="0"/>
      <c r="BK40" s="0"/>
      <c r="BL40" s="0"/>
      <c r="BM40" s="0"/>
      <c r="BN40" s="0"/>
      <c r="BO40" s="0"/>
      <c r="BP40" s="0"/>
      <c r="BQ40" s="0"/>
      <c r="BR40" s="0"/>
      <c r="BS40" s="0"/>
      <c r="BT40" s="0"/>
      <c r="BU40" s="0"/>
      <c r="BV40" s="0"/>
      <c r="BW40" s="0"/>
      <c r="BX40" s="0"/>
      <c r="BY40" s="0"/>
      <c r="BZ40" s="0"/>
      <c r="CA40" s="0"/>
      <c r="CB40" s="0"/>
      <c r="CC40" s="0"/>
      <c r="CD40" s="0"/>
      <c r="CE40" s="0"/>
      <c r="CF40" s="0"/>
      <c r="CG40" s="0"/>
      <c r="CH40" s="0"/>
      <c r="CI40" s="0"/>
      <c r="CJ40" s="0"/>
      <c r="CK40" s="0"/>
      <c r="CL40" s="0"/>
      <c r="CM40" s="0"/>
      <c r="CN40" s="0"/>
      <c r="CO40" s="0"/>
      <c r="CP40" s="0"/>
      <c r="CQ40" s="0"/>
      <c r="CR40" s="0"/>
      <c r="CS40" s="0"/>
      <c r="CT40" s="0"/>
      <c r="CU40" s="0"/>
      <c r="CV40" s="0"/>
      <c r="CW40" s="0"/>
      <c r="CX40" s="0"/>
      <c r="CY40" s="0"/>
      <c r="CZ40" s="0"/>
      <c r="DA40" s="0"/>
      <c r="DB40" s="0"/>
      <c r="DC40" s="0"/>
      <c r="DD40" s="0"/>
      <c r="DE40" s="0"/>
      <c r="DF40" s="0"/>
      <c r="DG40" s="0"/>
      <c r="DH40" s="0"/>
      <c r="DI40" s="0"/>
      <c r="DJ40" s="0"/>
      <c r="DK40" s="0"/>
      <c r="DL40" s="0"/>
      <c r="DM40" s="0"/>
      <c r="DN40" s="0"/>
      <c r="DO40" s="0"/>
      <c r="DP40" s="0"/>
      <c r="DQ40" s="0"/>
      <c r="DR40" s="0"/>
      <c r="DS40" s="0"/>
      <c r="DT40" s="0"/>
      <c r="DU40" s="0"/>
      <c r="DV40" s="0"/>
      <c r="DW40" s="0"/>
      <c r="DX40" s="0"/>
      <c r="DY40" s="0"/>
      <c r="DZ40" s="0"/>
      <c r="EA40" s="0"/>
      <c r="EB40" s="0"/>
      <c r="EC40" s="0"/>
      <c r="ED40" s="0"/>
      <c r="EE40" s="0"/>
      <c r="EF40" s="0"/>
      <c r="EG40" s="0"/>
      <c r="EH40" s="0"/>
      <c r="EI40" s="0"/>
      <c r="EJ40" s="0"/>
      <c r="EK40" s="0"/>
      <c r="EL40" s="0"/>
      <c r="EM40" s="0"/>
      <c r="EN40" s="0"/>
      <c r="EO40" s="0"/>
      <c r="EP40" s="0"/>
      <c r="EQ40" s="0"/>
      <c r="ER40" s="0"/>
      <c r="ES40" s="0"/>
      <c r="ET40" s="0"/>
      <c r="EU40" s="0"/>
      <c r="EV40" s="0"/>
      <c r="EW40" s="0"/>
      <c r="EX40" s="0"/>
      <c r="EY40" s="0"/>
      <c r="EZ40" s="0"/>
      <c r="FA40" s="0"/>
      <c r="FB40" s="0"/>
      <c r="FC40" s="0"/>
      <c r="FD40" s="0"/>
      <c r="FE40" s="0"/>
      <c r="FF40" s="0"/>
      <c r="FG40" s="0"/>
      <c r="FH40" s="0"/>
      <c r="FI40" s="0"/>
      <c r="FJ40" s="0"/>
      <c r="FK40" s="0"/>
      <c r="FL40" s="0"/>
      <c r="FM40" s="0"/>
      <c r="FN40" s="0"/>
      <c r="FO40" s="0"/>
      <c r="FP40" s="0"/>
      <c r="FQ40" s="0"/>
      <c r="FR40" s="0"/>
      <c r="FS40" s="0"/>
      <c r="FT40" s="0"/>
      <c r="FU40" s="0"/>
      <c r="FV40" s="0"/>
      <c r="FW40" s="0"/>
      <c r="FX40" s="0"/>
      <c r="FY40" s="0"/>
      <c r="FZ40" s="0"/>
      <c r="GA40" s="0"/>
      <c r="GB40" s="0"/>
      <c r="GC40" s="0"/>
      <c r="GD40" s="0"/>
      <c r="GE40" s="0"/>
      <c r="GF40" s="0"/>
      <c r="GG40" s="0"/>
      <c r="GH40" s="0"/>
      <c r="GI40" s="0"/>
      <c r="GJ40" s="0"/>
      <c r="GK40" s="0"/>
      <c r="GL40" s="0"/>
      <c r="GM40" s="0"/>
      <c r="GN40" s="0"/>
      <c r="GO40" s="0"/>
      <c r="GP40" s="0"/>
      <c r="GQ40" s="0"/>
      <c r="GR40" s="0"/>
      <c r="GS40" s="0"/>
      <c r="GT40" s="0"/>
      <c r="GU40" s="0"/>
      <c r="GV40" s="0"/>
      <c r="GW40" s="0"/>
      <c r="GX40" s="0"/>
      <c r="GY40" s="0"/>
      <c r="GZ40" s="0"/>
      <c r="HA40" s="0"/>
      <c r="HB40" s="0"/>
      <c r="HC40" s="0"/>
      <c r="HD40" s="0"/>
      <c r="HE40" s="0"/>
      <c r="HF40" s="0"/>
      <c r="HG40" s="0"/>
      <c r="HH40" s="0"/>
      <c r="HI40" s="0"/>
      <c r="HJ40" s="0"/>
      <c r="HK40" s="0"/>
      <c r="HL40" s="0"/>
      <c r="HM40" s="0"/>
      <c r="HN40" s="0"/>
      <c r="HO40" s="0"/>
      <c r="HP40" s="0"/>
      <c r="HQ40" s="0"/>
      <c r="HR40" s="0"/>
      <c r="HS40" s="0"/>
      <c r="HT40" s="0"/>
      <c r="HU40" s="0"/>
      <c r="HV40" s="0"/>
      <c r="HW40" s="0"/>
      <c r="HX40" s="0"/>
      <c r="HY40" s="0"/>
      <c r="HZ40" s="0"/>
      <c r="IA40" s="0"/>
      <c r="IB40" s="0"/>
      <c r="IC40" s="0"/>
      <c r="ID40" s="0"/>
      <c r="IE40" s="0"/>
      <c r="IF40" s="0"/>
      <c r="IG40" s="0"/>
      <c r="IH40" s="0"/>
      <c r="II40" s="0"/>
      <c r="IJ40" s="0"/>
      <c r="IK40" s="0"/>
      <c r="IL40" s="0"/>
      <c r="IM40" s="0"/>
      <c r="IN40" s="0"/>
      <c r="IO40" s="0"/>
      <c r="IP40" s="0"/>
      <c r="IQ40" s="0"/>
      <c r="IR40" s="0"/>
      <c r="IS40" s="0"/>
      <c r="IT40" s="0"/>
      <c r="IU40" s="0"/>
      <c r="IV40" s="0"/>
      <c r="IW40" s="0"/>
    </row>
    <row r="41" customFormat="false" ht="3" hidden="false" customHeight="true" outlineLevel="0" collapsed="false">
      <c r="A41" s="74"/>
      <c r="B41" s="74"/>
      <c r="C41" s="76"/>
      <c r="D41" s="74"/>
      <c r="E41" s="76"/>
      <c r="F41" s="74"/>
      <c r="G41" s="74"/>
      <c r="H41" s="77"/>
      <c r="I41" s="74"/>
      <c r="J41" s="74"/>
      <c r="K41" s="74"/>
      <c r="L41" s="74"/>
      <c r="M41" s="74"/>
      <c r="N41" s="74"/>
      <c r="O41" s="74"/>
      <c r="P41" s="74"/>
      <c r="Q41" s="74"/>
      <c r="R41" s="74"/>
      <c r="S41" s="74"/>
      <c r="T41" s="76"/>
      <c r="U41" s="74"/>
      <c r="V41" s="74"/>
      <c r="W41" s="74"/>
      <c r="X41" s="74"/>
      <c r="Y41" s="74"/>
      <c r="Z41" s="78"/>
      <c r="AA41" s="79"/>
      <c r="AB41" s="79"/>
      <c r="AC41" s="80"/>
      <c r="AD41" s="91"/>
      <c r="AE41" s="91"/>
      <c r="AF41" s="92"/>
    </row>
    <row r="42" customFormat="false" ht="11.1" hidden="false" customHeight="true" outlineLevel="0" collapsed="false">
      <c r="A42" s="51" t="s">
        <v>44</v>
      </c>
      <c r="B42" s="51"/>
      <c r="C42" s="52"/>
      <c r="D42" s="52"/>
      <c r="E42" s="52"/>
      <c r="F42" s="52" t="n">
        <f aca="false">SUM(F10:F40)</f>
        <v>-6914.04083690446</v>
      </c>
      <c r="G42" s="52" t="n">
        <f aca="false">SUM(G10:G40)</f>
        <v>10975</v>
      </c>
      <c r="H42" s="52" t="n">
        <f aca="false">SUM(H10:H40)</f>
        <v>0</v>
      </c>
      <c r="I42" s="52" t="n">
        <f aca="false">SUM(I10:I40)</f>
        <v>10975</v>
      </c>
      <c r="J42" s="52" t="n">
        <f aca="false">SUM(J10:J40)</f>
        <v>673.52230904966</v>
      </c>
      <c r="K42" s="52" t="n">
        <f aca="false">SUM(K10:K40)</f>
        <v>11648.5223090497</v>
      </c>
      <c r="L42" s="52" t="n">
        <f aca="false">SUM(L10:L40)</f>
        <v>-912.040836904462</v>
      </c>
      <c r="M42" s="52" t="n">
        <f aca="false">SUM(M10:M40)</f>
        <v>4359</v>
      </c>
      <c r="N42" s="52" t="n">
        <f aca="false">SUM(N10:N40)</f>
        <v>0</v>
      </c>
      <c r="O42" s="52" t="n">
        <f aca="false">SUM(O10:O40)</f>
        <v>0</v>
      </c>
      <c r="P42" s="52" t="n">
        <f aca="false">SUM(P10:P40)</f>
        <v>4359</v>
      </c>
      <c r="Q42" s="52" t="n">
        <f aca="false">SUM(Q10:Q40)</f>
        <v>4735</v>
      </c>
      <c r="R42" s="52" t="n">
        <f aca="false">SUM(R10:R40)</f>
        <v>2288</v>
      </c>
      <c r="S42" s="52" t="n">
        <f aca="false">SUM(S10:S40)</f>
        <v>11038</v>
      </c>
      <c r="T42" s="52"/>
      <c r="U42" s="52" t="n">
        <f aca="false">SUM(U10:U40)</f>
        <v>244</v>
      </c>
      <c r="V42" s="52" t="n">
        <f aca="false">SUM(V10:V40)</f>
        <v>5695</v>
      </c>
      <c r="W42" s="52" t="n">
        <f aca="false">SUM(W10:W40)</f>
        <v>16977</v>
      </c>
      <c r="X42" s="52" t="n">
        <f aca="false">SUM(X10:X40)</f>
        <v>1662.9858835392</v>
      </c>
      <c r="Y42" s="52" t="n">
        <f aca="false">SUM(Y10:Y40)</f>
        <v>18639.9858835392</v>
      </c>
      <c r="Z42" s="56" t="n">
        <f aca="false">SUM(Z10:Z40)</f>
        <v>3.09</v>
      </c>
      <c r="AA42" s="57" t="n">
        <f aca="false">AVERAGE(AA10:AA40)</f>
        <v>81.4838709677419</v>
      </c>
      <c r="AB42" s="57" t="n">
        <f aca="false">AVERAGE(AB10:AB40)</f>
        <v>52.8709677419355</v>
      </c>
      <c r="AC42" s="58" t="s">
        <v>71</v>
      </c>
      <c r="AD42" s="91"/>
      <c r="AE42" s="91"/>
      <c r="AF42" s="92"/>
    </row>
    <row r="43" customFormat="false" ht="11.1" hidden="false" customHeight="true" outlineLevel="0" collapsed="false">
      <c r="A43" s="51" t="s">
        <v>46</v>
      </c>
      <c r="B43" s="51"/>
      <c r="C43" s="52"/>
      <c r="D43" s="52" t="n">
        <f aca="false">SUM(D10:D40)</f>
        <v>-13714</v>
      </c>
      <c r="E43" s="52"/>
      <c r="F43" s="52" t="n">
        <f aca="false">F42*$D$2</f>
        <v>-13714</v>
      </c>
      <c r="G43" s="52" t="n">
        <f aca="false">G42*$D$2</f>
        <v>21768.9125</v>
      </c>
      <c r="H43" s="52" t="n">
        <f aca="false">H42*$D$2</f>
        <v>0</v>
      </c>
      <c r="I43" s="52" t="n">
        <f aca="false">I42*$D$2</f>
        <v>21768.9125</v>
      </c>
      <c r="J43" s="52" t="n">
        <f aca="false">J42*$D$2</f>
        <v>1335.9315</v>
      </c>
      <c r="K43" s="52" t="n">
        <f aca="false">K42*$D$2</f>
        <v>23104.844</v>
      </c>
      <c r="L43" s="52" t="n">
        <f aca="false">L42*$D$2</f>
        <v>-1809.033</v>
      </c>
      <c r="M43" s="52" t="n">
        <f aca="false">M42*$D$2</f>
        <v>8646.0765</v>
      </c>
      <c r="N43" s="52" t="n">
        <f aca="false">N42*$D$2</f>
        <v>0</v>
      </c>
      <c r="O43" s="52" t="n">
        <f aca="false">O42*$D$2</f>
        <v>0</v>
      </c>
      <c r="P43" s="52" t="n">
        <f aca="false">P42*$D$2</f>
        <v>8646.0765</v>
      </c>
      <c r="Q43" s="52" t="n">
        <f aca="false">Q42*$D$2</f>
        <v>9391.8725</v>
      </c>
      <c r="R43" s="52" t="n">
        <f aca="false">R42*$D$2</f>
        <v>4538.248</v>
      </c>
      <c r="S43" s="52" t="n">
        <f aca="false">S42*$D$2</f>
        <v>21893.873</v>
      </c>
      <c r="T43" s="52"/>
      <c r="U43" s="52" t="n">
        <f aca="false">U42*$D$2</f>
        <v>483.974</v>
      </c>
      <c r="V43" s="52" t="n">
        <f aca="false">V42*$D$2</f>
        <v>11296.0325</v>
      </c>
      <c r="W43" s="52" t="n">
        <f aca="false">W42*$D$2</f>
        <v>33673.8795</v>
      </c>
      <c r="X43" s="52" t="n">
        <f aca="false">X42*$D$2</f>
        <v>3298.5325</v>
      </c>
      <c r="Y43" s="52" t="n">
        <f aca="false">Y42*$D$2</f>
        <v>36972.412</v>
      </c>
      <c r="Z43" s="56"/>
      <c r="AA43" s="57" t="n">
        <f aca="false">MAX(AA10:AA40)</f>
        <v>87</v>
      </c>
      <c r="AB43" s="57" t="n">
        <f aca="false">MAX(AB10:AB40)</f>
        <v>59</v>
      </c>
      <c r="AC43" s="58" t="s">
        <v>47</v>
      </c>
      <c r="AD43" s="91"/>
      <c r="AE43" s="91"/>
      <c r="AF43" s="92"/>
    </row>
    <row r="44" customFormat="false" ht="3" hidden="false" customHeight="true" outlineLevel="0" collapsed="false">
      <c r="A44" s="74"/>
      <c r="B44" s="74"/>
      <c r="C44" s="76"/>
      <c r="D44" s="76"/>
      <c r="E44" s="76"/>
      <c r="F44" s="76"/>
      <c r="G44" s="76"/>
      <c r="H44" s="76"/>
      <c r="I44" s="76"/>
      <c r="J44" s="76"/>
      <c r="K44" s="76"/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76"/>
      <c r="W44" s="76"/>
      <c r="X44" s="76"/>
      <c r="Y44" s="76"/>
      <c r="Z44" s="56"/>
      <c r="AA44" s="57"/>
      <c r="AB44" s="57"/>
      <c r="AC44" s="58"/>
      <c r="AD44" s="91"/>
      <c r="AE44" s="91"/>
      <c r="AF44" s="92"/>
    </row>
    <row r="45" customFormat="false" ht="11.1" hidden="false" customHeight="true" outlineLevel="0" collapsed="false">
      <c r="A45" s="51" t="s">
        <v>48</v>
      </c>
      <c r="B45" s="51"/>
      <c r="C45" s="52"/>
      <c r="D45" s="52"/>
      <c r="E45" s="52"/>
      <c r="F45" s="52" t="n">
        <f aca="false">F7+F42</f>
        <v>30635.7448953869</v>
      </c>
      <c r="G45" s="52" t="n">
        <f aca="false">G7+G42</f>
        <v>189442</v>
      </c>
      <c r="H45" s="52" t="n">
        <f aca="false">H7+H42</f>
        <v>12679</v>
      </c>
      <c r="I45" s="52" t="n">
        <f aca="false">I7+I42</f>
        <v>202121</v>
      </c>
      <c r="J45" s="52" t="n">
        <f aca="false">J7+J42</f>
        <v>44926.733803882</v>
      </c>
      <c r="K45" s="52" t="n">
        <f aca="false">K7+K42</f>
        <v>247047.733803882</v>
      </c>
      <c r="L45" s="52" t="n">
        <f aca="false">L7+L42</f>
        <v>40620.7448953869</v>
      </c>
      <c r="M45" s="52" t="n">
        <f aca="false">M7+M42</f>
        <v>24106</v>
      </c>
      <c r="N45" s="52" t="n">
        <f aca="false">N7+N42</f>
        <v>0</v>
      </c>
      <c r="O45" s="52" t="n">
        <f aca="false">O7+O42</f>
        <v>0</v>
      </c>
      <c r="P45" s="52" t="n">
        <f aca="false">P7+P42</f>
        <v>24106</v>
      </c>
      <c r="Q45" s="52" t="n">
        <f aca="false">Q7+Q42</f>
        <v>20123</v>
      </c>
      <c r="R45" s="52" t="n">
        <f aca="false">R7+R42</f>
        <v>10520</v>
      </c>
      <c r="S45" s="52" t="n">
        <f aca="false">S7+S42</f>
        <v>54405</v>
      </c>
      <c r="T45" s="172" t="n">
        <f aca="false">T40</f>
        <v>1109</v>
      </c>
      <c r="U45" s="52" t="n">
        <f aca="false">U7+U42</f>
        <v>791</v>
      </c>
      <c r="V45" s="52" t="n">
        <f aca="false">V7+V42</f>
        <v>156910</v>
      </c>
      <c r="W45" s="52" t="n">
        <f aca="false">W7+W42</f>
        <v>212106</v>
      </c>
      <c r="X45" s="52" t="n">
        <f aca="false">X7+X42</f>
        <v>4383.41164608016</v>
      </c>
      <c r="Y45" s="52" t="n">
        <f aca="false">Y7+Y42</f>
        <v>216489.41164608</v>
      </c>
      <c r="Z45" s="56"/>
      <c r="AA45" s="57" t="n">
        <f aca="false">MIN(AA10:AA40)</f>
        <v>70</v>
      </c>
      <c r="AB45" s="57" t="n">
        <f aca="false">MIN(AB10:AB40)</f>
        <v>44</v>
      </c>
      <c r="AC45" s="58" t="s">
        <v>49</v>
      </c>
      <c r="AD45" s="91"/>
      <c r="AE45" s="91"/>
      <c r="AF45" s="92"/>
    </row>
    <row r="46" customFormat="false" ht="11.1" hidden="false" customHeight="true" outlineLevel="0" collapsed="false">
      <c r="A46" s="51" t="s">
        <v>50</v>
      </c>
      <c r="B46" s="51"/>
      <c r="C46" s="52"/>
      <c r="D46" s="52"/>
      <c r="E46" s="52"/>
      <c r="F46" s="52" t="n">
        <f aca="false">F45*$D$2</f>
        <v>60766</v>
      </c>
      <c r="G46" s="52" t="n">
        <f aca="false">G45*$D$2</f>
        <v>375758.207</v>
      </c>
      <c r="H46" s="52" t="n">
        <f aca="false">H45*$D$2</f>
        <v>25148.7965</v>
      </c>
      <c r="I46" s="52" t="n">
        <f aca="false">I45*$D$2</f>
        <v>400907.0035</v>
      </c>
      <c r="J46" s="52" t="n">
        <f aca="false">J45*$D$2</f>
        <v>89112.1765</v>
      </c>
      <c r="K46" s="52" t="n">
        <f aca="false">K45*$D$2</f>
        <v>490019.18</v>
      </c>
      <c r="L46" s="52" t="n">
        <f aca="false">L45*$D$2</f>
        <v>80571.2475</v>
      </c>
      <c r="M46" s="52" t="n">
        <f aca="false">M45*$D$2</f>
        <v>47814.251</v>
      </c>
      <c r="N46" s="52" t="n">
        <f aca="false">N45*$D$2</f>
        <v>0</v>
      </c>
      <c r="O46" s="52" t="n">
        <f aca="false">O45*$D$2</f>
        <v>0</v>
      </c>
      <c r="P46" s="52" t="n">
        <f aca="false">P45*$D$2</f>
        <v>47814.251</v>
      </c>
      <c r="Q46" s="52" t="n">
        <f aca="false">Q45*$D$2</f>
        <v>39913.9705</v>
      </c>
      <c r="R46" s="52" t="n">
        <f aca="false">R45*$D$2</f>
        <v>20866.42</v>
      </c>
      <c r="S46" s="52" t="n">
        <f aca="false">S45*$D$2</f>
        <v>107912.3175</v>
      </c>
      <c r="T46" s="52" t="n">
        <f aca="false">T45*$D$2</f>
        <v>2199.7015</v>
      </c>
      <c r="U46" s="52" t="n">
        <f aca="false">U45*$D$2</f>
        <v>1568.9485</v>
      </c>
      <c r="V46" s="52" t="n">
        <f aca="false">V45*$D$2</f>
        <v>311230.985</v>
      </c>
      <c r="W46" s="52" t="n">
        <f aca="false">W45*$D$2</f>
        <v>420712.251</v>
      </c>
      <c r="X46" s="52" t="n">
        <f aca="false">X45*$D$2</f>
        <v>8694.497</v>
      </c>
      <c r="Y46" s="52" t="n">
        <f aca="false">Y45*$D$2</f>
        <v>429406.748</v>
      </c>
      <c r="Z46" s="56"/>
      <c r="AA46" s="57"/>
      <c r="AB46" s="57"/>
      <c r="AC46" s="58"/>
      <c r="AD46" s="91"/>
      <c r="AE46" s="91"/>
      <c r="AF46" s="92"/>
    </row>
    <row r="47" customFormat="false" ht="3" hidden="false" customHeight="true" outlineLevel="0" collapsed="false">
      <c r="A47" s="74"/>
      <c r="B47" s="74"/>
      <c r="C47" s="76"/>
      <c r="D47" s="76"/>
      <c r="E47" s="76"/>
      <c r="F47" s="76"/>
      <c r="G47" s="76"/>
      <c r="H47" s="79"/>
      <c r="I47" s="76"/>
      <c r="J47" s="76"/>
      <c r="K47" s="76"/>
      <c r="L47" s="76"/>
      <c r="M47" s="76"/>
      <c r="N47" s="76"/>
      <c r="O47" s="76"/>
      <c r="P47" s="76"/>
      <c r="Q47" s="76"/>
      <c r="R47" s="76"/>
      <c r="S47" s="76"/>
      <c r="T47" s="76"/>
      <c r="U47" s="76"/>
      <c r="V47" s="76"/>
      <c r="W47" s="76"/>
      <c r="X47" s="76"/>
      <c r="Y47" s="76"/>
      <c r="Z47" s="78"/>
      <c r="AA47" s="57"/>
      <c r="AB47" s="57"/>
      <c r="AC47" s="58"/>
      <c r="AD47" s="91"/>
      <c r="AE47" s="91"/>
      <c r="AF47" s="92"/>
    </row>
    <row r="48" customFormat="false" ht="11.1" hidden="false" customHeight="true" outlineLevel="0" collapsed="false">
      <c r="A48" s="51" t="s">
        <v>51</v>
      </c>
      <c r="B48" s="51"/>
      <c r="C48" s="52"/>
      <c r="D48" s="52"/>
      <c r="E48" s="52"/>
      <c r="F48" s="52" t="n">
        <f aca="false">F8+F42</f>
        <v>31087.9758003529</v>
      </c>
      <c r="G48" s="52" t="n">
        <f aca="false">G8+G42</f>
        <v>219892</v>
      </c>
      <c r="H48" s="57" t="n">
        <f aca="false">H8+H42</f>
        <v>16090</v>
      </c>
      <c r="I48" s="52" t="n">
        <f aca="false">I8+I42</f>
        <v>235440.9</v>
      </c>
      <c r="J48" s="52" t="n">
        <f aca="false">J8+J42</f>
        <v>51761.178648853</v>
      </c>
      <c r="K48" s="52" t="n">
        <f aca="false">K8+K42</f>
        <v>287202.078648853</v>
      </c>
      <c r="L48" s="52" t="n">
        <f aca="false">L8+L42</f>
        <v>46349.0758003529</v>
      </c>
      <c r="M48" s="52" t="n">
        <f aca="false">M8+M42</f>
        <v>25672</v>
      </c>
      <c r="N48" s="52" t="n">
        <f aca="false">N8+N42</f>
        <v>0.08</v>
      </c>
      <c r="O48" s="52" t="n">
        <f aca="false">O8+O42</f>
        <v>0</v>
      </c>
      <c r="P48" s="52" t="n">
        <f aca="false">P8+P42</f>
        <v>25671.92</v>
      </c>
      <c r="Q48" s="52" t="n">
        <f aca="false">Q8+Q42</f>
        <v>22401</v>
      </c>
      <c r="R48" s="52" t="n">
        <f aca="false">R8+R42</f>
        <v>10969</v>
      </c>
      <c r="S48" s="52" t="n">
        <f aca="false">S8+S42</f>
        <v>58697.92</v>
      </c>
      <c r="T48" s="52" t="n">
        <f aca="false">T45</f>
        <v>1109</v>
      </c>
      <c r="U48" s="52" t="n">
        <f aca="false">U8+U42</f>
        <v>792</v>
      </c>
      <c r="V48" s="52" t="n">
        <f aca="false">V8+V42</f>
        <v>191212</v>
      </c>
      <c r="W48" s="52" t="n">
        <f aca="false">W8+W42</f>
        <v>250702</v>
      </c>
      <c r="X48" s="52" t="n">
        <f aca="false">X8+X42</f>
        <v>5489.5255860852</v>
      </c>
      <c r="Y48" s="52" t="n">
        <f aca="false">Y8+Y42</f>
        <v>256191.525586085</v>
      </c>
      <c r="Z48" s="56" t="n">
        <f aca="false">Z8+Z42</f>
        <v>14.18</v>
      </c>
      <c r="AA48" s="57"/>
      <c r="AB48" s="57"/>
      <c r="AC48" s="58"/>
      <c r="AD48" s="91"/>
      <c r="AE48" s="91"/>
      <c r="AF48" s="92"/>
    </row>
    <row r="49" customFormat="false" ht="11.1" hidden="false" customHeight="true" outlineLevel="0" collapsed="false">
      <c r="A49" s="51" t="s">
        <v>52</v>
      </c>
      <c r="B49" s="51"/>
      <c r="C49" s="52"/>
      <c r="D49" s="52" t="n">
        <f aca="false">D8+D43</f>
        <v>61663</v>
      </c>
      <c r="E49" s="52" t="n">
        <f aca="false">E40</f>
        <v>199856</v>
      </c>
      <c r="F49" s="52" t="n">
        <f aca="false">F48*$D$2</f>
        <v>61663</v>
      </c>
      <c r="G49" s="52" t="n">
        <f aca="false">G48*$D$2</f>
        <v>436155.782</v>
      </c>
      <c r="H49" s="57" t="n">
        <f aca="false">H48*$D$2</f>
        <v>31914.515</v>
      </c>
      <c r="I49" s="52" t="n">
        <f aca="false">I48*$D$2</f>
        <v>466997.02515</v>
      </c>
      <c r="J49" s="52" t="n">
        <f aca="false">J48*$D$2</f>
        <v>102668.29785</v>
      </c>
      <c r="K49" s="52" t="n">
        <f aca="false">K48*$D$2</f>
        <v>569665.323</v>
      </c>
      <c r="L49" s="52" t="n">
        <f aca="false">L48*$D$2</f>
        <v>91933.39185</v>
      </c>
      <c r="M49" s="52" t="n">
        <f aca="false">M48*$D$2</f>
        <v>50920.412</v>
      </c>
      <c r="N49" s="52" t="n">
        <f aca="false">N48*$D$2</f>
        <v>0.15868</v>
      </c>
      <c r="O49" s="52" t="n">
        <f aca="false">O48*$D$2</f>
        <v>0</v>
      </c>
      <c r="P49" s="52" t="n">
        <f aca="false">P48*$D$2</f>
        <v>50920.25332</v>
      </c>
      <c r="Q49" s="52" t="n">
        <f aca="false">Q48*$D$2</f>
        <v>44432.3835</v>
      </c>
      <c r="R49" s="52" t="n">
        <f aca="false">R48*$D$2</f>
        <v>21757.0115</v>
      </c>
      <c r="S49" s="52" t="n">
        <f aca="false">S48*$D$2</f>
        <v>116427.32432</v>
      </c>
      <c r="T49" s="52" t="n">
        <f aca="false">T48*$D$2</f>
        <v>2199.7015</v>
      </c>
      <c r="U49" s="52" t="n">
        <f aca="false">U48*$D$2</f>
        <v>1570.932</v>
      </c>
      <c r="V49" s="52" t="n">
        <f aca="false">V48*$D$2</f>
        <v>379269.002</v>
      </c>
      <c r="W49" s="52" t="n">
        <f aca="false">W48*$D$2</f>
        <v>497267.417</v>
      </c>
      <c r="X49" s="52" t="n">
        <f aca="false">X48*$D$2</f>
        <v>10888.474</v>
      </c>
      <c r="Y49" s="52" t="n">
        <f aca="false">Y48*$D$2</f>
        <v>508155.891</v>
      </c>
      <c r="Z49" s="56"/>
      <c r="AA49" s="57"/>
      <c r="AB49" s="57"/>
      <c r="AC49" s="58"/>
      <c r="AD49" s="91"/>
      <c r="AE49" s="91"/>
      <c r="AF49" s="92"/>
    </row>
    <row r="50" customFormat="false" ht="3" hidden="false" customHeight="true" outlineLevel="0" collapsed="false">
      <c r="A50" s="74"/>
      <c r="B50" s="74"/>
      <c r="C50" s="76"/>
      <c r="D50" s="74"/>
      <c r="E50" s="76"/>
      <c r="F50" s="74"/>
      <c r="G50" s="74"/>
      <c r="H50" s="77"/>
      <c r="I50" s="74"/>
      <c r="J50" s="74"/>
      <c r="K50" s="118"/>
      <c r="L50" s="74"/>
      <c r="M50" s="74"/>
      <c r="N50" s="74"/>
      <c r="O50" s="74"/>
      <c r="P50" s="74"/>
      <c r="Q50" s="74"/>
      <c r="R50" s="74"/>
      <c r="S50" s="74"/>
      <c r="T50" s="76"/>
      <c r="U50" s="74"/>
      <c r="V50" s="74"/>
      <c r="W50" s="74"/>
      <c r="X50" s="74"/>
      <c r="Y50" s="74"/>
      <c r="Z50" s="56"/>
      <c r="AA50" s="57"/>
      <c r="AB50" s="57"/>
      <c r="AC50" s="58"/>
      <c r="AD50" s="91"/>
      <c r="AE50" s="91"/>
      <c r="AF50" s="92"/>
    </row>
    <row r="51" customFormat="false" ht="11.1" hidden="false" customHeight="true" outlineLevel="0" collapsed="false">
      <c r="A51" s="179"/>
      <c r="B51" s="29" t="s">
        <v>81</v>
      </c>
      <c r="C51" s="7"/>
      <c r="D51" s="6"/>
      <c r="E51" s="138" t="n">
        <v>5698</v>
      </c>
      <c r="F51" s="0"/>
      <c r="G51" s="0"/>
      <c r="H51" s="11" t="s">
        <v>82</v>
      </c>
      <c r="I51" s="6"/>
      <c r="J51" s="6"/>
      <c r="K51" s="140"/>
      <c r="L51" s="52" t="n">
        <f aca="false">3500+2932</f>
        <v>6432</v>
      </c>
      <c r="M51" s="6"/>
      <c r="N51" s="6"/>
      <c r="O51" s="6"/>
      <c r="P51" s="6"/>
      <c r="Q51" s="6"/>
      <c r="R51" s="6"/>
      <c r="S51" s="6"/>
      <c r="T51" s="141"/>
      <c r="U51" s="6"/>
      <c r="V51" s="6" t="s">
        <v>94</v>
      </c>
      <c r="W51" s="180" t="s">
        <v>95</v>
      </c>
      <c r="X51" s="51"/>
      <c r="Y51" s="51"/>
      <c r="Z51" s="55"/>
      <c r="AA51" s="57"/>
      <c r="AB51" s="57"/>
      <c r="AC51" s="58"/>
      <c r="AD51" s="88"/>
      <c r="AE51" s="88"/>
    </row>
    <row r="52" customFormat="false" ht="11.1" hidden="false" customHeight="true" outlineLevel="0" collapsed="false">
      <c r="A52" s="51"/>
      <c r="B52" s="29" t="s">
        <v>83</v>
      </c>
      <c r="C52" s="7"/>
      <c r="D52" s="39"/>
      <c r="E52" s="122" t="e">
        <f aca="false">L54+O54+T54+U54+#REF!</f>
        <v>#REF!</v>
      </c>
      <c r="F52" s="142"/>
      <c r="G52" s="0"/>
      <c r="H52" s="11" t="s">
        <v>84</v>
      </c>
      <c r="I52" s="8"/>
      <c r="J52" s="6"/>
      <c r="K52" s="42"/>
      <c r="L52" s="81" t="n">
        <f aca="false">L51/210</f>
        <v>30.6285714285714</v>
      </c>
      <c r="M52" s="6"/>
      <c r="N52" s="6"/>
      <c r="O52" s="6"/>
      <c r="P52" s="143" t="s">
        <v>85</v>
      </c>
      <c r="Q52" s="144"/>
      <c r="R52" s="145"/>
      <c r="S52" s="146" t="n">
        <v>148</v>
      </c>
      <c r="T52" s="147" t="n">
        <f aca="false">16268+1368+4</f>
        <v>17640</v>
      </c>
      <c r="U52" s="141"/>
      <c r="V52" s="6"/>
      <c r="W52" s="7"/>
      <c r="X52" s="51"/>
      <c r="Y52" s="55"/>
      <c r="Z52" s="57"/>
      <c r="AA52" s="57"/>
      <c r="AB52" s="57"/>
      <c r="AC52" s="58"/>
      <c r="AD52" s="88"/>
      <c r="AE52" s="88"/>
    </row>
    <row r="53" customFormat="false" ht="11.1" hidden="false" customHeight="true" outlineLevel="0" collapsed="false">
      <c r="A53" s="82"/>
      <c r="B53" s="52"/>
      <c r="E53" s="122"/>
      <c r="F53" s="148"/>
      <c r="G53" s="0"/>
      <c r="H53" s="11" t="s">
        <v>86</v>
      </c>
      <c r="I53" s="39"/>
      <c r="J53" s="39"/>
      <c r="K53" s="149"/>
      <c r="L53" s="181" t="n">
        <f aca="false">214-S52</f>
        <v>66</v>
      </c>
      <c r="M53" s="37"/>
      <c r="N53" s="37"/>
      <c r="O53" s="151" t="n">
        <v>6289</v>
      </c>
      <c r="P53" s="152" t="s">
        <v>87</v>
      </c>
      <c r="Q53" s="153"/>
      <c r="R53" s="154"/>
      <c r="S53" s="155" t="n">
        <f aca="false">2932/210</f>
        <v>13.9619047619048</v>
      </c>
      <c r="T53" s="156" t="n">
        <f aca="false">S52*S53</f>
        <v>2066.3619047619</v>
      </c>
      <c r="U53" s="157" t="n">
        <f aca="false">14562+1946+600+15+25</f>
        <v>17148</v>
      </c>
      <c r="V53" s="7"/>
      <c r="W53" s="153"/>
      <c r="X53" s="82"/>
      <c r="Y53" s="55"/>
      <c r="Z53" s="57"/>
      <c r="AA53" s="57"/>
      <c r="AB53" s="58"/>
      <c r="AC53" s="96"/>
      <c r="AD53" s="96"/>
    </row>
    <row r="54" customFormat="false" ht="11.1" hidden="false" customHeight="true" outlineLevel="0" collapsed="false">
      <c r="A54" s="82"/>
      <c r="B54" s="158" t="s">
        <v>88</v>
      </c>
      <c r="C54" s="159"/>
      <c r="D54" s="159"/>
      <c r="E54" s="160" t="e">
        <f aca="false">E51-E52</f>
        <v>#REF!</v>
      </c>
      <c r="F54" s="0"/>
      <c r="G54" s="0"/>
      <c r="H54" s="52" t="s">
        <v>74</v>
      </c>
      <c r="I54" s="0"/>
      <c r="J54" s="39"/>
      <c r="K54" s="149"/>
      <c r="L54" s="57" t="n">
        <f aca="false">L53*L52</f>
        <v>2021.48571428571</v>
      </c>
      <c r="M54" s="37"/>
      <c r="N54" s="37"/>
      <c r="O54" s="57" t="n">
        <f aca="false">O53-O49</f>
        <v>6289</v>
      </c>
      <c r="P54" s="161"/>
      <c r="Q54" s="162"/>
      <c r="R54" s="162"/>
      <c r="S54" s="163"/>
      <c r="T54" s="164" t="n">
        <f aca="false">(T52+T53)+T46</f>
        <v>21906.0634047619</v>
      </c>
      <c r="U54" s="52" t="n">
        <f aca="false">U53-U49</f>
        <v>15577.068</v>
      </c>
      <c r="V54" s="7"/>
      <c r="W54" s="52"/>
      <c r="X54" s="82"/>
      <c r="Y54" s="98" t="n">
        <f aca="false">DAYS360(7/24/2002,3/31/2003,FALSE())</f>
        <v>0</v>
      </c>
      <c r="Z54" s="57"/>
      <c r="AA54" s="57"/>
      <c r="AB54" s="58"/>
      <c r="AC54" s="96"/>
      <c r="AD54" s="96"/>
    </row>
    <row r="55" customFormat="false" ht="11.1" hidden="false" customHeight="true" outlineLevel="0" collapsed="false">
      <c r="A55" s="82"/>
      <c r="B55" s="82"/>
      <c r="C55" s="52"/>
      <c r="D55" s="82"/>
      <c r="E55" s="52"/>
      <c r="F55" s="82"/>
      <c r="G55" s="85"/>
      <c r="H55" s="53"/>
      <c r="I55" s="82"/>
      <c r="J55" s="82"/>
      <c r="K55" s="82"/>
      <c r="L55" s="82"/>
      <c r="M55" s="81"/>
      <c r="N55" s="81"/>
      <c r="O55" s="81"/>
      <c r="P55" s="82"/>
      <c r="Q55" s="82"/>
      <c r="R55" s="82"/>
      <c r="S55" s="0"/>
      <c r="T55" s="52"/>
      <c r="V55" s="52"/>
      <c r="W55" s="82"/>
      <c r="X55" s="82"/>
      <c r="Y55" s="55"/>
      <c r="Z55" s="56"/>
      <c r="AA55" s="57"/>
      <c r="AB55" s="58"/>
      <c r="AC55" s="96"/>
      <c r="AD55" s="96"/>
    </row>
    <row r="56" customFormat="false" ht="11.1" hidden="false" customHeight="true" outlineLevel="0" collapsed="false">
      <c r="Q56" s="182"/>
      <c r="S56" s="52"/>
      <c r="T56" s="52"/>
    </row>
    <row r="57" customFormat="false" ht="11.1" hidden="false" customHeight="true" outlineLevel="0" collapsed="false">
      <c r="Q57" s="182"/>
      <c r="S57" s="52"/>
      <c r="T57" s="52"/>
    </row>
    <row r="58" customFormat="false" ht="11.1" hidden="false" customHeight="true" outlineLevel="0" collapsed="false">
      <c r="S58" s="52"/>
      <c r="T58" s="52"/>
    </row>
  </sheetData>
  <mergeCells count="2">
    <mergeCell ref="K2:T2"/>
    <mergeCell ref="M4:P4"/>
  </mergeCells>
  <printOptions headings="true" gridLines="true" gridLinesSet="true" horizontalCentered="true" verticalCentered="false"/>
  <pageMargins left="0" right="0" top="0" bottom="0" header="0.511811023622047" footer="0.511811023622047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H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9" topLeftCell="Q20" activePane="bottomRight" state="frozen"/>
      <selection pane="topLeft" activeCell="A1" activeCellId="0" sqref="A1"/>
      <selection pane="topRight" activeCell="Q1" activeCellId="0" sqref="Q1"/>
      <selection pane="bottomLeft" activeCell="A20" activeCellId="0" sqref="A20"/>
      <selection pane="bottomRight" activeCell="AB40" activeCellId="0" sqref="AB40"/>
    </sheetView>
  </sheetViews>
  <sheetFormatPr defaultColWidth="9.328125" defaultRowHeight="11.1" zeroHeight="false" outlineLevelRow="0" outlineLevelCol="0"/>
  <cols>
    <col collapsed="false" customWidth="true" hidden="false" outlineLevel="0" max="1" min="1" style="44" width="5.66"/>
    <col collapsed="false" customWidth="true" hidden="false" outlineLevel="0" max="2" min="2" style="44" width="7.82"/>
    <col collapsed="false" customWidth="true" hidden="false" outlineLevel="0" max="3" min="3" style="45" width="7.66"/>
    <col collapsed="false" customWidth="true" hidden="false" outlineLevel="0" max="4" min="4" style="44" width="6.99"/>
    <col collapsed="false" customWidth="true" hidden="false" outlineLevel="0" max="5" min="5" style="45" width="7.66"/>
    <col collapsed="false" customWidth="true" hidden="false" outlineLevel="0" max="6" min="6" style="44" width="7.66"/>
    <col collapsed="false" customWidth="true" hidden="false" outlineLevel="0" max="7" min="7" style="44" width="7.16"/>
    <col collapsed="false" customWidth="true" hidden="false" outlineLevel="0" max="8" min="8" style="173" width="6.66"/>
    <col collapsed="false" customWidth="true" hidden="false" outlineLevel="0" max="9" min="9" style="44" width="7.99"/>
    <col collapsed="false" customWidth="true" hidden="false" outlineLevel="0" max="10" min="10" style="44" width="6.66"/>
    <col collapsed="false" customWidth="true" hidden="false" outlineLevel="0" max="12" min="11" style="44" width="7.16"/>
    <col collapsed="false" customWidth="true" hidden="false" outlineLevel="0" max="13" min="13" style="47" width="6.82"/>
    <col collapsed="false" customWidth="true" hidden="true" outlineLevel="0" max="14" min="14" style="47" width="7.32"/>
    <col collapsed="false" customWidth="true" hidden="true" outlineLevel="0" max="15" min="15" style="47" width="6.49"/>
    <col collapsed="false" customWidth="true" hidden="true" outlineLevel="0" max="16" min="16" style="44" width="7.16"/>
    <col collapsed="false" customWidth="true" hidden="false" outlineLevel="0" max="17" min="17" style="44" width="6.16"/>
    <col collapsed="false" customWidth="true" hidden="false" outlineLevel="0" max="18" min="18" style="44" width="5.82"/>
    <col collapsed="false" customWidth="true" hidden="false" outlineLevel="0" max="19" min="19" style="45" width="6.82"/>
    <col collapsed="false" customWidth="true" hidden="false" outlineLevel="0" max="20" min="20" style="44" width="7.66"/>
    <col collapsed="false" customWidth="true" hidden="false" outlineLevel="0" max="21" min="21" style="44" width="5.99"/>
    <col collapsed="false" customWidth="true" hidden="false" outlineLevel="0" max="22" min="22" style="45" width="6.66"/>
    <col collapsed="false" customWidth="true" hidden="false" outlineLevel="0" max="24" min="23" style="44" width="7.82"/>
    <col collapsed="false" customWidth="true" hidden="false" outlineLevel="0" max="25" min="25" style="48" width="8.16"/>
    <col collapsed="false" customWidth="true" hidden="false" outlineLevel="0" max="26" min="26" style="46" width="5.32"/>
    <col collapsed="false" customWidth="true" hidden="false" outlineLevel="0" max="27" min="27" style="49" width="4.66"/>
    <col collapsed="false" customWidth="true" hidden="false" outlineLevel="0" max="28" min="28" style="50" width="4.66"/>
    <col collapsed="false" customWidth="true" hidden="false" outlineLevel="0" max="29" min="29" style="44" width="5.66"/>
    <col collapsed="false" customWidth="false" hidden="false" outlineLevel="0" max="30" min="30" style="48" width="9.32"/>
    <col collapsed="false" customWidth="false" hidden="false" outlineLevel="0" max="257" min="31" style="44" width="9.32"/>
  </cols>
  <sheetData>
    <row r="1" customFormat="false" ht="14.1" hidden="false" customHeight="true" outlineLevel="0" collapsed="false">
      <c r="A1" s="51"/>
      <c r="B1" s="51"/>
      <c r="C1" s="52"/>
      <c r="D1" s="51"/>
      <c r="E1" s="52"/>
      <c r="F1" s="51"/>
      <c r="G1" s="51"/>
      <c r="H1" s="53"/>
      <c r="I1" s="51"/>
      <c r="J1" s="51"/>
      <c r="K1" s="54" t="s">
        <v>0</v>
      </c>
      <c r="L1" s="51"/>
      <c r="M1" s="51"/>
      <c r="N1" s="51"/>
      <c r="O1" s="51"/>
      <c r="P1" s="51"/>
      <c r="Q1" s="51"/>
      <c r="R1" s="51"/>
      <c r="S1" s="52"/>
      <c r="T1" s="51"/>
      <c r="U1" s="51"/>
      <c r="V1" s="52"/>
      <c r="W1" s="51"/>
      <c r="X1" s="51"/>
      <c r="Y1" s="55"/>
      <c r="Z1" s="56"/>
      <c r="AA1" s="57"/>
      <c r="AB1" s="58"/>
      <c r="AC1" s="88"/>
      <c r="AD1" s="183"/>
    </row>
    <row r="2" customFormat="false" ht="14.1" hidden="false" customHeight="true" outlineLevel="0" collapsed="false">
      <c r="A2" s="51" t="s">
        <v>1</v>
      </c>
      <c r="B2" s="51"/>
      <c r="C2" s="52"/>
      <c r="D2" s="59" t="n">
        <v>1.9835</v>
      </c>
      <c r="E2" s="52"/>
      <c r="F2" s="51"/>
      <c r="G2" s="51"/>
      <c r="H2" s="53"/>
      <c r="I2" s="51"/>
      <c r="J2" s="51"/>
      <c r="K2" s="60" t="s">
        <v>96</v>
      </c>
      <c r="L2" s="60"/>
      <c r="M2" s="60"/>
      <c r="N2" s="60"/>
      <c r="O2" s="60"/>
      <c r="P2" s="60"/>
      <c r="Q2" s="60"/>
      <c r="R2" s="60"/>
      <c r="S2" s="60"/>
      <c r="T2" s="60"/>
      <c r="U2" s="51"/>
      <c r="V2" s="52"/>
      <c r="W2" s="51"/>
      <c r="X2" s="51"/>
      <c r="Y2" s="55"/>
      <c r="Z2" s="56"/>
      <c r="AA2" s="57"/>
      <c r="AB2" s="58"/>
      <c r="AC2" s="88"/>
      <c r="AD2" s="183"/>
    </row>
    <row r="3" customFormat="false" ht="11.1" hidden="false" customHeight="true" outlineLevel="0" collapsed="false">
      <c r="A3" s="51"/>
      <c r="B3" s="51"/>
      <c r="C3" s="52"/>
      <c r="D3" s="61"/>
      <c r="E3" s="52"/>
      <c r="F3" s="51"/>
      <c r="G3" s="51"/>
      <c r="H3" s="53"/>
      <c r="I3" s="51"/>
      <c r="J3" s="51"/>
      <c r="K3" s="51"/>
      <c r="L3" s="51"/>
      <c r="M3" s="51"/>
      <c r="N3" s="51"/>
      <c r="O3" s="51"/>
      <c r="P3" s="51"/>
      <c r="Q3" s="51"/>
      <c r="R3" s="51"/>
      <c r="S3" s="52"/>
      <c r="T3" s="51"/>
      <c r="U3" s="51"/>
      <c r="V3" s="52"/>
      <c r="W3" s="51"/>
      <c r="X3" s="51"/>
      <c r="Y3" s="55"/>
      <c r="Z3" s="56"/>
      <c r="AA3" s="57"/>
      <c r="AB3" s="58"/>
      <c r="AC3" s="88"/>
      <c r="AD3" s="183"/>
    </row>
    <row r="4" customFormat="false" ht="11.1" hidden="false" customHeight="true" outlineLevel="0" collapsed="false">
      <c r="A4" s="62" t="s">
        <v>3</v>
      </c>
      <c r="B4" s="62" t="s">
        <v>4</v>
      </c>
      <c r="C4" s="63" t="s">
        <v>4</v>
      </c>
      <c r="D4" s="62" t="s">
        <v>5</v>
      </c>
      <c r="E4" s="63" t="s">
        <v>6</v>
      </c>
      <c r="F4" s="62" t="s">
        <v>7</v>
      </c>
      <c r="G4" s="62" t="s">
        <v>8</v>
      </c>
      <c r="H4" s="64" t="s">
        <v>9</v>
      </c>
      <c r="I4" s="62" t="s">
        <v>10</v>
      </c>
      <c r="J4" s="62" t="s">
        <v>11</v>
      </c>
      <c r="K4" s="62" t="s">
        <v>12</v>
      </c>
      <c r="L4" s="62" t="s">
        <v>11</v>
      </c>
      <c r="M4" s="62" t="s">
        <v>13</v>
      </c>
      <c r="N4" s="62"/>
      <c r="O4" s="62"/>
      <c r="P4" s="62"/>
      <c r="Q4" s="62" t="s">
        <v>14</v>
      </c>
      <c r="R4" s="62" t="s">
        <v>15</v>
      </c>
      <c r="S4" s="62" t="s">
        <v>12</v>
      </c>
      <c r="T4" s="63" t="s">
        <v>16</v>
      </c>
      <c r="U4" s="62" t="s">
        <v>17</v>
      </c>
      <c r="V4" s="62" t="s">
        <v>18</v>
      </c>
      <c r="W4" s="62" t="s">
        <v>10</v>
      </c>
      <c r="X4" s="62" t="s">
        <v>11</v>
      </c>
      <c r="Y4" s="62" t="s">
        <v>12</v>
      </c>
      <c r="Z4" s="65" t="s">
        <v>19</v>
      </c>
      <c r="AA4" s="66" t="s">
        <v>20</v>
      </c>
      <c r="AB4" s="66" t="s">
        <v>21</v>
      </c>
      <c r="AC4" s="66" t="s">
        <v>3</v>
      </c>
      <c r="AD4" s="184" t="s">
        <v>63</v>
      </c>
      <c r="AE4" s="88"/>
    </row>
    <row r="5" customFormat="false" ht="11.1" hidden="false" customHeight="true" outlineLevel="0" collapsed="false">
      <c r="A5" s="67" t="s">
        <v>97</v>
      </c>
      <c r="B5" s="62" t="s">
        <v>23</v>
      </c>
      <c r="C5" s="63" t="s">
        <v>5</v>
      </c>
      <c r="D5" s="62" t="s">
        <v>24</v>
      </c>
      <c r="E5" s="63" t="s">
        <v>25</v>
      </c>
      <c r="F5" s="62" t="s">
        <v>26</v>
      </c>
      <c r="G5" s="62" t="s">
        <v>27</v>
      </c>
      <c r="H5" s="64" t="s">
        <v>28</v>
      </c>
      <c r="I5" s="62" t="s">
        <v>29</v>
      </c>
      <c r="J5" s="62" t="s">
        <v>29</v>
      </c>
      <c r="K5" s="62" t="s">
        <v>29</v>
      </c>
      <c r="L5" s="62" t="s">
        <v>30</v>
      </c>
      <c r="M5" s="62" t="s">
        <v>31</v>
      </c>
      <c r="N5" s="62" t="s">
        <v>32</v>
      </c>
      <c r="O5" s="62" t="s">
        <v>33</v>
      </c>
      <c r="P5" s="62" t="s">
        <v>34</v>
      </c>
      <c r="Q5" s="62" t="s">
        <v>35</v>
      </c>
      <c r="R5" s="62" t="s">
        <v>36</v>
      </c>
      <c r="S5" s="62" t="s">
        <v>16</v>
      </c>
      <c r="T5" s="63" t="s">
        <v>37</v>
      </c>
      <c r="U5" s="62" t="s">
        <v>38</v>
      </c>
      <c r="V5" s="62" t="s">
        <v>39</v>
      </c>
      <c r="W5" s="62" t="s">
        <v>40</v>
      </c>
      <c r="X5" s="62" t="s">
        <v>40</v>
      </c>
      <c r="Y5" s="62" t="s">
        <v>40</v>
      </c>
      <c r="Z5" s="68"/>
      <c r="AA5" s="66" t="s">
        <v>41</v>
      </c>
      <c r="AB5" s="66" t="s">
        <v>41</v>
      </c>
      <c r="AC5" s="69" t="s">
        <v>97</v>
      </c>
      <c r="AD5" s="184" t="s">
        <v>98</v>
      </c>
      <c r="AE5" s="88"/>
      <c r="AG5" s="175"/>
      <c r="AH5" s="175"/>
    </row>
    <row r="6" customFormat="false" ht="11.1" hidden="false" customHeight="true" outlineLevel="0" collapsed="false">
      <c r="A6" s="70"/>
      <c r="B6" s="70"/>
      <c r="C6" s="185"/>
      <c r="D6" s="70"/>
      <c r="E6" s="71"/>
      <c r="F6" s="70"/>
      <c r="G6" s="70"/>
      <c r="H6" s="72"/>
      <c r="I6" s="70"/>
      <c r="J6" s="70"/>
      <c r="K6" s="70"/>
      <c r="L6" s="70"/>
      <c r="M6" s="70"/>
      <c r="N6" s="70"/>
      <c r="O6" s="70"/>
      <c r="P6" s="70"/>
      <c r="Q6" s="70"/>
      <c r="R6" s="70"/>
      <c r="S6" s="70"/>
      <c r="T6" s="71"/>
      <c r="U6" s="70"/>
      <c r="V6" s="70"/>
      <c r="W6" s="70"/>
      <c r="X6" s="70"/>
      <c r="Y6" s="70"/>
      <c r="Z6" s="56"/>
      <c r="AA6" s="58"/>
      <c r="AB6" s="58"/>
      <c r="AC6" s="58"/>
      <c r="AD6" s="186"/>
      <c r="AE6" s="91"/>
      <c r="AF6" s="92"/>
      <c r="AG6" s="175"/>
      <c r="AH6" s="175"/>
    </row>
    <row r="7" customFormat="false" ht="11.1" hidden="false" customHeight="true" outlineLevel="0" collapsed="false">
      <c r="A7" s="51" t="s">
        <v>42</v>
      </c>
      <c r="B7" s="51"/>
      <c r="C7" s="187"/>
      <c r="D7" s="52"/>
      <c r="E7" s="52"/>
      <c r="F7" s="52" t="n">
        <f aca="false">AUG!F45</f>
        <v>30635.7448953869</v>
      </c>
      <c r="G7" s="52" t="n">
        <f aca="false">AUG!G45</f>
        <v>189442</v>
      </c>
      <c r="H7" s="52" t="n">
        <f aca="false">AUG!H45</f>
        <v>12679</v>
      </c>
      <c r="I7" s="52" t="n">
        <f aca="false">AUG!I45</f>
        <v>202121</v>
      </c>
      <c r="J7" s="52" t="n">
        <f aca="false">AUG!J45</f>
        <v>44926.733803882</v>
      </c>
      <c r="K7" s="52" t="n">
        <f aca="false">AUG!K45</f>
        <v>247047.733803882</v>
      </c>
      <c r="L7" s="52" t="n">
        <f aca="false">AUG!L45</f>
        <v>40620.7448953869</v>
      </c>
      <c r="M7" s="52" t="n">
        <f aca="false">AUG!M45</f>
        <v>24106</v>
      </c>
      <c r="N7" s="52" t="n">
        <f aca="false">AUG!N45</f>
        <v>0</v>
      </c>
      <c r="O7" s="52" t="n">
        <f aca="false">AUG!O45</f>
        <v>0</v>
      </c>
      <c r="P7" s="52" t="n">
        <f aca="false">AUG!P45</f>
        <v>24106</v>
      </c>
      <c r="Q7" s="52" t="n">
        <f aca="false">AUG!Q45</f>
        <v>20123</v>
      </c>
      <c r="R7" s="52" t="n">
        <f aca="false">AUG!R45</f>
        <v>10520</v>
      </c>
      <c r="S7" s="52" t="n">
        <f aca="false">AUG!S45</f>
        <v>54405</v>
      </c>
      <c r="T7" s="52" t="n">
        <f aca="false">AUG!T45</f>
        <v>1109</v>
      </c>
      <c r="U7" s="52" t="n">
        <f aca="false">AUG!U45</f>
        <v>791</v>
      </c>
      <c r="V7" s="52" t="n">
        <f aca="false">AUG!V45</f>
        <v>156910</v>
      </c>
      <c r="W7" s="52" t="n">
        <f aca="false">AUG!W45</f>
        <v>212106</v>
      </c>
      <c r="X7" s="52" t="n">
        <f aca="false">AUG!X45</f>
        <v>4383.41164608016</v>
      </c>
      <c r="Y7" s="52" t="n">
        <f aca="false">AUG!Y45</f>
        <v>216489.41164608</v>
      </c>
      <c r="Z7" s="56"/>
      <c r="AA7" s="57"/>
      <c r="AB7" s="57"/>
      <c r="AC7" s="58"/>
      <c r="AD7" s="186"/>
      <c r="AE7" s="92"/>
      <c r="AF7" s="92"/>
    </row>
    <row r="8" s="45" customFormat="true" ht="11.1" hidden="false" customHeight="true" outlineLevel="0" collapsed="false">
      <c r="A8" s="52" t="s">
        <v>43</v>
      </c>
      <c r="B8" s="73" t="n">
        <f aca="false">AUG!B40</f>
        <v>6917.26</v>
      </c>
      <c r="C8" s="52" t="n">
        <f aca="false">AUG!C40</f>
        <v>351856</v>
      </c>
      <c r="D8" s="52" t="n">
        <f aca="false">AUG!D49</f>
        <v>61663</v>
      </c>
      <c r="E8" s="52" t="n">
        <f aca="false">AUG!E49</f>
        <v>199856</v>
      </c>
      <c r="F8" s="52" t="n">
        <f aca="false">AUG!F48</f>
        <v>31087.9758003529</v>
      </c>
      <c r="G8" s="52" t="n">
        <f aca="false">AUG!G48</f>
        <v>219892</v>
      </c>
      <c r="H8" s="52" t="n">
        <f aca="false">AUG!H48</f>
        <v>16090</v>
      </c>
      <c r="I8" s="52" t="n">
        <f aca="false">AUG!I48</f>
        <v>235440.9</v>
      </c>
      <c r="J8" s="52" t="n">
        <f aca="false">AUG!J48</f>
        <v>51761.178648853</v>
      </c>
      <c r="K8" s="52" t="n">
        <f aca="false">AUG!K48</f>
        <v>287202.078648853</v>
      </c>
      <c r="L8" s="52" t="n">
        <f aca="false">AUG!L48</f>
        <v>46349.0758003529</v>
      </c>
      <c r="M8" s="52" t="n">
        <f aca="false">AUG!M48</f>
        <v>25672</v>
      </c>
      <c r="N8" s="52" t="n">
        <f aca="false">AUG!N48</f>
        <v>0.08</v>
      </c>
      <c r="O8" s="52" t="n">
        <f aca="false">AUG!O48</f>
        <v>0</v>
      </c>
      <c r="P8" s="52" t="n">
        <f aca="false">AUG!P48</f>
        <v>25671.92</v>
      </c>
      <c r="Q8" s="52" t="n">
        <f aca="false">AUG!Q48</f>
        <v>22401</v>
      </c>
      <c r="R8" s="52" t="n">
        <f aca="false">AUG!R48</f>
        <v>10969</v>
      </c>
      <c r="S8" s="52" t="n">
        <f aca="false">AUG!S48</f>
        <v>58697.92</v>
      </c>
      <c r="T8" s="52" t="n">
        <f aca="false">AUG!T48</f>
        <v>1109</v>
      </c>
      <c r="U8" s="52" t="n">
        <f aca="false">AUG!U48</f>
        <v>792</v>
      </c>
      <c r="V8" s="52" t="n">
        <f aca="false">AUG!V48</f>
        <v>191212</v>
      </c>
      <c r="W8" s="52" t="n">
        <f aca="false">AUG!W48</f>
        <v>250702</v>
      </c>
      <c r="X8" s="52" t="n">
        <f aca="false">AUG!X48</f>
        <v>5489.5255860852</v>
      </c>
      <c r="Y8" s="52" t="n">
        <f aca="false">AUG!Y48</f>
        <v>256191.525586085</v>
      </c>
      <c r="Z8" s="56" t="n">
        <f aca="false">AUG!Z48</f>
        <v>14.18</v>
      </c>
      <c r="AA8" s="57"/>
      <c r="AB8" s="57"/>
      <c r="AC8" s="58"/>
      <c r="AD8" s="186"/>
      <c r="AE8" s="91"/>
      <c r="AF8" s="93"/>
      <c r="AG8" s="44"/>
      <c r="AH8" s="44"/>
    </row>
    <row r="9" customFormat="false" ht="3" hidden="false" customHeight="true" outlineLevel="0" collapsed="false">
      <c r="A9" s="74"/>
      <c r="B9" s="75"/>
      <c r="C9" s="76"/>
      <c r="D9" s="74"/>
      <c r="E9" s="76"/>
      <c r="F9" s="74"/>
      <c r="G9" s="74"/>
      <c r="H9" s="77"/>
      <c r="I9" s="74"/>
      <c r="J9" s="74"/>
      <c r="K9" s="74"/>
      <c r="L9" s="74"/>
      <c r="M9" s="74"/>
      <c r="N9" s="74"/>
      <c r="O9" s="74"/>
      <c r="P9" s="74"/>
      <c r="Q9" s="74"/>
      <c r="R9" s="74"/>
      <c r="S9" s="74"/>
      <c r="T9" s="76"/>
      <c r="U9" s="74"/>
      <c r="V9" s="74"/>
      <c r="W9" s="74"/>
      <c r="X9" s="74"/>
      <c r="Y9" s="74"/>
      <c r="Z9" s="78"/>
      <c r="AA9" s="79" t="n">
        <v>0</v>
      </c>
      <c r="AB9" s="79"/>
      <c r="AC9" s="80"/>
      <c r="AD9" s="188"/>
      <c r="AE9" s="91"/>
      <c r="AF9" s="92"/>
    </row>
    <row r="10" customFormat="false" ht="11.1" hidden="false" customHeight="true" outlineLevel="0" collapsed="false">
      <c r="A10" s="58" t="n">
        <v>1</v>
      </c>
      <c r="B10" s="73" t="n">
        <v>6917.14</v>
      </c>
      <c r="C10" s="52" t="n">
        <v>351347</v>
      </c>
      <c r="D10" s="57" t="n">
        <f aca="false">C10-C8</f>
        <v>-509</v>
      </c>
      <c r="E10" s="52" t="n">
        <f aca="false">C10-151978</f>
        <v>199369</v>
      </c>
      <c r="F10" s="51" t="n">
        <f aca="false">D10/$D$2</f>
        <v>-256.617091000756</v>
      </c>
      <c r="G10" s="51" t="n">
        <v>175</v>
      </c>
      <c r="H10" s="53" t="n">
        <v>0</v>
      </c>
      <c r="I10" s="51" t="n">
        <f aca="false">G10+H10</f>
        <v>175</v>
      </c>
      <c r="J10" s="81" t="n">
        <f aca="false">IF(L10&gt;0,L10,0)</f>
        <v>41.3829089992437</v>
      </c>
      <c r="K10" s="51" t="n">
        <f aca="false">I10+J10</f>
        <v>216.382908999244</v>
      </c>
      <c r="L10" s="51" t="n">
        <f aca="false">F10-(I10-W10)</f>
        <v>41.3829089992437</v>
      </c>
      <c r="M10" s="51" t="n">
        <v>107</v>
      </c>
      <c r="N10" s="51" t="n">
        <v>0</v>
      </c>
      <c r="O10" s="51" t="n">
        <v>0</v>
      </c>
      <c r="P10" s="6" t="n">
        <f aca="false">M10-(N10+O10)</f>
        <v>107</v>
      </c>
      <c r="Q10" s="51" t="n">
        <v>131</v>
      </c>
      <c r="R10" s="51" t="n">
        <v>55</v>
      </c>
      <c r="S10" s="51" t="n">
        <f aca="false">SUM(P10:R10)</f>
        <v>293</v>
      </c>
      <c r="T10" s="52" t="n">
        <f aca="false">(I10-S10)+T7</f>
        <v>991</v>
      </c>
      <c r="U10" s="51" t="n">
        <v>0</v>
      </c>
      <c r="V10" s="51" t="n">
        <v>180</v>
      </c>
      <c r="W10" s="6" t="n">
        <f aca="false">N10+O10+S10+U10+V10</f>
        <v>473</v>
      </c>
      <c r="X10" s="51" t="n">
        <f aca="false">IF(L10&lt;0,L10*-1,0)</f>
        <v>0</v>
      </c>
      <c r="Y10" s="51" t="n">
        <f aca="false">W10+X10</f>
        <v>473</v>
      </c>
      <c r="Z10" s="56" t="n">
        <v>0</v>
      </c>
      <c r="AA10" s="57" t="n">
        <v>84</v>
      </c>
      <c r="AB10" s="57" t="n">
        <v>52</v>
      </c>
      <c r="AC10" s="58" t="n">
        <v>1</v>
      </c>
      <c r="AD10" s="186" t="n">
        <f aca="false">IF(I10&gt;S10,I10-S10,I10-S10)</f>
        <v>-118</v>
      </c>
      <c r="AE10" s="93"/>
      <c r="AF10" s="93"/>
    </row>
    <row r="11" customFormat="false" ht="11.1" hidden="false" customHeight="true" outlineLevel="0" collapsed="false">
      <c r="A11" s="58" t="n">
        <v>2</v>
      </c>
      <c r="B11" s="73" t="n">
        <v>6916.98</v>
      </c>
      <c r="C11" s="52" t="n">
        <v>350670</v>
      </c>
      <c r="D11" s="57" t="n">
        <f aca="false">C11-C10</f>
        <v>-677</v>
      </c>
      <c r="E11" s="52" t="n">
        <f aca="false">C11-151978</f>
        <v>198692</v>
      </c>
      <c r="F11" s="51" t="n">
        <f aca="false">D11/$D$2</f>
        <v>-341.315855810436</v>
      </c>
      <c r="G11" s="51" t="n">
        <v>168</v>
      </c>
      <c r="H11" s="53" t="n">
        <v>0</v>
      </c>
      <c r="I11" s="51" t="n">
        <f aca="false">G11+H11</f>
        <v>168</v>
      </c>
      <c r="J11" s="81" t="n">
        <f aca="false">IF(L11&gt;0,L11,0)</f>
        <v>0</v>
      </c>
      <c r="K11" s="51" t="n">
        <f aca="false">I11+J11</f>
        <v>168</v>
      </c>
      <c r="L11" s="51" t="n">
        <f aca="false">F11-(I11-W11)</f>
        <v>-46.3158558104361</v>
      </c>
      <c r="M11" s="51" t="n">
        <v>106</v>
      </c>
      <c r="N11" s="51" t="n">
        <v>0</v>
      </c>
      <c r="O11" s="51" t="n">
        <v>0</v>
      </c>
      <c r="P11" s="6" t="n">
        <f aca="false">M11-(N11+O11)</f>
        <v>106</v>
      </c>
      <c r="Q11" s="51" t="n">
        <v>115</v>
      </c>
      <c r="R11" s="51" t="n">
        <v>65</v>
      </c>
      <c r="S11" s="51" t="n">
        <f aca="false">SUM(P11:R11)</f>
        <v>286</v>
      </c>
      <c r="T11" s="52" t="n">
        <f aca="false">(I11-S11)+T10</f>
        <v>873</v>
      </c>
      <c r="U11" s="51" t="n">
        <v>0</v>
      </c>
      <c r="V11" s="51" t="n">
        <v>177</v>
      </c>
      <c r="W11" s="6" t="n">
        <f aca="false">N11+O11+S11+U11+V11</f>
        <v>463</v>
      </c>
      <c r="X11" s="51" t="n">
        <f aca="false">IF(L11&lt;0,L11*-1,0)</f>
        <v>46.3158558104361</v>
      </c>
      <c r="Y11" s="51" t="n">
        <f aca="false">W11+X11</f>
        <v>509.315855810436</v>
      </c>
      <c r="Z11" s="56" t="n">
        <v>0</v>
      </c>
      <c r="AA11" s="57" t="n">
        <v>82</v>
      </c>
      <c r="AB11" s="57" t="n">
        <v>51</v>
      </c>
      <c r="AC11" s="58" t="n">
        <v>2</v>
      </c>
      <c r="AD11" s="186" t="n">
        <f aca="false">IF(I11&gt;S11,I11-S11,I11-S11)</f>
        <v>-118</v>
      </c>
      <c r="AE11" s="93"/>
      <c r="AF11" s="93"/>
    </row>
    <row r="12" customFormat="false" ht="11.1" hidden="false" customHeight="true" outlineLevel="0" collapsed="false">
      <c r="A12" s="58" t="n">
        <v>3</v>
      </c>
      <c r="B12" s="73" t="n">
        <v>6916.84</v>
      </c>
      <c r="C12" s="52" t="n">
        <v>350081</v>
      </c>
      <c r="D12" s="57" t="n">
        <f aca="false">C12-C11</f>
        <v>-589</v>
      </c>
      <c r="E12" s="52" t="n">
        <f aca="false">C12-151978</f>
        <v>198103</v>
      </c>
      <c r="F12" s="51" t="n">
        <f aca="false">D12/$D$2</f>
        <v>-296.949836148223</v>
      </c>
      <c r="G12" s="51" t="n">
        <v>168</v>
      </c>
      <c r="H12" s="53" t="n">
        <v>0</v>
      </c>
      <c r="I12" s="51" t="n">
        <f aca="false">G12+H12</f>
        <v>168</v>
      </c>
      <c r="J12" s="81" t="n">
        <f aca="false">IF(L12&gt;0,L12,0)</f>
        <v>12.0501638517771</v>
      </c>
      <c r="K12" s="51" t="n">
        <f aca="false">I12+J12</f>
        <v>180.050163851777</v>
      </c>
      <c r="L12" s="51" t="n">
        <f aca="false">F12-(I12-W12)</f>
        <v>12.0501638517771</v>
      </c>
      <c r="M12" s="51" t="n">
        <v>106</v>
      </c>
      <c r="N12" s="51" t="n">
        <v>0</v>
      </c>
      <c r="O12" s="51" t="n">
        <v>0</v>
      </c>
      <c r="P12" s="6" t="n">
        <f aca="false">M12-(N12+O12)</f>
        <v>106</v>
      </c>
      <c r="Q12" s="51" t="n">
        <v>115</v>
      </c>
      <c r="R12" s="51" t="n">
        <v>64</v>
      </c>
      <c r="S12" s="51" t="n">
        <f aca="false">SUM(P12:R12)</f>
        <v>285</v>
      </c>
      <c r="T12" s="52" t="n">
        <f aca="false">(I12-S12)+T11</f>
        <v>756</v>
      </c>
      <c r="U12" s="51" t="n">
        <v>13</v>
      </c>
      <c r="V12" s="51" t="n">
        <v>179</v>
      </c>
      <c r="W12" s="6" t="n">
        <f aca="false">N12+O12+S12+U12+V12</f>
        <v>477</v>
      </c>
      <c r="X12" s="51" t="n">
        <f aca="false">IF(L12&lt;0,L12*-1,0)</f>
        <v>0</v>
      </c>
      <c r="Y12" s="51" t="n">
        <f aca="false">W12+X12</f>
        <v>477</v>
      </c>
      <c r="Z12" s="56" t="n">
        <v>0</v>
      </c>
      <c r="AA12" s="57" t="n">
        <v>79</v>
      </c>
      <c r="AB12" s="57" t="n">
        <v>55</v>
      </c>
      <c r="AC12" s="58" t="n">
        <v>3</v>
      </c>
      <c r="AD12" s="186" t="n">
        <f aca="false">IF(I12&gt;S12,I12-S12,I12-S12)</f>
        <v>-117</v>
      </c>
      <c r="AE12" s="93"/>
      <c r="AF12" s="93"/>
    </row>
    <row r="13" customFormat="false" ht="11.1" hidden="false" customHeight="true" outlineLevel="0" collapsed="false">
      <c r="A13" s="58" t="n">
        <v>4</v>
      </c>
      <c r="B13" s="73" t="n">
        <v>6916.59</v>
      </c>
      <c r="C13" s="52" t="n">
        <v>349029</v>
      </c>
      <c r="D13" s="57" t="n">
        <f aca="false">C13-C12</f>
        <v>-1052</v>
      </c>
      <c r="E13" s="52" t="n">
        <f aca="false">C13-151978</f>
        <v>197051</v>
      </c>
      <c r="F13" s="51" t="n">
        <f aca="false">D13/$D$2</f>
        <v>-530.375598689186</v>
      </c>
      <c r="G13" s="51" t="n">
        <v>160</v>
      </c>
      <c r="H13" s="53" t="n">
        <v>0</v>
      </c>
      <c r="I13" s="51" t="n">
        <f aca="false">G13+H13</f>
        <v>160</v>
      </c>
      <c r="J13" s="81" t="n">
        <f aca="false">IF(L13&gt;0,L13,0)</f>
        <v>0</v>
      </c>
      <c r="K13" s="51" t="n">
        <f aca="false">I13+J13</f>
        <v>160</v>
      </c>
      <c r="L13" s="51" t="n">
        <f aca="false">F13-(I13-W13)</f>
        <v>-210.375598689186</v>
      </c>
      <c r="M13" s="51" t="n">
        <v>116</v>
      </c>
      <c r="N13" s="51" t="n">
        <v>0</v>
      </c>
      <c r="O13" s="51" t="n">
        <v>0</v>
      </c>
      <c r="P13" s="6" t="n">
        <f aca="false">M13-(N13+O13)</f>
        <v>116</v>
      </c>
      <c r="Q13" s="51" t="n">
        <v>114</v>
      </c>
      <c r="R13" s="51" t="n">
        <v>65</v>
      </c>
      <c r="S13" s="51" t="n">
        <f aca="false">SUM(P13:R13)</f>
        <v>295</v>
      </c>
      <c r="T13" s="52" t="n">
        <f aca="false">(I13-S13)+T12</f>
        <v>621</v>
      </c>
      <c r="U13" s="51" t="n">
        <v>8</v>
      </c>
      <c r="V13" s="51" t="n">
        <v>177</v>
      </c>
      <c r="W13" s="6" t="n">
        <f aca="false">N13+O13+S13+U13+V13</f>
        <v>480</v>
      </c>
      <c r="X13" s="51" t="n">
        <f aca="false">IF(L13&lt;0,L13*-1,0)</f>
        <v>210.375598689186</v>
      </c>
      <c r="Y13" s="51" t="n">
        <f aca="false">W13+X13</f>
        <v>690.375598689186</v>
      </c>
      <c r="Z13" s="56" t="n">
        <v>0</v>
      </c>
      <c r="AA13" s="57" t="n">
        <v>77</v>
      </c>
      <c r="AB13" s="57" t="n">
        <v>55</v>
      </c>
      <c r="AC13" s="58" t="n">
        <v>4</v>
      </c>
      <c r="AD13" s="186" t="n">
        <f aca="false">IF(I13&gt;S13,I13-S13,I13-S13)</f>
        <v>-135</v>
      </c>
      <c r="AE13" s="93"/>
      <c r="AF13" s="93"/>
    </row>
    <row r="14" customFormat="false" ht="11.1" hidden="false" customHeight="true" outlineLevel="0" collapsed="false">
      <c r="A14" s="58" t="n">
        <v>5</v>
      </c>
      <c r="B14" s="73" t="n">
        <v>6916.35</v>
      </c>
      <c r="C14" s="52" t="n">
        <v>348019</v>
      </c>
      <c r="D14" s="57" t="n">
        <f aca="false">C14-C13</f>
        <v>-1010</v>
      </c>
      <c r="E14" s="52" t="n">
        <f aca="false">C14-151978</f>
        <v>196041</v>
      </c>
      <c r="F14" s="51" t="n">
        <f aca="false">D14/$D$2</f>
        <v>-509.200907486766</v>
      </c>
      <c r="G14" s="51" t="n">
        <v>161</v>
      </c>
      <c r="H14" s="53" t="n">
        <v>0</v>
      </c>
      <c r="I14" s="51" t="n">
        <f aca="false">G14+H14</f>
        <v>161</v>
      </c>
      <c r="J14" s="81" t="n">
        <f aca="false">IF(L14&gt;0,L14,0)</f>
        <v>0</v>
      </c>
      <c r="K14" s="51" t="n">
        <f aca="false">I14+J14</f>
        <v>161</v>
      </c>
      <c r="L14" s="51" t="n">
        <f aca="false">F14-(I14-W14)</f>
        <v>-186.200907486766</v>
      </c>
      <c r="M14" s="51" t="n">
        <v>126</v>
      </c>
      <c r="N14" s="51" t="n">
        <v>0</v>
      </c>
      <c r="O14" s="51" t="n">
        <v>0</v>
      </c>
      <c r="P14" s="6" t="n">
        <f aca="false">M14-(N14+O14)</f>
        <v>126</v>
      </c>
      <c r="Q14" s="51" t="n">
        <v>114</v>
      </c>
      <c r="R14" s="51" t="n">
        <v>66</v>
      </c>
      <c r="S14" s="51" t="n">
        <f aca="false">SUM(P14:R14)</f>
        <v>306</v>
      </c>
      <c r="T14" s="52" t="n">
        <f aca="false">(I14-S14)+T13</f>
        <v>476</v>
      </c>
      <c r="U14" s="51" t="n">
        <v>0</v>
      </c>
      <c r="V14" s="51" t="n">
        <v>178</v>
      </c>
      <c r="W14" s="6" t="n">
        <f aca="false">N14+O14+S14+U14+V14</f>
        <v>484</v>
      </c>
      <c r="X14" s="51" t="n">
        <f aca="false">IF(L14&lt;0,L14*-1,0)</f>
        <v>186.200907486766</v>
      </c>
      <c r="Y14" s="51" t="n">
        <f aca="false">W14+X14</f>
        <v>670.200907486766</v>
      </c>
      <c r="Z14" s="56" t="n">
        <v>0</v>
      </c>
      <c r="AA14" s="57" t="n">
        <v>76</v>
      </c>
      <c r="AB14" s="57" t="n">
        <v>47</v>
      </c>
      <c r="AC14" s="58" t="n">
        <v>5</v>
      </c>
      <c r="AD14" s="186" t="n">
        <f aca="false">IF(I14&gt;S14,I14-S14,I14-S14)</f>
        <v>-145</v>
      </c>
      <c r="AE14" s="93"/>
      <c r="AF14" s="93"/>
    </row>
    <row r="15" customFormat="false" ht="11.1" hidden="false" customHeight="true" outlineLevel="0" collapsed="false">
      <c r="A15" s="58" t="n">
        <v>6</v>
      </c>
      <c r="B15" s="73" t="n">
        <v>6916.2</v>
      </c>
      <c r="C15" s="52" t="n">
        <v>347388</v>
      </c>
      <c r="D15" s="57" t="n">
        <f aca="false">C15-C14</f>
        <v>-631</v>
      </c>
      <c r="E15" s="52" t="n">
        <f aca="false">C15-151978</f>
        <v>195410</v>
      </c>
      <c r="F15" s="51" t="n">
        <f aca="false">D15/$D$2</f>
        <v>-318.124527350643</v>
      </c>
      <c r="G15" s="51" t="n">
        <v>149</v>
      </c>
      <c r="H15" s="53" t="n">
        <v>0</v>
      </c>
      <c r="I15" s="51" t="n">
        <f aca="false">G15+H15</f>
        <v>149</v>
      </c>
      <c r="J15" s="81" t="n">
        <f aca="false">IF(L15&gt;0,L15,0)</f>
        <v>12.8754726493572</v>
      </c>
      <c r="K15" s="51" t="n">
        <f aca="false">I15+J15</f>
        <v>161.875472649357</v>
      </c>
      <c r="L15" s="51" t="n">
        <f aca="false">F15-(I15-W15)</f>
        <v>12.8754726493572</v>
      </c>
      <c r="M15" s="51" t="n">
        <v>126</v>
      </c>
      <c r="N15" s="51" t="n">
        <v>0</v>
      </c>
      <c r="O15" s="51" t="n">
        <v>0</v>
      </c>
      <c r="P15" s="6" t="n">
        <f aca="false">M15-(N15+O15)</f>
        <v>126</v>
      </c>
      <c r="Q15" s="51" t="n">
        <v>113</v>
      </c>
      <c r="R15" s="51" t="n">
        <v>64</v>
      </c>
      <c r="S15" s="51" t="n">
        <f aca="false">SUM(P15:R15)</f>
        <v>303</v>
      </c>
      <c r="T15" s="52" t="n">
        <f aca="false">(I15-S15)+T14</f>
        <v>322</v>
      </c>
      <c r="U15" s="51" t="n">
        <v>0</v>
      </c>
      <c r="V15" s="51" t="n">
        <v>177</v>
      </c>
      <c r="W15" s="6" t="n">
        <f aca="false">N15+O15+S15+U15+V15</f>
        <v>480</v>
      </c>
      <c r="X15" s="51" t="n">
        <f aca="false">IF(L15&lt;0,L15*-1,0)</f>
        <v>0</v>
      </c>
      <c r="Y15" s="51" t="n">
        <f aca="false">W15+X15</f>
        <v>480</v>
      </c>
      <c r="Z15" s="56" t="n">
        <v>0</v>
      </c>
      <c r="AA15" s="57" t="n">
        <v>76</v>
      </c>
      <c r="AB15" s="57" t="n">
        <v>46</v>
      </c>
      <c r="AC15" s="58" t="n">
        <v>6</v>
      </c>
      <c r="AD15" s="186" t="n">
        <f aca="false">IF(I15&gt;S15,I15-S15,I15-S15)</f>
        <v>-154</v>
      </c>
      <c r="AE15" s="93"/>
      <c r="AF15" s="93"/>
    </row>
    <row r="16" customFormat="false" ht="11.1" hidden="false" customHeight="true" outlineLevel="0" collapsed="false">
      <c r="A16" s="58" t="n">
        <v>7</v>
      </c>
      <c r="B16" s="73" t="n">
        <v>6916.05</v>
      </c>
      <c r="C16" s="52" t="n">
        <v>346757</v>
      </c>
      <c r="D16" s="57" t="n">
        <f aca="false">C16-C15</f>
        <v>-631</v>
      </c>
      <c r="E16" s="52" t="n">
        <f aca="false">C16-151978</f>
        <v>194779</v>
      </c>
      <c r="F16" s="51" t="n">
        <f aca="false">D16/$D$2</f>
        <v>-318.124527350643</v>
      </c>
      <c r="G16" s="51" t="n">
        <v>141</v>
      </c>
      <c r="H16" s="53" t="n">
        <v>0</v>
      </c>
      <c r="I16" s="51" t="n">
        <f aca="false">G16+H16</f>
        <v>141</v>
      </c>
      <c r="J16" s="81" t="n">
        <f aca="false">IF(L16&gt;0,L16,0)</f>
        <v>21.8754726493572</v>
      </c>
      <c r="K16" s="51" t="n">
        <f aca="false">I16+J16</f>
        <v>162.875472649357</v>
      </c>
      <c r="L16" s="51" t="n">
        <f aca="false">F16-(I16-W16)</f>
        <v>21.8754726493572</v>
      </c>
      <c r="M16" s="51" t="n">
        <v>126</v>
      </c>
      <c r="N16" s="51" t="n">
        <v>0</v>
      </c>
      <c r="O16" s="51" t="n">
        <v>0</v>
      </c>
      <c r="P16" s="6" t="n">
        <f aca="false">M16-(N16+O16)</f>
        <v>126</v>
      </c>
      <c r="Q16" s="51" t="n">
        <v>113</v>
      </c>
      <c r="R16" s="51" t="n">
        <v>64</v>
      </c>
      <c r="S16" s="51" t="n">
        <f aca="false">SUM(P16:R16)</f>
        <v>303</v>
      </c>
      <c r="T16" s="52" t="n">
        <f aca="false">(I16-S16)+T15</f>
        <v>160</v>
      </c>
      <c r="U16" s="51" t="n">
        <v>0</v>
      </c>
      <c r="V16" s="51" t="n">
        <v>178</v>
      </c>
      <c r="W16" s="6" t="n">
        <f aca="false">N16+O16+S16+U16+V16</f>
        <v>481</v>
      </c>
      <c r="X16" s="51" t="n">
        <f aca="false">IF(L16&lt;0,L16*-1,0)</f>
        <v>0</v>
      </c>
      <c r="Y16" s="51" t="n">
        <f aca="false">W16+X16</f>
        <v>481</v>
      </c>
      <c r="Z16" s="56" t="n">
        <v>0</v>
      </c>
      <c r="AA16" s="57" t="n">
        <v>76</v>
      </c>
      <c r="AB16" s="57" t="n">
        <v>46</v>
      </c>
      <c r="AC16" s="58" t="n">
        <v>7</v>
      </c>
      <c r="AD16" s="186" t="n">
        <f aca="false">IF(I16&gt;S16,I16-S16,I16-S16)</f>
        <v>-162</v>
      </c>
      <c r="AE16" s="93"/>
      <c r="AF16" s="93"/>
    </row>
    <row r="17" customFormat="false" ht="11.1" hidden="false" customHeight="true" outlineLevel="0" collapsed="false">
      <c r="A17" s="58" t="n">
        <v>8</v>
      </c>
      <c r="B17" s="73" t="n">
        <v>6915.86</v>
      </c>
      <c r="C17" s="52" t="n">
        <v>345962</v>
      </c>
      <c r="D17" s="57" t="n">
        <f aca="false">C17-C16</f>
        <v>-795</v>
      </c>
      <c r="E17" s="52" t="n">
        <f aca="false">C17-151978</f>
        <v>193984</v>
      </c>
      <c r="F17" s="51" t="n">
        <f aca="false">D17/$D$2</f>
        <v>-400.806654902949</v>
      </c>
      <c r="G17" s="51" t="n">
        <v>139</v>
      </c>
      <c r="H17" s="53" t="n">
        <v>0</v>
      </c>
      <c r="I17" s="51" t="n">
        <f aca="false">G17+H17</f>
        <v>139</v>
      </c>
      <c r="J17" s="81" t="n">
        <f aca="false">IF(L17&gt;0,L17,0)</f>
        <v>0</v>
      </c>
      <c r="K17" s="51" t="n">
        <f aca="false">I17+J17</f>
        <v>139</v>
      </c>
      <c r="L17" s="51" t="n">
        <f aca="false">F17-(I17-W17)</f>
        <v>-36.8066549029493</v>
      </c>
      <c r="M17" s="51" t="n">
        <v>126</v>
      </c>
      <c r="N17" s="51" t="n">
        <v>0</v>
      </c>
      <c r="O17" s="51" t="n">
        <v>0</v>
      </c>
      <c r="P17" s="6" t="n">
        <f aca="false">M17-(N17+O17)</f>
        <v>126</v>
      </c>
      <c r="Q17" s="51" t="n">
        <v>113</v>
      </c>
      <c r="R17" s="51" t="n">
        <v>64</v>
      </c>
      <c r="S17" s="51" t="n">
        <f aca="false">SUM(P17:R17)</f>
        <v>303</v>
      </c>
      <c r="T17" s="52" t="n">
        <f aca="false">(I17-S17)+T16</f>
        <v>-4</v>
      </c>
      <c r="U17" s="51" t="n">
        <v>25</v>
      </c>
      <c r="V17" s="51" t="n">
        <v>175</v>
      </c>
      <c r="W17" s="6" t="n">
        <f aca="false">N17+O17+S17+U17+V17</f>
        <v>503</v>
      </c>
      <c r="X17" s="51" t="n">
        <f aca="false">IF(L17&lt;0,L17*-1,0)</f>
        <v>36.8066549029493</v>
      </c>
      <c r="Y17" s="51" t="n">
        <f aca="false">W17+X17</f>
        <v>539.806654902949</v>
      </c>
      <c r="Z17" s="56" t="n">
        <v>0</v>
      </c>
      <c r="AA17" s="57" t="n">
        <v>76</v>
      </c>
      <c r="AB17" s="57" t="n">
        <v>44</v>
      </c>
      <c r="AC17" s="58" t="n">
        <v>8</v>
      </c>
      <c r="AD17" s="186" t="n">
        <f aca="false">IF(I17&gt;S17,I17-S17,I17-S17)</f>
        <v>-164</v>
      </c>
      <c r="AE17" s="93"/>
      <c r="AF17" s="93"/>
    </row>
    <row r="18" customFormat="false" ht="11.1" hidden="false" customHeight="true" outlineLevel="0" collapsed="false">
      <c r="A18" s="58" t="n">
        <v>9</v>
      </c>
      <c r="B18" s="73" t="n">
        <v>6915.65</v>
      </c>
      <c r="C18" s="52" t="n">
        <v>345086</v>
      </c>
      <c r="D18" s="57" t="n">
        <f aca="false">C18-C17</f>
        <v>-876</v>
      </c>
      <c r="E18" s="52" t="n">
        <f aca="false">C18-151978</f>
        <v>193108</v>
      </c>
      <c r="F18" s="51" t="n">
        <f aca="false">D18/$D$2</f>
        <v>-441.643559364759</v>
      </c>
      <c r="G18" s="51" t="n">
        <v>135</v>
      </c>
      <c r="H18" s="53" t="n">
        <v>0</v>
      </c>
      <c r="I18" s="51" t="n">
        <f aca="false">G18+H18</f>
        <v>135</v>
      </c>
      <c r="J18" s="81" t="n">
        <f aca="false">IF(L18&gt;0,L18,0)</f>
        <v>0</v>
      </c>
      <c r="K18" s="51" t="n">
        <f aca="false">I18+J18</f>
        <v>135</v>
      </c>
      <c r="L18" s="51" t="n">
        <f aca="false">F18-(I18-W18)</f>
        <v>-98.6435593647593</v>
      </c>
      <c r="M18" s="51" t="n">
        <v>126</v>
      </c>
      <c r="N18" s="51" t="n">
        <v>0</v>
      </c>
      <c r="O18" s="51" t="n">
        <v>0</v>
      </c>
      <c r="P18" s="6" t="n">
        <f aca="false">M18-(N18+O18)</f>
        <v>126</v>
      </c>
      <c r="Q18" s="51" t="n">
        <v>112</v>
      </c>
      <c r="R18" s="51" t="n">
        <v>64</v>
      </c>
      <c r="S18" s="51" t="n">
        <f aca="false">SUM(P18:R18)</f>
        <v>302</v>
      </c>
      <c r="T18" s="52" t="n">
        <f aca="false">(I18-S18)+T17</f>
        <v>-171</v>
      </c>
      <c r="U18" s="51" t="n">
        <v>0</v>
      </c>
      <c r="V18" s="51" t="n">
        <v>176</v>
      </c>
      <c r="W18" s="6" t="n">
        <f aca="false">N18+O18+S18+U18+V18</f>
        <v>478</v>
      </c>
      <c r="X18" s="51" t="n">
        <f aca="false">IF(L18&lt;0,L18*-1,0)</f>
        <v>98.6435593647593</v>
      </c>
      <c r="Y18" s="51" t="n">
        <f aca="false">W18+X18</f>
        <v>576.643559364759</v>
      </c>
      <c r="Z18" s="56" t="n">
        <v>0</v>
      </c>
      <c r="AA18" s="57" t="n">
        <v>78</v>
      </c>
      <c r="AB18" s="57" t="n">
        <v>45</v>
      </c>
      <c r="AC18" s="58" t="n">
        <v>9</v>
      </c>
      <c r="AD18" s="186" t="n">
        <f aca="false">IF(I18&gt;S18,I18-S18,I18-S18)</f>
        <v>-167</v>
      </c>
      <c r="AE18" s="93"/>
      <c r="AF18" s="93"/>
    </row>
    <row r="19" customFormat="false" ht="11.1" hidden="false" customHeight="true" outlineLevel="0" collapsed="false">
      <c r="A19" s="58" t="n">
        <v>10</v>
      </c>
      <c r="B19" s="73" t="n">
        <v>6915.47</v>
      </c>
      <c r="C19" s="52" t="n">
        <v>344334</v>
      </c>
      <c r="D19" s="57" t="n">
        <f aca="false">C19-C18</f>
        <v>-752</v>
      </c>
      <c r="E19" s="52" t="n">
        <f aca="false">C19-151978</f>
        <v>192356</v>
      </c>
      <c r="F19" s="51" t="n">
        <f aca="false">D19/$D$2</f>
        <v>-379.127804386186</v>
      </c>
      <c r="G19" s="51" t="n">
        <v>129</v>
      </c>
      <c r="H19" s="53" t="n">
        <v>0.01</v>
      </c>
      <c r="I19" s="51" t="n">
        <f aca="false">G19+H19</f>
        <v>129.01</v>
      </c>
      <c r="J19" s="81" t="n">
        <f aca="false">IF(L19&gt;0,L19,0)</f>
        <v>0</v>
      </c>
      <c r="K19" s="51" t="n">
        <f aca="false">I19+J19</f>
        <v>129.01</v>
      </c>
      <c r="L19" s="51" t="n">
        <f aca="false">F19-(I19-W19)</f>
        <v>-10.137804386186</v>
      </c>
      <c r="M19" s="51" t="n">
        <v>125</v>
      </c>
      <c r="N19" s="51" t="n">
        <v>0</v>
      </c>
      <c r="O19" s="51" t="n">
        <v>0</v>
      </c>
      <c r="P19" s="6" t="n">
        <f aca="false">M19-(N19+O19)</f>
        <v>125</v>
      </c>
      <c r="Q19" s="51" t="n">
        <v>112</v>
      </c>
      <c r="R19" s="51" t="n">
        <v>63</v>
      </c>
      <c r="S19" s="51" t="n">
        <f aca="false">SUM(P19:R19)</f>
        <v>300</v>
      </c>
      <c r="T19" s="52" t="n">
        <f aca="false">(I19-S19)+T18</f>
        <v>-341.99</v>
      </c>
      <c r="U19" s="51" t="n">
        <v>24</v>
      </c>
      <c r="V19" s="51" t="n">
        <v>174</v>
      </c>
      <c r="W19" s="6" t="n">
        <f aca="false">N19+O19+S19+U19+V19</f>
        <v>498</v>
      </c>
      <c r="X19" s="51" t="n">
        <f aca="false">IF(L19&lt;0,L19*-1,0)</f>
        <v>10.137804386186</v>
      </c>
      <c r="Y19" s="51" t="n">
        <f aca="false">W19+X19</f>
        <v>508.137804386186</v>
      </c>
      <c r="Z19" s="56" t="n">
        <v>0.03</v>
      </c>
      <c r="AA19" s="57" t="n">
        <v>78</v>
      </c>
      <c r="AB19" s="57" t="n">
        <v>45</v>
      </c>
      <c r="AC19" s="58" t="n">
        <v>10</v>
      </c>
      <c r="AD19" s="186" t="n">
        <f aca="false">IF(I19&gt;S19,I19-S19,I19-S19)</f>
        <v>-170.99</v>
      </c>
      <c r="AE19" s="93"/>
      <c r="AF19" s="93"/>
    </row>
    <row r="20" customFormat="false" ht="11.1" hidden="false" customHeight="true" outlineLevel="0" collapsed="false">
      <c r="A20" s="58" t="n">
        <v>11</v>
      </c>
      <c r="B20" s="73" t="n">
        <v>6915.25</v>
      </c>
      <c r="C20" s="52" t="n">
        <v>343416</v>
      </c>
      <c r="D20" s="57" t="n">
        <f aca="false">C20-C19</f>
        <v>-918</v>
      </c>
      <c r="E20" s="52" t="n">
        <f aca="false">C20-151978</f>
        <v>191438</v>
      </c>
      <c r="F20" s="51" t="n">
        <f aca="false">D20/$D$2</f>
        <v>-462.818250567179</v>
      </c>
      <c r="G20" s="51" t="n">
        <v>119</v>
      </c>
      <c r="H20" s="53" t="n">
        <v>0</v>
      </c>
      <c r="I20" s="51" t="n">
        <f aca="false">G20+H20</f>
        <v>119</v>
      </c>
      <c r="J20" s="81" t="n">
        <f aca="false">IF(L20&gt;0,L20,0)</f>
        <v>0</v>
      </c>
      <c r="K20" s="51" t="n">
        <f aca="false">I20+J20</f>
        <v>119</v>
      </c>
      <c r="L20" s="51" t="n">
        <f aca="false">F20-(I20-W20)</f>
        <v>-105.818250567179</v>
      </c>
      <c r="M20" s="51" t="n">
        <v>125</v>
      </c>
      <c r="N20" s="51" t="n">
        <v>0</v>
      </c>
      <c r="O20" s="51" t="n">
        <v>0</v>
      </c>
      <c r="P20" s="6" t="n">
        <f aca="false">M20-(N20+O20)</f>
        <v>125</v>
      </c>
      <c r="Q20" s="51" t="n">
        <v>112</v>
      </c>
      <c r="R20" s="51" t="n">
        <v>64</v>
      </c>
      <c r="S20" s="51" t="n">
        <f aca="false">SUM(P20:R20)</f>
        <v>301</v>
      </c>
      <c r="T20" s="52" t="n">
        <f aca="false">(I20-S20)+T19</f>
        <v>-523.99</v>
      </c>
      <c r="U20" s="51" t="n">
        <v>0</v>
      </c>
      <c r="V20" s="51" t="n">
        <v>175</v>
      </c>
      <c r="W20" s="6" t="n">
        <f aca="false">N20+O20+S20+U20+V20</f>
        <v>476</v>
      </c>
      <c r="X20" s="51" t="n">
        <f aca="false">IF(L20&lt;0,L20*-1,0)</f>
        <v>105.818250567179</v>
      </c>
      <c r="Y20" s="51" t="n">
        <f aca="false">W20+X20</f>
        <v>581.818250567179</v>
      </c>
      <c r="Z20" s="56" t="n">
        <v>0</v>
      </c>
      <c r="AA20" s="57" t="n">
        <v>79</v>
      </c>
      <c r="AB20" s="57" t="n">
        <v>45</v>
      </c>
      <c r="AC20" s="58" t="n">
        <v>11</v>
      </c>
      <c r="AD20" s="186" t="n">
        <f aca="false">IF(I20&gt;S20,I20-S20,I20-S20)</f>
        <v>-182</v>
      </c>
      <c r="AE20" s="93"/>
      <c r="AF20" s="93"/>
    </row>
    <row r="21" customFormat="false" ht="11.1" hidden="false" customHeight="true" outlineLevel="0" collapsed="false">
      <c r="A21" s="58" t="n">
        <v>12</v>
      </c>
      <c r="B21" s="73" t="n">
        <v>6915.02</v>
      </c>
      <c r="C21" s="52" t="n">
        <v>342456</v>
      </c>
      <c r="D21" s="57" t="n">
        <f aca="false">C21-C20</f>
        <v>-960</v>
      </c>
      <c r="E21" s="52" t="n">
        <f aca="false">C21-151978</f>
        <v>190478</v>
      </c>
      <c r="F21" s="51" t="n">
        <f aca="false">D21/$D$2</f>
        <v>-483.992941769599</v>
      </c>
      <c r="G21" s="51" t="n">
        <v>116</v>
      </c>
      <c r="H21" s="53" t="n">
        <v>0</v>
      </c>
      <c r="I21" s="51" t="n">
        <f aca="false">G21+H21</f>
        <v>116</v>
      </c>
      <c r="J21" s="81" t="n">
        <f aca="false">IF(L21&gt;0,L21,0)</f>
        <v>0</v>
      </c>
      <c r="K21" s="51" t="n">
        <f aca="false">I21+J21</f>
        <v>116</v>
      </c>
      <c r="L21" s="51" t="n">
        <f aca="false">F21-(I21-W21)</f>
        <v>-120.992941769599</v>
      </c>
      <c r="M21" s="51" t="n">
        <v>125</v>
      </c>
      <c r="N21" s="51" t="n">
        <v>0</v>
      </c>
      <c r="O21" s="51" t="n">
        <v>0</v>
      </c>
      <c r="P21" s="6" t="n">
        <f aca="false">M21-(N21+O21)</f>
        <v>125</v>
      </c>
      <c r="Q21" s="51" t="n">
        <v>111</v>
      </c>
      <c r="R21" s="51" t="n">
        <v>64</v>
      </c>
      <c r="S21" s="51" t="n">
        <f aca="false">SUM(P21:R21)</f>
        <v>300</v>
      </c>
      <c r="T21" s="52" t="n">
        <f aca="false">(I21-S21)+T20</f>
        <v>-707.99</v>
      </c>
      <c r="U21" s="51" t="n">
        <v>0</v>
      </c>
      <c r="V21" s="51" t="n">
        <v>179</v>
      </c>
      <c r="W21" s="6" t="n">
        <f aca="false">N21+O21+S21+U21+V21</f>
        <v>479</v>
      </c>
      <c r="X21" s="51" t="n">
        <f aca="false">IF(L21&lt;0,L21*-1,0)</f>
        <v>120.992941769599</v>
      </c>
      <c r="Y21" s="51" t="n">
        <f aca="false">W21+X21</f>
        <v>599.992941769599</v>
      </c>
      <c r="Z21" s="56" t="n">
        <v>0</v>
      </c>
      <c r="AA21" s="57" t="n">
        <v>79</v>
      </c>
      <c r="AB21" s="57" t="n">
        <v>46</v>
      </c>
      <c r="AC21" s="58" t="n">
        <v>12</v>
      </c>
      <c r="AD21" s="186" t="n">
        <f aca="false">IF(I21&gt;S21,I21-S21,I21-S21)</f>
        <v>-184</v>
      </c>
      <c r="AE21" s="93"/>
      <c r="AF21" s="93"/>
    </row>
    <row r="22" customFormat="false" ht="11.1" hidden="false" customHeight="true" outlineLevel="0" collapsed="false">
      <c r="A22" s="58" t="n">
        <v>13</v>
      </c>
      <c r="B22" s="73" t="n">
        <v>6914.83</v>
      </c>
      <c r="C22" s="52" t="n">
        <v>341668</v>
      </c>
      <c r="D22" s="57" t="n">
        <f aca="false">C22-C21</f>
        <v>-788</v>
      </c>
      <c r="E22" s="52" t="n">
        <f aca="false">C22-151978</f>
        <v>189690</v>
      </c>
      <c r="F22" s="51" t="n">
        <f aca="false">D22/$D$2</f>
        <v>-397.277539702546</v>
      </c>
      <c r="G22" s="51" t="n">
        <v>111</v>
      </c>
      <c r="H22" s="53" t="n">
        <v>0.01</v>
      </c>
      <c r="I22" s="51" t="n">
        <f aca="false">G22+H22</f>
        <v>111.01</v>
      </c>
      <c r="J22" s="81" t="n">
        <f aca="false">IF(L22&gt;0,L22,0)</f>
        <v>0</v>
      </c>
      <c r="K22" s="51" t="n">
        <f aca="false">I22+J22</f>
        <v>111.01</v>
      </c>
      <c r="L22" s="51" t="n">
        <f aca="false">F22-(I22-W22)</f>
        <v>-27.287539702546</v>
      </c>
      <c r="M22" s="51" t="n">
        <v>125</v>
      </c>
      <c r="N22" s="51" t="n">
        <v>0</v>
      </c>
      <c r="O22" s="51" t="n">
        <v>0</v>
      </c>
      <c r="P22" s="6" t="n">
        <f aca="false">M22-(N22+O22)</f>
        <v>125</v>
      </c>
      <c r="Q22" s="51" t="n">
        <v>111</v>
      </c>
      <c r="R22" s="51" t="n">
        <v>64</v>
      </c>
      <c r="S22" s="51" t="n">
        <f aca="false">SUM(P22:R22)</f>
        <v>300</v>
      </c>
      <c r="T22" s="52" t="n">
        <f aca="false">(I22-S22)+T21</f>
        <v>-896.98</v>
      </c>
      <c r="U22" s="51" t="n">
        <v>0</v>
      </c>
      <c r="V22" s="51" t="n">
        <v>181</v>
      </c>
      <c r="W22" s="6" t="n">
        <f aca="false">N22+O22+S22+U22+V22</f>
        <v>481</v>
      </c>
      <c r="X22" s="51" t="n">
        <f aca="false">IF(L22&lt;0,L22*-1,0)</f>
        <v>27.287539702546</v>
      </c>
      <c r="Y22" s="51" t="n">
        <f aca="false">W22+X22</f>
        <v>508.287539702546</v>
      </c>
      <c r="Z22" s="56" t="n">
        <v>0.35</v>
      </c>
      <c r="AA22" s="57" t="n">
        <v>72</v>
      </c>
      <c r="AB22" s="57" t="n">
        <v>47</v>
      </c>
      <c r="AC22" s="58" t="n">
        <v>13</v>
      </c>
      <c r="AD22" s="186" t="n">
        <f aca="false">IF(I22&gt;S22,I22-S22,I22-S22)</f>
        <v>-188.99</v>
      </c>
      <c r="AE22" s="93"/>
      <c r="AF22" s="93"/>
    </row>
    <row r="23" customFormat="false" ht="11.1" hidden="false" customHeight="true" outlineLevel="0" collapsed="false">
      <c r="A23" s="58" t="n">
        <v>14</v>
      </c>
      <c r="B23" s="73" t="n">
        <v>6914.63</v>
      </c>
      <c r="C23" s="52" t="n">
        <v>340840</v>
      </c>
      <c r="D23" s="57" t="n">
        <f aca="false">C23-C22</f>
        <v>-828</v>
      </c>
      <c r="E23" s="52" t="n">
        <f aca="false">C23-151978</f>
        <v>188862</v>
      </c>
      <c r="F23" s="51" t="n">
        <f aca="false">D23/$D$2</f>
        <v>-417.443912276279</v>
      </c>
      <c r="G23" s="51" t="n">
        <v>122</v>
      </c>
      <c r="H23" s="53" t="n">
        <v>0.01</v>
      </c>
      <c r="I23" s="51" t="n">
        <f aca="false">G23+H23</f>
        <v>122.01</v>
      </c>
      <c r="J23" s="81" t="n">
        <f aca="false">IF(L23&gt;0,L23,0)</f>
        <v>0</v>
      </c>
      <c r="K23" s="51" t="n">
        <f aca="false">I23+J23</f>
        <v>122.01</v>
      </c>
      <c r="L23" s="51" t="n">
        <f aca="false">F23-(I23-W23)</f>
        <v>-95.4539122762793</v>
      </c>
      <c r="M23" s="51" t="n">
        <v>131</v>
      </c>
      <c r="N23" s="51" t="n">
        <v>0</v>
      </c>
      <c r="O23" s="51" t="n">
        <v>0</v>
      </c>
      <c r="P23" s="6" t="n">
        <f aca="false">M23-(N23+O23)</f>
        <v>131</v>
      </c>
      <c r="Q23" s="51" t="n">
        <v>109</v>
      </c>
      <c r="R23" s="51" t="n">
        <v>64</v>
      </c>
      <c r="S23" s="51" t="n">
        <f aca="false">SUM(P23:R23)</f>
        <v>304</v>
      </c>
      <c r="T23" s="52" t="n">
        <f aca="false">(I23-S23)+T22</f>
        <v>-1078.97</v>
      </c>
      <c r="U23" s="51" t="n">
        <v>20</v>
      </c>
      <c r="V23" s="51" t="n">
        <v>120</v>
      </c>
      <c r="W23" s="6" t="n">
        <f aca="false">N23+O23+S23+U23+V23</f>
        <v>444</v>
      </c>
      <c r="X23" s="51" t="n">
        <f aca="false">IF(L23&lt;0,L23*-1,0)</f>
        <v>95.4539122762793</v>
      </c>
      <c r="Y23" s="51" t="n">
        <f aca="false">W23+X23</f>
        <v>539.453912276279</v>
      </c>
      <c r="Z23" s="56" t="n">
        <v>0</v>
      </c>
      <c r="AA23" s="57" t="n">
        <v>71</v>
      </c>
      <c r="AB23" s="57" t="n">
        <v>40</v>
      </c>
      <c r="AC23" s="58" t="n">
        <v>14</v>
      </c>
      <c r="AD23" s="186" t="n">
        <f aca="false">IF(I23&gt;S23,I23-S23,I23-S23)</f>
        <v>-181.99</v>
      </c>
      <c r="AE23" s="93"/>
      <c r="AF23" s="93"/>
    </row>
    <row r="24" customFormat="false" ht="11.1" hidden="false" customHeight="true" outlineLevel="0" collapsed="false">
      <c r="A24" s="58" t="n">
        <v>15</v>
      </c>
      <c r="B24" s="73" t="n">
        <v>6914.59</v>
      </c>
      <c r="C24" s="52" t="n">
        <v>340674</v>
      </c>
      <c r="D24" s="57" t="n">
        <f aca="false">C24-C23</f>
        <v>-166</v>
      </c>
      <c r="E24" s="52" t="n">
        <f aca="false">C24-151978</f>
        <v>188696</v>
      </c>
      <c r="F24" s="51" t="n">
        <f aca="false">D24/$D$2</f>
        <v>-83.6904461809932</v>
      </c>
      <c r="G24" s="51" t="n">
        <v>129</v>
      </c>
      <c r="H24" s="53" t="n">
        <v>0</v>
      </c>
      <c r="I24" s="51" t="n">
        <f aca="false">G24+H24</f>
        <v>129</v>
      </c>
      <c r="J24" s="81" t="n">
        <f aca="false">IF(L24&gt;0,L24,0)</f>
        <v>127.309553819007</v>
      </c>
      <c r="K24" s="51" t="n">
        <f aca="false">I24+J24</f>
        <v>256.309553819007</v>
      </c>
      <c r="L24" s="51" t="n">
        <f aca="false">F24-(I24-W24)</f>
        <v>127.309553819007</v>
      </c>
      <c r="M24" s="51" t="n">
        <v>137</v>
      </c>
      <c r="N24" s="51" t="n">
        <v>0</v>
      </c>
      <c r="O24" s="51" t="n">
        <v>0</v>
      </c>
      <c r="P24" s="6" t="n">
        <f aca="false">M24-(N24+O24)</f>
        <v>137</v>
      </c>
      <c r="Q24" s="51" t="n">
        <v>97</v>
      </c>
      <c r="R24" s="51" t="n">
        <v>45</v>
      </c>
      <c r="S24" s="51" t="n">
        <f aca="false">SUM(P24:R24)</f>
        <v>279</v>
      </c>
      <c r="T24" s="52" t="n">
        <f aca="false">(I24-S24)+T23</f>
        <v>-1228.97</v>
      </c>
      <c r="U24" s="51" t="n">
        <v>0</v>
      </c>
      <c r="V24" s="51" t="n">
        <v>61</v>
      </c>
      <c r="W24" s="6" t="n">
        <f aca="false">N24+O24+S24+U24+V24</f>
        <v>340</v>
      </c>
      <c r="X24" s="51" t="n">
        <f aca="false">IF(L24&lt;0,L24*-1,0)</f>
        <v>0</v>
      </c>
      <c r="Y24" s="51" t="n">
        <f aca="false">W24+X24</f>
        <v>340</v>
      </c>
      <c r="Z24" s="56" t="n">
        <v>0</v>
      </c>
      <c r="AA24" s="57" t="n">
        <v>71</v>
      </c>
      <c r="AB24" s="57" t="n">
        <v>34</v>
      </c>
      <c r="AC24" s="58" t="n">
        <v>15</v>
      </c>
      <c r="AD24" s="186" t="n">
        <f aca="false">IF(I24&gt;S24,I24-S24,I24-S24)</f>
        <v>-150</v>
      </c>
      <c r="AE24" s="93"/>
      <c r="AF24" s="93"/>
    </row>
    <row r="25" customFormat="false" ht="11.1" hidden="false" customHeight="true" outlineLevel="0" collapsed="false">
      <c r="A25" s="58" t="n">
        <v>16</v>
      </c>
      <c r="B25" s="73" t="n">
        <v>6914.43</v>
      </c>
      <c r="C25" s="52" t="n">
        <v>340012</v>
      </c>
      <c r="D25" s="57" t="n">
        <f aca="false">C25-C24</f>
        <v>-662</v>
      </c>
      <c r="E25" s="52" t="n">
        <f aca="false">C25-151978</f>
        <v>188034</v>
      </c>
      <c r="F25" s="51" t="n">
        <f aca="false">D25/$D$2</f>
        <v>-333.753466095286</v>
      </c>
      <c r="G25" s="51" t="n">
        <v>116</v>
      </c>
      <c r="H25" s="53" t="n">
        <v>0</v>
      </c>
      <c r="I25" s="51" t="n">
        <f aca="false">G25+H25</f>
        <v>116</v>
      </c>
      <c r="J25" s="81" t="n">
        <f aca="false">IF(L25&gt;0,L25,0)</f>
        <v>0</v>
      </c>
      <c r="K25" s="51" t="n">
        <f aca="false">I25+J25</f>
        <v>116</v>
      </c>
      <c r="L25" s="51" t="n">
        <f aca="false">F25-(I25-W25)</f>
        <v>-143.753466095286</v>
      </c>
      <c r="M25" s="51" t="n">
        <v>131</v>
      </c>
      <c r="N25" s="51" t="n">
        <v>0</v>
      </c>
      <c r="O25" s="51" t="n">
        <v>0</v>
      </c>
      <c r="P25" s="6" t="n">
        <f aca="false">M25-(N25+O25)</f>
        <v>131</v>
      </c>
      <c r="Q25" s="51" t="n">
        <v>89</v>
      </c>
      <c r="R25" s="51" t="n">
        <v>40</v>
      </c>
      <c r="S25" s="51" t="n">
        <f aca="false">SUM(P25:R25)</f>
        <v>260</v>
      </c>
      <c r="T25" s="52" t="n">
        <f aca="false">(I25-S25)+T24</f>
        <v>-1372.97</v>
      </c>
      <c r="U25" s="51" t="n">
        <v>0</v>
      </c>
      <c r="V25" s="51" t="n">
        <v>46</v>
      </c>
      <c r="W25" s="6" t="n">
        <f aca="false">N25+O25+S25+U25+V25</f>
        <v>306</v>
      </c>
      <c r="X25" s="51" t="n">
        <f aca="false">IF(L25&lt;0,L25*-1,0)</f>
        <v>143.753466095286</v>
      </c>
      <c r="Y25" s="51" t="n">
        <f aca="false">W25+X25</f>
        <v>449.753466095286</v>
      </c>
      <c r="Z25" s="56" t="n">
        <v>0</v>
      </c>
      <c r="AA25" s="57" t="n">
        <v>71</v>
      </c>
      <c r="AB25" s="57" t="n">
        <v>40</v>
      </c>
      <c r="AC25" s="58" t="n">
        <v>16</v>
      </c>
      <c r="AD25" s="186" t="n">
        <f aca="false">IF(I25&gt;S25,I25-S25,I25-S25)</f>
        <v>-144</v>
      </c>
      <c r="AE25" s="93"/>
      <c r="AF25" s="93"/>
    </row>
    <row r="26" customFormat="false" ht="11.1" hidden="false" customHeight="true" outlineLevel="0" collapsed="false">
      <c r="A26" s="58" t="n">
        <v>17</v>
      </c>
      <c r="B26" s="73" t="n">
        <v>6914.37</v>
      </c>
      <c r="C26" s="52" t="n">
        <v>339763</v>
      </c>
      <c r="D26" s="57" t="n">
        <f aca="false">C26-C25</f>
        <v>-249</v>
      </c>
      <c r="E26" s="52" t="n">
        <f aca="false">C26-151978</f>
        <v>187785</v>
      </c>
      <c r="F26" s="51" t="n">
        <f aca="false">D26/$D$2</f>
        <v>-125.53566927149</v>
      </c>
      <c r="G26" s="51" t="n">
        <v>110</v>
      </c>
      <c r="H26" s="53" t="n">
        <v>0</v>
      </c>
      <c r="I26" s="51" t="n">
        <f aca="false">G26+H26</f>
        <v>110</v>
      </c>
      <c r="J26" s="81" t="n">
        <f aca="false">IF(L26&gt;0,L26,0)</f>
        <v>91.4643307285102</v>
      </c>
      <c r="K26" s="51" t="n">
        <f aca="false">I26+J26</f>
        <v>201.46433072851</v>
      </c>
      <c r="L26" s="51" t="n">
        <f aca="false">F26-(I26-W26)</f>
        <v>91.4643307285102</v>
      </c>
      <c r="M26" s="51" t="n">
        <v>126</v>
      </c>
      <c r="N26" s="51" t="n">
        <v>0</v>
      </c>
      <c r="O26" s="51" t="n">
        <v>0</v>
      </c>
      <c r="P26" s="6" t="n">
        <f aca="false">M26-(N26+O26)</f>
        <v>126</v>
      </c>
      <c r="Q26" s="51" t="n">
        <v>89</v>
      </c>
      <c r="R26" s="51" t="n">
        <v>54</v>
      </c>
      <c r="S26" s="51" t="n">
        <f aca="false">SUM(P26:R26)</f>
        <v>269</v>
      </c>
      <c r="T26" s="52" t="n">
        <f aca="false">(I26-S26)+T25</f>
        <v>-1531.97</v>
      </c>
      <c r="U26" s="51" t="n">
        <v>12</v>
      </c>
      <c r="V26" s="51" t="n">
        <v>46</v>
      </c>
      <c r="W26" s="6" t="n">
        <f aca="false">N26+O26+S26+U26+V26</f>
        <v>327</v>
      </c>
      <c r="X26" s="51" t="n">
        <f aca="false">IF(L26&lt;0,L26*-1,0)</f>
        <v>0</v>
      </c>
      <c r="Y26" s="51" t="n">
        <f aca="false">W26+X26</f>
        <v>327</v>
      </c>
      <c r="Z26" s="56" t="n">
        <v>0</v>
      </c>
      <c r="AA26" s="57" t="n">
        <v>71</v>
      </c>
      <c r="AB26" s="57" t="n">
        <v>36</v>
      </c>
      <c r="AC26" s="58" t="n">
        <v>17</v>
      </c>
      <c r="AD26" s="186" t="n">
        <f aca="false">IF(I26&gt;S26,I26-S26,I26-S26)</f>
        <v>-159</v>
      </c>
      <c r="AE26" s="93"/>
      <c r="AF26" s="93"/>
    </row>
    <row r="27" customFormat="false" ht="11.1" hidden="false" customHeight="true" outlineLevel="0" collapsed="false">
      <c r="A27" s="58" t="n">
        <v>18</v>
      </c>
      <c r="B27" s="73" t="n">
        <v>6914.21</v>
      </c>
      <c r="C27" s="52" t="n">
        <v>339100</v>
      </c>
      <c r="D27" s="57" t="n">
        <f aca="false">C27-C26</f>
        <v>-663</v>
      </c>
      <c r="E27" s="52" t="n">
        <f aca="false">C27-151978</f>
        <v>187122</v>
      </c>
      <c r="F27" s="51" t="n">
        <f aca="false">D27/$D$2</f>
        <v>-334.257625409629</v>
      </c>
      <c r="G27" s="51" t="n">
        <v>106</v>
      </c>
      <c r="H27" s="53" t="n">
        <v>0</v>
      </c>
      <c r="I27" s="51" t="n">
        <f aca="false">G27+H27</f>
        <v>106</v>
      </c>
      <c r="J27" s="81" t="n">
        <f aca="false">IF(L27&gt;0,L27,0)</f>
        <v>0</v>
      </c>
      <c r="K27" s="51" t="n">
        <f aca="false">I27+J27</f>
        <v>106</v>
      </c>
      <c r="L27" s="51" t="n">
        <f aca="false">F27-(I27-W27)</f>
        <v>-126.257625409629</v>
      </c>
      <c r="M27" s="51" t="n">
        <v>123</v>
      </c>
      <c r="N27" s="51" t="n">
        <v>0</v>
      </c>
      <c r="O27" s="51" t="n">
        <v>0</v>
      </c>
      <c r="P27" s="6" t="n">
        <f aca="false">M27-(N27+O27)</f>
        <v>123</v>
      </c>
      <c r="Q27" s="51" t="n">
        <v>89</v>
      </c>
      <c r="R27" s="51" t="n">
        <v>55</v>
      </c>
      <c r="S27" s="51" t="n">
        <f aca="false">SUM(P27:R27)</f>
        <v>267</v>
      </c>
      <c r="T27" s="52" t="n">
        <f aca="false">(I27-S27)+T26</f>
        <v>-1692.97</v>
      </c>
      <c r="U27" s="51" t="n">
        <v>0</v>
      </c>
      <c r="V27" s="51" t="n">
        <v>47</v>
      </c>
      <c r="W27" s="6" t="n">
        <f aca="false">N27+O27+S27+U27+V27</f>
        <v>314</v>
      </c>
      <c r="X27" s="51" t="n">
        <f aca="false">IF(L27&lt;0,L27*-1,0)</f>
        <v>126.257625409629</v>
      </c>
      <c r="Y27" s="51" t="n">
        <f aca="false">W27+X27</f>
        <v>440.257625409629</v>
      </c>
      <c r="Z27" s="56" t="n">
        <v>0</v>
      </c>
      <c r="AA27" s="57" t="n">
        <v>76</v>
      </c>
      <c r="AB27" s="57" t="n">
        <v>33</v>
      </c>
      <c r="AC27" s="58" t="n">
        <v>18</v>
      </c>
      <c r="AD27" s="186" t="n">
        <f aca="false">IF(I27&gt;S27,I27-S27,I27-S27)</f>
        <v>-161</v>
      </c>
      <c r="AE27" s="93"/>
      <c r="AF27" s="93"/>
    </row>
    <row r="28" customFormat="false" ht="11.1" hidden="false" customHeight="true" outlineLevel="0" collapsed="false">
      <c r="A28" s="58" t="n">
        <v>19</v>
      </c>
      <c r="B28" s="73" t="n">
        <v>6914.06</v>
      </c>
      <c r="C28" s="52" t="n">
        <v>338479</v>
      </c>
      <c r="D28" s="57" t="n">
        <f aca="false">C28-C27</f>
        <v>-621</v>
      </c>
      <c r="E28" s="52" t="n">
        <f aca="false">C28-151978</f>
        <v>186501</v>
      </c>
      <c r="F28" s="51" t="n">
        <f aca="false">D28/$D$2</f>
        <v>-313.082934207209</v>
      </c>
      <c r="G28" s="51" t="n">
        <v>102</v>
      </c>
      <c r="H28" s="53" t="n">
        <v>0</v>
      </c>
      <c r="I28" s="51" t="n">
        <f aca="false">G28+H28</f>
        <v>102</v>
      </c>
      <c r="J28" s="81" t="n">
        <f aca="false">IF(L28&gt;0,L28,0)</f>
        <v>0</v>
      </c>
      <c r="K28" s="51" t="n">
        <f aca="false">I28+J28</f>
        <v>102</v>
      </c>
      <c r="L28" s="51" t="n">
        <f aca="false">F28-(I28-W28)</f>
        <v>-103.082934207209</v>
      </c>
      <c r="M28" s="51" t="n">
        <v>122</v>
      </c>
      <c r="N28" s="51" t="n">
        <v>0</v>
      </c>
      <c r="O28" s="51" t="n">
        <v>0</v>
      </c>
      <c r="P28" s="6" t="n">
        <f aca="false">M28-(N28+O28)</f>
        <v>122</v>
      </c>
      <c r="Q28" s="51" t="n">
        <v>89</v>
      </c>
      <c r="R28" s="51" t="n">
        <v>54</v>
      </c>
      <c r="S28" s="51" t="n">
        <f aca="false">SUM(P28:R28)</f>
        <v>265</v>
      </c>
      <c r="T28" s="52" t="n">
        <f aca="false">(I28-S28)+T27</f>
        <v>-1855.97</v>
      </c>
      <c r="U28" s="51" t="n">
        <v>0</v>
      </c>
      <c r="V28" s="51" t="n">
        <v>47</v>
      </c>
      <c r="W28" s="6" t="n">
        <f aca="false">N28+O28+S28+U28+V28</f>
        <v>312</v>
      </c>
      <c r="X28" s="51" t="n">
        <f aca="false">IF(L28&lt;0,L28*-1,0)</f>
        <v>103.082934207209</v>
      </c>
      <c r="Y28" s="51" t="n">
        <f aca="false">W28+X28</f>
        <v>415.08293420721</v>
      </c>
      <c r="Z28" s="56" t="n">
        <v>0</v>
      </c>
      <c r="AA28" s="57" t="n">
        <v>77</v>
      </c>
      <c r="AB28" s="57" t="n">
        <v>37</v>
      </c>
      <c r="AC28" s="58" t="n">
        <v>19</v>
      </c>
      <c r="AD28" s="186" t="n">
        <f aca="false">IF(I28&gt;S28,I28-S28,I28-S28)</f>
        <v>-163</v>
      </c>
      <c r="AE28" s="93"/>
      <c r="AF28" s="93"/>
    </row>
    <row r="29" customFormat="false" ht="11.1" hidden="false" customHeight="true" outlineLevel="0" collapsed="false">
      <c r="A29" s="58" t="n">
        <v>20</v>
      </c>
      <c r="B29" s="73" t="n">
        <v>6913.98</v>
      </c>
      <c r="C29" s="52" t="n">
        <v>338148</v>
      </c>
      <c r="D29" s="57" t="n">
        <f aca="false">C29-C28</f>
        <v>-331</v>
      </c>
      <c r="E29" s="52" t="n">
        <f aca="false">C29-151978</f>
        <v>186170</v>
      </c>
      <c r="F29" s="51" t="n">
        <f aca="false">D29/$D$2</f>
        <v>-166.876733047643</v>
      </c>
      <c r="G29" s="51" t="n">
        <v>98</v>
      </c>
      <c r="H29" s="53" t="n">
        <v>0</v>
      </c>
      <c r="I29" s="51" t="n">
        <f aca="false">G29+H29</f>
        <v>98</v>
      </c>
      <c r="J29" s="81" t="n">
        <f aca="false">IF(L29&gt;0,L29,0)</f>
        <v>47.1232669523569</v>
      </c>
      <c r="K29" s="51" t="n">
        <f aca="false">I29+J29</f>
        <v>145.123266952357</v>
      </c>
      <c r="L29" s="51" t="n">
        <f aca="false">F29-(I29-W29)</f>
        <v>47.1232669523569</v>
      </c>
      <c r="M29" s="51" t="n">
        <v>122</v>
      </c>
      <c r="N29" s="51" t="n">
        <v>0</v>
      </c>
      <c r="O29" s="51" t="n">
        <v>0</v>
      </c>
      <c r="P29" s="6" t="n">
        <f aca="false">M29-(N29+O29)</f>
        <v>122</v>
      </c>
      <c r="Q29" s="51" t="n">
        <v>89</v>
      </c>
      <c r="R29" s="51" t="n">
        <v>54</v>
      </c>
      <c r="S29" s="51" t="n">
        <f aca="false">SUM(P29:R29)</f>
        <v>265</v>
      </c>
      <c r="T29" s="52" t="n">
        <f aca="false">(I29-S29)+T28</f>
        <v>-2022.97</v>
      </c>
      <c r="U29" s="51" t="n">
        <v>0</v>
      </c>
      <c r="V29" s="51" t="n">
        <v>47</v>
      </c>
      <c r="W29" s="6" t="n">
        <f aca="false">N29+O29+S29+U29+V29</f>
        <v>312</v>
      </c>
      <c r="X29" s="51" t="n">
        <f aca="false">IF(L29&lt;0,L29*-1,0)</f>
        <v>0</v>
      </c>
      <c r="Y29" s="51" t="n">
        <f aca="false">W29+X29</f>
        <v>312</v>
      </c>
      <c r="Z29" s="56" t="n">
        <v>0</v>
      </c>
      <c r="AA29" s="57" t="n">
        <v>76</v>
      </c>
      <c r="AB29" s="57" t="n">
        <v>42</v>
      </c>
      <c r="AC29" s="58" t="n">
        <v>20</v>
      </c>
      <c r="AD29" s="186" t="n">
        <f aca="false">IF(I29&gt;S29,I29-S29,I29-S29)</f>
        <v>-167</v>
      </c>
      <c r="AE29" s="93"/>
      <c r="AF29" s="93"/>
    </row>
    <row r="30" customFormat="false" ht="11.1" hidden="false" customHeight="true" outlineLevel="0" collapsed="false">
      <c r="A30" s="58" t="n">
        <v>21</v>
      </c>
      <c r="B30" s="73" t="n">
        <v>6913.82</v>
      </c>
      <c r="C30" s="52" t="n">
        <v>337491</v>
      </c>
      <c r="D30" s="57" t="n">
        <f aca="false">C30-C29</f>
        <v>-657</v>
      </c>
      <c r="E30" s="52" t="n">
        <f aca="false">C30-151978</f>
        <v>185513</v>
      </c>
      <c r="F30" s="51" t="n">
        <f aca="false">D30/$D$2</f>
        <v>-331.232669523569</v>
      </c>
      <c r="G30" s="51" t="n">
        <v>96</v>
      </c>
      <c r="H30" s="53" t="n">
        <v>0</v>
      </c>
      <c r="I30" s="51" t="n">
        <f aca="false">G30+H30</f>
        <v>96</v>
      </c>
      <c r="J30" s="81" t="n">
        <f aca="false">IF(L30&gt;0,L30,0)</f>
        <v>0</v>
      </c>
      <c r="K30" s="51" t="n">
        <f aca="false">I30+J30</f>
        <v>96</v>
      </c>
      <c r="L30" s="51" t="n">
        <f aca="false">F30-(I30-W30)</f>
        <v>-91.2326695235694</v>
      </c>
      <c r="M30" s="51" t="n">
        <v>122</v>
      </c>
      <c r="N30" s="51" t="n">
        <v>0</v>
      </c>
      <c r="O30" s="51" t="n">
        <v>0</v>
      </c>
      <c r="P30" s="6" t="n">
        <f aca="false">M30-(N30+O30)</f>
        <v>122</v>
      </c>
      <c r="Q30" s="51" t="n">
        <v>89</v>
      </c>
      <c r="R30" s="51" t="n">
        <v>54</v>
      </c>
      <c r="S30" s="51" t="n">
        <f aca="false">SUM(P30:R30)</f>
        <v>265</v>
      </c>
      <c r="T30" s="52" t="n">
        <f aca="false">(I30-S30)+T29</f>
        <v>-2191.97</v>
      </c>
      <c r="U30" s="51" t="n">
        <v>24</v>
      </c>
      <c r="V30" s="51" t="n">
        <v>47</v>
      </c>
      <c r="W30" s="6" t="n">
        <f aca="false">N30+O30+S30+U30+V30</f>
        <v>336</v>
      </c>
      <c r="X30" s="51" t="n">
        <f aca="false">IF(L30&lt;0,L30*-1,0)</f>
        <v>91.2326695235694</v>
      </c>
      <c r="Y30" s="51" t="n">
        <f aca="false">W30+X30</f>
        <v>427.232669523569</v>
      </c>
      <c r="Z30" s="56" t="n">
        <v>0</v>
      </c>
      <c r="AA30" s="57" t="n">
        <v>77</v>
      </c>
      <c r="AB30" s="57" t="n">
        <v>41</v>
      </c>
      <c r="AC30" s="58" t="n">
        <v>21</v>
      </c>
      <c r="AD30" s="186" t="n">
        <f aca="false">IF(I30&gt;S30,I30-S30,I30-S30)</f>
        <v>-169</v>
      </c>
      <c r="AE30" s="93"/>
      <c r="AF30" s="93"/>
    </row>
    <row r="31" customFormat="false" ht="11.1" hidden="false" customHeight="true" outlineLevel="0" collapsed="false">
      <c r="A31" s="58" t="n">
        <v>22</v>
      </c>
      <c r="B31" s="73" t="n">
        <v>6913.67</v>
      </c>
      <c r="C31" s="52" t="n">
        <v>336875</v>
      </c>
      <c r="D31" s="57" t="n">
        <f aca="false">C31-C30</f>
        <v>-616</v>
      </c>
      <c r="E31" s="52" t="n">
        <f aca="false">C31-151978</f>
        <v>184897</v>
      </c>
      <c r="F31" s="51" t="n">
        <f aca="false">D31/$D$2</f>
        <v>-310.562137635493</v>
      </c>
      <c r="G31" s="51" t="n">
        <v>92</v>
      </c>
      <c r="H31" s="53" t="n">
        <v>0</v>
      </c>
      <c r="I31" s="51" t="n">
        <f aca="false">G31+H31</f>
        <v>92</v>
      </c>
      <c r="J31" s="81" t="n">
        <f aca="false">IF(L31&gt;0,L31,0)</f>
        <v>0</v>
      </c>
      <c r="K31" s="51" t="n">
        <f aca="false">I31+J31</f>
        <v>92</v>
      </c>
      <c r="L31" s="51" t="n">
        <f aca="false">F31-(I31-W31)</f>
        <v>-75.5621376354928</v>
      </c>
      <c r="M31" s="51" t="n">
        <v>121</v>
      </c>
      <c r="N31" s="51" t="n">
        <v>0</v>
      </c>
      <c r="O31" s="51" t="n">
        <v>0</v>
      </c>
      <c r="P31" s="6" t="n">
        <f aca="false">M31-(N31+O31)</f>
        <v>121</v>
      </c>
      <c r="Q31" s="51" t="n">
        <v>89</v>
      </c>
      <c r="R31" s="51" t="n">
        <v>55</v>
      </c>
      <c r="S31" s="51" t="n">
        <f aca="false">SUM(P31:R31)</f>
        <v>265</v>
      </c>
      <c r="T31" s="52" t="n">
        <f aca="false">(I31-S31)+T30</f>
        <v>-2364.97</v>
      </c>
      <c r="U31" s="51" t="n">
        <v>15</v>
      </c>
      <c r="V31" s="51" t="n">
        <v>47</v>
      </c>
      <c r="W31" s="6" t="n">
        <f aca="false">N31+O31+S31+U31+V31</f>
        <v>327</v>
      </c>
      <c r="X31" s="51" t="n">
        <f aca="false">IF(L31&lt;0,L31*-1,0)</f>
        <v>75.5621376354928</v>
      </c>
      <c r="Y31" s="51" t="n">
        <f aca="false">W31+X31</f>
        <v>402.562137635493</v>
      </c>
      <c r="Z31" s="56" t="n">
        <v>0</v>
      </c>
      <c r="AA31" s="57" t="n">
        <v>77</v>
      </c>
      <c r="AB31" s="57" t="n">
        <v>41</v>
      </c>
      <c r="AC31" s="58" t="n">
        <v>22</v>
      </c>
      <c r="AD31" s="186" t="n">
        <f aca="false">IF(I31&gt;S31,I31-S31,I31-S31)</f>
        <v>-173</v>
      </c>
      <c r="AE31" s="93"/>
      <c r="AF31" s="93"/>
    </row>
    <row r="32" customFormat="false" ht="11.1" hidden="false" customHeight="true" outlineLevel="0" collapsed="false">
      <c r="A32" s="58" t="n">
        <v>23</v>
      </c>
      <c r="B32" s="73" t="n">
        <v>6913.57</v>
      </c>
      <c r="C32" s="52" t="n">
        <v>336464</v>
      </c>
      <c r="D32" s="57" t="n">
        <f aca="false">C32-C31</f>
        <v>-411</v>
      </c>
      <c r="E32" s="52" t="n">
        <f aca="false">C32-151978</f>
        <v>184486</v>
      </c>
      <c r="F32" s="51" t="n">
        <f aca="false">D32/$D$2</f>
        <v>-207.20947819511</v>
      </c>
      <c r="G32" s="51" t="n">
        <v>88</v>
      </c>
      <c r="H32" s="53" t="n">
        <v>0</v>
      </c>
      <c r="I32" s="51" t="n">
        <f aca="false">G32+H32</f>
        <v>88</v>
      </c>
      <c r="J32" s="81" t="n">
        <f aca="false">IF(L32&gt;0,L32,0)</f>
        <v>38.7905218048903</v>
      </c>
      <c r="K32" s="51" t="n">
        <f aca="false">I32+J32</f>
        <v>126.79052180489</v>
      </c>
      <c r="L32" s="51" t="n">
        <f aca="false">F32-(I32-W32)</f>
        <v>38.7905218048903</v>
      </c>
      <c r="M32" s="51" t="n">
        <v>121</v>
      </c>
      <c r="N32" s="51" t="n">
        <v>0</v>
      </c>
      <c r="O32" s="51" t="n">
        <v>0</v>
      </c>
      <c r="P32" s="6" t="n">
        <f aca="false">M32-(N32+O32)</f>
        <v>121</v>
      </c>
      <c r="Q32" s="51" t="n">
        <v>89</v>
      </c>
      <c r="R32" s="51" t="n">
        <v>57</v>
      </c>
      <c r="S32" s="51" t="n">
        <f aca="false">SUM(P32:R32)</f>
        <v>267</v>
      </c>
      <c r="T32" s="52" t="n">
        <f aca="false">(I32-S32)+T31</f>
        <v>-2543.97</v>
      </c>
      <c r="U32" s="51" t="n">
        <v>20</v>
      </c>
      <c r="V32" s="51" t="n">
        <v>47</v>
      </c>
      <c r="W32" s="6" t="n">
        <f aca="false">N32+O32+S32+U32+V32</f>
        <v>334</v>
      </c>
      <c r="X32" s="51" t="n">
        <f aca="false">IF(L32&lt;0,L32*-1,0)</f>
        <v>0</v>
      </c>
      <c r="Y32" s="51" t="n">
        <f aca="false">W32+X32</f>
        <v>334</v>
      </c>
      <c r="Z32" s="56" t="n">
        <v>0</v>
      </c>
      <c r="AA32" s="57" t="n">
        <v>78</v>
      </c>
      <c r="AB32" s="57" t="n">
        <v>44</v>
      </c>
      <c r="AC32" s="58" t="n">
        <v>23</v>
      </c>
      <c r="AD32" s="186" t="n">
        <f aca="false">IF(I32&gt;S32,I32-S32,I32-S32)</f>
        <v>-179</v>
      </c>
      <c r="AE32" s="93"/>
      <c r="AF32" s="93"/>
    </row>
    <row r="33" customFormat="false" ht="11.1" hidden="false" customHeight="true" outlineLevel="0" collapsed="false">
      <c r="A33" s="58" t="n">
        <v>24</v>
      </c>
      <c r="B33" s="73" t="n">
        <v>6913.42</v>
      </c>
      <c r="C33" s="52" t="n">
        <v>335847</v>
      </c>
      <c r="D33" s="57" t="n">
        <f aca="false">C33-C32</f>
        <v>-617</v>
      </c>
      <c r="E33" s="52" t="n">
        <f aca="false">C33-151978</f>
        <v>183869</v>
      </c>
      <c r="F33" s="51" t="n">
        <f aca="false">D33/$D$2</f>
        <v>-311.066296949836</v>
      </c>
      <c r="G33" s="51" t="n">
        <v>87</v>
      </c>
      <c r="H33" s="53" t="n">
        <v>0</v>
      </c>
      <c r="I33" s="51" t="n">
        <f aca="false">G33+H33</f>
        <v>87</v>
      </c>
      <c r="J33" s="81" t="n">
        <f aca="false">IF(L33&gt;0,L33,0)</f>
        <v>0</v>
      </c>
      <c r="K33" s="51" t="n">
        <f aca="false">I33+J33</f>
        <v>87</v>
      </c>
      <c r="L33" s="51" t="n">
        <f aca="false">F33-(I33-W33)</f>
        <v>-84.0662969498362</v>
      </c>
      <c r="M33" s="51" t="n">
        <v>121</v>
      </c>
      <c r="N33" s="51" t="n">
        <v>0</v>
      </c>
      <c r="O33" s="51" t="n">
        <v>0</v>
      </c>
      <c r="P33" s="6" t="n">
        <f aca="false">M33-(N33+O33)</f>
        <v>121</v>
      </c>
      <c r="Q33" s="51" t="n">
        <v>89</v>
      </c>
      <c r="R33" s="51" t="n">
        <v>57</v>
      </c>
      <c r="S33" s="51" t="n">
        <f aca="false">SUM(P33:R33)</f>
        <v>267</v>
      </c>
      <c r="T33" s="52" t="n">
        <f aca="false">(I33-S33)+T32</f>
        <v>-2723.97</v>
      </c>
      <c r="U33" s="51" t="n">
        <v>0</v>
      </c>
      <c r="V33" s="51" t="n">
        <v>47</v>
      </c>
      <c r="W33" s="6" t="n">
        <f aca="false">N33+O33+S33+U33+V33</f>
        <v>314</v>
      </c>
      <c r="X33" s="51" t="n">
        <f aca="false">IF(L33&lt;0,L33*-1,0)</f>
        <v>84.0662969498362</v>
      </c>
      <c r="Y33" s="51" t="n">
        <f aca="false">W33+X33</f>
        <v>398.066296949836</v>
      </c>
      <c r="Z33" s="56" t="n">
        <v>0</v>
      </c>
      <c r="AA33" s="57" t="n">
        <v>73</v>
      </c>
      <c r="AB33" s="57" t="n">
        <v>44</v>
      </c>
      <c r="AC33" s="58" t="n">
        <v>24</v>
      </c>
      <c r="AD33" s="186" t="n">
        <f aca="false">IF(I33&gt;S33,I33-S33,I33-S33)</f>
        <v>-180</v>
      </c>
      <c r="AE33" s="93"/>
      <c r="AF33" s="93"/>
    </row>
    <row r="34" customFormat="false" ht="11.1" hidden="false" customHeight="true" outlineLevel="0" collapsed="false">
      <c r="A34" s="58" t="n">
        <v>25</v>
      </c>
      <c r="B34" s="73" t="n">
        <v>6913.31</v>
      </c>
      <c r="C34" s="52" t="n">
        <v>335395</v>
      </c>
      <c r="D34" s="57" t="n">
        <f aca="false">C34-C33</f>
        <v>-452</v>
      </c>
      <c r="E34" s="52" t="n">
        <f aca="false">C34-151978</f>
        <v>183417</v>
      </c>
      <c r="F34" s="51" t="n">
        <f aca="false">D34/$D$2</f>
        <v>-227.880010083186</v>
      </c>
      <c r="G34" s="51" t="n">
        <v>88</v>
      </c>
      <c r="H34" s="53" t="n">
        <v>0</v>
      </c>
      <c r="I34" s="51" t="n">
        <f aca="false">G34+H34</f>
        <v>88</v>
      </c>
      <c r="J34" s="81" t="n">
        <f aca="false">IF(L34&gt;0,L34,0)</f>
        <v>7.11998991681372</v>
      </c>
      <c r="K34" s="51" t="n">
        <f aca="false">I34+J34</f>
        <v>95.1199899168137</v>
      </c>
      <c r="L34" s="51" t="n">
        <f aca="false">F34-(I34-W34)</f>
        <v>7.11998991681372</v>
      </c>
      <c r="M34" s="51" t="n">
        <v>121</v>
      </c>
      <c r="N34" s="51" t="n">
        <v>0</v>
      </c>
      <c r="O34" s="51" t="n">
        <v>0</v>
      </c>
      <c r="P34" s="6" t="n">
        <f aca="false">M34-(N34+O34)</f>
        <v>121</v>
      </c>
      <c r="Q34" s="51" t="n">
        <v>89</v>
      </c>
      <c r="R34" s="51" t="n">
        <v>55</v>
      </c>
      <c r="S34" s="51" t="n">
        <f aca="false">SUM(P34:R34)</f>
        <v>265</v>
      </c>
      <c r="T34" s="52" t="n">
        <f aca="false">(I34-S34)+T33</f>
        <v>-2900.97</v>
      </c>
      <c r="U34" s="51" t="n">
        <v>12</v>
      </c>
      <c r="V34" s="51" t="n">
        <v>46</v>
      </c>
      <c r="W34" s="6" t="n">
        <f aca="false">N34+O34+S34+U34+V34</f>
        <v>323</v>
      </c>
      <c r="X34" s="51" t="n">
        <f aca="false">IF(L34&lt;0,L34*-1,0)</f>
        <v>0</v>
      </c>
      <c r="Y34" s="51" t="n">
        <f aca="false">W34+X34</f>
        <v>323</v>
      </c>
      <c r="Z34" s="56" t="n">
        <v>0</v>
      </c>
      <c r="AA34" s="57" t="n">
        <v>74</v>
      </c>
      <c r="AB34" s="57" t="n">
        <v>44</v>
      </c>
      <c r="AC34" s="58" t="n">
        <v>25</v>
      </c>
      <c r="AD34" s="186" t="n">
        <f aca="false">IF(I34&gt;S34,I34-S34,I34-S34)</f>
        <v>-177</v>
      </c>
      <c r="AE34" s="93"/>
      <c r="AF34" s="93"/>
    </row>
    <row r="35" customFormat="false" ht="11.1" hidden="false" customHeight="true" outlineLevel="0" collapsed="false">
      <c r="A35" s="58" t="n">
        <v>26</v>
      </c>
      <c r="B35" s="73" t="n">
        <v>6913.2</v>
      </c>
      <c r="C35" s="52" t="n">
        <v>334943</v>
      </c>
      <c r="D35" s="57" t="n">
        <f aca="false">C35-C34</f>
        <v>-452</v>
      </c>
      <c r="E35" s="52" t="n">
        <f aca="false">C35-151978</f>
        <v>182965</v>
      </c>
      <c r="F35" s="51" t="n">
        <f aca="false">D35/$D$2</f>
        <v>-227.880010083186</v>
      </c>
      <c r="G35" s="51" t="n">
        <v>138</v>
      </c>
      <c r="H35" s="53" t="n">
        <v>0</v>
      </c>
      <c r="I35" s="51" t="n">
        <f aca="false">G35+H35</f>
        <v>138</v>
      </c>
      <c r="J35" s="81" t="n">
        <f aca="false">IF(L35&gt;0,L35,0)</f>
        <v>0</v>
      </c>
      <c r="K35" s="51" t="n">
        <f aca="false">I35+J35</f>
        <v>138</v>
      </c>
      <c r="L35" s="51" t="n">
        <f aca="false">F35-(I35-W35)</f>
        <v>-54.8800100831863</v>
      </c>
      <c r="M35" s="51" t="n">
        <v>121</v>
      </c>
      <c r="N35" s="51" t="n">
        <v>0</v>
      </c>
      <c r="O35" s="51" t="n">
        <v>0</v>
      </c>
      <c r="P35" s="6" t="n">
        <f aca="false">M35-(N35+O35)</f>
        <v>121</v>
      </c>
      <c r="Q35" s="51" t="n">
        <v>89</v>
      </c>
      <c r="R35" s="51" t="n">
        <v>55</v>
      </c>
      <c r="S35" s="51" t="n">
        <f aca="false">SUM(P35:R35)</f>
        <v>265</v>
      </c>
      <c r="T35" s="52" t="n">
        <f aca="false">(I35-S35)+T34</f>
        <v>-3027.97</v>
      </c>
      <c r="U35" s="51" t="n">
        <v>0</v>
      </c>
      <c r="V35" s="51" t="n">
        <v>46</v>
      </c>
      <c r="W35" s="6" t="n">
        <f aca="false">N35+O35+S35+U35+V35</f>
        <v>311</v>
      </c>
      <c r="X35" s="51" t="n">
        <f aca="false">IF(L35&lt;0,L35*-1,0)</f>
        <v>54.8800100831863</v>
      </c>
      <c r="Y35" s="51" t="n">
        <f aca="false">W35+X35</f>
        <v>365.880010083186</v>
      </c>
      <c r="Z35" s="56" t="n">
        <v>0</v>
      </c>
      <c r="AA35" s="57" t="n">
        <v>75</v>
      </c>
      <c r="AB35" s="57" t="n">
        <v>42</v>
      </c>
      <c r="AC35" s="58" t="n">
        <v>26</v>
      </c>
      <c r="AD35" s="186" t="n">
        <f aca="false">IF(I35&gt;S35,I35-S35,I35-S35)</f>
        <v>-127</v>
      </c>
      <c r="AE35" s="93"/>
      <c r="AF35" s="93"/>
    </row>
    <row r="36" customFormat="false" ht="11.1" hidden="false" customHeight="true" outlineLevel="0" collapsed="false">
      <c r="A36" s="58" t="n">
        <v>27</v>
      </c>
      <c r="B36" s="73" t="n">
        <v>6913.08</v>
      </c>
      <c r="C36" s="52" t="n">
        <v>334450</v>
      </c>
      <c r="D36" s="57" t="n">
        <f aca="false">C36-C35</f>
        <v>-493</v>
      </c>
      <c r="E36" s="52" t="n">
        <f aca="false">C36-151978</f>
        <v>182472</v>
      </c>
      <c r="F36" s="51" t="n">
        <f aca="false">D36/$D$2</f>
        <v>-248.550541971263</v>
      </c>
      <c r="G36" s="51" t="n">
        <v>117</v>
      </c>
      <c r="H36" s="53" t="n">
        <v>0</v>
      </c>
      <c r="I36" s="51" t="n">
        <f aca="false">G36+H36</f>
        <v>117</v>
      </c>
      <c r="J36" s="81" t="n">
        <f aca="false">IF(L36&gt;0,L36,0)</f>
        <v>0</v>
      </c>
      <c r="K36" s="51" t="n">
        <f aca="false">I36+J36</f>
        <v>117</v>
      </c>
      <c r="L36" s="51" t="n">
        <f aca="false">F36-(I36-W36)</f>
        <v>-53.5505419712629</v>
      </c>
      <c r="M36" s="51" t="n">
        <v>121</v>
      </c>
      <c r="N36" s="51" t="n">
        <v>0</v>
      </c>
      <c r="O36" s="51" t="n">
        <v>0</v>
      </c>
      <c r="P36" s="6" t="n">
        <f aca="false">M36-(N36+O36)</f>
        <v>121</v>
      </c>
      <c r="Q36" s="51" t="n">
        <v>88</v>
      </c>
      <c r="R36" s="51" t="n">
        <v>56</v>
      </c>
      <c r="S36" s="51" t="n">
        <f aca="false">SUM(P36:R36)</f>
        <v>265</v>
      </c>
      <c r="T36" s="52" t="n">
        <f aca="false">(I36-S36)+T35</f>
        <v>-3175.97</v>
      </c>
      <c r="U36" s="51" t="n">
        <v>0</v>
      </c>
      <c r="V36" s="51" t="n">
        <v>47</v>
      </c>
      <c r="W36" s="6" t="n">
        <f aca="false">N36+O36+S36+U36+V36</f>
        <v>312</v>
      </c>
      <c r="X36" s="51" t="n">
        <f aca="false">IF(L36&lt;0,L36*-1,0)</f>
        <v>53.5505419712629</v>
      </c>
      <c r="Y36" s="51" t="n">
        <f aca="false">W36+X36</f>
        <v>365.550541971263</v>
      </c>
      <c r="Z36" s="56" t="n">
        <v>0</v>
      </c>
      <c r="AA36" s="57" t="n">
        <v>74</v>
      </c>
      <c r="AB36" s="57" t="n">
        <v>42</v>
      </c>
      <c r="AC36" s="58" t="n">
        <v>27</v>
      </c>
      <c r="AD36" s="186" t="n">
        <f aca="false">IF(I36&gt;S36,I36-S36,I36-S36)</f>
        <v>-148</v>
      </c>
      <c r="AE36" s="93"/>
      <c r="AF36" s="93"/>
    </row>
    <row r="37" customFormat="false" ht="11.1" hidden="false" customHeight="true" outlineLevel="0" collapsed="false">
      <c r="A37" s="58" t="n">
        <v>28</v>
      </c>
      <c r="B37" s="73" t="n">
        <v>6912.95</v>
      </c>
      <c r="C37" s="52" t="n">
        <v>333917</v>
      </c>
      <c r="D37" s="57" t="n">
        <f aca="false">C37-C36</f>
        <v>-533</v>
      </c>
      <c r="E37" s="52" t="n">
        <f aca="false">C37-151978</f>
        <v>181939</v>
      </c>
      <c r="F37" s="51" t="n">
        <f aca="false">D37/$D$2</f>
        <v>-268.716914544996</v>
      </c>
      <c r="G37" s="51" t="n">
        <v>103</v>
      </c>
      <c r="H37" s="53" t="n">
        <v>0</v>
      </c>
      <c r="I37" s="51" t="n">
        <f aca="false">G37+H37</f>
        <v>103</v>
      </c>
      <c r="J37" s="81" t="n">
        <f aca="false">IF(L37&gt;0,L37,0)</f>
        <v>0</v>
      </c>
      <c r="K37" s="51" t="n">
        <f aca="false">I37+J37</f>
        <v>103</v>
      </c>
      <c r="L37" s="51" t="n">
        <f aca="false">F37-(I37-W37)</f>
        <v>-47.7169145449962</v>
      </c>
      <c r="M37" s="51" t="n">
        <v>114</v>
      </c>
      <c r="N37" s="51" t="n">
        <v>0</v>
      </c>
      <c r="O37" s="51" t="n">
        <v>0</v>
      </c>
      <c r="P37" s="6" t="n">
        <f aca="false">M37-(N37+O37)</f>
        <v>114</v>
      </c>
      <c r="Q37" s="51" t="n">
        <v>73</v>
      </c>
      <c r="R37" s="51" t="n">
        <v>56</v>
      </c>
      <c r="S37" s="51" t="n">
        <f aca="false">SUM(P37:R37)</f>
        <v>243</v>
      </c>
      <c r="T37" s="52" t="n">
        <f aca="false">(I37-S37)+T36</f>
        <v>-3315.97</v>
      </c>
      <c r="U37" s="51" t="n">
        <v>17</v>
      </c>
      <c r="V37" s="51" t="n">
        <v>64</v>
      </c>
      <c r="W37" s="6" t="n">
        <f aca="false">N37+O37+S37+U37+V37</f>
        <v>324</v>
      </c>
      <c r="X37" s="51" t="n">
        <f aca="false">IF(L37&lt;0,L37*-1,0)</f>
        <v>47.7169145449962</v>
      </c>
      <c r="Y37" s="51" t="n">
        <f aca="false">W37+X37</f>
        <v>371.716914544996</v>
      </c>
      <c r="Z37" s="56" t="n">
        <v>0</v>
      </c>
      <c r="AA37" s="57" t="n">
        <v>75</v>
      </c>
      <c r="AB37" s="57" t="n">
        <v>42</v>
      </c>
      <c r="AC37" s="58" t="n">
        <v>28</v>
      </c>
      <c r="AD37" s="186" t="n">
        <f aca="false">IF(I37&gt;S37,I37-S37,I37-S37)</f>
        <v>-140</v>
      </c>
      <c r="AE37" s="93"/>
      <c r="AF37" s="93"/>
    </row>
    <row r="38" customFormat="false" ht="11.1" hidden="false" customHeight="true" outlineLevel="0" collapsed="false">
      <c r="A38" s="58" t="n">
        <v>29</v>
      </c>
      <c r="B38" s="73" t="n">
        <v>6912.82</v>
      </c>
      <c r="C38" s="52" t="n">
        <v>333387</v>
      </c>
      <c r="D38" s="57" t="n">
        <f aca="false">C38-C37</f>
        <v>-530</v>
      </c>
      <c r="E38" s="52" t="n">
        <f aca="false">C38-151978</f>
        <v>181409</v>
      </c>
      <c r="F38" s="51" t="n">
        <f aca="false">D38/$D$2</f>
        <v>-267.204436601966</v>
      </c>
      <c r="G38" s="51" t="n">
        <v>93</v>
      </c>
      <c r="H38" s="53" t="n">
        <v>0</v>
      </c>
      <c r="I38" s="51" t="n">
        <f aca="false">G38+H38</f>
        <v>93</v>
      </c>
      <c r="J38" s="81" t="n">
        <f aca="false">IF(L38&gt;0,L38,0)</f>
        <v>0</v>
      </c>
      <c r="K38" s="51" t="n">
        <f aca="false">I38+J38</f>
        <v>93</v>
      </c>
      <c r="L38" s="51" t="n">
        <f aca="false">F38-(I38-W38)</f>
        <v>-55.2044366019662</v>
      </c>
      <c r="M38" s="51" t="n">
        <v>108</v>
      </c>
      <c r="N38" s="51" t="n">
        <v>0</v>
      </c>
      <c r="O38" s="51" t="n">
        <v>0</v>
      </c>
      <c r="P38" s="6" t="n">
        <f aca="false">M38-(N38+O38)</f>
        <v>108</v>
      </c>
      <c r="Q38" s="51" t="n">
        <v>65</v>
      </c>
      <c r="R38" s="51" t="n">
        <v>55</v>
      </c>
      <c r="S38" s="51" t="n">
        <f aca="false">SUM(P38:R38)</f>
        <v>228</v>
      </c>
      <c r="T38" s="52" t="n">
        <f aca="false">(I38-S38)+T37</f>
        <v>-3450.97</v>
      </c>
      <c r="U38" s="51" t="n">
        <v>0</v>
      </c>
      <c r="V38" s="51" t="n">
        <v>77</v>
      </c>
      <c r="W38" s="6" t="n">
        <f aca="false">N38+O38+S38+U38+V38</f>
        <v>305</v>
      </c>
      <c r="X38" s="51" t="n">
        <f aca="false">IF(L38&lt;0,L38*-1,0)</f>
        <v>55.2044366019662</v>
      </c>
      <c r="Y38" s="51" t="n">
        <f aca="false">W38+X38</f>
        <v>360.204436601966</v>
      </c>
      <c r="Z38" s="56" t="n">
        <v>0</v>
      </c>
      <c r="AA38" s="57" t="n">
        <v>75</v>
      </c>
      <c r="AB38" s="57" t="n">
        <v>39</v>
      </c>
      <c r="AC38" s="58" t="n">
        <v>29</v>
      </c>
      <c r="AD38" s="186" t="n">
        <f aca="false">IF(I38&gt;S38,I38-S38,I38-S38)</f>
        <v>-135</v>
      </c>
      <c r="AE38" s="93"/>
      <c r="AF38" s="93"/>
    </row>
    <row r="39" customFormat="false" ht="11.1" hidden="false" customHeight="true" outlineLevel="0" collapsed="false">
      <c r="A39" s="58" t="n">
        <v>30</v>
      </c>
      <c r="B39" s="73" t="n">
        <v>6912.7</v>
      </c>
      <c r="C39" s="52" t="n">
        <v>332898</v>
      </c>
      <c r="D39" s="57" t="n">
        <f aca="false">C39-C38</f>
        <v>-489</v>
      </c>
      <c r="E39" s="52" t="n">
        <f aca="false">C39-151978</f>
        <v>180920</v>
      </c>
      <c r="F39" s="51" t="n">
        <f aca="false">D39/$D$2</f>
        <v>-246.53390471389</v>
      </c>
      <c r="G39" s="51" t="n">
        <v>90</v>
      </c>
      <c r="H39" s="53" t="n">
        <v>0</v>
      </c>
      <c r="I39" s="51" t="n">
        <f aca="false">G39+H39</f>
        <v>90</v>
      </c>
      <c r="J39" s="81" t="n">
        <f aca="false">IF(L39&gt;0,L39,0)</f>
        <v>0</v>
      </c>
      <c r="K39" s="51" t="n">
        <f aca="false">I39+J39</f>
        <v>90</v>
      </c>
      <c r="L39" s="51" t="n">
        <f aca="false">F39-(I39-W39)</f>
        <v>-26.5339047138896</v>
      </c>
      <c r="M39" s="51" t="n">
        <v>104</v>
      </c>
      <c r="N39" s="51" t="n">
        <v>0</v>
      </c>
      <c r="O39" s="51" t="n">
        <v>0</v>
      </c>
      <c r="P39" s="6" t="n">
        <f aca="false">M39-(N39+O39)</f>
        <v>104</v>
      </c>
      <c r="Q39" s="51" t="n">
        <v>63</v>
      </c>
      <c r="R39" s="51" t="n">
        <v>54</v>
      </c>
      <c r="S39" s="51" t="n">
        <f aca="false">SUM(P39:R39)</f>
        <v>221</v>
      </c>
      <c r="T39" s="52" t="n">
        <f aca="false">(I39-S39)+T38</f>
        <v>-3581.97</v>
      </c>
      <c r="U39" s="51" t="n">
        <v>9</v>
      </c>
      <c r="V39" s="51" t="n">
        <v>80</v>
      </c>
      <c r="W39" s="6" t="n">
        <f aca="false">N39+O39+S39+U39+V39</f>
        <v>310</v>
      </c>
      <c r="X39" s="51" t="n">
        <f aca="false">IF(L39&lt;0,L39*-1,0)</f>
        <v>26.5339047138896</v>
      </c>
      <c r="Y39" s="51" t="n">
        <f aca="false">W39+X39</f>
        <v>336.53390471389</v>
      </c>
      <c r="Z39" s="56" t="n">
        <v>0</v>
      </c>
      <c r="AA39" s="171" t="n">
        <v>74</v>
      </c>
      <c r="AB39" s="57" t="n">
        <v>42</v>
      </c>
      <c r="AC39" s="58" t="n">
        <v>30</v>
      </c>
      <c r="AD39" s="186" t="n">
        <f aca="false">IF(I39&gt;S39,I39-S39,I39-S39)</f>
        <v>-131</v>
      </c>
      <c r="AE39" s="93"/>
      <c r="AF39" s="93"/>
    </row>
    <row r="40" customFormat="false" ht="3" hidden="false" customHeight="true" outlineLevel="0" collapsed="false">
      <c r="A40" s="74"/>
      <c r="B40" s="74"/>
      <c r="C40" s="76"/>
      <c r="D40" s="74"/>
      <c r="E40" s="76"/>
      <c r="F40" s="74"/>
      <c r="G40" s="74"/>
      <c r="H40" s="77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6"/>
      <c r="U40" s="74"/>
      <c r="V40" s="74"/>
      <c r="W40" s="74"/>
      <c r="X40" s="74"/>
      <c r="Y40" s="74"/>
      <c r="Z40" s="78"/>
      <c r="AA40" s="79"/>
      <c r="AB40" s="79"/>
      <c r="AC40" s="80"/>
      <c r="AD40" s="188"/>
      <c r="AE40" s="91"/>
      <c r="AF40" s="92"/>
    </row>
    <row r="41" customFormat="false" ht="11.1" hidden="false" customHeight="true" outlineLevel="0" collapsed="false">
      <c r="A41" s="51" t="s">
        <v>44</v>
      </c>
      <c r="B41" s="51"/>
      <c r="C41" s="52"/>
      <c r="D41" s="52"/>
      <c r="E41" s="52"/>
      <c r="F41" s="52" t="n">
        <f aca="false">SUM(F10:F39)</f>
        <v>-9557.8522813209</v>
      </c>
      <c r="G41" s="52" t="n">
        <f aca="false">SUM(G10:G39)</f>
        <v>3646</v>
      </c>
      <c r="H41" s="52" t="n">
        <f aca="false">SUM(H10:H39)</f>
        <v>0.03</v>
      </c>
      <c r="I41" s="52" t="n">
        <f aca="false">SUM(I10:I39)</f>
        <v>3646.03</v>
      </c>
      <c r="J41" s="52" t="n">
        <f aca="false">SUM(J10:J39)</f>
        <v>399.991681371313</v>
      </c>
      <c r="K41" s="52" t="n">
        <f aca="false">SUM(K10:K39)</f>
        <v>4046.02168137131</v>
      </c>
      <c r="L41" s="52" t="n">
        <f aca="false">SUM(L10:L39)</f>
        <v>-1399.8822813209</v>
      </c>
      <c r="M41" s="52" t="n">
        <f aca="false">SUM(M10:M39)</f>
        <v>3631</v>
      </c>
      <c r="N41" s="52" t="n">
        <f aca="false">SUM(N10:N39)</f>
        <v>0</v>
      </c>
      <c r="O41" s="52" t="n">
        <f aca="false">SUM(O10:O39)</f>
        <v>0</v>
      </c>
      <c r="P41" s="52" t="n">
        <f aca="false">SUM(P10:P39)</f>
        <v>3631</v>
      </c>
      <c r="Q41" s="52" t="n">
        <f aca="false">SUM(Q10:Q39)</f>
        <v>2960</v>
      </c>
      <c r="R41" s="52" t="n">
        <f aca="false">SUM(R10:R39)</f>
        <v>1746</v>
      </c>
      <c r="S41" s="52" t="n">
        <f aca="false">SUM(S10:S39)</f>
        <v>8337</v>
      </c>
      <c r="T41" s="52"/>
      <c r="U41" s="52" t="n">
        <f aca="false">SUM(U10:U39)</f>
        <v>199</v>
      </c>
      <c r="V41" s="52" t="n">
        <f aca="false">SUM(V10:V40)</f>
        <v>3268</v>
      </c>
      <c r="W41" s="52" t="n">
        <f aca="false">SUM(W10:W39)</f>
        <v>11804</v>
      </c>
      <c r="X41" s="52" t="n">
        <f aca="false">SUM(X10:X39)</f>
        <v>1799.87396269221</v>
      </c>
      <c r="Y41" s="52" t="n">
        <f aca="false">SUM(Y10:Y39)</f>
        <v>13603.8739626922</v>
      </c>
      <c r="Z41" s="56" t="n">
        <f aca="false">SUM(Z10:Z39)</f>
        <v>0.38</v>
      </c>
      <c r="AA41" s="57" t="n">
        <f aca="false">AVERAGE(AA10:AA39)</f>
        <v>75.9</v>
      </c>
      <c r="AB41" s="57" t="n">
        <f aca="false">AVERAGE(AB10:AB39)</f>
        <v>43.5666666666667</v>
      </c>
      <c r="AC41" s="58" t="s">
        <v>71</v>
      </c>
      <c r="AD41" s="186"/>
      <c r="AE41" s="91"/>
      <c r="AF41" s="92"/>
    </row>
    <row r="42" customFormat="false" ht="11.1" hidden="false" customHeight="true" outlineLevel="0" collapsed="false">
      <c r="A42" s="51" t="s">
        <v>46</v>
      </c>
      <c r="B42" s="51"/>
      <c r="C42" s="52"/>
      <c r="D42" s="52" t="n">
        <f aca="false">SUM(D10:D40)</f>
        <v>-18958</v>
      </c>
      <c r="E42" s="52"/>
      <c r="F42" s="52" t="n">
        <f aca="false">F41*$D$2</f>
        <v>-18958</v>
      </c>
      <c r="G42" s="52" t="n">
        <f aca="false">G41*$D$2</f>
        <v>7231.841</v>
      </c>
      <c r="H42" s="52" t="n">
        <f aca="false">H41*$D$2</f>
        <v>0.059505</v>
      </c>
      <c r="I42" s="52" t="n">
        <f aca="false">I41*$D$2</f>
        <v>7231.900505</v>
      </c>
      <c r="J42" s="52" t="n">
        <f aca="false">J41*$D$2</f>
        <v>793.3835</v>
      </c>
      <c r="K42" s="52" t="n">
        <f aca="false">K41*$D$2</f>
        <v>8025.284005</v>
      </c>
      <c r="L42" s="52" t="n">
        <f aca="false">L41*$D$2</f>
        <v>-2776.666505</v>
      </c>
      <c r="M42" s="52" t="n">
        <f aca="false">M41*$D$2</f>
        <v>7202.0885</v>
      </c>
      <c r="N42" s="52" t="n">
        <f aca="false">N41*$D$2</f>
        <v>0</v>
      </c>
      <c r="O42" s="52" t="n">
        <f aca="false">O41*$D$2</f>
        <v>0</v>
      </c>
      <c r="P42" s="52" t="n">
        <f aca="false">P41*$D$2</f>
        <v>7202.0885</v>
      </c>
      <c r="Q42" s="52" t="n">
        <f aca="false">Q41*$D$2</f>
        <v>5871.16</v>
      </c>
      <c r="R42" s="52" t="n">
        <f aca="false">R41*$D$2</f>
        <v>3463.191</v>
      </c>
      <c r="S42" s="52" t="n">
        <f aca="false">S41*$D$2</f>
        <v>16536.4395</v>
      </c>
      <c r="T42" s="52"/>
      <c r="U42" s="52" t="n">
        <f aca="false">U41*$D$2</f>
        <v>394.7165</v>
      </c>
      <c r="V42" s="52" t="n">
        <f aca="false">V41*$D$2</f>
        <v>6482.078</v>
      </c>
      <c r="W42" s="52" t="n">
        <f aca="false">W41*$D$2</f>
        <v>23413.234</v>
      </c>
      <c r="X42" s="52" t="n">
        <f aca="false">X41*$D$2</f>
        <v>3570.050005</v>
      </c>
      <c r="Y42" s="52" t="n">
        <f aca="false">Y41*$D$2</f>
        <v>26983.284005</v>
      </c>
      <c r="Z42" s="56"/>
      <c r="AA42" s="57" t="n">
        <f aca="false">MAX(AA10:AA39)</f>
        <v>84</v>
      </c>
      <c r="AB42" s="57" t="n">
        <f aca="false">MAX(AB10:AB39)</f>
        <v>55</v>
      </c>
      <c r="AC42" s="58" t="s">
        <v>47</v>
      </c>
      <c r="AD42" s="186"/>
      <c r="AE42" s="91"/>
      <c r="AF42" s="92"/>
    </row>
    <row r="43" customFormat="false" ht="3" hidden="false" customHeight="true" outlineLevel="0" collapsed="false">
      <c r="A43" s="74"/>
      <c r="B43" s="74"/>
      <c r="C43" s="76"/>
      <c r="D43" s="76"/>
      <c r="E43" s="76"/>
      <c r="F43" s="76"/>
      <c r="G43" s="76"/>
      <c r="H43" s="76"/>
      <c r="I43" s="76"/>
      <c r="J43" s="76"/>
      <c r="K43" s="76"/>
      <c r="L43" s="76"/>
      <c r="M43" s="76"/>
      <c r="N43" s="76"/>
      <c r="O43" s="76"/>
      <c r="P43" s="76"/>
      <c r="Q43" s="76"/>
      <c r="R43" s="76"/>
      <c r="S43" s="76"/>
      <c r="T43" s="76"/>
      <c r="U43" s="76"/>
      <c r="V43" s="76"/>
      <c r="W43" s="76"/>
      <c r="X43" s="76"/>
      <c r="Y43" s="76"/>
      <c r="Z43" s="76"/>
      <c r="AA43" s="76"/>
      <c r="AB43" s="76"/>
      <c r="AC43" s="76"/>
      <c r="AD43" s="170"/>
      <c r="AE43" s="91"/>
      <c r="AF43" s="92"/>
    </row>
    <row r="44" customFormat="false" ht="11.1" hidden="false" customHeight="true" outlineLevel="0" collapsed="false">
      <c r="A44" s="51" t="s">
        <v>48</v>
      </c>
      <c r="B44" s="51"/>
      <c r="C44" s="52"/>
      <c r="D44" s="52"/>
      <c r="E44" s="52"/>
      <c r="F44" s="52" t="n">
        <f aca="false">F7+F41</f>
        <v>21077.892614066</v>
      </c>
      <c r="G44" s="52" t="n">
        <f aca="false">G7+G41</f>
        <v>193088</v>
      </c>
      <c r="H44" s="52" t="n">
        <f aca="false">H7+H41</f>
        <v>12679.03</v>
      </c>
      <c r="I44" s="52" t="n">
        <f aca="false">I7+I41</f>
        <v>205767.03</v>
      </c>
      <c r="J44" s="52" t="n">
        <f aca="false">J7+J41</f>
        <v>45326.7254852533</v>
      </c>
      <c r="K44" s="52" t="n">
        <f aca="false">K7+K41</f>
        <v>251093.755485253</v>
      </c>
      <c r="L44" s="52" t="n">
        <f aca="false">L7+L41</f>
        <v>39220.862614066</v>
      </c>
      <c r="M44" s="52" t="n">
        <f aca="false">M7+M41</f>
        <v>27737</v>
      </c>
      <c r="N44" s="52" t="n">
        <f aca="false">N7+N41</f>
        <v>0</v>
      </c>
      <c r="O44" s="52" t="n">
        <f aca="false">O7+O41</f>
        <v>0</v>
      </c>
      <c r="P44" s="52" t="n">
        <f aca="false">P7+P41</f>
        <v>27737</v>
      </c>
      <c r="Q44" s="52" t="n">
        <f aca="false">Q7+Q41</f>
        <v>23083</v>
      </c>
      <c r="R44" s="52" t="n">
        <f aca="false">R7+R41</f>
        <v>12266</v>
      </c>
      <c r="S44" s="52" t="n">
        <f aca="false">S7+S41</f>
        <v>62742</v>
      </c>
      <c r="T44" s="52" t="n">
        <f aca="false">T39</f>
        <v>-3581.97</v>
      </c>
      <c r="U44" s="52" t="n">
        <f aca="false">U7+U41</f>
        <v>990</v>
      </c>
      <c r="V44" s="52" t="n">
        <f aca="false">V7+V41</f>
        <v>160178</v>
      </c>
      <c r="W44" s="52" t="n">
        <f aca="false">W7+W41</f>
        <v>223910</v>
      </c>
      <c r="X44" s="52" t="n">
        <f aca="false">X7+X41</f>
        <v>6183.28560877237</v>
      </c>
      <c r="Y44" s="52" t="n">
        <f aca="false">Y7+Y41</f>
        <v>230093.285608772</v>
      </c>
      <c r="Z44" s="56"/>
      <c r="AA44" s="57" t="n">
        <f aca="false">MIN(AA10:AA39)</f>
        <v>71</v>
      </c>
      <c r="AB44" s="57" t="n">
        <f aca="false">MIN(AB10:AB39)</f>
        <v>33</v>
      </c>
      <c r="AC44" s="58" t="s">
        <v>49</v>
      </c>
      <c r="AD44" s="186"/>
      <c r="AE44" s="91"/>
      <c r="AF44" s="92"/>
    </row>
    <row r="45" customFormat="false" ht="11.1" hidden="false" customHeight="true" outlineLevel="0" collapsed="false">
      <c r="A45" s="51" t="s">
        <v>50</v>
      </c>
      <c r="B45" s="51"/>
      <c r="C45" s="52"/>
      <c r="D45" s="52"/>
      <c r="E45" s="52"/>
      <c r="F45" s="52" t="n">
        <f aca="false">F44*$D$2</f>
        <v>41808</v>
      </c>
      <c r="G45" s="52" t="n">
        <f aca="false">G44*$D$2</f>
        <v>382990.048</v>
      </c>
      <c r="H45" s="52" t="n">
        <f aca="false">H44*$D$2</f>
        <v>25148.856005</v>
      </c>
      <c r="I45" s="52" t="n">
        <f aca="false">I44*$D$2</f>
        <v>408138.904005</v>
      </c>
      <c r="J45" s="52" t="n">
        <f aca="false">J44*$D$2</f>
        <v>89905.56</v>
      </c>
      <c r="K45" s="52" t="n">
        <f aca="false">K44*$D$2</f>
        <v>498044.464005</v>
      </c>
      <c r="L45" s="52" t="n">
        <f aca="false">L44*$D$2</f>
        <v>77794.580995</v>
      </c>
      <c r="M45" s="52" t="n">
        <f aca="false">M44*$D$2</f>
        <v>55016.3395</v>
      </c>
      <c r="N45" s="52" t="n">
        <f aca="false">N44*$D$2</f>
        <v>0</v>
      </c>
      <c r="O45" s="52" t="n">
        <f aca="false">O44*$D$2</f>
        <v>0</v>
      </c>
      <c r="P45" s="52" t="n">
        <f aca="false">P44*$D$2</f>
        <v>55016.3395</v>
      </c>
      <c r="Q45" s="52" t="n">
        <f aca="false">Q44*$D$2</f>
        <v>45785.1305</v>
      </c>
      <c r="R45" s="52" t="n">
        <f aca="false">R44*$D$2</f>
        <v>24329.611</v>
      </c>
      <c r="S45" s="52" t="n">
        <f aca="false">S44*$D$2</f>
        <v>124448.757</v>
      </c>
      <c r="T45" s="52" t="n">
        <f aca="false">T44*$D$2</f>
        <v>-7104.837495</v>
      </c>
      <c r="U45" s="52" t="n">
        <f aca="false">U44*$D$2</f>
        <v>1963.665</v>
      </c>
      <c r="V45" s="52" t="n">
        <f aca="false">V44*$D$2</f>
        <v>317713.063</v>
      </c>
      <c r="W45" s="52" t="n">
        <f aca="false">W44*$D$2</f>
        <v>444125.485</v>
      </c>
      <c r="X45" s="52" t="n">
        <f aca="false">X44*$D$2</f>
        <v>12264.547005</v>
      </c>
      <c r="Y45" s="52" t="n">
        <f aca="false">Y44*$D$2</f>
        <v>456390.032005</v>
      </c>
      <c r="Z45" s="56"/>
      <c r="AA45" s="57"/>
      <c r="AB45" s="57"/>
      <c r="AC45" s="58"/>
      <c r="AD45" s="186"/>
      <c r="AE45" s="91"/>
      <c r="AF45" s="92"/>
    </row>
    <row r="46" customFormat="false" ht="3" hidden="false" customHeight="true" outlineLevel="0" collapsed="false">
      <c r="A46" s="74"/>
      <c r="B46" s="74"/>
      <c r="C46" s="76"/>
      <c r="D46" s="76"/>
      <c r="E46" s="76"/>
      <c r="F46" s="76"/>
      <c r="G46" s="76"/>
      <c r="H46" s="79"/>
      <c r="I46" s="76"/>
      <c r="J46" s="76"/>
      <c r="K46" s="76"/>
      <c r="L46" s="76"/>
      <c r="M46" s="76"/>
      <c r="N46" s="76"/>
      <c r="O46" s="76"/>
      <c r="P46" s="76"/>
      <c r="Q46" s="76"/>
      <c r="R46" s="76"/>
      <c r="S46" s="76"/>
      <c r="T46" s="76"/>
      <c r="U46" s="76"/>
      <c r="V46" s="76"/>
      <c r="W46" s="76"/>
      <c r="X46" s="76"/>
      <c r="Y46" s="76"/>
      <c r="Z46" s="78"/>
      <c r="AA46" s="78"/>
      <c r="AB46" s="78"/>
      <c r="AC46" s="78"/>
      <c r="AD46" s="170"/>
      <c r="AE46" s="91"/>
      <c r="AF46" s="92"/>
    </row>
    <row r="47" customFormat="false" ht="11.1" hidden="false" customHeight="true" outlineLevel="0" collapsed="false">
      <c r="A47" s="51" t="s">
        <v>51</v>
      </c>
      <c r="B47" s="51"/>
      <c r="C47" s="52"/>
      <c r="D47" s="52"/>
      <c r="E47" s="52"/>
      <c r="F47" s="52" t="n">
        <f aca="false">F8+F41</f>
        <v>21530.123519032</v>
      </c>
      <c r="G47" s="52" t="n">
        <f aca="false">G8+G41</f>
        <v>223538</v>
      </c>
      <c r="H47" s="57" t="n">
        <f aca="false">H8+H41</f>
        <v>16090.03</v>
      </c>
      <c r="I47" s="52" t="n">
        <f aca="false">I8+I41</f>
        <v>239086.93</v>
      </c>
      <c r="J47" s="52" t="n">
        <f aca="false">J8+J41</f>
        <v>52161.1703302244</v>
      </c>
      <c r="K47" s="52" t="n">
        <f aca="false">K8+K41</f>
        <v>291248.100330224</v>
      </c>
      <c r="L47" s="52" t="n">
        <f aca="false">L8+L41</f>
        <v>44949.193519032</v>
      </c>
      <c r="M47" s="52" t="n">
        <f aca="false">M8+M41</f>
        <v>29303</v>
      </c>
      <c r="N47" s="52" t="n">
        <f aca="false">N8+N41</f>
        <v>0.08</v>
      </c>
      <c r="O47" s="52" t="n">
        <f aca="false">O8+O41</f>
        <v>0</v>
      </c>
      <c r="P47" s="52" t="n">
        <f aca="false">P8+P41</f>
        <v>29302.92</v>
      </c>
      <c r="Q47" s="52" t="n">
        <f aca="false">Q8+Q41</f>
        <v>25361</v>
      </c>
      <c r="R47" s="52" t="n">
        <f aca="false">R8+R41</f>
        <v>12715</v>
      </c>
      <c r="S47" s="52" t="n">
        <f aca="false">S8+S41</f>
        <v>67034.92</v>
      </c>
      <c r="T47" s="52" t="n">
        <f aca="false">T44</f>
        <v>-3581.97</v>
      </c>
      <c r="U47" s="52" t="n">
        <f aca="false">U8+U41</f>
        <v>991</v>
      </c>
      <c r="V47" s="52" t="n">
        <f aca="false">V8+V41</f>
        <v>194480</v>
      </c>
      <c r="W47" s="52" t="n">
        <f aca="false">W8+W41</f>
        <v>262506</v>
      </c>
      <c r="X47" s="52" t="n">
        <f aca="false">X8+X41</f>
        <v>7289.39954877741</v>
      </c>
      <c r="Y47" s="52" t="n">
        <f aca="false">Y8+Y41</f>
        <v>269795.399548777</v>
      </c>
      <c r="Z47" s="56" t="n">
        <f aca="false">Z8+Z41</f>
        <v>14.56</v>
      </c>
      <c r="AA47" s="57"/>
      <c r="AB47" s="57"/>
      <c r="AC47" s="58"/>
      <c r="AD47" s="186"/>
      <c r="AE47" s="91"/>
      <c r="AF47" s="92"/>
    </row>
    <row r="48" customFormat="false" ht="11.1" hidden="false" customHeight="true" outlineLevel="0" collapsed="false">
      <c r="A48" s="51" t="s">
        <v>52</v>
      </c>
      <c r="B48" s="51"/>
      <c r="C48" s="52"/>
      <c r="D48" s="52" t="n">
        <f aca="false">D8+D42</f>
        <v>42705</v>
      </c>
      <c r="E48" s="52" t="n">
        <f aca="false">E39</f>
        <v>180920</v>
      </c>
      <c r="F48" s="52" t="n">
        <f aca="false">F47*$D$2</f>
        <v>42705</v>
      </c>
      <c r="G48" s="52" t="n">
        <f aca="false">G47*$D$2</f>
        <v>443387.623</v>
      </c>
      <c r="H48" s="57" t="n">
        <f aca="false">H47*$D$2</f>
        <v>31914.574505</v>
      </c>
      <c r="I48" s="52" t="n">
        <f aca="false">I47*$D$2</f>
        <v>474228.925655</v>
      </c>
      <c r="J48" s="52" t="n">
        <f aca="false">J47*$D$2</f>
        <v>103461.68135</v>
      </c>
      <c r="K48" s="52" t="n">
        <f aca="false">K47*$D$2</f>
        <v>577690.607005</v>
      </c>
      <c r="L48" s="52" t="n">
        <f aca="false">L47*$D$2</f>
        <v>89156.725345</v>
      </c>
      <c r="M48" s="52" t="n">
        <f aca="false">M47*$D$2</f>
        <v>58122.5005</v>
      </c>
      <c r="N48" s="52" t="n">
        <f aca="false">N47*$D$2</f>
        <v>0.15868</v>
      </c>
      <c r="O48" s="52" t="n">
        <f aca="false">O47*$D$2</f>
        <v>0</v>
      </c>
      <c r="P48" s="52" t="n">
        <f aca="false">P47*$D$2</f>
        <v>58122.34182</v>
      </c>
      <c r="Q48" s="52" t="n">
        <f aca="false">Q47*$D$2</f>
        <v>50303.5435</v>
      </c>
      <c r="R48" s="52" t="n">
        <f aca="false">R47*$D$2</f>
        <v>25220.2025</v>
      </c>
      <c r="S48" s="52" t="n">
        <f aca="false">S47*$D$2</f>
        <v>132963.76382</v>
      </c>
      <c r="T48" s="52" t="n">
        <f aca="false">T47*$D$2</f>
        <v>-7104.837495</v>
      </c>
      <c r="U48" s="52" t="n">
        <f aca="false">U47*$D$2</f>
        <v>1965.6485</v>
      </c>
      <c r="V48" s="52" t="n">
        <f aca="false">V47*$D$2</f>
        <v>385751.08</v>
      </c>
      <c r="W48" s="52" t="n">
        <f aca="false">W47*$D$2</f>
        <v>520680.651</v>
      </c>
      <c r="X48" s="52" t="n">
        <f aca="false">X47*$D$2</f>
        <v>14458.524005</v>
      </c>
      <c r="Y48" s="52" t="n">
        <f aca="false">Y47*$D$2</f>
        <v>535139.175005</v>
      </c>
      <c r="Z48" s="56"/>
      <c r="AA48" s="57"/>
      <c r="AB48" s="57"/>
      <c r="AC48" s="58"/>
      <c r="AD48" s="186"/>
      <c r="AE48" s="91"/>
      <c r="AF48" s="92"/>
    </row>
    <row r="49" customFormat="false" ht="3" hidden="false" customHeight="true" outlineLevel="0" collapsed="false">
      <c r="A49" s="74"/>
      <c r="B49" s="74"/>
      <c r="C49" s="76"/>
      <c r="D49" s="74"/>
      <c r="E49" s="76"/>
      <c r="F49" s="74"/>
      <c r="G49" s="74"/>
      <c r="H49" s="77"/>
      <c r="I49" s="74"/>
      <c r="J49" s="74"/>
      <c r="K49" s="74"/>
      <c r="L49" s="74"/>
      <c r="M49" s="74"/>
      <c r="N49" s="74"/>
      <c r="O49" s="74"/>
      <c r="P49" s="74"/>
      <c r="Q49" s="74"/>
      <c r="R49" s="74"/>
      <c r="S49" s="74"/>
      <c r="T49" s="76"/>
      <c r="U49" s="74"/>
      <c r="V49" s="74"/>
      <c r="W49" s="74"/>
      <c r="X49" s="74"/>
      <c r="Y49" s="74"/>
      <c r="Z49" s="74"/>
      <c r="AA49" s="74"/>
      <c r="AB49" s="74"/>
      <c r="AC49" s="74"/>
      <c r="AD49" s="170"/>
      <c r="AE49" s="91"/>
      <c r="AF49" s="92"/>
    </row>
    <row r="50" customFormat="false" ht="11.1" hidden="false" customHeight="true" outlineLevel="0" collapsed="false">
      <c r="A50" s="179"/>
      <c r="B50" s="29" t="s">
        <v>81</v>
      </c>
      <c r="C50" s="7"/>
      <c r="D50" s="6"/>
      <c r="E50" s="138" t="n">
        <v>7391</v>
      </c>
      <c r="F50" s="0"/>
      <c r="G50" s="0"/>
      <c r="H50" s="11" t="s">
        <v>82</v>
      </c>
      <c r="I50" s="6"/>
      <c r="J50" s="6"/>
      <c r="K50" s="140"/>
      <c r="L50" s="52" t="n">
        <v>10240</v>
      </c>
      <c r="M50" s="6"/>
      <c r="N50" s="6"/>
      <c r="O50" s="6"/>
      <c r="P50" s="6"/>
      <c r="Q50" s="6"/>
      <c r="R50" s="6"/>
      <c r="S50" s="6"/>
      <c r="T50" s="141"/>
      <c r="U50" s="6"/>
      <c r="V50" s="6" t="s">
        <v>94</v>
      </c>
      <c r="W50" s="180" t="s">
        <v>95</v>
      </c>
      <c r="X50" s="51"/>
      <c r="Y50" s="51"/>
      <c r="Z50" s="56"/>
      <c r="AA50" s="57"/>
      <c r="AB50" s="57"/>
      <c r="AC50" s="58"/>
      <c r="AD50" s="183"/>
      <c r="AE50" s="88"/>
    </row>
    <row r="51" customFormat="false" ht="11.1" hidden="false" customHeight="true" outlineLevel="0" collapsed="false">
      <c r="A51" s="51"/>
      <c r="B51" s="29" t="s">
        <v>83</v>
      </c>
      <c r="C51" s="7"/>
      <c r="D51" s="39"/>
      <c r="E51" s="122" t="e">
        <f aca="false">L53+O53+T53+U53+#REF!</f>
        <v>#REF!</v>
      </c>
      <c r="F51" s="142"/>
      <c r="G51" s="0"/>
      <c r="H51" s="11" t="s">
        <v>84</v>
      </c>
      <c r="I51" s="8"/>
      <c r="J51" s="6"/>
      <c r="K51" s="42"/>
      <c r="L51" s="81" t="n">
        <f aca="false">L50/210</f>
        <v>48.7619047619048</v>
      </c>
      <c r="M51" s="6"/>
      <c r="N51" s="6"/>
      <c r="O51" s="6"/>
      <c r="P51" s="143" t="s">
        <v>85</v>
      </c>
      <c r="Q51" s="144"/>
      <c r="R51" s="145"/>
      <c r="S51" s="146" t="n">
        <v>183</v>
      </c>
      <c r="T51" s="147" t="n">
        <f aca="false">16268+1368+4</f>
        <v>17640</v>
      </c>
      <c r="U51" s="141"/>
      <c r="V51" s="6"/>
      <c r="W51" s="7"/>
      <c r="X51" s="51"/>
      <c r="Y51" s="55"/>
      <c r="Z51" s="56"/>
      <c r="AA51" s="57"/>
      <c r="AB51" s="58"/>
      <c r="AC51" s="88"/>
      <c r="AD51" s="183"/>
    </row>
    <row r="52" customFormat="false" ht="11.1" hidden="false" customHeight="true" outlineLevel="0" collapsed="false">
      <c r="A52" s="82"/>
      <c r="B52" s="52"/>
      <c r="E52" s="122"/>
      <c r="F52" s="148"/>
      <c r="G52" s="0"/>
      <c r="H52" s="11" t="s">
        <v>86</v>
      </c>
      <c r="I52" s="39"/>
      <c r="J52" s="39"/>
      <c r="K52" s="149"/>
      <c r="L52" s="181" t="n">
        <f aca="false">214-S51</f>
        <v>31</v>
      </c>
      <c r="M52" s="37"/>
      <c r="N52" s="189" t="s">
        <v>99</v>
      </c>
      <c r="O52" s="151" t="n">
        <v>6289</v>
      </c>
      <c r="P52" s="152" t="s">
        <v>87</v>
      </c>
      <c r="Q52" s="153"/>
      <c r="R52" s="154"/>
      <c r="S52" s="155" t="n">
        <f aca="false">2932/210</f>
        <v>13.9619047619048</v>
      </c>
      <c r="T52" s="156" t="n">
        <f aca="false">S51*S52</f>
        <v>2555.02857142857</v>
      </c>
      <c r="U52" s="157" t="n">
        <f aca="false">14562+1946+600+15+25+3</f>
        <v>17151</v>
      </c>
      <c r="V52" s="7"/>
      <c r="W52" s="153"/>
      <c r="X52" s="82"/>
      <c r="Y52" s="55"/>
      <c r="Z52" s="56"/>
      <c r="AA52" s="57"/>
      <c r="AB52" s="58"/>
      <c r="AC52" s="96"/>
      <c r="AD52" s="183"/>
    </row>
    <row r="53" customFormat="false" ht="11.1" hidden="false" customHeight="true" outlineLevel="0" collapsed="false">
      <c r="A53" s="82"/>
      <c r="B53" s="158" t="s">
        <v>88</v>
      </c>
      <c r="C53" s="159"/>
      <c r="D53" s="159"/>
      <c r="E53" s="160" t="e">
        <f aca="false">E50-E51</f>
        <v>#REF!</v>
      </c>
      <c r="F53" s="0"/>
      <c r="G53" s="0"/>
      <c r="H53" s="52" t="s">
        <v>74</v>
      </c>
      <c r="I53" s="0"/>
      <c r="J53" s="39"/>
      <c r="K53" s="149"/>
      <c r="L53" s="57" t="n">
        <f aca="false">L52*L51</f>
        <v>1511.61904761905</v>
      </c>
      <c r="M53" s="37"/>
      <c r="N53" s="189" t="s">
        <v>100</v>
      </c>
      <c r="O53" s="57" t="n">
        <f aca="false">O52-O48</f>
        <v>6289</v>
      </c>
      <c r="P53" s="161"/>
      <c r="Q53" s="162"/>
      <c r="R53" s="162"/>
      <c r="S53" s="163"/>
      <c r="T53" s="164" t="n">
        <f aca="false">(T51+T52)+T45</f>
        <v>13090.1910764286</v>
      </c>
      <c r="U53" s="52" t="n">
        <f aca="false">U52-U48</f>
        <v>15185.3515</v>
      </c>
      <c r="V53" s="7"/>
      <c r="W53" s="52"/>
      <c r="X53" s="82"/>
      <c r="Y53" s="98" t="n">
        <f aca="false">DAYS360(7/24/2002,3/31/2003,FALSE())</f>
        <v>0</v>
      </c>
      <c r="Z53" s="56"/>
      <c r="AA53" s="57"/>
      <c r="AB53" s="58"/>
      <c r="AC53" s="96"/>
      <c r="AD53" s="183"/>
    </row>
    <row r="54" customFormat="false" ht="11.1" hidden="false" customHeight="true" outlineLevel="0" collapsed="false">
      <c r="A54" s="82"/>
      <c r="B54" s="82"/>
      <c r="C54" s="52"/>
      <c r="D54" s="82"/>
      <c r="E54" s="52"/>
      <c r="F54" s="82"/>
      <c r="G54" s="53"/>
      <c r="I54" s="42"/>
      <c r="J54" s="82"/>
      <c r="K54" s="82"/>
      <c r="L54" s="82"/>
      <c r="M54" s="81"/>
      <c r="N54" s="7"/>
      <c r="O54" s="81"/>
      <c r="P54" s="82"/>
      <c r="Q54" s="82"/>
      <c r="R54" s="82"/>
      <c r="S54" s="0"/>
      <c r="T54" s="52"/>
      <c r="U54" s="47"/>
      <c r="V54" s="52"/>
      <c r="W54" s="82"/>
      <c r="X54" s="82"/>
      <c r="Y54" s="55"/>
      <c r="Z54" s="56"/>
      <c r="AA54" s="57"/>
      <c r="AB54" s="58"/>
      <c r="AC54" s="96"/>
      <c r="AD54" s="183"/>
    </row>
    <row r="55" customFormat="false" ht="11.1" hidden="false" customHeight="true" outlineLevel="0" collapsed="false">
      <c r="Q55" s="182"/>
      <c r="S55" s="52"/>
      <c r="T55" s="51"/>
      <c r="U55" s="47"/>
    </row>
    <row r="56" customFormat="false" ht="11.1" hidden="false" customHeight="true" outlineLevel="0" collapsed="false">
      <c r="Q56" s="182"/>
      <c r="S56" s="52"/>
      <c r="T56" s="51"/>
      <c r="U56" s="47"/>
    </row>
    <row r="57" customFormat="false" ht="11.1" hidden="false" customHeight="true" outlineLevel="0" collapsed="false">
      <c r="Q57" s="182"/>
    </row>
    <row r="58" customFormat="false" ht="11.1" hidden="false" customHeight="true" outlineLevel="0" collapsed="false">
      <c r="Q58" s="182"/>
    </row>
  </sheetData>
  <mergeCells count="2">
    <mergeCell ref="K2:T2"/>
    <mergeCell ref="M4:P4"/>
  </mergeCells>
  <printOptions headings="true" gridLines="true" gridLinesSet="true" horizontalCentered="true" verticalCentered="false"/>
  <pageMargins left="0" right="0" top="0" bottom="0" header="0.511811023622047" footer="0.511811023622047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I5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9" topLeftCell="T21" activePane="bottomRight" state="frozen"/>
      <selection pane="topLeft" activeCell="A1" activeCellId="0" sqref="A1"/>
      <selection pane="topRight" activeCell="T1" activeCellId="0" sqref="T1"/>
      <selection pane="bottomLeft" activeCell="A21" activeCellId="0" sqref="A21"/>
      <selection pane="bottomRight" activeCell="AB41" activeCellId="0" sqref="AB41"/>
    </sheetView>
  </sheetViews>
  <sheetFormatPr defaultColWidth="9.328125" defaultRowHeight="11.1" zeroHeight="false" outlineLevelRow="0" outlineLevelCol="0"/>
  <cols>
    <col collapsed="false" customWidth="true" hidden="false" outlineLevel="0" max="1" min="1" style="44" width="5.66"/>
    <col collapsed="false" customWidth="true" hidden="false" outlineLevel="0" max="2" min="2" style="44" width="7.82"/>
    <col collapsed="false" customWidth="true" hidden="false" outlineLevel="0" max="3" min="3" style="45" width="7.66"/>
    <col collapsed="false" customWidth="true" hidden="false" outlineLevel="0" max="4" min="4" style="44" width="6.99"/>
    <col collapsed="false" customWidth="true" hidden="false" outlineLevel="0" max="5" min="5" style="45" width="7.66"/>
    <col collapsed="false" customWidth="true" hidden="false" outlineLevel="0" max="6" min="6" style="44" width="7.66"/>
    <col collapsed="false" customWidth="true" hidden="false" outlineLevel="0" max="7" min="7" style="44" width="7.16"/>
    <col collapsed="false" customWidth="true" hidden="false" outlineLevel="0" max="8" min="8" style="190" width="6.82"/>
    <col collapsed="false" customWidth="true" hidden="false" outlineLevel="0" max="9" min="9" style="44" width="7.99"/>
    <col collapsed="false" customWidth="true" hidden="false" outlineLevel="0" max="10" min="10" style="44" width="6.66"/>
    <col collapsed="false" customWidth="true" hidden="false" outlineLevel="0" max="12" min="11" style="44" width="7.16"/>
    <col collapsed="false" customWidth="true" hidden="false" outlineLevel="0" max="13" min="13" style="47" width="6.32"/>
    <col collapsed="false" customWidth="true" hidden="true" outlineLevel="0" max="14" min="14" style="47" width="7.32"/>
    <col collapsed="false" customWidth="true" hidden="true" outlineLevel="0" max="15" min="15" style="47" width="6.49"/>
    <col collapsed="false" customWidth="true" hidden="true" outlineLevel="0" max="16" min="16" style="44" width="7.99"/>
    <col collapsed="false" customWidth="true" hidden="false" outlineLevel="0" max="17" min="17" style="44" width="6.32"/>
    <col collapsed="false" customWidth="true" hidden="false" outlineLevel="0" max="18" min="18" style="44" width="5.82"/>
    <col collapsed="false" customWidth="true" hidden="false" outlineLevel="0" max="19" min="19" style="45" width="6.82"/>
    <col collapsed="false" customWidth="true" hidden="false" outlineLevel="0" max="20" min="20" style="44" width="7.66"/>
    <col collapsed="false" customWidth="true" hidden="false" outlineLevel="0" max="21" min="21" style="44" width="5.99"/>
    <col collapsed="false" customWidth="true" hidden="false" outlineLevel="0" max="22" min="22" style="45" width="6.66"/>
    <col collapsed="false" customWidth="true" hidden="false" outlineLevel="0" max="24" min="23" style="44" width="7.82"/>
    <col collapsed="false" customWidth="true" hidden="false" outlineLevel="0" max="25" min="25" style="48" width="8.16"/>
    <col collapsed="false" customWidth="true" hidden="false" outlineLevel="0" max="26" min="26" style="49" width="5.16"/>
    <col collapsed="false" customWidth="true" hidden="false" outlineLevel="0" max="27" min="27" style="49" width="4.66"/>
    <col collapsed="false" customWidth="true" hidden="false" outlineLevel="0" max="28" min="28" style="50" width="4.66"/>
    <col collapsed="false" customWidth="true" hidden="false" outlineLevel="0" max="29" min="29" style="44" width="5.66"/>
    <col collapsed="false" customWidth="false" hidden="false" outlineLevel="0" max="30" min="30" style="48" width="9.32"/>
    <col collapsed="false" customWidth="false" hidden="false" outlineLevel="0" max="257" min="31" style="44" width="9.32"/>
  </cols>
  <sheetData>
    <row r="1" customFormat="false" ht="14.1" hidden="false" customHeight="true" outlineLevel="0" collapsed="false">
      <c r="A1" s="51"/>
      <c r="B1" s="51"/>
      <c r="C1" s="52"/>
      <c r="D1" s="51"/>
      <c r="E1" s="52"/>
      <c r="F1" s="51"/>
      <c r="G1" s="51"/>
      <c r="H1" s="191"/>
      <c r="I1" s="51"/>
      <c r="J1" s="51"/>
      <c r="K1" s="54" t="s">
        <v>0</v>
      </c>
      <c r="L1" s="51"/>
      <c r="M1" s="51"/>
      <c r="N1" s="51"/>
      <c r="O1" s="51"/>
      <c r="P1" s="51"/>
      <c r="Q1" s="51"/>
      <c r="R1" s="51"/>
      <c r="S1" s="52"/>
      <c r="T1" s="51"/>
      <c r="U1" s="51"/>
      <c r="V1" s="52"/>
      <c r="W1" s="51"/>
      <c r="X1" s="51"/>
      <c r="Y1" s="55"/>
      <c r="Z1" s="57"/>
      <c r="AA1" s="57"/>
      <c r="AB1" s="58"/>
      <c r="AC1" s="88"/>
      <c r="AD1" s="183"/>
    </row>
    <row r="2" customFormat="false" ht="14.1" hidden="false" customHeight="true" outlineLevel="0" collapsed="false">
      <c r="A2" s="51" t="s">
        <v>1</v>
      </c>
      <c r="B2" s="51"/>
      <c r="C2" s="52"/>
      <c r="D2" s="59" t="n">
        <v>1.9835</v>
      </c>
      <c r="E2" s="52"/>
      <c r="F2" s="51"/>
      <c r="G2" s="51"/>
      <c r="H2" s="191"/>
      <c r="I2" s="51"/>
      <c r="J2" s="51"/>
      <c r="K2" s="60" t="s">
        <v>101</v>
      </c>
      <c r="L2" s="60"/>
      <c r="M2" s="60"/>
      <c r="N2" s="60"/>
      <c r="O2" s="60"/>
      <c r="P2" s="60"/>
      <c r="Q2" s="60"/>
      <c r="R2" s="60"/>
      <c r="S2" s="60"/>
      <c r="T2" s="60"/>
      <c r="U2" s="51"/>
      <c r="V2" s="52"/>
      <c r="W2" s="51"/>
      <c r="X2" s="51"/>
      <c r="Y2" s="55"/>
      <c r="Z2" s="57"/>
      <c r="AA2" s="57"/>
      <c r="AB2" s="58"/>
      <c r="AC2" s="88"/>
      <c r="AD2" s="183"/>
    </row>
    <row r="3" customFormat="false" ht="11.1" hidden="false" customHeight="true" outlineLevel="0" collapsed="false">
      <c r="A3" s="51"/>
      <c r="B3" s="51"/>
      <c r="C3" s="52"/>
      <c r="D3" s="61"/>
      <c r="E3" s="52"/>
      <c r="F3" s="51"/>
      <c r="G3" s="51"/>
      <c r="H3" s="191"/>
      <c r="I3" s="51"/>
      <c r="J3" s="51"/>
      <c r="K3" s="51"/>
      <c r="L3" s="51"/>
      <c r="M3" s="51"/>
      <c r="N3" s="51"/>
      <c r="O3" s="51"/>
      <c r="P3" s="51"/>
      <c r="Q3" s="51"/>
      <c r="R3" s="51"/>
      <c r="S3" s="52"/>
      <c r="T3" s="51"/>
      <c r="U3" s="51"/>
      <c r="V3" s="52"/>
      <c r="W3" s="51"/>
      <c r="X3" s="51"/>
      <c r="Y3" s="55"/>
      <c r="Z3" s="57"/>
      <c r="AA3" s="57"/>
      <c r="AB3" s="58"/>
      <c r="AC3" s="88"/>
      <c r="AD3" s="183"/>
    </row>
    <row r="4" customFormat="false" ht="11.1" hidden="false" customHeight="true" outlineLevel="0" collapsed="false">
      <c r="A4" s="62" t="s">
        <v>3</v>
      </c>
      <c r="B4" s="62" t="s">
        <v>4</v>
      </c>
      <c r="C4" s="63" t="s">
        <v>4</v>
      </c>
      <c r="D4" s="62" t="s">
        <v>5</v>
      </c>
      <c r="E4" s="63" t="s">
        <v>6</v>
      </c>
      <c r="F4" s="62" t="s">
        <v>7</v>
      </c>
      <c r="G4" s="62" t="s">
        <v>8</v>
      </c>
      <c r="H4" s="192" t="s">
        <v>9</v>
      </c>
      <c r="I4" s="62" t="s">
        <v>10</v>
      </c>
      <c r="J4" s="62" t="s">
        <v>11</v>
      </c>
      <c r="K4" s="62" t="s">
        <v>12</v>
      </c>
      <c r="L4" s="62" t="s">
        <v>11</v>
      </c>
      <c r="M4" s="62" t="s">
        <v>13</v>
      </c>
      <c r="N4" s="62"/>
      <c r="O4" s="62"/>
      <c r="P4" s="62"/>
      <c r="Q4" s="62" t="s">
        <v>14</v>
      </c>
      <c r="R4" s="62" t="s">
        <v>15</v>
      </c>
      <c r="S4" s="62" t="s">
        <v>12</v>
      </c>
      <c r="T4" s="63" t="s">
        <v>16</v>
      </c>
      <c r="U4" s="62" t="s">
        <v>17</v>
      </c>
      <c r="V4" s="62" t="s">
        <v>18</v>
      </c>
      <c r="W4" s="62" t="s">
        <v>10</v>
      </c>
      <c r="X4" s="62" t="s">
        <v>11</v>
      </c>
      <c r="Y4" s="62" t="s">
        <v>12</v>
      </c>
      <c r="Z4" s="166" t="s">
        <v>19</v>
      </c>
      <c r="AA4" s="66" t="s">
        <v>20</v>
      </c>
      <c r="AB4" s="66" t="s">
        <v>21</v>
      </c>
      <c r="AC4" s="66" t="s">
        <v>3</v>
      </c>
      <c r="AD4" s="184" t="s">
        <v>63</v>
      </c>
      <c r="AE4" s="88"/>
    </row>
    <row r="5" customFormat="false" ht="11.1" hidden="false" customHeight="true" outlineLevel="0" collapsed="false">
      <c r="A5" s="67" t="s">
        <v>102</v>
      </c>
      <c r="B5" s="62" t="s">
        <v>23</v>
      </c>
      <c r="C5" s="63" t="s">
        <v>5</v>
      </c>
      <c r="D5" s="62" t="s">
        <v>24</v>
      </c>
      <c r="E5" s="63" t="s">
        <v>25</v>
      </c>
      <c r="F5" s="62" t="s">
        <v>26</v>
      </c>
      <c r="G5" s="62" t="s">
        <v>27</v>
      </c>
      <c r="H5" s="192" t="s">
        <v>28</v>
      </c>
      <c r="I5" s="62" t="s">
        <v>29</v>
      </c>
      <c r="J5" s="62" t="s">
        <v>29</v>
      </c>
      <c r="K5" s="62" t="s">
        <v>29</v>
      </c>
      <c r="L5" s="62" t="s">
        <v>30</v>
      </c>
      <c r="M5" s="62" t="s">
        <v>31</v>
      </c>
      <c r="N5" s="62" t="s">
        <v>32</v>
      </c>
      <c r="O5" s="62" t="s">
        <v>33</v>
      </c>
      <c r="P5" s="62" t="s">
        <v>34</v>
      </c>
      <c r="Q5" s="62" t="s">
        <v>35</v>
      </c>
      <c r="R5" s="62" t="s">
        <v>36</v>
      </c>
      <c r="S5" s="62" t="s">
        <v>16</v>
      </c>
      <c r="T5" s="63" t="s">
        <v>37</v>
      </c>
      <c r="U5" s="62" t="s">
        <v>38</v>
      </c>
      <c r="V5" s="62" t="s">
        <v>39</v>
      </c>
      <c r="W5" s="62" t="s">
        <v>40</v>
      </c>
      <c r="X5" s="62" t="s">
        <v>40</v>
      </c>
      <c r="Y5" s="62" t="s">
        <v>40</v>
      </c>
      <c r="Z5" s="167"/>
      <c r="AA5" s="66" t="s">
        <v>41</v>
      </c>
      <c r="AB5" s="66" t="s">
        <v>41</v>
      </c>
      <c r="AC5" s="69" t="s">
        <v>102</v>
      </c>
      <c r="AD5" s="184" t="s">
        <v>98</v>
      </c>
      <c r="AE5" s="88"/>
      <c r="AG5" s="175"/>
      <c r="AH5" s="175"/>
    </row>
    <row r="6" customFormat="false" ht="11.1" hidden="false" customHeight="true" outlineLevel="0" collapsed="false">
      <c r="A6" s="70"/>
      <c r="B6" s="70"/>
      <c r="C6" s="71"/>
      <c r="D6" s="70"/>
      <c r="E6" s="71"/>
      <c r="F6" s="70"/>
      <c r="G6" s="70"/>
      <c r="H6" s="191"/>
      <c r="I6" s="70"/>
      <c r="J6" s="70"/>
      <c r="K6" s="70"/>
      <c r="L6" s="70"/>
      <c r="M6" s="70"/>
      <c r="N6" s="70"/>
      <c r="O6" s="70"/>
      <c r="P6" s="70"/>
      <c r="Q6" s="70"/>
      <c r="R6" s="70"/>
      <c r="S6" s="70"/>
      <c r="T6" s="71"/>
      <c r="U6" s="70"/>
      <c r="V6" s="70"/>
      <c r="W6" s="70"/>
      <c r="X6" s="70"/>
      <c r="Y6" s="70"/>
      <c r="Z6" s="55"/>
      <c r="AA6" s="58"/>
      <c r="AB6" s="58"/>
      <c r="AC6" s="58"/>
      <c r="AD6" s="186"/>
      <c r="AE6" s="91"/>
      <c r="AF6" s="92"/>
      <c r="AG6" s="175"/>
      <c r="AH6" s="175"/>
    </row>
    <row r="7" customFormat="false" ht="11.1" hidden="false" customHeight="true" outlineLevel="0" collapsed="false">
      <c r="A7" s="51" t="s">
        <v>42</v>
      </c>
      <c r="B7" s="51"/>
      <c r="C7" s="52"/>
      <c r="D7" s="52"/>
      <c r="E7" s="52"/>
      <c r="F7" s="52" t="n">
        <f aca="false">SEP!F44</f>
        <v>21077.892614066</v>
      </c>
      <c r="G7" s="52" t="n">
        <f aca="false">SEP!G44</f>
        <v>193088</v>
      </c>
      <c r="H7" s="193" t="n">
        <f aca="false">SEP!H44</f>
        <v>12679.03</v>
      </c>
      <c r="I7" s="52" t="n">
        <f aca="false">SEP!I44</f>
        <v>205767.03</v>
      </c>
      <c r="J7" s="52" t="n">
        <f aca="false">SEP!J44</f>
        <v>45326.7254852533</v>
      </c>
      <c r="K7" s="52" t="n">
        <f aca="false">SEP!K44</f>
        <v>251093.755485253</v>
      </c>
      <c r="L7" s="52" t="n">
        <f aca="false">SEP!L44</f>
        <v>39220.862614066</v>
      </c>
      <c r="M7" s="52" t="n">
        <f aca="false">SEP!M44</f>
        <v>27737</v>
      </c>
      <c r="N7" s="52" t="n">
        <f aca="false">SEP!N44</f>
        <v>0</v>
      </c>
      <c r="O7" s="52" t="n">
        <f aca="false">SEP!O44</f>
        <v>0</v>
      </c>
      <c r="P7" s="52" t="n">
        <f aca="false">SEP!P44</f>
        <v>27737</v>
      </c>
      <c r="Q7" s="52" t="n">
        <f aca="false">SEP!Q44</f>
        <v>23083</v>
      </c>
      <c r="R7" s="52" t="n">
        <f aca="false">SEP!R44</f>
        <v>12266</v>
      </c>
      <c r="S7" s="52" t="n">
        <f aca="false">SEP!S44</f>
        <v>62742</v>
      </c>
      <c r="T7" s="52" t="n">
        <f aca="false">SEP!T44</f>
        <v>-3581.97</v>
      </c>
      <c r="U7" s="52" t="n">
        <f aca="false">SEP!U44</f>
        <v>990</v>
      </c>
      <c r="V7" s="52" t="n">
        <f aca="false">SEP!V44</f>
        <v>160178</v>
      </c>
      <c r="W7" s="52" t="n">
        <f aca="false">SEP!W44</f>
        <v>223910</v>
      </c>
      <c r="X7" s="52" t="n">
        <f aca="false">SEP!X44</f>
        <v>6183.28560877237</v>
      </c>
      <c r="Y7" s="52" t="n">
        <f aca="false">SEP!Y44</f>
        <v>230093.285608772</v>
      </c>
      <c r="Z7" s="55"/>
      <c r="AA7" s="57"/>
      <c r="AB7" s="57"/>
      <c r="AC7" s="58"/>
      <c r="AD7" s="186"/>
      <c r="AE7" s="92"/>
      <c r="AF7" s="92"/>
    </row>
    <row r="8" s="45" customFormat="true" ht="11.1" hidden="false" customHeight="true" outlineLevel="0" collapsed="false">
      <c r="A8" s="52" t="s">
        <v>43</v>
      </c>
      <c r="B8" s="73" t="n">
        <f aca="false">SEP!B39</f>
        <v>6912.7</v>
      </c>
      <c r="C8" s="52" t="n">
        <f aca="false">SEP!C39</f>
        <v>332898</v>
      </c>
      <c r="D8" s="52" t="n">
        <f aca="false">SEP!D48</f>
        <v>42705</v>
      </c>
      <c r="E8" s="52" t="n">
        <f aca="false">SEP!E48</f>
        <v>180920</v>
      </c>
      <c r="F8" s="52" t="n">
        <f aca="false">SEP!F47</f>
        <v>21530.123519032</v>
      </c>
      <c r="G8" s="52" t="n">
        <f aca="false">SEP!G47</f>
        <v>223538</v>
      </c>
      <c r="H8" s="191" t="n">
        <f aca="false">SEP!H47</f>
        <v>16090.03</v>
      </c>
      <c r="I8" s="52" t="n">
        <f aca="false">SEP!I47</f>
        <v>239086.93</v>
      </c>
      <c r="J8" s="52" t="n">
        <f aca="false">SEP!J47</f>
        <v>52161.1703302244</v>
      </c>
      <c r="K8" s="52" t="n">
        <f aca="false">SEP!K47</f>
        <v>291248.100330224</v>
      </c>
      <c r="L8" s="52" t="n">
        <f aca="false">SEP!L47</f>
        <v>44949.193519032</v>
      </c>
      <c r="M8" s="52" t="n">
        <f aca="false">SEP!M47</f>
        <v>29303</v>
      </c>
      <c r="N8" s="52" t="n">
        <f aca="false">SEP!N47</f>
        <v>0.08</v>
      </c>
      <c r="O8" s="52" t="n">
        <f aca="false">SEP!O47</f>
        <v>0</v>
      </c>
      <c r="P8" s="52" t="n">
        <f aca="false">SEP!P47</f>
        <v>29302.92</v>
      </c>
      <c r="Q8" s="52" t="n">
        <f aca="false">SEP!Q47</f>
        <v>25361</v>
      </c>
      <c r="R8" s="52" t="n">
        <f aca="false">SEP!R47</f>
        <v>12715</v>
      </c>
      <c r="S8" s="52" t="n">
        <f aca="false">SEP!S47</f>
        <v>67034.92</v>
      </c>
      <c r="T8" s="52" t="n">
        <f aca="false">SEP!T47</f>
        <v>-3581.97</v>
      </c>
      <c r="U8" s="52" t="n">
        <f aca="false">SEP!U47</f>
        <v>991</v>
      </c>
      <c r="V8" s="52" t="n">
        <f aca="false">SEP!V47</f>
        <v>194480</v>
      </c>
      <c r="W8" s="52" t="n">
        <f aca="false">SEP!W47</f>
        <v>262506</v>
      </c>
      <c r="X8" s="52" t="n">
        <f aca="false">SEP!X47</f>
        <v>7289.39954877741</v>
      </c>
      <c r="Y8" s="52" t="n">
        <f aca="false">SEP!Y47</f>
        <v>269795.399548777</v>
      </c>
      <c r="Z8" s="55" t="n">
        <f aca="false">SEP!Z47</f>
        <v>14.56</v>
      </c>
      <c r="AA8" s="57"/>
      <c r="AB8" s="57"/>
      <c r="AC8" s="58"/>
      <c r="AD8" s="186"/>
      <c r="AE8" s="91"/>
      <c r="AF8" s="92"/>
      <c r="AG8" s="44"/>
      <c r="AH8" s="44"/>
    </row>
    <row r="9" customFormat="false" ht="3" hidden="false" customHeight="true" outlineLevel="0" collapsed="false">
      <c r="A9" s="74"/>
      <c r="B9" s="75"/>
      <c r="C9" s="76"/>
      <c r="D9" s="74"/>
      <c r="E9" s="76"/>
      <c r="F9" s="74"/>
      <c r="G9" s="74"/>
      <c r="H9" s="194"/>
      <c r="I9" s="74"/>
      <c r="J9" s="74"/>
      <c r="K9" s="74"/>
      <c r="L9" s="74"/>
      <c r="M9" s="74"/>
      <c r="N9" s="74"/>
      <c r="O9" s="74"/>
      <c r="P9" s="74"/>
      <c r="Q9" s="74"/>
      <c r="R9" s="74"/>
      <c r="S9" s="74"/>
      <c r="T9" s="76"/>
      <c r="U9" s="74"/>
      <c r="V9" s="74"/>
      <c r="W9" s="74"/>
      <c r="X9" s="74"/>
      <c r="Y9" s="74"/>
      <c r="Z9" s="170"/>
      <c r="AA9" s="79"/>
      <c r="AB9" s="79"/>
      <c r="AC9" s="80"/>
      <c r="AD9" s="188"/>
      <c r="AE9" s="91"/>
      <c r="AF9" s="92"/>
    </row>
    <row r="10" customFormat="false" ht="11.1" hidden="false" customHeight="true" outlineLevel="0" collapsed="false">
      <c r="A10" s="58" t="n">
        <v>1</v>
      </c>
      <c r="B10" s="73" t="n">
        <v>6912.61</v>
      </c>
      <c r="C10" s="52" t="n">
        <v>332531</v>
      </c>
      <c r="D10" s="57" t="n">
        <f aca="false">C10-C8</f>
        <v>-367</v>
      </c>
      <c r="E10" s="52" t="n">
        <f aca="false">C10-152000</f>
        <v>180531</v>
      </c>
      <c r="F10" s="51" t="n">
        <f aca="false">D10/$D$2</f>
        <v>-185.026468364003</v>
      </c>
      <c r="G10" s="51" t="n">
        <v>86</v>
      </c>
      <c r="H10" s="191" t="n">
        <v>0</v>
      </c>
      <c r="I10" s="51" t="n">
        <f aca="false">G10+H10</f>
        <v>86</v>
      </c>
      <c r="J10" s="81" t="n">
        <f aca="false">IF(L10&gt;0,L10,0)</f>
        <v>23.973531635997</v>
      </c>
      <c r="K10" s="51" t="n">
        <f aca="false">I10+J10</f>
        <v>109.973531635997</v>
      </c>
      <c r="L10" s="51" t="n">
        <f aca="false">F10-(I10-W10)</f>
        <v>23.973531635997</v>
      </c>
      <c r="M10" s="51" t="n">
        <v>97</v>
      </c>
      <c r="N10" s="51" t="n">
        <v>0</v>
      </c>
      <c r="O10" s="51" t="n">
        <v>0</v>
      </c>
      <c r="P10" s="6" t="n">
        <f aca="false">M10-(N10+O10)</f>
        <v>97</v>
      </c>
      <c r="Q10" s="51" t="n">
        <v>64</v>
      </c>
      <c r="R10" s="51" t="n">
        <v>56</v>
      </c>
      <c r="S10" s="51" t="n">
        <f aca="false">SUM(P10:R10)</f>
        <v>217</v>
      </c>
      <c r="T10" s="52" t="n">
        <f aca="false">(I10-S10)+T7</f>
        <v>-3712.97</v>
      </c>
      <c r="U10" s="51" t="n">
        <v>0</v>
      </c>
      <c r="V10" s="51" t="n">
        <v>78</v>
      </c>
      <c r="W10" s="6" t="n">
        <f aca="false">N10+O10+S10+U10+V10</f>
        <v>295</v>
      </c>
      <c r="X10" s="51" t="n">
        <f aca="false">IF(L10&lt;0,L10*-1,0)</f>
        <v>0</v>
      </c>
      <c r="Y10" s="51" t="n">
        <f aca="false">W10+X10</f>
        <v>295</v>
      </c>
      <c r="Z10" s="55" t="n">
        <v>0</v>
      </c>
      <c r="AA10" s="57" t="n">
        <v>77</v>
      </c>
      <c r="AB10" s="57" t="n">
        <v>40</v>
      </c>
      <c r="AC10" s="58" t="n">
        <v>1</v>
      </c>
      <c r="AD10" s="186" t="n">
        <f aca="false">IF(I10&gt;S10,I10-S10,I10-S10)</f>
        <v>-131</v>
      </c>
      <c r="AE10" s="93"/>
      <c r="AF10" s="93"/>
    </row>
    <row r="11" customFormat="false" ht="11.1" hidden="false" customHeight="true" outlineLevel="0" collapsed="false">
      <c r="A11" s="58" t="n">
        <f aca="false">A10+1</f>
        <v>2</v>
      </c>
      <c r="B11" s="73" t="n">
        <v>6912.46</v>
      </c>
      <c r="C11" s="52" t="n">
        <v>331920</v>
      </c>
      <c r="D11" s="57" t="n">
        <f aca="false">C11-C10</f>
        <v>-611</v>
      </c>
      <c r="E11" s="52" t="n">
        <f aca="false">C11-152000</f>
        <v>179920</v>
      </c>
      <c r="F11" s="51" t="n">
        <f aca="false">D11/$D$2</f>
        <v>-308.041341063776</v>
      </c>
      <c r="G11" s="51" t="n">
        <v>85</v>
      </c>
      <c r="H11" s="191" t="n">
        <v>0</v>
      </c>
      <c r="I11" s="51" t="n">
        <f aca="false">G11+H11</f>
        <v>85</v>
      </c>
      <c r="J11" s="81" t="n">
        <f aca="false">IF(L11&gt;0,L11,0)</f>
        <v>0</v>
      </c>
      <c r="K11" s="51" t="n">
        <f aca="false">I11+J11</f>
        <v>85</v>
      </c>
      <c r="L11" s="51" t="n">
        <f aca="false">F11-(I11-W11)</f>
        <v>-88.0413410637761</v>
      </c>
      <c r="M11" s="51" t="n">
        <v>97</v>
      </c>
      <c r="N11" s="51" t="n">
        <v>0</v>
      </c>
      <c r="O11" s="51" t="n">
        <v>0</v>
      </c>
      <c r="P11" s="6" t="n">
        <f aca="false">M11-(N11+O11)</f>
        <v>97</v>
      </c>
      <c r="Q11" s="51" t="n">
        <v>64</v>
      </c>
      <c r="R11" s="51" t="n">
        <v>56</v>
      </c>
      <c r="S11" s="51" t="n">
        <f aca="false">SUM(P11:R11)</f>
        <v>217</v>
      </c>
      <c r="T11" s="52" t="n">
        <f aca="false">(I11-S11)+T10</f>
        <v>-3844.97</v>
      </c>
      <c r="U11" s="51" t="n">
        <v>10</v>
      </c>
      <c r="V11" s="51" t="n">
        <v>78</v>
      </c>
      <c r="W11" s="6" t="n">
        <f aca="false">N11+O11+S11+U11+V11</f>
        <v>305</v>
      </c>
      <c r="X11" s="51" t="n">
        <f aca="false">IF(L11&lt;0,L11*-1,0)</f>
        <v>88.0413410637761</v>
      </c>
      <c r="Y11" s="51" t="n">
        <f aca="false">W11+X11</f>
        <v>393.041341063776</v>
      </c>
      <c r="Z11" s="55" t="n">
        <v>0</v>
      </c>
      <c r="AA11" s="57" t="n">
        <v>78</v>
      </c>
      <c r="AB11" s="57" t="n">
        <v>42</v>
      </c>
      <c r="AC11" s="58" t="n">
        <f aca="false">AC10+1</f>
        <v>2</v>
      </c>
      <c r="AD11" s="186" t="n">
        <f aca="false">IF(I11&gt;S11,I11-S11,I11-S11)</f>
        <v>-132</v>
      </c>
      <c r="AE11" s="93"/>
      <c r="AF11" s="93"/>
    </row>
    <row r="12" customFormat="false" ht="11.1" hidden="false" customHeight="true" outlineLevel="0" collapsed="false">
      <c r="A12" s="58" t="n">
        <f aca="false">A11+1</f>
        <v>3</v>
      </c>
      <c r="B12" s="73" t="n">
        <v>6912.31</v>
      </c>
      <c r="C12" s="52" t="n">
        <v>331308</v>
      </c>
      <c r="D12" s="57" t="n">
        <f aca="false">C12-C11</f>
        <v>-612</v>
      </c>
      <c r="E12" s="52" t="n">
        <f aca="false">C12-152000</f>
        <v>179308</v>
      </c>
      <c r="F12" s="51" t="n">
        <f aca="false">D12/$D$2</f>
        <v>-308.545500378119</v>
      </c>
      <c r="G12" s="51" t="n">
        <v>84</v>
      </c>
      <c r="H12" s="191" t="n">
        <v>0</v>
      </c>
      <c r="I12" s="51" t="n">
        <f aca="false">G12+H12</f>
        <v>84</v>
      </c>
      <c r="J12" s="81" t="n">
        <f aca="false">IF(L12&gt;0,L12,0)</f>
        <v>0</v>
      </c>
      <c r="K12" s="51" t="n">
        <f aca="false">I12+J12</f>
        <v>84</v>
      </c>
      <c r="L12" s="51" t="n">
        <f aca="false">F12-(I12-W12)</f>
        <v>-99.5455003781195</v>
      </c>
      <c r="M12" s="51" t="n">
        <v>97</v>
      </c>
      <c r="N12" s="51" t="n">
        <v>0</v>
      </c>
      <c r="O12" s="51" t="n">
        <v>0</v>
      </c>
      <c r="P12" s="6" t="n">
        <f aca="false">M12-(N12+O12)</f>
        <v>97</v>
      </c>
      <c r="Q12" s="51" t="n">
        <v>64</v>
      </c>
      <c r="R12" s="51" t="n">
        <v>55</v>
      </c>
      <c r="S12" s="51" t="n">
        <f aca="false">SUM(P12:R12)</f>
        <v>216</v>
      </c>
      <c r="T12" s="52" t="n">
        <f aca="false">(I12-S12)+T11</f>
        <v>-3976.97</v>
      </c>
      <c r="U12" s="51" t="n">
        <v>0</v>
      </c>
      <c r="V12" s="51" t="n">
        <v>77</v>
      </c>
      <c r="W12" s="6" t="n">
        <f aca="false">N12+O12+S12+U12+V12</f>
        <v>293</v>
      </c>
      <c r="X12" s="51" t="n">
        <f aca="false">IF(L12&lt;0,L12*-1,0)</f>
        <v>99.5455003781195</v>
      </c>
      <c r="Y12" s="51" t="n">
        <f aca="false">W12+X12</f>
        <v>392.545500378119</v>
      </c>
      <c r="Z12" s="55" t="n">
        <v>0</v>
      </c>
      <c r="AA12" s="57" t="n">
        <v>79</v>
      </c>
      <c r="AB12" s="57" t="n">
        <v>42</v>
      </c>
      <c r="AC12" s="58" t="n">
        <f aca="false">AC11+1</f>
        <v>3</v>
      </c>
      <c r="AD12" s="186" t="n">
        <f aca="false">IF(I12&gt;S12,I12-S12,I12-S12)</f>
        <v>-132</v>
      </c>
      <c r="AE12" s="93"/>
      <c r="AF12" s="93"/>
    </row>
    <row r="13" customFormat="false" ht="11.1" hidden="false" customHeight="true" outlineLevel="0" collapsed="false">
      <c r="A13" s="58" t="n">
        <f aca="false">A12+1</f>
        <v>4</v>
      </c>
      <c r="B13" s="73" t="n">
        <v>6912.17</v>
      </c>
      <c r="C13" s="52" t="n">
        <v>330737</v>
      </c>
      <c r="D13" s="57" t="n">
        <f aca="false">C13-C12</f>
        <v>-571</v>
      </c>
      <c r="E13" s="52" t="n">
        <f aca="false">C13-152000</f>
        <v>178737</v>
      </c>
      <c r="F13" s="51" t="n">
        <f aca="false">D13/$D$2</f>
        <v>-287.874968490043</v>
      </c>
      <c r="G13" s="51" t="n">
        <v>84</v>
      </c>
      <c r="H13" s="191" t="n">
        <v>0</v>
      </c>
      <c r="I13" s="51" t="n">
        <f aca="false">G13+H13</f>
        <v>84</v>
      </c>
      <c r="J13" s="81" t="n">
        <f aca="false">IF(L13&gt;0,L13,0)</f>
        <v>0</v>
      </c>
      <c r="K13" s="51" t="n">
        <f aca="false">I13+J13</f>
        <v>84</v>
      </c>
      <c r="L13" s="51" t="n">
        <f aca="false">F13-(I13-W13)</f>
        <v>-79.8749684900429</v>
      </c>
      <c r="M13" s="51" t="n">
        <v>96</v>
      </c>
      <c r="N13" s="51" t="n">
        <v>0</v>
      </c>
      <c r="O13" s="51" t="n">
        <v>0</v>
      </c>
      <c r="P13" s="6" t="n">
        <f aca="false">M13-(N13+O13)</f>
        <v>96</v>
      </c>
      <c r="Q13" s="51" t="n">
        <v>64</v>
      </c>
      <c r="R13" s="51" t="n">
        <v>55</v>
      </c>
      <c r="S13" s="51" t="n">
        <f aca="false">SUM(P13:R13)</f>
        <v>215</v>
      </c>
      <c r="T13" s="52" t="n">
        <f aca="false">(I13-S13)+T12</f>
        <v>-4107.97</v>
      </c>
      <c r="U13" s="51" t="n">
        <v>0</v>
      </c>
      <c r="V13" s="51" t="n">
        <v>77</v>
      </c>
      <c r="W13" s="6" t="n">
        <f aca="false">N13+O13+S13+U13+V13</f>
        <v>292</v>
      </c>
      <c r="X13" s="51" t="n">
        <f aca="false">IF(L13&lt;0,L13*-1,0)</f>
        <v>79.8749684900429</v>
      </c>
      <c r="Y13" s="51" t="n">
        <f aca="false">W13+X13</f>
        <v>371.874968490043</v>
      </c>
      <c r="Z13" s="55" t="n">
        <v>0</v>
      </c>
      <c r="AA13" s="57" t="n">
        <v>79</v>
      </c>
      <c r="AB13" s="57" t="n">
        <v>40</v>
      </c>
      <c r="AC13" s="58" t="n">
        <f aca="false">AC12+1</f>
        <v>4</v>
      </c>
      <c r="AD13" s="186" t="n">
        <f aca="false">IF(I13&gt;S13,I13-S13,I13-S13)</f>
        <v>-131</v>
      </c>
      <c r="AE13" s="93"/>
      <c r="AF13" s="93"/>
    </row>
    <row r="14" customFormat="false" ht="11.1" hidden="false" customHeight="true" outlineLevel="0" collapsed="false">
      <c r="A14" s="58" t="n">
        <f aca="false">A13+1</f>
        <v>5</v>
      </c>
      <c r="B14" s="73" t="n">
        <v>6912.05</v>
      </c>
      <c r="C14" s="52" t="n">
        <v>330248</v>
      </c>
      <c r="D14" s="57" t="n">
        <f aca="false">C14-C13</f>
        <v>-489</v>
      </c>
      <c r="E14" s="52" t="n">
        <f aca="false">C14-152000</f>
        <v>178248</v>
      </c>
      <c r="F14" s="51" t="n">
        <f aca="false">D14/$D$2</f>
        <v>-246.53390471389</v>
      </c>
      <c r="G14" s="51" t="n">
        <v>82</v>
      </c>
      <c r="H14" s="191" t="n">
        <v>0</v>
      </c>
      <c r="I14" s="51" t="n">
        <f aca="false">G14+H14</f>
        <v>82</v>
      </c>
      <c r="J14" s="81" t="n">
        <f aca="false">IF(L14&gt;0,L14,0)</f>
        <v>0</v>
      </c>
      <c r="K14" s="51" t="n">
        <f aca="false">I14+J14</f>
        <v>82</v>
      </c>
      <c r="L14" s="51" t="n">
        <f aca="false">F14-(I14-W14)</f>
        <v>-43.5339047138896</v>
      </c>
      <c r="M14" s="51" t="n">
        <v>88</v>
      </c>
      <c r="N14" s="51" t="n">
        <v>0</v>
      </c>
      <c r="O14" s="51" t="n">
        <v>0</v>
      </c>
      <c r="P14" s="6" t="n">
        <f aca="false">M14-(N14+O14)</f>
        <v>88</v>
      </c>
      <c r="Q14" s="51" t="n">
        <v>54</v>
      </c>
      <c r="R14" s="51" t="n">
        <v>55</v>
      </c>
      <c r="S14" s="51" t="n">
        <f aca="false">SUM(P14:R14)</f>
        <v>197</v>
      </c>
      <c r="T14" s="52" t="n">
        <f aca="false">(I14-S14)+T13</f>
        <v>-4222.97</v>
      </c>
      <c r="U14" s="51" t="n">
        <v>11</v>
      </c>
      <c r="V14" s="51" t="n">
        <v>77</v>
      </c>
      <c r="W14" s="6" t="n">
        <f aca="false">N14+O14+S14+U14+V14</f>
        <v>285</v>
      </c>
      <c r="X14" s="51" t="n">
        <f aca="false">IF(L14&lt;0,L14*-1,0)</f>
        <v>43.5339047138896</v>
      </c>
      <c r="Y14" s="51" t="n">
        <f aca="false">W14+X14</f>
        <v>328.53390471389</v>
      </c>
      <c r="Z14" s="55" t="n">
        <v>0</v>
      </c>
      <c r="AA14" s="57" t="n">
        <v>79</v>
      </c>
      <c r="AB14" s="57" t="n">
        <v>40</v>
      </c>
      <c r="AC14" s="58" t="n">
        <f aca="false">AC13+1</f>
        <v>5</v>
      </c>
      <c r="AD14" s="186" t="n">
        <f aca="false">IF(I14&gt;S14,I14-S14,I14-S14)</f>
        <v>-115</v>
      </c>
      <c r="AE14" s="93"/>
      <c r="AF14" s="93"/>
    </row>
    <row r="15" customFormat="false" ht="11.1" hidden="false" customHeight="true" outlineLevel="0" collapsed="false">
      <c r="A15" s="58" t="n">
        <f aca="false">A14+1</f>
        <v>6</v>
      </c>
      <c r="B15" s="73" t="n">
        <v>6911.99</v>
      </c>
      <c r="C15" s="52" t="n">
        <v>330004</v>
      </c>
      <c r="D15" s="57" t="n">
        <f aca="false">C15-C14</f>
        <v>-244</v>
      </c>
      <c r="E15" s="52" t="n">
        <f aca="false">C15-152000</f>
        <v>178004</v>
      </c>
      <c r="F15" s="51" t="n">
        <f aca="false">D15/$D$2</f>
        <v>-123.014872699773</v>
      </c>
      <c r="G15" s="51" t="n">
        <v>78</v>
      </c>
      <c r="H15" s="191" t="n">
        <v>0</v>
      </c>
      <c r="I15" s="51" t="n">
        <f aca="false">G15+H15</f>
        <v>78</v>
      </c>
      <c r="J15" s="81" t="n">
        <f aca="false">IF(L15&gt;0,L15,0)</f>
        <v>59.9851273002269</v>
      </c>
      <c r="K15" s="51" t="n">
        <f aca="false">I15+J15</f>
        <v>137.985127300227</v>
      </c>
      <c r="L15" s="51" t="n">
        <f aca="false">F15-(I15-W15)</f>
        <v>59.9851273002269</v>
      </c>
      <c r="M15" s="51" t="n">
        <v>77</v>
      </c>
      <c r="N15" s="51" t="n">
        <v>0</v>
      </c>
      <c r="O15" s="51" t="n">
        <v>0</v>
      </c>
      <c r="P15" s="6" t="n">
        <f aca="false">M15-(N15+O15)</f>
        <v>77</v>
      </c>
      <c r="Q15" s="51" t="n">
        <v>49</v>
      </c>
      <c r="R15" s="51" t="n">
        <v>55</v>
      </c>
      <c r="S15" s="51" t="n">
        <f aca="false">SUM(P15:R15)</f>
        <v>181</v>
      </c>
      <c r="T15" s="52" t="n">
        <f aca="false">(I15-S15)+T14</f>
        <v>-4325.97</v>
      </c>
      <c r="U15" s="51" t="n">
        <v>0</v>
      </c>
      <c r="V15" s="51" t="n">
        <v>80</v>
      </c>
      <c r="W15" s="6" t="n">
        <f aca="false">N15+O15+S15+U15+V15</f>
        <v>261</v>
      </c>
      <c r="X15" s="51" t="n">
        <f aca="false">IF(L15&lt;0,L15*-1,0)</f>
        <v>0</v>
      </c>
      <c r="Y15" s="51" t="n">
        <f aca="false">W15+X15</f>
        <v>261</v>
      </c>
      <c r="Z15" s="55" t="n">
        <v>0</v>
      </c>
      <c r="AA15" s="57" t="n">
        <v>78</v>
      </c>
      <c r="AB15" s="57" t="n">
        <v>40</v>
      </c>
      <c r="AC15" s="58" t="n">
        <f aca="false">AC14+1</f>
        <v>6</v>
      </c>
      <c r="AD15" s="186" t="n">
        <f aca="false">IF(I15&gt;S15,I15-S15,I15-S15)</f>
        <v>-103</v>
      </c>
      <c r="AE15" s="93"/>
      <c r="AF15" s="93"/>
    </row>
    <row r="16" customFormat="false" ht="11.1" hidden="false" customHeight="true" outlineLevel="0" collapsed="false">
      <c r="A16" s="58" t="n">
        <f aca="false">A15+1</f>
        <v>7</v>
      </c>
      <c r="B16" s="73" t="n">
        <v>6911.89</v>
      </c>
      <c r="C16" s="52" t="n">
        <v>329599</v>
      </c>
      <c r="D16" s="57" t="n">
        <f aca="false">C16-C15</f>
        <v>-405</v>
      </c>
      <c r="E16" s="52" t="n">
        <f aca="false">C16-152000</f>
        <v>177599</v>
      </c>
      <c r="F16" s="51" t="n">
        <f aca="false">D16/$D$2</f>
        <v>-204.18452230905</v>
      </c>
      <c r="G16" s="51" t="n">
        <v>76</v>
      </c>
      <c r="H16" s="191" t="n">
        <v>0</v>
      </c>
      <c r="I16" s="51" t="n">
        <f aca="false">G16+H16</f>
        <v>76</v>
      </c>
      <c r="J16" s="81" t="n">
        <f aca="false">IF(L16&gt;0,L16,0)</f>
        <v>0</v>
      </c>
      <c r="K16" s="51" t="n">
        <f aca="false">I16+J16</f>
        <v>76</v>
      </c>
      <c r="L16" s="51" t="n">
        <f aca="false">F16-(I16-W16)</f>
        <v>-11.1845223090497</v>
      </c>
      <c r="M16" s="51" t="n">
        <v>77</v>
      </c>
      <c r="N16" s="51" t="n">
        <v>0</v>
      </c>
      <c r="O16" s="51" t="n">
        <v>0</v>
      </c>
      <c r="P16" s="6" t="n">
        <f aca="false">M16-(N16+O16)</f>
        <v>77</v>
      </c>
      <c r="Q16" s="51" t="n">
        <v>49</v>
      </c>
      <c r="R16" s="51" t="n">
        <v>55</v>
      </c>
      <c r="S16" s="51" t="n">
        <f aca="false">SUM(P16:R16)</f>
        <v>181</v>
      </c>
      <c r="T16" s="52" t="n">
        <f aca="false">(I16-S16)+T15</f>
        <v>-4430.97</v>
      </c>
      <c r="U16" s="51" t="n">
        <v>11</v>
      </c>
      <c r="V16" s="51" t="n">
        <v>77</v>
      </c>
      <c r="W16" s="6" t="n">
        <f aca="false">N16+O16+S16+U16+V16</f>
        <v>269</v>
      </c>
      <c r="X16" s="51" t="n">
        <f aca="false">IF(L16&lt;0,L16*-1,0)</f>
        <v>11.1845223090497</v>
      </c>
      <c r="Y16" s="51" t="n">
        <f aca="false">W16+X16</f>
        <v>280.18452230905</v>
      </c>
      <c r="Z16" s="55" t="n">
        <v>0</v>
      </c>
      <c r="AA16" s="57" t="n">
        <v>78</v>
      </c>
      <c r="AB16" s="57" t="n">
        <v>40</v>
      </c>
      <c r="AC16" s="58" t="n">
        <f aca="false">AC15+1</f>
        <v>7</v>
      </c>
      <c r="AD16" s="186" t="n">
        <f aca="false">IF(I16&gt;S16,I16-S16,I16-S16)</f>
        <v>-105</v>
      </c>
      <c r="AE16" s="93"/>
      <c r="AF16" s="93"/>
    </row>
    <row r="17" customFormat="false" ht="11.1" hidden="false" customHeight="true" outlineLevel="0" collapsed="false">
      <c r="A17" s="58" t="n">
        <f aca="false">A16+1</f>
        <v>8</v>
      </c>
      <c r="B17" s="73" t="n">
        <v>6911.78</v>
      </c>
      <c r="C17" s="52" t="n">
        <v>329154</v>
      </c>
      <c r="D17" s="57" t="n">
        <f aca="false">C17-C16</f>
        <v>-445</v>
      </c>
      <c r="E17" s="52" t="n">
        <f aca="false">C17-152000</f>
        <v>177154</v>
      </c>
      <c r="F17" s="51" t="n">
        <f aca="false">D17/$D$2</f>
        <v>-224.350894882783</v>
      </c>
      <c r="G17" s="51" t="n">
        <v>72</v>
      </c>
      <c r="H17" s="191" t="n">
        <v>0</v>
      </c>
      <c r="I17" s="51" t="n">
        <f aca="false">G17+H17</f>
        <v>72</v>
      </c>
      <c r="J17" s="81" t="n">
        <f aca="false">IF(L17&gt;0,L17,0)</f>
        <v>0</v>
      </c>
      <c r="K17" s="51" t="n">
        <f aca="false">I17+J17</f>
        <v>72</v>
      </c>
      <c r="L17" s="51" t="n">
        <f aca="false">F17-(I17-W17)</f>
        <v>-38.350894882783</v>
      </c>
      <c r="M17" s="51" t="n">
        <v>77</v>
      </c>
      <c r="N17" s="51" t="n">
        <v>0</v>
      </c>
      <c r="O17" s="51" t="n">
        <v>0</v>
      </c>
      <c r="P17" s="6" t="n">
        <f aca="false">M17-(N17+O17)</f>
        <v>77</v>
      </c>
      <c r="Q17" s="51" t="n">
        <v>49</v>
      </c>
      <c r="R17" s="51" t="n">
        <v>55</v>
      </c>
      <c r="S17" s="51" t="n">
        <f aca="false">SUM(P17:R17)</f>
        <v>181</v>
      </c>
      <c r="T17" s="52" t="n">
        <f aca="false">(I17-S17)+T16</f>
        <v>-4539.97</v>
      </c>
      <c r="U17" s="51" t="n">
        <v>0</v>
      </c>
      <c r="V17" s="51" t="n">
        <v>77</v>
      </c>
      <c r="W17" s="6" t="n">
        <f aca="false">N17+O17+S17+U17+V17</f>
        <v>258</v>
      </c>
      <c r="X17" s="51" t="n">
        <f aca="false">IF(L17&lt;0,L17*-1,0)</f>
        <v>38.350894882783</v>
      </c>
      <c r="Y17" s="51" t="n">
        <f aca="false">W17+X17</f>
        <v>296.350894882783</v>
      </c>
      <c r="Z17" s="55" t="n">
        <v>0</v>
      </c>
      <c r="AA17" s="57" t="n">
        <v>78</v>
      </c>
      <c r="AB17" s="57" t="n">
        <v>40</v>
      </c>
      <c r="AC17" s="58" t="n">
        <f aca="false">AC16+1</f>
        <v>8</v>
      </c>
      <c r="AD17" s="186" t="n">
        <f aca="false">IF(I17&gt;S17,I17-S17,I17-S17)</f>
        <v>-109</v>
      </c>
      <c r="AE17" s="93"/>
      <c r="AF17" s="93"/>
    </row>
    <row r="18" customFormat="false" ht="11.1" hidden="false" customHeight="true" outlineLevel="0" collapsed="false">
      <c r="A18" s="58" t="n">
        <f aca="false">A17+1</f>
        <v>9</v>
      </c>
      <c r="B18" s="73" t="n">
        <v>6911.64</v>
      </c>
      <c r="C18" s="52" t="n">
        <v>328588</v>
      </c>
      <c r="D18" s="57" t="n">
        <f aca="false">C18-C17</f>
        <v>-566</v>
      </c>
      <c r="E18" s="52" t="n">
        <f aca="false">C18-152000</f>
        <v>176588</v>
      </c>
      <c r="F18" s="51" t="n">
        <f aca="false">D18/$D$2</f>
        <v>-285.354171918326</v>
      </c>
      <c r="G18" s="51" t="n">
        <v>70</v>
      </c>
      <c r="H18" s="191" t="n">
        <v>0</v>
      </c>
      <c r="I18" s="51" t="n">
        <f aca="false">G18+H18</f>
        <v>70</v>
      </c>
      <c r="J18" s="81" t="n">
        <f aca="false">IF(L18&gt;0,L18,0)</f>
        <v>0</v>
      </c>
      <c r="K18" s="51" t="n">
        <f aca="false">I18+J18</f>
        <v>70</v>
      </c>
      <c r="L18" s="51" t="n">
        <f aca="false">F18-(I18-W18)</f>
        <v>-82.3541719183262</v>
      </c>
      <c r="M18" s="51" t="n">
        <v>73</v>
      </c>
      <c r="N18" s="51" t="n">
        <v>0</v>
      </c>
      <c r="O18" s="51" t="n">
        <v>0</v>
      </c>
      <c r="P18" s="6" t="n">
        <f aca="false">M18-(N18+O18)</f>
        <v>73</v>
      </c>
      <c r="Q18" s="51" t="n">
        <v>48</v>
      </c>
      <c r="R18" s="51" t="n">
        <v>55</v>
      </c>
      <c r="S18" s="51" t="n">
        <f aca="false">SUM(P18:R18)</f>
        <v>176</v>
      </c>
      <c r="T18" s="52" t="n">
        <f aca="false">(I18-S18)+T17</f>
        <v>-4645.97</v>
      </c>
      <c r="U18" s="51" t="n">
        <v>20</v>
      </c>
      <c r="V18" s="51" t="n">
        <v>77</v>
      </c>
      <c r="W18" s="6" t="n">
        <f aca="false">N18+O18+S18+U18+V18</f>
        <v>273</v>
      </c>
      <c r="X18" s="51" t="n">
        <f aca="false">IF(L18&lt;0,L18*-1,0)</f>
        <v>82.3541719183262</v>
      </c>
      <c r="Y18" s="51" t="n">
        <f aca="false">W18+X18</f>
        <v>355.354171918326</v>
      </c>
      <c r="Z18" s="55" t="n">
        <v>0</v>
      </c>
      <c r="AA18" s="82" t="n">
        <v>73</v>
      </c>
      <c r="AB18" s="57" t="n">
        <v>39</v>
      </c>
      <c r="AC18" s="58" t="n">
        <f aca="false">AC17+1</f>
        <v>9</v>
      </c>
      <c r="AD18" s="186" t="n">
        <f aca="false">IF(I18&gt;S18,I18-S18,I18-S18)</f>
        <v>-106</v>
      </c>
      <c r="AE18" s="93"/>
      <c r="AF18" s="93"/>
    </row>
    <row r="19" customFormat="false" ht="11.1" hidden="false" customHeight="true" outlineLevel="0" collapsed="false">
      <c r="A19" s="58" t="n">
        <f aca="false">A18+1</f>
        <v>10</v>
      </c>
      <c r="B19" s="73" t="n">
        <v>6911.51</v>
      </c>
      <c r="C19" s="52" t="n">
        <v>328062</v>
      </c>
      <c r="D19" s="57" t="n">
        <f aca="false">C19-C18</f>
        <v>-526</v>
      </c>
      <c r="E19" s="52" t="n">
        <f aca="false">C19-152000</f>
        <v>176062</v>
      </c>
      <c r="F19" s="51" t="n">
        <f aca="false">D19/$D$2</f>
        <v>-265.187799344593</v>
      </c>
      <c r="G19" s="51" t="n">
        <v>70</v>
      </c>
      <c r="H19" s="191" t="n">
        <v>0</v>
      </c>
      <c r="I19" s="51" t="n">
        <f aca="false">G19+H19</f>
        <v>70</v>
      </c>
      <c r="J19" s="81" t="n">
        <f aca="false">IF(L19&gt;0,L19,0)</f>
        <v>0</v>
      </c>
      <c r="K19" s="51" t="n">
        <f aca="false">I19+J19</f>
        <v>70</v>
      </c>
      <c r="L19" s="51" t="n">
        <f aca="false">F19-(I19-W19)</f>
        <v>-83.1877993445929</v>
      </c>
      <c r="M19" s="51" t="n">
        <v>70</v>
      </c>
      <c r="N19" s="51" t="n">
        <v>0</v>
      </c>
      <c r="O19" s="51" t="n">
        <v>0</v>
      </c>
      <c r="P19" s="6" t="n">
        <f aca="false">M19-(N19+O19)</f>
        <v>70</v>
      </c>
      <c r="Q19" s="51" t="n">
        <v>48</v>
      </c>
      <c r="R19" s="51" t="n">
        <v>56</v>
      </c>
      <c r="S19" s="51" t="n">
        <f aca="false">SUM(P19:R19)</f>
        <v>174</v>
      </c>
      <c r="T19" s="52" t="n">
        <f aca="false">(I19-S19)+T18</f>
        <v>-4749.97</v>
      </c>
      <c r="U19" s="51" t="n">
        <v>0</v>
      </c>
      <c r="V19" s="51" t="n">
        <v>78</v>
      </c>
      <c r="W19" s="6" t="n">
        <f aca="false">N19+O19+S19+U19+V19</f>
        <v>252</v>
      </c>
      <c r="X19" s="51" t="n">
        <f aca="false">IF(L19&lt;0,L19*-1,0)</f>
        <v>83.1877993445929</v>
      </c>
      <c r="Y19" s="51" t="n">
        <f aca="false">W19+X19</f>
        <v>335.187799344593</v>
      </c>
      <c r="Z19" s="55" t="n">
        <v>0</v>
      </c>
      <c r="AA19" s="57" t="n">
        <v>73</v>
      </c>
      <c r="AB19" s="57" t="n">
        <v>41</v>
      </c>
      <c r="AC19" s="58" t="n">
        <f aca="false">AC18+1</f>
        <v>10</v>
      </c>
      <c r="AD19" s="186" t="n">
        <f aca="false">IF(I19&gt;S19,I19-S19,I19-S19)</f>
        <v>-104</v>
      </c>
      <c r="AE19" s="93"/>
      <c r="AF19" s="93"/>
    </row>
    <row r="20" customFormat="false" ht="11.1" hidden="false" customHeight="true" outlineLevel="0" collapsed="false">
      <c r="A20" s="58" t="n">
        <f aca="false">A19+1</f>
        <v>11</v>
      </c>
      <c r="B20" s="73" t="n">
        <v>6911.43</v>
      </c>
      <c r="C20" s="52" t="n">
        <v>327739</v>
      </c>
      <c r="D20" s="57" t="n">
        <f aca="false">C20-C19</f>
        <v>-323</v>
      </c>
      <c r="E20" s="52" t="n">
        <f aca="false">C20-152000</f>
        <v>175739</v>
      </c>
      <c r="F20" s="51" t="n">
        <f aca="false">D20/$D$2</f>
        <v>-162.843458532896</v>
      </c>
      <c r="G20" s="51" t="n">
        <v>70</v>
      </c>
      <c r="H20" s="191" t="n">
        <v>0</v>
      </c>
      <c r="I20" s="51" t="n">
        <f aca="false">G20+H20</f>
        <v>70</v>
      </c>
      <c r="J20" s="81" t="n">
        <f aca="false">IF(L20&gt;0,L20,0)</f>
        <v>0</v>
      </c>
      <c r="K20" s="51" t="n">
        <f aca="false">I20+J20</f>
        <v>70</v>
      </c>
      <c r="L20" s="51" t="n">
        <f aca="false">F20-(I20-W20)</f>
        <v>-21.8434585328964</v>
      </c>
      <c r="M20" s="51" t="n">
        <v>70</v>
      </c>
      <c r="N20" s="51" t="n">
        <v>0</v>
      </c>
      <c r="O20" s="51" t="n">
        <v>0</v>
      </c>
      <c r="P20" s="6" t="n">
        <f aca="false">M20-(N20+O20)</f>
        <v>70</v>
      </c>
      <c r="Q20" s="51" t="n">
        <v>48</v>
      </c>
      <c r="R20" s="51" t="n">
        <v>16</v>
      </c>
      <c r="S20" s="51" t="n">
        <f aca="false">SUM(P20:R20)</f>
        <v>134</v>
      </c>
      <c r="T20" s="52" t="n">
        <f aca="false">(I20-S20)+T19</f>
        <v>-4813.97</v>
      </c>
      <c r="U20" s="51" t="n">
        <v>0</v>
      </c>
      <c r="V20" s="51" t="n">
        <v>77</v>
      </c>
      <c r="W20" s="6" t="n">
        <f aca="false">N20+O20+S20+U20+V20</f>
        <v>211</v>
      </c>
      <c r="X20" s="51" t="n">
        <f aca="false">IF(L20&lt;0,L20*-1,0)</f>
        <v>21.8434585328964</v>
      </c>
      <c r="Y20" s="51" t="n">
        <f aca="false">W20+X20</f>
        <v>232.843458532896</v>
      </c>
      <c r="Z20" s="55" t="n">
        <v>0</v>
      </c>
      <c r="AA20" s="57" t="n">
        <v>74</v>
      </c>
      <c r="AB20" s="57" t="n">
        <v>41</v>
      </c>
      <c r="AC20" s="58" t="n">
        <f aca="false">AC19+1</f>
        <v>11</v>
      </c>
      <c r="AD20" s="186" t="n">
        <f aca="false">IF(I20&gt;S20,I20-S20,I20-S20)</f>
        <v>-64</v>
      </c>
      <c r="AE20" s="93"/>
      <c r="AF20" s="93"/>
      <c r="AG20" s="195"/>
      <c r="AH20" s="195"/>
      <c r="AI20" s="195"/>
    </row>
    <row r="21" customFormat="false" ht="11.1" hidden="false" customHeight="true" outlineLevel="0" collapsed="false">
      <c r="A21" s="58" t="n">
        <f aca="false">A20+1</f>
        <v>12</v>
      </c>
      <c r="B21" s="73" t="n">
        <v>6911.37</v>
      </c>
      <c r="C21" s="52" t="n">
        <v>327496</v>
      </c>
      <c r="D21" s="57" t="n">
        <f aca="false">C21-C20</f>
        <v>-243</v>
      </c>
      <c r="E21" s="52" t="n">
        <f aca="false">C21-152000</f>
        <v>175496</v>
      </c>
      <c r="F21" s="51" t="n">
        <f aca="false">D21/$D$2</f>
        <v>-122.51071338543</v>
      </c>
      <c r="G21" s="51" t="n">
        <v>85</v>
      </c>
      <c r="H21" s="191" t="n">
        <v>0</v>
      </c>
      <c r="I21" s="51" t="n">
        <f aca="false">G21+H21</f>
        <v>85</v>
      </c>
      <c r="J21" s="81" t="n">
        <f aca="false">IF(L21&gt;0,L21,0)</f>
        <v>6.4892866145702</v>
      </c>
      <c r="K21" s="51" t="n">
        <f aca="false">I21+J21</f>
        <v>91.4892866145702</v>
      </c>
      <c r="L21" s="51" t="n">
        <f aca="false">F21-(I21-W21)</f>
        <v>6.4892866145702</v>
      </c>
      <c r="M21" s="51" t="n">
        <v>75</v>
      </c>
      <c r="N21" s="51" t="n">
        <v>0</v>
      </c>
      <c r="O21" s="51" t="n">
        <v>0</v>
      </c>
      <c r="P21" s="6" t="n">
        <f aca="false">M21-(N21+O21)</f>
        <v>75</v>
      </c>
      <c r="Q21" s="51" t="n">
        <v>48</v>
      </c>
      <c r="R21" s="51" t="n">
        <v>0</v>
      </c>
      <c r="S21" s="51" t="n">
        <f aca="false">SUM(P21:R21)</f>
        <v>123</v>
      </c>
      <c r="T21" s="52" t="n">
        <f aca="false">(I21-S21)+T20</f>
        <v>-4851.97</v>
      </c>
      <c r="U21" s="51" t="n">
        <v>15</v>
      </c>
      <c r="V21" s="51" t="n">
        <v>76</v>
      </c>
      <c r="W21" s="6" t="n">
        <f aca="false">N21+O21+S21+U21+V21</f>
        <v>214</v>
      </c>
      <c r="X21" s="51" t="n">
        <f aca="false">IF(L21&lt;0,L21*-1,0)</f>
        <v>0</v>
      </c>
      <c r="Y21" s="51" t="n">
        <f aca="false">W21+X21</f>
        <v>214</v>
      </c>
      <c r="Z21" s="55" t="n">
        <v>0.26</v>
      </c>
      <c r="AA21" s="57" t="n">
        <v>76</v>
      </c>
      <c r="AB21" s="57" t="n">
        <v>42</v>
      </c>
      <c r="AC21" s="58" t="n">
        <f aca="false">AC20+1</f>
        <v>12</v>
      </c>
      <c r="AD21" s="186" t="n">
        <f aca="false">IF(I21&gt;S21,I21-S21,I21-S21)</f>
        <v>-38</v>
      </c>
      <c r="AE21" s="91"/>
      <c r="AF21" s="93"/>
    </row>
    <row r="22" customFormat="false" ht="11.1" hidden="false" customHeight="true" outlineLevel="0" collapsed="false">
      <c r="A22" s="58" t="n">
        <f aca="false">A21+1</f>
        <v>13</v>
      </c>
      <c r="B22" s="73" t="n">
        <v>6911.34</v>
      </c>
      <c r="C22" s="52" t="n">
        <v>327375</v>
      </c>
      <c r="D22" s="57" t="n">
        <f aca="false">C22-C21</f>
        <v>-121</v>
      </c>
      <c r="E22" s="52" t="n">
        <f aca="false">C22-152000</f>
        <v>175375</v>
      </c>
      <c r="F22" s="51" t="n">
        <f aca="false">D22/$D$2</f>
        <v>-61.0032770355432</v>
      </c>
      <c r="G22" s="51" t="n">
        <v>89</v>
      </c>
      <c r="H22" s="191" t="n">
        <v>0</v>
      </c>
      <c r="I22" s="51" t="n">
        <f aca="false">G22+H22</f>
        <v>89</v>
      </c>
      <c r="J22" s="81" t="n">
        <f aca="false">IF(L22&gt;0,L22,0)</f>
        <v>52.9967229644568</v>
      </c>
      <c r="K22" s="51" t="n">
        <f aca="false">I22+J22</f>
        <v>141.996722964457</v>
      </c>
      <c r="L22" s="51" t="n">
        <f aca="false">F22-(I22-W22)</f>
        <v>52.9967229644568</v>
      </c>
      <c r="M22" s="51" t="n">
        <v>78</v>
      </c>
      <c r="N22" s="51" t="n">
        <v>0</v>
      </c>
      <c r="O22" s="51" t="n">
        <v>0</v>
      </c>
      <c r="P22" s="6" t="n">
        <f aca="false">M22-(N22+O22)</f>
        <v>78</v>
      </c>
      <c r="Q22" s="51" t="n">
        <v>48</v>
      </c>
      <c r="R22" s="51" t="n">
        <v>0</v>
      </c>
      <c r="S22" s="51" t="n">
        <f aca="false">SUM(P22:R22)</f>
        <v>126</v>
      </c>
      <c r="T22" s="52" t="n">
        <f aca="false">(I22-S22)+T21</f>
        <v>-4888.97</v>
      </c>
      <c r="U22" s="51" t="n">
        <v>0</v>
      </c>
      <c r="V22" s="51" t="n">
        <v>77</v>
      </c>
      <c r="W22" s="6" t="n">
        <f aca="false">N22+O22+S22+U22+V22</f>
        <v>203</v>
      </c>
      <c r="X22" s="51" t="n">
        <f aca="false">IF(L22&lt;0,L22*-1,0)</f>
        <v>0</v>
      </c>
      <c r="Y22" s="51" t="n">
        <f aca="false">W22+X22</f>
        <v>203</v>
      </c>
      <c r="Z22" s="55" t="n">
        <v>0.57</v>
      </c>
      <c r="AA22" s="57" t="n">
        <v>69</v>
      </c>
      <c r="AB22" s="57" t="n">
        <v>43</v>
      </c>
      <c r="AC22" s="58" t="n">
        <f aca="false">AC21+1</f>
        <v>13</v>
      </c>
      <c r="AD22" s="186" t="n">
        <f aca="false">IF(I22&gt;S22,I22-S22,I22-S22)</f>
        <v>-37</v>
      </c>
      <c r="AE22" s="91"/>
      <c r="AF22" s="93"/>
    </row>
    <row r="23" customFormat="false" ht="11.1" hidden="false" customHeight="true" outlineLevel="0" collapsed="false">
      <c r="A23" s="58" t="n">
        <f aca="false">A22+1</f>
        <v>14</v>
      </c>
      <c r="B23" s="73" t="n">
        <v>6911.33</v>
      </c>
      <c r="C23" s="52" t="n">
        <v>327334</v>
      </c>
      <c r="D23" s="57" t="n">
        <f aca="false">C23-C22</f>
        <v>-41</v>
      </c>
      <c r="E23" s="52" t="n">
        <f aca="false">C23-152000</f>
        <v>175334</v>
      </c>
      <c r="F23" s="51" t="n">
        <f aca="false">D23/$D$2</f>
        <v>-20.6705318880766</v>
      </c>
      <c r="G23" s="51" t="n">
        <v>150</v>
      </c>
      <c r="H23" s="191" t="n">
        <v>0</v>
      </c>
      <c r="I23" s="51" t="n">
        <f aca="false">G23+H23</f>
        <v>150</v>
      </c>
      <c r="J23" s="81" t="n">
        <f aca="false">IF(L23&gt;0,L23,0)</f>
        <v>40.3294681119234</v>
      </c>
      <c r="K23" s="51" t="n">
        <f aca="false">I23+J23</f>
        <v>190.329468111923</v>
      </c>
      <c r="L23" s="51" t="n">
        <f aca="false">F23-(I23-W23)</f>
        <v>40.3294681119234</v>
      </c>
      <c r="M23" s="51" t="n">
        <v>78</v>
      </c>
      <c r="N23" s="51" t="n">
        <v>0</v>
      </c>
      <c r="O23" s="51" t="n">
        <v>0</v>
      </c>
      <c r="P23" s="6" t="n">
        <f aca="false">M23-(N23+O23)</f>
        <v>78</v>
      </c>
      <c r="Q23" s="51" t="n">
        <v>48</v>
      </c>
      <c r="R23" s="101" t="n">
        <v>0</v>
      </c>
      <c r="S23" s="51" t="n">
        <f aca="false">SUM(P23:R23)</f>
        <v>126</v>
      </c>
      <c r="T23" s="52" t="n">
        <f aca="false">(I23-S23)+T22</f>
        <v>-4864.97</v>
      </c>
      <c r="U23" s="51" t="n">
        <v>8</v>
      </c>
      <c r="V23" s="51" t="n">
        <v>77</v>
      </c>
      <c r="W23" s="6" t="n">
        <f aca="false">N23+O23+S23+U23+V23</f>
        <v>211</v>
      </c>
      <c r="X23" s="51" t="n">
        <f aca="false">IF(L23&lt;0,L23*-1,0)</f>
        <v>0</v>
      </c>
      <c r="Y23" s="51" t="n">
        <f aca="false">W23+X23</f>
        <v>211</v>
      </c>
      <c r="Z23" s="55" t="n">
        <v>0.48</v>
      </c>
      <c r="AA23" s="82" t="n">
        <v>57</v>
      </c>
      <c r="AB23" s="57" t="n">
        <v>39</v>
      </c>
      <c r="AC23" s="58" t="n">
        <f aca="false">AC22+1</f>
        <v>14</v>
      </c>
      <c r="AD23" s="186" t="n">
        <f aca="false">IF(I23&gt;S23,I23-S23,I23-S23)</f>
        <v>24</v>
      </c>
      <c r="AE23" s="91"/>
      <c r="AF23" s="93"/>
    </row>
    <row r="24" customFormat="false" ht="11.1" hidden="false" customHeight="true" outlineLevel="0" collapsed="false">
      <c r="A24" s="58" t="n">
        <f aca="false">A23+1</f>
        <v>15</v>
      </c>
      <c r="B24" s="73" t="n">
        <v>6911.27</v>
      </c>
      <c r="C24" s="52" t="n">
        <v>327092</v>
      </c>
      <c r="D24" s="57" t="n">
        <f aca="false">C24-C23</f>
        <v>-242</v>
      </c>
      <c r="E24" s="52" t="n">
        <f aca="false">C24-152000</f>
        <v>175092</v>
      </c>
      <c r="F24" s="51" t="n">
        <f aca="false">D24/$D$2</f>
        <v>-122.006554071086</v>
      </c>
      <c r="G24" s="51" t="n">
        <v>145</v>
      </c>
      <c r="H24" s="191" t="n">
        <v>0</v>
      </c>
      <c r="I24" s="51" t="n">
        <f aca="false">G24+H24</f>
        <v>145</v>
      </c>
      <c r="J24" s="81" t="n">
        <f aca="false">IF(L24&gt;0,L24,0)</f>
        <v>0</v>
      </c>
      <c r="K24" s="51" t="n">
        <f aca="false">I24+J24</f>
        <v>145</v>
      </c>
      <c r="L24" s="51" t="n">
        <f aca="false">F24-(I24-W24)</f>
        <v>-79.0065540710865</v>
      </c>
      <c r="M24" s="51" t="n">
        <v>70</v>
      </c>
      <c r="N24" s="51" t="n">
        <v>0</v>
      </c>
      <c r="O24" s="51" t="n">
        <v>0</v>
      </c>
      <c r="P24" s="6" t="n">
        <f aca="false">M24-(N24+O24)</f>
        <v>70</v>
      </c>
      <c r="Q24" s="51" t="n">
        <v>48</v>
      </c>
      <c r="R24" s="101" t="n">
        <v>0</v>
      </c>
      <c r="S24" s="51" t="n">
        <f aca="false">SUM(P24:R24)</f>
        <v>118</v>
      </c>
      <c r="T24" s="52" t="n">
        <f aca="false">(I24-S24)+T23</f>
        <v>-4837.97</v>
      </c>
      <c r="U24" s="51" t="n">
        <v>0</v>
      </c>
      <c r="V24" s="51" t="n">
        <v>70</v>
      </c>
      <c r="W24" s="6" t="n">
        <f aca="false">N24+O24+S24+U24+V24</f>
        <v>188</v>
      </c>
      <c r="X24" s="51" t="n">
        <f aca="false">IF(L24&lt;0,L24*-1,0)</f>
        <v>79.0065540710865</v>
      </c>
      <c r="Y24" s="51" t="n">
        <f aca="false">W24+X24</f>
        <v>267.006554071086</v>
      </c>
      <c r="Z24" s="55" t="n">
        <v>0.01</v>
      </c>
      <c r="AA24" s="82" t="n">
        <v>58</v>
      </c>
      <c r="AB24" s="57" t="n">
        <v>37</v>
      </c>
      <c r="AC24" s="58" t="n">
        <f aca="false">AC23+1</f>
        <v>15</v>
      </c>
      <c r="AD24" s="186" t="n">
        <f aca="false">IF(I24&gt;S24,I24-S24,I24-S24)</f>
        <v>27</v>
      </c>
      <c r="AE24" s="91"/>
      <c r="AF24" s="93"/>
    </row>
    <row r="25" customFormat="false" ht="11.1" hidden="false" customHeight="true" outlineLevel="0" collapsed="false">
      <c r="A25" s="58" t="n">
        <f aca="false">A24+1</f>
        <v>16</v>
      </c>
      <c r="B25" s="73" t="n">
        <v>6911.23</v>
      </c>
      <c r="C25" s="52" t="n">
        <v>326930</v>
      </c>
      <c r="D25" s="57" t="n">
        <f aca="false">C25-C24</f>
        <v>-162</v>
      </c>
      <c r="E25" s="52" t="n">
        <f aca="false">C25-152000</f>
        <v>174930</v>
      </c>
      <c r="F25" s="51" t="n">
        <f aca="false">D25/$D$2</f>
        <v>-81.6738089236199</v>
      </c>
      <c r="G25" s="51" t="n">
        <v>115</v>
      </c>
      <c r="H25" s="191" t="n">
        <v>0</v>
      </c>
      <c r="I25" s="51" t="n">
        <f aca="false">G25+H25</f>
        <v>115</v>
      </c>
      <c r="J25" s="81" t="n">
        <f aca="false">IF(L25&gt;0,L25,0)</f>
        <v>0</v>
      </c>
      <c r="K25" s="51" t="n">
        <f aca="false">I25+J25</f>
        <v>115</v>
      </c>
      <c r="L25" s="51" t="n">
        <f aca="false">F25-(I25-W25)</f>
        <v>-13.6738089236199</v>
      </c>
      <c r="M25" s="51" t="n">
        <v>58</v>
      </c>
      <c r="N25" s="51" t="n">
        <v>0</v>
      </c>
      <c r="O25" s="51" t="n">
        <v>0</v>
      </c>
      <c r="P25" s="6" t="n">
        <f aca="false">M25-(N25+O25)</f>
        <v>58</v>
      </c>
      <c r="Q25" s="51" t="n">
        <v>48</v>
      </c>
      <c r="R25" s="51" t="n">
        <v>0</v>
      </c>
      <c r="S25" s="51" t="n">
        <f aca="false">SUM(P25:R25)</f>
        <v>106</v>
      </c>
      <c r="T25" s="52" t="n">
        <f aca="false">(I25-S25)+T24</f>
        <v>-4828.97</v>
      </c>
      <c r="U25" s="51" t="n">
        <v>0</v>
      </c>
      <c r="V25" s="51" t="n">
        <v>77</v>
      </c>
      <c r="W25" s="6" t="n">
        <f aca="false">N25+O25+S25+U25+V25</f>
        <v>183</v>
      </c>
      <c r="X25" s="51" t="n">
        <f aca="false">IF(L25&lt;0,L25*-1,0)</f>
        <v>13.6738089236199</v>
      </c>
      <c r="Y25" s="51" t="n">
        <f aca="false">W25+X25</f>
        <v>196.67380892362</v>
      </c>
      <c r="Z25" s="55" t="n">
        <v>0</v>
      </c>
      <c r="AA25" s="82" t="n">
        <v>63</v>
      </c>
      <c r="AB25" s="57" t="n">
        <v>34</v>
      </c>
      <c r="AC25" s="58" t="n">
        <f aca="false">AC24+1</f>
        <v>16</v>
      </c>
      <c r="AD25" s="186" t="n">
        <f aca="false">IF(I25&gt;S25,I25-S25,I25-S25)</f>
        <v>9</v>
      </c>
      <c r="AE25" s="91"/>
      <c r="AF25" s="93"/>
    </row>
    <row r="26" customFormat="false" ht="11.1" hidden="false" customHeight="true" outlineLevel="0" collapsed="false">
      <c r="A26" s="58" t="n">
        <f aca="false">A25+1</f>
        <v>17</v>
      </c>
      <c r="B26" s="73" t="n">
        <v>6911.18</v>
      </c>
      <c r="C26" s="52" t="n">
        <v>326727</v>
      </c>
      <c r="D26" s="57" t="n">
        <f aca="false">C26-C25</f>
        <v>-203</v>
      </c>
      <c r="E26" s="52" t="n">
        <f aca="false">C26-152000</f>
        <v>174727</v>
      </c>
      <c r="F26" s="51" t="n">
        <f aca="false">D26/$D$2</f>
        <v>-102.344340811697</v>
      </c>
      <c r="G26" s="51" t="n">
        <v>101</v>
      </c>
      <c r="H26" s="191" t="n">
        <v>0</v>
      </c>
      <c r="I26" s="51" t="n">
        <f aca="false">G26+H26</f>
        <v>101</v>
      </c>
      <c r="J26" s="81" t="n">
        <f aca="false">IF(L26&gt;0,L26,0)</f>
        <v>0</v>
      </c>
      <c r="K26" s="51" t="n">
        <f aca="false">I26+J26</f>
        <v>101</v>
      </c>
      <c r="L26" s="51" t="n">
        <f aca="false">F26-(I26-W26)</f>
        <v>-24.3443408116965</v>
      </c>
      <c r="M26" s="51" t="n">
        <v>54</v>
      </c>
      <c r="N26" s="51" t="n">
        <v>0</v>
      </c>
      <c r="O26" s="51" t="n">
        <v>0</v>
      </c>
      <c r="P26" s="6" t="n">
        <f aca="false">M26-(N26+O26)</f>
        <v>54</v>
      </c>
      <c r="Q26" s="51" t="n">
        <v>48</v>
      </c>
      <c r="R26" s="51" t="n">
        <v>0</v>
      </c>
      <c r="S26" s="51" t="n">
        <f aca="false">SUM(P26:R26)</f>
        <v>102</v>
      </c>
      <c r="T26" s="52" t="n">
        <f aca="false">(I26-S26)+T25</f>
        <v>-4829.97</v>
      </c>
      <c r="U26" s="51" t="n">
        <v>0</v>
      </c>
      <c r="V26" s="51" t="n">
        <v>77</v>
      </c>
      <c r="W26" s="6" t="n">
        <f aca="false">N26+O26+S26+U26+V26</f>
        <v>179</v>
      </c>
      <c r="X26" s="51" t="n">
        <f aca="false">IF(L26&lt;0,L26*-1,0)</f>
        <v>24.3443408116965</v>
      </c>
      <c r="Y26" s="51" t="n">
        <f aca="false">W26+X26</f>
        <v>203.344340811696</v>
      </c>
      <c r="Z26" s="55" t="n">
        <v>0</v>
      </c>
      <c r="AA26" s="82" t="n">
        <v>62</v>
      </c>
      <c r="AB26" s="57" t="n">
        <v>34</v>
      </c>
      <c r="AC26" s="58" t="n">
        <f aca="false">AC25+1</f>
        <v>17</v>
      </c>
      <c r="AD26" s="186" t="n">
        <v>0</v>
      </c>
      <c r="AE26" s="91"/>
      <c r="AF26" s="93"/>
    </row>
    <row r="27" customFormat="false" ht="11.1" hidden="false" customHeight="true" outlineLevel="0" collapsed="false">
      <c r="A27" s="58" t="n">
        <f aca="false">A26+1</f>
        <v>18</v>
      </c>
      <c r="B27" s="73" t="n">
        <v>6911.09</v>
      </c>
      <c r="C27" s="52" t="n">
        <v>326363</v>
      </c>
      <c r="D27" s="57" t="n">
        <f aca="false">C27-C26</f>
        <v>-364</v>
      </c>
      <c r="E27" s="52" t="n">
        <f aca="false">C27-152000</f>
        <v>174363</v>
      </c>
      <c r="F27" s="51" t="n">
        <f aca="false">D27/$D$2</f>
        <v>-183.513990420973</v>
      </c>
      <c r="G27" s="51" t="n">
        <v>95</v>
      </c>
      <c r="H27" s="191" t="n">
        <v>0</v>
      </c>
      <c r="I27" s="51" t="n">
        <f aca="false">G27+H27</f>
        <v>95</v>
      </c>
      <c r="J27" s="81" t="n">
        <f aca="false">IF(L27&gt;0,L27,0)</f>
        <v>0</v>
      </c>
      <c r="K27" s="51" t="n">
        <f aca="false">I27+J27</f>
        <v>95</v>
      </c>
      <c r="L27" s="51" t="n">
        <f aca="false">F27-(I27-W27)</f>
        <v>-100.513990420973</v>
      </c>
      <c r="M27" s="51" t="n">
        <v>54</v>
      </c>
      <c r="N27" s="51" t="n">
        <v>0</v>
      </c>
      <c r="O27" s="51" t="n">
        <v>0</v>
      </c>
      <c r="P27" s="6" t="n">
        <f aca="false">M27-(N27+O27)</f>
        <v>54</v>
      </c>
      <c r="Q27" s="51" t="n">
        <v>48</v>
      </c>
      <c r="R27" s="51" t="n">
        <v>0</v>
      </c>
      <c r="S27" s="51" t="n">
        <f aca="false">SUM(P27:R27)</f>
        <v>102</v>
      </c>
      <c r="T27" s="52" t="n">
        <f aca="false">(I27-S27)+T26</f>
        <v>-4836.97</v>
      </c>
      <c r="U27" s="51" t="n">
        <v>0</v>
      </c>
      <c r="V27" s="51" t="n">
        <v>76</v>
      </c>
      <c r="W27" s="6" t="n">
        <f aca="false">N27+O27+S27+U27+V27</f>
        <v>178</v>
      </c>
      <c r="X27" s="51" t="n">
        <f aca="false">IF(L27&lt;0,L27*-1,0)</f>
        <v>100.513990420973</v>
      </c>
      <c r="Y27" s="51" t="n">
        <f aca="false">W27+X27</f>
        <v>278.513990420973</v>
      </c>
      <c r="Z27" s="55" t="n">
        <v>0</v>
      </c>
      <c r="AA27" s="82" t="n">
        <v>63</v>
      </c>
      <c r="AB27" s="57" t="n">
        <v>33</v>
      </c>
      <c r="AC27" s="58" t="n">
        <f aca="false">AC26+1</f>
        <v>18</v>
      </c>
      <c r="AD27" s="186" t="n">
        <v>0</v>
      </c>
      <c r="AE27" s="91"/>
      <c r="AF27" s="93"/>
    </row>
    <row r="28" customFormat="false" ht="11.1" hidden="false" customHeight="true" outlineLevel="0" collapsed="false">
      <c r="A28" s="58" t="n">
        <f aca="false">A27+1</f>
        <v>19</v>
      </c>
      <c r="B28" s="73" t="n">
        <v>6911.04</v>
      </c>
      <c r="C28" s="98" t="n">
        <v>326161</v>
      </c>
      <c r="D28" s="57" t="n">
        <f aca="false">C28-C27</f>
        <v>-202</v>
      </c>
      <c r="E28" s="52" t="n">
        <f aca="false">C28-152000</f>
        <v>174161</v>
      </c>
      <c r="F28" s="51" t="n">
        <f aca="false">D28/$D$2</f>
        <v>-101.840181497353</v>
      </c>
      <c r="G28" s="51" t="n">
        <v>91</v>
      </c>
      <c r="H28" s="191" t="n">
        <v>0</v>
      </c>
      <c r="I28" s="51" t="n">
        <f aca="false">G28+H28</f>
        <v>91</v>
      </c>
      <c r="J28" s="81" t="n">
        <f aca="false">IF(L28&gt;0,L28,0)</f>
        <v>0</v>
      </c>
      <c r="K28" s="51" t="n">
        <f aca="false">I28+J28</f>
        <v>91</v>
      </c>
      <c r="L28" s="51" t="n">
        <f aca="false">F28-(I28-W28)</f>
        <v>-17.8401814973532</v>
      </c>
      <c r="M28" s="51" t="n">
        <v>50</v>
      </c>
      <c r="N28" s="51" t="n">
        <v>0</v>
      </c>
      <c r="O28" s="51" t="n">
        <v>0</v>
      </c>
      <c r="P28" s="6" t="n">
        <f aca="false">M28-(N28+O28)</f>
        <v>50</v>
      </c>
      <c r="Q28" s="51" t="n">
        <v>48</v>
      </c>
      <c r="R28" s="51" t="n">
        <v>0</v>
      </c>
      <c r="S28" s="51" t="n">
        <f aca="false">SUM(P28:R28)</f>
        <v>98</v>
      </c>
      <c r="T28" s="52" t="n">
        <f aca="false">(I28-S28)+T27</f>
        <v>-4843.97</v>
      </c>
      <c r="U28" s="51" t="n">
        <v>0</v>
      </c>
      <c r="V28" s="51" t="n">
        <v>77</v>
      </c>
      <c r="W28" s="6" t="n">
        <f aca="false">N28+O28+S28+U28+V28</f>
        <v>175</v>
      </c>
      <c r="X28" s="51" t="n">
        <f aca="false">IF(L28&lt;0,L28*-1,0)</f>
        <v>17.8401814973532</v>
      </c>
      <c r="Y28" s="51" t="n">
        <f aca="false">W28+X28</f>
        <v>192.840181497353</v>
      </c>
      <c r="Z28" s="55" t="n">
        <v>0</v>
      </c>
      <c r="AA28" s="82" t="n">
        <v>65</v>
      </c>
      <c r="AB28" s="57" t="n">
        <v>33</v>
      </c>
      <c r="AC28" s="58" t="n">
        <f aca="false">AC27+1</f>
        <v>19</v>
      </c>
      <c r="AD28" s="186" t="n">
        <v>0</v>
      </c>
      <c r="AE28" s="91"/>
      <c r="AF28" s="93"/>
    </row>
    <row r="29" customFormat="false" ht="11.1" hidden="false" customHeight="true" outlineLevel="0" collapsed="false">
      <c r="A29" s="58" t="n">
        <f aca="false">A28+1</f>
        <v>20</v>
      </c>
      <c r="B29" s="73" t="n">
        <v>6911.01</v>
      </c>
      <c r="C29" s="52" t="n">
        <v>326040</v>
      </c>
      <c r="D29" s="57" t="n">
        <f aca="false">C29-C28</f>
        <v>-121</v>
      </c>
      <c r="E29" s="52" t="n">
        <f aca="false">C29-152000</f>
        <v>174040</v>
      </c>
      <c r="F29" s="51" t="n">
        <f aca="false">D29/$D$2</f>
        <v>-61.0032770355432</v>
      </c>
      <c r="G29" s="51" t="n">
        <v>86</v>
      </c>
      <c r="H29" s="191" t="n">
        <v>0</v>
      </c>
      <c r="I29" s="51" t="n">
        <f aca="false">G29+H29</f>
        <v>86</v>
      </c>
      <c r="J29" s="81" t="n">
        <f aca="false">IF(L29&gt;0,L29,0)</f>
        <v>11.9967229644568</v>
      </c>
      <c r="K29" s="51" t="n">
        <f aca="false">I29+J29</f>
        <v>97.9967229644568</v>
      </c>
      <c r="L29" s="51" t="n">
        <f aca="false">F29-(I29-W29)</f>
        <v>11.9967229644568</v>
      </c>
      <c r="M29" s="51" t="n">
        <v>35</v>
      </c>
      <c r="N29" s="51" t="n">
        <v>0</v>
      </c>
      <c r="O29" s="51" t="n">
        <v>0</v>
      </c>
      <c r="P29" s="6" t="n">
        <f aca="false">M29-(N29+O29)</f>
        <v>35</v>
      </c>
      <c r="Q29" s="51" t="n">
        <v>48</v>
      </c>
      <c r="R29" s="51" t="n">
        <v>0</v>
      </c>
      <c r="S29" s="51" t="n">
        <f aca="false">SUM(P29:R29)</f>
        <v>83</v>
      </c>
      <c r="T29" s="52" t="n">
        <f aca="false">(I29-S29)+T28</f>
        <v>-4840.97</v>
      </c>
      <c r="U29" s="51" t="n">
        <v>0</v>
      </c>
      <c r="V29" s="51" t="n">
        <v>76</v>
      </c>
      <c r="W29" s="6" t="n">
        <f aca="false">N29+O29+S29+U29+V29</f>
        <v>159</v>
      </c>
      <c r="X29" s="51" t="n">
        <f aca="false">IF(L29&lt;0,L29*-1,0)</f>
        <v>0</v>
      </c>
      <c r="Y29" s="51" t="n">
        <f aca="false">W29+X29</f>
        <v>159</v>
      </c>
      <c r="Z29" s="55" t="n">
        <v>0</v>
      </c>
      <c r="AA29" s="82" t="n">
        <v>64</v>
      </c>
      <c r="AB29" s="57" t="n">
        <v>35</v>
      </c>
      <c r="AC29" s="58" t="n">
        <f aca="false">AC28+1</f>
        <v>20</v>
      </c>
      <c r="AD29" s="186" t="n">
        <v>0</v>
      </c>
      <c r="AE29" s="91"/>
      <c r="AF29" s="93"/>
    </row>
    <row r="30" customFormat="false" ht="11.1" hidden="false" customHeight="true" outlineLevel="0" collapsed="false">
      <c r="A30" s="58" t="n">
        <f aca="false">A29+1</f>
        <v>21</v>
      </c>
      <c r="B30" s="73" t="n">
        <v>6910.98</v>
      </c>
      <c r="C30" s="52" t="n">
        <v>325919</v>
      </c>
      <c r="D30" s="57" t="n">
        <f aca="false">C30-C29</f>
        <v>-121</v>
      </c>
      <c r="E30" s="52" t="n">
        <f aca="false">C30-152000</f>
        <v>173919</v>
      </c>
      <c r="F30" s="51" t="n">
        <f aca="false">D30/$D$2</f>
        <v>-61.0032770355432</v>
      </c>
      <c r="G30" s="51" t="n">
        <v>82</v>
      </c>
      <c r="H30" s="191" t="n">
        <v>0</v>
      </c>
      <c r="I30" s="51" t="n">
        <f aca="false">G30+H30</f>
        <v>82</v>
      </c>
      <c r="J30" s="81" t="n">
        <f aca="false">IF(L30&gt;0,L30,0)</f>
        <v>11.9967229644568</v>
      </c>
      <c r="K30" s="51" t="n">
        <f aca="false">I30+J30</f>
        <v>93.9967229644568</v>
      </c>
      <c r="L30" s="51" t="n">
        <f aca="false">F30-(I30-W30)</f>
        <v>11.9967229644568</v>
      </c>
      <c r="M30" s="51" t="n">
        <v>30</v>
      </c>
      <c r="N30" s="51" t="n">
        <v>0</v>
      </c>
      <c r="O30" s="51" t="n">
        <v>0</v>
      </c>
      <c r="P30" s="6" t="n">
        <f aca="false">M30-(N30+O30)</f>
        <v>30</v>
      </c>
      <c r="Q30" s="51" t="n">
        <v>48</v>
      </c>
      <c r="R30" s="51" t="n">
        <v>0</v>
      </c>
      <c r="S30" s="51" t="n">
        <f aca="false">SUM(P30:R30)</f>
        <v>78</v>
      </c>
      <c r="T30" s="52" t="n">
        <f aca="false">(I30-S30)+T29</f>
        <v>-4836.97</v>
      </c>
      <c r="U30" s="51" t="n">
        <v>0</v>
      </c>
      <c r="V30" s="51" t="n">
        <v>77</v>
      </c>
      <c r="W30" s="6" t="n">
        <f aca="false">N30+O30+S30+U30+V30</f>
        <v>155</v>
      </c>
      <c r="X30" s="51" t="n">
        <f aca="false">IF(L30&lt;0,L30*-1,0)</f>
        <v>0</v>
      </c>
      <c r="Y30" s="51" t="n">
        <f aca="false">W30+X30</f>
        <v>155</v>
      </c>
      <c r="Z30" s="55" t="n">
        <v>0</v>
      </c>
      <c r="AA30" s="57" t="n">
        <v>65</v>
      </c>
      <c r="AB30" s="57" t="n">
        <v>31</v>
      </c>
      <c r="AC30" s="58" t="n">
        <f aca="false">AC29+1</f>
        <v>21</v>
      </c>
      <c r="AD30" s="186" t="n">
        <v>0</v>
      </c>
      <c r="AE30" s="91"/>
      <c r="AF30" s="93"/>
    </row>
    <row r="31" customFormat="false" ht="11.1" hidden="false" customHeight="true" outlineLevel="0" collapsed="false">
      <c r="A31" s="58" t="n">
        <f aca="false">A30+1</f>
        <v>22</v>
      </c>
      <c r="B31" s="73" t="n">
        <v>6910.93</v>
      </c>
      <c r="C31" s="52" t="n">
        <v>325718</v>
      </c>
      <c r="D31" s="57" t="n">
        <f aca="false">C31-C30</f>
        <v>-201</v>
      </c>
      <c r="E31" s="52" t="n">
        <f aca="false">C31-152000</f>
        <v>173718</v>
      </c>
      <c r="F31" s="51" t="n">
        <f aca="false">D31/$D$2</f>
        <v>-101.33602218301</v>
      </c>
      <c r="G31" s="51" t="n">
        <v>78</v>
      </c>
      <c r="H31" s="191" t="n">
        <v>0</v>
      </c>
      <c r="I31" s="51" t="n">
        <f aca="false">G31+H31</f>
        <v>78</v>
      </c>
      <c r="J31" s="81" t="n">
        <f aca="false">IF(L31&gt;0,L31,0)</f>
        <v>0</v>
      </c>
      <c r="K31" s="51" t="n">
        <f aca="false">I31+J31</f>
        <v>78</v>
      </c>
      <c r="L31" s="51" t="n">
        <f aca="false">F31-(I31-W31)</f>
        <v>-28.3360221830098</v>
      </c>
      <c r="M31" s="51" t="n">
        <v>27</v>
      </c>
      <c r="N31" s="51" t="n">
        <v>0</v>
      </c>
      <c r="O31" s="51" t="n">
        <v>0</v>
      </c>
      <c r="P31" s="6" t="n">
        <f aca="false">M31-(N31+O31)</f>
        <v>27</v>
      </c>
      <c r="Q31" s="51" t="n">
        <v>48</v>
      </c>
      <c r="R31" s="51" t="n">
        <v>0</v>
      </c>
      <c r="S31" s="51" t="n">
        <f aca="false">SUM(P31:R31)</f>
        <v>75</v>
      </c>
      <c r="T31" s="52" t="n">
        <f aca="false">(I31-S31)+T30</f>
        <v>-4833.97</v>
      </c>
      <c r="U31" s="51" t="n">
        <v>0</v>
      </c>
      <c r="V31" s="51" t="n">
        <v>76</v>
      </c>
      <c r="W31" s="6" t="n">
        <f aca="false">N31+O31+S31+U31+V31</f>
        <v>151</v>
      </c>
      <c r="X31" s="51" t="n">
        <f aca="false">IF(L31&lt;0,L31*-1,0)</f>
        <v>28.3360221830098</v>
      </c>
      <c r="Y31" s="51" t="n">
        <f aca="false">W31+X31</f>
        <v>179.33602218301</v>
      </c>
      <c r="Z31" s="55" t="n">
        <v>0</v>
      </c>
      <c r="AA31" s="57" t="n">
        <v>56</v>
      </c>
      <c r="AB31" s="57" t="n">
        <v>30</v>
      </c>
      <c r="AC31" s="58" t="n">
        <f aca="false">AC30+1</f>
        <v>22</v>
      </c>
      <c r="AD31" s="186" t="n">
        <v>0</v>
      </c>
      <c r="AE31" s="91"/>
      <c r="AF31" s="93"/>
      <c r="AG31" s="195"/>
      <c r="AH31" s="195"/>
      <c r="AI31" s="195"/>
    </row>
    <row r="32" customFormat="false" ht="11.1" hidden="false" customHeight="true" outlineLevel="0" collapsed="false">
      <c r="A32" s="58" t="n">
        <f aca="false">A31+1</f>
        <v>23</v>
      </c>
      <c r="B32" s="73" t="n">
        <v>6910.94</v>
      </c>
      <c r="C32" s="52" t="n">
        <v>325759</v>
      </c>
      <c r="D32" s="57" t="n">
        <f aca="false">C32-C31</f>
        <v>41</v>
      </c>
      <c r="E32" s="52" t="n">
        <f aca="false">C32-152000</f>
        <v>173759</v>
      </c>
      <c r="F32" s="51" t="n">
        <f aca="false">D32/$D$2</f>
        <v>20.6705318880766</v>
      </c>
      <c r="G32" s="51" t="n">
        <v>81</v>
      </c>
      <c r="H32" s="191" t="n">
        <v>0</v>
      </c>
      <c r="I32" s="51" t="n">
        <f aca="false">G32+H32</f>
        <v>81</v>
      </c>
      <c r="J32" s="81" t="n">
        <f aca="false">IF(L32&gt;0,L32,0)</f>
        <v>109.670531888077</v>
      </c>
      <c r="K32" s="51" t="n">
        <f aca="false">I32+J32</f>
        <v>190.670531888077</v>
      </c>
      <c r="L32" s="51" t="n">
        <f aca="false">F32-(I32-W32)</f>
        <v>109.670531888077</v>
      </c>
      <c r="M32" s="51" t="n">
        <v>46</v>
      </c>
      <c r="N32" s="51" t="n">
        <v>0</v>
      </c>
      <c r="O32" s="51" t="n">
        <v>0</v>
      </c>
      <c r="P32" s="6" t="n">
        <f aca="false">M32-(N32+O32)</f>
        <v>46</v>
      </c>
      <c r="Q32" s="51" t="n">
        <v>48</v>
      </c>
      <c r="R32" s="51" t="n">
        <v>0</v>
      </c>
      <c r="S32" s="51" t="n">
        <f aca="false">SUM(P32:R32)</f>
        <v>94</v>
      </c>
      <c r="T32" s="52" t="n">
        <f aca="false">(I32-S32)+T31</f>
        <v>-4846.97</v>
      </c>
      <c r="U32" s="51" t="n">
        <v>0</v>
      </c>
      <c r="V32" s="51" t="n">
        <v>76</v>
      </c>
      <c r="W32" s="6" t="n">
        <f aca="false">N32+O32+S32+U32+V32</f>
        <v>170</v>
      </c>
      <c r="X32" s="51" t="n">
        <f aca="false">IF(L32&lt;0,L32*-1,0)</f>
        <v>0</v>
      </c>
      <c r="Y32" s="51" t="n">
        <f aca="false">W32+X32</f>
        <v>170</v>
      </c>
      <c r="Z32" s="55" t="n">
        <v>0</v>
      </c>
      <c r="AA32" s="57" t="n">
        <v>59</v>
      </c>
      <c r="AB32" s="82" t="n">
        <v>32</v>
      </c>
      <c r="AC32" s="58" t="n">
        <f aca="false">AC31+1</f>
        <v>23</v>
      </c>
      <c r="AD32" s="186" t="n">
        <v>0</v>
      </c>
      <c r="AE32" s="91"/>
      <c r="AF32" s="93"/>
    </row>
    <row r="33" customFormat="false" ht="11.1" hidden="false" customHeight="true" outlineLevel="0" collapsed="false">
      <c r="A33" s="58" t="n">
        <f aca="false">A32+1</f>
        <v>24</v>
      </c>
      <c r="B33" s="73" t="n">
        <v>6910.95</v>
      </c>
      <c r="C33" s="52" t="n">
        <v>325799</v>
      </c>
      <c r="D33" s="57" t="n">
        <f aca="false">C33-C32</f>
        <v>40</v>
      </c>
      <c r="E33" s="52" t="n">
        <f aca="false">C33-152000</f>
        <v>173799</v>
      </c>
      <c r="F33" s="51" t="n">
        <f aca="false">D33/$D$2</f>
        <v>20.1663725737333</v>
      </c>
      <c r="G33" s="51" t="n">
        <v>87</v>
      </c>
      <c r="H33" s="191" t="n">
        <v>0</v>
      </c>
      <c r="I33" s="51" t="n">
        <f aca="false">G33+H33</f>
        <v>87</v>
      </c>
      <c r="J33" s="81" t="n">
        <f aca="false">IF(L33&gt;0,L33,0)</f>
        <v>102.166372573733</v>
      </c>
      <c r="K33" s="51" t="n">
        <f aca="false">I33+J33</f>
        <v>189.166372573733</v>
      </c>
      <c r="L33" s="51" t="n">
        <f aca="false">F33-(I33-W33)</f>
        <v>102.166372573733</v>
      </c>
      <c r="M33" s="51" t="n">
        <v>46</v>
      </c>
      <c r="N33" s="51" t="n">
        <v>0</v>
      </c>
      <c r="O33" s="51" t="n">
        <v>0</v>
      </c>
      <c r="P33" s="6" t="n">
        <f aca="false">M33-(N33+O33)</f>
        <v>46</v>
      </c>
      <c r="Q33" s="51" t="n">
        <v>48</v>
      </c>
      <c r="R33" s="51" t="n">
        <v>0</v>
      </c>
      <c r="S33" s="51" t="n">
        <f aca="false">SUM(P33:R33)</f>
        <v>94</v>
      </c>
      <c r="T33" s="52" t="n">
        <f aca="false">(I33-S33)+T32</f>
        <v>-4853.97</v>
      </c>
      <c r="U33" s="51" t="n">
        <v>0</v>
      </c>
      <c r="V33" s="51" t="n">
        <v>75</v>
      </c>
      <c r="W33" s="6" t="n">
        <f aca="false">N33+O33+S33+U33+V33</f>
        <v>169</v>
      </c>
      <c r="X33" s="51" t="n">
        <f aca="false">IF(L33&lt;0,L33*-1,0)</f>
        <v>0</v>
      </c>
      <c r="Y33" s="51" t="n">
        <f aca="false">W33+X33</f>
        <v>169</v>
      </c>
      <c r="Z33" s="55" t="n">
        <v>0.8</v>
      </c>
      <c r="AA33" s="57" t="n">
        <v>61</v>
      </c>
      <c r="AB33" s="82" t="n">
        <v>40</v>
      </c>
      <c r="AC33" s="58" t="n">
        <f aca="false">AC32+1</f>
        <v>24</v>
      </c>
      <c r="AD33" s="186" t="n">
        <v>0</v>
      </c>
      <c r="AE33" s="91"/>
      <c r="AF33" s="93"/>
    </row>
    <row r="34" customFormat="false" ht="11.1" hidden="false" customHeight="true" outlineLevel="0" collapsed="false">
      <c r="A34" s="58" t="n">
        <v>25</v>
      </c>
      <c r="B34" s="73" t="n">
        <v>6910.9</v>
      </c>
      <c r="C34" s="52" t="n">
        <v>325598</v>
      </c>
      <c r="D34" s="57" t="n">
        <f aca="false">C34-C33</f>
        <v>-201</v>
      </c>
      <c r="E34" s="52" t="n">
        <f aca="false">C34-152000</f>
        <v>173598</v>
      </c>
      <c r="F34" s="51" t="n">
        <f aca="false">D34/$D$2</f>
        <v>-101.33602218301</v>
      </c>
      <c r="G34" s="51" t="n">
        <v>125</v>
      </c>
      <c r="H34" s="191" t="n">
        <v>0</v>
      </c>
      <c r="I34" s="51" t="n">
        <f aca="false">G34+H34</f>
        <v>125</v>
      </c>
      <c r="J34" s="81" t="n">
        <f aca="false">IF(L34&gt;0,L34,0)</f>
        <v>0</v>
      </c>
      <c r="K34" s="51" t="n">
        <f aca="false">I34+J34</f>
        <v>125</v>
      </c>
      <c r="L34" s="51" t="n">
        <f aca="false">F34-(I34-W34)</f>
        <v>-56.3360221830098</v>
      </c>
      <c r="M34" s="51" t="n">
        <v>46</v>
      </c>
      <c r="N34" s="51" t="n">
        <v>0</v>
      </c>
      <c r="O34" s="51" t="n">
        <v>0</v>
      </c>
      <c r="P34" s="6" t="n">
        <f aca="false">M34-(N34+O34)</f>
        <v>46</v>
      </c>
      <c r="Q34" s="51" t="n">
        <v>48</v>
      </c>
      <c r="R34" s="51" t="n">
        <v>0</v>
      </c>
      <c r="S34" s="51" t="n">
        <f aca="false">SUM(P34:R34)</f>
        <v>94</v>
      </c>
      <c r="T34" s="52" t="n">
        <f aca="false">(I34-S34)+T33</f>
        <v>-4822.97</v>
      </c>
      <c r="U34" s="51" t="n">
        <v>0</v>
      </c>
      <c r="V34" s="51" t="n">
        <v>76</v>
      </c>
      <c r="W34" s="6" t="n">
        <f aca="false">N34+O34+S34+U34+V34</f>
        <v>170</v>
      </c>
      <c r="X34" s="51" t="n">
        <f aca="false">IF(L34&lt;0,L34*-1,0)</f>
        <v>56.3360221830098</v>
      </c>
      <c r="Y34" s="51" t="n">
        <f aca="false">W34+X34</f>
        <v>226.33602218301</v>
      </c>
      <c r="Z34" s="55" t="n">
        <v>0</v>
      </c>
      <c r="AA34" s="57" t="n">
        <v>56</v>
      </c>
      <c r="AB34" s="82" t="n">
        <v>41</v>
      </c>
      <c r="AC34" s="58" t="n">
        <v>25</v>
      </c>
      <c r="AD34" s="186" t="n">
        <v>0</v>
      </c>
      <c r="AE34" s="91"/>
      <c r="AF34" s="93"/>
    </row>
    <row r="35" customFormat="false" ht="11.1" hidden="false" customHeight="true" outlineLevel="0" collapsed="false">
      <c r="A35" s="58" t="n">
        <v>26</v>
      </c>
      <c r="B35" s="73" t="n">
        <v>6910.88</v>
      </c>
      <c r="C35" s="52" t="n">
        <v>325518</v>
      </c>
      <c r="D35" s="57" t="n">
        <f aca="false">C35-C34</f>
        <v>-80</v>
      </c>
      <c r="E35" s="52" t="n">
        <f aca="false">C35-152000</f>
        <v>173518</v>
      </c>
      <c r="F35" s="51" t="n">
        <f aca="false">D35/$D$2</f>
        <v>-40.3327451474666</v>
      </c>
      <c r="G35" s="51" t="n">
        <v>140</v>
      </c>
      <c r="H35" s="191" t="n">
        <v>0</v>
      </c>
      <c r="I35" s="51" t="n">
        <f aca="false">G35+H35</f>
        <v>140</v>
      </c>
      <c r="J35" s="81" t="n">
        <f aca="false">IF(L35&gt;0,L35,0)</f>
        <v>0</v>
      </c>
      <c r="K35" s="51" t="n">
        <f aca="false">I35+J35</f>
        <v>140</v>
      </c>
      <c r="L35" s="51" t="n">
        <f aca="false">F35-(I35-W35)</f>
        <v>-48.3327451474666</v>
      </c>
      <c r="M35" s="51" t="n">
        <v>38</v>
      </c>
      <c r="N35" s="51" t="n">
        <v>0</v>
      </c>
      <c r="O35" s="51" t="n">
        <v>0</v>
      </c>
      <c r="P35" s="6" t="n">
        <f aca="false">M35-(N35+O35)</f>
        <v>38</v>
      </c>
      <c r="Q35" s="51" t="n">
        <v>18</v>
      </c>
      <c r="R35" s="51" t="n">
        <v>0</v>
      </c>
      <c r="S35" s="51" t="n">
        <f aca="false">SUM(P35:R35)</f>
        <v>56</v>
      </c>
      <c r="T35" s="52" t="n">
        <f aca="false">(I35-S35)+T34</f>
        <v>-4738.97</v>
      </c>
      <c r="U35" s="51" t="n">
        <v>0</v>
      </c>
      <c r="V35" s="51" t="n">
        <v>76</v>
      </c>
      <c r="W35" s="6" t="n">
        <f aca="false">N35+O35+S35+U35+V35</f>
        <v>132</v>
      </c>
      <c r="X35" s="51" t="n">
        <f aca="false">IF(L35&lt;0,L35*-1,0)</f>
        <v>48.3327451474666</v>
      </c>
      <c r="Y35" s="51" t="n">
        <f aca="false">W35+X35</f>
        <v>180.332745147467</v>
      </c>
      <c r="Z35" s="55" t="n">
        <v>0</v>
      </c>
      <c r="AA35" s="57" t="n">
        <v>58</v>
      </c>
      <c r="AB35" s="82" t="n">
        <v>34</v>
      </c>
      <c r="AC35" s="58" t="n">
        <v>26</v>
      </c>
      <c r="AD35" s="186" t="n">
        <v>0</v>
      </c>
      <c r="AE35" s="91"/>
      <c r="AF35" s="93"/>
    </row>
    <row r="36" customFormat="false" ht="11.1" hidden="false" customHeight="true" outlineLevel="0" collapsed="false">
      <c r="A36" s="58" t="n">
        <v>27</v>
      </c>
      <c r="B36" s="73" t="n">
        <v>6910.92</v>
      </c>
      <c r="C36" s="52" t="n">
        <v>325678</v>
      </c>
      <c r="D36" s="57" t="n">
        <f aca="false">C36-C35</f>
        <v>160</v>
      </c>
      <c r="E36" s="52" t="n">
        <f aca="false">C36-152000</f>
        <v>173678</v>
      </c>
      <c r="F36" s="51" t="n">
        <f aca="false">D36/$D$2</f>
        <v>80.6654902949332</v>
      </c>
      <c r="G36" s="51" t="n">
        <v>118</v>
      </c>
      <c r="H36" s="191" t="n">
        <v>0</v>
      </c>
      <c r="I36" s="51" t="n">
        <f aca="false">G36+H36</f>
        <v>118</v>
      </c>
      <c r="J36" s="81" t="n">
        <f aca="false">IF(L36&gt;0,L36,0)</f>
        <v>71.6654902949332</v>
      </c>
      <c r="K36" s="51" t="n">
        <f aca="false">I36+J36</f>
        <v>189.665490294933</v>
      </c>
      <c r="L36" s="51" t="n">
        <f aca="false">F36-(I36-W36)</f>
        <v>71.6654902949332</v>
      </c>
      <c r="M36" s="51" t="n">
        <v>33</v>
      </c>
      <c r="N36" s="51" t="n">
        <v>0</v>
      </c>
      <c r="O36" s="51" t="n">
        <v>0</v>
      </c>
      <c r="P36" s="6" t="n">
        <f aca="false">M36-(N36+O36)</f>
        <v>33</v>
      </c>
      <c r="Q36" s="51" t="n">
        <v>0</v>
      </c>
      <c r="R36" s="51" t="n">
        <v>0</v>
      </c>
      <c r="S36" s="51" t="n">
        <f aca="false">SUM(P36:R36)</f>
        <v>33</v>
      </c>
      <c r="T36" s="52" t="n">
        <f aca="false">(I36-S36)+T35</f>
        <v>-4653.97</v>
      </c>
      <c r="U36" s="51" t="n">
        <v>0</v>
      </c>
      <c r="V36" s="51" t="n">
        <v>76</v>
      </c>
      <c r="W36" s="6" t="n">
        <f aca="false">N36+O36+S36+U36+V36</f>
        <v>109</v>
      </c>
      <c r="X36" s="51" t="n">
        <f aca="false">IF(L36&lt;0,L36*-1,0)</f>
        <v>0</v>
      </c>
      <c r="Y36" s="51" t="n">
        <f aca="false">W36+X36</f>
        <v>109</v>
      </c>
      <c r="Z36" s="55" t="n">
        <v>0</v>
      </c>
      <c r="AA36" s="57" t="n">
        <v>60</v>
      </c>
      <c r="AB36" s="82" t="n">
        <v>34</v>
      </c>
      <c r="AC36" s="58" t="n">
        <v>27</v>
      </c>
      <c r="AD36" s="186" t="n">
        <v>0</v>
      </c>
      <c r="AE36" s="91"/>
      <c r="AF36" s="93"/>
    </row>
    <row r="37" customFormat="false" ht="11.1" hidden="false" customHeight="true" outlineLevel="0" collapsed="false">
      <c r="A37" s="58" t="n">
        <v>28</v>
      </c>
      <c r="B37" s="73" t="n">
        <v>6910.9</v>
      </c>
      <c r="C37" s="52" t="n">
        <v>325598</v>
      </c>
      <c r="D37" s="57" t="n">
        <f aca="false">C37-C36</f>
        <v>-80</v>
      </c>
      <c r="E37" s="52" t="n">
        <f aca="false">C37-152000</f>
        <v>173598</v>
      </c>
      <c r="F37" s="51" t="n">
        <f aca="false">D37/$D$2</f>
        <v>-40.3327451474666</v>
      </c>
      <c r="G37" s="51" t="n">
        <v>108</v>
      </c>
      <c r="H37" s="191" t="n">
        <v>0</v>
      </c>
      <c r="I37" s="51" t="n">
        <f aca="false">G37+H37</f>
        <v>108</v>
      </c>
      <c r="J37" s="81" t="n">
        <f aca="false">IF(L37&gt;0,L37,0)</f>
        <v>0</v>
      </c>
      <c r="K37" s="51" t="n">
        <f aca="false">I37+J37</f>
        <v>108</v>
      </c>
      <c r="L37" s="51" t="n">
        <f aca="false">F37-(I37-W37)</f>
        <v>-42.3327451474666</v>
      </c>
      <c r="M37" s="51" t="n">
        <v>30</v>
      </c>
      <c r="N37" s="51" t="n">
        <v>0</v>
      </c>
      <c r="O37" s="51" t="n">
        <v>0</v>
      </c>
      <c r="P37" s="6" t="n">
        <f aca="false">M37-(N37+O37)</f>
        <v>30</v>
      </c>
      <c r="Q37" s="51" t="n">
        <v>0</v>
      </c>
      <c r="R37" s="51" t="n">
        <v>0</v>
      </c>
      <c r="S37" s="51" t="n">
        <f aca="false">SUM(P37:R37)</f>
        <v>30</v>
      </c>
      <c r="T37" s="52" t="n">
        <f aca="false">(I37-S37)+T36</f>
        <v>-4575.97</v>
      </c>
      <c r="U37" s="51" t="n">
        <v>0</v>
      </c>
      <c r="V37" s="51" t="n">
        <v>76</v>
      </c>
      <c r="W37" s="6" t="n">
        <f aca="false">N37+O37+S37+U37+V37</f>
        <v>106</v>
      </c>
      <c r="X37" s="51" t="n">
        <f aca="false">IF(L37&lt;0,L37*-1,0)</f>
        <v>42.3327451474666</v>
      </c>
      <c r="Y37" s="51" t="n">
        <f aca="false">W37+X37</f>
        <v>148.332745147467</v>
      </c>
      <c r="Z37" s="55" t="n">
        <v>0</v>
      </c>
      <c r="AA37" s="57" t="n">
        <v>62</v>
      </c>
      <c r="AB37" s="82" t="n">
        <v>33</v>
      </c>
      <c r="AC37" s="58" t="n">
        <v>28</v>
      </c>
      <c r="AD37" s="186" t="n">
        <v>0</v>
      </c>
      <c r="AE37" s="91"/>
      <c r="AF37" s="93"/>
    </row>
    <row r="38" customFormat="false" ht="11.1" hidden="false" customHeight="true" outlineLevel="0" collapsed="false">
      <c r="A38" s="58" t="n">
        <v>29</v>
      </c>
      <c r="B38" s="73" t="n">
        <v>6910.96</v>
      </c>
      <c r="C38" s="52" t="n">
        <v>325839</v>
      </c>
      <c r="D38" s="57" t="n">
        <f aca="false">C38-C37</f>
        <v>241</v>
      </c>
      <c r="E38" s="52" t="n">
        <f aca="false">C38-152000</f>
        <v>173839</v>
      </c>
      <c r="F38" s="51" t="n">
        <f aca="false">D38/$D$2</f>
        <v>121.502394756743</v>
      </c>
      <c r="G38" s="51" t="n">
        <v>108</v>
      </c>
      <c r="H38" s="191" t="n">
        <v>0</v>
      </c>
      <c r="I38" s="51" t="n">
        <f aca="false">G38+H38</f>
        <v>108</v>
      </c>
      <c r="J38" s="81" t="n">
        <f aca="false">IF(L38&gt;0,L38,0)</f>
        <v>117.502394756743</v>
      </c>
      <c r="K38" s="51" t="n">
        <f aca="false">I38+J38</f>
        <v>225.502394756743</v>
      </c>
      <c r="L38" s="51" t="n">
        <f aca="false">F38-(I38-W38)</f>
        <v>117.502394756743</v>
      </c>
      <c r="M38" s="51" t="n">
        <v>30</v>
      </c>
      <c r="N38" s="51" t="n">
        <v>0</v>
      </c>
      <c r="O38" s="51" t="n">
        <v>0</v>
      </c>
      <c r="P38" s="6" t="n">
        <f aca="false">M38-(N38+O38)</f>
        <v>30</v>
      </c>
      <c r="Q38" s="51" t="n">
        <v>0</v>
      </c>
      <c r="R38" s="51" t="n">
        <v>0</v>
      </c>
      <c r="S38" s="51" t="n">
        <f aca="false">SUM(P38:R38)</f>
        <v>30</v>
      </c>
      <c r="T38" s="52" t="n">
        <f aca="false">(I38-S38)+T37</f>
        <v>-4497.97</v>
      </c>
      <c r="U38" s="51" t="n">
        <v>0</v>
      </c>
      <c r="V38" s="51" t="n">
        <v>74</v>
      </c>
      <c r="W38" s="6" t="n">
        <f aca="false">N38+O38+S38+U38+V38</f>
        <v>104</v>
      </c>
      <c r="X38" s="51" t="n">
        <f aca="false">IF(L38&lt;0,L38*-1,0)</f>
        <v>0</v>
      </c>
      <c r="Y38" s="51" t="n">
        <f aca="false">W38+X38</f>
        <v>104</v>
      </c>
      <c r="Z38" s="55" t="n">
        <v>0.99</v>
      </c>
      <c r="AA38" s="57" t="n">
        <v>63</v>
      </c>
      <c r="AB38" s="82" t="n">
        <v>34</v>
      </c>
      <c r="AC38" s="58" t="n">
        <v>29</v>
      </c>
      <c r="AD38" s="186" t="n">
        <v>0</v>
      </c>
      <c r="AE38" s="91"/>
      <c r="AF38" s="93"/>
    </row>
    <row r="39" customFormat="false" ht="11.1" hidden="false" customHeight="true" outlineLevel="0" collapsed="false">
      <c r="A39" s="58" t="n">
        <v>30</v>
      </c>
      <c r="B39" s="73" t="n">
        <v>6910.99</v>
      </c>
      <c r="C39" s="52" t="n">
        <v>325959</v>
      </c>
      <c r="D39" s="57" t="n">
        <f aca="false">C39-C38</f>
        <v>120</v>
      </c>
      <c r="E39" s="52" t="n">
        <f aca="false">C39-152000</f>
        <v>173959</v>
      </c>
      <c r="F39" s="51" t="n">
        <f aca="false">D39/$D$2</f>
        <v>60.4991177211999</v>
      </c>
      <c r="G39" s="51" t="n">
        <v>167</v>
      </c>
      <c r="H39" s="191" t="n">
        <v>0</v>
      </c>
      <c r="I39" s="51" t="n">
        <f aca="false">G39+H39</f>
        <v>167</v>
      </c>
      <c r="J39" s="81" t="n">
        <f aca="false">IF(L39&gt;0,L39,0)</f>
        <v>0</v>
      </c>
      <c r="K39" s="51" t="n">
        <f aca="false">I39+J39</f>
        <v>167</v>
      </c>
      <c r="L39" s="51" t="n">
        <f aca="false">F39-(I39-W39)</f>
        <v>-1.50088227880011</v>
      </c>
      <c r="M39" s="51" t="n">
        <v>30</v>
      </c>
      <c r="N39" s="51" t="n">
        <v>0</v>
      </c>
      <c r="O39" s="51" t="n">
        <v>0</v>
      </c>
      <c r="P39" s="6" t="n">
        <f aca="false">M39-(N39+O39)</f>
        <v>30</v>
      </c>
      <c r="Q39" s="51" t="n">
        <v>0</v>
      </c>
      <c r="R39" s="51" t="n">
        <v>0</v>
      </c>
      <c r="S39" s="51" t="n">
        <f aca="false">SUM(P39:R39)</f>
        <v>30</v>
      </c>
      <c r="T39" s="52" t="n">
        <f aca="false">(I39-S39)+T38</f>
        <v>-4360.97</v>
      </c>
      <c r="U39" s="51" t="n">
        <v>0</v>
      </c>
      <c r="V39" s="51" t="n">
        <v>75</v>
      </c>
      <c r="W39" s="6" t="n">
        <f aca="false">N39+O39+S39+U39+V39</f>
        <v>105</v>
      </c>
      <c r="X39" s="51" t="n">
        <f aca="false">IF(L39&lt;0,L39*-1,0)</f>
        <v>1.50088227880011</v>
      </c>
      <c r="Y39" s="51" t="n">
        <f aca="false">W39+X39</f>
        <v>106.5008822788</v>
      </c>
      <c r="Z39" s="55" t="n">
        <v>0</v>
      </c>
      <c r="AA39" s="57" t="n">
        <v>64</v>
      </c>
      <c r="AB39" s="82" t="n">
        <v>35</v>
      </c>
      <c r="AC39" s="58" t="n">
        <v>30</v>
      </c>
      <c r="AD39" s="186" t="n">
        <v>0</v>
      </c>
      <c r="AE39" s="91"/>
      <c r="AF39" s="93"/>
    </row>
    <row r="40" customFormat="false" ht="11.1" hidden="false" customHeight="true" outlineLevel="0" collapsed="false">
      <c r="A40" s="58" t="n">
        <v>31</v>
      </c>
      <c r="B40" s="73" t="n">
        <v>6911.03</v>
      </c>
      <c r="C40" s="52" t="n">
        <v>326121</v>
      </c>
      <c r="D40" s="57" t="n">
        <f aca="false">C40-C39</f>
        <v>162</v>
      </c>
      <c r="E40" s="52" t="n">
        <f aca="false">C40-152000</f>
        <v>174121</v>
      </c>
      <c r="F40" s="51" t="n">
        <f aca="false">D40/$D$2</f>
        <v>81.6738089236199</v>
      </c>
      <c r="G40" s="51" t="n">
        <v>153</v>
      </c>
      <c r="H40" s="191" t="n">
        <v>0</v>
      </c>
      <c r="I40" s="51" t="n">
        <f aca="false">G40+H40</f>
        <v>153</v>
      </c>
      <c r="J40" s="81" t="n">
        <f aca="false">IF(L40&gt;0,L40,0)</f>
        <v>32.6738089236199</v>
      </c>
      <c r="K40" s="51" t="n">
        <f aca="false">I40+J40</f>
        <v>185.67380892362</v>
      </c>
      <c r="L40" s="51" t="n">
        <f aca="false">F40-(I40-W40)</f>
        <v>32.6738089236199</v>
      </c>
      <c r="M40" s="51" t="n">
        <v>30</v>
      </c>
      <c r="N40" s="51" t="n">
        <v>0</v>
      </c>
      <c r="O40" s="51" t="n">
        <v>0</v>
      </c>
      <c r="P40" s="6" t="n">
        <f aca="false">M40-(N40+O40)</f>
        <v>30</v>
      </c>
      <c r="Q40" s="51" t="n">
        <v>0</v>
      </c>
      <c r="R40" s="51" t="n">
        <v>0</v>
      </c>
      <c r="S40" s="51" t="n">
        <f aca="false">SUM(P40:R40)</f>
        <v>30</v>
      </c>
      <c r="T40" s="52" t="n">
        <f aca="false">(I40-S40)+T39</f>
        <v>-4237.97</v>
      </c>
      <c r="U40" s="51" t="n">
        <v>0</v>
      </c>
      <c r="V40" s="51" t="n">
        <v>74</v>
      </c>
      <c r="W40" s="6" t="n">
        <f aca="false">N40+O40+S40+U40+V40</f>
        <v>104</v>
      </c>
      <c r="X40" s="51" t="n">
        <f aca="false">IF(L40&lt;0,L40*-1,0)</f>
        <v>0</v>
      </c>
      <c r="Y40" s="51" t="n">
        <f aca="false">W40+X40</f>
        <v>104</v>
      </c>
      <c r="Z40" s="55" t="n">
        <v>0.16</v>
      </c>
      <c r="AA40" s="57" t="n">
        <v>64</v>
      </c>
      <c r="AB40" s="82" t="n">
        <v>32</v>
      </c>
      <c r="AC40" s="58" t="n">
        <v>31</v>
      </c>
      <c r="AD40" s="93" t="n">
        <v>0</v>
      </c>
      <c r="AE40" s="91"/>
      <c r="AF40" s="93"/>
    </row>
    <row r="41" customFormat="false" ht="3" hidden="false" customHeight="true" outlineLevel="0" collapsed="false">
      <c r="A41" s="74"/>
      <c r="B41" s="74"/>
      <c r="C41" s="76"/>
      <c r="D41" s="74"/>
      <c r="E41" s="76"/>
      <c r="F41" s="74"/>
      <c r="G41" s="74"/>
      <c r="H41" s="194" t="n">
        <v>0</v>
      </c>
      <c r="I41" s="74"/>
      <c r="J41" s="74"/>
      <c r="K41" s="74"/>
      <c r="L41" s="74"/>
      <c r="M41" s="74" t="n">
        <v>0</v>
      </c>
      <c r="N41" s="74"/>
      <c r="O41" s="74"/>
      <c r="P41" s="74"/>
      <c r="Q41" s="74"/>
      <c r="R41" s="74" t="n">
        <v>0</v>
      </c>
      <c r="S41" s="74"/>
      <c r="T41" s="76"/>
      <c r="U41" s="74"/>
      <c r="V41" s="74" t="n">
        <v>0</v>
      </c>
      <c r="W41" s="74"/>
      <c r="X41" s="74"/>
      <c r="Y41" s="74"/>
      <c r="Z41" s="170"/>
      <c r="AA41" s="79"/>
      <c r="AB41" s="79"/>
      <c r="AC41" s="80"/>
      <c r="AD41" s="80"/>
      <c r="AE41" s="91"/>
      <c r="AF41" s="92"/>
    </row>
    <row r="42" customFormat="false" ht="11.1" hidden="false" customHeight="true" outlineLevel="0" collapsed="false">
      <c r="A42" s="51" t="s">
        <v>44</v>
      </c>
      <c r="B42" s="51"/>
      <c r="C42" s="52"/>
      <c r="D42" s="52"/>
      <c r="E42" s="52"/>
      <c r="F42" s="52" t="n">
        <f aca="false">SUM(F10:F40)</f>
        <v>-3416.68767330476</v>
      </c>
      <c r="G42" s="52" t="n">
        <f aca="false">SUM(G10:G40)</f>
        <v>3061</v>
      </c>
      <c r="H42" s="191" t="n">
        <f aca="false">SUM(H10:H40)</f>
        <v>0</v>
      </c>
      <c r="I42" s="52" t="n">
        <f aca="false">SUM(I10:I40)</f>
        <v>3061</v>
      </c>
      <c r="J42" s="52" t="n">
        <f aca="false">SUM(J10:J40)</f>
        <v>641.446180993194</v>
      </c>
      <c r="K42" s="52" t="n">
        <f aca="false">SUM(K10:K40)</f>
        <v>3702.44618099319</v>
      </c>
      <c r="L42" s="52" t="n">
        <f aca="false">SUM(L10:L40)</f>
        <v>-318.687673304764</v>
      </c>
      <c r="M42" s="52" t="n">
        <f aca="false">SUM(M10:M40)</f>
        <v>1857</v>
      </c>
      <c r="N42" s="52" t="n">
        <f aca="false">SUM(N10:N40)</f>
        <v>0</v>
      </c>
      <c r="O42" s="52" t="n">
        <f aca="false">SUM(O10:O40)</f>
        <v>0</v>
      </c>
      <c r="P42" s="52" t="n">
        <f aca="false">SUM(P10:P40)</f>
        <v>1857</v>
      </c>
      <c r="Q42" s="52" t="n">
        <f aca="false">SUM(Q10:Q40)</f>
        <v>1291</v>
      </c>
      <c r="R42" s="52" t="n">
        <f aca="false">SUM(R10:R40)</f>
        <v>569</v>
      </c>
      <c r="S42" s="52" t="n">
        <f aca="false">SUM(S10:S40)</f>
        <v>3717</v>
      </c>
      <c r="T42" s="52"/>
      <c r="U42" s="52" t="n">
        <f aca="false">SUM(U10:U40)</f>
        <v>75</v>
      </c>
      <c r="V42" s="52" t="n">
        <f aca="false">SUM(V10:V40)</f>
        <v>2367</v>
      </c>
      <c r="W42" s="52" t="n">
        <f aca="false">SUM(W10:W40)</f>
        <v>6159</v>
      </c>
      <c r="X42" s="52" t="n">
        <f aca="false">SUM(X10:X40)</f>
        <v>960.133854297958</v>
      </c>
      <c r="Y42" s="52" t="n">
        <f aca="false">SUM(Y10:Y40)</f>
        <v>7119.13385429796</v>
      </c>
      <c r="Z42" s="55" t="n">
        <f aca="false">SUM(Z10:Z40)</f>
        <v>3.27</v>
      </c>
      <c r="AA42" s="57" t="n">
        <f aca="false">AVERAGE(AA10:AA40)</f>
        <v>67.4516129032258</v>
      </c>
      <c r="AB42" s="57" t="n">
        <f aca="false">AVERAGE(AB10:AB40)</f>
        <v>37.1290322580645</v>
      </c>
      <c r="AC42" s="58" t="s">
        <v>71</v>
      </c>
      <c r="AD42" s="93"/>
      <c r="AE42" s="91"/>
      <c r="AF42" s="92"/>
    </row>
    <row r="43" customFormat="false" ht="11.1" hidden="false" customHeight="true" outlineLevel="0" collapsed="false">
      <c r="A43" s="51" t="s">
        <v>46</v>
      </c>
      <c r="B43" s="51"/>
      <c r="C43" s="52"/>
      <c r="D43" s="52" t="n">
        <f aca="false">SUM(D10:D40)</f>
        <v>-6777</v>
      </c>
      <c r="E43" s="52"/>
      <c r="F43" s="52" t="n">
        <f aca="false">F42*$D$2</f>
        <v>-6777</v>
      </c>
      <c r="G43" s="52" t="n">
        <f aca="false">G42*$D$2</f>
        <v>6071.4935</v>
      </c>
      <c r="H43" s="191" t="n">
        <f aca="false">H42*$D$2</f>
        <v>0</v>
      </c>
      <c r="I43" s="52" t="n">
        <f aca="false">I42*$D$2</f>
        <v>6071.4935</v>
      </c>
      <c r="J43" s="52" t="n">
        <f aca="false">J42*$D$2</f>
        <v>1272.3085</v>
      </c>
      <c r="K43" s="52" t="n">
        <f aca="false">K42*$D$2</f>
        <v>7343.802</v>
      </c>
      <c r="L43" s="52" t="n">
        <f aca="false">L42*$D$2</f>
        <v>-632.117</v>
      </c>
      <c r="M43" s="52" t="n">
        <f aca="false">M42*$D$2</f>
        <v>3683.3595</v>
      </c>
      <c r="N43" s="52" t="n">
        <f aca="false">N42*$D$2</f>
        <v>0</v>
      </c>
      <c r="O43" s="52" t="n">
        <f aca="false">O42*$D$2</f>
        <v>0</v>
      </c>
      <c r="P43" s="52" t="n">
        <f aca="false">P42*$D$2</f>
        <v>3683.3595</v>
      </c>
      <c r="Q43" s="52" t="n">
        <f aca="false">Q42*$D$2</f>
        <v>2560.6985</v>
      </c>
      <c r="R43" s="52" t="n">
        <f aca="false">R42*$D$2</f>
        <v>1128.6115</v>
      </c>
      <c r="S43" s="52" t="n">
        <f aca="false">S42*$D$2</f>
        <v>7372.6695</v>
      </c>
      <c r="T43" s="52"/>
      <c r="U43" s="52" t="n">
        <f aca="false">U42*$D$2</f>
        <v>148.7625</v>
      </c>
      <c r="V43" s="52" t="n">
        <f aca="false">V42*$D$2</f>
        <v>4694.9445</v>
      </c>
      <c r="W43" s="52" t="n">
        <f aca="false">W42*$D$2</f>
        <v>12216.3765</v>
      </c>
      <c r="X43" s="52" t="n">
        <f aca="false">X42*$D$2</f>
        <v>1904.4255</v>
      </c>
      <c r="Y43" s="52" t="n">
        <f aca="false">Y42*$D$2</f>
        <v>14120.802</v>
      </c>
      <c r="Z43" s="55"/>
      <c r="AA43" s="57" t="n">
        <f aca="false">MAX(AA10:AA40)</f>
        <v>79</v>
      </c>
      <c r="AB43" s="57" t="n">
        <f aca="false">MAX(AB10:AB40)</f>
        <v>43</v>
      </c>
      <c r="AC43" s="58" t="s">
        <v>47</v>
      </c>
      <c r="AD43" s="93"/>
      <c r="AE43" s="91"/>
      <c r="AF43" s="92"/>
    </row>
    <row r="44" customFormat="false" ht="3" hidden="false" customHeight="true" outlineLevel="0" collapsed="false">
      <c r="A44" s="74"/>
      <c r="B44" s="74"/>
      <c r="C44" s="76"/>
      <c r="D44" s="76"/>
      <c r="E44" s="76"/>
      <c r="F44" s="76"/>
      <c r="G44" s="76"/>
      <c r="H44" s="194"/>
      <c r="I44" s="76"/>
      <c r="J44" s="76"/>
      <c r="K44" s="76"/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76"/>
      <c r="W44" s="76"/>
      <c r="X44" s="76"/>
      <c r="Y44" s="76"/>
      <c r="Z44" s="76"/>
      <c r="AA44" s="76"/>
      <c r="AB44" s="76"/>
      <c r="AC44" s="76"/>
      <c r="AD44" s="76"/>
      <c r="AE44" s="91"/>
      <c r="AF44" s="92"/>
    </row>
    <row r="45" customFormat="false" ht="11.1" hidden="false" customHeight="true" outlineLevel="0" collapsed="false">
      <c r="A45" s="51" t="s">
        <v>48</v>
      </c>
      <c r="B45" s="51"/>
      <c r="C45" s="52"/>
      <c r="D45" s="52"/>
      <c r="E45" s="52"/>
      <c r="F45" s="52" t="n">
        <f aca="false">F7+F42</f>
        <v>17661.2049407613</v>
      </c>
      <c r="G45" s="52" t="n">
        <f aca="false">G7+G42</f>
        <v>196149</v>
      </c>
      <c r="H45" s="191" t="n">
        <f aca="false">H7+H42</f>
        <v>12679.03</v>
      </c>
      <c r="I45" s="52" t="n">
        <f aca="false">I7+I42</f>
        <v>208828.03</v>
      </c>
      <c r="J45" s="52" t="n">
        <f aca="false">J7+J42</f>
        <v>45968.1716662465</v>
      </c>
      <c r="K45" s="52" t="n">
        <f aca="false">K7+K42</f>
        <v>254796.201666247</v>
      </c>
      <c r="L45" s="52" t="n">
        <f aca="false">L7+L42</f>
        <v>38902.1749407613</v>
      </c>
      <c r="M45" s="52" t="n">
        <f aca="false">M7+M42</f>
        <v>29594</v>
      </c>
      <c r="N45" s="52" t="n">
        <f aca="false">N7+N42</f>
        <v>0</v>
      </c>
      <c r="O45" s="52" t="n">
        <f aca="false">O7+O42</f>
        <v>0</v>
      </c>
      <c r="P45" s="52" t="n">
        <f aca="false">P7+P42</f>
        <v>29594</v>
      </c>
      <c r="Q45" s="52" t="n">
        <f aca="false">Q7+Q42</f>
        <v>24374</v>
      </c>
      <c r="R45" s="52" t="n">
        <f aca="false">R7+R42</f>
        <v>12835</v>
      </c>
      <c r="S45" s="52" t="n">
        <f aca="false">S7+S42</f>
        <v>66459</v>
      </c>
      <c r="T45" s="52" t="n">
        <f aca="false">T40</f>
        <v>-4237.97</v>
      </c>
      <c r="U45" s="52" t="n">
        <f aca="false">U7+U42</f>
        <v>1065</v>
      </c>
      <c r="V45" s="52" t="n">
        <f aca="false">V7+V42</f>
        <v>162545</v>
      </c>
      <c r="W45" s="52" t="n">
        <f aca="false">W7+W42</f>
        <v>230069</v>
      </c>
      <c r="X45" s="52" t="n">
        <f aca="false">X7+X42</f>
        <v>7143.41946307033</v>
      </c>
      <c r="Y45" s="52" t="n">
        <f aca="false">Y7+Y42</f>
        <v>237212.41946307</v>
      </c>
      <c r="Z45" s="55"/>
      <c r="AA45" s="57" t="n">
        <f aca="false">MIN(AA10:AA40)</f>
        <v>56</v>
      </c>
      <c r="AB45" s="57" t="n">
        <f aca="false">MIN(AB10:AB40)</f>
        <v>30</v>
      </c>
      <c r="AC45" s="58" t="s">
        <v>49</v>
      </c>
      <c r="AD45" s="186"/>
      <c r="AE45" s="91"/>
      <c r="AF45" s="92"/>
    </row>
    <row r="46" customFormat="false" ht="11.1" hidden="false" customHeight="true" outlineLevel="0" collapsed="false">
      <c r="A46" s="51" t="s">
        <v>50</v>
      </c>
      <c r="B46" s="51"/>
      <c r="C46" s="52"/>
      <c r="D46" s="52"/>
      <c r="E46" s="52"/>
      <c r="F46" s="52" t="n">
        <f aca="false">F45*$D$2</f>
        <v>35031</v>
      </c>
      <c r="G46" s="52" t="n">
        <f aca="false">G45*$D$2</f>
        <v>389061.5415</v>
      </c>
      <c r="H46" s="191" t="n">
        <f aca="false">H45*$D$2</f>
        <v>25148.856005</v>
      </c>
      <c r="I46" s="52" t="n">
        <f aca="false">I45*$D$2</f>
        <v>414210.397505</v>
      </c>
      <c r="J46" s="52" t="n">
        <f aca="false">J45*$D$2</f>
        <v>91177.8685</v>
      </c>
      <c r="K46" s="52" t="n">
        <f aca="false">K45*$D$2</f>
        <v>505388.266005</v>
      </c>
      <c r="L46" s="52" t="n">
        <f aca="false">L45*$D$2</f>
        <v>77162.463995</v>
      </c>
      <c r="M46" s="52" t="n">
        <f aca="false">M45*$D$2</f>
        <v>58699.699</v>
      </c>
      <c r="N46" s="52" t="n">
        <f aca="false">N45*$D$2</f>
        <v>0</v>
      </c>
      <c r="O46" s="52" t="n">
        <f aca="false">O45*$D$2</f>
        <v>0</v>
      </c>
      <c r="P46" s="52" t="n">
        <f aca="false">P45*$D$2</f>
        <v>58699.699</v>
      </c>
      <c r="Q46" s="52" t="n">
        <f aca="false">Q45*$D$2</f>
        <v>48345.829</v>
      </c>
      <c r="R46" s="52" t="n">
        <f aca="false">R45*$D$2</f>
        <v>25458.2225</v>
      </c>
      <c r="S46" s="52" t="n">
        <f aca="false">S45*$D$2</f>
        <v>131821.4265</v>
      </c>
      <c r="T46" s="52" t="n">
        <f aca="false">T45*$D$2</f>
        <v>-8406.013495</v>
      </c>
      <c r="U46" s="52" t="n">
        <f aca="false">U45*$D$2</f>
        <v>2112.4275</v>
      </c>
      <c r="V46" s="52" t="n">
        <f aca="false">V45*$D$2</f>
        <v>322408.0075</v>
      </c>
      <c r="W46" s="52" t="n">
        <f aca="false">W45*$D$2</f>
        <v>456341.8615</v>
      </c>
      <c r="X46" s="52" t="n">
        <f aca="false">X45*$D$2</f>
        <v>14168.972505</v>
      </c>
      <c r="Y46" s="52" t="n">
        <f aca="false">Y45*$D$2</f>
        <v>470510.834005</v>
      </c>
      <c r="Z46" s="55"/>
      <c r="AA46" s="57"/>
      <c r="AB46" s="57"/>
      <c r="AC46" s="58"/>
      <c r="AD46" s="44"/>
      <c r="AE46" s="91"/>
      <c r="AF46" s="92"/>
    </row>
    <row r="47" customFormat="false" ht="3" hidden="false" customHeight="true" outlineLevel="0" collapsed="false">
      <c r="A47" s="74"/>
      <c r="B47" s="74"/>
      <c r="C47" s="76"/>
      <c r="D47" s="76"/>
      <c r="E47" s="76"/>
      <c r="F47" s="76"/>
      <c r="G47" s="76"/>
      <c r="H47" s="194"/>
      <c r="I47" s="76"/>
      <c r="J47" s="76"/>
      <c r="K47" s="76"/>
      <c r="L47" s="76"/>
      <c r="M47" s="76"/>
      <c r="N47" s="76"/>
      <c r="O47" s="76"/>
      <c r="P47" s="76"/>
      <c r="Q47" s="76"/>
      <c r="R47" s="76"/>
      <c r="S47" s="76"/>
      <c r="T47" s="76"/>
      <c r="U47" s="76"/>
      <c r="V47" s="76"/>
      <c r="W47" s="76"/>
      <c r="X47" s="76"/>
      <c r="Y47" s="76"/>
      <c r="Z47" s="170"/>
      <c r="AA47" s="170"/>
      <c r="AB47" s="170"/>
      <c r="AC47" s="170"/>
      <c r="AD47" s="170"/>
      <c r="AE47" s="91"/>
      <c r="AF47" s="92"/>
    </row>
    <row r="48" customFormat="false" ht="11.1" hidden="false" customHeight="true" outlineLevel="0" collapsed="false">
      <c r="A48" s="51" t="s">
        <v>51</v>
      </c>
      <c r="B48" s="51"/>
      <c r="C48" s="52"/>
      <c r="D48" s="52"/>
      <c r="E48" s="52"/>
      <c r="F48" s="52" t="n">
        <f aca="false">F8+F42</f>
        <v>18113.4358457273</v>
      </c>
      <c r="G48" s="52" t="n">
        <f aca="false">G8+G42</f>
        <v>226599</v>
      </c>
      <c r="H48" s="191" t="n">
        <f aca="false">H8+H42</f>
        <v>16090.03</v>
      </c>
      <c r="I48" s="52" t="n">
        <f aca="false">I8+I42</f>
        <v>242147.93</v>
      </c>
      <c r="J48" s="52" t="n">
        <f aca="false">J8+J42</f>
        <v>52802.6165112175</v>
      </c>
      <c r="K48" s="52" t="n">
        <f aca="false">K8+K42</f>
        <v>294950.546511218</v>
      </c>
      <c r="L48" s="52" t="n">
        <f aca="false">L8+L42</f>
        <v>44630.5058457273</v>
      </c>
      <c r="M48" s="52" t="n">
        <f aca="false">M8+M42</f>
        <v>31160</v>
      </c>
      <c r="N48" s="52" t="n">
        <f aca="false">N8+N42</f>
        <v>0.08</v>
      </c>
      <c r="O48" s="52" t="n">
        <f aca="false">O8+O42</f>
        <v>0</v>
      </c>
      <c r="P48" s="52" t="n">
        <f aca="false">P8+P42</f>
        <v>31159.92</v>
      </c>
      <c r="Q48" s="52" t="n">
        <f aca="false">Q8+Q42</f>
        <v>26652</v>
      </c>
      <c r="R48" s="52" t="n">
        <f aca="false">R8+R42</f>
        <v>13284</v>
      </c>
      <c r="S48" s="52" t="n">
        <f aca="false">S8+S42</f>
        <v>70751.92</v>
      </c>
      <c r="T48" s="52" t="n">
        <f aca="false">T45</f>
        <v>-4237.97</v>
      </c>
      <c r="U48" s="52" t="n">
        <f aca="false">U8+U42</f>
        <v>1066</v>
      </c>
      <c r="V48" s="52" t="n">
        <f aca="false">V8+V42</f>
        <v>196847</v>
      </c>
      <c r="W48" s="52" t="n">
        <f aca="false">W8+W42</f>
        <v>268665</v>
      </c>
      <c r="X48" s="52" t="n">
        <f aca="false">X8+X42</f>
        <v>8249.53340307537</v>
      </c>
      <c r="Y48" s="52" t="n">
        <f aca="false">Y8+Y42</f>
        <v>276914.533403075</v>
      </c>
      <c r="Z48" s="81" t="n">
        <f aca="false">Z8+Z42</f>
        <v>17.83</v>
      </c>
      <c r="AA48" s="57"/>
      <c r="AB48" s="57"/>
      <c r="AC48" s="58"/>
      <c r="AD48" s="186"/>
      <c r="AE48" s="91"/>
      <c r="AF48" s="92"/>
    </row>
    <row r="49" customFormat="false" ht="11.1" hidden="false" customHeight="true" outlineLevel="0" collapsed="false">
      <c r="A49" s="51" t="s">
        <v>52</v>
      </c>
      <c r="B49" s="51"/>
      <c r="C49" s="52"/>
      <c r="D49" s="52" t="n">
        <f aca="false">D8+D43</f>
        <v>35928</v>
      </c>
      <c r="E49" s="52" t="n">
        <f aca="false">E40</f>
        <v>174121</v>
      </c>
      <c r="F49" s="52" t="n">
        <f aca="false">F48*$D$2</f>
        <v>35928</v>
      </c>
      <c r="G49" s="52" t="n">
        <f aca="false">G48*$D$2</f>
        <v>449459.1165</v>
      </c>
      <c r="H49" s="191" t="n">
        <f aca="false">H48*$D$2</f>
        <v>31914.574505</v>
      </c>
      <c r="I49" s="52" t="n">
        <f aca="false">I48*$D$2</f>
        <v>480300.419155</v>
      </c>
      <c r="J49" s="52" t="n">
        <f aca="false">J48*$D$2</f>
        <v>104733.98985</v>
      </c>
      <c r="K49" s="52" t="n">
        <f aca="false">K48*$D$2</f>
        <v>585034.409005</v>
      </c>
      <c r="L49" s="52" t="n">
        <f aca="false">L48*$D$2</f>
        <v>88524.608345</v>
      </c>
      <c r="M49" s="52" t="n">
        <f aca="false">M48*$D$2</f>
        <v>61805.86</v>
      </c>
      <c r="N49" s="52" t="n">
        <f aca="false">N48*$D$2</f>
        <v>0.15868</v>
      </c>
      <c r="O49" s="52" t="n">
        <f aca="false">O48*$D$2</f>
        <v>0</v>
      </c>
      <c r="P49" s="52" t="n">
        <f aca="false">P48*$D$2</f>
        <v>61805.70132</v>
      </c>
      <c r="Q49" s="52" t="n">
        <f aca="false">Q48*$D$2</f>
        <v>52864.242</v>
      </c>
      <c r="R49" s="52" t="n">
        <f aca="false">R48*$D$2</f>
        <v>26348.814</v>
      </c>
      <c r="S49" s="52" t="n">
        <f aca="false">S48*$D$2</f>
        <v>140336.43332</v>
      </c>
      <c r="T49" s="52" t="n">
        <f aca="false">T48*$D$2</f>
        <v>-8406.013495</v>
      </c>
      <c r="U49" s="52" t="n">
        <f aca="false">U48*$D$2</f>
        <v>2114.411</v>
      </c>
      <c r="V49" s="52" t="n">
        <f aca="false">V48*$D$2</f>
        <v>390446.0245</v>
      </c>
      <c r="W49" s="52" t="n">
        <f aca="false">W48*$D$2</f>
        <v>532897.0275</v>
      </c>
      <c r="X49" s="52" t="n">
        <f aca="false">X48*$D$2</f>
        <v>16362.949505</v>
      </c>
      <c r="Y49" s="52" t="n">
        <f aca="false">Y48*$D$2</f>
        <v>549259.977005</v>
      </c>
      <c r="Z49" s="55"/>
      <c r="AA49" s="57"/>
      <c r="AB49" s="57"/>
      <c r="AC49" s="58"/>
      <c r="AD49" s="44"/>
      <c r="AE49" s="91"/>
      <c r="AF49" s="92"/>
    </row>
    <row r="50" customFormat="false" ht="3" hidden="false" customHeight="true" outlineLevel="0" collapsed="false">
      <c r="A50" s="74"/>
      <c r="B50" s="74"/>
      <c r="C50" s="76"/>
      <c r="D50" s="74"/>
      <c r="E50" s="76"/>
      <c r="F50" s="74"/>
      <c r="G50" s="74"/>
      <c r="H50" s="19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6"/>
      <c r="U50" s="74"/>
      <c r="V50" s="74"/>
      <c r="W50" s="74"/>
      <c r="X50" s="74"/>
      <c r="Y50" s="74"/>
      <c r="Z50" s="74"/>
      <c r="AA50" s="74"/>
      <c r="AB50" s="74"/>
      <c r="AC50" s="74"/>
      <c r="AD50" s="74"/>
      <c r="AE50" s="91"/>
      <c r="AF50" s="92"/>
    </row>
  </sheetData>
  <mergeCells count="2">
    <mergeCell ref="K2:T2"/>
    <mergeCell ref="M4:P4"/>
  </mergeCells>
  <printOptions headings="true" gridLines="true" gridLinesSet="true" horizontalCentered="true" verticalCentered="false"/>
  <pageMargins left="0" right="0" top="0" bottom="0" header="0.511811023622047" footer="0.511811023622047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LibreOffice/7.3.7.2$Linux_AARCH64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1997-11-03T15:03:40Z</dcterms:created>
  <dc:creator>JOHN PORTER</dc:creator>
  <dc:description/>
  <dc:language>en-US</dc:language>
  <cp:lastModifiedBy>E A Birk</cp:lastModifiedBy>
  <cp:lastPrinted>2003-01-29T14:47:21Z</cp:lastPrinted>
  <dcterms:modified xsi:type="dcterms:W3CDTF">2003-01-29T14:50:02Z</dcterms:modified>
  <cp:revision>0</cp:revision>
  <dc:subject>MCPHEE IN/OUT FLOW</dc:subject>
  <dc:title>RIVER</dc:title>
</cp:coreProperties>
</file>