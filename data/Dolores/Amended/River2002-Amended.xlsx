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comments1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1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days" sheetId="9" state="visible" r:id="rId10"/>
    <sheet name="JUL" sheetId="10" state="visible" r:id="rId11"/>
    <sheet name="AUG" sheetId="11" state="visible" r:id="rId12"/>
    <sheet name="SEP" sheetId="12" state="visible" r:id="rId13"/>
    <sheet name="OCT" sheetId="13" state="visible" r:id="rId14"/>
  </sheets>
  <definedNames>
    <definedName function="false" hidden="false" localSheetId="5" name="_xlnm.Print_Area" vbProcedure="false">APR!$A$1:$AE$55</definedName>
    <definedName function="false" hidden="false" localSheetId="10" name="_xlnm.Print_Area" vbProcedure="false">AUG!$A$1:$AE$57</definedName>
    <definedName function="false" hidden="false" localSheetId="1" name="_xlnm.Print_Area" vbProcedure="false">DEC!$A$1:$AD$52</definedName>
    <definedName function="false" hidden="false" localSheetId="3" name="_xlnm.Print_Area" vbProcedure="false">FEB!$A$1:$AD$52</definedName>
    <definedName function="false" hidden="false" localSheetId="2" name="_xlnm.Print_Area" vbProcedure="false">JAN!$A$1:$AD$55</definedName>
    <definedName function="false" hidden="false" localSheetId="9" name="_xlnm.Print_Area" vbProcedure="false">JUL!$A$1:$AE$55</definedName>
    <definedName function="false" hidden="false" localSheetId="7" name="_xlnm.Print_Area" vbProcedure="false">JUN!$A$1:$AE$55</definedName>
    <definedName function="false" hidden="false" localSheetId="4" name="_xlnm.Print_Area" vbProcedure="false">MAR!$A$1:$AD$55</definedName>
    <definedName function="false" hidden="false" localSheetId="6" name="_xlnm.Print_Area" vbProcedure="false">MAY!$A$1:$AE$55</definedName>
    <definedName function="false" hidden="false" localSheetId="0" name="_xlnm.Print_Area" vbProcedure="false">NOV!$A$1:$AD$54</definedName>
    <definedName function="false" hidden="false" localSheetId="12" name="_xlnm.Print_Area" vbProcedure="false">OCT!$A$1:$AE$59</definedName>
    <definedName function="false" hidden="false" localSheetId="11" name="_xlnm.Print_Area" vbProcedure="false">SEP!$A$1:$AE$57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36" authorId="0">
      <text>
        <r>
          <rPr>
            <sz val="8"/>
            <rFont val="LinePrinter"/>
            <family val="0"/>
            <charset val="1"/>
          </rPr>
          <t xml:space="preserve">E A Birk:
</t>
        </r>
        <r>
          <rPr>
            <sz val="8"/>
            <color rgb="FF000000"/>
            <rFont val="Tahoma"/>
            <family val="0"/>
            <charset val="1"/>
          </rPr>
          <t xml:space="preserve">River @ Dolores Froze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rFont val="LinePrinter"/>
            <family val="0"/>
            <charset val="1"/>
          </rPr>
          <t xml:space="preserve">3,500 is the portion of the evap off a low reservoir during Apr - Oct
 + 2932 for 2002 M&amp;I use.</t>
        </r>
      </text>
    </comment>
    <comment ref="L52" authorId="0">
      <text>
        <r>
          <rPr>
            <sz val="8"/>
            <rFont val="LinePrinter"/>
            <family val="0"/>
            <charset val="1"/>
          </rPr>
          <t xml:space="preserve">This is the number of days left until Oct 31</t>
        </r>
      </text>
    </comment>
    <comment ref="T52" authorId="0">
      <text>
        <r>
          <rPr>
            <sz val="8"/>
            <rFont val="LinePrinter"/>
            <family val="0"/>
            <charset val="1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rFont val="LinePrinter"/>
            <family val="0"/>
            <charset val="1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3" authorId="0">
      <text>
        <r>
          <rPr>
            <sz val="8"/>
            <rFont val="LinePrinter"/>
            <family val="0"/>
            <charset val="1"/>
          </rPr>
          <t xml:space="preserve">This is the balance to Nov 1st.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2" authorId="0">
      <text>
        <r>
          <rPr>
            <sz val="8"/>
            <rFont val="LinePrinter"/>
            <family val="0"/>
            <charset val="1"/>
          </rPr>
          <t xml:space="preserve">E A Birk:
</t>
        </r>
        <r>
          <rPr>
            <sz val="8"/>
            <color rgb="FF000000"/>
            <rFont val="Tahoma"/>
            <family val="0"/>
            <charset val="1"/>
          </rPr>
          <t xml:space="preserve">MVI STARTED WATER FROM GROUNDHOG</t>
        </r>
      </text>
    </comment>
    <comment ref="L51" authorId="0">
      <text>
        <r>
          <rPr>
            <sz val="8"/>
            <rFont val="LinePrinter"/>
            <family val="0"/>
            <charset val="1"/>
          </rPr>
          <t xml:space="preserve">3,500 is the portion of the evap off a low reservoir during Apr - Oct
 + 2932 for 2002 M&amp;I use.</t>
        </r>
      </text>
    </comment>
    <comment ref="L53" authorId="0">
      <text>
        <r>
          <rPr>
            <sz val="8"/>
            <rFont val="LinePrinter"/>
            <family val="0"/>
            <charset val="1"/>
          </rPr>
          <t xml:space="preserve">This is the number of days left until Oct 31</t>
        </r>
      </text>
    </comment>
    <comment ref="T53" authorId="0">
      <text>
        <r>
          <rPr>
            <sz val="8"/>
            <rFont val="LinePrinter"/>
            <family val="0"/>
            <charset val="1"/>
          </rPr>
          <t xml:space="preserve">This adds back to MVIC the accumulated daily Ctz &amp; MWC diversion.</t>
        </r>
      </text>
    </comment>
    <comment ref="U53" authorId="0">
      <text>
        <r>
          <rPr>
            <sz val="8"/>
            <rFont val="LinePrinter"/>
            <family val="0"/>
            <charset val="1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2" authorId="0">
      <text>
        <r>
          <rPr>
            <sz val="8"/>
            <rFont val="LinePrinter"/>
            <family val="0"/>
            <charset val="1"/>
          </rPr>
          <t xml:space="preserve">This is the number of acre feet released per day</t>
        </r>
      </text>
    </comment>
    <comment ref="W54" authorId="0">
      <text>
        <r>
          <rPr>
            <sz val="8"/>
            <rFont val="LinePrinter"/>
            <family val="0"/>
            <charset val="1"/>
          </rPr>
          <t xml:space="preserve">The total fishery pool left till Mar 31 is at Cell W46.  This cell divides that balance into what is left till Nov 1st 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1" authorId="0">
      <text>
        <r>
          <rPr>
            <sz val="8"/>
            <rFont val="LinePrinter"/>
            <family val="0"/>
            <charset val="1"/>
          </rPr>
          <t xml:space="preserve">3,500 is the portion of the evap off a low reservoir during Apr - Oct
 + 2932 for 2002 M&amp;I use.</t>
        </r>
      </text>
    </comment>
    <comment ref="L53" authorId="0">
      <text>
        <r>
          <rPr>
            <sz val="8"/>
            <rFont val="LinePrinter"/>
            <family val="0"/>
            <charset val="1"/>
          </rPr>
          <t xml:space="preserve">This is the number of days left until Oct 31</t>
        </r>
      </text>
    </comment>
    <comment ref="T53" authorId="0">
      <text>
        <r>
          <rPr>
            <sz val="8"/>
            <rFont val="LinePrinter"/>
            <family val="0"/>
            <charset val="1"/>
          </rPr>
          <t xml:space="preserve">This adds back to MVIC the accumulated daily Ctz &amp; MWC diversion.</t>
        </r>
      </text>
    </comment>
    <comment ref="U53" authorId="0">
      <text>
        <r>
          <rPr>
            <sz val="8"/>
            <rFont val="LinePrinter"/>
            <family val="0"/>
            <charset val="1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2" authorId="0">
      <text>
        <r>
          <rPr>
            <sz val="8"/>
            <rFont val="LinePrinter"/>
            <family val="0"/>
            <charset val="1"/>
          </rPr>
          <t xml:space="preserve">This is the number of acre feet released per day</t>
        </r>
      </text>
    </comment>
    <comment ref="W54" authorId="0">
      <text>
        <r>
          <rPr>
            <sz val="8"/>
            <rFont val="LinePrinter"/>
            <family val="0"/>
            <charset val="1"/>
          </rPr>
          <t xml:space="preserve">The total fishery pool left till Mar 31 is at Cell W46.  This cell divides that balance into what is left till Nov 1st 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rFont val="LinePrinter"/>
            <family val="0"/>
            <charset val="1"/>
          </rPr>
          <t xml:space="preserve">7,308 is the portion of the evap off a low reservoir during Apr - Oct
 + 2932 for 2002 M&amp;I use.</t>
        </r>
      </text>
    </comment>
    <comment ref="L52" authorId="0">
      <text>
        <r>
          <rPr>
            <sz val="8"/>
            <rFont val="LinePrinter"/>
            <family val="0"/>
            <charset val="1"/>
          </rPr>
          <t xml:space="preserve">This is the number of days left until Oct 31</t>
        </r>
      </text>
    </comment>
    <comment ref="T52" authorId="0">
      <text>
        <r>
          <rPr>
            <sz val="8"/>
            <rFont val="LinePrinter"/>
            <family val="0"/>
            <charset val="1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rFont val="LinePrinter"/>
            <family val="0"/>
            <charset val="1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1" authorId="0">
      <text>
        <r>
          <rPr>
            <sz val="8"/>
            <rFont val="LinePrinter"/>
            <family val="0"/>
            <charset val="1"/>
          </rPr>
          <t xml:space="preserve">This is the number of acre feet released per day</t>
        </r>
      </text>
    </comment>
    <comment ref="W53" authorId="0">
      <text>
        <r>
          <rPr>
            <sz val="8"/>
            <rFont val="LinePrinter"/>
            <family val="0"/>
            <charset val="1"/>
          </rPr>
          <t xml:space="preserve">The total fishery pool left till Mar 31.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52" authorId="0">
      <text>
        <r>
          <rPr>
            <sz val="8"/>
            <rFont val="LinePrinter"/>
            <family val="0"/>
            <charset val="1"/>
          </rPr>
          <t xml:space="preserve">E A Birk:
</t>
        </r>
        <r>
          <rPr>
            <sz val="8"/>
            <color rgb="FF000000"/>
            <rFont val="Tahoma"/>
            <family val="0"/>
            <charset val="1"/>
          </rPr>
          <t xml:space="preserve">On 10/16/02 stoped adding T54 &amp; U 54 to this column</t>
        </r>
      </text>
    </comment>
    <comment ref="L51" authorId="0">
      <text>
        <r>
          <rPr>
            <sz val="8"/>
            <rFont val="LinePrinter"/>
            <family val="0"/>
            <charset val="1"/>
          </rPr>
          <t xml:space="preserve">7,308 is the portion of the evap off a low reservoir during Apr - Oct
 + 2932 for 2002 M&amp;I use.</t>
        </r>
      </text>
    </comment>
    <comment ref="L53" authorId="0">
      <text>
        <r>
          <rPr>
            <sz val="8"/>
            <rFont val="LinePrinter"/>
            <family val="0"/>
            <charset val="1"/>
          </rPr>
          <t xml:space="preserve">This is the number of days left until Oct 31</t>
        </r>
      </text>
    </comment>
    <comment ref="T53" authorId="0">
      <text>
        <r>
          <rPr>
            <sz val="8"/>
            <rFont val="LinePrinter"/>
            <family val="0"/>
            <charset val="1"/>
          </rPr>
          <t xml:space="preserve">This adds back to MVIC the accumulated daily Ctz &amp; MWC diversion.</t>
        </r>
      </text>
    </comment>
    <comment ref="T54" authorId="0">
      <text>
        <r>
          <rPr>
            <sz val="8"/>
            <rFont val="LinePrinter"/>
            <family val="0"/>
            <charset val="1"/>
          </rPr>
          <t xml:space="preserve">E A Birk:
</t>
        </r>
        <r>
          <rPr>
            <sz val="8"/>
            <color rgb="FF000000"/>
            <rFont val="Tahoma"/>
            <family val="0"/>
            <charset val="1"/>
          </rPr>
          <t xml:space="preserve">On 10/1602 took off water that MVI lost due to the Oct. 15 date for their project water for filling reservoirs.</t>
        </r>
      </text>
    </comment>
    <comment ref="U53" authorId="0">
      <text>
        <r>
          <rPr>
            <sz val="8"/>
            <rFont val="LinePrinter"/>
            <family val="0"/>
            <charset val="1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  <comment ref="W52" authorId="0">
      <text>
        <r>
          <rPr>
            <sz val="8"/>
            <rFont val="LinePrinter"/>
            <family val="0"/>
            <charset val="1"/>
          </rPr>
          <t xml:space="preserve">This is the number of acre feet released per day</t>
        </r>
      </text>
    </comment>
    <comment ref="W54" authorId="0">
      <text>
        <r>
          <rPr>
            <sz val="8"/>
            <rFont val="LinePrinter"/>
            <family val="0"/>
            <charset val="1"/>
          </rPr>
          <t xml:space="preserve">The total fishery pool left till Mar 31.</t>
        </r>
      </text>
    </comment>
  </commentList>
</comments>
</file>

<file path=xl/sharedStrings.xml><?xml version="1.0" encoding="utf-8"?>
<sst xmlns="http://schemas.openxmlformats.org/spreadsheetml/2006/main" count="924" uniqueCount="111">
  <si>
    <t xml:space="preserve">MC  PHEE  RESERVOIR  IN/OUT  FLOW  TABULATION</t>
  </si>
  <si>
    <t xml:space="preserve">AF/cfs  CONVERT FACTOR</t>
  </si>
  <si>
    <t xml:space="preserve">           NOVEMBER  "2001"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</si>
  <si>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</si>
  <si>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</si>
  <si>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</si>
  <si>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</si>
  <si>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</si>
  <si>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</si>
  <si>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</si>
  <si>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</si>
  <si>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</si>
  <si>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</si>
  <si>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</si>
  <si>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</si>
  <si>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</si>
  <si>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</si>
  <si>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</si>
  <si>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</si>
  <si>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</si>
  <si>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</si>
  <si>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</si>
  <si>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</si>
  <si>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</si>
  <si>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</si>
  <si>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</si>
  <si>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</si>
  <si>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</si>
  <si>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</si>
  <si>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</si>
  <si>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</si>
  <si>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</si>
  <si>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</si>
  <si>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</si>
  <si>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</si>
  <si>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</si>
  <si>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</si>
  <si>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</si>
  <si>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</si>
  <si>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</si>
  <si>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</si>
  <si>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</si>
  <si>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</si>
  <si>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</si>
  <si>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</si>
  <si>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</si>
  <si>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</si>
  <si>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</si>
  <si>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</si>
  <si>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</si>
  <si>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</si>
  <si>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</si>
  <si>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</si>
  <si>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</si>
  <si>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</si>
  <si>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"2001"</t>
  </si>
  <si>
    <t xml:space="preserve">"DEC"</t>
  </si>
  <si>
    <t xml:space="preserve">JANUARY  "2002"</t>
  </si>
  <si>
    <t xml:space="preserve">"JAN"</t>
  </si>
  <si>
    <t xml:space="preserve">AVE</t>
  </si>
  <si>
    <t xml:space="preserve">FEBRUARY  "2002"</t>
  </si>
  <si>
    <t xml:space="preserve">FEB</t>
  </si>
  <si>
    <t xml:space="preserve">MARCH  "2002"</t>
  </si>
  <si>
    <t xml:space="preserve">MAR</t>
  </si>
  <si>
    <t xml:space="preserve">APRIL  "2002"</t>
  </si>
  <si>
    <t xml:space="preserve">MVI CALL</t>
  </si>
  <si>
    <t xml:space="preserve">"APR"</t>
  </si>
  <si>
    <t xml:space="preserve">MVI/CTZ/MWC</t>
  </si>
  <si>
    <t xml:space="preserve">Apr - Jun</t>
  </si>
  <si>
    <t xml:space="preserve">hi</t>
  </si>
  <si>
    <t xml:space="preserve">lo</t>
  </si>
  <si>
    <t xml:space="preserve">MAY  "2002"</t>
  </si>
  <si>
    <t xml:space="preserve">"MAY"</t>
  </si>
  <si>
    <t xml:space="preserve">AVG</t>
  </si>
  <si>
    <t xml:space="preserve">Slack (to cover evap &amp; M&amp;I)</t>
  </si>
  <si>
    <t xml:space="preserve">Should be </t>
  </si>
  <si>
    <t xml:space="preserve">Remaining  / based on 44,000 runoff</t>
  </si>
  <si>
    <t xml:space="preserve">Diff</t>
  </si>
  <si>
    <t xml:space="preserve">Daily M&amp;I &amp; Evap</t>
  </si>
  <si>
    <t xml:space="preserve">JUNE  "2002"</t>
  </si>
  <si>
    <t xml:space="preserve">MVIC</t>
  </si>
  <si>
    <t xml:space="preserve">"JUN"</t>
  </si>
  <si>
    <t xml:space="preserve">Daily Call</t>
  </si>
  <si>
    <t xml:space="preserve">Active Storage</t>
  </si>
  <si>
    <t xml:space="preserve">Apr 1 thru Oct 31 evap &amp; M&amp;I</t>
  </si>
  <si>
    <t xml:space="preserve">Users Balance</t>
  </si>
  <si>
    <t xml:space="preserve">AF / day</t>
  </si>
  <si>
    <t xml:space="preserve">Days since 4/1</t>
  </si>
  <si>
    <t xml:space="preserve">Day left to Oct 31</t>
  </si>
  <si>
    <t xml:space="preserve">M&amp;I thru MVIC sys / day</t>
  </si>
  <si>
    <t xml:space="preserve">Slack</t>
  </si>
  <si>
    <t xml:space="preserve">Days remaining</t>
  </si>
  <si>
    <t xml:space="preserve">Days since</t>
  </si>
  <si>
    <t xml:space="preserve">JULY  "2002"</t>
  </si>
  <si>
    <t xml:space="preserve">"JUL"</t>
  </si>
  <si>
    <t xml:space="preserve"> </t>
  </si>
  <si>
    <t xml:space="preserve"># days to Mar 31</t>
  </si>
  <si>
    <t xml:space="preserve">AUGUST  "2002"</t>
  </si>
  <si>
    <t xml:space="preserve">"AUG"</t>
  </si>
  <si>
    <t xml:space="preserve">DAILY</t>
  </si>
  <si>
    <t xml:space="preserve">SEPTEMBER  "2002"</t>
  </si>
  <si>
    <t xml:space="preserve">"SEP"</t>
  </si>
  <si>
    <t xml:space="preserve">APR/OCT</t>
  </si>
  <si>
    <t xml:space="preserve">Ute Avail</t>
  </si>
  <si>
    <t xml:space="preserve">Ute Left</t>
  </si>
  <si>
    <t xml:space="preserve">OCTOBER  "2002"</t>
  </si>
  <si>
    <t xml:space="preserve">"OCT"</t>
  </si>
  <si>
    <t xml:space="preserve">Less city of Cortez</t>
  </si>
  <si>
    <t xml:space="preserve">Less Towaoc </t>
  </si>
  <si>
    <t xml:space="preserve">Less Mont. Water</t>
  </si>
  <si>
    <t xml:space="preserve">MVI Total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</si>
</sst>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[$-409]mmm\-yy"/>
    <numFmt numFmtId="179" formatCode="General"/>
    <numFmt numFmtId="180" formatCode="m/d/yy"/>
    <numFmt numFmtId="181" formatCode="mm/dd/yy"/>
    <numFmt numFmtId="182" formatCode="#,##0.00000"/>
    <numFmt numFmtId="183" formatCode="#,##0.0000"/>
    <numFmt numFmtId="184" formatCode="0.00_);[RED]\(0.00\)"/>
  </numFmts>
  <fonts count="20">
    <font>
      <sz val="8"/>
      <name val="LinePrinter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  <charset val="1"/>
    </font>
    <font>
      <b val="true"/>
      <i val="true"/>
      <sz val="12"/>
      <name val="Arial Narrow"/>
      <family val="0"/>
      <charset val="1"/>
    </font>
    <font>
      <sz val="6"/>
      <name val="Arial Narrow"/>
      <family val="0"/>
      <charset val="1"/>
    </font>
    <font>
      <b val="true"/>
      <sz val="6"/>
      <name val="Arial Narrow"/>
      <family val="0"/>
      <charset val="1"/>
    </font>
    <font>
      <sz val="6"/>
      <name val="Arial Narrow"/>
      <family val="2"/>
      <charset val="1"/>
    </font>
    <font>
      <b val="true"/>
      <sz val="9"/>
      <name val="Arial Narrow"/>
      <family val="0"/>
      <charset val="1"/>
    </font>
    <font>
      <sz val="8"/>
      <color rgb="FF000000"/>
      <name val="Tahoma"/>
      <family val="0"/>
      <charset val="1"/>
    </font>
    <font>
      <sz val="6"/>
      <name val="Arial"/>
      <family val="0"/>
      <charset val="1"/>
    </font>
    <font>
      <sz val="8"/>
      <name val="Arial"/>
      <family val="0"/>
      <charset val="1"/>
    </font>
    <font>
      <sz val="8"/>
      <name val="LinePrinter"/>
      <family val="0"/>
    </font>
    <font>
      <sz val="8"/>
      <name val="Times New Roman"/>
      <family val="0"/>
    </font>
    <font>
      <b val="true"/>
      <sz val="12"/>
      <name val="Arial Narrow"/>
      <family val="0"/>
      <charset val="1"/>
    </font>
    <font>
      <sz val="4"/>
      <name val="LinePrinter"/>
      <family val="0"/>
    </font>
    <font>
      <sz val="8"/>
      <name val="Arial Narrow"/>
      <family val="2"/>
      <charset val="1"/>
    </font>
    <font>
      <sz val="6"/>
      <name val="LinePrinter"/>
      <family val="0"/>
      <charset val="1"/>
    </font>
    <font>
      <b val="true"/>
      <sz val="8"/>
      <name val="Arial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A6CAF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CC9CCC"/>
        <bgColor rgb="FFFF99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n">
        <color rgb="FFEEEEEC"/>
      </left>
      <right/>
      <top style="thin">
        <color rgb="FFEEEEEC"/>
      </top>
      <bottom/>
      <diagonal/>
    </border>
    <border diagonalUp="false" diagonalDown="false">
      <left/>
      <right style="thin">
        <color rgb="FFEEEEEC"/>
      </right>
      <top style="thin">
        <color rgb="FFEEEEEC"/>
      </top>
      <bottom/>
      <diagonal/>
    </border>
    <border diagonalUp="false" diagonalDown="false">
      <left style="thin">
        <color rgb="FFEEEEEC"/>
      </left>
      <right/>
      <top/>
      <bottom/>
      <diagonal/>
    </border>
    <border diagonalUp="false" diagonalDown="false">
      <left/>
      <right style="thin">
        <color rgb="FFEEEEEC"/>
      </right>
      <top/>
      <bottom/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n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/>
      <bottom style="thin">
        <color rgb="FFEEEEEC"/>
      </bottom>
      <diagonal/>
    </border>
    <border diagonalUp="false" diagonalDown="false">
      <left/>
      <right/>
      <top style="thin">
        <color rgb="FFEEEEEC"/>
      </top>
      <bottom style="double">
        <color rgb="FFEEEEEC"/>
      </bottom>
      <diagonal/>
    </border>
    <border diagonalUp="false" diagonalDown="false">
      <left/>
      <right/>
      <top style="medium">
        <color rgb="FFEEEEE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6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21600</xdr:colOff>
      <xdr:row>29</xdr:row>
      <xdr:rowOff>28080</xdr:rowOff>
    </xdr:to>
    <xdr:sp>
      <xdr:nvSpPr>
        <xdr:cNvPr id="0" name="Text 1"/>
        <xdr:cNvSpPr/>
      </xdr:nvSpPr>
      <xdr:spPr>
        <a:xfrm>
          <a:off x="2804760" y="3920400"/>
          <a:ext cx="497160" cy="169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>
            <a:lnSpc>
              <a:spcPct val="100000"/>
            </a:lnSpc>
          </a:pPr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129240</xdr:colOff>
      <xdr:row>9</xdr:row>
      <xdr:rowOff>57240</xdr:rowOff>
    </xdr:from>
    <xdr:to>
      <xdr:col>23</xdr:col>
      <xdr:colOff>216000</xdr:colOff>
      <xdr:row>11</xdr:row>
      <xdr:rowOff>19080</xdr:rowOff>
    </xdr:to>
    <xdr:sp>
      <xdr:nvSpPr>
        <xdr:cNvPr id="1" name="Text 2"/>
        <xdr:cNvSpPr/>
      </xdr:nvSpPr>
      <xdr:spPr>
        <a:xfrm>
          <a:off x="9990000" y="1299240"/>
          <a:ext cx="528840" cy="243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>
            <a:lnSpc>
              <a:spcPct val="100000"/>
            </a:lnSpc>
          </a:pPr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34</xdr:row>
      <xdr:rowOff>0</xdr:rowOff>
    </xdr:from>
    <xdr:to>
      <xdr:col>14</xdr:col>
      <xdr:colOff>420480</xdr:colOff>
      <xdr:row>34</xdr:row>
      <xdr:rowOff>140400</xdr:rowOff>
    </xdr:to>
    <xdr:sp>
      <xdr:nvSpPr>
        <xdr:cNvPr id="2" name="Rectangle 1"/>
        <xdr:cNvSpPr/>
      </xdr:nvSpPr>
      <xdr:spPr>
        <a:xfrm>
          <a:off x="6473880" y="4766400"/>
          <a:ext cx="420480" cy="14040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blurRad="0" dir="2700000" dist="17309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420480</xdr:colOff>
      <xdr:row>34</xdr:row>
      <xdr:rowOff>140400</xdr:rowOff>
    </xdr:to>
    <xdr:sp>
      <xdr:nvSpPr>
        <xdr:cNvPr id="3" name="Rectangle 3"/>
        <xdr:cNvSpPr/>
      </xdr:nvSpPr>
      <xdr:spPr>
        <a:xfrm>
          <a:off x="6473880" y="4766400"/>
          <a:ext cx="420480" cy="14040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blurRad="0" dir="2700000" dist="17309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420480</xdr:colOff>
      <xdr:row>34</xdr:row>
      <xdr:rowOff>140400</xdr:rowOff>
    </xdr:to>
    <xdr:sp>
      <xdr:nvSpPr>
        <xdr:cNvPr id="4" name="Rectangle 4"/>
        <xdr:cNvSpPr/>
      </xdr:nvSpPr>
      <xdr:spPr>
        <a:xfrm>
          <a:off x="6473880" y="4766400"/>
          <a:ext cx="420480" cy="14040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blurRad="0" dir="2700000" dist="17309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420480</xdr:colOff>
      <xdr:row>34</xdr:row>
      <xdr:rowOff>140400</xdr:rowOff>
    </xdr:to>
    <xdr:sp>
      <xdr:nvSpPr>
        <xdr:cNvPr id="5" name="Rectangle 6"/>
        <xdr:cNvSpPr/>
      </xdr:nvSpPr>
      <xdr:spPr>
        <a:xfrm>
          <a:off x="6473880" y="4766400"/>
          <a:ext cx="420480" cy="14040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420480</xdr:colOff>
      <xdr:row>34</xdr:row>
      <xdr:rowOff>140400</xdr:rowOff>
    </xdr:to>
    <xdr:sp>
      <xdr:nvSpPr>
        <xdr:cNvPr id="6" name="Rectangle 8"/>
        <xdr:cNvSpPr/>
      </xdr:nvSpPr>
      <xdr:spPr>
        <a:xfrm>
          <a:off x="6473880" y="4766400"/>
          <a:ext cx="420480" cy="14040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124200</xdr:rowOff>
    </xdr:from>
    <xdr:to>
      <xdr:col>14</xdr:col>
      <xdr:colOff>10800</xdr:colOff>
      <xdr:row>34</xdr:row>
      <xdr:rowOff>140400</xdr:rowOff>
    </xdr:to>
    <xdr:sp>
      <xdr:nvSpPr>
        <xdr:cNvPr id="7" name="Rectangle 10"/>
        <xdr:cNvSpPr/>
      </xdr:nvSpPr>
      <xdr:spPr>
        <a:xfrm>
          <a:off x="6473880" y="4890600"/>
          <a:ext cx="10800" cy="1620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blurRad="0" dir="2700000" dist="17309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420480</xdr:colOff>
      <xdr:row>34</xdr:row>
      <xdr:rowOff>140400</xdr:rowOff>
    </xdr:to>
    <xdr:sp>
      <xdr:nvSpPr>
        <xdr:cNvPr id="8" name="Rectangle 11"/>
        <xdr:cNvSpPr/>
      </xdr:nvSpPr>
      <xdr:spPr>
        <a:xfrm>
          <a:off x="6473880" y="4766400"/>
          <a:ext cx="420480" cy="140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420480</xdr:colOff>
      <xdr:row>28</xdr:row>
      <xdr:rowOff>140760</xdr:rowOff>
    </xdr:to>
    <xdr:sp>
      <xdr:nvSpPr>
        <xdr:cNvPr id="9" name="Rectangle 12"/>
        <xdr:cNvSpPr/>
      </xdr:nvSpPr>
      <xdr:spPr>
        <a:xfrm>
          <a:off x="6473880" y="3920400"/>
          <a:ext cx="42048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420480</xdr:colOff>
      <xdr:row>28</xdr:row>
      <xdr:rowOff>140760</xdr:rowOff>
    </xdr:to>
    <xdr:sp>
      <xdr:nvSpPr>
        <xdr:cNvPr id="10" name="Rectangle 13"/>
        <xdr:cNvSpPr/>
      </xdr:nvSpPr>
      <xdr:spPr>
        <a:xfrm>
          <a:off x="6473880" y="3920400"/>
          <a:ext cx="42048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blurRad="0" dir="2700000" dist="17309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G3" activeCellId="0" sqref="G3"/>
    </sheetView>
  </sheetViews>
  <sheetFormatPr defaultColWidth="9.296875" defaultRowHeight="11.1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2" width="8.16"/>
    <col collapsed="false" customWidth="true" hidden="false" outlineLevel="0" max="27" min="27" style="2" width="4.67"/>
    <col collapsed="false" customWidth="true" hidden="false" outlineLevel="0" max="28" min="28" style="4" width="4.67"/>
    <col collapsed="false" customWidth="true" hidden="false" outlineLevel="0" max="29" min="29" style="5" width="4.67"/>
    <col collapsed="false" customWidth="true" hidden="false" outlineLevel="0" max="30" min="30" style="0" width="5.67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6"/>
      <c r="Z2" s="10"/>
      <c r="AA2" s="11"/>
      <c r="AB2" s="12"/>
      <c r="AC2" s="13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10"/>
      <c r="AA3" s="11"/>
      <c r="AB3" s="12"/>
      <c r="AC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</row>
    <row r="5" customFormat="false" ht="11.1" hidden="false" customHeight="true" outlineLevel="0" collapsed="false">
      <c r="A5" s="22" t="s">
        <v>23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23" t="s">
        <v>35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23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9"/>
      <c r="X6" s="26"/>
      <c r="Y6" s="26"/>
      <c r="Z6" s="26"/>
      <c r="AA6" s="11"/>
      <c r="AB6" s="13"/>
      <c r="AC6" s="13"/>
      <c r="AD6" s="13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30"/>
      <c r="X7" s="7"/>
      <c r="Y7" s="7"/>
      <c r="Z7" s="7"/>
      <c r="AA7" s="11"/>
      <c r="AB7" s="12"/>
      <c r="AC7" s="12"/>
      <c r="AD7" s="13"/>
    </row>
    <row r="8" s="1" customFormat="true" ht="11.1" hidden="false" customHeight="true" outlineLevel="0" collapsed="false">
      <c r="A8" s="7" t="s">
        <v>45</v>
      </c>
      <c r="B8" s="31" t="n">
        <v>6876.53</v>
      </c>
      <c r="C8" s="7" t="n">
        <v>205946</v>
      </c>
      <c r="D8" s="7"/>
      <c r="E8" s="7"/>
      <c r="F8" s="7"/>
      <c r="G8" s="7"/>
      <c r="H8" s="12"/>
      <c r="I8" s="7"/>
      <c r="J8" s="7"/>
      <c r="K8" s="7"/>
      <c r="L8" s="7"/>
      <c r="M8" s="7"/>
      <c r="N8" s="7"/>
      <c r="O8" s="7" t="n">
        <v>402.2</v>
      </c>
      <c r="P8" s="7"/>
      <c r="Q8" s="7"/>
      <c r="R8" s="7"/>
      <c r="S8" s="7"/>
      <c r="T8" s="7"/>
      <c r="U8" s="7"/>
      <c r="V8" s="7"/>
      <c r="W8" s="7" t="n">
        <v>4802</v>
      </c>
      <c r="X8" s="7"/>
      <c r="Y8" s="7"/>
      <c r="Z8" s="7"/>
      <c r="AA8" s="11"/>
      <c r="AB8" s="12"/>
      <c r="AC8" s="12"/>
      <c r="AD8" s="13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</row>
    <row r="10" customFormat="false" ht="11.1" hidden="false" customHeight="true" outlineLevel="0" collapsed="false">
      <c r="A10" s="13" t="n">
        <v>1</v>
      </c>
      <c r="B10" s="31" t="n">
        <v>6876.52</v>
      </c>
      <c r="C10" s="7" t="n">
        <v>205917</v>
      </c>
      <c r="D10" s="12" t="n">
        <f aca="false">C10-C8</f>
        <v>-29</v>
      </c>
      <c r="E10" s="7" t="n">
        <f aca="false">C10-152000</f>
        <v>53917</v>
      </c>
      <c r="F10" s="6" t="n">
        <f aca="false">D10/$D$2</f>
        <v>-14.6206201159566</v>
      </c>
      <c r="G10" s="6" t="n">
        <v>54</v>
      </c>
      <c r="H10" s="8" t="n">
        <v>0</v>
      </c>
      <c r="I10" s="6" t="n">
        <f aca="false">G10+H10</f>
        <v>54</v>
      </c>
      <c r="J10" s="39" t="n">
        <f aca="false">IF(L10&gt;0,L10,0)</f>
        <v>17.3793798840434</v>
      </c>
      <c r="K10" s="6" t="n">
        <f aca="false">I10+J10</f>
        <v>71.3793798840434</v>
      </c>
      <c r="L10" s="6" t="n">
        <f aca="false">F10-(I10-X10)</f>
        <v>17.3793798840434</v>
      </c>
      <c r="M10" s="6" t="n">
        <v>35</v>
      </c>
      <c r="N10" s="6" t="n">
        <v>5</v>
      </c>
      <c r="O10" s="6" t="n">
        <f aca="false">13.06*1.05</f>
        <v>13.713</v>
      </c>
      <c r="P10" s="6" t="n">
        <f aca="false">M10-(N10+O10)</f>
        <v>16.287</v>
      </c>
      <c r="Q10" s="6" t="n">
        <v>0</v>
      </c>
      <c r="R10" s="6" t="n">
        <v>14</v>
      </c>
      <c r="S10" s="6" t="n">
        <f aca="false">SUM(P10:R10)</f>
        <v>30.287</v>
      </c>
      <c r="T10" s="7"/>
      <c r="U10" s="6" t="n">
        <v>0</v>
      </c>
      <c r="V10" s="6" t="n">
        <v>37</v>
      </c>
      <c r="W10" s="7" t="n">
        <f aca="false">W8-V10</f>
        <v>4765</v>
      </c>
      <c r="X10" s="6" t="n">
        <f aca="false">N10+O10+S10+U10+V10</f>
        <v>86</v>
      </c>
      <c r="Y10" s="6" t="n">
        <f aca="false">IF(L10&lt;0,L10*-1,0)</f>
        <v>0</v>
      </c>
      <c r="Z10" s="6" t="n">
        <f aca="false">X10+Y10</f>
        <v>86</v>
      </c>
      <c r="AA10" s="11" t="n">
        <v>0</v>
      </c>
      <c r="AB10" s="12" t="n">
        <v>59</v>
      </c>
      <c r="AC10" s="12" t="n">
        <v>33</v>
      </c>
      <c r="AD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40" t="n">
        <v>6876.48</v>
      </c>
      <c r="C11" s="7" t="n">
        <v>205802</v>
      </c>
      <c r="D11" s="12" t="n">
        <f aca="false">C11-C10</f>
        <v>-115</v>
      </c>
      <c r="E11" s="7" t="n">
        <f aca="false">C11-152000</f>
        <v>53802</v>
      </c>
      <c r="F11" s="6" t="n">
        <f aca="false">D11/$D$2</f>
        <v>-57.9783211494832</v>
      </c>
      <c r="G11" s="6" t="n">
        <v>49</v>
      </c>
      <c r="H11" s="8" t="n">
        <v>0</v>
      </c>
      <c r="I11" s="6" t="n">
        <f aca="false">G11+H11</f>
        <v>49</v>
      </c>
      <c r="J11" s="39" t="n">
        <f aca="false">IF(L11&gt;0,L11,0)</f>
        <v>0</v>
      </c>
      <c r="K11" s="6" t="n">
        <f aca="false">I11+J11</f>
        <v>49</v>
      </c>
      <c r="L11" s="6" t="n">
        <f aca="false">F11-(I11-X11)</f>
        <v>-31.9783211494832</v>
      </c>
      <c r="M11" s="6" t="n">
        <v>26</v>
      </c>
      <c r="N11" s="6" t="n">
        <v>0</v>
      </c>
      <c r="O11" s="6" t="n">
        <f aca="false">8.43*1.05</f>
        <v>8.8515</v>
      </c>
      <c r="P11" s="6" t="n">
        <f aca="false">M11-(N11+O11)</f>
        <v>17.1485</v>
      </c>
      <c r="Q11" s="6" t="n">
        <v>0</v>
      </c>
      <c r="R11" s="6" t="n">
        <v>14</v>
      </c>
      <c r="S11" s="6" t="n">
        <f aca="false">SUM(P11:R11)</f>
        <v>31.1485</v>
      </c>
      <c r="T11" s="7"/>
      <c r="U11" s="6" t="n">
        <v>0</v>
      </c>
      <c r="V11" s="6" t="n">
        <v>35</v>
      </c>
      <c r="W11" s="7" t="n">
        <f aca="false">W10-V11</f>
        <v>4730</v>
      </c>
      <c r="X11" s="6" t="n">
        <f aca="false">N11+O11+S11+U11+V11</f>
        <v>75</v>
      </c>
      <c r="Y11" s="6" t="n">
        <f aca="false">IF(L11&lt;0,L11*-1,0)</f>
        <v>31.9783211494832</v>
      </c>
      <c r="Z11" s="6" t="n">
        <f aca="false">X11+Y11</f>
        <v>106.978321149483</v>
      </c>
      <c r="AA11" s="11" t="n">
        <v>0</v>
      </c>
      <c r="AB11" s="12" t="n">
        <v>64</v>
      </c>
      <c r="AC11" s="12" t="n">
        <v>33</v>
      </c>
      <c r="AD11" s="13" t="n">
        <f aca="false">AD10+1</f>
        <v>2</v>
      </c>
    </row>
    <row r="12" customFormat="false" ht="11.1" hidden="false" customHeight="true" outlineLevel="0" collapsed="false">
      <c r="A12" s="13" t="n">
        <f aca="false">A11+1</f>
        <v>3</v>
      </c>
      <c r="B12" s="31" t="n">
        <v>6876.47</v>
      </c>
      <c r="C12" s="7" t="n">
        <v>205773</v>
      </c>
      <c r="D12" s="12" t="n">
        <f aca="false">C12-C11</f>
        <v>-29</v>
      </c>
      <c r="E12" s="7" t="n">
        <f aca="false">C12-152000</f>
        <v>53773</v>
      </c>
      <c r="F12" s="6" t="n">
        <f aca="false">D12/$D$2</f>
        <v>-14.6206201159566</v>
      </c>
      <c r="G12" s="6" t="n">
        <v>45</v>
      </c>
      <c r="H12" s="8" t="n">
        <v>0</v>
      </c>
      <c r="I12" s="6" t="n">
        <f aca="false">G12+H12</f>
        <v>45</v>
      </c>
      <c r="J12" s="39" t="n">
        <f aca="false">IF(L12&gt;0,L12,0)</f>
        <v>12.3793798840434</v>
      </c>
      <c r="K12" s="6" t="n">
        <f aca="false">I12+J12</f>
        <v>57.3793798840434</v>
      </c>
      <c r="L12" s="6" t="n">
        <f aca="false">F12-(I12-X12)</f>
        <v>12.3793798840434</v>
      </c>
      <c r="M12" s="6" t="n">
        <v>25</v>
      </c>
      <c r="N12" s="6" t="n">
        <v>0</v>
      </c>
      <c r="O12" s="6" t="n">
        <v>0</v>
      </c>
      <c r="P12" s="6" t="n">
        <f aca="false">M12-(N12+O12)</f>
        <v>25</v>
      </c>
      <c r="Q12" s="6" t="n">
        <v>0</v>
      </c>
      <c r="R12" s="6" t="n">
        <v>14</v>
      </c>
      <c r="S12" s="6" t="n">
        <f aca="false">SUM(P12:R12)</f>
        <v>39</v>
      </c>
      <c r="T12" s="7"/>
      <c r="U12" s="6" t="n">
        <v>0</v>
      </c>
      <c r="V12" s="6" t="n">
        <v>33</v>
      </c>
      <c r="W12" s="7" t="n">
        <f aca="false">W11-V12</f>
        <v>4697</v>
      </c>
      <c r="X12" s="6" t="n">
        <f aca="false">N12+O12+S12+U12+V12</f>
        <v>72</v>
      </c>
      <c r="Y12" s="6" t="n">
        <f aca="false">IF(L12&lt;0,L12*-1,0)</f>
        <v>0</v>
      </c>
      <c r="Z12" s="6" t="n">
        <f aca="false">X12+Y12</f>
        <v>72</v>
      </c>
      <c r="AA12" s="11" t="n">
        <v>0</v>
      </c>
      <c r="AB12" s="12" t="n">
        <v>67</v>
      </c>
      <c r="AC12" s="12" t="n">
        <v>35</v>
      </c>
      <c r="AD12" s="13" t="n">
        <f aca="false">AD11+1</f>
        <v>3</v>
      </c>
    </row>
    <row r="13" customFormat="false" ht="11.1" hidden="false" customHeight="true" outlineLevel="0" collapsed="false">
      <c r="A13" s="13" t="n">
        <f aca="false">A12+1</f>
        <v>4</v>
      </c>
      <c r="B13" s="31" t="n">
        <v>6876.46</v>
      </c>
      <c r="C13" s="7" t="n">
        <v>205744</v>
      </c>
      <c r="D13" s="12" t="n">
        <f aca="false">C13-C12</f>
        <v>-29</v>
      </c>
      <c r="E13" s="7" t="n">
        <f aca="false">C13-152000</f>
        <v>53744</v>
      </c>
      <c r="F13" s="6" t="n">
        <f aca="false">D13/$D$2</f>
        <v>-14.6206201159566</v>
      </c>
      <c r="G13" s="6" t="n">
        <v>43</v>
      </c>
      <c r="H13" s="8" t="n">
        <v>0</v>
      </c>
      <c r="I13" s="6" t="n">
        <f aca="false">G13+H13</f>
        <v>43</v>
      </c>
      <c r="J13" s="39" t="n">
        <f aca="false">IF(L13&gt;0,L13,0)</f>
        <v>14.3793798840434</v>
      </c>
      <c r="K13" s="6" t="n">
        <f aca="false">I13+J13</f>
        <v>57.3793798840434</v>
      </c>
      <c r="L13" s="6" t="n">
        <f aca="false">F13-(I13-X13)</f>
        <v>14.3793798840434</v>
      </c>
      <c r="M13" s="6" t="n">
        <v>25</v>
      </c>
      <c r="N13" s="6" t="n">
        <v>0</v>
      </c>
      <c r="O13" s="6" t="n">
        <v>0</v>
      </c>
      <c r="P13" s="6" t="n">
        <f aca="false">M13-(N13+O13)</f>
        <v>25</v>
      </c>
      <c r="Q13" s="6" t="n">
        <v>0</v>
      </c>
      <c r="R13" s="6" t="n">
        <v>14</v>
      </c>
      <c r="S13" s="6" t="n">
        <f aca="false">SUM(P13:R13)</f>
        <v>39</v>
      </c>
      <c r="T13" s="7"/>
      <c r="U13" s="6" t="n">
        <v>0</v>
      </c>
      <c r="V13" s="6" t="n">
        <v>33</v>
      </c>
      <c r="W13" s="7" t="n">
        <f aca="false">W12-V13</f>
        <v>4664</v>
      </c>
      <c r="X13" s="6" t="n">
        <f aca="false">N13+O13+S13+U13+V13</f>
        <v>72</v>
      </c>
      <c r="Y13" s="6" t="n">
        <f aca="false">IF(L13&lt;0,L13*-1,0)</f>
        <v>0</v>
      </c>
      <c r="Z13" s="6" t="n">
        <f aca="false">X13+Y13</f>
        <v>72</v>
      </c>
      <c r="AA13" s="11" t="n">
        <v>0</v>
      </c>
      <c r="AB13" s="12" t="n">
        <v>67</v>
      </c>
      <c r="AC13" s="12" t="n">
        <v>39</v>
      </c>
      <c r="AD13" s="13" t="n">
        <f aca="false">AD12+1</f>
        <v>4</v>
      </c>
    </row>
    <row r="14" customFormat="false" ht="11.1" hidden="false" customHeight="true" outlineLevel="0" collapsed="false">
      <c r="A14" s="13" t="n">
        <f aca="false">A13+1</f>
        <v>5</v>
      </c>
      <c r="B14" s="31" t="n">
        <v>6876.45</v>
      </c>
      <c r="C14" s="7" t="n">
        <v>205715</v>
      </c>
      <c r="D14" s="12" t="n">
        <f aca="false">C14-C13</f>
        <v>-29</v>
      </c>
      <c r="E14" s="7" t="n">
        <f aca="false">C14-152000</f>
        <v>53715</v>
      </c>
      <c r="F14" s="6" t="n">
        <f aca="false">D14/$D$2</f>
        <v>-14.6206201159566</v>
      </c>
      <c r="G14" s="6" t="n">
        <v>42</v>
      </c>
      <c r="H14" s="8" t="n">
        <v>0</v>
      </c>
      <c r="I14" s="6" t="n">
        <f aca="false">G14+H14</f>
        <v>42</v>
      </c>
      <c r="J14" s="39" t="n">
        <f aca="false">IF(L14&gt;0,L14,0)</f>
        <v>15.3793798840434</v>
      </c>
      <c r="K14" s="6" t="n">
        <f aca="false">I14+J14</f>
        <v>57.3793798840434</v>
      </c>
      <c r="L14" s="6" t="n">
        <f aca="false">F14-(I14-X14)</f>
        <v>15.3793798840434</v>
      </c>
      <c r="M14" s="6" t="n">
        <v>28</v>
      </c>
      <c r="N14" s="6" t="n">
        <v>0</v>
      </c>
      <c r="O14" s="6" t="n">
        <f aca="false">7.03*1.05</f>
        <v>7.3815</v>
      </c>
      <c r="P14" s="6" t="n">
        <f aca="false">M14-(N14+O14)</f>
        <v>20.6185</v>
      </c>
      <c r="Q14" s="6" t="n">
        <v>0</v>
      </c>
      <c r="R14" s="6" t="n">
        <v>11</v>
      </c>
      <c r="S14" s="6" t="n">
        <f aca="false">SUM(P14:R14)</f>
        <v>31.6185</v>
      </c>
      <c r="T14" s="7"/>
      <c r="U14" s="6" t="n">
        <v>0</v>
      </c>
      <c r="V14" s="6" t="n">
        <v>33</v>
      </c>
      <c r="W14" s="7" t="n">
        <f aca="false">W13-V14</f>
        <v>4631</v>
      </c>
      <c r="X14" s="6" t="n">
        <f aca="false">N14+O14+S14+U14+V14</f>
        <v>72</v>
      </c>
      <c r="Y14" s="6" t="n">
        <f aca="false">IF(L14&lt;0,L14*-1,0)</f>
        <v>0</v>
      </c>
      <c r="Z14" s="6" t="n">
        <f aca="false">X14+Y14</f>
        <v>72</v>
      </c>
      <c r="AA14" s="11" t="n">
        <v>0.02</v>
      </c>
      <c r="AB14" s="12" t="n">
        <v>64</v>
      </c>
      <c r="AC14" s="12" t="n">
        <v>39</v>
      </c>
      <c r="AD14" s="13" t="n">
        <f aca="false">AD13+1</f>
        <v>5</v>
      </c>
    </row>
    <row r="15" customFormat="false" ht="11.1" hidden="false" customHeight="true" outlineLevel="0" collapsed="false">
      <c r="A15" s="13" t="n">
        <f aca="false">A14+1</f>
        <v>6</v>
      </c>
      <c r="B15" s="31" t="n">
        <v>6876.44</v>
      </c>
      <c r="C15" s="7" t="n">
        <v>205686</v>
      </c>
      <c r="D15" s="12" t="n">
        <f aca="false">C15-C14</f>
        <v>-29</v>
      </c>
      <c r="E15" s="7" t="n">
        <f aca="false">C15-152000</f>
        <v>53686</v>
      </c>
      <c r="F15" s="6" t="n">
        <f aca="false">D15/$D$2</f>
        <v>-14.6206201159566</v>
      </c>
      <c r="G15" s="6" t="n">
        <v>43</v>
      </c>
      <c r="H15" s="8" t="n">
        <v>0</v>
      </c>
      <c r="I15" s="6" t="n">
        <f aca="false">G15+H15</f>
        <v>43</v>
      </c>
      <c r="J15" s="39" t="n">
        <f aca="false">IF(L15&gt;0,L15,0)</f>
        <v>1.07937988404336</v>
      </c>
      <c r="K15" s="6" t="n">
        <f aca="false">I15+J15</f>
        <v>44.0793798840434</v>
      </c>
      <c r="L15" s="6" t="n">
        <f aca="false">F15-(I15-X15)</f>
        <v>1.07937988404336</v>
      </c>
      <c r="M15" s="6" t="n">
        <v>17</v>
      </c>
      <c r="N15" s="6" t="n">
        <v>0</v>
      </c>
      <c r="O15" s="6" t="n">
        <f aca="false">3.42*1.05</f>
        <v>3.591</v>
      </c>
      <c r="P15" s="6" t="n">
        <f aca="false">M15-(N15+O15)</f>
        <v>13.409</v>
      </c>
      <c r="Q15" s="6" t="n">
        <v>0</v>
      </c>
      <c r="R15" s="6" t="n">
        <v>8.7</v>
      </c>
      <c r="S15" s="6" t="n">
        <f aca="false">SUM(P15:R15)</f>
        <v>22.109</v>
      </c>
      <c r="T15" s="7"/>
      <c r="U15" s="6" t="n">
        <v>0</v>
      </c>
      <c r="V15" s="6" t="n">
        <v>33</v>
      </c>
      <c r="W15" s="7" t="n">
        <f aca="false">W14-V15</f>
        <v>4598</v>
      </c>
      <c r="X15" s="6" t="n">
        <f aca="false">N15+O15+S15+U15+V15</f>
        <v>58.7</v>
      </c>
      <c r="Y15" s="6" t="n">
        <f aca="false">IF(L15&lt;0,L15*-1,0)</f>
        <v>0</v>
      </c>
      <c r="Z15" s="6" t="n">
        <f aca="false">X15+Y15</f>
        <v>58.7</v>
      </c>
      <c r="AA15" s="11" t="n">
        <v>0.01</v>
      </c>
      <c r="AB15" s="12" t="n">
        <v>64</v>
      </c>
      <c r="AC15" s="12" t="n">
        <v>38</v>
      </c>
      <c r="AD15" s="13" t="n">
        <f aca="false">AD14+1</f>
        <v>6</v>
      </c>
    </row>
    <row r="16" customFormat="false" ht="11.1" hidden="false" customHeight="true" outlineLevel="0" collapsed="false">
      <c r="A16" s="13" t="n">
        <f aca="false">A15+1</f>
        <v>7</v>
      </c>
      <c r="B16" s="31" t="n">
        <v>6876.43</v>
      </c>
      <c r="C16" s="7" t="n">
        <v>205657</v>
      </c>
      <c r="D16" s="12" t="n">
        <f aca="false">C16-C15</f>
        <v>-29</v>
      </c>
      <c r="E16" s="7" t="n">
        <f aca="false">C16-152000</f>
        <v>53657</v>
      </c>
      <c r="F16" s="6" t="n">
        <f aca="false">D16/$D$2</f>
        <v>-14.6206201159566</v>
      </c>
      <c r="G16" s="6" t="n">
        <v>45</v>
      </c>
      <c r="H16" s="8" t="n">
        <v>0</v>
      </c>
      <c r="I16" s="6" t="n">
        <f aca="false">G16+H16</f>
        <v>45</v>
      </c>
      <c r="J16" s="39" t="n">
        <f aca="false">IF(L16&gt;0,L16,0)</f>
        <v>0</v>
      </c>
      <c r="K16" s="6" t="n">
        <f aca="false">I16+J16</f>
        <v>45</v>
      </c>
      <c r="L16" s="6" t="n">
        <f aca="false">F16-(I16-X16)</f>
        <v>-2.32062011595664</v>
      </c>
      <c r="M16" s="6" t="n">
        <v>17</v>
      </c>
      <c r="N16" s="6" t="n">
        <v>0</v>
      </c>
      <c r="O16" s="6" t="n">
        <f aca="false">3.81*1.05</f>
        <v>4.0005</v>
      </c>
      <c r="P16" s="6" t="n">
        <f aca="false">M16-(N16+O16)</f>
        <v>12.9995</v>
      </c>
      <c r="Q16" s="6" t="n">
        <v>0</v>
      </c>
      <c r="R16" s="6" t="n">
        <v>7.3</v>
      </c>
      <c r="S16" s="6" t="n">
        <f aca="false">SUM(P16:R16)</f>
        <v>20.2995</v>
      </c>
      <c r="T16" s="7"/>
      <c r="U16" s="6" t="n">
        <v>0</v>
      </c>
      <c r="V16" s="6" t="n">
        <v>33</v>
      </c>
      <c r="W16" s="7" t="n">
        <f aca="false">W15-V16</f>
        <v>4565</v>
      </c>
      <c r="X16" s="6" t="n">
        <f aca="false">N16+O16+S16+U16+V16</f>
        <v>57.3</v>
      </c>
      <c r="Y16" s="6" t="n">
        <f aca="false">IF(L16&lt;0,L16*-1,0)</f>
        <v>2.32062011595664</v>
      </c>
      <c r="Z16" s="6" t="n">
        <f aca="false">X16+Y16</f>
        <v>59.6206201159566</v>
      </c>
      <c r="AA16" s="11" t="n">
        <v>0</v>
      </c>
      <c r="AB16" s="12" t="n">
        <v>61</v>
      </c>
      <c r="AC16" s="12" t="n">
        <v>37</v>
      </c>
      <c r="AD16" s="13" t="n">
        <f aca="false">AD15+1</f>
        <v>7</v>
      </c>
    </row>
    <row r="17" customFormat="false" ht="11.1" hidden="false" customHeight="true" outlineLevel="0" collapsed="false">
      <c r="A17" s="13" t="n">
        <f aca="false">A16+1</f>
        <v>8</v>
      </c>
      <c r="B17" s="31" t="n">
        <v>6876.42</v>
      </c>
      <c r="C17" s="7" t="n">
        <v>205628</v>
      </c>
      <c r="D17" s="12" t="n">
        <f aca="false">C17-C16</f>
        <v>-29</v>
      </c>
      <c r="E17" s="7" t="n">
        <f aca="false">C17-152000</f>
        <v>53628</v>
      </c>
      <c r="F17" s="6" t="n">
        <f aca="false">D17/$D$2</f>
        <v>-14.6206201159566</v>
      </c>
      <c r="G17" s="6" t="n">
        <v>44</v>
      </c>
      <c r="H17" s="8" t="n">
        <v>0</v>
      </c>
      <c r="I17" s="6" t="n">
        <f aca="false">G17+H17</f>
        <v>44</v>
      </c>
      <c r="J17" s="39" t="n">
        <f aca="false">IF(L17&gt;0,L17,0)</f>
        <v>0</v>
      </c>
      <c r="K17" s="6" t="n">
        <f aca="false">I17+J17</f>
        <v>44</v>
      </c>
      <c r="L17" s="6" t="n">
        <f aca="false">F17-(I17-X17)</f>
        <v>-1.82062011595665</v>
      </c>
      <c r="M17" s="6" t="n">
        <v>17</v>
      </c>
      <c r="N17" s="6" t="n">
        <v>0</v>
      </c>
      <c r="O17" s="6" t="n">
        <f aca="false">5.97*1.05</f>
        <v>6.2685</v>
      </c>
      <c r="P17" s="6" t="n">
        <f aca="false">M17-(N17+O17)</f>
        <v>10.7315</v>
      </c>
      <c r="Q17" s="6" t="n">
        <v>0</v>
      </c>
      <c r="R17" s="6" t="n">
        <v>6.8</v>
      </c>
      <c r="S17" s="6" t="n">
        <f aca="false">SUM(P17:R17)</f>
        <v>17.5315</v>
      </c>
      <c r="T17" s="7"/>
      <c r="U17" s="6" t="n">
        <v>0</v>
      </c>
      <c r="V17" s="6" t="n">
        <v>33</v>
      </c>
      <c r="W17" s="7" t="n">
        <f aca="false">W16-V17</f>
        <v>4532</v>
      </c>
      <c r="X17" s="6" t="n">
        <f aca="false">N17+O17+S17+U17+V17</f>
        <v>56.8</v>
      </c>
      <c r="Y17" s="6" t="n">
        <f aca="false">IF(L17&lt;0,L17*-1,0)</f>
        <v>1.82062011595665</v>
      </c>
      <c r="Z17" s="6" t="n">
        <f aca="false">X17+Y17</f>
        <v>58.6206201159566</v>
      </c>
      <c r="AA17" s="11" t="n">
        <v>0.03</v>
      </c>
      <c r="AB17" s="12" t="n">
        <v>60</v>
      </c>
      <c r="AC17" s="12" t="n">
        <v>34</v>
      </c>
      <c r="AD17" s="13" t="n">
        <f aca="false">AD16+1</f>
        <v>8</v>
      </c>
    </row>
    <row r="18" customFormat="false" ht="11.1" hidden="false" customHeight="true" outlineLevel="0" collapsed="false">
      <c r="A18" s="13" t="n">
        <f aca="false">A17+1</f>
        <v>9</v>
      </c>
      <c r="B18" s="31" t="n">
        <v>6876.41</v>
      </c>
      <c r="C18" s="7" t="n">
        <v>205599</v>
      </c>
      <c r="D18" s="12" t="n">
        <f aca="false">C18-C17</f>
        <v>-29</v>
      </c>
      <c r="E18" s="7" t="n">
        <f aca="false">C18-152000</f>
        <v>53599</v>
      </c>
      <c r="F18" s="6" t="n">
        <f aca="false">D18/$D$2</f>
        <v>-14.6206201159566</v>
      </c>
      <c r="G18" s="6" t="n">
        <v>47</v>
      </c>
      <c r="H18" s="8" t="n">
        <v>0</v>
      </c>
      <c r="I18" s="6" t="n">
        <f aca="false">G18+H18</f>
        <v>47</v>
      </c>
      <c r="J18" s="39" t="n">
        <f aca="false">IF(L18&gt;0,L18,0)</f>
        <v>0</v>
      </c>
      <c r="K18" s="6" t="n">
        <f aca="false">I18+J18</f>
        <v>47</v>
      </c>
      <c r="L18" s="6" t="n">
        <f aca="false">F18-(I18-X18)</f>
        <v>-4.82062011595665</v>
      </c>
      <c r="M18" s="6" t="n">
        <v>16</v>
      </c>
      <c r="N18" s="6" t="n">
        <v>0</v>
      </c>
      <c r="O18" s="6" t="n">
        <f aca="false">8.09*1.05</f>
        <v>8.4945</v>
      </c>
      <c r="P18" s="6" t="n">
        <f aca="false">M18-(N18+O18)</f>
        <v>7.5055</v>
      </c>
      <c r="Q18" s="6" t="n">
        <v>0</v>
      </c>
      <c r="R18" s="6" t="n">
        <v>6.8</v>
      </c>
      <c r="S18" s="6" t="n">
        <f aca="false">SUM(P18:R18)</f>
        <v>14.3055</v>
      </c>
      <c r="T18" s="7"/>
      <c r="U18" s="6" t="n">
        <v>0</v>
      </c>
      <c r="V18" s="6" t="n">
        <v>34</v>
      </c>
      <c r="W18" s="7" t="n">
        <f aca="false">W17-V18</f>
        <v>4498</v>
      </c>
      <c r="X18" s="6" t="n">
        <f aca="false">N18+O18+S18+U18+V18</f>
        <v>56.8</v>
      </c>
      <c r="Y18" s="6" t="n">
        <f aca="false">IF(L18&lt;0,L18*-1,0)</f>
        <v>4.82062011595665</v>
      </c>
      <c r="Z18" s="6" t="n">
        <f aca="false">X18+Y18</f>
        <v>61.6206201159566</v>
      </c>
      <c r="AA18" s="11" t="n">
        <v>0</v>
      </c>
      <c r="AB18" s="41" t="n">
        <v>58</v>
      </c>
      <c r="AC18" s="12" t="n">
        <v>31</v>
      </c>
      <c r="AD18" s="13" t="n">
        <f aca="false">AD17+1</f>
        <v>9</v>
      </c>
    </row>
    <row r="19" customFormat="false" ht="11.1" hidden="false" customHeight="true" outlineLevel="0" collapsed="false">
      <c r="A19" s="13" t="n">
        <f aca="false">A18+1</f>
        <v>10</v>
      </c>
      <c r="B19" s="31" t="n">
        <v>6876.4</v>
      </c>
      <c r="C19" s="7" t="n">
        <v>205571</v>
      </c>
      <c r="D19" s="12" t="n">
        <f aca="false">C19-C18</f>
        <v>-28</v>
      </c>
      <c r="E19" s="7" t="n">
        <f aca="false">C19-152000</f>
        <v>53571</v>
      </c>
      <c r="F19" s="6" t="n">
        <f aca="false">D19/$D$2</f>
        <v>-14.1164608016133</v>
      </c>
      <c r="G19" s="6" t="n">
        <v>42</v>
      </c>
      <c r="H19" s="8" t="n">
        <v>0</v>
      </c>
      <c r="I19" s="6" t="n">
        <f aca="false">G19+H19</f>
        <v>42</v>
      </c>
      <c r="J19" s="39" t="n">
        <f aca="false">IF(L19&gt;0,L19,0)</f>
        <v>0.683539198386688</v>
      </c>
      <c r="K19" s="6" t="n">
        <f aca="false">I19+J19</f>
        <v>42.6835391983867</v>
      </c>
      <c r="L19" s="6" t="n">
        <f aca="false">F19-(I19-X19)</f>
        <v>0.683539198386688</v>
      </c>
      <c r="M19" s="6" t="n">
        <v>16</v>
      </c>
      <c r="N19" s="6" t="n">
        <v>0</v>
      </c>
      <c r="O19" s="6" t="n">
        <f aca="false">3.11*1.05</f>
        <v>3.2655</v>
      </c>
      <c r="P19" s="6" t="n">
        <f aca="false">M19-(N19+O19)</f>
        <v>12.7345</v>
      </c>
      <c r="Q19" s="6" t="n">
        <v>0</v>
      </c>
      <c r="R19" s="6" t="n">
        <v>6.8</v>
      </c>
      <c r="S19" s="6" t="n">
        <f aca="false">SUM(P19:R19)</f>
        <v>19.5345</v>
      </c>
      <c r="T19" s="7"/>
      <c r="U19" s="6" t="n">
        <v>0</v>
      </c>
      <c r="V19" s="6" t="n">
        <v>34</v>
      </c>
      <c r="W19" s="7" t="n">
        <f aca="false">W18-V19</f>
        <v>4464</v>
      </c>
      <c r="X19" s="6" t="n">
        <f aca="false">N19+O19+S19+U19+V19</f>
        <v>56.8</v>
      </c>
      <c r="Y19" s="6" t="n">
        <f aca="false">IF(L19&lt;0,L19*-1,0)</f>
        <v>0</v>
      </c>
      <c r="Z19" s="6" t="n">
        <f aca="false">X19+Y19</f>
        <v>56.8</v>
      </c>
      <c r="AA19" s="11" t="n">
        <v>0</v>
      </c>
      <c r="AB19" s="12" t="n">
        <v>60</v>
      </c>
      <c r="AC19" s="12" t="n">
        <v>33</v>
      </c>
      <c r="AD19" s="13" t="n">
        <f aca="false">AD18+1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31" t="n">
        <v>6876.38</v>
      </c>
      <c r="C20" s="7" t="n">
        <v>205513</v>
      </c>
      <c r="D20" s="12" t="n">
        <f aca="false">C20-C19</f>
        <v>-58</v>
      </c>
      <c r="E20" s="7" t="n">
        <f aca="false">C20-152000</f>
        <v>53513</v>
      </c>
      <c r="F20" s="6" t="n">
        <f aca="false">D20/$D$2</f>
        <v>-29.2412402319133</v>
      </c>
      <c r="G20" s="6" t="n">
        <v>40</v>
      </c>
      <c r="H20" s="8" t="n">
        <v>0</v>
      </c>
      <c r="I20" s="6" t="n">
        <f aca="false">G20+H20</f>
        <v>40</v>
      </c>
      <c r="J20" s="39" t="n">
        <f aca="false">IF(L20&gt;0,L20,0)</f>
        <v>0</v>
      </c>
      <c r="K20" s="6" t="n">
        <f aca="false">I20+J20</f>
        <v>40</v>
      </c>
      <c r="L20" s="6" t="n">
        <f aca="false">F20-(I20-X20)</f>
        <v>-13.4412402319133</v>
      </c>
      <c r="M20" s="6" t="n">
        <v>16</v>
      </c>
      <c r="N20" s="6" t="n">
        <v>0</v>
      </c>
      <c r="O20" s="6" t="n">
        <v>0</v>
      </c>
      <c r="P20" s="6" t="n">
        <f aca="false">M20-(N20+O20)</f>
        <v>16</v>
      </c>
      <c r="Q20" s="6" t="n">
        <v>0</v>
      </c>
      <c r="R20" s="6" t="n">
        <v>6.8</v>
      </c>
      <c r="S20" s="6" t="n">
        <f aca="false">SUM(P20:R20)</f>
        <v>22.8</v>
      </c>
      <c r="T20" s="7"/>
      <c r="U20" s="6" t="n">
        <v>0</v>
      </c>
      <c r="V20" s="6" t="n">
        <v>33</v>
      </c>
      <c r="W20" s="7" t="n">
        <f aca="false">W19-V20</f>
        <v>4431</v>
      </c>
      <c r="X20" s="6" t="n">
        <f aca="false">N20+O20+S20+U20+V20</f>
        <v>55.8</v>
      </c>
      <c r="Y20" s="6" t="n">
        <f aca="false">IF(L20&lt;0,L20*-1,0)</f>
        <v>13.4412402319133</v>
      </c>
      <c r="Z20" s="6" t="n">
        <f aca="false">X20+Y20</f>
        <v>69.2412402319133</v>
      </c>
      <c r="AA20" s="11" t="n">
        <v>0</v>
      </c>
      <c r="AB20" s="12" t="n">
        <v>63</v>
      </c>
      <c r="AC20" s="12" t="n">
        <v>37</v>
      </c>
      <c r="AD20" s="13" t="n">
        <f aca="false">AD19+1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31" t="n">
        <v>6876.36</v>
      </c>
      <c r="C21" s="7" t="n">
        <v>205455</v>
      </c>
      <c r="D21" s="12" t="n">
        <f aca="false">C21-C20</f>
        <v>-58</v>
      </c>
      <c r="E21" s="7" t="n">
        <f aca="false">C21-152000</f>
        <v>53455</v>
      </c>
      <c r="F21" s="6" t="n">
        <f aca="false">D21/$D$2</f>
        <v>-29.2412402319133</v>
      </c>
      <c r="G21" s="6" t="n">
        <v>41</v>
      </c>
      <c r="H21" s="8" t="n">
        <v>0</v>
      </c>
      <c r="I21" s="6" t="n">
        <f aca="false">G21+H21</f>
        <v>41</v>
      </c>
      <c r="J21" s="39" t="n">
        <f aca="false">IF(L21&gt;0,L21,0)</f>
        <v>0</v>
      </c>
      <c r="K21" s="6" t="n">
        <f aca="false">I21+J21</f>
        <v>41</v>
      </c>
      <c r="L21" s="6" t="n">
        <f aca="false">F21-(I21-X21)</f>
        <v>-15.5412402319133</v>
      </c>
      <c r="M21" s="6" t="n">
        <v>15</v>
      </c>
      <c r="N21" s="6" t="n">
        <v>0</v>
      </c>
      <c r="O21" s="6" t="n">
        <v>0</v>
      </c>
      <c r="P21" s="6" t="n">
        <f aca="false">M21-(N21+O21)</f>
        <v>15</v>
      </c>
      <c r="Q21" s="6" t="n">
        <v>0</v>
      </c>
      <c r="R21" s="6" t="n">
        <v>5.7</v>
      </c>
      <c r="S21" s="6" t="n">
        <f aca="false">SUM(P21:R21)</f>
        <v>20.7</v>
      </c>
      <c r="T21" s="7"/>
      <c r="U21" s="6" t="n">
        <v>0</v>
      </c>
      <c r="V21" s="6" t="n">
        <v>34</v>
      </c>
      <c r="W21" s="7" t="n">
        <f aca="false">W20-V21</f>
        <v>4397</v>
      </c>
      <c r="X21" s="6" t="n">
        <f aca="false">N21+O21+S21+U21+V21</f>
        <v>54.7</v>
      </c>
      <c r="Y21" s="6" t="n">
        <f aca="false">IF(L21&lt;0,L21*-1,0)</f>
        <v>15.5412402319133</v>
      </c>
      <c r="Z21" s="6" t="n">
        <f aca="false">X21+Y21</f>
        <v>70.2412402319133</v>
      </c>
      <c r="AA21" s="11" t="n">
        <v>0</v>
      </c>
      <c r="AB21" s="12" t="n">
        <v>62</v>
      </c>
      <c r="AC21" s="12" t="n">
        <v>32</v>
      </c>
      <c r="AD21" s="13" t="n">
        <f aca="false">AD20+1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31" t="n">
        <v>6876.34</v>
      </c>
      <c r="C22" s="7" t="n">
        <v>205397</v>
      </c>
      <c r="D22" s="12" t="n">
        <f aca="false">C22-C21</f>
        <v>-58</v>
      </c>
      <c r="E22" s="7" t="n">
        <f aca="false">C22-152000</f>
        <v>53397</v>
      </c>
      <c r="F22" s="6" t="n">
        <f aca="false">D22/$D$2</f>
        <v>-29.2412402319133</v>
      </c>
      <c r="G22" s="6" t="n">
        <v>40</v>
      </c>
      <c r="H22" s="8" t="n">
        <v>0</v>
      </c>
      <c r="I22" s="6" t="n">
        <f aca="false">G22+H22</f>
        <v>40</v>
      </c>
      <c r="J22" s="39" t="n">
        <f aca="false">IF(L22&gt;0,L22,0)</f>
        <v>0</v>
      </c>
      <c r="K22" s="6" t="n">
        <f aca="false">I22+J22</f>
        <v>40</v>
      </c>
      <c r="L22" s="6" t="n">
        <f aca="false">F22-(I22-X22)</f>
        <v>-15.3412402319133</v>
      </c>
      <c r="M22" s="6" t="n">
        <v>15</v>
      </c>
      <c r="N22" s="6" t="n">
        <v>0</v>
      </c>
      <c r="O22" s="6" t="n">
        <v>0</v>
      </c>
      <c r="P22" s="6" t="n">
        <f aca="false">M22-(N22+O22)</f>
        <v>15</v>
      </c>
      <c r="Q22" s="6" t="n">
        <v>0</v>
      </c>
      <c r="R22" s="6" t="n">
        <v>4.9</v>
      </c>
      <c r="S22" s="6" t="n">
        <f aca="false">SUM(P22:R22)</f>
        <v>19.9</v>
      </c>
      <c r="T22" s="7"/>
      <c r="U22" s="6" t="n">
        <v>0</v>
      </c>
      <c r="V22" s="6" t="n">
        <v>34</v>
      </c>
      <c r="W22" s="7" t="n">
        <f aca="false">W21-V22</f>
        <v>4363</v>
      </c>
      <c r="X22" s="6" t="n">
        <f aca="false">N22+O22+S22+U22+V22</f>
        <v>53.9</v>
      </c>
      <c r="Y22" s="6" t="n">
        <f aca="false">IF(L22&lt;0,L22*-1,0)</f>
        <v>15.3412402319133</v>
      </c>
      <c r="Z22" s="6" t="n">
        <f aca="false">X22+Y22</f>
        <v>69.2412402319133</v>
      </c>
      <c r="AA22" s="11" t="n">
        <v>0</v>
      </c>
      <c r="AB22" s="12" t="n">
        <v>56</v>
      </c>
      <c r="AC22" s="12" t="n">
        <v>36</v>
      </c>
      <c r="AD22" s="13" t="n">
        <f aca="false">AD21+1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31" t="n">
        <v>6876.33</v>
      </c>
      <c r="C23" s="7" t="n">
        <v>205368</v>
      </c>
      <c r="D23" s="12" t="n">
        <f aca="false">C23-C22</f>
        <v>-29</v>
      </c>
      <c r="E23" s="7" t="n">
        <f aca="false">C23-152000</f>
        <v>53368</v>
      </c>
      <c r="F23" s="6" t="n">
        <f aca="false">D23/$D$2</f>
        <v>-14.6206201159566</v>
      </c>
      <c r="G23" s="6" t="n">
        <v>40</v>
      </c>
      <c r="H23" s="8" t="n">
        <v>0</v>
      </c>
      <c r="I23" s="6" t="n">
        <f aca="false">G23+H23</f>
        <v>40</v>
      </c>
      <c r="J23" s="39" t="n">
        <f aca="false">IF(L23&gt;0,L23,0)</f>
        <v>0</v>
      </c>
      <c r="K23" s="6" t="n">
        <f aca="false">I23+J23</f>
        <v>40</v>
      </c>
      <c r="L23" s="6" t="n">
        <f aca="false">F23-(I23-X23)</f>
        <v>-1.72062011595664</v>
      </c>
      <c r="M23" s="6" t="n">
        <v>14</v>
      </c>
      <c r="N23" s="6" t="n">
        <v>0</v>
      </c>
      <c r="O23" s="6" t="n">
        <v>0</v>
      </c>
      <c r="P23" s="6" t="n">
        <f aca="false">M23-(N23+O23)</f>
        <v>14</v>
      </c>
      <c r="Q23" s="6" t="n">
        <v>0</v>
      </c>
      <c r="R23" s="6" t="n">
        <v>4.9</v>
      </c>
      <c r="S23" s="6" t="n">
        <f aca="false">SUM(P23:R23)</f>
        <v>18.9</v>
      </c>
      <c r="T23" s="7"/>
      <c r="U23" s="6" t="n">
        <v>0</v>
      </c>
      <c r="V23" s="6" t="n">
        <v>34</v>
      </c>
      <c r="W23" s="7" t="n">
        <f aca="false">W22-V23</f>
        <v>4329</v>
      </c>
      <c r="X23" s="6" t="n">
        <f aca="false">N23+O23+S23+U23+V23</f>
        <v>52.9</v>
      </c>
      <c r="Y23" s="6" t="n">
        <f aca="false">IF(L23&lt;0,L23*-1,0)</f>
        <v>1.72062011595664</v>
      </c>
      <c r="Z23" s="6" t="n">
        <f aca="false">X23+Y23</f>
        <v>54.6206201159566</v>
      </c>
      <c r="AA23" s="11" t="n">
        <v>0</v>
      </c>
      <c r="AB23" s="41" t="n">
        <v>61</v>
      </c>
      <c r="AC23" s="12" t="n">
        <v>32</v>
      </c>
      <c r="AD23" s="13" t="n">
        <f aca="false">AD22+1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31" t="n">
        <v>6876.34</v>
      </c>
      <c r="C24" s="7" t="n">
        <v>205397</v>
      </c>
      <c r="D24" s="12" t="n">
        <f aca="false">C24-C23</f>
        <v>29</v>
      </c>
      <c r="E24" s="7" t="n">
        <f aca="false">C24-152000</f>
        <v>53397</v>
      </c>
      <c r="F24" s="6" t="n">
        <f aca="false">D24/$D$2</f>
        <v>14.6206201159566</v>
      </c>
      <c r="G24" s="6" t="n">
        <v>38</v>
      </c>
      <c r="H24" s="8" t="n">
        <v>0</v>
      </c>
      <c r="I24" s="6" t="n">
        <f aca="false">G24+H24</f>
        <v>38</v>
      </c>
      <c r="J24" s="39" t="n">
        <f aca="false">IF(L24&gt;0,L24,0)</f>
        <v>19.5506201159566</v>
      </c>
      <c r="K24" s="6" t="n">
        <f aca="false">I24+J24</f>
        <v>57.5506201159566</v>
      </c>
      <c r="L24" s="6" t="n">
        <f aca="false">F24-(I24-X24)</f>
        <v>19.5506201159566</v>
      </c>
      <c r="M24" s="6" t="n">
        <v>8.13</v>
      </c>
      <c r="N24" s="6" t="n">
        <v>0</v>
      </c>
      <c r="O24" s="6" t="n">
        <v>0</v>
      </c>
      <c r="P24" s="6" t="n">
        <f aca="false">M24-(N24+O24)</f>
        <v>8.13</v>
      </c>
      <c r="Q24" s="6" t="n">
        <v>0</v>
      </c>
      <c r="R24" s="6" t="n">
        <v>1.8</v>
      </c>
      <c r="S24" s="6" t="n">
        <f aca="false">SUM(P24:R24)</f>
        <v>9.93</v>
      </c>
      <c r="T24" s="7"/>
      <c r="U24" s="6" t="n">
        <v>0</v>
      </c>
      <c r="V24" s="6" t="n">
        <v>33</v>
      </c>
      <c r="W24" s="7" t="n">
        <f aca="false">W23-V24</f>
        <v>4296</v>
      </c>
      <c r="X24" s="6" t="n">
        <f aca="false">N24+O24+S24+U24+V24</f>
        <v>42.93</v>
      </c>
      <c r="Y24" s="6" t="n">
        <f aca="false">IF(L24&lt;0,L24*-1,0)</f>
        <v>0</v>
      </c>
      <c r="Z24" s="6" t="n">
        <f aca="false">X24+Y24</f>
        <v>42.93</v>
      </c>
      <c r="AA24" s="11" t="n">
        <v>0</v>
      </c>
      <c r="AB24" s="41" t="n">
        <v>59</v>
      </c>
      <c r="AC24" s="12" t="n">
        <v>32</v>
      </c>
      <c r="AD24" s="13" t="n">
        <f aca="false">AD23+1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31" t="n">
        <v>6876.35</v>
      </c>
      <c r="C25" s="7" t="n">
        <v>205426</v>
      </c>
      <c r="D25" s="12" t="n">
        <f aca="false">C25-C24</f>
        <v>29</v>
      </c>
      <c r="E25" s="7" t="n">
        <f aca="false">C25-152000</f>
        <v>53426</v>
      </c>
      <c r="F25" s="6" t="n">
        <f aca="false">D25/$D$2</f>
        <v>14.6206201159566</v>
      </c>
      <c r="G25" s="6" t="n">
        <v>37</v>
      </c>
      <c r="H25" s="8" t="n">
        <v>0</v>
      </c>
      <c r="I25" s="6" t="n">
        <f aca="false">G25+H25</f>
        <v>37</v>
      </c>
      <c r="J25" s="39" t="n">
        <f aca="false">IF(L25&gt;0,L25,0)</f>
        <v>13.7506201159566</v>
      </c>
      <c r="K25" s="6" t="n">
        <f aca="false">I25+J25</f>
        <v>50.7506201159566</v>
      </c>
      <c r="L25" s="6" t="n">
        <f aca="false">F25-(I25-X25)</f>
        <v>13.7506201159566</v>
      </c>
      <c r="M25" s="6" t="n">
        <v>5.13</v>
      </c>
      <c r="N25" s="6" t="n">
        <v>0</v>
      </c>
      <c r="O25" s="6" t="n">
        <v>0</v>
      </c>
      <c r="P25" s="6" t="n">
        <f aca="false">M25-(N25+O25)</f>
        <v>5.13</v>
      </c>
      <c r="Q25" s="6" t="n">
        <v>0</v>
      </c>
      <c r="R25" s="6" t="n">
        <v>0</v>
      </c>
      <c r="S25" s="6" t="n">
        <f aca="false">SUM(P25:R25)</f>
        <v>5.13</v>
      </c>
      <c r="T25" s="7"/>
      <c r="U25" s="6" t="n">
        <v>0</v>
      </c>
      <c r="V25" s="6" t="n">
        <v>31</v>
      </c>
      <c r="W25" s="7" t="n">
        <f aca="false">W24-V25</f>
        <v>4265</v>
      </c>
      <c r="X25" s="6" t="n">
        <f aca="false">N25+O25+S25+U25+V25</f>
        <v>36.13</v>
      </c>
      <c r="Y25" s="6" t="n">
        <f aca="false">IF(L25&lt;0,L25*-1,0)</f>
        <v>0</v>
      </c>
      <c r="Z25" s="6" t="n">
        <f aca="false">X25+Y25</f>
        <v>36.13</v>
      </c>
      <c r="AA25" s="11" t="n">
        <v>0</v>
      </c>
      <c r="AB25" s="41" t="n">
        <v>60</v>
      </c>
      <c r="AC25" s="12" t="n">
        <v>32</v>
      </c>
      <c r="AD25" s="13" t="n">
        <f aca="false">AD24+1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31" t="n">
        <v>6876.37</v>
      </c>
      <c r="C26" s="7" t="n">
        <v>205484</v>
      </c>
      <c r="D26" s="12" t="n">
        <f aca="false">C26-C25</f>
        <v>58</v>
      </c>
      <c r="E26" s="7" t="n">
        <f aca="false">C26-152000</f>
        <v>53484</v>
      </c>
      <c r="F26" s="6" t="n">
        <f aca="false">D26/$D$2</f>
        <v>29.2412402319133</v>
      </c>
      <c r="G26" s="6" t="n">
        <v>39</v>
      </c>
      <c r="H26" s="8" t="n">
        <v>0</v>
      </c>
      <c r="I26" s="6" t="n">
        <f aca="false">G26+H26</f>
        <v>39</v>
      </c>
      <c r="J26" s="39" t="n">
        <f aca="false">IF(L26&gt;0,L26,0)</f>
        <v>26.3712402319133</v>
      </c>
      <c r="K26" s="6" t="n">
        <f aca="false">I26+J26</f>
        <v>65.3712402319133</v>
      </c>
      <c r="L26" s="6" t="n">
        <f aca="false">F26-(I26-X26)</f>
        <v>26.3712402319133</v>
      </c>
      <c r="M26" s="6" t="n">
        <v>5.13</v>
      </c>
      <c r="N26" s="6" t="n">
        <v>0</v>
      </c>
      <c r="O26" s="6" t="n">
        <v>0</v>
      </c>
      <c r="P26" s="6" t="n">
        <f aca="false">M26-(N26+O26)</f>
        <v>5.13</v>
      </c>
      <c r="Q26" s="6" t="n">
        <v>0</v>
      </c>
      <c r="R26" s="6" t="n">
        <v>0</v>
      </c>
      <c r="S26" s="6" t="n">
        <f aca="false">SUM(P26:R26)</f>
        <v>5.13</v>
      </c>
      <c r="T26" s="7"/>
      <c r="U26" s="6" t="n">
        <v>0</v>
      </c>
      <c r="V26" s="6" t="n">
        <v>31</v>
      </c>
      <c r="W26" s="7" t="n">
        <f aca="false">W25-V26</f>
        <v>4234</v>
      </c>
      <c r="X26" s="6" t="n">
        <f aca="false">N26+O26+S26+U26+V26</f>
        <v>36.13</v>
      </c>
      <c r="Y26" s="6" t="n">
        <f aca="false">IF(L26&lt;0,L26*-1,0)</f>
        <v>0</v>
      </c>
      <c r="Z26" s="6" t="n">
        <f aca="false">X26+Y26</f>
        <v>36.13</v>
      </c>
      <c r="AA26" s="11" t="n">
        <v>0</v>
      </c>
      <c r="AB26" s="41" t="n">
        <v>59</v>
      </c>
      <c r="AC26" s="12" t="n">
        <v>31</v>
      </c>
      <c r="AD26" s="13" t="n">
        <f aca="false">AD25+1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31" t="n">
        <v>6876.39</v>
      </c>
      <c r="C27" s="7" t="n">
        <v>205542</v>
      </c>
      <c r="D27" s="12" t="n">
        <f aca="false">C27-C26</f>
        <v>58</v>
      </c>
      <c r="E27" s="7" t="n">
        <f aca="false">C27-152000</f>
        <v>53542</v>
      </c>
      <c r="F27" s="6" t="n">
        <f aca="false">D27/$D$2</f>
        <v>29.2412402319133</v>
      </c>
      <c r="G27" s="6" t="n">
        <v>41</v>
      </c>
      <c r="H27" s="8" t="n">
        <v>0</v>
      </c>
      <c r="I27" s="6" t="n">
        <f aca="false">G27+H27</f>
        <v>41</v>
      </c>
      <c r="J27" s="39" t="n">
        <f aca="false">IF(L27&gt;0,L27,0)</f>
        <v>24.5612402319133</v>
      </c>
      <c r="K27" s="6" t="n">
        <f aca="false">I27+J27</f>
        <v>65.5612402319133</v>
      </c>
      <c r="L27" s="6" t="n">
        <f aca="false">F27-(I27-X27)</f>
        <v>24.5612402319133</v>
      </c>
      <c r="M27" s="6" t="n">
        <v>5.32</v>
      </c>
      <c r="N27" s="6" t="n">
        <v>0</v>
      </c>
      <c r="O27" s="6" t="n">
        <v>0</v>
      </c>
      <c r="P27" s="6" t="n">
        <f aca="false">M27-(N27+O27)</f>
        <v>5.32</v>
      </c>
      <c r="Q27" s="6" t="n">
        <v>0</v>
      </c>
      <c r="R27" s="6" t="n">
        <v>0</v>
      </c>
      <c r="S27" s="6" t="n">
        <f aca="false">SUM(P27:R27)</f>
        <v>5.32</v>
      </c>
      <c r="T27" s="7"/>
      <c r="U27" s="6" t="n">
        <v>0</v>
      </c>
      <c r="V27" s="6" t="n">
        <v>31</v>
      </c>
      <c r="W27" s="7" t="n">
        <f aca="false">W26-V27</f>
        <v>4203</v>
      </c>
      <c r="X27" s="6" t="n">
        <f aca="false">N27+O27+S27+U27+V27</f>
        <v>36.32</v>
      </c>
      <c r="Y27" s="6" t="n">
        <f aca="false">IF(L27&lt;0,L27*-1,0)</f>
        <v>0</v>
      </c>
      <c r="Z27" s="6" t="n">
        <f aca="false">X27+Y27</f>
        <v>36.32</v>
      </c>
      <c r="AA27" s="11" t="n">
        <v>0</v>
      </c>
      <c r="AB27" s="41" t="n">
        <v>55</v>
      </c>
      <c r="AC27" s="12" t="n">
        <v>29</v>
      </c>
      <c r="AD27" s="13" t="n">
        <f aca="false">AD26+1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31" t="n">
        <v>6876.38</v>
      </c>
      <c r="C28" s="7" t="n">
        <v>205513</v>
      </c>
      <c r="D28" s="12" t="n">
        <f aca="false">C28-C27</f>
        <v>-29</v>
      </c>
      <c r="E28" s="7" t="n">
        <f aca="false">C28-152000</f>
        <v>53513</v>
      </c>
      <c r="F28" s="6" t="n">
        <f aca="false">D28/$D$2</f>
        <v>-14.6206201159566</v>
      </c>
      <c r="G28" s="6" t="n">
        <v>37</v>
      </c>
      <c r="H28" s="8" t="n">
        <v>0</v>
      </c>
      <c r="I28" s="6" t="n">
        <f aca="false">G28+H28</f>
        <v>37</v>
      </c>
      <c r="J28" s="39" t="n">
        <f aca="false">IF(L28&gt;0,L28,0)</f>
        <v>0</v>
      </c>
      <c r="K28" s="6" t="n">
        <f aca="false">I28+J28</f>
        <v>37</v>
      </c>
      <c r="L28" s="6" t="n">
        <f aca="false">F28-(I28-X28)</f>
        <v>-15.3706201159566</v>
      </c>
      <c r="M28" s="6" t="n">
        <v>5.25</v>
      </c>
      <c r="N28" s="6" t="n">
        <v>0</v>
      </c>
      <c r="O28" s="6" t="n">
        <v>0</v>
      </c>
      <c r="P28" s="6" t="n">
        <f aca="false">M28-(N28+O28)</f>
        <v>5.25</v>
      </c>
      <c r="Q28" s="6" t="n">
        <v>0</v>
      </c>
      <c r="R28" s="6" t="n">
        <v>0</v>
      </c>
      <c r="S28" s="6" t="n">
        <f aca="false">SUM(P28:R28)</f>
        <v>5.25</v>
      </c>
      <c r="T28" s="7"/>
      <c r="U28" s="6" t="n">
        <v>0</v>
      </c>
      <c r="V28" s="6" t="n">
        <v>31</v>
      </c>
      <c r="W28" s="7" t="n">
        <f aca="false">W27-V28</f>
        <v>4172</v>
      </c>
      <c r="X28" s="6" t="n">
        <f aca="false">N28+O28+S28+U28+V28</f>
        <v>36.25</v>
      </c>
      <c r="Y28" s="6" t="n">
        <f aca="false">IF(L28&lt;0,L28*-1,0)</f>
        <v>15.3706201159566</v>
      </c>
      <c r="Z28" s="6" t="n">
        <f aca="false">X28+Y28</f>
        <v>51.6206201159566</v>
      </c>
      <c r="AA28" s="11" t="n">
        <v>0</v>
      </c>
      <c r="AB28" s="41" t="n">
        <v>56</v>
      </c>
      <c r="AC28" s="12" t="n">
        <v>27</v>
      </c>
      <c r="AD28" s="13" t="n">
        <f aca="false">AD27+1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31" t="n">
        <v>6876.34</v>
      </c>
      <c r="C29" s="7" t="n">
        <v>205397</v>
      </c>
      <c r="D29" s="12" t="n">
        <f aca="false">C29-C28</f>
        <v>-116</v>
      </c>
      <c r="E29" s="7" t="n">
        <f aca="false">C29-152000</f>
        <v>53397</v>
      </c>
      <c r="F29" s="6" t="n">
        <f aca="false">D29/$D$2</f>
        <v>-58.4824804638266</v>
      </c>
      <c r="G29" s="6" t="n">
        <v>29</v>
      </c>
      <c r="H29" s="8" t="n">
        <v>0</v>
      </c>
      <c r="I29" s="6" t="n">
        <f aca="false">G29+H29</f>
        <v>29</v>
      </c>
      <c r="J29" s="39" t="n">
        <f aca="false">IF(L29&gt;0,L29,0)</f>
        <v>0</v>
      </c>
      <c r="K29" s="6" t="n">
        <f aca="false">I29+J29</f>
        <v>29</v>
      </c>
      <c r="L29" s="6" t="n">
        <f aca="false">F29-(I29-X29)</f>
        <v>-51.3524804638266</v>
      </c>
      <c r="M29" s="6" t="n">
        <v>5.13</v>
      </c>
      <c r="N29" s="6" t="n">
        <v>0</v>
      </c>
      <c r="O29" s="6" t="n">
        <v>0</v>
      </c>
      <c r="P29" s="6" t="n">
        <f aca="false">M29-(N29+O29)</f>
        <v>5.13</v>
      </c>
      <c r="Q29" s="6" t="n">
        <v>0</v>
      </c>
      <c r="R29" s="6" t="n">
        <v>0</v>
      </c>
      <c r="S29" s="6" t="n">
        <f aca="false">SUM(P29:R29)</f>
        <v>5.13</v>
      </c>
      <c r="T29" s="7"/>
      <c r="U29" s="6" t="n">
        <v>0</v>
      </c>
      <c r="V29" s="6" t="n">
        <v>31</v>
      </c>
      <c r="W29" s="7" t="n">
        <f aca="false">W28-V29</f>
        <v>4141</v>
      </c>
      <c r="X29" s="6" t="n">
        <f aca="false">N29+O29+S29+U29+V29</f>
        <v>36.13</v>
      </c>
      <c r="Y29" s="6" t="n">
        <f aca="false">IF(L29&lt;0,L29*-1,0)</f>
        <v>51.3524804638266</v>
      </c>
      <c r="Z29" s="6" t="n">
        <f aca="false">X29+Y29</f>
        <v>87.4824804638266</v>
      </c>
      <c r="AA29" s="11" t="n">
        <v>0</v>
      </c>
      <c r="AB29" s="41" t="n">
        <v>52</v>
      </c>
      <c r="AC29" s="12" t="n">
        <v>24</v>
      </c>
      <c r="AD29" s="13" t="n">
        <f aca="false">AD28+1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31" t="n">
        <v>6876.33</v>
      </c>
      <c r="C30" s="7" t="n">
        <v>205368</v>
      </c>
      <c r="D30" s="12" t="n">
        <f aca="false">C30-C29</f>
        <v>-29</v>
      </c>
      <c r="E30" s="7" t="n">
        <f aca="false">C30-152000</f>
        <v>53368</v>
      </c>
      <c r="F30" s="6" t="n">
        <f aca="false">D30/$D$2</f>
        <v>-14.6206201159566</v>
      </c>
      <c r="G30" s="6" t="n">
        <v>26</v>
      </c>
      <c r="H30" s="8" t="n">
        <v>0</v>
      </c>
      <c r="I30" s="6" t="n">
        <f aca="false">G30+H30</f>
        <v>26</v>
      </c>
      <c r="J30" s="39" t="n">
        <f aca="false">IF(L30&gt;0,L30,0)</f>
        <v>0</v>
      </c>
      <c r="K30" s="6" t="n">
        <f aca="false">I30+J30</f>
        <v>26</v>
      </c>
      <c r="L30" s="6" t="n">
        <f aca="false">F30-(I30-X30)</f>
        <v>-4.49062011595664</v>
      </c>
      <c r="M30" s="6" t="n">
        <v>5.13</v>
      </c>
      <c r="N30" s="6" t="n">
        <v>0</v>
      </c>
      <c r="O30" s="6" t="n">
        <v>0</v>
      </c>
      <c r="P30" s="6" t="n">
        <f aca="false">M30-(N30+O30)</f>
        <v>5.13</v>
      </c>
      <c r="Q30" s="6" t="n">
        <v>0</v>
      </c>
      <c r="R30" s="6" t="n">
        <v>0</v>
      </c>
      <c r="S30" s="6" t="n">
        <f aca="false">SUM(P30:R30)</f>
        <v>5.13</v>
      </c>
      <c r="T30" s="7"/>
      <c r="U30" s="6" t="n">
        <v>0</v>
      </c>
      <c r="V30" s="6" t="n">
        <v>31</v>
      </c>
      <c r="W30" s="7" t="n">
        <f aca="false">W29-V30</f>
        <v>4110</v>
      </c>
      <c r="X30" s="6" t="n">
        <f aca="false">N30+O30+S30+U30+V30</f>
        <v>36.13</v>
      </c>
      <c r="Y30" s="6" t="n">
        <f aca="false">IF(L30&lt;0,L30*-1,0)</f>
        <v>4.49062011595664</v>
      </c>
      <c r="Z30" s="6" t="n">
        <f aca="false">X30+Y30</f>
        <v>40.6206201159566</v>
      </c>
      <c r="AA30" s="11" t="n">
        <v>0</v>
      </c>
      <c r="AB30" s="12" t="n">
        <v>54</v>
      </c>
      <c r="AC30" s="12" t="n">
        <v>23</v>
      </c>
      <c r="AD30" s="13" t="n">
        <f aca="false">AD29+1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31" t="n">
        <v>6876.35</v>
      </c>
      <c r="C31" s="7" t="n">
        <v>205426</v>
      </c>
      <c r="D31" s="12" t="n">
        <f aca="false">C31-C30</f>
        <v>58</v>
      </c>
      <c r="E31" s="7" t="n">
        <f aca="false">C31-152000</f>
        <v>53426</v>
      </c>
      <c r="F31" s="6" t="n">
        <f aca="false">D31/$D$2</f>
        <v>29.2412402319133</v>
      </c>
      <c r="G31" s="6" t="n">
        <v>33</v>
      </c>
      <c r="H31" s="8" t="n">
        <v>0</v>
      </c>
      <c r="I31" s="6" t="n">
        <f aca="false">G31+H31</f>
        <v>33</v>
      </c>
      <c r="J31" s="39" t="n">
        <f aca="false">IF(L31&gt;0,L31,0)</f>
        <v>31.3712402319133</v>
      </c>
      <c r="K31" s="6" t="n">
        <f aca="false">I31+J31</f>
        <v>64.3712402319133</v>
      </c>
      <c r="L31" s="6" t="n">
        <f aca="false">F31-(I31-X31)</f>
        <v>31.3712402319133</v>
      </c>
      <c r="M31" s="6" t="n">
        <v>5.13</v>
      </c>
      <c r="N31" s="6" t="n">
        <v>0</v>
      </c>
      <c r="O31" s="6" t="n">
        <v>0</v>
      </c>
      <c r="P31" s="6" t="n">
        <f aca="false">M31-(N31+O31)</f>
        <v>5.13</v>
      </c>
      <c r="Q31" s="6" t="n">
        <v>0</v>
      </c>
      <c r="R31" s="6" t="n">
        <v>0</v>
      </c>
      <c r="S31" s="6" t="n">
        <f aca="false">SUM(P31:R31)</f>
        <v>5.13</v>
      </c>
      <c r="T31" s="7"/>
      <c r="U31" s="6" t="n">
        <v>0</v>
      </c>
      <c r="V31" s="6" t="n">
        <v>30</v>
      </c>
      <c r="W31" s="7" t="n">
        <f aca="false">W30-V31</f>
        <v>4080</v>
      </c>
      <c r="X31" s="6" t="n">
        <f aca="false">N31+O31+S31+U31+V31</f>
        <v>35.13</v>
      </c>
      <c r="Y31" s="6" t="n">
        <f aca="false">IF(L31&lt;0,L31*-1,0)</f>
        <v>0</v>
      </c>
      <c r="Z31" s="6" t="n">
        <f aca="false">X31+Y31</f>
        <v>35.13</v>
      </c>
      <c r="AA31" s="11" t="n">
        <v>0.38</v>
      </c>
      <c r="AB31" s="12" t="n">
        <v>45</v>
      </c>
      <c r="AC31" s="12" t="n">
        <v>31</v>
      </c>
      <c r="AD31" s="13" t="n">
        <f aca="false">AD30+1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31" t="n">
        <v>6876.36</v>
      </c>
      <c r="C32" s="7" t="n">
        <v>205455</v>
      </c>
      <c r="D32" s="12" t="n">
        <f aca="false">C32-C31</f>
        <v>29</v>
      </c>
      <c r="E32" s="7" t="n">
        <f aca="false">C32-152000</f>
        <v>53455</v>
      </c>
      <c r="F32" s="6" t="n">
        <f aca="false">D32/$D$2</f>
        <v>14.6206201159566</v>
      </c>
      <c r="G32" s="6" t="n">
        <v>41</v>
      </c>
      <c r="H32" s="8" t="n">
        <v>0</v>
      </c>
      <c r="I32" s="6" t="n">
        <f aca="false">G32+H32</f>
        <v>41</v>
      </c>
      <c r="J32" s="39" t="n">
        <f aca="false">IF(L32&gt;0,L32,0)</f>
        <v>8.75062011595665</v>
      </c>
      <c r="K32" s="6" t="n">
        <f aca="false">I32+J32</f>
        <v>49.7506201159566</v>
      </c>
      <c r="L32" s="6" t="n">
        <f aca="false">F32-(I32-X32)</f>
        <v>8.75062011595665</v>
      </c>
      <c r="M32" s="6" t="n">
        <v>5.13</v>
      </c>
      <c r="N32" s="6" t="n">
        <v>0</v>
      </c>
      <c r="O32" s="6" t="n">
        <v>0</v>
      </c>
      <c r="P32" s="6" t="n">
        <f aca="false">M32-(N32+O32)</f>
        <v>5.13</v>
      </c>
      <c r="Q32" s="6" t="n">
        <v>0</v>
      </c>
      <c r="R32" s="6" t="n">
        <v>0</v>
      </c>
      <c r="S32" s="6" t="n">
        <f aca="false">SUM(P32:R32)</f>
        <v>5.13</v>
      </c>
      <c r="T32" s="7"/>
      <c r="U32" s="6" t="n">
        <v>0</v>
      </c>
      <c r="V32" s="6" t="n">
        <v>30</v>
      </c>
      <c r="W32" s="7" t="n">
        <f aca="false">W31-V32</f>
        <v>4050</v>
      </c>
      <c r="X32" s="6" t="n">
        <f aca="false">N32+O32+S32+U32+V32</f>
        <v>35.13</v>
      </c>
      <c r="Y32" s="6" t="n">
        <f aca="false">IF(L32&lt;0,L32*-1,0)</f>
        <v>0</v>
      </c>
      <c r="Z32" s="6" t="n">
        <f aca="false">X32+Y32</f>
        <v>35.13</v>
      </c>
      <c r="AA32" s="11" t="n">
        <v>0.2</v>
      </c>
      <c r="AB32" s="12" t="n">
        <v>36</v>
      </c>
      <c r="AC32" s="41" t="n">
        <v>24</v>
      </c>
      <c r="AD32" s="13" t="n">
        <f aca="false">AD31+1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31" t="n">
        <v>6876.31</v>
      </c>
      <c r="C33" s="7" t="n">
        <v>205311</v>
      </c>
      <c r="D33" s="12" t="n">
        <f aca="false">C33-C32</f>
        <v>-144</v>
      </c>
      <c r="E33" s="7" t="n">
        <f aca="false">C33-152000</f>
        <v>53311</v>
      </c>
      <c r="F33" s="6" t="n">
        <f aca="false">D33/$D$2</f>
        <v>-72.5989412654399</v>
      </c>
      <c r="G33" s="6" t="n">
        <v>34</v>
      </c>
      <c r="H33" s="8" t="n">
        <v>0</v>
      </c>
      <c r="I33" s="6" t="n">
        <f aca="false">G33+H33</f>
        <v>34</v>
      </c>
      <c r="J33" s="39" t="n">
        <f aca="false">IF(L33&gt;0,L33,0)</f>
        <v>0</v>
      </c>
      <c r="K33" s="6" t="n">
        <f aca="false">I33+J33</f>
        <v>34</v>
      </c>
      <c r="L33" s="6" t="n">
        <f aca="false">F33-(I33-X33)</f>
        <v>-71.4689412654399</v>
      </c>
      <c r="M33" s="6" t="n">
        <v>5.13</v>
      </c>
      <c r="N33" s="6" t="n">
        <v>0</v>
      </c>
      <c r="O33" s="6" t="n">
        <v>0</v>
      </c>
      <c r="P33" s="6" t="n">
        <f aca="false">M33-(N33+O33)</f>
        <v>5.13</v>
      </c>
      <c r="Q33" s="6" t="n">
        <v>0</v>
      </c>
      <c r="R33" s="6" t="n">
        <v>0</v>
      </c>
      <c r="S33" s="6" t="n">
        <f aca="false">SUM(P33:R33)</f>
        <v>5.13</v>
      </c>
      <c r="T33" s="7"/>
      <c r="U33" s="6" t="n">
        <v>0</v>
      </c>
      <c r="V33" s="6" t="n">
        <v>30</v>
      </c>
      <c r="W33" s="7" t="n">
        <f aca="false">W32-V33</f>
        <v>4020</v>
      </c>
      <c r="X33" s="6" t="n">
        <f aca="false">N33+O33+S33+U33+V33</f>
        <v>35.13</v>
      </c>
      <c r="Y33" s="6" t="n">
        <f aca="false">IF(L33&lt;0,L33*-1,0)</f>
        <v>71.4689412654399</v>
      </c>
      <c r="Z33" s="6" t="n">
        <f aca="false">X33+Y33</f>
        <v>106.59894126544</v>
      </c>
      <c r="AA33" s="11" t="n">
        <v>0</v>
      </c>
      <c r="AB33" s="12" t="n">
        <v>40</v>
      </c>
      <c r="AC33" s="41" t="n">
        <v>18</v>
      </c>
      <c r="AD33" s="13" t="n">
        <f aca="false">AD32+1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31" t="n">
        <v>6876.41</v>
      </c>
      <c r="C34" s="7" t="n">
        <v>205599</v>
      </c>
      <c r="D34" s="12" t="n">
        <f aca="false">C34-C33</f>
        <v>288</v>
      </c>
      <c r="E34" s="7" t="n">
        <f aca="false">C34-152000</f>
        <v>53599</v>
      </c>
      <c r="F34" s="6" t="n">
        <f aca="false">D34/$D$2</f>
        <v>145.19788253088</v>
      </c>
      <c r="G34" s="6" t="n">
        <v>33</v>
      </c>
      <c r="H34" s="8" t="n">
        <v>0</v>
      </c>
      <c r="I34" s="6" t="n">
        <f aca="false">G34+H34</f>
        <v>33</v>
      </c>
      <c r="J34" s="39" t="n">
        <f aca="false">IF(L34&gt;0,L34,0)</f>
        <v>147.32788253088</v>
      </c>
      <c r="K34" s="6" t="n">
        <f aca="false">I34+J34</f>
        <v>180.32788253088</v>
      </c>
      <c r="L34" s="6" t="n">
        <f aca="false">F34-(I34-X34)</f>
        <v>147.32788253088</v>
      </c>
      <c r="M34" s="6" t="n">
        <v>5.13</v>
      </c>
      <c r="N34" s="6" t="n">
        <v>0</v>
      </c>
      <c r="O34" s="6" t="n">
        <v>0</v>
      </c>
      <c r="P34" s="6" t="n">
        <f aca="false">M34-(N34+O34)</f>
        <v>5.13</v>
      </c>
      <c r="Q34" s="6" t="n">
        <v>0</v>
      </c>
      <c r="R34" s="6" t="n">
        <v>0</v>
      </c>
      <c r="S34" s="6" t="n">
        <f aca="false">SUM(P34:R34)</f>
        <v>5.13</v>
      </c>
      <c r="T34" s="7"/>
      <c r="U34" s="6" t="n">
        <v>0</v>
      </c>
      <c r="V34" s="6" t="n">
        <v>30</v>
      </c>
      <c r="W34" s="7" t="n">
        <f aca="false">W33-V34</f>
        <v>3990</v>
      </c>
      <c r="X34" s="6" t="n">
        <f aca="false">N34+O34+S34+U34+V34</f>
        <v>35.13</v>
      </c>
      <c r="Y34" s="6" t="n">
        <f aca="false">IF(L34&lt;0,L34*-1,0)</f>
        <v>0</v>
      </c>
      <c r="Z34" s="6" t="n">
        <f aca="false">X34+Y34</f>
        <v>35.13</v>
      </c>
      <c r="AA34" s="11" t="n">
        <v>1.12</v>
      </c>
      <c r="AB34" s="12" t="n">
        <v>35</v>
      </c>
      <c r="AC34" s="41" t="n">
        <v>16</v>
      </c>
      <c r="AD34" s="13" t="n">
        <f aca="false">AD33+1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31" t="n">
        <v>6876.43</v>
      </c>
      <c r="C35" s="7" t="n">
        <v>205657</v>
      </c>
      <c r="D35" s="12" t="n">
        <f aca="false">C35-C34</f>
        <v>58</v>
      </c>
      <c r="E35" s="7" t="n">
        <f aca="false">C35-152000</f>
        <v>53657</v>
      </c>
      <c r="F35" s="6" t="n">
        <f aca="false">D35/$D$2</f>
        <v>29.2412402319133</v>
      </c>
      <c r="G35" s="6" t="n">
        <v>25</v>
      </c>
      <c r="H35" s="8" t="n">
        <v>0</v>
      </c>
      <c r="I35" s="6" t="n">
        <f aca="false">G35+H35</f>
        <v>25</v>
      </c>
      <c r="J35" s="39" t="n">
        <f aca="false">IF(L35&gt;0,L35,0)</f>
        <v>39.1412402319133</v>
      </c>
      <c r="K35" s="6" t="n">
        <f aca="false">I35+J35</f>
        <v>64.1412402319133</v>
      </c>
      <c r="L35" s="6" t="n">
        <f aca="false">F35-(I35-X35)</f>
        <v>39.1412402319133</v>
      </c>
      <c r="M35" s="6" t="n">
        <v>4.9</v>
      </c>
      <c r="N35" s="6" t="n">
        <v>0</v>
      </c>
      <c r="O35" s="6" t="n">
        <v>0</v>
      </c>
      <c r="P35" s="6" t="n">
        <f aca="false">M35-(N35+O35)</f>
        <v>4.9</v>
      </c>
      <c r="Q35" s="6" t="n">
        <v>0</v>
      </c>
      <c r="R35" s="6" t="n">
        <v>0</v>
      </c>
      <c r="S35" s="6" t="n">
        <f aca="false">SUM(P35:R35)</f>
        <v>4.9</v>
      </c>
      <c r="T35" s="7"/>
      <c r="U35" s="6" t="n">
        <v>0</v>
      </c>
      <c r="V35" s="6" t="n">
        <v>30</v>
      </c>
      <c r="W35" s="7" t="n">
        <f aca="false">W34-V35</f>
        <v>3960</v>
      </c>
      <c r="X35" s="6" t="n">
        <f aca="false">N35+O35+S35+U35+V35</f>
        <v>34.9</v>
      </c>
      <c r="Y35" s="6" t="n">
        <f aca="false">IF(L35&lt;0,L35*-1,0)</f>
        <v>0</v>
      </c>
      <c r="Z35" s="6" t="n">
        <f aca="false">X35+Y35</f>
        <v>34.9</v>
      </c>
      <c r="AA35" s="11" t="n">
        <v>0</v>
      </c>
      <c r="AB35" s="12" t="n">
        <v>31</v>
      </c>
      <c r="AC35" s="12" t="n">
        <v>10</v>
      </c>
      <c r="AD35" s="13" t="n">
        <f aca="false">AD34+1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31" t="n">
        <v>6876.43</v>
      </c>
      <c r="C36" s="7" t="n">
        <v>205657</v>
      </c>
      <c r="D36" s="12" t="n">
        <f aca="false">C36-C35</f>
        <v>0</v>
      </c>
      <c r="E36" s="7" t="n">
        <f aca="false">C36-152000</f>
        <v>53657</v>
      </c>
      <c r="F36" s="6" t="n">
        <f aca="false">D36/$D$2</f>
        <v>0</v>
      </c>
      <c r="G36" s="6" t="n">
        <v>36</v>
      </c>
      <c r="H36" s="8" t="n">
        <v>0</v>
      </c>
      <c r="I36" s="6" t="n">
        <f aca="false">G36+H36</f>
        <v>36</v>
      </c>
      <c r="J36" s="39" t="n">
        <f aca="false">IF(L36&gt;0,L36,0)</f>
        <v>0</v>
      </c>
      <c r="K36" s="6" t="n">
        <f aca="false">I36+J36</f>
        <v>36</v>
      </c>
      <c r="L36" s="6" t="n">
        <f aca="false">F36-(I36-X36)</f>
        <v>-0.240000000000002</v>
      </c>
      <c r="M36" s="6" t="n">
        <v>4.76</v>
      </c>
      <c r="N36" s="6" t="n">
        <v>0</v>
      </c>
      <c r="O36" s="6" t="n">
        <v>0</v>
      </c>
      <c r="P36" s="6" t="n">
        <f aca="false">M36-(N36+O36)</f>
        <v>4.76</v>
      </c>
      <c r="Q36" s="6" t="n">
        <v>0</v>
      </c>
      <c r="R36" s="6" t="n">
        <v>0</v>
      </c>
      <c r="S36" s="6" t="n">
        <f aca="false">SUM(P36:R36)</f>
        <v>4.76</v>
      </c>
      <c r="T36" s="7"/>
      <c r="U36" s="6" t="n">
        <v>0</v>
      </c>
      <c r="V36" s="6" t="n">
        <v>31</v>
      </c>
      <c r="W36" s="7" t="n">
        <f aca="false">W35-V36</f>
        <v>3929</v>
      </c>
      <c r="X36" s="6" t="n">
        <f aca="false">N36+O36+S36+U36+V36</f>
        <v>35.76</v>
      </c>
      <c r="Y36" s="6" t="n">
        <f aca="false">IF(L36&lt;0,L36*-1,0)</f>
        <v>0.240000000000002</v>
      </c>
      <c r="Z36" s="6" t="n">
        <f aca="false">X36+Y36</f>
        <v>36</v>
      </c>
      <c r="AA36" s="11" t="n">
        <v>0</v>
      </c>
      <c r="AB36" s="12" t="n">
        <v>31</v>
      </c>
      <c r="AC36" s="12" t="n">
        <v>6</v>
      </c>
      <c r="AD36" s="13" t="n">
        <f aca="false">AD35+1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31" t="n">
        <v>6876.41</v>
      </c>
      <c r="C37" s="7" t="n">
        <v>205599</v>
      </c>
      <c r="D37" s="12" t="n">
        <f aca="false">C37-C36</f>
        <v>-58</v>
      </c>
      <c r="E37" s="7" t="n">
        <f aca="false">C37-152000</f>
        <v>53599</v>
      </c>
      <c r="F37" s="6" t="n">
        <f aca="false">D37/$D$2</f>
        <v>-29.2412402319133</v>
      </c>
      <c r="G37" s="6" t="n">
        <v>32</v>
      </c>
      <c r="H37" s="8" t="n">
        <v>0</v>
      </c>
      <c r="I37" s="6" t="n">
        <f aca="false">G37+H37</f>
        <v>32</v>
      </c>
      <c r="J37" s="39" t="n">
        <f aca="false">IF(L37&gt;0,L37,0)</f>
        <v>0</v>
      </c>
      <c r="K37" s="6" t="n">
        <f aca="false">I37+J37</f>
        <v>32</v>
      </c>
      <c r="L37" s="6" t="n">
        <f aca="false">F37-(I37-X37)</f>
        <v>-25.4812402319133</v>
      </c>
      <c r="M37" s="6" t="n">
        <v>4.76</v>
      </c>
      <c r="N37" s="6" t="n">
        <v>0</v>
      </c>
      <c r="O37" s="6" t="n">
        <v>0</v>
      </c>
      <c r="P37" s="6" t="n">
        <f aca="false">M37-(N37+O37)</f>
        <v>4.76</v>
      </c>
      <c r="Q37" s="6" t="n">
        <v>0</v>
      </c>
      <c r="R37" s="6" t="n">
        <v>0</v>
      </c>
      <c r="S37" s="6" t="n">
        <f aca="false">SUM(P37:R37)</f>
        <v>4.76</v>
      </c>
      <c r="T37" s="7"/>
      <c r="U37" s="6" t="n">
        <v>0</v>
      </c>
      <c r="V37" s="6" t="n">
        <v>31</v>
      </c>
      <c r="W37" s="7" t="n">
        <f aca="false">W36-V37</f>
        <v>3898</v>
      </c>
      <c r="X37" s="6" t="n">
        <f aca="false">N37+O37+S37+U37+V37</f>
        <v>35.76</v>
      </c>
      <c r="Y37" s="6" t="n">
        <f aca="false">IF(L37&lt;0,L37*-1,0)</f>
        <v>25.4812402319133</v>
      </c>
      <c r="Z37" s="6" t="n">
        <f aca="false">X37+Y37</f>
        <v>61.2412402319133</v>
      </c>
      <c r="AA37" s="11" t="n">
        <v>0</v>
      </c>
      <c r="AB37" s="12" t="n">
        <v>33</v>
      </c>
      <c r="AC37" s="12" t="n">
        <v>7</v>
      </c>
      <c r="AD37" s="13" t="n">
        <f aca="false">AD36+1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31" t="n">
        <v>6876.39</v>
      </c>
      <c r="C38" s="7" t="n">
        <v>205542</v>
      </c>
      <c r="D38" s="12" t="n">
        <f aca="false">C38-C37</f>
        <v>-57</v>
      </c>
      <c r="E38" s="7" t="n">
        <f aca="false">C38-152000</f>
        <v>53542</v>
      </c>
      <c r="F38" s="6" t="n">
        <f aca="false">D38/$D$2</f>
        <v>-28.7370809175699</v>
      </c>
      <c r="G38" s="6" t="n">
        <v>32</v>
      </c>
      <c r="H38" s="8" t="n">
        <v>0</v>
      </c>
      <c r="I38" s="6" t="n">
        <f aca="false">G38+H38</f>
        <v>32</v>
      </c>
      <c r="J38" s="39" t="n">
        <f aca="false">IF(L38&gt;0,L38,0)</f>
        <v>0</v>
      </c>
      <c r="K38" s="6" t="n">
        <f aca="false">I38+J38</f>
        <v>32</v>
      </c>
      <c r="L38" s="6" t="n">
        <f aca="false">F38-(I38-X38)</f>
        <v>-24.21708091757</v>
      </c>
      <c r="M38" s="6" t="n">
        <v>4.52</v>
      </c>
      <c r="N38" s="6" t="n">
        <v>0</v>
      </c>
      <c r="O38" s="6" t="n">
        <v>0</v>
      </c>
      <c r="P38" s="6" t="n">
        <f aca="false">M38-(N38+O38)</f>
        <v>4.52</v>
      </c>
      <c r="Q38" s="6" t="n">
        <v>0</v>
      </c>
      <c r="R38" s="6" t="n">
        <v>0</v>
      </c>
      <c r="S38" s="6" t="n">
        <f aca="false">SUM(P38:R38)</f>
        <v>4.52</v>
      </c>
      <c r="T38" s="7"/>
      <c r="U38" s="6" t="n">
        <v>0</v>
      </c>
      <c r="V38" s="6" t="n">
        <v>32</v>
      </c>
      <c r="W38" s="7" t="n">
        <f aca="false">W37-V38</f>
        <v>3866</v>
      </c>
      <c r="X38" s="6" t="n">
        <f aca="false">N38+O38+S38+U38+V38</f>
        <v>36.52</v>
      </c>
      <c r="Y38" s="6" t="n">
        <f aca="false">IF(L38&lt;0,L38*-1,0)</f>
        <v>24.21708091757</v>
      </c>
      <c r="Z38" s="6" t="n">
        <f aca="false">X38+Y38</f>
        <v>60.73708091757</v>
      </c>
      <c r="AA38" s="11" t="n">
        <v>0.04</v>
      </c>
      <c r="AB38" s="41" t="n">
        <v>27</v>
      </c>
      <c r="AC38" s="12" t="n">
        <v>17</v>
      </c>
      <c r="AD38" s="13" t="n">
        <f aca="false">AD37+1</f>
        <v>29</v>
      </c>
    </row>
    <row r="39" customFormat="false" ht="11.1" hidden="false" customHeight="true" outlineLevel="0" collapsed="false">
      <c r="A39" s="13" t="n">
        <v>30</v>
      </c>
      <c r="B39" s="31" t="n">
        <v>6876.46</v>
      </c>
      <c r="C39" s="7" t="n">
        <v>205744</v>
      </c>
      <c r="D39" s="12" t="n">
        <f aca="false">C39-C38</f>
        <v>202</v>
      </c>
      <c r="E39" s="7" t="n">
        <f aca="false">C39-152000</f>
        <v>53744</v>
      </c>
      <c r="F39" s="6" t="n">
        <f aca="false">D39/$D$2</f>
        <v>101.840181497353</v>
      </c>
      <c r="G39" s="6" t="n">
        <v>44</v>
      </c>
      <c r="H39" s="8" t="n">
        <v>0</v>
      </c>
      <c r="I39" s="6" t="n">
        <f aca="false">G39+H39</f>
        <v>44</v>
      </c>
      <c r="J39" s="39" t="n">
        <f aca="false">IF(L39&gt;0,L39,0)</f>
        <v>93.2401814973531</v>
      </c>
      <c r="K39" s="6" t="n">
        <f aca="false">I39+J39</f>
        <v>137.240181497353</v>
      </c>
      <c r="L39" s="6" t="n">
        <f aca="false">F39-(I39-X39)</f>
        <v>93.2401814973531</v>
      </c>
      <c r="M39" s="6" t="n">
        <v>4.4</v>
      </c>
      <c r="N39" s="6" t="n">
        <v>0</v>
      </c>
      <c r="O39" s="6" t="n">
        <v>0</v>
      </c>
      <c r="P39" s="6" t="n">
        <f aca="false">M39-(N39+O39)</f>
        <v>4.4</v>
      </c>
      <c r="Q39" s="6" t="n">
        <v>0</v>
      </c>
      <c r="R39" s="6" t="n">
        <v>0</v>
      </c>
      <c r="S39" s="6" t="n">
        <f aca="false">SUM(P39:R39)</f>
        <v>4.4</v>
      </c>
      <c r="T39" s="7"/>
      <c r="U39" s="6" t="n">
        <v>0</v>
      </c>
      <c r="V39" s="6" t="n">
        <v>31</v>
      </c>
      <c r="W39" s="7" t="n">
        <f aca="false">W38-V39</f>
        <v>3835</v>
      </c>
      <c r="X39" s="6" t="n">
        <f aca="false">N39+O39+S39+U39+V39</f>
        <v>35.4</v>
      </c>
      <c r="Y39" s="6" t="n">
        <f aca="false">IF(L39&lt;0,L39*-1,0)</f>
        <v>0</v>
      </c>
      <c r="Z39" s="6" t="n">
        <f aca="false">X39+Y39</f>
        <v>35.4</v>
      </c>
      <c r="AA39" s="11" t="n">
        <v>0.12</v>
      </c>
      <c r="AB39" s="41" t="n">
        <v>31</v>
      </c>
      <c r="AC39" s="12" t="n">
        <v>22</v>
      </c>
      <c r="AD39" s="13" t="n">
        <v>30</v>
      </c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-101.840181497353</v>
      </c>
      <c r="G41" s="7" t="n">
        <f aca="false">SUM(G10:G39)</f>
        <v>1172</v>
      </c>
      <c r="H41" s="7" t="n">
        <f aca="false">SUM(H10:H39)</f>
        <v>0</v>
      </c>
      <c r="I41" s="7" t="n">
        <f aca="false">SUM(I10:I39)</f>
        <v>1172</v>
      </c>
      <c r="J41" s="7" t="n">
        <f aca="false">SUM(J10:J39)</f>
        <v>465.34532392236</v>
      </c>
      <c r="K41" s="7" t="n">
        <f aca="false">SUM(K10:K39)</f>
        <v>1637.34532392236</v>
      </c>
      <c r="L41" s="7" t="n">
        <f aca="false">SUM(L10:L39)</f>
        <v>185.739818502647</v>
      </c>
      <c r="M41" s="7" t="n">
        <f aca="false">SUM(M10:M39)</f>
        <v>365.08</v>
      </c>
      <c r="N41" s="7" t="n">
        <f aca="false">SUM(N10:N39)</f>
        <v>5</v>
      </c>
      <c r="O41" s="7" t="n">
        <f aca="false">SUM(O10:O39)</f>
        <v>55.566</v>
      </c>
      <c r="P41" s="7" t="n">
        <f aca="false">SUM(P10:P39)</f>
        <v>304.514</v>
      </c>
      <c r="Q41" s="7" t="n">
        <f aca="false">SUM(Q10:Q39)</f>
        <v>0</v>
      </c>
      <c r="R41" s="7" t="n">
        <f aca="false">SUM(R10:R39)</f>
        <v>127.5</v>
      </c>
      <c r="S41" s="7" t="n">
        <f aca="false">SUM(S10:S39)</f>
        <v>432.014</v>
      </c>
      <c r="T41" s="7"/>
      <c r="U41" s="7" t="n">
        <f aca="false">SUM(U10:U39)</f>
        <v>0</v>
      </c>
      <c r="V41" s="7" t="n">
        <f aca="false">SUM(V10:V39)</f>
        <v>967</v>
      </c>
      <c r="W41" s="7"/>
      <c r="X41" s="7" t="n">
        <f aca="false">SUM(X10:X39)</f>
        <v>1459.58</v>
      </c>
      <c r="Y41" s="7" t="n">
        <f aca="false">SUM(Y10:Y39)</f>
        <v>279.605505419713</v>
      </c>
      <c r="Z41" s="7" t="n">
        <f aca="false">SUM(Z10:Z39)</f>
        <v>1739.18550541971</v>
      </c>
      <c r="AA41" s="11" t="n">
        <f aca="false">SUM(AA10:AA39)</f>
        <v>1.92</v>
      </c>
      <c r="AB41" s="12" t="n">
        <f aca="false">AVERAGE(AB10:AB39)</f>
        <v>52.3333333333333</v>
      </c>
      <c r="AC41" s="12" t="n">
        <f aca="false">AVERAGE(AC10:AC39)</f>
        <v>27.9333333333333</v>
      </c>
      <c r="AD41" s="13" t="s">
        <v>47</v>
      </c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-202</v>
      </c>
      <c r="E42" s="7"/>
      <c r="F42" s="7" t="n">
        <f aca="false">F41*$D$2</f>
        <v>-201.999999999999</v>
      </c>
      <c r="G42" s="7" t="n">
        <f aca="false">G41*$D$2</f>
        <v>2324.662</v>
      </c>
      <c r="H42" s="7" t="n">
        <f aca="false">H41*$D$2</f>
        <v>0</v>
      </c>
      <c r="I42" s="7" t="n">
        <f aca="false">I41*$D$2</f>
        <v>2324.662</v>
      </c>
      <c r="J42" s="7" t="n">
        <f aca="false">J41*$D$2</f>
        <v>923.012450000001</v>
      </c>
      <c r="K42" s="7" t="n">
        <f aca="false">K41*$D$2</f>
        <v>3247.67445</v>
      </c>
      <c r="L42" s="7" t="n">
        <f aca="false">L41*$D$2</f>
        <v>368.414930000001</v>
      </c>
      <c r="M42" s="7" t="n">
        <f aca="false">M41*$D$2</f>
        <v>724.13618</v>
      </c>
      <c r="N42" s="7" t="n">
        <f aca="false">N41*$D$2</f>
        <v>9.9175</v>
      </c>
      <c r="O42" s="7" t="n">
        <f aca="false">O41*$D$2</f>
        <v>110.215161</v>
      </c>
      <c r="P42" s="7" t="n">
        <f aca="false">P41*$D$2</f>
        <v>604.003519</v>
      </c>
      <c r="Q42" s="7" t="n">
        <f aca="false">Q41*$D$2</f>
        <v>0</v>
      </c>
      <c r="R42" s="7" t="n">
        <f aca="false">R41*$D$2</f>
        <v>252.89625</v>
      </c>
      <c r="S42" s="7" t="n">
        <f aca="false">S41*$D$2</f>
        <v>856.899769</v>
      </c>
      <c r="T42" s="7"/>
      <c r="U42" s="7" t="n">
        <f aca="false">U41*$D$2</f>
        <v>0</v>
      </c>
      <c r="V42" s="7" t="n">
        <f aca="false">V41*$D$2</f>
        <v>1918.0445</v>
      </c>
      <c r="W42" s="7"/>
      <c r="X42" s="7" t="n">
        <f aca="false">X41*$D$2</f>
        <v>2895.07693</v>
      </c>
      <c r="Y42" s="7" t="n">
        <f aca="false">Y41*$D$2</f>
        <v>554.59752</v>
      </c>
      <c r="Z42" s="7" t="n">
        <f aca="false">Z41*$D$2</f>
        <v>3449.67445</v>
      </c>
      <c r="AA42" s="11"/>
      <c r="AB42" s="12" t="n">
        <f aca="false">MAX(AB10:AB39)</f>
        <v>67</v>
      </c>
      <c r="AC42" s="12" t="n">
        <f aca="false">MAX(AC10:AC39)</f>
        <v>39</v>
      </c>
      <c r="AD42" s="13" t="s">
        <v>49</v>
      </c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11"/>
      <c r="AB44" s="12" t="n">
        <f aca="false">MIN(AB10:AB39)</f>
        <v>27</v>
      </c>
      <c r="AC44" s="12" t="n">
        <f aca="false">MIN(AC10:AC39)</f>
        <v>6</v>
      </c>
      <c r="AD44" s="13" t="s">
        <v>51</v>
      </c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11"/>
      <c r="AB45" s="12"/>
      <c r="AC45" s="12"/>
      <c r="AD45" s="13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-101.840181497353</v>
      </c>
      <c r="G47" s="7" t="n">
        <f aca="false">G8+G41</f>
        <v>1172</v>
      </c>
      <c r="H47" s="12" t="n">
        <f aca="false">H8+H41</f>
        <v>0</v>
      </c>
      <c r="I47" s="7" t="n">
        <f aca="false">I8+I41</f>
        <v>1172</v>
      </c>
      <c r="J47" s="7" t="n">
        <f aca="false">J8+J41</f>
        <v>465.34532392236</v>
      </c>
      <c r="K47" s="7" t="n">
        <f aca="false">K8+K41</f>
        <v>1637.34532392236</v>
      </c>
      <c r="L47" s="7" t="n">
        <f aca="false">L8+L41</f>
        <v>185.739818502647</v>
      </c>
      <c r="M47" s="7" t="n">
        <f aca="false">M8+M41</f>
        <v>365.08</v>
      </c>
      <c r="N47" s="7" t="n">
        <f aca="false">N8+N41</f>
        <v>5</v>
      </c>
      <c r="O47" s="7" t="n">
        <f aca="false">O8+O41</f>
        <v>457.766</v>
      </c>
      <c r="P47" s="7" t="n">
        <f aca="false">P8+P41</f>
        <v>304.514</v>
      </c>
      <c r="Q47" s="7" t="n">
        <f aca="false">Q8+Q41</f>
        <v>0</v>
      </c>
      <c r="R47" s="7" t="n">
        <f aca="false">R8+R41</f>
        <v>127.5</v>
      </c>
      <c r="S47" s="7" t="n">
        <f aca="false">S8+S41</f>
        <v>432.014</v>
      </c>
      <c r="T47" s="7"/>
      <c r="U47" s="7" t="n">
        <f aca="false">U8+U41</f>
        <v>0</v>
      </c>
      <c r="V47" s="7" t="n">
        <f aca="false">V8+V41</f>
        <v>967</v>
      </c>
      <c r="W47" s="7" t="n">
        <f aca="false">W39</f>
        <v>3835</v>
      </c>
      <c r="X47" s="7" t="n">
        <f aca="false">X8+X41</f>
        <v>1459.58</v>
      </c>
      <c r="Y47" s="7" t="n">
        <f aca="false">Y8+Y41</f>
        <v>279.605505419713</v>
      </c>
      <c r="Z47" s="7" t="n">
        <f aca="false">Z8+Z41</f>
        <v>1739.18550541971</v>
      </c>
      <c r="AA47" s="11" t="n">
        <f aca="false">AA8+AA41</f>
        <v>1.92</v>
      </c>
      <c r="AB47" s="12"/>
      <c r="AC47" s="12"/>
      <c r="AD47" s="13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-202</v>
      </c>
      <c r="E48" s="7" t="n">
        <f aca="false">E39</f>
        <v>53744</v>
      </c>
      <c r="F48" s="7" t="n">
        <f aca="false">F47*$D$2</f>
        <v>-201.999999999999</v>
      </c>
      <c r="G48" s="7" t="n">
        <f aca="false">G47*$D$2</f>
        <v>2324.662</v>
      </c>
      <c r="H48" s="12" t="n">
        <f aca="false">H47*$D$2</f>
        <v>0</v>
      </c>
      <c r="I48" s="7" t="n">
        <f aca="false">I47*$D$2</f>
        <v>2324.662</v>
      </c>
      <c r="J48" s="7" t="n">
        <f aca="false">J47*$D$2</f>
        <v>923.012450000001</v>
      </c>
      <c r="K48" s="7" t="n">
        <f aca="false">K47*$D$2</f>
        <v>3247.67445</v>
      </c>
      <c r="L48" s="7" t="n">
        <f aca="false">L47*$D$2</f>
        <v>368.414930000001</v>
      </c>
      <c r="M48" s="7" t="n">
        <f aca="false">M47*$D$2</f>
        <v>724.13618</v>
      </c>
      <c r="N48" s="7" t="n">
        <f aca="false">N47*$D$2</f>
        <v>9.9175</v>
      </c>
      <c r="O48" s="7" t="n">
        <f aca="false">O47*$D$2</f>
        <v>907.978861</v>
      </c>
      <c r="P48" s="7" t="n">
        <f aca="false">P47*$D$2</f>
        <v>604.003519</v>
      </c>
      <c r="Q48" s="7" t="n">
        <f aca="false">Q47*$D$2</f>
        <v>0</v>
      </c>
      <c r="R48" s="7" t="n">
        <f aca="false">R47*$D$2</f>
        <v>252.89625</v>
      </c>
      <c r="S48" s="7" t="n">
        <f aca="false">S47*$D$2</f>
        <v>856.899769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1918.0445</v>
      </c>
      <c r="W48" s="7" t="n">
        <f aca="false">W47*$D$2</f>
        <v>7606.7225</v>
      </c>
      <c r="X48" s="7" t="n">
        <f aca="false">X47*$D$2</f>
        <v>2895.07693</v>
      </c>
      <c r="Y48" s="7" t="n">
        <f aca="false">Y47*$D$2</f>
        <v>554.59752</v>
      </c>
      <c r="Z48" s="7" t="n">
        <f aca="false">Z47*$D$2</f>
        <v>3449.67445</v>
      </c>
      <c r="AA48" s="11"/>
      <c r="AB48" s="12"/>
      <c r="AC48" s="12"/>
      <c r="AD48" s="13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</row>
    <row r="50" customFormat="false" ht="14.1" hidden="false" customHeight="true" outlineLevel="0" collapsed="false">
      <c r="A50" s="42"/>
      <c r="B50" s="43"/>
      <c r="C50" s="7"/>
      <c r="D50" s="6"/>
      <c r="E50" s="7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11"/>
      <c r="AA50" s="11"/>
      <c r="AB50" s="12"/>
      <c r="AC50" s="12"/>
      <c r="AD50" s="13"/>
    </row>
    <row r="51" customFormat="false" ht="11.1" hidden="false" customHeight="true" outlineLevel="0" collapsed="false">
      <c r="A51" s="6"/>
      <c r="B51" s="31"/>
      <c r="C51" s="7"/>
      <c r="D51" s="41"/>
      <c r="E51" s="7"/>
      <c r="F51" s="6"/>
      <c r="G51" s="6"/>
      <c r="H51" s="11"/>
      <c r="I51" s="8"/>
      <c r="J51" s="6"/>
      <c r="K51" s="44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11"/>
      <c r="AA51" s="11"/>
      <c r="AB51" s="12"/>
      <c r="AC51" s="12"/>
      <c r="AD51" s="13"/>
    </row>
    <row r="52" customFormat="false" ht="11.1" hidden="false" customHeight="true" outlineLevel="0" collapsed="false">
      <c r="B52" s="41"/>
      <c r="C52" s="7"/>
      <c r="D52" s="7"/>
      <c r="E52" s="7"/>
      <c r="F52" s="41"/>
      <c r="G52" s="41"/>
      <c r="H52" s="11"/>
      <c r="I52" s="41"/>
      <c r="J52" s="41"/>
      <c r="K52" s="41"/>
      <c r="L52" s="41"/>
      <c r="M52" s="39"/>
      <c r="N52" s="39"/>
      <c r="O52" s="39"/>
      <c r="P52" s="39"/>
      <c r="Q52" s="41"/>
      <c r="R52" s="41"/>
      <c r="S52" s="41"/>
      <c r="T52" s="7"/>
      <c r="U52" s="41"/>
      <c r="V52" s="41"/>
      <c r="W52" s="7"/>
      <c r="X52" s="41"/>
      <c r="Y52" s="41"/>
      <c r="Z52" s="11"/>
      <c r="AA52" s="11"/>
      <c r="AB52" s="12"/>
      <c r="AC52" s="12"/>
      <c r="AD52" s="13"/>
    </row>
    <row r="53" customFormat="false" ht="11.1" hidden="false" customHeight="true" outlineLevel="0" collapsed="false">
      <c r="A53" s="41"/>
      <c r="B53" s="10"/>
      <c r="C53" s="7"/>
      <c r="D53" s="7"/>
      <c r="E53" s="7"/>
      <c r="F53" s="41"/>
      <c r="G53" s="41"/>
      <c r="H53" s="11"/>
      <c r="I53" s="41"/>
      <c r="J53" s="41"/>
      <c r="K53" s="41"/>
      <c r="L53" s="41"/>
      <c r="M53" s="39"/>
      <c r="N53" s="39"/>
      <c r="O53" s="39"/>
      <c r="P53" s="39"/>
      <c r="Q53" s="41"/>
      <c r="R53" s="41"/>
      <c r="S53" s="41"/>
      <c r="T53" s="7"/>
      <c r="U53" s="41"/>
      <c r="V53" s="41"/>
      <c r="W53" s="7"/>
      <c r="X53" s="41"/>
      <c r="Y53" s="41"/>
      <c r="Z53" s="11"/>
      <c r="AA53" s="11"/>
      <c r="AB53" s="12"/>
      <c r="AC53" s="12"/>
      <c r="AD53" s="13"/>
    </row>
    <row r="54" customFormat="false" ht="11.1" hidden="false" customHeight="true" outlineLevel="0" collapsed="false">
      <c r="A54" s="41"/>
      <c r="B54" s="41"/>
      <c r="C54" s="7"/>
      <c r="D54" s="41"/>
      <c r="E54" s="7"/>
      <c r="F54" s="41"/>
      <c r="G54" s="45"/>
      <c r="H54" s="11"/>
      <c r="I54" s="41"/>
      <c r="J54" s="41"/>
      <c r="K54" s="41"/>
      <c r="L54" s="41"/>
      <c r="M54" s="39"/>
      <c r="N54" s="39"/>
      <c r="O54" s="39"/>
      <c r="P54" s="41"/>
      <c r="Q54" s="41"/>
      <c r="R54" s="41"/>
      <c r="S54" s="7"/>
      <c r="T54" s="41"/>
      <c r="U54" s="41"/>
      <c r="V54" s="7"/>
      <c r="W54" s="41"/>
      <c r="X54" s="41"/>
      <c r="Y54" s="41"/>
      <c r="Z54" s="11"/>
      <c r="AA54" s="11"/>
      <c r="AB54" s="12"/>
      <c r="AC54" s="13"/>
    </row>
  </sheetData>
  <mergeCells count="1"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C16" activeCellId="0" sqref="C16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7"/>
    <col collapsed="false" customWidth="true" hidden="false" outlineLevel="0" max="28" min="28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55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</row>
    <row r="5" customFormat="false" ht="11.1" hidden="false" customHeight="true" outlineLevel="0" collapsed="false">
      <c r="A5" s="69" t="s">
        <v>56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56</v>
      </c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9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</row>
    <row r="8" s="47" customFormat="true" ht="11.1" hidden="false" customHeight="true" outlineLevel="0" collapsed="false">
      <c r="A8" s="54" t="s">
        <v>45</v>
      </c>
      <c r="B8" s="75" t="n">
        <f aca="false">NOV!B39</f>
        <v>6876.46</v>
      </c>
      <c r="C8" s="54" t="n">
        <f aca="false">NOV!C39</f>
        <v>205744</v>
      </c>
      <c r="D8" s="54" t="n">
        <f aca="false">NOV!$D$48</f>
        <v>-202</v>
      </c>
      <c r="E8" s="54" t="n">
        <f aca="false">NOV!$E$39</f>
        <v>53744</v>
      </c>
      <c r="F8" s="54" t="n">
        <f aca="false">NOV!F47</f>
        <v>-101.840181497353</v>
      </c>
      <c r="G8" s="54" t="n">
        <f aca="false">NOV!G47</f>
        <v>1172</v>
      </c>
      <c r="H8" s="59" t="n">
        <f aca="false">NOV!H47</f>
        <v>0</v>
      </c>
      <c r="I8" s="54" t="n">
        <f aca="false">NOV!I47</f>
        <v>1172</v>
      </c>
      <c r="J8" s="54" t="n">
        <f aca="false">NOV!J47</f>
        <v>465.34532392236</v>
      </c>
      <c r="K8" s="54" t="n">
        <f aca="false">NOV!K47</f>
        <v>1637.34532392236</v>
      </c>
      <c r="L8" s="54" t="n">
        <f aca="false">NOV!L47</f>
        <v>185.739818502647</v>
      </c>
      <c r="M8" s="54" t="n">
        <f aca="false">NOV!M47</f>
        <v>365.08</v>
      </c>
      <c r="N8" s="54" t="n">
        <f aca="false">NOV!N47</f>
        <v>5</v>
      </c>
      <c r="O8" s="54" t="n">
        <f aca="false">NOV!O47</f>
        <v>457.766</v>
      </c>
      <c r="P8" s="54" t="n">
        <f aca="false">NOV!P47</f>
        <v>304.514</v>
      </c>
      <c r="Q8" s="54" t="n">
        <f aca="false">NOV!Q47</f>
        <v>0</v>
      </c>
      <c r="R8" s="54" t="n">
        <f aca="false">NOV!R47</f>
        <v>127.5</v>
      </c>
      <c r="S8" s="54" t="n">
        <f aca="false">NOV!S47</f>
        <v>432.014</v>
      </c>
      <c r="T8" s="54" t="n">
        <f aca="false">NOV!T47</f>
        <v>0</v>
      </c>
      <c r="U8" s="54" t="n">
        <f aca="false">NOV!U47</f>
        <v>0</v>
      </c>
      <c r="V8" s="54" t="n">
        <f aca="false">NOV!V47</f>
        <v>967</v>
      </c>
      <c r="W8" s="54" t="n">
        <f aca="false">NOV!W47</f>
        <v>3835</v>
      </c>
      <c r="X8" s="54" t="n">
        <f aca="false">NOV!X47</f>
        <v>1459.58</v>
      </c>
      <c r="Y8" s="54" t="n">
        <f aca="false">NOV!Y47</f>
        <v>279.605505419713</v>
      </c>
      <c r="Z8" s="54" t="n">
        <f aca="false">NOV!Z47</f>
        <v>1739.18550541971</v>
      </c>
      <c r="AA8" s="58" t="n">
        <f aca="false">NOV!AA47</f>
        <v>1.92</v>
      </c>
      <c r="AB8" s="59"/>
      <c r="AC8" s="59"/>
      <c r="AD8" s="6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</row>
    <row r="10" customFormat="false" ht="11.1" hidden="false" customHeight="true" outlineLevel="0" collapsed="false">
      <c r="A10" s="60" t="n">
        <v>1</v>
      </c>
      <c r="B10" s="75" t="n">
        <v>6876.47</v>
      </c>
      <c r="C10" s="54" t="n">
        <v>205773</v>
      </c>
      <c r="D10" s="59" t="n">
        <f aca="false">C10-C8</f>
        <v>29</v>
      </c>
      <c r="E10" s="54" t="n">
        <f aca="false">C10-152000</f>
        <v>53773</v>
      </c>
      <c r="F10" s="53" t="n">
        <f aca="false">D10/$D$2</f>
        <v>14.6206201159566</v>
      </c>
      <c r="G10" s="53" t="n">
        <v>48</v>
      </c>
      <c r="H10" s="55" t="n">
        <v>0</v>
      </c>
      <c r="I10" s="53" t="n">
        <f aca="false">G10+H10</f>
        <v>48</v>
      </c>
      <c r="J10" s="83" t="n">
        <f aca="false">IF(L10&gt;0,L10,0)</f>
        <v>2.02062011595664</v>
      </c>
      <c r="K10" s="53" t="n">
        <f aca="false">I10+J10</f>
        <v>50.0206201159566</v>
      </c>
      <c r="L10" s="53" t="n">
        <f aca="false">F10-(I10-X10)</f>
        <v>2.02062011595664</v>
      </c>
      <c r="M10" s="53" t="n">
        <v>4.4</v>
      </c>
      <c r="N10" s="53" t="n">
        <v>0</v>
      </c>
      <c r="O10" s="53" t="n">
        <v>0</v>
      </c>
      <c r="P10" s="6" t="n">
        <f aca="false">M10-(N10+O10)</f>
        <v>4.4</v>
      </c>
      <c r="Q10" s="53" t="n">
        <v>0</v>
      </c>
      <c r="R10" s="53" t="n">
        <v>0</v>
      </c>
      <c r="S10" s="53" t="n">
        <f aca="false">SUM(P10:R10)</f>
        <v>4.4</v>
      </c>
      <c r="T10" s="54"/>
      <c r="U10" s="53" t="n">
        <v>0</v>
      </c>
      <c r="V10" s="53" t="n">
        <v>31</v>
      </c>
      <c r="W10" s="54" t="n">
        <f aca="false">W8-V10</f>
        <v>3804</v>
      </c>
      <c r="X10" s="6" t="n">
        <f aca="false">N10+O10+S10+U10+V10</f>
        <v>35.4</v>
      </c>
      <c r="Y10" s="53" t="n">
        <f aca="false">IF(L10&lt;0,L10*-1,0)</f>
        <v>0</v>
      </c>
      <c r="Z10" s="53" t="n">
        <f aca="false">X10+Y10</f>
        <v>35.4</v>
      </c>
      <c r="AA10" s="58" t="n">
        <v>0</v>
      </c>
      <c r="AB10" s="59" t="n">
        <v>38</v>
      </c>
      <c r="AC10" s="59" t="n">
        <v>17</v>
      </c>
      <c r="AD10" s="60" t="n">
        <v>1</v>
      </c>
    </row>
    <row r="11" customFormat="false" ht="11.1" hidden="false" customHeight="true" outlineLevel="0" collapsed="false">
      <c r="A11" s="60" t="n">
        <f aca="false">A10+1</f>
        <v>2</v>
      </c>
      <c r="B11" s="75" t="n">
        <v>6876.49</v>
      </c>
      <c r="C11" s="54" t="n">
        <v>205830</v>
      </c>
      <c r="D11" s="59" t="n">
        <f aca="false">C11-C10</f>
        <v>57</v>
      </c>
      <c r="E11" s="54" t="n">
        <f aca="false">C11-152000</f>
        <v>53830</v>
      </c>
      <c r="F11" s="53" t="n">
        <f aca="false">D11/$D$2</f>
        <v>28.7370809175699</v>
      </c>
      <c r="G11" s="53" t="n">
        <v>44</v>
      </c>
      <c r="H11" s="55" t="n">
        <v>0</v>
      </c>
      <c r="I11" s="53" t="n">
        <f aca="false">G11+H11</f>
        <v>44</v>
      </c>
      <c r="J11" s="83" t="n">
        <f aca="false">IF(L11&gt;0,L11,0)</f>
        <v>19.0370809175699</v>
      </c>
      <c r="K11" s="53" t="n">
        <f aca="false">I11+J11</f>
        <v>63.03708091757</v>
      </c>
      <c r="L11" s="53" t="n">
        <f aca="false">F11-(I11-X11)</f>
        <v>19.0370809175699</v>
      </c>
      <c r="M11" s="53" t="n">
        <v>4.3</v>
      </c>
      <c r="N11" s="53" t="n">
        <v>0</v>
      </c>
      <c r="O11" s="53" t="n">
        <v>0</v>
      </c>
      <c r="P11" s="6" t="n">
        <f aca="false">M11-(N11+O11)</f>
        <v>4.3</v>
      </c>
      <c r="Q11" s="53" t="n">
        <v>0</v>
      </c>
      <c r="R11" s="53" t="n">
        <v>0</v>
      </c>
      <c r="S11" s="53" t="n">
        <f aca="false">SUM(P11:R11)</f>
        <v>4.3</v>
      </c>
      <c r="T11" s="54"/>
      <c r="U11" s="53" t="n">
        <v>0</v>
      </c>
      <c r="V11" s="53" t="n">
        <v>30</v>
      </c>
      <c r="W11" s="54" t="n">
        <f aca="false">W10-V11</f>
        <v>3774</v>
      </c>
      <c r="X11" s="6" t="n">
        <f aca="false">N11+O11+S11+U11+V11</f>
        <v>34.3</v>
      </c>
      <c r="Y11" s="53" t="n">
        <f aca="false">IF(L11&lt;0,L11*-1,0)</f>
        <v>0</v>
      </c>
      <c r="Z11" s="53" t="n">
        <f aca="false">X11+Y11</f>
        <v>34.3</v>
      </c>
      <c r="AA11" s="58" t="n">
        <v>0</v>
      </c>
      <c r="AB11" s="59" t="n">
        <v>45</v>
      </c>
      <c r="AC11" s="59" t="n">
        <v>33</v>
      </c>
      <c r="AD11" s="60" t="n">
        <f aca="false">AD10+1</f>
        <v>2</v>
      </c>
    </row>
    <row r="12" customFormat="false" ht="11.1" hidden="false" customHeight="true" outlineLevel="0" collapsed="false">
      <c r="A12" s="60" t="n">
        <f aca="false">A11+1</f>
        <v>3</v>
      </c>
      <c r="B12" s="75" t="n">
        <v>6876.51</v>
      </c>
      <c r="C12" s="54" t="n">
        <v>205888</v>
      </c>
      <c r="D12" s="59" t="n">
        <f aca="false">C12-C11</f>
        <v>58</v>
      </c>
      <c r="E12" s="54" t="n">
        <f aca="false">C12-152000</f>
        <v>53888</v>
      </c>
      <c r="F12" s="53" t="n">
        <f aca="false">D12/$D$2</f>
        <v>29.2412402319133</v>
      </c>
      <c r="G12" s="53" t="n">
        <v>58</v>
      </c>
      <c r="H12" s="55" t="n">
        <v>0</v>
      </c>
      <c r="I12" s="53" t="n">
        <f aca="false">G12+H12</f>
        <v>58</v>
      </c>
      <c r="J12" s="83" t="n">
        <f aca="false">IF(L12&gt;0,L12,0)</f>
        <v>5.99124023191328</v>
      </c>
      <c r="K12" s="53" t="n">
        <f aca="false">I12+J12</f>
        <v>63.9912402319133</v>
      </c>
      <c r="L12" s="53" t="n">
        <f aca="false">F12-(I12-X12)</f>
        <v>5.99124023191328</v>
      </c>
      <c r="M12" s="53" t="n">
        <v>3.75</v>
      </c>
      <c r="N12" s="53" t="n">
        <v>0</v>
      </c>
      <c r="O12" s="53" t="n">
        <v>0</v>
      </c>
      <c r="P12" s="6" t="n">
        <f aca="false">M12-(N12+O12)</f>
        <v>3.75</v>
      </c>
      <c r="Q12" s="53" t="n">
        <v>0</v>
      </c>
      <c r="R12" s="53" t="n">
        <v>0</v>
      </c>
      <c r="S12" s="53" t="n">
        <f aca="false">SUM(P12:R12)</f>
        <v>3.75</v>
      </c>
      <c r="T12" s="54"/>
      <c r="U12" s="53" t="n">
        <v>0</v>
      </c>
      <c r="V12" s="53" t="n">
        <v>31</v>
      </c>
      <c r="W12" s="54" t="n">
        <f aca="false">W11-V12</f>
        <v>3743</v>
      </c>
      <c r="X12" s="6" t="n">
        <f aca="false">N12+O12+S12+U12+V12</f>
        <v>34.75</v>
      </c>
      <c r="Y12" s="53" t="n">
        <f aca="false">IF(L12&lt;0,L12*-1,0)</f>
        <v>0</v>
      </c>
      <c r="Z12" s="53" t="n">
        <f aca="false">X12+Y12</f>
        <v>34.75</v>
      </c>
      <c r="AA12" s="58" t="n">
        <v>0</v>
      </c>
      <c r="AB12" s="59" t="n">
        <v>46</v>
      </c>
      <c r="AC12" s="59" t="n">
        <v>33</v>
      </c>
      <c r="AD12" s="60" t="n">
        <f aca="false">AD11+1</f>
        <v>3</v>
      </c>
    </row>
    <row r="13" customFormat="false" ht="11.1" hidden="false" customHeight="true" outlineLevel="0" collapsed="false">
      <c r="A13" s="60" t="n">
        <f aca="false">A12+1</f>
        <v>4</v>
      </c>
      <c r="B13" s="75" t="n">
        <v>6876.54</v>
      </c>
      <c r="C13" s="54" t="n">
        <v>205975</v>
      </c>
      <c r="D13" s="59" t="n">
        <f aca="false">C13-C12</f>
        <v>87</v>
      </c>
      <c r="E13" s="54" t="n">
        <f aca="false">C13-152000</f>
        <v>53975</v>
      </c>
      <c r="F13" s="53" t="n">
        <f aca="false">D13/$D$2</f>
        <v>43.8618603478699</v>
      </c>
      <c r="G13" s="53" t="n">
        <v>62</v>
      </c>
      <c r="H13" s="55" t="n">
        <v>0</v>
      </c>
      <c r="I13" s="53" t="n">
        <f aca="false">G13+H13</f>
        <v>62</v>
      </c>
      <c r="J13" s="83" t="n">
        <f aca="false">IF(L13&gt;0,L13,0)</f>
        <v>15.0418603478699</v>
      </c>
      <c r="K13" s="53" t="n">
        <f aca="false">I13+J13</f>
        <v>77.0418603478699</v>
      </c>
      <c r="L13" s="53" t="n">
        <f aca="false">F13-(I13-X13)</f>
        <v>15.0418603478699</v>
      </c>
      <c r="M13" s="53" t="n">
        <v>3.18</v>
      </c>
      <c r="N13" s="53" t="n">
        <v>0</v>
      </c>
      <c r="O13" s="53" t="n">
        <v>0</v>
      </c>
      <c r="P13" s="6" t="n">
        <f aca="false">M13-(N13+O13)</f>
        <v>3.18</v>
      </c>
      <c r="Q13" s="53" t="n">
        <v>0</v>
      </c>
      <c r="R13" s="53" t="n">
        <v>0</v>
      </c>
      <c r="S13" s="53" t="n">
        <f aca="false">SUM(P13:R13)</f>
        <v>3.18</v>
      </c>
      <c r="T13" s="54"/>
      <c r="U13" s="53" t="n">
        <v>0</v>
      </c>
      <c r="V13" s="53" t="n">
        <v>30</v>
      </c>
      <c r="W13" s="54" t="n">
        <f aca="false">W12-V13</f>
        <v>3713</v>
      </c>
      <c r="X13" s="6" t="n">
        <f aca="false">N13+O13+S13+U13+V13</f>
        <v>33.18</v>
      </c>
      <c r="Y13" s="53" t="n">
        <f aca="false">IF(L13&lt;0,L13*-1,0)</f>
        <v>0</v>
      </c>
      <c r="Z13" s="53" t="n">
        <f aca="false">X13+Y13</f>
        <v>33.18</v>
      </c>
      <c r="AA13" s="58" t="n">
        <v>0.16</v>
      </c>
      <c r="AB13" s="59" t="n">
        <v>42</v>
      </c>
      <c r="AC13" s="59" t="n">
        <v>25</v>
      </c>
      <c r="AD13" s="60" t="n">
        <f aca="false">AD12+1</f>
        <v>4</v>
      </c>
    </row>
    <row r="14" customFormat="false" ht="11.1" hidden="false" customHeight="true" outlineLevel="0" collapsed="false">
      <c r="A14" s="60" t="n">
        <f aca="false">A13+1</f>
        <v>5</v>
      </c>
      <c r="B14" s="75" t="n">
        <v>6876.56</v>
      </c>
      <c r="C14" s="54" t="n">
        <v>206033</v>
      </c>
      <c r="D14" s="59" t="n">
        <f aca="false">C14-C13</f>
        <v>58</v>
      </c>
      <c r="E14" s="54" t="n">
        <f aca="false">C14-152000</f>
        <v>54033</v>
      </c>
      <c r="F14" s="53" t="n">
        <f aca="false">D14/$D$2</f>
        <v>29.2412402319133</v>
      </c>
      <c r="G14" s="53" t="n">
        <v>62</v>
      </c>
      <c r="H14" s="55" t="n">
        <v>0</v>
      </c>
      <c r="I14" s="53" t="n">
        <f aca="false">G14+H14</f>
        <v>62</v>
      </c>
      <c r="J14" s="83" t="n">
        <f aca="false">IF(L14&gt;0,L14,0)</f>
        <v>0.321240231913283</v>
      </c>
      <c r="K14" s="53" t="n">
        <f aca="false">I14+J14</f>
        <v>62.3212402319133</v>
      </c>
      <c r="L14" s="53" t="n">
        <f aca="false">F14-(I14-X14)</f>
        <v>0.321240231913283</v>
      </c>
      <c r="M14" s="53" t="n">
        <v>3.08</v>
      </c>
      <c r="N14" s="53" t="n">
        <v>0</v>
      </c>
      <c r="O14" s="53" t="n">
        <v>0</v>
      </c>
      <c r="P14" s="6" t="n">
        <f aca="false">M14-(N14+O14)</f>
        <v>3.08</v>
      </c>
      <c r="Q14" s="53" t="n">
        <v>0</v>
      </c>
      <c r="R14" s="53" t="n">
        <v>0</v>
      </c>
      <c r="S14" s="53" t="n">
        <f aca="false">SUM(P14:R14)</f>
        <v>3.08</v>
      </c>
      <c r="T14" s="54"/>
      <c r="U14" s="53" t="n">
        <v>0</v>
      </c>
      <c r="V14" s="53" t="n">
        <v>30</v>
      </c>
      <c r="W14" s="54" t="n">
        <f aca="false">W13-V14</f>
        <v>3683</v>
      </c>
      <c r="X14" s="6" t="n">
        <f aca="false">N14+O14+S14+U14+V14</f>
        <v>33.08</v>
      </c>
      <c r="Y14" s="53" t="n">
        <f aca="false">IF(L14&lt;0,L14*-1,0)</f>
        <v>0</v>
      </c>
      <c r="Z14" s="53" t="n">
        <f aca="false">X14+Y14</f>
        <v>33.08</v>
      </c>
      <c r="AA14" s="58" t="n">
        <v>0</v>
      </c>
      <c r="AB14" s="59" t="n">
        <v>34</v>
      </c>
      <c r="AC14" s="59" t="n">
        <v>13</v>
      </c>
      <c r="AD14" s="60" t="n">
        <f aca="false">AD13+1</f>
        <v>5</v>
      </c>
    </row>
    <row r="15" customFormat="false" ht="11.1" hidden="false" customHeight="true" outlineLevel="0" collapsed="false">
      <c r="A15" s="60" t="n">
        <f aca="false">A14+1</f>
        <v>6</v>
      </c>
      <c r="B15" s="75" t="n">
        <v>6876.55</v>
      </c>
      <c r="C15" s="54" t="n">
        <v>206004</v>
      </c>
      <c r="D15" s="59" t="n">
        <f aca="false">C15-C14</f>
        <v>-29</v>
      </c>
      <c r="E15" s="54" t="n">
        <f aca="false">C15-152000</f>
        <v>54004</v>
      </c>
      <c r="F15" s="53" t="n">
        <f aca="false">D15/$D$2</f>
        <v>-14.6206201159566</v>
      </c>
      <c r="G15" s="53" t="n">
        <v>42</v>
      </c>
      <c r="H15" s="55" t="n">
        <v>0</v>
      </c>
      <c r="I15" s="53" t="n">
        <f aca="false">G15+H15</f>
        <v>42</v>
      </c>
      <c r="J15" s="83" t="n">
        <f aca="false">IF(L15&gt;0,L15,0)</f>
        <v>0</v>
      </c>
      <c r="K15" s="53" t="n">
        <f aca="false">I15+J15</f>
        <v>42</v>
      </c>
      <c r="L15" s="53" t="n">
        <f aca="false">F15-(I15-X15)</f>
        <v>-22.4706201159566</v>
      </c>
      <c r="M15" s="53" t="n">
        <v>3.15</v>
      </c>
      <c r="N15" s="53" t="n">
        <v>0</v>
      </c>
      <c r="O15" s="53" t="n">
        <v>0</v>
      </c>
      <c r="P15" s="6" t="n">
        <f aca="false">M15-(N15+O15)</f>
        <v>3.15</v>
      </c>
      <c r="Q15" s="53" t="n">
        <v>0</v>
      </c>
      <c r="R15" s="53" t="n">
        <v>0</v>
      </c>
      <c r="S15" s="53" t="n">
        <f aca="false">SUM(P15:R15)</f>
        <v>3.15</v>
      </c>
      <c r="T15" s="54"/>
      <c r="U15" s="53" t="n">
        <v>0</v>
      </c>
      <c r="V15" s="53" t="n">
        <v>31</v>
      </c>
      <c r="W15" s="54" t="n">
        <f aca="false">W14-V15</f>
        <v>3652</v>
      </c>
      <c r="X15" s="6" t="n">
        <f aca="false">N15+O15+S15+U15+V15</f>
        <v>34.15</v>
      </c>
      <c r="Y15" s="53" t="n">
        <f aca="false">IF(L15&lt;0,L15*-1,0)</f>
        <v>22.4706201159566</v>
      </c>
      <c r="Z15" s="53" t="n">
        <f aca="false">X15+Y15</f>
        <v>56.6206201159566</v>
      </c>
      <c r="AA15" s="58" t="n">
        <v>0</v>
      </c>
      <c r="AB15" s="59" t="n">
        <v>41</v>
      </c>
      <c r="AC15" s="59" t="n">
        <v>15</v>
      </c>
      <c r="AD15" s="60" t="n">
        <f aca="false">AD14+1</f>
        <v>6</v>
      </c>
    </row>
    <row r="16" customFormat="false" ht="11.1" hidden="false" customHeight="true" outlineLevel="0" collapsed="false">
      <c r="A16" s="60" t="n">
        <f aca="false">A15+1</f>
        <v>7</v>
      </c>
      <c r="B16" s="75" t="n">
        <v>6876.55</v>
      </c>
      <c r="C16" s="54" t="n">
        <v>206004</v>
      </c>
      <c r="D16" s="59" t="n">
        <f aca="false">C16-C15</f>
        <v>0</v>
      </c>
      <c r="E16" s="54" t="n">
        <f aca="false">C16-152000</f>
        <v>54004</v>
      </c>
      <c r="F16" s="53" t="n">
        <f aca="false">D16/$D$2</f>
        <v>0</v>
      </c>
      <c r="G16" s="53" t="n">
        <v>47</v>
      </c>
      <c r="H16" s="55" t="n">
        <v>0</v>
      </c>
      <c r="I16" s="53" t="n">
        <f aca="false">G16+H16</f>
        <v>47</v>
      </c>
      <c r="J16" s="83" t="n">
        <f aca="false">IF(L16&gt;0,L16,0)</f>
        <v>0</v>
      </c>
      <c r="K16" s="53" t="n">
        <f aca="false">I16+J16</f>
        <v>47</v>
      </c>
      <c r="L16" s="53" t="n">
        <f aca="false">F16-(I16-X16)</f>
        <v>-12.61</v>
      </c>
      <c r="M16" s="53" t="n">
        <v>3.39</v>
      </c>
      <c r="N16" s="53" t="n">
        <v>0</v>
      </c>
      <c r="O16" s="53" t="n">
        <v>0</v>
      </c>
      <c r="P16" s="6" t="n">
        <f aca="false">M16-(N16+O16)</f>
        <v>3.39</v>
      </c>
      <c r="Q16" s="53" t="n">
        <v>0</v>
      </c>
      <c r="R16" s="53" t="n">
        <v>0</v>
      </c>
      <c r="S16" s="53" t="n">
        <f aca="false">SUM(P16:R16)</f>
        <v>3.39</v>
      </c>
      <c r="T16" s="54"/>
      <c r="U16" s="53" t="n">
        <v>0</v>
      </c>
      <c r="V16" s="53" t="n">
        <v>31</v>
      </c>
      <c r="W16" s="54" t="n">
        <f aca="false">W15-V16</f>
        <v>3621</v>
      </c>
      <c r="X16" s="6" t="n">
        <f aca="false">N16+O16+S16+U16+V16</f>
        <v>34.39</v>
      </c>
      <c r="Y16" s="53" t="n">
        <f aca="false">IF(L16&lt;0,L16*-1,0)</f>
        <v>12.61</v>
      </c>
      <c r="Z16" s="53" t="n">
        <f aca="false">X16+Y16</f>
        <v>47</v>
      </c>
      <c r="AA16" s="58" t="n">
        <v>0</v>
      </c>
      <c r="AB16" s="59" t="n">
        <v>37</v>
      </c>
      <c r="AC16" s="59" t="n">
        <v>18</v>
      </c>
      <c r="AD16" s="60" t="n">
        <f aca="false">AD15+1</f>
        <v>7</v>
      </c>
    </row>
    <row r="17" customFormat="false" ht="11.1" hidden="false" customHeight="true" outlineLevel="0" collapsed="false">
      <c r="A17" s="60" t="n">
        <f aca="false">A16+1</f>
        <v>8</v>
      </c>
      <c r="B17" s="75" t="n">
        <v>6876.54</v>
      </c>
      <c r="C17" s="54" t="n">
        <v>205975</v>
      </c>
      <c r="D17" s="59" t="n">
        <f aca="false">C17-C16</f>
        <v>-29</v>
      </c>
      <c r="E17" s="54" t="n">
        <f aca="false">C17-152000</f>
        <v>53975</v>
      </c>
      <c r="F17" s="53" t="n">
        <f aca="false">D17/$D$2</f>
        <v>-14.6206201159566</v>
      </c>
      <c r="G17" s="53" t="n">
        <v>43</v>
      </c>
      <c r="H17" s="55" t="n">
        <v>0</v>
      </c>
      <c r="I17" s="53" t="n">
        <f aca="false">G17+H17</f>
        <v>43</v>
      </c>
      <c r="J17" s="83" t="n">
        <f aca="false">IF(L17&gt;0,L17,0)</f>
        <v>0</v>
      </c>
      <c r="K17" s="53" t="n">
        <f aca="false">I17+J17</f>
        <v>43</v>
      </c>
      <c r="L17" s="53" t="n">
        <f aca="false">F17-(I17-X17)</f>
        <v>-23.2306201159566</v>
      </c>
      <c r="M17" s="53" t="n">
        <v>3.39</v>
      </c>
      <c r="N17" s="53" t="n">
        <v>0</v>
      </c>
      <c r="O17" s="53" t="n">
        <v>0</v>
      </c>
      <c r="P17" s="6" t="n">
        <f aca="false">M17-(N17+O17)</f>
        <v>3.39</v>
      </c>
      <c r="Q17" s="53" t="n">
        <v>0</v>
      </c>
      <c r="R17" s="53" t="n">
        <v>0</v>
      </c>
      <c r="S17" s="53" t="n">
        <f aca="false">SUM(P17:R17)</f>
        <v>3.39</v>
      </c>
      <c r="T17" s="54"/>
      <c r="U17" s="53" t="n">
        <v>0</v>
      </c>
      <c r="V17" s="53" t="n">
        <v>31</v>
      </c>
      <c r="W17" s="54" t="n">
        <f aca="false">W16-V17</f>
        <v>3590</v>
      </c>
      <c r="X17" s="6" t="n">
        <f aca="false">N17+O17+S17+U17+V17</f>
        <v>34.39</v>
      </c>
      <c r="Y17" s="53" t="n">
        <f aca="false">IF(L17&lt;0,L17*-1,0)</f>
        <v>23.2306201159566</v>
      </c>
      <c r="Z17" s="53" t="n">
        <f aca="false">X17+Y17</f>
        <v>57.6206201159566</v>
      </c>
      <c r="AA17" s="58" t="n">
        <v>0</v>
      </c>
      <c r="AB17" s="59" t="n">
        <v>40</v>
      </c>
      <c r="AC17" s="59" t="n">
        <v>11</v>
      </c>
      <c r="AD17" s="60" t="n">
        <f aca="false">AD16+1</f>
        <v>8</v>
      </c>
    </row>
    <row r="18" customFormat="false" ht="11.1" hidden="false" customHeight="true" outlineLevel="0" collapsed="false">
      <c r="A18" s="60" t="n">
        <f aca="false">A17+1</f>
        <v>9</v>
      </c>
      <c r="B18" s="75" t="n">
        <v>6876.53</v>
      </c>
      <c r="C18" s="54" t="n">
        <v>205946</v>
      </c>
      <c r="D18" s="59" t="n">
        <f aca="false">C18-C17</f>
        <v>-29</v>
      </c>
      <c r="E18" s="54" t="n">
        <f aca="false">C18-152000</f>
        <v>53946</v>
      </c>
      <c r="F18" s="53" t="n">
        <f aca="false">D18/$D$2</f>
        <v>-14.6206201159566</v>
      </c>
      <c r="G18" s="53" t="n">
        <v>42</v>
      </c>
      <c r="H18" s="55" t="n">
        <v>0</v>
      </c>
      <c r="I18" s="53" t="n">
        <f aca="false">G18+H18</f>
        <v>42</v>
      </c>
      <c r="J18" s="83" t="n">
        <f aca="false">IF(L18&gt;0,L18,0)</f>
        <v>0</v>
      </c>
      <c r="K18" s="53" t="n">
        <f aca="false">I18+J18</f>
        <v>42</v>
      </c>
      <c r="L18" s="53" t="n">
        <f aca="false">F18-(I18-X18)</f>
        <v>-22.2306201159566</v>
      </c>
      <c r="M18" s="53" t="n">
        <v>3.39</v>
      </c>
      <c r="N18" s="53" t="n">
        <v>0</v>
      </c>
      <c r="O18" s="53" t="n">
        <v>0</v>
      </c>
      <c r="P18" s="6" t="n">
        <f aca="false">M18-(N18+O18)</f>
        <v>3.39</v>
      </c>
      <c r="Q18" s="53" t="n">
        <v>0</v>
      </c>
      <c r="R18" s="53" t="n">
        <v>0</v>
      </c>
      <c r="S18" s="53" t="n">
        <f aca="false">SUM(P18:R18)</f>
        <v>3.39</v>
      </c>
      <c r="T18" s="54"/>
      <c r="U18" s="53" t="n">
        <v>0</v>
      </c>
      <c r="V18" s="53" t="n">
        <v>31</v>
      </c>
      <c r="W18" s="54" t="n">
        <f aca="false">W17-V18</f>
        <v>3559</v>
      </c>
      <c r="X18" s="6" t="n">
        <f aca="false">N18+O18+S18+U18+V18</f>
        <v>34.39</v>
      </c>
      <c r="Y18" s="53" t="n">
        <f aca="false">IF(L18&lt;0,L18*-1,0)</f>
        <v>22.2306201159566</v>
      </c>
      <c r="Z18" s="53" t="n">
        <f aca="false">X18+Y18</f>
        <v>56.6206201159566</v>
      </c>
      <c r="AA18" s="58" t="n">
        <v>0</v>
      </c>
      <c r="AB18" s="84" t="n">
        <v>46</v>
      </c>
      <c r="AC18" s="59" t="n">
        <v>14</v>
      </c>
      <c r="AD18" s="60" t="n">
        <f aca="false">AD17+1</f>
        <v>9</v>
      </c>
    </row>
    <row r="19" customFormat="false" ht="11.1" hidden="false" customHeight="true" outlineLevel="0" collapsed="false">
      <c r="A19" s="60" t="n">
        <f aca="false">A18+1</f>
        <v>10</v>
      </c>
      <c r="B19" s="75" t="n">
        <v>6876.52</v>
      </c>
      <c r="C19" s="54" t="n">
        <v>205917</v>
      </c>
      <c r="D19" s="59" t="n">
        <f aca="false">C19-C18</f>
        <v>-29</v>
      </c>
      <c r="E19" s="54" t="n">
        <f aca="false">C19-152000</f>
        <v>53917</v>
      </c>
      <c r="F19" s="53" t="n">
        <f aca="false">D19/$D$2</f>
        <v>-14.6206201159566</v>
      </c>
      <c r="G19" s="53" t="n">
        <v>49</v>
      </c>
      <c r="H19" s="55" t="n">
        <v>0</v>
      </c>
      <c r="I19" s="53" t="n">
        <f aca="false">G19+H19</f>
        <v>49</v>
      </c>
      <c r="J19" s="83" t="n">
        <f aca="false">IF(L19&gt;0,L19,0)</f>
        <v>0</v>
      </c>
      <c r="K19" s="53" t="n">
        <f aca="false">I19+J19</f>
        <v>49</v>
      </c>
      <c r="L19" s="53" t="n">
        <f aca="false">F19-(I19-X19)</f>
        <v>-28.9206201159566</v>
      </c>
      <c r="M19" s="53" t="n">
        <v>3.7</v>
      </c>
      <c r="N19" s="53" t="n">
        <v>0</v>
      </c>
      <c r="O19" s="53" t="n">
        <v>0</v>
      </c>
      <c r="P19" s="6" t="n">
        <f aca="false">M19-(N19+O19)</f>
        <v>3.7</v>
      </c>
      <c r="Q19" s="53" t="n">
        <v>0</v>
      </c>
      <c r="R19" s="53" t="n">
        <v>0</v>
      </c>
      <c r="S19" s="53" t="n">
        <f aca="false">SUM(P19:R19)</f>
        <v>3.7</v>
      </c>
      <c r="T19" s="54"/>
      <c r="U19" s="53" t="n">
        <v>0</v>
      </c>
      <c r="V19" s="53" t="n">
        <v>31</v>
      </c>
      <c r="W19" s="54" t="n">
        <f aca="false">W18-V19</f>
        <v>3528</v>
      </c>
      <c r="X19" s="6" t="n">
        <f aca="false">N19+O19+S19+U19+V19</f>
        <v>34.7</v>
      </c>
      <c r="Y19" s="53" t="n">
        <f aca="false">IF(L19&lt;0,L19*-1,0)</f>
        <v>28.9206201159566</v>
      </c>
      <c r="Z19" s="53" t="n">
        <f aca="false">X19+Y19</f>
        <v>63.6206201159566</v>
      </c>
      <c r="AA19" s="58" t="n">
        <v>0.16</v>
      </c>
      <c r="AB19" s="59" t="n">
        <v>40</v>
      </c>
      <c r="AC19" s="59" t="n">
        <v>22</v>
      </c>
      <c r="AD19" s="60" t="n">
        <f aca="false">AD18+1</f>
        <v>10</v>
      </c>
    </row>
    <row r="20" customFormat="false" ht="11.1" hidden="false" customHeight="true" outlineLevel="0" collapsed="false">
      <c r="A20" s="60" t="n">
        <f aca="false">A19+1</f>
        <v>11</v>
      </c>
      <c r="B20" s="75" t="n">
        <v>6876.54</v>
      </c>
      <c r="C20" s="54" t="n">
        <v>205975</v>
      </c>
      <c r="D20" s="59" t="n">
        <f aca="false">C20-C19</f>
        <v>58</v>
      </c>
      <c r="E20" s="54" t="n">
        <f aca="false">C20-152000</f>
        <v>53975</v>
      </c>
      <c r="F20" s="53" t="n">
        <f aca="false">D20/$D$2</f>
        <v>29.2412402319133</v>
      </c>
      <c r="G20" s="53" t="n">
        <v>54</v>
      </c>
      <c r="H20" s="55" t="n">
        <v>0</v>
      </c>
      <c r="I20" s="53" t="n">
        <f aca="false">G20+H20</f>
        <v>54</v>
      </c>
      <c r="J20" s="83" t="n">
        <f aca="false">IF(L20&gt;0,L20,0)</f>
        <v>10.2012402319133</v>
      </c>
      <c r="K20" s="53" t="n">
        <f aca="false">I20+J20</f>
        <v>64.2012402319133</v>
      </c>
      <c r="L20" s="53" t="n">
        <f aca="false">F20-(I20-X20)</f>
        <v>10.2012402319133</v>
      </c>
      <c r="M20" s="53" t="n">
        <v>3.96</v>
      </c>
      <c r="N20" s="53" t="n">
        <v>0</v>
      </c>
      <c r="O20" s="53" t="n">
        <v>0</v>
      </c>
      <c r="P20" s="6" t="n">
        <f aca="false">M20-(N20+O20)</f>
        <v>3.96</v>
      </c>
      <c r="Q20" s="53" t="n">
        <v>0</v>
      </c>
      <c r="R20" s="53" t="n">
        <v>0</v>
      </c>
      <c r="S20" s="53" t="n">
        <f aca="false">SUM(P20:R20)</f>
        <v>3.96</v>
      </c>
      <c r="T20" s="54"/>
      <c r="U20" s="53" t="n">
        <v>0</v>
      </c>
      <c r="V20" s="53" t="n">
        <v>31</v>
      </c>
      <c r="W20" s="54" t="n">
        <f aca="false">W19-V20</f>
        <v>3497</v>
      </c>
      <c r="X20" s="6" t="n">
        <f aca="false">N20+O20+S20+U20+V20</f>
        <v>34.96</v>
      </c>
      <c r="Y20" s="53" t="n">
        <f aca="false">IF(L20&lt;0,L20*-1,0)</f>
        <v>0</v>
      </c>
      <c r="Z20" s="53" t="n">
        <f aca="false">X20+Y20</f>
        <v>34.96</v>
      </c>
      <c r="AA20" s="58" t="n">
        <v>0</v>
      </c>
      <c r="AB20" s="59" t="n">
        <v>35</v>
      </c>
      <c r="AC20" s="59" t="n">
        <v>14</v>
      </c>
      <c r="AD20" s="60" t="n">
        <f aca="false">AD19+1</f>
        <v>11</v>
      </c>
    </row>
    <row r="21" customFormat="false" ht="11.1" hidden="false" customHeight="true" outlineLevel="0" collapsed="false">
      <c r="A21" s="60" t="n">
        <f aca="false">A20+1</f>
        <v>12</v>
      </c>
      <c r="B21" s="75" t="n">
        <v>6876.57</v>
      </c>
      <c r="C21" s="54" t="n">
        <v>206062</v>
      </c>
      <c r="D21" s="59" t="n">
        <f aca="false">C21-C20</f>
        <v>87</v>
      </c>
      <c r="E21" s="54" t="n">
        <f aca="false">C21-152000</f>
        <v>54062</v>
      </c>
      <c r="F21" s="53" t="n">
        <f aca="false">D21/$D$2</f>
        <v>43.8618603478699</v>
      </c>
      <c r="G21" s="53" t="n">
        <v>54</v>
      </c>
      <c r="H21" s="55" t="n">
        <v>0</v>
      </c>
      <c r="I21" s="53" t="n">
        <f aca="false">G21+H21</f>
        <v>54</v>
      </c>
      <c r="J21" s="83" t="n">
        <f aca="false">IF(L21&gt;0,L21,0)</f>
        <v>24.7118603478699</v>
      </c>
      <c r="K21" s="53" t="n">
        <f aca="false">I21+J21</f>
        <v>78.7118603478699</v>
      </c>
      <c r="L21" s="53" t="n">
        <f aca="false">F21-(I21-X21)</f>
        <v>24.7118603478699</v>
      </c>
      <c r="M21" s="53" t="n">
        <v>3.85</v>
      </c>
      <c r="N21" s="53" t="n">
        <v>0</v>
      </c>
      <c r="O21" s="53" t="n">
        <v>0</v>
      </c>
      <c r="P21" s="6" t="n">
        <f aca="false">M21-(N21+O21)</f>
        <v>3.85</v>
      </c>
      <c r="Q21" s="53" t="n">
        <v>0</v>
      </c>
      <c r="R21" s="53" t="n">
        <v>0</v>
      </c>
      <c r="S21" s="53" t="n">
        <f aca="false">SUM(P21:R21)</f>
        <v>3.85</v>
      </c>
      <c r="T21" s="54"/>
      <c r="U21" s="53" t="n">
        <v>0</v>
      </c>
      <c r="V21" s="53" t="n">
        <v>31</v>
      </c>
      <c r="W21" s="54" t="n">
        <f aca="false">W20-V21</f>
        <v>3466</v>
      </c>
      <c r="X21" s="6" t="n">
        <f aca="false">N21+O21+S21+U21+V21</f>
        <v>34.85</v>
      </c>
      <c r="Y21" s="53" t="n">
        <f aca="false">IF(L21&lt;0,L21*-1,0)</f>
        <v>0</v>
      </c>
      <c r="Z21" s="53" t="n">
        <f aca="false">X21+Y21</f>
        <v>34.85</v>
      </c>
      <c r="AA21" s="58" t="n">
        <v>0</v>
      </c>
      <c r="AB21" s="59" t="n">
        <v>29</v>
      </c>
      <c r="AC21" s="59" t="n">
        <v>9</v>
      </c>
      <c r="AD21" s="60" t="n">
        <f aca="false">AD20+1</f>
        <v>12</v>
      </c>
    </row>
    <row r="22" customFormat="false" ht="11.1" hidden="false" customHeight="true" outlineLevel="0" collapsed="false">
      <c r="A22" s="60" t="n">
        <f aca="false">A21+1</f>
        <v>13</v>
      </c>
      <c r="B22" s="75" t="n">
        <v>6876.57</v>
      </c>
      <c r="C22" s="54" t="n">
        <v>206062</v>
      </c>
      <c r="D22" s="59" t="n">
        <f aca="false">C22-C21</f>
        <v>0</v>
      </c>
      <c r="E22" s="54" t="n">
        <f aca="false">C22-152000</f>
        <v>54062</v>
      </c>
      <c r="F22" s="53" t="n">
        <f aca="false">D22/$D$2</f>
        <v>0</v>
      </c>
      <c r="G22" s="53" t="n">
        <v>49</v>
      </c>
      <c r="H22" s="55" t="n">
        <v>0</v>
      </c>
      <c r="I22" s="53" t="n">
        <f aca="false">G22+H22</f>
        <v>49</v>
      </c>
      <c r="J22" s="83" t="n">
        <f aca="false">IF(L22&gt;0,L22,0)</f>
        <v>0</v>
      </c>
      <c r="K22" s="53" t="n">
        <f aca="false">I22+J22</f>
        <v>49</v>
      </c>
      <c r="L22" s="53" t="n">
        <f aca="false">F22-(I22-X22)</f>
        <v>-13.94</v>
      </c>
      <c r="M22" s="53" t="n">
        <v>4.06</v>
      </c>
      <c r="N22" s="53" t="n">
        <v>0</v>
      </c>
      <c r="O22" s="53" t="n">
        <v>0</v>
      </c>
      <c r="P22" s="6" t="n">
        <f aca="false">M22-(N22+O22)</f>
        <v>4.06</v>
      </c>
      <c r="Q22" s="53" t="n">
        <v>0</v>
      </c>
      <c r="R22" s="53" t="n">
        <v>0</v>
      </c>
      <c r="S22" s="53" t="n">
        <f aca="false">SUM(P22:R22)</f>
        <v>4.06</v>
      </c>
      <c r="T22" s="54"/>
      <c r="U22" s="53" t="n">
        <v>0</v>
      </c>
      <c r="V22" s="53" t="n">
        <v>31</v>
      </c>
      <c r="W22" s="54" t="n">
        <f aca="false">W21-V22</f>
        <v>3435</v>
      </c>
      <c r="X22" s="6" t="n">
        <f aca="false">N22+O22+S22+U22+V22</f>
        <v>35.06</v>
      </c>
      <c r="Y22" s="53" t="n">
        <f aca="false">IF(L22&lt;0,L22*-1,0)</f>
        <v>13.94</v>
      </c>
      <c r="Z22" s="53" t="n">
        <f aca="false">X22+Y22</f>
        <v>49</v>
      </c>
      <c r="AA22" s="58" t="n">
        <v>0</v>
      </c>
      <c r="AB22" s="59" t="n">
        <v>30</v>
      </c>
      <c r="AC22" s="59" t="n">
        <v>6</v>
      </c>
      <c r="AD22" s="60" t="n">
        <f aca="false">AD21+1</f>
        <v>13</v>
      </c>
    </row>
    <row r="23" customFormat="false" ht="11.1" hidden="false" customHeight="true" outlineLevel="0" collapsed="false">
      <c r="A23" s="60" t="n">
        <f aca="false">A22+1</f>
        <v>14</v>
      </c>
      <c r="B23" s="75" t="n">
        <v>6876.57</v>
      </c>
      <c r="C23" s="54" t="n">
        <v>206062</v>
      </c>
      <c r="D23" s="59" t="n">
        <f aca="false">C23-C22</f>
        <v>0</v>
      </c>
      <c r="E23" s="54" t="n">
        <f aca="false">C23-152000</f>
        <v>54062</v>
      </c>
      <c r="F23" s="53" t="n">
        <f aca="false">D23/$D$2</f>
        <v>0</v>
      </c>
      <c r="G23" s="53" t="n">
        <v>46</v>
      </c>
      <c r="H23" s="55" t="n">
        <v>0</v>
      </c>
      <c r="I23" s="53" t="n">
        <f aca="false">G23+H23</f>
        <v>46</v>
      </c>
      <c r="J23" s="83" t="n">
        <f aca="false">IF(L23&gt;0,L23,0)</f>
        <v>0</v>
      </c>
      <c r="K23" s="53" t="n">
        <f aca="false">I23+J23</f>
        <v>46</v>
      </c>
      <c r="L23" s="53" t="n">
        <f aca="false">F23-(I23-X23)</f>
        <v>-10.94</v>
      </c>
      <c r="M23" s="53" t="n">
        <v>4.06</v>
      </c>
      <c r="N23" s="53" t="n">
        <v>0</v>
      </c>
      <c r="O23" s="53" t="n">
        <v>0</v>
      </c>
      <c r="P23" s="6" t="n">
        <f aca="false">M23-(N23+O23)</f>
        <v>4.06</v>
      </c>
      <c r="Q23" s="53" t="n">
        <v>0</v>
      </c>
      <c r="R23" s="53" t="n">
        <v>0</v>
      </c>
      <c r="S23" s="53" t="n">
        <f aca="false">SUM(P23:R23)</f>
        <v>4.06</v>
      </c>
      <c r="T23" s="54"/>
      <c r="U23" s="53" t="n">
        <v>0</v>
      </c>
      <c r="V23" s="53" t="n">
        <v>31</v>
      </c>
      <c r="W23" s="54" t="n">
        <f aca="false">W22-V23</f>
        <v>3404</v>
      </c>
      <c r="X23" s="6" t="n">
        <f aca="false">N23+O23+S23+U23+V23</f>
        <v>35.06</v>
      </c>
      <c r="Y23" s="53" t="n">
        <f aca="false">IF(L23&lt;0,L23*-1,0)</f>
        <v>10.94</v>
      </c>
      <c r="Z23" s="53" t="n">
        <f aca="false">X23+Y23</f>
        <v>46</v>
      </c>
      <c r="AA23" s="58" t="n">
        <v>0</v>
      </c>
      <c r="AB23" s="84" t="n">
        <v>32</v>
      </c>
      <c r="AC23" s="59" t="n">
        <v>8</v>
      </c>
      <c r="AD23" s="60" t="n">
        <f aca="false">AD22+1</f>
        <v>14</v>
      </c>
    </row>
    <row r="24" customFormat="false" ht="11.1" hidden="false" customHeight="true" outlineLevel="0" collapsed="false">
      <c r="A24" s="60" t="n">
        <f aca="false">A23+1</f>
        <v>15</v>
      </c>
      <c r="B24" s="75" t="n">
        <v>6876.58</v>
      </c>
      <c r="C24" s="54" t="n">
        <v>206090</v>
      </c>
      <c r="D24" s="59" t="n">
        <f aca="false">C24-C23</f>
        <v>28</v>
      </c>
      <c r="E24" s="54" t="n">
        <f aca="false">C24-152000</f>
        <v>54090</v>
      </c>
      <c r="F24" s="53" t="n">
        <f aca="false">D24/$D$2</f>
        <v>14.1164608016133</v>
      </c>
      <c r="G24" s="53" t="n">
        <v>52</v>
      </c>
      <c r="H24" s="55" t="n">
        <v>0</v>
      </c>
      <c r="I24" s="53" t="n">
        <f aca="false">G24+H24</f>
        <v>52</v>
      </c>
      <c r="J24" s="83" t="n">
        <f aca="false">IF(L24&gt;0,L24,0)</f>
        <v>0</v>
      </c>
      <c r="K24" s="53" t="n">
        <f aca="false">I24+J24</f>
        <v>52</v>
      </c>
      <c r="L24" s="53" t="n">
        <f aca="false">F24-(I24-X24)</f>
        <v>-2.82353919838669</v>
      </c>
      <c r="M24" s="53" t="n">
        <v>4.06</v>
      </c>
      <c r="N24" s="53" t="n">
        <v>0</v>
      </c>
      <c r="O24" s="53" t="n">
        <v>0</v>
      </c>
      <c r="P24" s="6" t="n">
        <f aca="false">M24-(N24+O24)</f>
        <v>4.06</v>
      </c>
      <c r="Q24" s="53" t="n">
        <v>0</v>
      </c>
      <c r="R24" s="53" t="n">
        <v>0</v>
      </c>
      <c r="S24" s="53" t="n">
        <f aca="false">SUM(P24:R24)</f>
        <v>4.06</v>
      </c>
      <c r="T24" s="54"/>
      <c r="U24" s="53" t="n">
        <v>0</v>
      </c>
      <c r="V24" s="53" t="n">
        <v>31</v>
      </c>
      <c r="W24" s="54" t="n">
        <f aca="false">W23-V24</f>
        <v>3373</v>
      </c>
      <c r="X24" s="6" t="n">
        <f aca="false">N24+O24+S24+U24+V24</f>
        <v>35.06</v>
      </c>
      <c r="Y24" s="53" t="n">
        <f aca="false">IF(L24&lt;0,L24*-1,0)</f>
        <v>2.82353919838669</v>
      </c>
      <c r="Z24" s="53" t="n">
        <f aca="false">X24+Y24</f>
        <v>37.8835391983867</v>
      </c>
      <c r="AA24" s="58" t="n">
        <v>0.09</v>
      </c>
      <c r="AB24" s="84" t="n">
        <v>28</v>
      </c>
      <c r="AC24" s="59" t="n">
        <v>7</v>
      </c>
      <c r="AD24" s="60" t="n">
        <f aca="false">AD23+1</f>
        <v>15</v>
      </c>
    </row>
    <row r="25" customFormat="false" ht="11.1" hidden="false" customHeight="true" outlineLevel="0" collapsed="false">
      <c r="A25" s="60" t="n">
        <f aca="false">A24+1</f>
        <v>16</v>
      </c>
      <c r="B25" s="75" t="n">
        <v>6876.58</v>
      </c>
      <c r="C25" s="54" t="n">
        <v>206090</v>
      </c>
      <c r="D25" s="59" t="n">
        <f aca="false">C25-C24</f>
        <v>0</v>
      </c>
      <c r="E25" s="54" t="n">
        <f aca="false">C25-152000</f>
        <v>54090</v>
      </c>
      <c r="F25" s="53" t="n">
        <f aca="false">D25/$D$2</f>
        <v>0</v>
      </c>
      <c r="G25" s="53" t="n">
        <v>48</v>
      </c>
      <c r="H25" s="55" t="n">
        <v>0</v>
      </c>
      <c r="I25" s="53" t="n">
        <f aca="false">G25+H25</f>
        <v>48</v>
      </c>
      <c r="J25" s="83" t="n">
        <f aca="false">IF(L25&gt;0,L25,0)</f>
        <v>0</v>
      </c>
      <c r="K25" s="53" t="n">
        <f aca="false">I25+J25</f>
        <v>48</v>
      </c>
      <c r="L25" s="53" t="n">
        <f aca="false">F25-(I25-X25)</f>
        <v>-12.94</v>
      </c>
      <c r="M25" s="53" t="n">
        <v>4.06</v>
      </c>
      <c r="N25" s="53" t="n">
        <v>0</v>
      </c>
      <c r="O25" s="53" t="n">
        <v>0</v>
      </c>
      <c r="P25" s="6" t="n">
        <f aca="false">M25-(N25+O25)</f>
        <v>4.06</v>
      </c>
      <c r="Q25" s="53" t="n">
        <v>0</v>
      </c>
      <c r="R25" s="53" t="n">
        <v>0</v>
      </c>
      <c r="S25" s="53" t="n">
        <f aca="false">SUM(P25:R25)</f>
        <v>4.06</v>
      </c>
      <c r="T25" s="54"/>
      <c r="U25" s="53" t="n">
        <v>0</v>
      </c>
      <c r="V25" s="53" t="n">
        <v>31</v>
      </c>
      <c r="W25" s="54" t="n">
        <f aca="false">W24-V25</f>
        <v>3342</v>
      </c>
      <c r="X25" s="6" t="n">
        <f aca="false">N25+O25+S25+U25+V25</f>
        <v>35.06</v>
      </c>
      <c r="Y25" s="53" t="n">
        <f aca="false">IF(L25&lt;0,L25*-1,0)</f>
        <v>12.94</v>
      </c>
      <c r="Z25" s="53" t="n">
        <f aca="false">X25+Y25</f>
        <v>48</v>
      </c>
      <c r="AA25" s="58" t="n">
        <v>0</v>
      </c>
      <c r="AB25" s="84" t="n">
        <v>31</v>
      </c>
      <c r="AC25" s="59" t="n">
        <v>2</v>
      </c>
      <c r="AD25" s="60" t="n">
        <f aca="false">AD24+1</f>
        <v>16</v>
      </c>
    </row>
    <row r="26" customFormat="false" ht="11.1" hidden="false" customHeight="true" outlineLevel="0" collapsed="false">
      <c r="A26" s="60" t="n">
        <f aca="false">A25+1</f>
        <v>17</v>
      </c>
      <c r="B26" s="75" t="n">
        <v>6876.59</v>
      </c>
      <c r="C26" s="54" t="n">
        <v>206119</v>
      </c>
      <c r="D26" s="59" t="n">
        <f aca="false">C26-C25</f>
        <v>29</v>
      </c>
      <c r="E26" s="54" t="n">
        <f aca="false">C26-152000</f>
        <v>54119</v>
      </c>
      <c r="F26" s="53" t="n">
        <f aca="false">D26/$D$2</f>
        <v>14.6206201159566</v>
      </c>
      <c r="G26" s="53" t="n">
        <v>46</v>
      </c>
      <c r="H26" s="55" t="n">
        <v>0</v>
      </c>
      <c r="I26" s="53" t="n">
        <f aca="false">G26+H26</f>
        <v>46</v>
      </c>
      <c r="J26" s="83" t="n">
        <f aca="false">IF(L26&gt;0,L26,0)</f>
        <v>4.36062011595664</v>
      </c>
      <c r="K26" s="53" t="n">
        <f aca="false">I26+J26</f>
        <v>50.3606201159566</v>
      </c>
      <c r="L26" s="53" t="n">
        <f aca="false">F26-(I26-X26)</f>
        <v>4.36062011595664</v>
      </c>
      <c r="M26" s="53" t="n">
        <v>4.74</v>
      </c>
      <c r="N26" s="53" t="n">
        <v>0</v>
      </c>
      <c r="O26" s="53" t="n">
        <v>0</v>
      </c>
      <c r="P26" s="6" t="n">
        <f aca="false">M26-(N26+O26)</f>
        <v>4.74</v>
      </c>
      <c r="Q26" s="53" t="n">
        <v>0</v>
      </c>
      <c r="R26" s="53" t="n">
        <v>0</v>
      </c>
      <c r="S26" s="53" t="n">
        <f aca="false">SUM(P26:R26)</f>
        <v>4.74</v>
      </c>
      <c r="T26" s="54"/>
      <c r="U26" s="53" t="n">
        <v>0</v>
      </c>
      <c r="V26" s="53" t="n">
        <v>31</v>
      </c>
      <c r="W26" s="54" t="n">
        <f aca="false">W25-V26</f>
        <v>3311</v>
      </c>
      <c r="X26" s="6" t="n">
        <f aca="false">N26+O26+S26+U26+V26</f>
        <v>35.74</v>
      </c>
      <c r="Y26" s="53" t="n">
        <f aca="false">IF(L26&lt;0,L26*-1,0)</f>
        <v>0</v>
      </c>
      <c r="Z26" s="53" t="n">
        <f aca="false">X26+Y26</f>
        <v>35.74</v>
      </c>
      <c r="AA26" s="58" t="n">
        <v>0</v>
      </c>
      <c r="AB26" s="84" t="n">
        <v>41</v>
      </c>
      <c r="AC26" s="59" t="n">
        <v>9</v>
      </c>
      <c r="AD26" s="60" t="n">
        <f aca="false">AD25+1</f>
        <v>17</v>
      </c>
    </row>
    <row r="27" customFormat="false" ht="11.1" hidden="false" customHeight="true" outlineLevel="0" collapsed="false">
      <c r="A27" s="60" t="n">
        <f aca="false">A26+1</f>
        <v>18</v>
      </c>
      <c r="B27" s="75" t="n">
        <v>6876.59</v>
      </c>
      <c r="C27" s="54" t="n">
        <v>206119</v>
      </c>
      <c r="D27" s="59" t="n">
        <f aca="false">C27-C26</f>
        <v>0</v>
      </c>
      <c r="E27" s="54" t="n">
        <f aca="false">C27-152000</f>
        <v>54119</v>
      </c>
      <c r="F27" s="53" t="n">
        <f aca="false">D27/$D$2</f>
        <v>0</v>
      </c>
      <c r="G27" s="53" t="n">
        <v>51</v>
      </c>
      <c r="H27" s="55" t="n">
        <v>0</v>
      </c>
      <c r="I27" s="53" t="n">
        <f aca="false">G27+H27</f>
        <v>51</v>
      </c>
      <c r="J27" s="83" t="n">
        <f aca="false">IF(L27&gt;0,L27,0)</f>
        <v>0</v>
      </c>
      <c r="K27" s="53" t="n">
        <f aca="false">I27+J27</f>
        <v>51</v>
      </c>
      <c r="L27" s="53" t="n">
        <f aca="false">F27-(I27-X27)</f>
        <v>-14.87</v>
      </c>
      <c r="M27" s="53" t="n">
        <v>5.13</v>
      </c>
      <c r="N27" s="53" t="n">
        <v>0</v>
      </c>
      <c r="O27" s="53" t="n">
        <v>0</v>
      </c>
      <c r="P27" s="6" t="n">
        <f aca="false">M27-(N27+O27)</f>
        <v>5.13</v>
      </c>
      <c r="Q27" s="53" t="n">
        <v>0</v>
      </c>
      <c r="R27" s="53" t="n">
        <v>0</v>
      </c>
      <c r="S27" s="53" t="n">
        <f aca="false">SUM(P27:R27)</f>
        <v>5.13</v>
      </c>
      <c r="T27" s="54"/>
      <c r="U27" s="53" t="n">
        <v>0</v>
      </c>
      <c r="V27" s="53" t="n">
        <v>31</v>
      </c>
      <c r="W27" s="54" t="n">
        <f aca="false">W26-V27</f>
        <v>3280</v>
      </c>
      <c r="X27" s="6" t="n">
        <f aca="false">N27+O27+S27+U27+V27</f>
        <v>36.13</v>
      </c>
      <c r="Y27" s="53" t="n">
        <f aca="false">IF(L27&lt;0,L27*-1,0)</f>
        <v>14.87</v>
      </c>
      <c r="Z27" s="53" t="n">
        <f aca="false">X27+Y27</f>
        <v>51</v>
      </c>
      <c r="AA27" s="58" t="n">
        <v>0</v>
      </c>
      <c r="AB27" s="84" t="n">
        <v>39</v>
      </c>
      <c r="AC27" s="59" t="n">
        <v>14</v>
      </c>
      <c r="AD27" s="60" t="n">
        <f aca="false">AD26+1</f>
        <v>18</v>
      </c>
    </row>
    <row r="28" customFormat="false" ht="11.1" hidden="false" customHeight="true" outlineLevel="0" collapsed="false">
      <c r="A28" s="60" t="n">
        <f aca="false">A27+1</f>
        <v>19</v>
      </c>
      <c r="B28" s="75" t="n">
        <v>6876.59</v>
      </c>
      <c r="C28" s="54" t="n">
        <v>206119</v>
      </c>
      <c r="D28" s="59" t="n">
        <f aca="false">C28-C27</f>
        <v>0</v>
      </c>
      <c r="E28" s="54" t="n">
        <f aca="false">C28-152000</f>
        <v>54119</v>
      </c>
      <c r="F28" s="53" t="n">
        <f aca="false">D28/$D$2</f>
        <v>0</v>
      </c>
      <c r="G28" s="53" t="n">
        <v>49</v>
      </c>
      <c r="H28" s="55" t="n">
        <v>0</v>
      </c>
      <c r="I28" s="53" t="n">
        <f aca="false">G28+H28</f>
        <v>49</v>
      </c>
      <c r="J28" s="83" t="n">
        <f aca="false">IF(L28&gt;0,L28,0)</f>
        <v>0</v>
      </c>
      <c r="K28" s="53" t="n">
        <f aca="false">I28+J28</f>
        <v>49</v>
      </c>
      <c r="L28" s="53" t="n">
        <f aca="false">F28-(I28-X28)</f>
        <v>-12.87</v>
      </c>
      <c r="M28" s="53" t="n">
        <v>5.13</v>
      </c>
      <c r="N28" s="53" t="n">
        <v>0</v>
      </c>
      <c r="O28" s="53" t="n">
        <v>0</v>
      </c>
      <c r="P28" s="6" t="n">
        <f aca="false">M28-(N28+O28)</f>
        <v>5.13</v>
      </c>
      <c r="Q28" s="53" t="n">
        <v>0</v>
      </c>
      <c r="R28" s="53" t="n">
        <v>0</v>
      </c>
      <c r="S28" s="53" t="n">
        <f aca="false">SUM(P28:R28)</f>
        <v>5.13</v>
      </c>
      <c r="T28" s="54"/>
      <c r="U28" s="53" t="n">
        <v>0</v>
      </c>
      <c r="V28" s="53" t="n">
        <v>31</v>
      </c>
      <c r="W28" s="54" t="n">
        <f aca="false">W27-V28</f>
        <v>3249</v>
      </c>
      <c r="X28" s="6" t="n">
        <f aca="false">N28+O28+S28+U28+V28</f>
        <v>36.13</v>
      </c>
      <c r="Y28" s="53" t="n">
        <f aca="false">IF(L28&lt;0,L28*-1,0)</f>
        <v>12.87</v>
      </c>
      <c r="Z28" s="53" t="n">
        <f aca="false">X28+Y28</f>
        <v>49</v>
      </c>
      <c r="AA28" s="58" t="n">
        <v>0</v>
      </c>
      <c r="AB28" s="84" t="n">
        <v>44</v>
      </c>
      <c r="AC28" s="59" t="n">
        <v>13</v>
      </c>
      <c r="AD28" s="60" t="n">
        <f aca="false">AD27+1</f>
        <v>19</v>
      </c>
    </row>
    <row r="29" customFormat="false" ht="11.1" hidden="false" customHeight="true" outlineLevel="0" collapsed="false">
      <c r="A29" s="60" t="n">
        <f aca="false">A28+1</f>
        <v>20</v>
      </c>
      <c r="B29" s="75" t="n">
        <v>6876.59</v>
      </c>
      <c r="C29" s="54" t="n">
        <v>206119</v>
      </c>
      <c r="D29" s="59" t="n">
        <f aca="false">C29-C28</f>
        <v>0</v>
      </c>
      <c r="E29" s="54" t="n">
        <f aca="false">C29-152000</f>
        <v>54119</v>
      </c>
      <c r="F29" s="53" t="n">
        <f aca="false">D29/$D$2</f>
        <v>0</v>
      </c>
      <c r="G29" s="53" t="n">
        <v>49</v>
      </c>
      <c r="H29" s="55" t="n">
        <v>0</v>
      </c>
      <c r="I29" s="53" t="n">
        <f aca="false">G29+H29</f>
        <v>49</v>
      </c>
      <c r="J29" s="83" t="n">
        <f aca="false">IF(L29&gt;0,L29,0)</f>
        <v>0</v>
      </c>
      <c r="K29" s="53" t="n">
        <f aca="false">I29+J29</f>
        <v>49</v>
      </c>
      <c r="L29" s="53" t="n">
        <f aca="false">F29-(I29-X29)</f>
        <v>-12.87</v>
      </c>
      <c r="M29" s="53" t="n">
        <v>5.13</v>
      </c>
      <c r="N29" s="53" t="n">
        <v>0</v>
      </c>
      <c r="O29" s="53" t="n">
        <v>0</v>
      </c>
      <c r="P29" s="6" t="n">
        <f aca="false">M29-(N29+O29)</f>
        <v>5.13</v>
      </c>
      <c r="Q29" s="53" t="n">
        <v>0</v>
      </c>
      <c r="R29" s="53" t="n">
        <v>0</v>
      </c>
      <c r="S29" s="53" t="n">
        <f aca="false">SUM(P29:R29)</f>
        <v>5.13</v>
      </c>
      <c r="T29" s="54"/>
      <c r="U29" s="53" t="n">
        <v>0</v>
      </c>
      <c r="V29" s="53" t="n">
        <v>31</v>
      </c>
      <c r="W29" s="54" t="n">
        <f aca="false">W28-V29</f>
        <v>3218</v>
      </c>
      <c r="X29" s="6" t="n">
        <f aca="false">N29+O29+S29+U29+V29</f>
        <v>36.13</v>
      </c>
      <c r="Y29" s="53" t="n">
        <f aca="false">IF(L29&lt;0,L29*-1,0)</f>
        <v>12.87</v>
      </c>
      <c r="Z29" s="53" t="n">
        <f aca="false">X29+Y29</f>
        <v>49</v>
      </c>
      <c r="AA29" s="58" t="n">
        <v>0</v>
      </c>
      <c r="AB29" s="84" t="n">
        <v>49</v>
      </c>
      <c r="AC29" s="59" t="n">
        <v>21</v>
      </c>
      <c r="AD29" s="60" t="n">
        <f aca="false">AD28+1</f>
        <v>20</v>
      </c>
    </row>
    <row r="30" customFormat="false" ht="11.1" hidden="false" customHeight="true" outlineLevel="0" collapsed="false">
      <c r="A30" s="60" t="n">
        <f aca="false">A29+1</f>
        <v>21</v>
      </c>
      <c r="B30" s="75" t="n">
        <v>6876.59</v>
      </c>
      <c r="C30" s="54" t="n">
        <v>206119</v>
      </c>
      <c r="D30" s="59" t="n">
        <f aca="false">C30-C29</f>
        <v>0</v>
      </c>
      <c r="E30" s="54" t="n">
        <f aca="false">C30-152000</f>
        <v>54119</v>
      </c>
      <c r="F30" s="53" t="n">
        <f aca="false">D30/$D$2</f>
        <v>0</v>
      </c>
      <c r="G30" s="53" t="n">
        <v>51</v>
      </c>
      <c r="H30" s="55" t="n">
        <v>0</v>
      </c>
      <c r="I30" s="53" t="n">
        <f aca="false">G30+H30</f>
        <v>51</v>
      </c>
      <c r="J30" s="83" t="n">
        <f aca="false">IF(L30&gt;0,L30,0)</f>
        <v>0</v>
      </c>
      <c r="K30" s="53" t="n">
        <f aca="false">I30+J30</f>
        <v>51</v>
      </c>
      <c r="L30" s="53" t="n">
        <f aca="false">F30-(I30-X30)</f>
        <v>-14.87</v>
      </c>
      <c r="M30" s="53" t="n">
        <v>5.13</v>
      </c>
      <c r="N30" s="53" t="n">
        <v>0</v>
      </c>
      <c r="O30" s="53" t="n">
        <v>0</v>
      </c>
      <c r="P30" s="6" t="n">
        <f aca="false">M30-(N30+O30)</f>
        <v>5.13</v>
      </c>
      <c r="Q30" s="53" t="n">
        <v>0</v>
      </c>
      <c r="R30" s="53" t="n">
        <v>0</v>
      </c>
      <c r="S30" s="53" t="n">
        <f aca="false">SUM(P30:R30)</f>
        <v>5.13</v>
      </c>
      <c r="T30" s="54"/>
      <c r="U30" s="53" t="n">
        <v>0</v>
      </c>
      <c r="V30" s="53" t="n">
        <v>31</v>
      </c>
      <c r="W30" s="54" t="n">
        <f aca="false">W29-V30</f>
        <v>3187</v>
      </c>
      <c r="X30" s="6" t="n">
        <f aca="false">N30+O30+S30+U30+V30</f>
        <v>36.13</v>
      </c>
      <c r="Y30" s="53" t="n">
        <f aca="false">IF(L30&lt;0,L30*-1,0)</f>
        <v>14.87</v>
      </c>
      <c r="Z30" s="53" t="n">
        <f aca="false">X30+Y30</f>
        <v>51</v>
      </c>
      <c r="AA30" s="58" t="n">
        <v>0</v>
      </c>
      <c r="AB30" s="59" t="n">
        <v>40</v>
      </c>
      <c r="AC30" s="59" t="n">
        <v>19</v>
      </c>
      <c r="AD30" s="60" t="n">
        <f aca="false">AD29+1</f>
        <v>21</v>
      </c>
    </row>
    <row r="31" customFormat="false" ht="11.1" hidden="false" customHeight="true" outlineLevel="0" collapsed="false">
      <c r="A31" s="60" t="n">
        <f aca="false">A30+1</f>
        <v>22</v>
      </c>
      <c r="B31" s="75" t="n">
        <v>6876.59</v>
      </c>
      <c r="C31" s="54" t="n">
        <v>206119</v>
      </c>
      <c r="D31" s="59" t="n">
        <f aca="false">C31-C30</f>
        <v>0</v>
      </c>
      <c r="E31" s="54" t="n">
        <f aca="false">C31-152000</f>
        <v>54119</v>
      </c>
      <c r="F31" s="53" t="n">
        <f aca="false">D31/$D$2</f>
        <v>0</v>
      </c>
      <c r="G31" s="53" t="n">
        <v>51</v>
      </c>
      <c r="H31" s="55" t="n">
        <v>0</v>
      </c>
      <c r="I31" s="53" t="n">
        <f aca="false">G31+H31</f>
        <v>51</v>
      </c>
      <c r="J31" s="83" t="n">
        <f aca="false">IF(L31&gt;0,L31,0)</f>
        <v>0</v>
      </c>
      <c r="K31" s="53" t="n">
        <f aca="false">I31+J31</f>
        <v>51</v>
      </c>
      <c r="L31" s="53" t="n">
        <f aca="false">F31-(I31-X31)</f>
        <v>-14.87</v>
      </c>
      <c r="M31" s="53" t="n">
        <v>5.13</v>
      </c>
      <c r="N31" s="53" t="n">
        <v>0</v>
      </c>
      <c r="O31" s="53" t="n">
        <v>0</v>
      </c>
      <c r="P31" s="6" t="n">
        <f aca="false">M31-(N31+O31)</f>
        <v>5.13</v>
      </c>
      <c r="Q31" s="53" t="n">
        <v>0</v>
      </c>
      <c r="R31" s="53" t="n">
        <v>0</v>
      </c>
      <c r="S31" s="53" t="n">
        <f aca="false">SUM(P31:R31)</f>
        <v>5.13</v>
      </c>
      <c r="T31" s="54"/>
      <c r="U31" s="53" t="n">
        <v>0</v>
      </c>
      <c r="V31" s="53" t="n">
        <v>31</v>
      </c>
      <c r="W31" s="54" t="n">
        <f aca="false">W30-V31</f>
        <v>3156</v>
      </c>
      <c r="X31" s="6" t="n">
        <f aca="false">N31+O31+S31+U31+V31</f>
        <v>36.13</v>
      </c>
      <c r="Y31" s="53" t="n">
        <f aca="false">IF(L31&lt;0,L31*-1,0)</f>
        <v>14.87</v>
      </c>
      <c r="Z31" s="53" t="n">
        <f aca="false">X31+Y31</f>
        <v>51</v>
      </c>
      <c r="AA31" s="58" t="n">
        <v>0</v>
      </c>
      <c r="AB31" s="59" t="n">
        <v>32</v>
      </c>
      <c r="AC31" s="59" t="n">
        <v>10</v>
      </c>
      <c r="AD31" s="60" t="n">
        <f aca="false">AD30+1</f>
        <v>22</v>
      </c>
    </row>
    <row r="32" customFormat="false" ht="11.1" hidden="false" customHeight="true" outlineLevel="0" collapsed="false">
      <c r="A32" s="60" t="n">
        <f aca="false">A31+1</f>
        <v>23</v>
      </c>
      <c r="B32" s="75" t="n">
        <v>6876.59</v>
      </c>
      <c r="C32" s="54" t="n">
        <v>206119</v>
      </c>
      <c r="D32" s="59" t="n">
        <f aca="false">C32-C31</f>
        <v>0</v>
      </c>
      <c r="E32" s="54" t="n">
        <f aca="false">C32-152000</f>
        <v>54119</v>
      </c>
      <c r="F32" s="53" t="n">
        <f aca="false">D32/$D$2</f>
        <v>0</v>
      </c>
      <c r="G32" s="53" t="n">
        <v>45</v>
      </c>
      <c r="H32" s="55" t="n">
        <v>0</v>
      </c>
      <c r="I32" s="53" t="n">
        <f aca="false">G32+H32</f>
        <v>45</v>
      </c>
      <c r="J32" s="83" t="n">
        <f aca="false">IF(L32&gt;0,L32,0)</f>
        <v>0</v>
      </c>
      <c r="K32" s="53" t="n">
        <f aca="false">I32+J32</f>
        <v>45</v>
      </c>
      <c r="L32" s="53" t="n">
        <f aca="false">F32-(I32-X32)</f>
        <v>-8.87</v>
      </c>
      <c r="M32" s="53" t="n">
        <v>5.13</v>
      </c>
      <c r="N32" s="53" t="n">
        <v>0</v>
      </c>
      <c r="O32" s="53" t="n">
        <v>0</v>
      </c>
      <c r="P32" s="6" t="n">
        <f aca="false">M32-(N32+O32)</f>
        <v>5.13</v>
      </c>
      <c r="Q32" s="53" t="n">
        <v>0</v>
      </c>
      <c r="R32" s="53" t="n">
        <v>0</v>
      </c>
      <c r="S32" s="53" t="n">
        <f aca="false">SUM(P32:R32)</f>
        <v>5.13</v>
      </c>
      <c r="T32" s="54"/>
      <c r="U32" s="53" t="n">
        <v>0</v>
      </c>
      <c r="V32" s="53" t="n">
        <v>31</v>
      </c>
      <c r="W32" s="54" t="n">
        <f aca="false">W31-V32</f>
        <v>3125</v>
      </c>
      <c r="X32" s="6" t="n">
        <f aca="false">N32+O32+S32+U32+V32</f>
        <v>36.13</v>
      </c>
      <c r="Y32" s="53" t="n">
        <f aca="false">IF(L32&lt;0,L32*-1,0)</f>
        <v>8.87</v>
      </c>
      <c r="Z32" s="53" t="n">
        <f aca="false">X32+Y32</f>
        <v>45</v>
      </c>
      <c r="AA32" s="58" t="n">
        <v>0</v>
      </c>
      <c r="AB32" s="59" t="n">
        <v>38</v>
      </c>
      <c r="AC32" s="84" t="n">
        <v>8</v>
      </c>
      <c r="AD32" s="60" t="n">
        <f aca="false">AD31+1</f>
        <v>23</v>
      </c>
    </row>
    <row r="33" customFormat="false" ht="11.1" hidden="false" customHeight="true" outlineLevel="0" collapsed="false">
      <c r="A33" s="60" t="n">
        <f aca="false">A32+1</f>
        <v>24</v>
      </c>
      <c r="B33" s="75" t="n">
        <v>6876.59</v>
      </c>
      <c r="C33" s="54" t="n">
        <v>206119</v>
      </c>
      <c r="D33" s="59" t="n">
        <f aca="false">C33-C32</f>
        <v>0</v>
      </c>
      <c r="E33" s="54" t="n">
        <f aca="false">C33-152000</f>
        <v>54119</v>
      </c>
      <c r="F33" s="53" t="n">
        <f aca="false">D33/$D$2</f>
        <v>0</v>
      </c>
      <c r="G33" s="53" t="n">
        <v>47</v>
      </c>
      <c r="H33" s="55" t="n">
        <v>0</v>
      </c>
      <c r="I33" s="53" t="n">
        <f aca="false">G33+H33</f>
        <v>47</v>
      </c>
      <c r="J33" s="83" t="n">
        <f aca="false">IF(L33&gt;0,L33,0)</f>
        <v>0</v>
      </c>
      <c r="K33" s="53" t="n">
        <f aca="false">I33+J33</f>
        <v>47</v>
      </c>
      <c r="L33" s="53" t="n">
        <f aca="false">F33-(I33-X33)</f>
        <v>-10.87</v>
      </c>
      <c r="M33" s="53" t="n">
        <v>5.13</v>
      </c>
      <c r="N33" s="53" t="n">
        <v>0</v>
      </c>
      <c r="O33" s="53" t="n">
        <v>0</v>
      </c>
      <c r="P33" s="6" t="n">
        <f aca="false">M33-(N33+O33)</f>
        <v>5.13</v>
      </c>
      <c r="Q33" s="53" t="n">
        <v>0</v>
      </c>
      <c r="R33" s="53" t="n">
        <v>0</v>
      </c>
      <c r="S33" s="53" t="n">
        <f aca="false">SUM(P33:R33)</f>
        <v>5.13</v>
      </c>
      <c r="T33" s="54"/>
      <c r="U33" s="53" t="n">
        <v>0</v>
      </c>
      <c r="V33" s="53" t="n">
        <v>31</v>
      </c>
      <c r="W33" s="54" t="n">
        <f aca="false">W32-V33</f>
        <v>3094</v>
      </c>
      <c r="X33" s="6" t="n">
        <f aca="false">N33+O33+S33+U33+V33</f>
        <v>36.13</v>
      </c>
      <c r="Y33" s="53" t="n">
        <f aca="false">IF(L33&lt;0,L33*-1,0)</f>
        <v>10.87</v>
      </c>
      <c r="Z33" s="53" t="n">
        <f aca="false">X33+Y33</f>
        <v>47</v>
      </c>
      <c r="AA33" s="58" t="n">
        <v>0</v>
      </c>
      <c r="AB33" s="59" t="n">
        <v>41</v>
      </c>
      <c r="AC33" s="84" t="n">
        <v>12</v>
      </c>
      <c r="AD33" s="60" t="n">
        <f aca="false">AD32+1</f>
        <v>24</v>
      </c>
    </row>
    <row r="34" customFormat="false" ht="11.1" hidden="false" customHeight="true" outlineLevel="0" collapsed="false">
      <c r="A34" s="60" t="n">
        <f aca="false">A33+1</f>
        <v>25</v>
      </c>
      <c r="B34" s="75" t="n">
        <v>6876.59</v>
      </c>
      <c r="C34" s="54" t="n">
        <v>206119</v>
      </c>
      <c r="D34" s="59" t="n">
        <f aca="false">C34-C33</f>
        <v>0</v>
      </c>
      <c r="E34" s="54" t="n">
        <f aca="false">C34-152000</f>
        <v>54119</v>
      </c>
      <c r="F34" s="53" t="n">
        <f aca="false">D34/$D$2</f>
        <v>0</v>
      </c>
      <c r="G34" s="53" t="n">
        <v>44</v>
      </c>
      <c r="H34" s="55" t="n">
        <v>0</v>
      </c>
      <c r="I34" s="53" t="n">
        <f aca="false">G34+H34</f>
        <v>44</v>
      </c>
      <c r="J34" s="83" t="n">
        <f aca="false">IF(L34&gt;0,L34,0)</f>
        <v>0</v>
      </c>
      <c r="K34" s="53" t="n">
        <f aca="false">I34+J34</f>
        <v>44</v>
      </c>
      <c r="L34" s="53" t="n">
        <f aca="false">F34-(I34-X34)</f>
        <v>-7.87</v>
      </c>
      <c r="M34" s="53" t="n">
        <v>5.13</v>
      </c>
      <c r="N34" s="53" t="n">
        <v>0</v>
      </c>
      <c r="O34" s="53" t="n">
        <v>0</v>
      </c>
      <c r="P34" s="6" t="n">
        <f aca="false">M34-(N34+O34)</f>
        <v>5.13</v>
      </c>
      <c r="Q34" s="53" t="n">
        <v>0</v>
      </c>
      <c r="R34" s="53" t="n">
        <v>0</v>
      </c>
      <c r="S34" s="53" t="n">
        <f aca="false">SUM(P34:R34)</f>
        <v>5.13</v>
      </c>
      <c r="T34" s="54"/>
      <c r="U34" s="53" t="n">
        <v>0</v>
      </c>
      <c r="V34" s="53" t="n">
        <v>31</v>
      </c>
      <c r="W34" s="54" t="n">
        <f aca="false">W33-V34</f>
        <v>3063</v>
      </c>
      <c r="X34" s="6" t="n">
        <f aca="false">N34+O34+S34+U34+V34</f>
        <v>36.13</v>
      </c>
      <c r="Y34" s="53" t="n">
        <f aca="false">IF(L34&lt;0,L34*-1,0)</f>
        <v>7.87</v>
      </c>
      <c r="Z34" s="53" t="n">
        <f aca="false">X34+Y34</f>
        <v>44</v>
      </c>
      <c r="AA34" s="58" t="n">
        <v>0</v>
      </c>
      <c r="AB34" s="59" t="n">
        <v>42</v>
      </c>
      <c r="AC34" s="84" t="n">
        <v>11</v>
      </c>
      <c r="AD34" s="60" t="n">
        <f aca="false">AD33+1</f>
        <v>25</v>
      </c>
    </row>
    <row r="35" customFormat="false" ht="11.1" hidden="false" customHeight="true" outlineLevel="0" collapsed="false">
      <c r="A35" s="60" t="n">
        <f aca="false">A34+1</f>
        <v>26</v>
      </c>
      <c r="B35" s="75" t="n">
        <v>6876.59</v>
      </c>
      <c r="C35" s="54" t="n">
        <v>206119</v>
      </c>
      <c r="D35" s="59" t="n">
        <f aca="false">C35-C34</f>
        <v>0</v>
      </c>
      <c r="E35" s="54" t="n">
        <f aca="false">C35-152000</f>
        <v>54119</v>
      </c>
      <c r="F35" s="53" t="n">
        <f aca="false">D35/$D$2</f>
        <v>0</v>
      </c>
      <c r="G35" s="53" t="n">
        <v>45</v>
      </c>
      <c r="H35" s="55" t="n">
        <v>0</v>
      </c>
      <c r="I35" s="53" t="n">
        <f aca="false">G35+H35</f>
        <v>45</v>
      </c>
      <c r="J35" s="83" t="n">
        <f aca="false">IF(L35&gt;0,L35,0)</f>
        <v>0</v>
      </c>
      <c r="K35" s="53" t="n">
        <f aca="false">I35+J35</f>
        <v>45</v>
      </c>
      <c r="L35" s="53" t="n">
        <f aca="false">F35-(I35-X35)</f>
        <v>-8.87</v>
      </c>
      <c r="M35" s="53" t="n">
        <v>5.13</v>
      </c>
      <c r="N35" s="53" t="n">
        <v>0</v>
      </c>
      <c r="O35" s="53" t="n">
        <v>0</v>
      </c>
      <c r="P35" s="6" t="n">
        <f aca="false">M35-(N35+O35)</f>
        <v>5.13</v>
      </c>
      <c r="Q35" s="53" t="n">
        <v>0</v>
      </c>
      <c r="R35" s="53" t="n">
        <v>0</v>
      </c>
      <c r="S35" s="53" t="n">
        <f aca="false">SUM(P35:R35)</f>
        <v>5.13</v>
      </c>
      <c r="T35" s="54"/>
      <c r="U35" s="53" t="n">
        <v>0</v>
      </c>
      <c r="V35" s="53" t="n">
        <v>31</v>
      </c>
      <c r="W35" s="54" t="n">
        <f aca="false">W34-V35</f>
        <v>3032</v>
      </c>
      <c r="X35" s="6" t="n">
        <f aca="false">N35+O35+S35+U35+V35</f>
        <v>36.13</v>
      </c>
      <c r="Y35" s="53" t="n">
        <f aca="false">IF(L35&lt;0,L35*-1,0)</f>
        <v>8.87</v>
      </c>
      <c r="Z35" s="53" t="n">
        <f aca="false">X35+Y35</f>
        <v>45</v>
      </c>
      <c r="AA35" s="58" t="n">
        <v>0</v>
      </c>
      <c r="AB35" s="59" t="n">
        <v>38</v>
      </c>
      <c r="AC35" s="59" t="n">
        <v>12</v>
      </c>
      <c r="AD35" s="60" t="n">
        <f aca="false">AD34+1</f>
        <v>26</v>
      </c>
    </row>
    <row r="36" customFormat="false" ht="11.1" hidden="false" customHeight="true" outlineLevel="0" collapsed="false">
      <c r="A36" s="60" t="n">
        <f aca="false">A35+1</f>
        <v>27</v>
      </c>
      <c r="B36" s="75" t="n">
        <v>6876.59</v>
      </c>
      <c r="C36" s="54" t="n">
        <v>206119</v>
      </c>
      <c r="D36" s="59" t="n">
        <f aca="false">C36-C35</f>
        <v>0</v>
      </c>
      <c r="E36" s="54" t="n">
        <f aca="false">C36-152000</f>
        <v>54119</v>
      </c>
      <c r="F36" s="53" t="n">
        <f aca="false">D36/$D$2</f>
        <v>0</v>
      </c>
      <c r="G36" s="53" t="n">
        <v>50</v>
      </c>
      <c r="H36" s="55" t="n">
        <v>0</v>
      </c>
      <c r="I36" s="53" t="n">
        <f aca="false">G36+H36</f>
        <v>50</v>
      </c>
      <c r="J36" s="83" t="n">
        <f aca="false">IF(L36&gt;0,L36,0)</f>
        <v>0</v>
      </c>
      <c r="K36" s="53" t="n">
        <f aca="false">I36+J36</f>
        <v>50</v>
      </c>
      <c r="L36" s="53" t="n">
        <f aca="false">F36-(I36-X36)</f>
        <v>-13.87</v>
      </c>
      <c r="M36" s="53" t="n">
        <v>5.13</v>
      </c>
      <c r="N36" s="53" t="n">
        <v>0</v>
      </c>
      <c r="O36" s="53" t="n">
        <v>0</v>
      </c>
      <c r="P36" s="6" t="n">
        <f aca="false">M36-(N36+O36)</f>
        <v>5.13</v>
      </c>
      <c r="Q36" s="53" t="n">
        <v>0</v>
      </c>
      <c r="R36" s="53" t="n">
        <v>0</v>
      </c>
      <c r="S36" s="53" t="n">
        <f aca="false">SUM(P36:R36)</f>
        <v>5.13</v>
      </c>
      <c r="T36" s="54"/>
      <c r="U36" s="53" t="n">
        <v>0</v>
      </c>
      <c r="V36" s="53" t="n">
        <v>31</v>
      </c>
      <c r="W36" s="54" t="n">
        <f aca="false">W35-V36</f>
        <v>3001</v>
      </c>
      <c r="X36" s="6" t="n">
        <f aca="false">N36+O36+S36+U36+V36</f>
        <v>36.13</v>
      </c>
      <c r="Y36" s="53" t="n">
        <f aca="false">IF(L36&lt;0,L36*-1,0)</f>
        <v>13.87</v>
      </c>
      <c r="Z36" s="53" t="n">
        <f aca="false">X36+Y36</f>
        <v>50</v>
      </c>
      <c r="AA36" s="58" t="n">
        <v>0</v>
      </c>
      <c r="AB36" s="59" t="n">
        <v>40</v>
      </c>
      <c r="AC36" s="59" t="n">
        <v>15</v>
      </c>
      <c r="AD36" s="60" t="n">
        <f aca="false">AD35+1</f>
        <v>27</v>
      </c>
    </row>
    <row r="37" customFormat="false" ht="11.1" hidden="false" customHeight="true" outlineLevel="0" collapsed="false">
      <c r="A37" s="60" t="n">
        <f aca="false">A36+1</f>
        <v>28</v>
      </c>
      <c r="B37" s="75" t="n">
        <v>6876.59</v>
      </c>
      <c r="C37" s="54" t="n">
        <v>206119</v>
      </c>
      <c r="D37" s="59" t="n">
        <f aca="false">C37-C36</f>
        <v>0</v>
      </c>
      <c r="E37" s="54" t="n">
        <f aca="false">C37-152000</f>
        <v>54119</v>
      </c>
      <c r="F37" s="53" t="n">
        <f aca="false">D37/$D$2</f>
        <v>0</v>
      </c>
      <c r="G37" s="53" t="n">
        <v>45</v>
      </c>
      <c r="H37" s="55" t="n">
        <v>0</v>
      </c>
      <c r="I37" s="53" t="n">
        <f aca="false">G37+H37</f>
        <v>45</v>
      </c>
      <c r="J37" s="83" t="n">
        <f aca="false">IF(L37&gt;0,L37,0)</f>
        <v>0</v>
      </c>
      <c r="K37" s="53" t="n">
        <f aca="false">I37+J37</f>
        <v>45</v>
      </c>
      <c r="L37" s="53" t="n">
        <f aca="false">F37-(I37-X37)</f>
        <v>-8.87</v>
      </c>
      <c r="M37" s="53" t="n">
        <v>5.13</v>
      </c>
      <c r="N37" s="53" t="n">
        <v>0</v>
      </c>
      <c r="O37" s="53" t="n">
        <v>0</v>
      </c>
      <c r="P37" s="6" t="n">
        <f aca="false">M37-(N37+O37)</f>
        <v>5.13</v>
      </c>
      <c r="Q37" s="53" t="n">
        <v>0</v>
      </c>
      <c r="R37" s="53" t="n">
        <v>0</v>
      </c>
      <c r="S37" s="53" t="n">
        <f aca="false">SUM(P37:R37)</f>
        <v>5.13</v>
      </c>
      <c r="T37" s="54"/>
      <c r="U37" s="53" t="n">
        <v>0</v>
      </c>
      <c r="V37" s="53" t="n">
        <v>31</v>
      </c>
      <c r="W37" s="54" t="n">
        <f aca="false">W36-V37</f>
        <v>2970</v>
      </c>
      <c r="X37" s="6" t="n">
        <f aca="false">N37+O37+S37+U37+V37</f>
        <v>36.13</v>
      </c>
      <c r="Y37" s="53" t="n">
        <f aca="false">IF(L37&lt;0,L37*-1,0)</f>
        <v>8.87</v>
      </c>
      <c r="Z37" s="53" t="n">
        <f aca="false">X37+Y37</f>
        <v>45</v>
      </c>
      <c r="AA37" s="58" t="n">
        <v>0</v>
      </c>
      <c r="AB37" s="59" t="n">
        <v>42</v>
      </c>
      <c r="AC37" s="59" t="n">
        <v>15</v>
      </c>
      <c r="AD37" s="60" t="n">
        <f aca="false">AD36+1</f>
        <v>28</v>
      </c>
    </row>
    <row r="38" customFormat="false" ht="11.1" hidden="false" customHeight="true" outlineLevel="0" collapsed="false">
      <c r="A38" s="60" t="n">
        <f aca="false">A37+1</f>
        <v>29</v>
      </c>
      <c r="B38" s="75" t="n">
        <v>6876.61</v>
      </c>
      <c r="C38" s="54" t="n">
        <v>206177</v>
      </c>
      <c r="D38" s="59" t="n">
        <f aca="false">C38-C37</f>
        <v>58</v>
      </c>
      <c r="E38" s="54" t="n">
        <f aca="false">C38-152000</f>
        <v>54177</v>
      </c>
      <c r="F38" s="53" t="n">
        <f aca="false">D38/$D$2</f>
        <v>29.2412402319133</v>
      </c>
      <c r="G38" s="53" t="n">
        <v>48</v>
      </c>
      <c r="H38" s="55" t="n">
        <v>0</v>
      </c>
      <c r="I38" s="53" t="n">
        <f aca="false">G38+H38</f>
        <v>48</v>
      </c>
      <c r="J38" s="83" t="n">
        <f aca="false">IF(L38&gt;0,L38,0)</f>
        <v>17.3712402319133</v>
      </c>
      <c r="K38" s="53" t="n">
        <f aca="false">I38+J38</f>
        <v>65.3712402319133</v>
      </c>
      <c r="L38" s="53" t="n">
        <f aca="false">F38-(I38-X38)</f>
        <v>17.3712402319133</v>
      </c>
      <c r="M38" s="53" t="n">
        <v>5.13</v>
      </c>
      <c r="N38" s="53" t="n">
        <v>0</v>
      </c>
      <c r="O38" s="53" t="n">
        <v>0</v>
      </c>
      <c r="P38" s="6" t="n">
        <f aca="false">M38-(N38+O38)</f>
        <v>5.13</v>
      </c>
      <c r="Q38" s="53" t="n">
        <v>0</v>
      </c>
      <c r="R38" s="53" t="n">
        <v>0</v>
      </c>
      <c r="S38" s="53" t="n">
        <f aca="false">SUM(P38:R38)</f>
        <v>5.13</v>
      </c>
      <c r="T38" s="54"/>
      <c r="U38" s="53" t="n">
        <v>0</v>
      </c>
      <c r="V38" s="53" t="n">
        <v>31</v>
      </c>
      <c r="W38" s="54" t="n">
        <f aca="false">W37-V38</f>
        <v>2939</v>
      </c>
      <c r="X38" s="6" t="n">
        <f aca="false">N38+O38+S38+U38+V38</f>
        <v>36.13</v>
      </c>
      <c r="Y38" s="53" t="n">
        <f aca="false">IF(L38&lt;0,L38*-1,0)</f>
        <v>0</v>
      </c>
      <c r="Z38" s="53" t="n">
        <f aca="false">X38+Y38</f>
        <v>36.13</v>
      </c>
      <c r="AA38" s="58" t="n">
        <v>0.34</v>
      </c>
      <c r="AB38" s="84" t="n">
        <v>34</v>
      </c>
      <c r="AC38" s="59" t="n">
        <v>20</v>
      </c>
      <c r="AD38" s="60" t="n">
        <f aca="false">AD37+1</f>
        <v>29</v>
      </c>
    </row>
    <row r="39" customFormat="false" ht="11.1" hidden="false" customHeight="true" outlineLevel="0" collapsed="false">
      <c r="A39" s="60" t="n">
        <v>30</v>
      </c>
      <c r="B39" s="75" t="n">
        <v>6876.68</v>
      </c>
      <c r="C39" s="54" t="n">
        <v>206379</v>
      </c>
      <c r="D39" s="59" t="n">
        <f aca="false">C39-C38</f>
        <v>202</v>
      </c>
      <c r="E39" s="54" t="n">
        <f aca="false">C39-152000</f>
        <v>54379</v>
      </c>
      <c r="F39" s="53" t="n">
        <f aca="false">D39/$D$2</f>
        <v>101.840181497353</v>
      </c>
      <c r="G39" s="53" t="n">
        <v>50</v>
      </c>
      <c r="H39" s="55" t="n">
        <v>0</v>
      </c>
      <c r="I39" s="53" t="n">
        <f aca="false">G39+H39</f>
        <v>50</v>
      </c>
      <c r="J39" s="83" t="n">
        <f aca="false">IF(L39&gt;0,L39,0)</f>
        <v>87.9701814973532</v>
      </c>
      <c r="K39" s="53" t="n">
        <f aca="false">I39+J39</f>
        <v>137.970181497353</v>
      </c>
      <c r="L39" s="53" t="n">
        <f aca="false">F39-(I39-X39)</f>
        <v>87.9701814973532</v>
      </c>
      <c r="M39" s="53" t="n">
        <v>5.13</v>
      </c>
      <c r="N39" s="53" t="n">
        <v>0</v>
      </c>
      <c r="O39" s="53" t="n">
        <v>0</v>
      </c>
      <c r="P39" s="6" t="n">
        <f aca="false">M39-(N39+O39)</f>
        <v>5.13</v>
      </c>
      <c r="Q39" s="53" t="n">
        <v>0</v>
      </c>
      <c r="R39" s="53" t="n">
        <v>0</v>
      </c>
      <c r="S39" s="53" t="n">
        <f aca="false">SUM(P39:R39)</f>
        <v>5.13</v>
      </c>
      <c r="T39" s="54"/>
      <c r="U39" s="53" t="n">
        <v>0</v>
      </c>
      <c r="V39" s="53" t="n">
        <v>31</v>
      </c>
      <c r="W39" s="54" t="n">
        <f aca="false">W38-V39</f>
        <v>2908</v>
      </c>
      <c r="X39" s="6" t="n">
        <f aca="false">N39+O39+S39+U39+V39</f>
        <v>36.13</v>
      </c>
      <c r="Y39" s="53" t="n">
        <f aca="false">IF(L39&lt;0,L39*-1,0)</f>
        <v>0</v>
      </c>
      <c r="Z39" s="53" t="n">
        <f aca="false">X39+Y39</f>
        <v>36.13</v>
      </c>
      <c r="AA39" s="58" t="n">
        <v>0.1</v>
      </c>
      <c r="AB39" s="84" t="n">
        <v>34</v>
      </c>
      <c r="AC39" s="59" t="n">
        <v>15</v>
      </c>
      <c r="AD39" s="60" t="n">
        <v>30</v>
      </c>
    </row>
    <row r="40" customFormat="false" ht="11.1" hidden="false" customHeight="true" outlineLevel="0" collapsed="false">
      <c r="A40" s="60" t="n">
        <v>31</v>
      </c>
      <c r="B40" s="75" t="n">
        <v>6876.68</v>
      </c>
      <c r="C40" s="54" t="n">
        <v>206379</v>
      </c>
      <c r="D40" s="59" t="n">
        <f aca="false">C40-C39</f>
        <v>0</v>
      </c>
      <c r="E40" s="54" t="n">
        <f aca="false">C40-152000</f>
        <v>54379</v>
      </c>
      <c r="F40" s="53" t="n">
        <f aca="false">D40/$D$2</f>
        <v>0</v>
      </c>
      <c r="G40" s="53" t="n">
        <v>50</v>
      </c>
      <c r="H40" s="55" t="n">
        <v>0</v>
      </c>
      <c r="I40" s="53" t="n">
        <f aca="false">G40+H40</f>
        <v>50</v>
      </c>
      <c r="J40" s="83" t="n">
        <f aca="false">IF(L40&gt;0,L40,0)</f>
        <v>0</v>
      </c>
      <c r="K40" s="53" t="n">
        <f aca="false">I40+J40</f>
        <v>50</v>
      </c>
      <c r="L40" s="53" t="n">
        <f aca="false">F40-(I40-X40)</f>
        <v>-13.87</v>
      </c>
      <c r="M40" s="53" t="n">
        <v>5.13</v>
      </c>
      <c r="N40" s="53" t="n">
        <v>0</v>
      </c>
      <c r="O40" s="53" t="n">
        <v>0</v>
      </c>
      <c r="P40" s="6" t="n">
        <f aca="false">M40-(N40+O40)</f>
        <v>5.13</v>
      </c>
      <c r="Q40" s="53" t="n">
        <v>0</v>
      </c>
      <c r="R40" s="53" t="n">
        <v>0</v>
      </c>
      <c r="S40" s="53" t="n">
        <f aca="false">SUM(P40:R40)</f>
        <v>5.13</v>
      </c>
      <c r="T40" s="54"/>
      <c r="U40" s="53" t="n">
        <v>0</v>
      </c>
      <c r="V40" s="53" t="n">
        <v>31</v>
      </c>
      <c r="W40" s="54" t="n">
        <f aca="false">W39-V40</f>
        <v>2877</v>
      </c>
      <c r="X40" s="6" t="n">
        <f aca="false">N40+O40+S40+U40+V40</f>
        <v>36.13</v>
      </c>
      <c r="Y40" s="53" t="n">
        <f aca="false">IF(L40&lt;0,L40*-1,0)</f>
        <v>13.87</v>
      </c>
      <c r="Z40" s="53" t="n">
        <f aca="false">X40+Y40</f>
        <v>50</v>
      </c>
      <c r="AA40" s="58" t="n">
        <v>0</v>
      </c>
      <c r="AB40" s="84" t="n">
        <v>35</v>
      </c>
      <c r="AC40" s="59" t="n">
        <v>15</v>
      </c>
      <c r="AD40" s="60" t="n">
        <v>31</v>
      </c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85"/>
      <c r="M41" s="85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/>
      <c r="AC41" s="81"/>
      <c r="AD41" s="82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320.141164608016</v>
      </c>
      <c r="G42" s="54" t="n">
        <f aca="false">SUM(G10:G40)</f>
        <v>1521</v>
      </c>
      <c r="H42" s="54" t="n">
        <f aca="false">SUM(H10:H40)</f>
        <v>0</v>
      </c>
      <c r="I42" s="54" t="n">
        <f aca="false">SUM(I10:I40)</f>
        <v>1521</v>
      </c>
      <c r="J42" s="54" t="n">
        <f aca="false">SUM(J10:J40)</f>
        <v>187.027184270229</v>
      </c>
      <c r="K42" s="54" t="n">
        <f aca="false">SUM(K10:K40)</f>
        <v>1708.02718427023</v>
      </c>
      <c r="L42" s="54" t="n">
        <f aca="false">SUM(L10:L40)</f>
        <v>-106.518835391984</v>
      </c>
      <c r="M42" s="54" t="n">
        <f aca="false">SUM(M10:M40)</f>
        <v>136.34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136.34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136.34</v>
      </c>
      <c r="T42" s="54"/>
      <c r="U42" s="54" t="n">
        <f aca="false">SUM(U10:U40)</f>
        <v>0</v>
      </c>
      <c r="V42" s="54" t="n">
        <f aca="false">SUM(V10:V40)</f>
        <v>958</v>
      </c>
      <c r="W42" s="54"/>
      <c r="X42" s="54" t="n">
        <f aca="false">SUM(X10:X40)</f>
        <v>1094.34</v>
      </c>
      <c r="Y42" s="54" t="n">
        <f aca="false">SUM(Y10:Y40)</f>
        <v>293.546019662213</v>
      </c>
      <c r="Z42" s="54" t="n">
        <f aca="false">SUM(Z10:Z40)</f>
        <v>1387.88601966221</v>
      </c>
      <c r="AA42" s="58" t="n">
        <f aca="false">SUM(AA10:AA40)</f>
        <v>0.85</v>
      </c>
      <c r="AB42" s="59" t="n">
        <f aca="false">AVERAGE(AB10:AB40)</f>
        <v>38.1612903225806</v>
      </c>
      <c r="AC42" s="59" t="n">
        <f aca="false">AVERAGE(AC10:AC40)</f>
        <v>14.7096774193548</v>
      </c>
      <c r="AD42" s="60" t="s">
        <v>47</v>
      </c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635</v>
      </c>
      <c r="E43" s="54"/>
      <c r="F43" s="54" t="n">
        <f aca="false">F42*$D$2</f>
        <v>635</v>
      </c>
      <c r="G43" s="54" t="n">
        <f aca="false">G42*$D$2</f>
        <v>3016.9035</v>
      </c>
      <c r="H43" s="54" t="n">
        <f aca="false">H42*$D$2</f>
        <v>0</v>
      </c>
      <c r="I43" s="54" t="n">
        <f aca="false">I42*$D$2</f>
        <v>3016.9035</v>
      </c>
      <c r="J43" s="54" t="n">
        <f aca="false">J42*$D$2</f>
        <v>370.96842</v>
      </c>
      <c r="K43" s="54" t="n">
        <f aca="false">K42*$D$2</f>
        <v>3387.87192</v>
      </c>
      <c r="L43" s="54" t="n">
        <f aca="false">L42*$D$2</f>
        <v>-211.28011</v>
      </c>
      <c r="M43" s="54" t="n">
        <f aca="false">M42*$D$2</f>
        <v>270.43039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270.43039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270.43039</v>
      </c>
      <c r="T43" s="54"/>
      <c r="U43" s="54" t="n">
        <f aca="false">U42*$D$2</f>
        <v>0</v>
      </c>
      <c r="V43" s="54" t="n">
        <f aca="false">V42*$D$2</f>
        <v>1900.193</v>
      </c>
      <c r="W43" s="54"/>
      <c r="X43" s="54" t="n">
        <f aca="false">X42*$D$2</f>
        <v>2170.62339</v>
      </c>
      <c r="Y43" s="54" t="n">
        <f aca="false">Y42*$D$2</f>
        <v>582.24853</v>
      </c>
      <c r="Z43" s="54" t="n">
        <f aca="false">Z42*$D$2</f>
        <v>2752.87192</v>
      </c>
      <c r="AA43" s="58"/>
      <c r="AB43" s="59" t="n">
        <f aca="false">MAX(AB10:AB40)</f>
        <v>49</v>
      </c>
      <c r="AC43" s="59" t="n">
        <f aca="false">MAX(AC10:AC40)</f>
        <v>33</v>
      </c>
      <c r="AD43" s="60" t="s">
        <v>49</v>
      </c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28</v>
      </c>
      <c r="AC45" s="59" t="n">
        <f aca="false">MIN(AC10:AC40)</f>
        <v>2</v>
      </c>
      <c r="AD45" s="60" t="s">
        <v>51</v>
      </c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218.300983110663</v>
      </c>
      <c r="G48" s="54" t="n">
        <f aca="false">G8+G42</f>
        <v>2693</v>
      </c>
      <c r="H48" s="59" t="n">
        <f aca="false">H8+H42</f>
        <v>0</v>
      </c>
      <c r="I48" s="54" t="n">
        <f aca="false">I8+I42</f>
        <v>2693</v>
      </c>
      <c r="J48" s="54" t="n">
        <f aca="false">J8+J42</f>
        <v>652.372508192589</v>
      </c>
      <c r="K48" s="54" t="n">
        <f aca="false">K8+K42</f>
        <v>3345.37250819259</v>
      </c>
      <c r="L48" s="54" t="n">
        <f aca="false">L8+L42</f>
        <v>79.2209831106631</v>
      </c>
      <c r="M48" s="54" t="n">
        <f aca="false">M8+M42</f>
        <v>501.42</v>
      </c>
      <c r="N48" s="54" t="n">
        <f aca="false">N8+N42</f>
        <v>5</v>
      </c>
      <c r="O48" s="54" t="n">
        <f aca="false">O8+O42</f>
        <v>457.766</v>
      </c>
      <c r="P48" s="54" t="n">
        <f aca="false">P8+P42</f>
        <v>440.854</v>
      </c>
      <c r="Q48" s="54" t="n">
        <f aca="false">Q8+Q42</f>
        <v>0</v>
      </c>
      <c r="R48" s="54" t="n">
        <f aca="false">R8+R42</f>
        <v>127.5</v>
      </c>
      <c r="S48" s="54" t="n">
        <f aca="false">S8+S42</f>
        <v>568.354</v>
      </c>
      <c r="T48" s="54"/>
      <c r="U48" s="54" t="n">
        <f aca="false">U8+U42</f>
        <v>0</v>
      </c>
      <c r="V48" s="54" t="n">
        <f aca="false">V8+V42</f>
        <v>1925</v>
      </c>
      <c r="W48" s="54" t="n">
        <f aca="false">W40</f>
        <v>2877</v>
      </c>
      <c r="X48" s="54" t="n">
        <f aca="false">X8+X42</f>
        <v>2553.92</v>
      </c>
      <c r="Y48" s="54" t="n">
        <f aca="false">Y8+Y42</f>
        <v>573.151525081926</v>
      </c>
      <c r="Z48" s="54" t="n">
        <f aca="false">Z8+Z42</f>
        <v>3127.07152508192</v>
      </c>
      <c r="AA48" s="58" t="n">
        <f aca="false">AA8+AA42</f>
        <v>2.77</v>
      </c>
      <c r="AB48" s="59"/>
      <c r="AC48" s="59"/>
      <c r="AD48" s="60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433</v>
      </c>
      <c r="E49" s="54" t="n">
        <f aca="false">E40</f>
        <v>54379</v>
      </c>
      <c r="F49" s="54" t="n">
        <f aca="false">F48*$D$2</f>
        <v>433.000000000001</v>
      </c>
      <c r="G49" s="54" t="n">
        <f aca="false">G48*$D$2</f>
        <v>5341.5655</v>
      </c>
      <c r="H49" s="59" t="n">
        <f aca="false">H48*$D$2</f>
        <v>0</v>
      </c>
      <c r="I49" s="54" t="n">
        <f aca="false">I48*$D$2</f>
        <v>5341.5655</v>
      </c>
      <c r="J49" s="54" t="n">
        <f aca="false">J48*$D$2</f>
        <v>1293.98087</v>
      </c>
      <c r="K49" s="54" t="n">
        <f aca="false">K48*$D$2</f>
        <v>6635.54637</v>
      </c>
      <c r="L49" s="54" t="n">
        <f aca="false">L48*$D$2</f>
        <v>157.13482</v>
      </c>
      <c r="M49" s="54" t="n">
        <f aca="false">M48*$D$2</f>
        <v>994.56657</v>
      </c>
      <c r="N49" s="54" t="n">
        <f aca="false">N48*$D$2</f>
        <v>9.9175</v>
      </c>
      <c r="O49" s="54" t="n">
        <f aca="false">O48*$D$2</f>
        <v>907.978861</v>
      </c>
      <c r="P49" s="54" t="n">
        <f aca="false">P48*$D$2</f>
        <v>874.433909</v>
      </c>
      <c r="Q49" s="54" t="n">
        <f aca="false">Q48*$D$2</f>
        <v>0</v>
      </c>
      <c r="R49" s="54" t="n">
        <f aca="false">R48*$D$2</f>
        <v>252.89625</v>
      </c>
      <c r="S49" s="54" t="n">
        <f aca="false">S48*$D$2</f>
        <v>1127.330159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3818.2375</v>
      </c>
      <c r="W49" s="54" t="n">
        <f aca="false">W48*$D$2</f>
        <v>5706.5295</v>
      </c>
      <c r="X49" s="54" t="n">
        <f aca="false">X48*$D$2</f>
        <v>5065.70032</v>
      </c>
      <c r="Y49" s="54" t="n">
        <f aca="false">Y48*$D$2</f>
        <v>1136.84605</v>
      </c>
      <c r="Z49" s="54" t="n">
        <f aca="false">Z48*$D$2</f>
        <v>6202.54636999999</v>
      </c>
      <c r="AA49" s="58"/>
      <c r="AB49" s="59"/>
      <c r="AC49" s="59"/>
      <c r="AD49" s="60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S23" activePane="bottomRight" state="frozen"/>
      <selection pane="topLeft" activeCell="A1" activeCellId="0" sqref="A1"/>
      <selection pane="topRight" activeCell="S1" activeCellId="0" sqref="S1"/>
      <selection pane="bottomLeft" activeCell="A23" activeCellId="0" sqref="A23"/>
      <selection pane="bottomRight" activeCell="V41" activeCellId="0" sqref="V41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88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7.66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7"/>
    <col collapsed="false" customWidth="true" hidden="false" outlineLevel="0" max="28" min="28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89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57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89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91" t="s">
        <v>13</v>
      </c>
      <c r="N4" s="91"/>
      <c r="O4" s="91"/>
      <c r="P4" s="91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58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91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58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93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89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DEC!B40</f>
        <v>6876.68</v>
      </c>
      <c r="C8" s="54" t="n">
        <f aca="false">DEC!C40</f>
        <v>206379</v>
      </c>
      <c r="D8" s="54" t="n">
        <f aca="false">DEC!$D$49</f>
        <v>433</v>
      </c>
      <c r="E8" s="54" t="n">
        <f aca="false">DEC!$E$40</f>
        <v>54379</v>
      </c>
      <c r="F8" s="54" t="n">
        <f aca="false">DEC!F48</f>
        <v>218.300983110663</v>
      </c>
      <c r="G8" s="54" t="n">
        <f aca="false">DEC!G48</f>
        <v>2693</v>
      </c>
      <c r="H8" s="58" t="n">
        <f aca="false">DEC!H48</f>
        <v>0</v>
      </c>
      <c r="I8" s="54" t="n">
        <f aca="false">DEC!I48</f>
        <v>2693</v>
      </c>
      <c r="J8" s="54" t="n">
        <f aca="false">DEC!J48</f>
        <v>652.372508192589</v>
      </c>
      <c r="K8" s="54" t="n">
        <f aca="false">DEC!K48</f>
        <v>3345.37250819259</v>
      </c>
      <c r="L8" s="54" t="n">
        <f aca="false">DEC!L48</f>
        <v>79.2209831106631</v>
      </c>
      <c r="M8" s="89" t="n">
        <f aca="false">DEC!M48</f>
        <v>501.42</v>
      </c>
      <c r="N8" s="54" t="n">
        <f aca="false">DEC!N48</f>
        <v>5</v>
      </c>
      <c r="O8" s="54" t="n">
        <f aca="false">DEC!O48</f>
        <v>457.766</v>
      </c>
      <c r="P8" s="54" t="n">
        <f aca="false">DEC!P48</f>
        <v>440.854</v>
      </c>
      <c r="Q8" s="54" t="n">
        <f aca="false">DEC!Q48</f>
        <v>0</v>
      </c>
      <c r="R8" s="54" t="n">
        <f aca="false">DEC!R48</f>
        <v>127.5</v>
      </c>
      <c r="S8" s="54" t="n">
        <f aca="false">DEC!S48</f>
        <v>568.354</v>
      </c>
      <c r="T8" s="54" t="n">
        <f aca="false">DEC!T48</f>
        <v>0</v>
      </c>
      <c r="U8" s="54" t="n">
        <f aca="false">DEC!U48</f>
        <v>0</v>
      </c>
      <c r="V8" s="54" t="n">
        <f aca="false">DEC!V48</f>
        <v>1925</v>
      </c>
      <c r="W8" s="54" t="n">
        <f aca="false">DEC!W48</f>
        <v>2877</v>
      </c>
      <c r="X8" s="54" t="n">
        <f aca="false">DEC!X48</f>
        <v>2553.92</v>
      </c>
      <c r="Y8" s="54" t="n">
        <f aca="false">DEC!Y48</f>
        <v>573.151525081926</v>
      </c>
      <c r="Z8" s="54" t="n">
        <f aca="false">DEC!Z48</f>
        <v>3127.07152508192</v>
      </c>
      <c r="AA8" s="58" t="n">
        <f aca="false">DEC!AA48</f>
        <v>2.77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97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6876.68</v>
      </c>
      <c r="C10" s="54" t="n">
        <v>206379</v>
      </c>
      <c r="D10" s="59" t="n">
        <f aca="false">C10-C8</f>
        <v>0</v>
      </c>
      <c r="E10" s="54" t="n">
        <f aca="false">C10-152000</f>
        <v>54379</v>
      </c>
      <c r="F10" s="53" t="n">
        <f aca="false">D10/$D$2</f>
        <v>0</v>
      </c>
      <c r="G10" s="53" t="n">
        <v>46</v>
      </c>
      <c r="H10" s="58" t="n">
        <v>0</v>
      </c>
      <c r="I10" s="53" t="n">
        <f aca="false">G10+H10</f>
        <v>46</v>
      </c>
      <c r="J10" s="83" t="n">
        <f aca="false">IF(L10&gt;0,L10,0)</f>
        <v>0</v>
      </c>
      <c r="K10" s="53" t="n">
        <f aca="false">I10+J10</f>
        <v>46</v>
      </c>
      <c r="L10" s="53" t="n">
        <f aca="false">F10-(I10-X10)</f>
        <v>-9.9</v>
      </c>
      <c r="M10" s="89" t="n">
        <v>5.1</v>
      </c>
      <c r="N10" s="53" t="n">
        <v>0</v>
      </c>
      <c r="O10" s="53" t="n">
        <v>0</v>
      </c>
      <c r="P10" s="6" t="n">
        <f aca="false">M10-(N10+O10)</f>
        <v>5.1</v>
      </c>
      <c r="Q10" s="53" t="n">
        <v>0</v>
      </c>
      <c r="R10" s="53" t="n">
        <v>0</v>
      </c>
      <c r="S10" s="53" t="n">
        <f aca="false">SUM(P10:R10)</f>
        <v>5.1</v>
      </c>
      <c r="T10" s="54"/>
      <c r="U10" s="53" t="n">
        <v>0</v>
      </c>
      <c r="V10" s="53" t="n">
        <v>31</v>
      </c>
      <c r="W10" s="54" t="n">
        <f aca="false">W8-V10</f>
        <v>2846</v>
      </c>
      <c r="X10" s="6" t="n">
        <f aca="false">N10+O10+S10+U10+V10</f>
        <v>36.1</v>
      </c>
      <c r="Y10" s="53" t="n">
        <f aca="false">IF(L10&lt;0,L10*-1,0)</f>
        <v>9.9</v>
      </c>
      <c r="Z10" s="53" t="n">
        <f aca="false">X10+Y10</f>
        <v>46</v>
      </c>
      <c r="AA10" s="58" t="n">
        <v>0</v>
      </c>
      <c r="AB10" s="59" t="n">
        <v>37</v>
      </c>
      <c r="AC10" s="59" t="n">
        <v>8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6876.68</v>
      </c>
      <c r="C11" s="54" t="n">
        <v>206379</v>
      </c>
      <c r="D11" s="59" t="n">
        <f aca="false">C11-C10</f>
        <v>0</v>
      </c>
      <c r="E11" s="54" t="n">
        <f aca="false">C11-152000</f>
        <v>54379</v>
      </c>
      <c r="F11" s="53" t="n">
        <f aca="false">D11/$D$2</f>
        <v>0</v>
      </c>
      <c r="G11" s="53" t="n">
        <v>43</v>
      </c>
      <c r="H11" s="58" t="n">
        <v>0</v>
      </c>
      <c r="I11" s="53" t="n">
        <f aca="false">G11+H11</f>
        <v>43</v>
      </c>
      <c r="J11" s="83" t="n">
        <f aca="false">IF(L11&gt;0,L11,0)</f>
        <v>0</v>
      </c>
      <c r="K11" s="53" t="n">
        <f aca="false">I11+J11</f>
        <v>43</v>
      </c>
      <c r="L11" s="53" t="n">
        <f aca="false">F11-(I11-X11)</f>
        <v>-6.9</v>
      </c>
      <c r="M11" s="89" t="n">
        <v>5.1</v>
      </c>
      <c r="N11" s="53" t="n">
        <v>0</v>
      </c>
      <c r="O11" s="53" t="n">
        <v>0</v>
      </c>
      <c r="P11" s="6" t="n">
        <f aca="false">M11-(N11+O11)</f>
        <v>5.1</v>
      </c>
      <c r="Q11" s="53" t="n">
        <v>0</v>
      </c>
      <c r="R11" s="53" t="n">
        <v>0</v>
      </c>
      <c r="S11" s="53" t="n">
        <f aca="false">SUM(P11:R11)</f>
        <v>5.1</v>
      </c>
      <c r="T11" s="54"/>
      <c r="U11" s="53" t="n">
        <v>0</v>
      </c>
      <c r="V11" s="53" t="n">
        <v>31</v>
      </c>
      <c r="W11" s="54" t="n">
        <f aca="false">W10-V11</f>
        <v>2815</v>
      </c>
      <c r="X11" s="6" t="n">
        <f aca="false">N11+O11+S11+U11+V11</f>
        <v>36.1</v>
      </c>
      <c r="Y11" s="53" t="n">
        <f aca="false">IF(L11&lt;0,L11*-1,0)</f>
        <v>6.9</v>
      </c>
      <c r="Z11" s="53" t="n">
        <f aca="false">X11+Y11</f>
        <v>43</v>
      </c>
      <c r="AA11" s="58" t="n">
        <v>0</v>
      </c>
      <c r="AB11" s="59" t="n">
        <v>32</v>
      </c>
      <c r="AC11" s="59" t="n">
        <v>4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6876.68</v>
      </c>
      <c r="C12" s="54" t="n">
        <v>206379</v>
      </c>
      <c r="D12" s="59" t="n">
        <f aca="false">C12-C11</f>
        <v>0</v>
      </c>
      <c r="E12" s="54" t="n">
        <f aca="false">C12-152000</f>
        <v>54379</v>
      </c>
      <c r="F12" s="53" t="n">
        <f aca="false">D12/$D$2</f>
        <v>0</v>
      </c>
      <c r="G12" s="53" t="n">
        <v>42</v>
      </c>
      <c r="H12" s="58" t="n">
        <v>0</v>
      </c>
      <c r="I12" s="53" t="n">
        <f aca="false">G12+H12</f>
        <v>42</v>
      </c>
      <c r="J12" s="83" t="n">
        <f aca="false">IF(L12&gt;0,L12,0)</f>
        <v>0</v>
      </c>
      <c r="K12" s="53" t="n">
        <f aca="false">I12+J12</f>
        <v>42</v>
      </c>
      <c r="L12" s="53" t="n">
        <f aca="false">F12-(I12-X12)</f>
        <v>-5.9</v>
      </c>
      <c r="M12" s="89" t="n">
        <v>5.1</v>
      </c>
      <c r="N12" s="53" t="n">
        <v>0</v>
      </c>
      <c r="O12" s="53" t="n">
        <v>0</v>
      </c>
      <c r="P12" s="6" t="n">
        <f aca="false">M12-(N12+O12)</f>
        <v>5.1</v>
      </c>
      <c r="Q12" s="53" t="n">
        <v>0</v>
      </c>
      <c r="R12" s="53" t="n">
        <v>0</v>
      </c>
      <c r="S12" s="53" t="n">
        <f aca="false">SUM(P12:R12)</f>
        <v>5.1</v>
      </c>
      <c r="T12" s="54"/>
      <c r="U12" s="53" t="n">
        <v>0</v>
      </c>
      <c r="V12" s="53" t="n">
        <v>31</v>
      </c>
      <c r="W12" s="54" t="n">
        <f aca="false">W11-V12</f>
        <v>2784</v>
      </c>
      <c r="X12" s="6" t="n">
        <f aca="false">N12+O12+S12+U12+V12</f>
        <v>36.1</v>
      </c>
      <c r="Y12" s="53" t="n">
        <f aca="false">IF(L12&lt;0,L12*-1,0)</f>
        <v>5.9</v>
      </c>
      <c r="Z12" s="53" t="n">
        <f aca="false">X12+Y12</f>
        <v>42</v>
      </c>
      <c r="AA12" s="58" t="n">
        <v>0</v>
      </c>
      <c r="AB12" s="59" t="n">
        <v>35</v>
      </c>
      <c r="AC12" s="59" t="n">
        <v>8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6876.68</v>
      </c>
      <c r="C13" s="54" t="n">
        <v>206379</v>
      </c>
      <c r="D13" s="59" t="n">
        <f aca="false">C13-C12</f>
        <v>0</v>
      </c>
      <c r="E13" s="54" t="n">
        <f aca="false">C13-152000</f>
        <v>54379</v>
      </c>
      <c r="F13" s="53" t="n">
        <f aca="false">D13/$D$2</f>
        <v>0</v>
      </c>
      <c r="G13" s="53" t="n">
        <v>45</v>
      </c>
      <c r="H13" s="58" t="n">
        <v>0</v>
      </c>
      <c r="I13" s="53" t="n">
        <f aca="false">G13+H13</f>
        <v>45</v>
      </c>
      <c r="J13" s="83" t="n">
        <f aca="false">IF(L13&gt;0,L13,0)</f>
        <v>0</v>
      </c>
      <c r="K13" s="53" t="n">
        <f aca="false">I13+J13</f>
        <v>45</v>
      </c>
      <c r="L13" s="53" t="n">
        <f aca="false">F13-(I13-X13)</f>
        <v>-8.9</v>
      </c>
      <c r="M13" s="89" t="n">
        <v>5.1</v>
      </c>
      <c r="N13" s="53" t="n">
        <v>0</v>
      </c>
      <c r="O13" s="53" t="n">
        <v>0</v>
      </c>
      <c r="P13" s="6" t="n">
        <f aca="false">M13-(N13+O13)</f>
        <v>5.1</v>
      </c>
      <c r="Q13" s="53" t="n">
        <v>0</v>
      </c>
      <c r="R13" s="53" t="n">
        <v>0</v>
      </c>
      <c r="S13" s="53" t="n">
        <f aca="false">SUM(P13:R13)</f>
        <v>5.1</v>
      </c>
      <c r="T13" s="54"/>
      <c r="U13" s="53" t="n">
        <v>0</v>
      </c>
      <c r="V13" s="53" t="n">
        <v>31</v>
      </c>
      <c r="W13" s="54" t="n">
        <f aca="false">W12-V13</f>
        <v>2753</v>
      </c>
      <c r="X13" s="6" t="n">
        <f aca="false">N13+O13+S13+U13+V13</f>
        <v>36.1</v>
      </c>
      <c r="Y13" s="53" t="n">
        <f aca="false">IF(L13&lt;0,L13*-1,0)</f>
        <v>8.9</v>
      </c>
      <c r="Z13" s="53" t="n">
        <f aca="false">X13+Y13</f>
        <v>45</v>
      </c>
      <c r="AA13" s="58" t="n">
        <v>0</v>
      </c>
      <c r="AB13" s="59" t="n">
        <v>32</v>
      </c>
      <c r="AC13" s="59" t="n">
        <v>21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6876.68</v>
      </c>
      <c r="C14" s="54" t="n">
        <v>206379</v>
      </c>
      <c r="D14" s="59" t="n">
        <f aca="false">C14-C13</f>
        <v>0</v>
      </c>
      <c r="E14" s="54" t="n">
        <f aca="false">C14-152000</f>
        <v>54379</v>
      </c>
      <c r="F14" s="53" t="n">
        <f aca="false">D14/$D$2</f>
        <v>0</v>
      </c>
      <c r="G14" s="53" t="n">
        <v>45</v>
      </c>
      <c r="H14" s="58" t="n">
        <v>0.08</v>
      </c>
      <c r="I14" s="53" t="n">
        <f aca="false">G14+H14</f>
        <v>45.08</v>
      </c>
      <c r="J14" s="83" t="n">
        <f aca="false">IF(L14&gt;0,L14,0)</f>
        <v>0</v>
      </c>
      <c r="K14" s="53" t="n">
        <f aca="false">I14+J14</f>
        <v>45.08</v>
      </c>
      <c r="L14" s="53" t="n">
        <f aca="false">F14-(I14-X14)</f>
        <v>-8.98</v>
      </c>
      <c r="M14" s="89" t="n">
        <v>5.1</v>
      </c>
      <c r="N14" s="53" t="n">
        <v>0</v>
      </c>
      <c r="O14" s="53" t="n">
        <v>0</v>
      </c>
      <c r="P14" s="6" t="n">
        <f aca="false">M14-(N14+O14)</f>
        <v>5.1</v>
      </c>
      <c r="Q14" s="53" t="n">
        <v>0</v>
      </c>
      <c r="R14" s="53" t="n">
        <v>0</v>
      </c>
      <c r="S14" s="53" t="n">
        <f aca="false">SUM(P14:R14)</f>
        <v>5.1</v>
      </c>
      <c r="T14" s="54"/>
      <c r="U14" s="53" t="n">
        <v>0</v>
      </c>
      <c r="V14" s="53" t="n">
        <v>31</v>
      </c>
      <c r="W14" s="54" t="n">
        <f aca="false">W13-V14</f>
        <v>2722</v>
      </c>
      <c r="X14" s="6" t="n">
        <f aca="false">N14+O14+S14+U14+V14</f>
        <v>36.1</v>
      </c>
      <c r="Y14" s="53" t="n">
        <f aca="false">IF(L14&lt;0,L14*-1,0)</f>
        <v>8.98</v>
      </c>
      <c r="Z14" s="53" t="n">
        <f aca="false">X14+Y14</f>
        <v>45.08</v>
      </c>
      <c r="AA14" s="58" t="n">
        <v>0</v>
      </c>
      <c r="AB14" s="59" t="n">
        <v>36</v>
      </c>
      <c r="AC14" s="59" t="n">
        <v>9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6876.68</v>
      </c>
      <c r="C15" s="54" t="n">
        <v>206379</v>
      </c>
      <c r="D15" s="59" t="n">
        <f aca="false">C15-C14</f>
        <v>0</v>
      </c>
      <c r="E15" s="54" t="n">
        <f aca="false">C15-152000</f>
        <v>54379</v>
      </c>
      <c r="F15" s="53" t="n">
        <f aca="false">D15/$D$2</f>
        <v>0</v>
      </c>
      <c r="G15" s="53" t="n">
        <v>43</v>
      </c>
      <c r="H15" s="58" t="n">
        <v>0.09</v>
      </c>
      <c r="I15" s="53" t="n">
        <f aca="false">G15+H15</f>
        <v>43.09</v>
      </c>
      <c r="J15" s="83" t="n">
        <f aca="false">IF(L15&gt;0,L15,0)</f>
        <v>0</v>
      </c>
      <c r="K15" s="53" t="n">
        <f aca="false">I15+J15</f>
        <v>43.09</v>
      </c>
      <c r="L15" s="53" t="n">
        <f aca="false">F15-(I15-X15)</f>
        <v>-6.99</v>
      </c>
      <c r="M15" s="89" t="n">
        <v>5.1</v>
      </c>
      <c r="N15" s="53" t="n">
        <v>0</v>
      </c>
      <c r="O15" s="53" t="n">
        <v>0</v>
      </c>
      <c r="P15" s="6" t="n">
        <f aca="false">M15-(N15+O15)</f>
        <v>5.1</v>
      </c>
      <c r="Q15" s="53" t="n">
        <v>0</v>
      </c>
      <c r="R15" s="53" t="n">
        <v>0</v>
      </c>
      <c r="S15" s="53" t="n">
        <f aca="false">SUM(P15:R15)</f>
        <v>5.1</v>
      </c>
      <c r="T15" s="54"/>
      <c r="U15" s="53" t="n">
        <v>0</v>
      </c>
      <c r="V15" s="53" t="n">
        <v>31</v>
      </c>
      <c r="W15" s="54" t="n">
        <f aca="false">W14-V15</f>
        <v>2691</v>
      </c>
      <c r="X15" s="6" t="n">
        <f aca="false">N15+O15+S15+U15+V15</f>
        <v>36.1</v>
      </c>
      <c r="Y15" s="53" t="n">
        <f aca="false">IF(L15&lt;0,L15*-1,0)</f>
        <v>6.99</v>
      </c>
      <c r="Z15" s="53" t="n">
        <f aca="false">X15+Y15</f>
        <v>43.09</v>
      </c>
      <c r="AA15" s="58" t="n">
        <v>0</v>
      </c>
      <c r="AB15" s="59" t="n">
        <v>44</v>
      </c>
      <c r="AC15" s="59" t="n">
        <v>19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6876.68</v>
      </c>
      <c r="C16" s="54" t="n">
        <v>206379</v>
      </c>
      <c r="D16" s="59" t="n">
        <f aca="false">C16-C15</f>
        <v>0</v>
      </c>
      <c r="E16" s="54" t="n">
        <f aca="false">C16-152000</f>
        <v>54379</v>
      </c>
      <c r="F16" s="53" t="n">
        <f aca="false">D16/$D$2</f>
        <v>0</v>
      </c>
      <c r="G16" s="53" t="n">
        <v>43</v>
      </c>
      <c r="H16" s="58" t="n">
        <v>0.22</v>
      </c>
      <c r="I16" s="53" t="n">
        <f aca="false">G16+H16</f>
        <v>43.22</v>
      </c>
      <c r="J16" s="83" t="n">
        <f aca="false">IF(L16&gt;0,L16,0)</f>
        <v>0</v>
      </c>
      <c r="K16" s="53" t="n">
        <f aca="false">I16+J16</f>
        <v>43.22</v>
      </c>
      <c r="L16" s="53" t="n">
        <f aca="false">F16-(I16-X16)</f>
        <v>-7.32</v>
      </c>
      <c r="M16" s="89" t="n">
        <v>4.9</v>
      </c>
      <c r="N16" s="53" t="n">
        <v>0</v>
      </c>
      <c r="O16" s="53" t="n">
        <v>0</v>
      </c>
      <c r="P16" s="6" t="n">
        <f aca="false">M16-(N16+O16)</f>
        <v>4.9</v>
      </c>
      <c r="Q16" s="53" t="n">
        <v>0</v>
      </c>
      <c r="R16" s="53" t="n">
        <v>0</v>
      </c>
      <c r="S16" s="53" t="n">
        <f aca="false">SUM(P16:R16)</f>
        <v>4.9</v>
      </c>
      <c r="T16" s="54"/>
      <c r="U16" s="53" t="n">
        <v>0</v>
      </c>
      <c r="V16" s="53" t="n">
        <v>31</v>
      </c>
      <c r="W16" s="54" t="n">
        <f aca="false">W15-V16</f>
        <v>2660</v>
      </c>
      <c r="X16" s="6" t="n">
        <f aca="false">N16+O16+S16+U16+V16</f>
        <v>35.9</v>
      </c>
      <c r="Y16" s="53" t="n">
        <f aca="false">IF(L16&lt;0,L16*-1,0)</f>
        <v>7.32</v>
      </c>
      <c r="Z16" s="53" t="n">
        <f aca="false">X16+Y16</f>
        <v>43.22</v>
      </c>
      <c r="AA16" s="58" t="n">
        <v>0</v>
      </c>
      <c r="AB16" s="59" t="n">
        <v>47</v>
      </c>
      <c r="AC16" s="59" t="n">
        <v>22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6876.68</v>
      </c>
      <c r="C17" s="54" t="n">
        <v>206379</v>
      </c>
      <c r="D17" s="59" t="n">
        <f aca="false">C17-C16</f>
        <v>0</v>
      </c>
      <c r="E17" s="54" t="n">
        <f aca="false">C17-152000</f>
        <v>54379</v>
      </c>
      <c r="F17" s="53" t="n">
        <f aca="false">D17/$D$2</f>
        <v>0</v>
      </c>
      <c r="G17" s="53" t="n">
        <v>44</v>
      </c>
      <c r="H17" s="58" t="n">
        <v>0.16</v>
      </c>
      <c r="I17" s="53" t="n">
        <v>36</v>
      </c>
      <c r="J17" s="83" t="n">
        <f aca="false">IF(L17&gt;0,L17,0)</f>
        <v>0</v>
      </c>
      <c r="K17" s="53" t="n">
        <f aca="false">I17+J17</f>
        <v>36</v>
      </c>
      <c r="L17" s="53" t="n">
        <f aca="false">F17-(I17-X17)</f>
        <v>-0.240000000000002</v>
      </c>
      <c r="M17" s="89" t="n">
        <v>4.76</v>
      </c>
      <c r="N17" s="53" t="n">
        <v>0</v>
      </c>
      <c r="O17" s="53" t="n">
        <v>0</v>
      </c>
      <c r="P17" s="6" t="n">
        <f aca="false">M17-(N17+O17)</f>
        <v>4.76</v>
      </c>
      <c r="Q17" s="53" t="n">
        <v>0</v>
      </c>
      <c r="R17" s="53" t="n">
        <v>0</v>
      </c>
      <c r="S17" s="53" t="n">
        <f aca="false">SUM(P17:R17)</f>
        <v>4.76</v>
      </c>
      <c r="T17" s="54"/>
      <c r="U17" s="53" t="n">
        <v>0</v>
      </c>
      <c r="V17" s="53" t="n">
        <v>31</v>
      </c>
      <c r="W17" s="54" t="n">
        <f aca="false">W16-V17</f>
        <v>2629</v>
      </c>
      <c r="X17" s="6" t="n">
        <f aca="false">N17+O17+S17+U17+V17</f>
        <v>35.76</v>
      </c>
      <c r="Y17" s="53" t="n">
        <f aca="false">IF(L17&lt;0,L17*-1,0)</f>
        <v>0.240000000000002</v>
      </c>
      <c r="Z17" s="53" t="n">
        <f aca="false">X17+Y17</f>
        <v>36</v>
      </c>
      <c r="AA17" s="58" t="n">
        <v>0</v>
      </c>
      <c r="AB17" s="59" t="n">
        <v>52</v>
      </c>
      <c r="AC17" s="59" t="n">
        <v>25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6876.68</v>
      </c>
      <c r="C18" s="54" t="n">
        <v>206379</v>
      </c>
      <c r="D18" s="59" t="n">
        <f aca="false">C18-C17</f>
        <v>0</v>
      </c>
      <c r="E18" s="54" t="n">
        <f aca="false">C18-152000</f>
        <v>54379</v>
      </c>
      <c r="F18" s="53" t="n">
        <f aca="false">D18/$D$2</f>
        <v>0</v>
      </c>
      <c r="G18" s="53" t="n">
        <v>46</v>
      </c>
      <c r="H18" s="58" t="n">
        <v>0.21</v>
      </c>
      <c r="I18" s="53" t="n">
        <v>36</v>
      </c>
      <c r="J18" s="83" t="n">
        <f aca="false">IF(L18&gt;0,L18,0)</f>
        <v>0</v>
      </c>
      <c r="K18" s="53" t="n">
        <f aca="false">I18+J18</f>
        <v>36</v>
      </c>
      <c r="L18" s="53" t="n">
        <f aca="false">F18-(I18-X18)</f>
        <v>-0.240000000000002</v>
      </c>
      <c r="M18" s="89" t="n">
        <v>4.76</v>
      </c>
      <c r="N18" s="53" t="n">
        <v>0</v>
      </c>
      <c r="O18" s="53" t="n">
        <v>0</v>
      </c>
      <c r="P18" s="6" t="n">
        <f aca="false">M18-(N18+O18)</f>
        <v>4.76</v>
      </c>
      <c r="Q18" s="53" t="n">
        <v>0</v>
      </c>
      <c r="R18" s="53" t="n">
        <v>0</v>
      </c>
      <c r="S18" s="53" t="n">
        <f aca="false">SUM(P18:R18)</f>
        <v>4.76</v>
      </c>
      <c r="T18" s="54"/>
      <c r="U18" s="53" t="n">
        <v>0</v>
      </c>
      <c r="V18" s="53" t="n">
        <v>31</v>
      </c>
      <c r="W18" s="54" t="n">
        <f aca="false">W17-V18</f>
        <v>2598</v>
      </c>
      <c r="X18" s="6" t="n">
        <f aca="false">N18+O18+S18+U18+V18</f>
        <v>35.76</v>
      </c>
      <c r="Y18" s="53" t="n">
        <f aca="false">IF(L18&lt;0,L18*-1,0)</f>
        <v>0.240000000000002</v>
      </c>
      <c r="Z18" s="53" t="n">
        <f aca="false">X18+Y18</f>
        <v>36</v>
      </c>
      <c r="AA18" s="58" t="n">
        <v>0</v>
      </c>
      <c r="AB18" s="84" t="n">
        <v>50</v>
      </c>
      <c r="AC18" s="59" t="n">
        <v>29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6876.69</v>
      </c>
      <c r="C19" s="54" t="n">
        <v>206408</v>
      </c>
      <c r="D19" s="59" t="n">
        <f aca="false">C19-C18</f>
        <v>29</v>
      </c>
      <c r="E19" s="54" t="n">
        <f aca="false">C19-152000</f>
        <v>54408</v>
      </c>
      <c r="F19" s="53" t="n">
        <f aca="false">D19/$D$2</f>
        <v>14.6206201159566</v>
      </c>
      <c r="G19" s="53" t="n">
        <v>48</v>
      </c>
      <c r="H19" s="58" t="n">
        <v>0.23</v>
      </c>
      <c r="I19" s="53" t="n">
        <v>49.6</v>
      </c>
      <c r="J19" s="83" t="n">
        <f aca="false">IF(L19&gt;0,L19,0)</f>
        <v>0</v>
      </c>
      <c r="K19" s="53" t="n">
        <f aca="false">I19+J19</f>
        <v>49.6</v>
      </c>
      <c r="L19" s="53" t="n">
        <f aca="false">F19-(I19-X19)</f>
        <v>-0.339379884043359</v>
      </c>
      <c r="M19" s="89" t="n">
        <v>4.64</v>
      </c>
      <c r="N19" s="53" t="n">
        <v>0</v>
      </c>
      <c r="O19" s="53" t="n">
        <v>0</v>
      </c>
      <c r="P19" s="6" t="n">
        <f aca="false">M19-(N19+O19)</f>
        <v>4.64</v>
      </c>
      <c r="Q19" s="53" t="n">
        <v>0</v>
      </c>
      <c r="R19" s="53" t="n">
        <v>0</v>
      </c>
      <c r="S19" s="53" t="n">
        <f aca="false">SUM(P19:R19)</f>
        <v>4.64</v>
      </c>
      <c r="T19" s="54"/>
      <c r="U19" s="53" t="n">
        <v>0</v>
      </c>
      <c r="V19" s="53" t="n">
        <v>30</v>
      </c>
      <c r="W19" s="54" t="n">
        <f aca="false">W18-V19</f>
        <v>2568</v>
      </c>
      <c r="X19" s="6" t="n">
        <f aca="false">N19+O19+S19+U19+V19</f>
        <v>34.64</v>
      </c>
      <c r="Y19" s="53" t="n">
        <f aca="false">IF(L19&lt;0,L19*-1,0)</f>
        <v>0.339379884043359</v>
      </c>
      <c r="Z19" s="53" t="n">
        <f aca="false">X19+Y19</f>
        <v>34.9793798840434</v>
      </c>
      <c r="AA19" s="58" t="n">
        <v>0</v>
      </c>
      <c r="AB19" s="59" t="n">
        <v>43</v>
      </c>
      <c r="AC19" s="59" t="n">
        <v>24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6876.69</v>
      </c>
      <c r="C20" s="54" t="n">
        <v>206408</v>
      </c>
      <c r="D20" s="59" t="n">
        <f aca="false">C20-C19</f>
        <v>0</v>
      </c>
      <c r="E20" s="54" t="n">
        <f aca="false">C20-152000</f>
        <v>54408</v>
      </c>
      <c r="F20" s="53" t="n">
        <f aca="false">D20/$D$2</f>
        <v>0</v>
      </c>
      <c r="G20" s="53" t="n">
        <v>43</v>
      </c>
      <c r="H20" s="58" t="n">
        <v>0.24</v>
      </c>
      <c r="I20" s="53" t="n">
        <v>31.1</v>
      </c>
      <c r="J20" s="83" t="n">
        <f aca="false">IF(L20&gt;0,L20,0)</f>
        <v>3.3</v>
      </c>
      <c r="K20" s="53" t="n">
        <f aca="false">I20+J20</f>
        <v>34.4</v>
      </c>
      <c r="L20" s="53" t="n">
        <f aca="false">F20-(I20-X20)</f>
        <v>3.3</v>
      </c>
      <c r="M20" s="89" t="n">
        <v>4.4</v>
      </c>
      <c r="N20" s="53" t="n">
        <v>0</v>
      </c>
      <c r="O20" s="53" t="n">
        <v>0</v>
      </c>
      <c r="P20" s="6" t="n">
        <f aca="false">M20-(N20+O20)</f>
        <v>4.4</v>
      </c>
      <c r="Q20" s="53" t="n">
        <v>0</v>
      </c>
      <c r="R20" s="53" t="n">
        <v>0</v>
      </c>
      <c r="S20" s="53" t="n">
        <f aca="false">SUM(P20:R20)</f>
        <v>4.4</v>
      </c>
      <c r="T20" s="54"/>
      <c r="U20" s="53" t="n">
        <v>0</v>
      </c>
      <c r="V20" s="53" t="n">
        <v>30</v>
      </c>
      <c r="W20" s="54" t="n">
        <f aca="false">W19-V20</f>
        <v>2538</v>
      </c>
      <c r="X20" s="6" t="n">
        <f aca="false">N20+O20+S20+U20+V20</f>
        <v>34.4</v>
      </c>
      <c r="Y20" s="53" t="n">
        <f aca="false">IF(L20&lt;0,L20*-1,0)</f>
        <v>0</v>
      </c>
      <c r="Z20" s="53" t="n">
        <f aca="false">X20+Y20</f>
        <v>34.4</v>
      </c>
      <c r="AA20" s="58" t="n">
        <v>0</v>
      </c>
      <c r="AB20" s="59" t="n">
        <v>50</v>
      </c>
      <c r="AC20" s="59" t="n">
        <v>17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6876.69</v>
      </c>
      <c r="C21" s="54" t="n">
        <v>206408</v>
      </c>
      <c r="D21" s="59" t="n">
        <f aca="false">C21-C20</f>
        <v>0</v>
      </c>
      <c r="E21" s="54" t="n">
        <f aca="false">C21-152000</f>
        <v>54408</v>
      </c>
      <c r="F21" s="53" t="n">
        <f aca="false">D21/$D$2</f>
        <v>0</v>
      </c>
      <c r="G21" s="53" t="n">
        <v>43</v>
      </c>
      <c r="H21" s="58" t="n">
        <v>0.27</v>
      </c>
      <c r="I21" s="53" t="n">
        <v>34.1</v>
      </c>
      <c r="J21" s="83" t="n">
        <f aca="false">IF(L21&gt;0,L21,0)</f>
        <v>0.299999999999997</v>
      </c>
      <c r="K21" s="53" t="n">
        <f aca="false">I21+J21</f>
        <v>34.4</v>
      </c>
      <c r="L21" s="53" t="n">
        <f aca="false">F21-(I21-X21)</f>
        <v>0.299999999999997</v>
      </c>
      <c r="M21" s="89" t="n">
        <v>4.4</v>
      </c>
      <c r="N21" s="53" t="n">
        <v>0</v>
      </c>
      <c r="O21" s="53" t="n">
        <v>0</v>
      </c>
      <c r="P21" s="6" t="n">
        <f aca="false">M21-(N21+O21)</f>
        <v>4.4</v>
      </c>
      <c r="Q21" s="53" t="n">
        <v>0</v>
      </c>
      <c r="R21" s="53" t="n">
        <v>0</v>
      </c>
      <c r="S21" s="53" t="n">
        <f aca="false">SUM(P21:R21)</f>
        <v>4.4</v>
      </c>
      <c r="T21" s="54"/>
      <c r="U21" s="53" t="n">
        <v>0</v>
      </c>
      <c r="V21" s="53" t="n">
        <v>30</v>
      </c>
      <c r="W21" s="54" t="n">
        <f aca="false">W20-V21</f>
        <v>2508</v>
      </c>
      <c r="X21" s="6" t="n">
        <f aca="false">N21+O21+S21+U21+V21</f>
        <v>34.4</v>
      </c>
      <c r="Y21" s="53" t="n">
        <f aca="false">IF(L21&lt;0,L21*-1,0)</f>
        <v>0</v>
      </c>
      <c r="Z21" s="53" t="n">
        <f aca="false">X21+Y21</f>
        <v>34.4</v>
      </c>
      <c r="AA21" s="58" t="n">
        <v>0</v>
      </c>
      <c r="AB21" s="59" t="n">
        <v>48</v>
      </c>
      <c r="AC21" s="59" t="n">
        <v>23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v>13</v>
      </c>
      <c r="B22" s="75" t="n">
        <v>6876.69</v>
      </c>
      <c r="C22" s="54" t="n">
        <v>206408</v>
      </c>
      <c r="D22" s="59" t="n">
        <f aca="false">C22-C21</f>
        <v>0</v>
      </c>
      <c r="E22" s="54" t="n">
        <f aca="false">C22-152000</f>
        <v>54408</v>
      </c>
      <c r="F22" s="53" t="n">
        <f aca="false">D22/$D$2</f>
        <v>0</v>
      </c>
      <c r="G22" s="53" t="n">
        <v>43</v>
      </c>
      <c r="H22" s="58" t="n">
        <v>0.32</v>
      </c>
      <c r="I22" s="53" t="n">
        <v>34.1</v>
      </c>
      <c r="J22" s="83" t="n">
        <f aca="false">IF(L22&gt;0,L22,0)</f>
        <v>0.299999999999997</v>
      </c>
      <c r="K22" s="53" t="n">
        <f aca="false">I22+J22</f>
        <v>34.4</v>
      </c>
      <c r="L22" s="53" t="n">
        <f aca="false">F22-(I22-X22)</f>
        <v>0.299999999999997</v>
      </c>
      <c r="M22" s="89" t="n">
        <v>4.4</v>
      </c>
      <c r="N22" s="53" t="n">
        <v>0</v>
      </c>
      <c r="O22" s="53" t="n">
        <v>0</v>
      </c>
      <c r="P22" s="6" t="n">
        <f aca="false">M22-(N22+O22)</f>
        <v>4.4</v>
      </c>
      <c r="Q22" s="53" t="n">
        <v>0</v>
      </c>
      <c r="R22" s="53" t="n">
        <v>0</v>
      </c>
      <c r="S22" s="53" t="n">
        <f aca="false">SUM(P22:R22)</f>
        <v>4.4</v>
      </c>
      <c r="T22" s="54"/>
      <c r="U22" s="53" t="n">
        <v>0</v>
      </c>
      <c r="V22" s="53" t="n">
        <v>30</v>
      </c>
      <c r="W22" s="54" t="n">
        <f aca="false">W21-V22</f>
        <v>2478</v>
      </c>
      <c r="X22" s="6" t="n">
        <f aca="false">N22+O22+S22+U22+V22</f>
        <v>34.4</v>
      </c>
      <c r="Y22" s="53" t="n">
        <f aca="false">IF(L22&lt;0,L22*-1,0)</f>
        <v>0</v>
      </c>
      <c r="Z22" s="53" t="n">
        <f aca="false">X22+Y22</f>
        <v>34.4</v>
      </c>
      <c r="AA22" s="58" t="n">
        <v>0</v>
      </c>
      <c r="AB22" s="59" t="n">
        <v>38</v>
      </c>
      <c r="AC22" s="59" t="n">
        <v>18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6876.69</v>
      </c>
      <c r="C23" s="54" t="n">
        <v>206408</v>
      </c>
      <c r="D23" s="59" t="n">
        <f aca="false">C23-C22</f>
        <v>0</v>
      </c>
      <c r="E23" s="54" t="n">
        <f aca="false">C23-152000</f>
        <v>54408</v>
      </c>
      <c r="F23" s="53" t="n">
        <f aca="false">D23/$D$2</f>
        <v>0</v>
      </c>
      <c r="G23" s="53" t="n">
        <v>41</v>
      </c>
      <c r="H23" s="58" t="n">
        <v>0.24</v>
      </c>
      <c r="I23" s="53" t="n">
        <f aca="false">G23+H23</f>
        <v>41.24</v>
      </c>
      <c r="J23" s="83" t="n">
        <f aca="false">IF(L23&gt;0,L23,0)</f>
        <v>0</v>
      </c>
      <c r="K23" s="53" t="n">
        <f aca="false">I23+J23</f>
        <v>41.24</v>
      </c>
      <c r="L23" s="53" t="n">
        <f aca="false">F23-(I23-X23)</f>
        <v>-6.84</v>
      </c>
      <c r="M23" s="89" t="n">
        <v>4.4</v>
      </c>
      <c r="N23" s="53" t="n">
        <v>0</v>
      </c>
      <c r="O23" s="53" t="n">
        <v>0</v>
      </c>
      <c r="P23" s="6" t="n">
        <f aca="false">M23-(N23+O23)</f>
        <v>4.4</v>
      </c>
      <c r="Q23" s="53" t="n">
        <v>0</v>
      </c>
      <c r="R23" s="53" t="n">
        <v>0</v>
      </c>
      <c r="S23" s="53" t="n">
        <f aca="false">SUM(P23:R23)</f>
        <v>4.4</v>
      </c>
      <c r="T23" s="54"/>
      <c r="U23" s="53" t="n">
        <v>0</v>
      </c>
      <c r="V23" s="53" t="n">
        <v>30</v>
      </c>
      <c r="W23" s="54" t="n">
        <f aca="false">W22-V23</f>
        <v>2448</v>
      </c>
      <c r="X23" s="6" t="n">
        <f aca="false">N23+O23+S23+U23+V23</f>
        <v>34.4</v>
      </c>
      <c r="Y23" s="53" t="n">
        <f aca="false">IF(L23&lt;0,L23*-1,0)</f>
        <v>6.84</v>
      </c>
      <c r="Z23" s="53" t="n">
        <f aca="false">X23+Y23</f>
        <v>41.24</v>
      </c>
      <c r="AA23" s="58" t="n">
        <v>0</v>
      </c>
      <c r="AB23" s="84" t="n">
        <v>41</v>
      </c>
      <c r="AC23" s="59" t="n">
        <v>12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6876.69</v>
      </c>
      <c r="C24" s="54" t="n">
        <v>206408</v>
      </c>
      <c r="D24" s="59" t="n">
        <f aca="false">C24-C23</f>
        <v>0</v>
      </c>
      <c r="E24" s="54" t="n">
        <f aca="false">C24-152000</f>
        <v>54408</v>
      </c>
      <c r="F24" s="53" t="n">
        <f aca="false">D24/$D$2</f>
        <v>0</v>
      </c>
      <c r="G24" s="53" t="n">
        <v>42</v>
      </c>
      <c r="H24" s="58" t="n">
        <v>0.17</v>
      </c>
      <c r="I24" s="53" t="n">
        <f aca="false">G24+H24</f>
        <v>42.17</v>
      </c>
      <c r="J24" s="83" t="n">
        <f aca="false">IF(L24&gt;0,L24,0)</f>
        <v>0</v>
      </c>
      <c r="K24" s="53" t="n">
        <f aca="false">I24+J24</f>
        <v>42.17</v>
      </c>
      <c r="L24" s="53" t="n">
        <f aca="false">F24-(I24-X24)</f>
        <v>-7.97</v>
      </c>
      <c r="M24" s="89" t="n">
        <v>4.2</v>
      </c>
      <c r="N24" s="53" t="n">
        <v>0</v>
      </c>
      <c r="O24" s="53" t="n">
        <v>0</v>
      </c>
      <c r="P24" s="6" t="n">
        <f aca="false">M24-(N24+O24)</f>
        <v>4.2</v>
      </c>
      <c r="Q24" s="53" t="n">
        <v>0</v>
      </c>
      <c r="R24" s="53" t="n">
        <v>0</v>
      </c>
      <c r="S24" s="53" t="n">
        <f aca="false">SUM(P24:R24)</f>
        <v>4.2</v>
      </c>
      <c r="T24" s="54"/>
      <c r="U24" s="53" t="n">
        <v>0</v>
      </c>
      <c r="V24" s="53" t="n">
        <v>30</v>
      </c>
      <c r="W24" s="54" t="n">
        <f aca="false">W23-V24</f>
        <v>2418</v>
      </c>
      <c r="X24" s="6" t="n">
        <f aca="false">N24+O24+S24+U24+V24</f>
        <v>34.2</v>
      </c>
      <c r="Y24" s="53" t="n">
        <f aca="false">IF(L24&lt;0,L24*-1,0)</f>
        <v>7.97</v>
      </c>
      <c r="Z24" s="53" t="n">
        <f aca="false">X24+Y24</f>
        <v>42.17</v>
      </c>
      <c r="AA24" s="58" t="n">
        <v>0</v>
      </c>
      <c r="AB24" s="84" t="n">
        <v>44</v>
      </c>
      <c r="AC24" s="59" t="n">
        <v>27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6876.7</v>
      </c>
      <c r="C25" s="54" t="n">
        <v>206437</v>
      </c>
      <c r="D25" s="59" t="n">
        <f aca="false">C25-C24</f>
        <v>29</v>
      </c>
      <c r="E25" s="54" t="n">
        <f aca="false">C25-152000</f>
        <v>54437</v>
      </c>
      <c r="F25" s="53" t="n">
        <f aca="false">D25/$D$2</f>
        <v>14.6206201159566</v>
      </c>
      <c r="G25" s="53" t="n">
        <v>46</v>
      </c>
      <c r="H25" s="58" t="n">
        <v>0.21</v>
      </c>
      <c r="I25" s="53" t="n">
        <f aca="false">G25+H25</f>
        <v>46.21</v>
      </c>
      <c r="J25" s="83" t="n">
        <f aca="false">IF(L25&gt;0,L25,0)</f>
        <v>2.51062011595664</v>
      </c>
      <c r="K25" s="53" t="n">
        <f aca="false">I25+J25</f>
        <v>48.7206201159566</v>
      </c>
      <c r="L25" s="53" t="n">
        <f aca="false">F25-(I25-X25)</f>
        <v>2.51062011595664</v>
      </c>
      <c r="M25" s="89" t="n">
        <v>4.1</v>
      </c>
      <c r="N25" s="53" t="n">
        <v>0</v>
      </c>
      <c r="O25" s="53" t="n">
        <v>0</v>
      </c>
      <c r="P25" s="6" t="n">
        <f aca="false">M25-(N25+O25)</f>
        <v>4.1</v>
      </c>
      <c r="Q25" s="53" t="n">
        <v>0</v>
      </c>
      <c r="R25" s="53" t="n">
        <v>0</v>
      </c>
      <c r="S25" s="53" t="n">
        <f aca="false">SUM(P25:R25)</f>
        <v>4.1</v>
      </c>
      <c r="T25" s="54"/>
      <c r="U25" s="53" t="n">
        <v>0</v>
      </c>
      <c r="V25" s="53" t="n">
        <v>30</v>
      </c>
      <c r="W25" s="54" t="n">
        <f aca="false">W24-V25</f>
        <v>2388</v>
      </c>
      <c r="X25" s="6" t="n">
        <f aca="false">N25+O25+S25+U25+V25</f>
        <v>34.1</v>
      </c>
      <c r="Y25" s="53" t="n">
        <f aca="false">IF(L25&lt;0,L25*-1,0)</f>
        <v>0</v>
      </c>
      <c r="Z25" s="53" t="n">
        <f aca="false">X25+Y25</f>
        <v>34.1</v>
      </c>
      <c r="AA25" s="58" t="n">
        <v>0</v>
      </c>
      <c r="AB25" s="84" t="n">
        <v>39</v>
      </c>
      <c r="AC25" s="59" t="n">
        <v>21</v>
      </c>
      <c r="AD25" s="60" t="n">
        <f aca="false">AD24+1</f>
        <v>16</v>
      </c>
      <c r="AE25" s="94"/>
      <c r="AF25" s="98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6876.7</v>
      </c>
      <c r="C26" s="54" t="n">
        <v>206437</v>
      </c>
      <c r="D26" s="59" t="n">
        <f aca="false">C26-C25</f>
        <v>0</v>
      </c>
      <c r="E26" s="54" t="n">
        <f aca="false">C26-152000</f>
        <v>54437</v>
      </c>
      <c r="F26" s="53" t="n">
        <f aca="false">D26/$D$2</f>
        <v>0</v>
      </c>
      <c r="G26" s="53" t="n">
        <v>46</v>
      </c>
      <c r="H26" s="58" t="n">
        <v>0.29</v>
      </c>
      <c r="I26" s="53" t="n">
        <f aca="false">G26+H26</f>
        <v>46.29</v>
      </c>
      <c r="J26" s="83" t="n">
        <f aca="false">IF(L26&gt;0,L26,0)</f>
        <v>0</v>
      </c>
      <c r="K26" s="53" t="n">
        <f aca="false">I26+J26</f>
        <v>46.29</v>
      </c>
      <c r="L26" s="53" t="n">
        <f aca="false">F26-(I26-X26)</f>
        <v>-12.19</v>
      </c>
      <c r="M26" s="89" t="n">
        <v>4.1</v>
      </c>
      <c r="N26" s="53" t="n">
        <v>0</v>
      </c>
      <c r="O26" s="53" t="n">
        <v>0</v>
      </c>
      <c r="P26" s="6" t="n">
        <f aca="false">M26-(N26+O26)</f>
        <v>4.1</v>
      </c>
      <c r="Q26" s="53" t="n">
        <v>0</v>
      </c>
      <c r="R26" s="53" t="n">
        <v>0</v>
      </c>
      <c r="S26" s="53" t="n">
        <f aca="false">SUM(P26:R26)</f>
        <v>4.1</v>
      </c>
      <c r="T26" s="54"/>
      <c r="U26" s="53" t="n">
        <v>0</v>
      </c>
      <c r="V26" s="53" t="n">
        <v>30</v>
      </c>
      <c r="W26" s="54" t="n">
        <f aca="false">W25-V26</f>
        <v>2358</v>
      </c>
      <c r="X26" s="6" t="n">
        <f aca="false">N26+O26+S26+U26+V26</f>
        <v>34.1</v>
      </c>
      <c r="Y26" s="53" t="n">
        <f aca="false">IF(L26&lt;0,L26*-1,0)</f>
        <v>12.19</v>
      </c>
      <c r="Z26" s="53" t="n">
        <f aca="false">X26+Y26</f>
        <v>46.29</v>
      </c>
      <c r="AA26" s="58" t="n">
        <v>0</v>
      </c>
      <c r="AB26" s="84" t="n">
        <v>38</v>
      </c>
      <c r="AC26" s="59" t="n">
        <v>10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6876.71</v>
      </c>
      <c r="C27" s="54" t="n">
        <v>206466</v>
      </c>
      <c r="D27" s="59" t="n">
        <f aca="false">C27-C26</f>
        <v>29</v>
      </c>
      <c r="E27" s="54" t="n">
        <f aca="false">C27-152000</f>
        <v>54466</v>
      </c>
      <c r="F27" s="53" t="n">
        <f aca="false">D27/$D$2</f>
        <v>14.6206201159566</v>
      </c>
      <c r="G27" s="53" t="n">
        <v>42</v>
      </c>
      <c r="H27" s="58" t="n">
        <v>0.38</v>
      </c>
      <c r="I27" s="53" t="n">
        <f aca="false">G27+H27</f>
        <v>42.38</v>
      </c>
      <c r="J27" s="83" t="n">
        <f aca="false">IF(L27&gt;0,L27,0)</f>
        <v>6.34062011595664</v>
      </c>
      <c r="K27" s="53" t="n">
        <f aca="false">I27+J27</f>
        <v>48.7206201159566</v>
      </c>
      <c r="L27" s="53" t="n">
        <f aca="false">F27-(I27-X27)</f>
        <v>6.34062011595664</v>
      </c>
      <c r="M27" s="89" t="n">
        <v>4.1</v>
      </c>
      <c r="N27" s="53" t="n">
        <v>0</v>
      </c>
      <c r="O27" s="53" t="n">
        <v>0</v>
      </c>
      <c r="P27" s="6" t="n">
        <f aca="false">M27-(N27+O27)</f>
        <v>4.1</v>
      </c>
      <c r="Q27" s="53" t="n">
        <v>0</v>
      </c>
      <c r="R27" s="53" t="n">
        <v>0</v>
      </c>
      <c r="S27" s="53" t="n">
        <f aca="false">SUM(P27:R27)</f>
        <v>4.1</v>
      </c>
      <c r="T27" s="54"/>
      <c r="U27" s="53" t="n">
        <v>0</v>
      </c>
      <c r="V27" s="53" t="n">
        <v>30</v>
      </c>
      <c r="W27" s="54" t="n">
        <f aca="false">W26-V27</f>
        <v>2328</v>
      </c>
      <c r="X27" s="6" t="n">
        <f aca="false">N27+O27+S27+U27+V27</f>
        <v>34.1</v>
      </c>
      <c r="Y27" s="53" t="n">
        <f aca="false">IF(L27&lt;0,L27*-1,0)</f>
        <v>0</v>
      </c>
      <c r="Z27" s="53" t="n">
        <f aca="false">X27+Y27</f>
        <v>34.1</v>
      </c>
      <c r="AA27" s="58" t="n">
        <v>0</v>
      </c>
      <c r="AB27" s="84" t="n">
        <v>30</v>
      </c>
      <c r="AC27" s="59" t="n">
        <v>8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6876.71</v>
      </c>
      <c r="C28" s="54" t="n">
        <v>206466</v>
      </c>
      <c r="D28" s="59" t="n">
        <f aca="false">C28-C27</f>
        <v>0</v>
      </c>
      <c r="E28" s="54" t="n">
        <f aca="false">C28-152000</f>
        <v>54466</v>
      </c>
      <c r="F28" s="53" t="n">
        <f aca="false">D28/$D$2</f>
        <v>0</v>
      </c>
      <c r="G28" s="53" t="n">
        <v>37</v>
      </c>
      <c r="H28" s="58" t="n">
        <v>0.33</v>
      </c>
      <c r="I28" s="53" t="n">
        <f aca="false">G28+H28</f>
        <v>37.33</v>
      </c>
      <c r="J28" s="83" t="n">
        <f aca="false">IF(L28&gt;0,L28,0)</f>
        <v>0</v>
      </c>
      <c r="K28" s="53" t="n">
        <f aca="false">I28+J28</f>
        <v>37.33</v>
      </c>
      <c r="L28" s="53" t="n">
        <f aca="false">F28-(I28-X28)</f>
        <v>-3.23</v>
      </c>
      <c r="M28" s="89" t="n">
        <v>4.1</v>
      </c>
      <c r="N28" s="53" t="n">
        <v>0</v>
      </c>
      <c r="O28" s="53" t="n">
        <v>0</v>
      </c>
      <c r="P28" s="6" t="n">
        <f aca="false">M28-(N28+O28)</f>
        <v>4.1</v>
      </c>
      <c r="Q28" s="53" t="n">
        <v>0</v>
      </c>
      <c r="R28" s="53" t="n">
        <v>0</v>
      </c>
      <c r="S28" s="53" t="n">
        <f aca="false">SUM(P28:R28)</f>
        <v>4.1</v>
      </c>
      <c r="T28" s="54"/>
      <c r="U28" s="53" t="n">
        <v>0</v>
      </c>
      <c r="V28" s="53" t="n">
        <v>30</v>
      </c>
      <c r="W28" s="54" t="n">
        <f aca="false">W27-V28</f>
        <v>2298</v>
      </c>
      <c r="X28" s="6" t="n">
        <f aca="false">N28+O28+S28+U28+V28</f>
        <v>34.1</v>
      </c>
      <c r="Y28" s="53" t="n">
        <f aca="false">IF(L28&lt;0,L28*-1,0)</f>
        <v>3.23</v>
      </c>
      <c r="Z28" s="53" t="n">
        <f aca="false">X28+Y28</f>
        <v>37.33</v>
      </c>
      <c r="AA28" s="58" t="n">
        <v>0</v>
      </c>
      <c r="AB28" s="84" t="n">
        <v>32</v>
      </c>
      <c r="AC28" s="59" t="n">
        <v>0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6876.71</v>
      </c>
      <c r="C29" s="54" t="n">
        <v>206466</v>
      </c>
      <c r="D29" s="59" t="n">
        <f aca="false">C29-C28</f>
        <v>0</v>
      </c>
      <c r="E29" s="54" t="n">
        <f aca="false">C29-152000</f>
        <v>54466</v>
      </c>
      <c r="F29" s="53" t="n">
        <f aca="false">D29/$D$2</f>
        <v>0</v>
      </c>
      <c r="G29" s="53" t="n">
        <v>40</v>
      </c>
      <c r="H29" s="58" t="n">
        <v>0.3</v>
      </c>
      <c r="I29" s="53" t="n">
        <f aca="false">G29+H29</f>
        <v>40.3</v>
      </c>
      <c r="J29" s="83" t="n">
        <f aca="false">IF(L29&gt;0,L29,0)</f>
        <v>0</v>
      </c>
      <c r="K29" s="53" t="n">
        <f aca="false">I29+J29</f>
        <v>40.3</v>
      </c>
      <c r="L29" s="53" t="n">
        <f aca="false">F29-(I29-X29)</f>
        <v>-6.2</v>
      </c>
      <c r="M29" s="89" t="n">
        <v>4.1</v>
      </c>
      <c r="N29" s="53" t="n">
        <v>0</v>
      </c>
      <c r="O29" s="53" t="n">
        <v>0</v>
      </c>
      <c r="P29" s="6" t="n">
        <f aca="false">M29-(N29+O29)</f>
        <v>4.1</v>
      </c>
      <c r="Q29" s="53" t="n">
        <v>0</v>
      </c>
      <c r="R29" s="53" t="n">
        <v>0</v>
      </c>
      <c r="S29" s="53" t="n">
        <f aca="false">SUM(P29:R29)</f>
        <v>4.1</v>
      </c>
      <c r="T29" s="54"/>
      <c r="U29" s="53" t="n">
        <v>0</v>
      </c>
      <c r="V29" s="53" t="n">
        <v>30</v>
      </c>
      <c r="W29" s="54" t="n">
        <f aca="false">W28-V29</f>
        <v>2268</v>
      </c>
      <c r="X29" s="6" t="n">
        <f aca="false">N29+O29+S29+U29+V29</f>
        <v>34.1</v>
      </c>
      <c r="Y29" s="53" t="n">
        <f aca="false">IF(L29&lt;0,L29*-1,0)</f>
        <v>6.2</v>
      </c>
      <c r="Z29" s="53" t="n">
        <f aca="false">X29+Y29</f>
        <v>40.3</v>
      </c>
      <c r="AA29" s="58" t="n">
        <v>0</v>
      </c>
      <c r="AB29" s="84" t="n">
        <v>29</v>
      </c>
      <c r="AC29" s="59" t="n">
        <v>12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6876.72</v>
      </c>
      <c r="C30" s="54" t="n">
        <v>206495</v>
      </c>
      <c r="D30" s="59" t="n">
        <f aca="false">C30-C29</f>
        <v>29</v>
      </c>
      <c r="E30" s="54" t="n">
        <f aca="false">C30-152000</f>
        <v>54495</v>
      </c>
      <c r="F30" s="53" t="n">
        <f aca="false">D30/$D$2</f>
        <v>14.6206201159566</v>
      </c>
      <c r="G30" s="53" t="n">
        <v>40</v>
      </c>
      <c r="H30" s="58" t="n">
        <v>0.18</v>
      </c>
      <c r="I30" s="53" t="n">
        <f aca="false">G30+H30</f>
        <v>40.18</v>
      </c>
      <c r="J30" s="83" t="n">
        <f aca="false">IF(L30&gt;0,L30,0)</f>
        <v>8.54062011595664</v>
      </c>
      <c r="K30" s="53" t="n">
        <f aca="false">I30+J30</f>
        <v>48.7206201159566</v>
      </c>
      <c r="L30" s="53" t="n">
        <f aca="false">F30-(I30-X30)</f>
        <v>8.54062011595664</v>
      </c>
      <c r="M30" s="89" t="n">
        <v>4.1</v>
      </c>
      <c r="N30" s="53" t="n">
        <v>0</v>
      </c>
      <c r="O30" s="53" t="n">
        <v>0</v>
      </c>
      <c r="P30" s="6" t="n">
        <f aca="false">M30-(N30+O30)</f>
        <v>4.1</v>
      </c>
      <c r="Q30" s="53" t="n">
        <v>0</v>
      </c>
      <c r="R30" s="53" t="n">
        <v>0</v>
      </c>
      <c r="S30" s="53" t="n">
        <f aca="false">SUM(P30:R30)</f>
        <v>4.1</v>
      </c>
      <c r="T30" s="54"/>
      <c r="U30" s="53" t="n">
        <v>0</v>
      </c>
      <c r="V30" s="53" t="n">
        <v>30</v>
      </c>
      <c r="W30" s="54" t="n">
        <f aca="false">W29-V30</f>
        <v>2238</v>
      </c>
      <c r="X30" s="6" t="n">
        <f aca="false">N30+O30+S30+U30+V30</f>
        <v>34.1</v>
      </c>
      <c r="Y30" s="53" t="n">
        <f aca="false">IF(L30&lt;0,L30*-1,0)</f>
        <v>0</v>
      </c>
      <c r="Z30" s="53" t="n">
        <f aca="false">X30+Y30</f>
        <v>34.1</v>
      </c>
      <c r="AA30" s="58" t="n">
        <v>0</v>
      </c>
      <c r="AB30" s="59" t="n">
        <v>43</v>
      </c>
      <c r="AC30" s="59" t="n">
        <v>11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6876.72</v>
      </c>
      <c r="C31" s="54" t="n">
        <v>206495</v>
      </c>
      <c r="D31" s="59" t="n">
        <f aca="false">C31-C30</f>
        <v>0</v>
      </c>
      <c r="E31" s="54" t="n">
        <f aca="false">C31-152000</f>
        <v>54495</v>
      </c>
      <c r="F31" s="53" t="n">
        <f aca="false">D31/$D$2</f>
        <v>0</v>
      </c>
      <c r="G31" s="53" t="n">
        <v>41</v>
      </c>
      <c r="H31" s="58" t="n">
        <v>0.06</v>
      </c>
      <c r="I31" s="53" t="n">
        <f aca="false">G31+H31</f>
        <v>41.06</v>
      </c>
      <c r="J31" s="83" t="n">
        <f aca="false">IF(L31&gt;0,L31,0)</f>
        <v>0</v>
      </c>
      <c r="K31" s="53" t="n">
        <f aca="false">I31+J31</f>
        <v>41.06</v>
      </c>
      <c r="L31" s="53" t="n">
        <f aca="false">F31-(I31-X31)</f>
        <v>-6.76000000000001</v>
      </c>
      <c r="M31" s="89" t="n">
        <v>4.3</v>
      </c>
      <c r="N31" s="53" t="n">
        <v>0</v>
      </c>
      <c r="O31" s="53" t="n">
        <v>0</v>
      </c>
      <c r="P31" s="6" t="n">
        <f aca="false">M31-(N31+O31)</f>
        <v>4.3</v>
      </c>
      <c r="Q31" s="53" t="n">
        <v>0</v>
      </c>
      <c r="R31" s="53" t="n">
        <v>0</v>
      </c>
      <c r="S31" s="53" t="n">
        <f aca="false">SUM(P31:R31)</f>
        <v>4.3</v>
      </c>
      <c r="T31" s="54"/>
      <c r="U31" s="53" t="n">
        <v>0</v>
      </c>
      <c r="V31" s="53" t="n">
        <v>30</v>
      </c>
      <c r="W31" s="54" t="n">
        <f aca="false">W30-V31</f>
        <v>2208</v>
      </c>
      <c r="X31" s="6" t="n">
        <f aca="false">N31+O31+S31+U31+V31</f>
        <v>34.3</v>
      </c>
      <c r="Y31" s="53" t="n">
        <f aca="false">IF(L31&lt;0,L31*-1,0)</f>
        <v>6.76000000000001</v>
      </c>
      <c r="Z31" s="53" t="n">
        <f aca="false">X31+Y31</f>
        <v>41.06</v>
      </c>
      <c r="AA31" s="58" t="n">
        <v>0</v>
      </c>
      <c r="AB31" s="59" t="n">
        <v>44</v>
      </c>
      <c r="AC31" s="59" t="n">
        <v>21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6876.71</v>
      </c>
      <c r="C32" s="54" t="n">
        <v>206466</v>
      </c>
      <c r="D32" s="59" t="n">
        <f aca="false">C32-C31</f>
        <v>-29</v>
      </c>
      <c r="E32" s="54" t="n">
        <f aca="false">C32-152000</f>
        <v>54466</v>
      </c>
      <c r="F32" s="53" t="n">
        <f aca="false">D32/$D$2</f>
        <v>-14.6206201159566</v>
      </c>
      <c r="G32" s="53" t="n">
        <v>44</v>
      </c>
      <c r="H32" s="58" t="n">
        <v>0.05</v>
      </c>
      <c r="I32" s="53" t="n">
        <f aca="false">G32+H32</f>
        <v>44.05</v>
      </c>
      <c r="J32" s="83" t="n">
        <f aca="false">IF(L32&gt;0,L32,0)</f>
        <v>0</v>
      </c>
      <c r="K32" s="53" t="n">
        <f aca="false">I32+J32</f>
        <v>44.05</v>
      </c>
      <c r="L32" s="53" t="n">
        <f aca="false">F32-(I32-X32)</f>
        <v>-24.4706201159566</v>
      </c>
      <c r="M32" s="89" t="n">
        <v>4.2</v>
      </c>
      <c r="N32" s="53" t="n">
        <v>0</v>
      </c>
      <c r="O32" s="53" t="n">
        <v>0</v>
      </c>
      <c r="P32" s="6" t="n">
        <f aca="false">M32-(N32+O32)</f>
        <v>4.2</v>
      </c>
      <c r="Q32" s="53" t="n">
        <v>0</v>
      </c>
      <c r="R32" s="53" t="n">
        <v>0</v>
      </c>
      <c r="S32" s="53" t="n">
        <f aca="false">SUM(P32:R32)</f>
        <v>4.2</v>
      </c>
      <c r="T32" s="54"/>
      <c r="U32" s="53" t="n">
        <v>0</v>
      </c>
      <c r="V32" s="53" t="n">
        <v>30</v>
      </c>
      <c r="W32" s="54" t="n">
        <f aca="false">W31-V32</f>
        <v>2178</v>
      </c>
      <c r="X32" s="6" t="n">
        <f aca="false">N32+O32+S32+U32+V32</f>
        <v>34.2</v>
      </c>
      <c r="Y32" s="53" t="n">
        <f aca="false">IF(L32&lt;0,L32*-1,0)</f>
        <v>24.4706201159566</v>
      </c>
      <c r="Z32" s="53" t="n">
        <f aca="false">X32+Y32</f>
        <v>58.6706201159566</v>
      </c>
      <c r="AA32" s="58" t="n">
        <v>0</v>
      </c>
      <c r="AB32" s="59" t="n">
        <v>29</v>
      </c>
      <c r="AC32" s="84" t="n">
        <v>10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6876.7</v>
      </c>
      <c r="C33" s="54" t="n">
        <v>206437</v>
      </c>
      <c r="D33" s="59" t="n">
        <f aca="false">C33-C32</f>
        <v>-29</v>
      </c>
      <c r="E33" s="54" t="n">
        <f aca="false">C33-152000</f>
        <v>54437</v>
      </c>
      <c r="F33" s="53" t="n">
        <f aca="false">D33/$D$2</f>
        <v>-14.6206201159566</v>
      </c>
      <c r="G33" s="53" t="n">
        <v>41</v>
      </c>
      <c r="H33" s="58" t="n">
        <v>0.07</v>
      </c>
      <c r="I33" s="53" t="n">
        <f aca="false">G33+H33</f>
        <v>41.07</v>
      </c>
      <c r="J33" s="83" t="n">
        <f aca="false">IF(L33&gt;0,L33,0)</f>
        <v>0</v>
      </c>
      <c r="K33" s="53" t="n">
        <f aca="false">I33+J33</f>
        <v>41.07</v>
      </c>
      <c r="L33" s="53" t="n">
        <f aca="false">F33-(I33-X33)</f>
        <v>-21.7906201159566</v>
      </c>
      <c r="M33" s="89" t="n">
        <v>3.9</v>
      </c>
      <c r="N33" s="53" t="n">
        <v>0</v>
      </c>
      <c r="O33" s="53" t="n">
        <v>0</v>
      </c>
      <c r="P33" s="6" t="n">
        <f aca="false">M33-(N33+O33)</f>
        <v>3.9</v>
      </c>
      <c r="Q33" s="53" t="n">
        <v>0</v>
      </c>
      <c r="R33" s="53" t="n">
        <v>0</v>
      </c>
      <c r="S33" s="53" t="n">
        <f aca="false">SUM(P33:R33)</f>
        <v>3.9</v>
      </c>
      <c r="T33" s="54"/>
      <c r="U33" s="53" t="n">
        <v>0</v>
      </c>
      <c r="V33" s="53" t="n">
        <v>30</v>
      </c>
      <c r="W33" s="54" t="n">
        <f aca="false">W32-V33</f>
        <v>2148</v>
      </c>
      <c r="X33" s="6" t="n">
        <f aca="false">N33+O33+S33+U33+V33</f>
        <v>33.9</v>
      </c>
      <c r="Y33" s="53" t="n">
        <f aca="false">IF(L33&lt;0,L33*-1,0)</f>
        <v>21.7906201159566</v>
      </c>
      <c r="Z33" s="53" t="n">
        <f aca="false">X33+Y33</f>
        <v>55.6906201159566</v>
      </c>
      <c r="AA33" s="58" t="n">
        <v>0</v>
      </c>
      <c r="AB33" s="59" t="n">
        <v>41</v>
      </c>
      <c r="AC33" s="84" t="n">
        <v>7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6876.69</v>
      </c>
      <c r="C34" s="54" t="n">
        <v>206408</v>
      </c>
      <c r="D34" s="59" t="n">
        <f aca="false">C34-C33</f>
        <v>-29</v>
      </c>
      <c r="E34" s="54" t="n">
        <f aca="false">C34-152000</f>
        <v>54408</v>
      </c>
      <c r="F34" s="53" t="n">
        <f aca="false">D34/$D$2</f>
        <v>-14.6206201159566</v>
      </c>
      <c r="G34" s="53" t="n">
        <v>40</v>
      </c>
      <c r="H34" s="58" t="n">
        <v>0.07</v>
      </c>
      <c r="I34" s="53" t="n">
        <f aca="false">G34+H34</f>
        <v>40.07</v>
      </c>
      <c r="J34" s="83" t="n">
        <f aca="false">IF(L34&gt;0,L34,0)</f>
        <v>0</v>
      </c>
      <c r="K34" s="53" t="n">
        <f aca="false">I34+J34</f>
        <v>40.07</v>
      </c>
      <c r="L34" s="53" t="n">
        <f aca="false">F34-(I34-X34)</f>
        <v>-20.5906201159566</v>
      </c>
      <c r="M34" s="89" t="n">
        <v>4.1</v>
      </c>
      <c r="N34" s="53" t="n">
        <v>0</v>
      </c>
      <c r="O34" s="53" t="n">
        <v>0</v>
      </c>
      <c r="P34" s="6" t="n">
        <f aca="false">M34-(N34+O34)</f>
        <v>4.1</v>
      </c>
      <c r="Q34" s="53" t="n">
        <v>0</v>
      </c>
      <c r="R34" s="53" t="n">
        <v>0</v>
      </c>
      <c r="S34" s="53" t="n">
        <f aca="false">SUM(P34:R34)</f>
        <v>4.1</v>
      </c>
      <c r="T34" s="54"/>
      <c r="U34" s="53" t="n">
        <v>0</v>
      </c>
      <c r="V34" s="53" t="n">
        <v>30</v>
      </c>
      <c r="W34" s="54" t="n">
        <f aca="false">W33-V34</f>
        <v>2118</v>
      </c>
      <c r="X34" s="6" t="n">
        <f aca="false">N34+O34+S34+U34+V34</f>
        <v>34.1</v>
      </c>
      <c r="Y34" s="53" t="n">
        <f aca="false">IF(L34&lt;0,L34*-1,0)</f>
        <v>20.5906201159566</v>
      </c>
      <c r="Z34" s="53" t="n">
        <f aca="false">X34+Y34</f>
        <v>54.6906201159566</v>
      </c>
      <c r="AA34" s="58" t="n">
        <v>0</v>
      </c>
      <c r="AB34" s="59" t="n">
        <v>42</v>
      </c>
      <c r="AC34" s="84" t="n">
        <v>12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6876.68</v>
      </c>
      <c r="C35" s="54" t="n">
        <v>206379</v>
      </c>
      <c r="D35" s="59" t="n">
        <f aca="false">C35-C34</f>
        <v>-29</v>
      </c>
      <c r="E35" s="54" t="n">
        <f aca="false">C35-152000</f>
        <v>54379</v>
      </c>
      <c r="F35" s="53" t="n">
        <f aca="false">D35/$D$2</f>
        <v>-14.6206201159566</v>
      </c>
      <c r="G35" s="53" t="n">
        <v>42</v>
      </c>
      <c r="H35" s="58" t="n">
        <v>0.07</v>
      </c>
      <c r="I35" s="53" t="n">
        <f aca="false">G35+H35</f>
        <v>42.07</v>
      </c>
      <c r="J35" s="83" t="n">
        <f aca="false">IF(L35&gt;0,L35,0)</f>
        <v>0</v>
      </c>
      <c r="K35" s="53" t="n">
        <f aca="false">I35+J35</f>
        <v>42.07</v>
      </c>
      <c r="L35" s="53" t="n">
        <f aca="false">F35-(I35-X35)</f>
        <v>-22.5906201159566</v>
      </c>
      <c r="M35" s="89" t="n">
        <v>4.1</v>
      </c>
      <c r="N35" s="53" t="n">
        <v>0</v>
      </c>
      <c r="O35" s="53" t="n">
        <v>0</v>
      </c>
      <c r="P35" s="6" t="n">
        <f aca="false">M35-(N35+O35)</f>
        <v>4.1</v>
      </c>
      <c r="Q35" s="53" t="n">
        <v>0</v>
      </c>
      <c r="R35" s="53" t="n">
        <v>0</v>
      </c>
      <c r="S35" s="53" t="n">
        <f aca="false">SUM(P35:R35)</f>
        <v>4.1</v>
      </c>
      <c r="T35" s="54"/>
      <c r="U35" s="53" t="n">
        <v>0</v>
      </c>
      <c r="V35" s="53" t="n">
        <v>30</v>
      </c>
      <c r="W35" s="54" t="n">
        <f aca="false">W34-V35</f>
        <v>2088</v>
      </c>
      <c r="X35" s="6" t="n">
        <f aca="false">N35+O35+S35+U35+V35</f>
        <v>34.1</v>
      </c>
      <c r="Y35" s="53" t="n">
        <f aca="false">IF(L35&lt;0,L35*-1,0)</f>
        <v>22.5906201159566</v>
      </c>
      <c r="Z35" s="53" t="n">
        <f aca="false">X35+Y35</f>
        <v>56.6906201159566</v>
      </c>
      <c r="AA35" s="58" t="n">
        <v>0</v>
      </c>
      <c r="AB35" s="59" t="n">
        <v>51</v>
      </c>
      <c r="AC35" s="59" t="n">
        <v>18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6876.66</v>
      </c>
      <c r="C36" s="54" t="n">
        <v>206321</v>
      </c>
      <c r="D36" s="59" t="n">
        <f aca="false">C36-C35</f>
        <v>-58</v>
      </c>
      <c r="E36" s="54" t="n">
        <f aca="false">C36-152000</f>
        <v>54321</v>
      </c>
      <c r="F36" s="53" t="n">
        <f aca="false">D36/$D$2</f>
        <v>-29.2412402319133</v>
      </c>
      <c r="G36" s="53" t="n">
        <v>43</v>
      </c>
      <c r="H36" s="58" t="n">
        <v>0.08</v>
      </c>
      <c r="I36" s="53" t="n">
        <f aca="false">G36+H36</f>
        <v>43.08</v>
      </c>
      <c r="J36" s="83" t="n">
        <f aca="false">IF(L36&gt;0,L36,0)</f>
        <v>0</v>
      </c>
      <c r="K36" s="53" t="n">
        <f aca="false">I36+J36</f>
        <v>43.08</v>
      </c>
      <c r="L36" s="53" t="n">
        <f aca="false">F36-(I36-X36)</f>
        <v>-38.2212402319133</v>
      </c>
      <c r="M36" s="89" t="n">
        <v>4.1</v>
      </c>
      <c r="N36" s="53" t="n">
        <v>0</v>
      </c>
      <c r="O36" s="53" t="n">
        <v>0</v>
      </c>
      <c r="P36" s="6" t="n">
        <f aca="false">M36-(N36+O36)</f>
        <v>4.1</v>
      </c>
      <c r="Q36" s="53" t="n">
        <v>0</v>
      </c>
      <c r="R36" s="53" t="n">
        <v>0</v>
      </c>
      <c r="S36" s="53" t="n">
        <f aca="false">SUM(P36:R36)</f>
        <v>4.1</v>
      </c>
      <c r="T36" s="54"/>
      <c r="U36" s="53" t="n">
        <v>0</v>
      </c>
      <c r="V36" s="53" t="n">
        <v>30</v>
      </c>
      <c r="W36" s="54" t="n">
        <f aca="false">W35-V36</f>
        <v>2058</v>
      </c>
      <c r="X36" s="6" t="n">
        <f aca="false">N36+O36+S36+U36+V36</f>
        <v>34.1</v>
      </c>
      <c r="Y36" s="53" t="n">
        <f aca="false">IF(L36&lt;0,L36*-1,0)</f>
        <v>38.2212402319133</v>
      </c>
      <c r="Z36" s="53" t="n">
        <f aca="false">X36+Y36</f>
        <v>72.3212402319133</v>
      </c>
      <c r="AA36" s="58" t="n">
        <v>0</v>
      </c>
      <c r="AB36" s="59" t="n">
        <v>48</v>
      </c>
      <c r="AC36" s="59" t="n">
        <v>27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f aca="false">A36+1</f>
        <v>28</v>
      </c>
      <c r="B37" s="75" t="n">
        <v>6876.66</v>
      </c>
      <c r="C37" s="54" t="n">
        <v>206321</v>
      </c>
      <c r="D37" s="59" t="n">
        <f aca="false">C37-C36</f>
        <v>0</v>
      </c>
      <c r="E37" s="54" t="n">
        <f aca="false">C37-152000</f>
        <v>54321</v>
      </c>
      <c r="F37" s="53" t="n">
        <f aca="false">D37/$D$2</f>
        <v>0</v>
      </c>
      <c r="G37" s="53" t="n">
        <v>44</v>
      </c>
      <c r="H37" s="58" t="n">
        <v>0.12</v>
      </c>
      <c r="I37" s="53" t="n">
        <f aca="false">G37+H37</f>
        <v>44.12</v>
      </c>
      <c r="J37" s="83" t="n">
        <f aca="false">IF(L37&gt;0,L37,0)</f>
        <v>0</v>
      </c>
      <c r="K37" s="53" t="n">
        <f aca="false">I37+J37</f>
        <v>44.12</v>
      </c>
      <c r="L37" s="53" t="n">
        <f aca="false">F37-(I37-X37)</f>
        <v>-10.32</v>
      </c>
      <c r="M37" s="89" t="n">
        <v>3.8</v>
      </c>
      <c r="N37" s="53" t="n">
        <v>0</v>
      </c>
      <c r="O37" s="53" t="n">
        <v>0</v>
      </c>
      <c r="P37" s="6" t="n">
        <f aca="false">M37-(N37+O37)</f>
        <v>3.8</v>
      </c>
      <c r="Q37" s="53" t="n">
        <v>0</v>
      </c>
      <c r="R37" s="53" t="n">
        <v>0</v>
      </c>
      <c r="S37" s="53" t="n">
        <f aca="false">SUM(P37:R37)</f>
        <v>3.8</v>
      </c>
      <c r="T37" s="54"/>
      <c r="U37" s="53" t="n">
        <v>0</v>
      </c>
      <c r="V37" s="53" t="n">
        <v>30</v>
      </c>
      <c r="W37" s="54" t="n">
        <f aca="false">W36-V37</f>
        <v>2028</v>
      </c>
      <c r="X37" s="6" t="n">
        <f aca="false">N37+O37+S37+U37+V37</f>
        <v>33.8</v>
      </c>
      <c r="Y37" s="53" t="n">
        <f aca="false">IF(L37&lt;0,L37*-1,0)</f>
        <v>10.32</v>
      </c>
      <c r="Z37" s="53" t="n">
        <f aca="false">X37+Y37</f>
        <v>44.12</v>
      </c>
      <c r="AA37" s="58" t="n">
        <v>0</v>
      </c>
      <c r="AB37" s="59" t="n">
        <v>42</v>
      </c>
      <c r="AC37" s="59" t="n">
        <v>28</v>
      </c>
      <c r="AD37" s="60" t="n">
        <f aca="false">AD36+1</f>
        <v>28</v>
      </c>
      <c r="AE37" s="94"/>
      <c r="AF37" s="96"/>
      <c r="AG37" s="95"/>
    </row>
    <row r="38" customFormat="false" ht="11.1" hidden="false" customHeight="true" outlineLevel="0" collapsed="false">
      <c r="A38" s="60" t="n">
        <f aca="false">A37+1</f>
        <v>29</v>
      </c>
      <c r="B38" s="75" t="n">
        <v>6876.68</v>
      </c>
      <c r="C38" s="54" t="n">
        <v>206379</v>
      </c>
      <c r="D38" s="59" t="n">
        <f aca="false">C38-C37</f>
        <v>58</v>
      </c>
      <c r="E38" s="54" t="n">
        <f aca="false">C38-152000</f>
        <v>54379</v>
      </c>
      <c r="F38" s="53" t="n">
        <f aca="false">D38/$D$2</f>
        <v>29.2412402319133</v>
      </c>
      <c r="G38" s="53" t="n">
        <v>44</v>
      </c>
      <c r="H38" s="58" t="n">
        <v>0.22</v>
      </c>
      <c r="I38" s="53" t="n">
        <f aca="false">G38+H38</f>
        <v>44.22</v>
      </c>
      <c r="J38" s="83" t="n">
        <f aca="false">IF(L38&gt;0,L38,0)</f>
        <v>19.1212402319133</v>
      </c>
      <c r="K38" s="53" t="n">
        <f aca="false">I38+J38</f>
        <v>63.3412402319133</v>
      </c>
      <c r="L38" s="53" t="n">
        <f aca="false">F38-(I38-X38)</f>
        <v>19.1212402319133</v>
      </c>
      <c r="M38" s="89" t="n">
        <v>4.1</v>
      </c>
      <c r="N38" s="53" t="n">
        <v>0</v>
      </c>
      <c r="O38" s="53" t="n">
        <v>0</v>
      </c>
      <c r="P38" s="6" t="n">
        <f aca="false">M38-(N38+O38)</f>
        <v>4.1</v>
      </c>
      <c r="Q38" s="53" t="n">
        <v>0</v>
      </c>
      <c r="R38" s="53" t="n">
        <v>0</v>
      </c>
      <c r="S38" s="53" t="n">
        <f aca="false">SUM(P38:R38)</f>
        <v>4.1</v>
      </c>
      <c r="T38" s="54"/>
      <c r="U38" s="53" t="n">
        <v>0</v>
      </c>
      <c r="V38" s="53" t="n">
        <v>30</v>
      </c>
      <c r="W38" s="54" t="n">
        <f aca="false">W37-V38</f>
        <v>1998</v>
      </c>
      <c r="X38" s="6" t="n">
        <f aca="false">N38+O38+S38+U38+V38</f>
        <v>34.1</v>
      </c>
      <c r="Y38" s="53" t="n">
        <f aca="false">IF(L38&lt;0,L38*-1,0)</f>
        <v>0</v>
      </c>
      <c r="Z38" s="53" t="n">
        <f aca="false">X38+Y38</f>
        <v>34.1</v>
      </c>
      <c r="AA38" s="58" t="n">
        <v>0</v>
      </c>
      <c r="AB38" s="84" t="n">
        <v>33</v>
      </c>
      <c r="AC38" s="59" t="n">
        <v>25</v>
      </c>
      <c r="AD38" s="60" t="n">
        <f aca="false">AD37+1</f>
        <v>29</v>
      </c>
      <c r="AE38" s="94"/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6876.69</v>
      </c>
      <c r="C39" s="54" t="n">
        <v>206408</v>
      </c>
      <c r="D39" s="59" t="n">
        <f aca="false">C39-C38</f>
        <v>29</v>
      </c>
      <c r="E39" s="54" t="n">
        <f aca="false">C39-152000</f>
        <v>54408</v>
      </c>
      <c r="F39" s="53" t="n">
        <f aca="false">D39/$D$2</f>
        <v>14.6206201159566</v>
      </c>
      <c r="G39" s="53" t="n">
        <v>43</v>
      </c>
      <c r="H39" s="58" t="n">
        <v>0.22</v>
      </c>
      <c r="I39" s="53" t="n">
        <f aca="false">G39+H39</f>
        <v>43.22</v>
      </c>
      <c r="J39" s="83" t="n">
        <f aca="false">IF(L39&gt;0,L39,0)</f>
        <v>5.80062011595664</v>
      </c>
      <c r="K39" s="53" t="n">
        <f aca="false">I39+J39</f>
        <v>49.0206201159566</v>
      </c>
      <c r="L39" s="53" t="n">
        <f aca="false">F39-(I39-X39)</f>
        <v>5.80062011595664</v>
      </c>
      <c r="M39" s="89" t="n">
        <v>4.4</v>
      </c>
      <c r="N39" s="53" t="n">
        <v>0</v>
      </c>
      <c r="O39" s="53" t="n">
        <v>0</v>
      </c>
      <c r="P39" s="6" t="n">
        <f aca="false">M39-(N39+O39)</f>
        <v>4.4</v>
      </c>
      <c r="Q39" s="53" t="n">
        <v>0</v>
      </c>
      <c r="R39" s="53" t="n">
        <v>0</v>
      </c>
      <c r="S39" s="53" t="n">
        <f aca="false">SUM(P39:R39)</f>
        <v>4.4</v>
      </c>
      <c r="T39" s="54"/>
      <c r="U39" s="53" t="n">
        <v>0</v>
      </c>
      <c r="V39" s="53" t="n">
        <v>30</v>
      </c>
      <c r="W39" s="54" t="n">
        <f aca="false">W38-V39</f>
        <v>1968</v>
      </c>
      <c r="X39" s="6" t="n">
        <f aca="false">N39+O39+S39+U39+V39</f>
        <v>34.4</v>
      </c>
      <c r="Y39" s="53" t="n">
        <f aca="false">IF(L39&lt;0,L39*-1,0)</f>
        <v>0</v>
      </c>
      <c r="Z39" s="53" t="n">
        <f aca="false">X39+Y39</f>
        <v>34.4</v>
      </c>
      <c r="AA39" s="58" t="n">
        <v>0</v>
      </c>
      <c r="AB39" s="84" t="n">
        <v>27</v>
      </c>
      <c r="AC39" s="59" t="n">
        <v>18</v>
      </c>
      <c r="AD39" s="60" t="n">
        <v>30</v>
      </c>
      <c r="AE39" s="94"/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6876.69</v>
      </c>
      <c r="C40" s="54" t="n">
        <v>206408</v>
      </c>
      <c r="D40" s="59" t="n">
        <f aca="false">C40-C39</f>
        <v>0</v>
      </c>
      <c r="E40" s="54" t="n">
        <f aca="false">C40-152000</f>
        <v>54408</v>
      </c>
      <c r="F40" s="53" t="n">
        <f aca="false">D40/$D$2</f>
        <v>0</v>
      </c>
      <c r="G40" s="53" t="n">
        <v>41</v>
      </c>
      <c r="H40" s="58" t="n">
        <v>0.22</v>
      </c>
      <c r="I40" s="53" t="n">
        <f aca="false">G40+H40</f>
        <v>41.22</v>
      </c>
      <c r="J40" s="83" t="n">
        <f aca="false">IF(L40&gt;0,L40,0)</f>
        <v>0</v>
      </c>
      <c r="K40" s="53" t="n">
        <f aca="false">I40+J40</f>
        <v>41.22</v>
      </c>
      <c r="L40" s="53" t="n">
        <f aca="false">F40-(I40-X40)</f>
        <v>-8.02</v>
      </c>
      <c r="M40" s="89" t="n">
        <v>4.2</v>
      </c>
      <c r="N40" s="53" t="n">
        <v>0</v>
      </c>
      <c r="O40" s="53" t="n">
        <v>0</v>
      </c>
      <c r="P40" s="6" t="n">
        <f aca="false">M40-(N40+O40)</f>
        <v>4.2</v>
      </c>
      <c r="Q40" s="53" t="n">
        <v>0</v>
      </c>
      <c r="R40" s="53" t="n">
        <v>0</v>
      </c>
      <c r="S40" s="53" t="n">
        <f aca="false">SUM(P40:R40)</f>
        <v>4.2</v>
      </c>
      <c r="T40" s="54"/>
      <c r="U40" s="53" t="n">
        <v>0</v>
      </c>
      <c r="V40" s="53" t="n">
        <v>29</v>
      </c>
      <c r="W40" s="54" t="n">
        <f aca="false">W39-V40</f>
        <v>1939</v>
      </c>
      <c r="X40" s="6" t="n">
        <f aca="false">N40+O40+S40+U40+V40</f>
        <v>33.2</v>
      </c>
      <c r="Y40" s="53" t="n">
        <f aca="false">IF(L40&lt;0,L40*-1,0)</f>
        <v>8.02</v>
      </c>
      <c r="Z40" s="53" t="n">
        <f aca="false">X40+Y40</f>
        <v>41.22</v>
      </c>
      <c r="AA40" s="58" t="n">
        <v>0</v>
      </c>
      <c r="AB40" s="84" t="n">
        <v>27</v>
      </c>
      <c r="AC40" s="59" t="n">
        <v>7</v>
      </c>
      <c r="AD40" s="60" t="n">
        <v>31</v>
      </c>
      <c r="AE40" s="94"/>
      <c r="AF40" s="94"/>
      <c r="AG40" s="95"/>
    </row>
    <row r="41" customFormat="false" ht="3" hidden="false" customHeight="true" outlineLevel="0" collapsed="false">
      <c r="A41" s="76"/>
      <c r="B41" s="85"/>
      <c r="C41" s="78"/>
      <c r="D41" s="76"/>
      <c r="E41" s="78"/>
      <c r="F41" s="76"/>
      <c r="G41" s="85"/>
      <c r="H41" s="80"/>
      <c r="I41" s="76"/>
      <c r="J41" s="76"/>
      <c r="K41" s="76"/>
      <c r="L41" s="76"/>
      <c r="M41" s="99"/>
      <c r="N41" s="85"/>
      <c r="O41" s="76"/>
      <c r="P41" s="76"/>
      <c r="Q41" s="76"/>
      <c r="R41" s="76"/>
      <c r="S41" s="76"/>
      <c r="T41" s="78"/>
      <c r="U41" s="76"/>
      <c r="V41" s="85"/>
      <c r="W41" s="76"/>
      <c r="X41" s="76"/>
      <c r="Y41" s="76"/>
      <c r="Z41" s="76"/>
      <c r="AA41" s="80"/>
      <c r="AB41" s="81" t="n">
        <v>39</v>
      </c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14.6206201159566</v>
      </c>
      <c r="G42" s="54" t="n">
        <f aca="false">SUM(G10:G40)</f>
        <v>1331</v>
      </c>
      <c r="H42" s="58" t="n">
        <f aca="false">SUM(H10:H40)</f>
        <v>5.1</v>
      </c>
      <c r="I42" s="54" t="n">
        <f aca="false">SUM(I10:I40)</f>
        <v>1288.57</v>
      </c>
      <c r="J42" s="54" t="n">
        <f aca="false">SUM(J10:J40)</f>
        <v>46.2137206957399</v>
      </c>
      <c r="K42" s="54" t="n">
        <f aca="false">SUM(K10:K40)</f>
        <v>1334.78372069574</v>
      </c>
      <c r="L42" s="54" t="n">
        <f aca="false">SUM(L10:L40)</f>
        <v>-198.689379884043</v>
      </c>
      <c r="M42" s="89" t="n">
        <f aca="false">SUM(M10:M40)</f>
        <v>137.26</v>
      </c>
      <c r="N42" s="54" t="n">
        <f aca="false">SUM(N10:N40)</f>
        <v>0</v>
      </c>
      <c r="O42" s="54" t="n">
        <f aca="false">SUM(O10:O40)</f>
        <v>0</v>
      </c>
      <c r="P42" s="54" t="n">
        <f aca="false">SUM(P10:P40)</f>
        <v>137.26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137.26</v>
      </c>
      <c r="T42" s="54"/>
      <c r="U42" s="54" t="n">
        <f aca="false">SUM(U10:U40)</f>
        <v>0</v>
      </c>
      <c r="V42" s="54" t="n">
        <f aca="false">SUM(V10:V40)</f>
        <v>938</v>
      </c>
      <c r="W42" s="54"/>
      <c r="X42" s="54" t="n">
        <f aca="false">SUM(X10:X40)</f>
        <v>1075.26</v>
      </c>
      <c r="Y42" s="54" t="n">
        <f aca="false">SUM(Y10:Y40)</f>
        <v>244.903100579783</v>
      </c>
      <c r="Z42" s="54" t="n">
        <f aca="false">SUM(Z10:Z40)</f>
        <v>1320.16310057978</v>
      </c>
      <c r="AA42" s="58" t="n">
        <f aca="false">SUM(AA10:AA40)</f>
        <v>0</v>
      </c>
      <c r="AB42" s="59" t="n">
        <f aca="false">AVERAGE(AB10:AB40)</f>
        <v>39.4838709677419</v>
      </c>
      <c r="AC42" s="59" t="n">
        <f aca="false">AVERAGE(AC10:AC40)</f>
        <v>16.1612903225806</v>
      </c>
      <c r="AD42" s="60" t="s">
        <v>59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29</v>
      </c>
      <c r="E43" s="54"/>
      <c r="F43" s="54" t="n">
        <f aca="false">F42*$D$2</f>
        <v>29</v>
      </c>
      <c r="G43" s="54" t="n">
        <f aca="false">G42*$D$2</f>
        <v>2640.0385</v>
      </c>
      <c r="H43" s="58" t="n">
        <f aca="false">H42*$D$2</f>
        <v>10.11585</v>
      </c>
      <c r="I43" s="54" t="n">
        <f aca="false">I42*$D$2</f>
        <v>2555.878595</v>
      </c>
      <c r="J43" s="54" t="n">
        <f aca="false">J42*$D$2</f>
        <v>91.664915</v>
      </c>
      <c r="K43" s="54" t="n">
        <f aca="false">K42*$D$2</f>
        <v>2647.54351</v>
      </c>
      <c r="L43" s="54" t="n">
        <f aca="false">L42*$D$2</f>
        <v>-394.100385</v>
      </c>
      <c r="M43" s="89" t="n">
        <f aca="false">M42*$D$2</f>
        <v>272.25521</v>
      </c>
      <c r="N43" s="54" t="n">
        <f aca="false">N42*$D$2</f>
        <v>0</v>
      </c>
      <c r="O43" s="54" t="n">
        <f aca="false">O42*$D$2</f>
        <v>0</v>
      </c>
      <c r="P43" s="54" t="n">
        <f aca="false">P42*$D$2</f>
        <v>272.25521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272.25521</v>
      </c>
      <c r="T43" s="54"/>
      <c r="U43" s="54" t="n">
        <f aca="false">U42*$D$2</f>
        <v>0</v>
      </c>
      <c r="V43" s="54" t="n">
        <f aca="false">V42*$D$2</f>
        <v>1860.523</v>
      </c>
      <c r="W43" s="54"/>
      <c r="X43" s="54" t="n">
        <f aca="false">X42*$D$2</f>
        <v>2132.77821</v>
      </c>
      <c r="Y43" s="54" t="n">
        <f aca="false">Y42*$D$2</f>
        <v>485.7653</v>
      </c>
      <c r="Z43" s="54" t="n">
        <f aca="false">Z42*$D$2</f>
        <v>2618.54351</v>
      </c>
      <c r="AA43" s="58"/>
      <c r="AB43" s="59" t="n">
        <f aca="false">MAX(AB10:AB40)</f>
        <v>52</v>
      </c>
      <c r="AC43" s="59" t="n">
        <f aca="false">MAX(AC10:AC40)</f>
        <v>29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97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8"/>
      <c r="I45" s="54"/>
      <c r="J45" s="54"/>
      <c r="K45" s="54"/>
      <c r="L45" s="54"/>
      <c r="M45" s="89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27</v>
      </c>
      <c r="AC45" s="59" t="n">
        <f aca="false">MIN(AC10:AC40)</f>
        <v>0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8"/>
      <c r="I46" s="54"/>
      <c r="J46" s="54"/>
      <c r="K46" s="54"/>
      <c r="L46" s="54"/>
      <c r="M46" s="89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97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232.92160322662</v>
      </c>
      <c r="G48" s="54" t="n">
        <f aca="false">G8+G42</f>
        <v>4024</v>
      </c>
      <c r="H48" s="58" t="n">
        <f aca="false">H8+H42</f>
        <v>5.1</v>
      </c>
      <c r="I48" s="54" t="n">
        <f aca="false">I8+I42</f>
        <v>3981.57</v>
      </c>
      <c r="J48" s="54" t="n">
        <f aca="false">J8+J42</f>
        <v>698.586228888329</v>
      </c>
      <c r="K48" s="54" t="n">
        <f aca="false">K8+K42</f>
        <v>4680.15622888833</v>
      </c>
      <c r="L48" s="54" t="n">
        <f aca="false">L8+L42</f>
        <v>-119.46839677338</v>
      </c>
      <c r="M48" s="89" t="n">
        <f aca="false">M8+M42</f>
        <v>638.68</v>
      </c>
      <c r="N48" s="54" t="n">
        <f aca="false">N8+N42</f>
        <v>5</v>
      </c>
      <c r="O48" s="54" t="n">
        <f aca="false">O8+O42</f>
        <v>457.766</v>
      </c>
      <c r="P48" s="54" t="n">
        <f aca="false">P8+P42</f>
        <v>578.114</v>
      </c>
      <c r="Q48" s="54" t="n">
        <f aca="false">Q8+Q42</f>
        <v>0</v>
      </c>
      <c r="R48" s="54" t="n">
        <f aca="false">R8+R42</f>
        <v>127.5</v>
      </c>
      <c r="S48" s="54" t="n">
        <f aca="false">S8+S42</f>
        <v>705.614</v>
      </c>
      <c r="T48" s="54"/>
      <c r="U48" s="54" t="n">
        <f aca="false">U8+U42</f>
        <v>0</v>
      </c>
      <c r="V48" s="54" t="n">
        <f aca="false">V8+V42</f>
        <v>2863</v>
      </c>
      <c r="W48" s="54" t="n">
        <f aca="false">W40</f>
        <v>1939</v>
      </c>
      <c r="X48" s="54" t="n">
        <f aca="false">X8+X42</f>
        <v>3629.18</v>
      </c>
      <c r="Y48" s="54" t="n">
        <f aca="false">Y8+Y42</f>
        <v>818.054625661709</v>
      </c>
      <c r="Z48" s="54" t="n">
        <f aca="false">Z8+Z42</f>
        <v>4447.2346256617</v>
      </c>
      <c r="AA48" s="58" t="n">
        <f aca="false">AA8+AA42</f>
        <v>2.77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462</v>
      </c>
      <c r="E49" s="54" t="n">
        <f aca="false">E40</f>
        <v>54408</v>
      </c>
      <c r="F49" s="54" t="n">
        <f aca="false">F48*$D$2</f>
        <v>462.000000000001</v>
      </c>
      <c r="G49" s="54" t="n">
        <f aca="false">G48*$D$2</f>
        <v>7981.604</v>
      </c>
      <c r="H49" s="58" t="n">
        <f aca="false">H48*$D$2</f>
        <v>10.11585</v>
      </c>
      <c r="I49" s="54" t="n">
        <f aca="false">I48*$D$2</f>
        <v>7897.444095</v>
      </c>
      <c r="J49" s="54" t="n">
        <f aca="false">J48*$D$2</f>
        <v>1385.645785</v>
      </c>
      <c r="K49" s="54" t="n">
        <f aca="false">K48*$D$2</f>
        <v>9283.08988</v>
      </c>
      <c r="L49" s="54" t="n">
        <f aca="false">L48*$D$2</f>
        <v>-236.965564999999</v>
      </c>
      <c r="M49" s="89" t="n">
        <f aca="false">M48*$D$2</f>
        <v>1266.82178</v>
      </c>
      <c r="N49" s="54" t="n">
        <f aca="false">N48*$D$2</f>
        <v>9.9175</v>
      </c>
      <c r="O49" s="54" t="n">
        <f aca="false">O48*$D$2</f>
        <v>907.978861</v>
      </c>
      <c r="P49" s="54" t="n">
        <f aca="false">P48*$D$2</f>
        <v>1146.689119</v>
      </c>
      <c r="Q49" s="54" t="n">
        <f aca="false">Q48*$D$2</f>
        <v>0</v>
      </c>
      <c r="R49" s="54" t="n">
        <f aca="false">R48*$D$2</f>
        <v>252.89625</v>
      </c>
      <c r="S49" s="54" t="n">
        <f aca="false">S48*$D$2</f>
        <v>1399.585369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5678.7605</v>
      </c>
      <c r="W49" s="54" t="n">
        <f aca="false">W48*$D$2</f>
        <v>3846.0065</v>
      </c>
      <c r="X49" s="54" t="n">
        <f aca="false">X48*$D$2</f>
        <v>7198.47853</v>
      </c>
      <c r="Y49" s="54" t="n">
        <f aca="false">Y48*$D$2</f>
        <v>1622.61135</v>
      </c>
      <c r="Z49" s="54" t="n">
        <f aca="false">Z48*$D$2</f>
        <v>8821.08987999999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97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89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89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9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  <c r="AE53" s="100"/>
      <c r="AF53" s="10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9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9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R20" activePane="bottomRight" state="frozen"/>
      <selection pane="topLeft" activeCell="A1" activeCellId="0" sqref="A1"/>
      <selection pane="topRight" activeCell="R1" activeCellId="0" sqref="R1"/>
      <selection pane="bottomLeft" activeCell="A20" activeCellId="0" sqref="A20"/>
      <selection pane="bottomRight" activeCell="V38" activeCellId="0" sqref="V38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7"/>
    <col collapsed="false" customWidth="true" hidden="false" outlineLevel="0" max="28" min="28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60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7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61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7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61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JAN!B40</f>
        <v>6876.69</v>
      </c>
      <c r="C8" s="54" t="n">
        <f aca="false">JAN!C40</f>
        <v>206408</v>
      </c>
      <c r="D8" s="54" t="n">
        <f aca="false">JAN!$D$49</f>
        <v>462</v>
      </c>
      <c r="E8" s="54" t="n">
        <f aca="false">JAN!$E$40</f>
        <v>54408</v>
      </c>
      <c r="F8" s="54" t="n">
        <f aca="false">JAN!F48</f>
        <v>232.92160322662</v>
      </c>
      <c r="G8" s="54" t="n">
        <f aca="false">JAN!G48</f>
        <v>4024</v>
      </c>
      <c r="H8" s="58" t="n">
        <f aca="false">JAN!H48</f>
        <v>5.1</v>
      </c>
      <c r="I8" s="54" t="n">
        <f aca="false">JAN!I48</f>
        <v>3981.57</v>
      </c>
      <c r="J8" s="54" t="n">
        <f aca="false">JAN!J48</f>
        <v>698.586228888329</v>
      </c>
      <c r="K8" s="54" t="n">
        <f aca="false">JAN!K48</f>
        <v>4680.15622888833</v>
      </c>
      <c r="L8" s="54" t="n">
        <f aca="false">JAN!L48</f>
        <v>-119.46839677338</v>
      </c>
      <c r="M8" s="54" t="n">
        <f aca="false">JAN!M48</f>
        <v>638.68</v>
      </c>
      <c r="N8" s="54" t="n">
        <f aca="false">JAN!N48</f>
        <v>5</v>
      </c>
      <c r="O8" s="54" t="n">
        <f aca="false">JAN!O48</f>
        <v>457.766</v>
      </c>
      <c r="P8" s="54" t="n">
        <f aca="false">JAN!P48</f>
        <v>578.114</v>
      </c>
      <c r="Q8" s="54" t="n">
        <f aca="false">JAN!Q48</f>
        <v>0</v>
      </c>
      <c r="R8" s="54" t="n">
        <f aca="false">JAN!R48</f>
        <v>127.5</v>
      </c>
      <c r="S8" s="54" t="n">
        <f aca="false">JAN!S48</f>
        <v>705.614</v>
      </c>
      <c r="T8" s="54" t="n">
        <f aca="false">JAN!T48</f>
        <v>0</v>
      </c>
      <c r="U8" s="54" t="n">
        <f aca="false">JAN!U48</f>
        <v>0</v>
      </c>
      <c r="V8" s="54" t="n">
        <f aca="false">JAN!V48</f>
        <v>2863</v>
      </c>
      <c r="W8" s="54" t="n">
        <f aca="false">JAN!W48</f>
        <v>1939</v>
      </c>
      <c r="X8" s="54" t="n">
        <f aca="false">JAN!X48</f>
        <v>3629.18</v>
      </c>
      <c r="Y8" s="54" t="n">
        <f aca="false">JAN!Y48</f>
        <v>818.054625661709</v>
      </c>
      <c r="Z8" s="54" t="n">
        <f aca="false">JAN!Z48</f>
        <v>4447.2346256617</v>
      </c>
      <c r="AA8" s="58" t="n">
        <f aca="false">JAN!AA48</f>
        <v>2.77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6876.69</v>
      </c>
      <c r="C10" s="54" t="n">
        <v>206408</v>
      </c>
      <c r="D10" s="59" t="n">
        <f aca="false">C10-C8</f>
        <v>0</v>
      </c>
      <c r="E10" s="54" t="n">
        <f aca="false">C10-152000</f>
        <v>54408</v>
      </c>
      <c r="F10" s="53" t="n">
        <f aca="false">D10/$D$2</f>
        <v>0</v>
      </c>
      <c r="G10" s="53" t="n">
        <v>39</v>
      </c>
      <c r="H10" s="58" t="n">
        <v>0.22</v>
      </c>
      <c r="I10" s="53" t="n">
        <f aca="false">G10+H10</f>
        <v>39.22</v>
      </c>
      <c r="J10" s="83" t="n">
        <f aca="false">IF(L10&gt;0,L10,0)</f>
        <v>0</v>
      </c>
      <c r="K10" s="53" t="n">
        <f aca="false">I10+J10</f>
        <v>39.22</v>
      </c>
      <c r="L10" s="53" t="n">
        <f aca="false">F10-(I10-X10)</f>
        <v>-6.12</v>
      </c>
      <c r="M10" s="53" t="n">
        <v>4.1</v>
      </c>
      <c r="N10" s="53" t="n">
        <v>0</v>
      </c>
      <c r="O10" s="53" t="n">
        <v>0</v>
      </c>
      <c r="P10" s="6" t="n">
        <f aca="false">M10-(N10+O10)</f>
        <v>4.1</v>
      </c>
      <c r="Q10" s="53" t="n">
        <v>0</v>
      </c>
      <c r="R10" s="53" t="n">
        <v>0</v>
      </c>
      <c r="S10" s="53" t="n">
        <f aca="false">SUM(P10:R10)</f>
        <v>4.1</v>
      </c>
      <c r="T10" s="54"/>
      <c r="U10" s="53" t="n">
        <v>0</v>
      </c>
      <c r="V10" s="53" t="n">
        <v>29</v>
      </c>
      <c r="W10" s="54" t="n">
        <f aca="false">W8-V10</f>
        <v>1910</v>
      </c>
      <c r="X10" s="6" t="n">
        <f aca="false">N10+O10+S10+U10+V10</f>
        <v>33.1</v>
      </c>
      <c r="Y10" s="53" t="n">
        <f aca="false">IF(L10&lt;0,L10*-1,0)</f>
        <v>6.12</v>
      </c>
      <c r="Z10" s="53" t="n">
        <f aca="false">X10+Y10</f>
        <v>39.22</v>
      </c>
      <c r="AA10" s="58" t="n">
        <v>0</v>
      </c>
      <c r="AB10" s="59" t="n">
        <v>42</v>
      </c>
      <c r="AC10" s="59" t="n">
        <v>16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6876.68</v>
      </c>
      <c r="C11" s="54" t="n">
        <v>206379</v>
      </c>
      <c r="D11" s="59" t="n">
        <f aca="false">C11-C10</f>
        <v>-29</v>
      </c>
      <c r="E11" s="54" t="n">
        <f aca="false">C11-152000</f>
        <v>54379</v>
      </c>
      <c r="F11" s="53" t="n">
        <f aca="false">D11/$D$2</f>
        <v>-14.6206201159566</v>
      </c>
      <c r="G11" s="53" t="n">
        <v>42</v>
      </c>
      <c r="H11" s="58" t="n">
        <v>0.2</v>
      </c>
      <c r="I11" s="53" t="n">
        <f aca="false">G11+H11</f>
        <v>42.2</v>
      </c>
      <c r="J11" s="83" t="n">
        <f aca="false">IF(L11&gt;0,L11,0)</f>
        <v>0</v>
      </c>
      <c r="K11" s="53" t="n">
        <f aca="false">I11+J11</f>
        <v>42.2</v>
      </c>
      <c r="L11" s="53" t="n">
        <f aca="false">F11-(I11-X11)</f>
        <v>-23.7206201159566</v>
      </c>
      <c r="M11" s="53" t="n">
        <v>4.1</v>
      </c>
      <c r="N11" s="53" t="n">
        <v>0</v>
      </c>
      <c r="O11" s="53" t="n">
        <v>0</v>
      </c>
      <c r="P11" s="6" t="n">
        <f aca="false">M11-(N11+O11)</f>
        <v>4.1</v>
      </c>
      <c r="Q11" s="53" t="n">
        <v>0</v>
      </c>
      <c r="R11" s="53" t="n">
        <v>0</v>
      </c>
      <c r="S11" s="53" t="n">
        <f aca="false">SUM(P11:R11)</f>
        <v>4.1</v>
      </c>
      <c r="T11" s="54"/>
      <c r="U11" s="53" t="n">
        <v>0</v>
      </c>
      <c r="V11" s="53" t="n">
        <v>29</v>
      </c>
      <c r="W11" s="54" t="n">
        <f aca="false">W10-V11</f>
        <v>1881</v>
      </c>
      <c r="X11" s="6" t="n">
        <f aca="false">N11+O11+S11+U11+V11</f>
        <v>33.1</v>
      </c>
      <c r="Y11" s="53" t="n">
        <f aca="false">IF(L11&lt;0,L11*-1,0)</f>
        <v>23.7206201159566</v>
      </c>
      <c r="Z11" s="53" t="n">
        <f aca="false">X11+Y11</f>
        <v>56.8206201159566</v>
      </c>
      <c r="AA11" s="58" t="n">
        <v>0</v>
      </c>
      <c r="AB11" s="59" t="n">
        <v>38</v>
      </c>
      <c r="AC11" s="59" t="n">
        <v>6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6876.68</v>
      </c>
      <c r="C12" s="54" t="n">
        <v>206379</v>
      </c>
      <c r="D12" s="59" t="n">
        <f aca="false">C12-C11</f>
        <v>0</v>
      </c>
      <c r="E12" s="54" t="n">
        <f aca="false">C12-152000</f>
        <v>54379</v>
      </c>
      <c r="F12" s="53" t="n">
        <f aca="false">D12/$D$2</f>
        <v>0</v>
      </c>
      <c r="G12" s="53" t="n">
        <v>40</v>
      </c>
      <c r="H12" s="58" t="n">
        <v>0.17</v>
      </c>
      <c r="I12" s="53" t="n">
        <f aca="false">G12+H12</f>
        <v>40.17</v>
      </c>
      <c r="J12" s="83" t="n">
        <f aca="false">IF(L12&gt;0,L12,0)</f>
        <v>0</v>
      </c>
      <c r="K12" s="53" t="n">
        <f aca="false">I12+J12</f>
        <v>40.17</v>
      </c>
      <c r="L12" s="53" t="n">
        <f aca="false">F12-(I12-X12)</f>
        <v>-7.07</v>
      </c>
      <c r="M12" s="53" t="n">
        <v>4.1</v>
      </c>
      <c r="N12" s="53" t="n">
        <v>0</v>
      </c>
      <c r="O12" s="53" t="n">
        <v>0</v>
      </c>
      <c r="P12" s="6" t="n">
        <f aca="false">M12-(N12+O12)</f>
        <v>4.1</v>
      </c>
      <c r="Q12" s="53" t="n">
        <v>0</v>
      </c>
      <c r="R12" s="53" t="n">
        <v>0</v>
      </c>
      <c r="S12" s="53" t="n">
        <f aca="false">SUM(P12:R12)</f>
        <v>4.1</v>
      </c>
      <c r="T12" s="54"/>
      <c r="U12" s="53" t="n">
        <v>0</v>
      </c>
      <c r="V12" s="53" t="n">
        <v>29</v>
      </c>
      <c r="W12" s="54" t="n">
        <f aca="false">W11-V12</f>
        <v>1852</v>
      </c>
      <c r="X12" s="6" t="n">
        <f aca="false">N12+O12+S12+U12+V12</f>
        <v>33.1</v>
      </c>
      <c r="Y12" s="53" t="n">
        <f aca="false">IF(L12&lt;0,L12*-1,0)</f>
        <v>7.07</v>
      </c>
      <c r="Z12" s="53" t="n">
        <f aca="false">X12+Y12</f>
        <v>40.17</v>
      </c>
      <c r="AA12" s="58" t="n">
        <v>0</v>
      </c>
      <c r="AB12" s="59" t="n">
        <v>40</v>
      </c>
      <c r="AC12" s="59" t="n">
        <v>12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6876.68</v>
      </c>
      <c r="C13" s="54" t="n">
        <v>206379</v>
      </c>
      <c r="D13" s="59" t="n">
        <f aca="false">C13-C12</f>
        <v>0</v>
      </c>
      <c r="E13" s="54" t="n">
        <f aca="false">C13-152000</f>
        <v>54379</v>
      </c>
      <c r="F13" s="53" t="n">
        <f aca="false">D13/$D$2</f>
        <v>0</v>
      </c>
      <c r="G13" s="53" t="n">
        <v>40</v>
      </c>
      <c r="H13" s="58" t="n">
        <v>0.18</v>
      </c>
      <c r="I13" s="53" t="n">
        <f aca="false">G13+H13</f>
        <v>40.18</v>
      </c>
      <c r="J13" s="83" t="n">
        <f aca="false">IF(L13&gt;0,L13,0)</f>
        <v>0</v>
      </c>
      <c r="K13" s="53" t="n">
        <f aca="false">I13+J13</f>
        <v>40.18</v>
      </c>
      <c r="L13" s="53" t="n">
        <f aca="false">F13-(I13-X13)</f>
        <v>-4.78</v>
      </c>
      <c r="M13" s="53" t="n">
        <v>6.4</v>
      </c>
      <c r="N13" s="53" t="n">
        <v>0</v>
      </c>
      <c r="O13" s="53" t="n">
        <v>0</v>
      </c>
      <c r="P13" s="6" t="n">
        <f aca="false">M13-(N13+O13)</f>
        <v>6.4</v>
      </c>
      <c r="Q13" s="53" t="n">
        <v>0</v>
      </c>
      <c r="R13" s="53" t="n">
        <v>0</v>
      </c>
      <c r="S13" s="53" t="n">
        <f aca="false">SUM(P13:R13)</f>
        <v>6.4</v>
      </c>
      <c r="T13" s="54"/>
      <c r="U13" s="53" t="n">
        <v>0</v>
      </c>
      <c r="V13" s="53" t="n">
        <v>29</v>
      </c>
      <c r="W13" s="54" t="n">
        <f aca="false">W12-V13</f>
        <v>1823</v>
      </c>
      <c r="X13" s="6" t="n">
        <f aca="false">N13+O13+S13+U13+V13</f>
        <v>35.4</v>
      </c>
      <c r="Y13" s="53" t="n">
        <f aca="false">IF(L13&lt;0,L13*-1,0)</f>
        <v>4.78</v>
      </c>
      <c r="Z13" s="53" t="n">
        <f aca="false">X13+Y13</f>
        <v>40.18</v>
      </c>
      <c r="AA13" s="58" t="n">
        <v>0</v>
      </c>
      <c r="AB13" s="59" t="n">
        <v>42</v>
      </c>
      <c r="AC13" s="59" t="n">
        <v>15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6876.68</v>
      </c>
      <c r="C14" s="54" t="n">
        <v>206379</v>
      </c>
      <c r="D14" s="59" t="n">
        <f aca="false">C14-C13</f>
        <v>0</v>
      </c>
      <c r="E14" s="54" t="n">
        <f aca="false">C14-152000</f>
        <v>54379</v>
      </c>
      <c r="F14" s="53" t="n">
        <f aca="false">D14/$D$2</f>
        <v>0</v>
      </c>
      <c r="G14" s="53" t="n">
        <v>41</v>
      </c>
      <c r="H14" s="58" t="n">
        <v>0.22</v>
      </c>
      <c r="I14" s="53" t="n">
        <f aca="false">G14+H14</f>
        <v>41.22</v>
      </c>
      <c r="J14" s="83" t="n">
        <f aca="false">IF(L14&gt;0,L14,0)</f>
        <v>0</v>
      </c>
      <c r="K14" s="53" t="n">
        <f aca="false">I14+J14</f>
        <v>41.22</v>
      </c>
      <c r="L14" s="53" t="n">
        <f aca="false">F14-(I14-X14)</f>
        <v>-5.22</v>
      </c>
      <c r="M14" s="53" t="n">
        <v>6</v>
      </c>
      <c r="N14" s="53" t="n">
        <v>0</v>
      </c>
      <c r="O14" s="53" t="n">
        <v>0</v>
      </c>
      <c r="P14" s="6" t="n">
        <f aca="false">M14-(N14+O14)</f>
        <v>6</v>
      </c>
      <c r="Q14" s="53" t="n">
        <v>0</v>
      </c>
      <c r="R14" s="53" t="n">
        <v>0</v>
      </c>
      <c r="S14" s="53" t="n">
        <f aca="false">SUM(P14:R14)</f>
        <v>6</v>
      </c>
      <c r="T14" s="54"/>
      <c r="U14" s="53" t="n">
        <v>0</v>
      </c>
      <c r="V14" s="53" t="n">
        <v>30</v>
      </c>
      <c r="W14" s="54" t="n">
        <f aca="false">W13-V14</f>
        <v>1793</v>
      </c>
      <c r="X14" s="6" t="n">
        <f aca="false">N14+O14+S14+U14+V14</f>
        <v>36</v>
      </c>
      <c r="Y14" s="53" t="n">
        <f aca="false">IF(L14&lt;0,L14*-1,0)</f>
        <v>5.22</v>
      </c>
      <c r="Z14" s="53" t="n">
        <f aca="false">X14+Y14</f>
        <v>41.22</v>
      </c>
      <c r="AA14" s="58" t="n">
        <v>0</v>
      </c>
      <c r="AB14" s="59" t="n">
        <v>35</v>
      </c>
      <c r="AC14" s="59" t="n">
        <v>9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6876.67</v>
      </c>
      <c r="C15" s="54" t="n">
        <v>206350</v>
      </c>
      <c r="D15" s="59" t="n">
        <f aca="false">C15-C14</f>
        <v>-29</v>
      </c>
      <c r="E15" s="54" t="n">
        <f aca="false">C15-152000</f>
        <v>54350</v>
      </c>
      <c r="F15" s="53" t="n">
        <f aca="false">D15/$D$2</f>
        <v>-14.6206201159566</v>
      </c>
      <c r="G15" s="53" t="n">
        <v>38</v>
      </c>
      <c r="H15" s="58" t="n">
        <v>0.22</v>
      </c>
      <c r="I15" s="53" t="n">
        <f aca="false">G15+H15</f>
        <v>38.22</v>
      </c>
      <c r="J15" s="83" t="n">
        <f aca="false">IF(L15&gt;0,L15,0)</f>
        <v>0</v>
      </c>
      <c r="K15" s="53" t="n">
        <f aca="false">I15+J15</f>
        <v>38.22</v>
      </c>
      <c r="L15" s="53" t="n">
        <f aca="false">F15-(I15-X15)</f>
        <v>-16.5406201159566</v>
      </c>
      <c r="M15" s="53" t="n">
        <v>6.3</v>
      </c>
      <c r="N15" s="53" t="n">
        <v>0</v>
      </c>
      <c r="O15" s="53" t="n">
        <v>0</v>
      </c>
      <c r="P15" s="6" t="n">
        <f aca="false">M15-(N15+O15)</f>
        <v>6.3</v>
      </c>
      <c r="Q15" s="53" t="n">
        <v>0</v>
      </c>
      <c r="R15" s="53" t="n">
        <v>0</v>
      </c>
      <c r="S15" s="53" t="n">
        <f aca="false">SUM(P15:R15)</f>
        <v>6.3</v>
      </c>
      <c r="T15" s="54"/>
      <c r="U15" s="53" t="n">
        <v>0</v>
      </c>
      <c r="V15" s="53" t="n">
        <v>30</v>
      </c>
      <c r="W15" s="54" t="n">
        <f aca="false">W14-V15</f>
        <v>1763</v>
      </c>
      <c r="X15" s="6" t="n">
        <f aca="false">N15+O15+S15+U15+V15</f>
        <v>36.3</v>
      </c>
      <c r="Y15" s="53" t="n">
        <f aca="false">IF(L15&lt;0,L15*-1,0)</f>
        <v>16.5406201159566</v>
      </c>
      <c r="Z15" s="53" t="n">
        <f aca="false">X15+Y15</f>
        <v>52.8406201159566</v>
      </c>
      <c r="AA15" s="58" t="n">
        <v>0</v>
      </c>
      <c r="AB15" s="59" t="n">
        <v>46</v>
      </c>
      <c r="AC15" s="59" t="n">
        <v>9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6876.67</v>
      </c>
      <c r="C16" s="54" t="n">
        <v>206350</v>
      </c>
      <c r="D16" s="59" t="n">
        <f aca="false">C16-C15</f>
        <v>0</v>
      </c>
      <c r="E16" s="54" t="n">
        <f aca="false">C16-152000</f>
        <v>54350</v>
      </c>
      <c r="F16" s="53" t="n">
        <f aca="false">D16/$D$2</f>
        <v>0</v>
      </c>
      <c r="G16" s="53" t="n">
        <v>39</v>
      </c>
      <c r="H16" s="58" t="n">
        <v>0.23</v>
      </c>
      <c r="I16" s="53" t="n">
        <f aca="false">G16+H16</f>
        <v>39.23</v>
      </c>
      <c r="J16" s="83" t="n">
        <f aca="false">IF(L16&gt;0,L16,0)</f>
        <v>0</v>
      </c>
      <c r="K16" s="53" t="n">
        <f aca="false">I16+J16</f>
        <v>39.23</v>
      </c>
      <c r="L16" s="53" t="n">
        <f aca="false">F16-(I16-X16)</f>
        <v>-4.73</v>
      </c>
      <c r="M16" s="53" t="n">
        <v>5.5</v>
      </c>
      <c r="N16" s="53" t="n">
        <v>0</v>
      </c>
      <c r="O16" s="53" t="n">
        <v>0</v>
      </c>
      <c r="P16" s="6" t="n">
        <f aca="false">M16-(N16+O16)</f>
        <v>5.5</v>
      </c>
      <c r="Q16" s="53" t="n">
        <v>0</v>
      </c>
      <c r="R16" s="53" t="n">
        <v>0</v>
      </c>
      <c r="S16" s="53" t="n">
        <f aca="false">SUM(P16:R16)</f>
        <v>5.5</v>
      </c>
      <c r="T16" s="54"/>
      <c r="U16" s="53" t="n">
        <v>0</v>
      </c>
      <c r="V16" s="53" t="n">
        <v>29</v>
      </c>
      <c r="W16" s="54" t="n">
        <f aca="false">W15-V16</f>
        <v>1734</v>
      </c>
      <c r="X16" s="6" t="n">
        <f aca="false">N16+O16+S16+U16+V16</f>
        <v>34.5</v>
      </c>
      <c r="Y16" s="53" t="n">
        <f aca="false">IF(L16&lt;0,L16*-1,0)</f>
        <v>4.73</v>
      </c>
      <c r="Z16" s="53" t="n">
        <f aca="false">X16+Y16</f>
        <v>39.23</v>
      </c>
      <c r="AA16" s="58" t="n">
        <v>0</v>
      </c>
      <c r="AB16" s="59" t="n">
        <v>46</v>
      </c>
      <c r="AC16" s="59" t="n">
        <v>13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6876.66</v>
      </c>
      <c r="C17" s="54" t="n">
        <v>206321</v>
      </c>
      <c r="D17" s="59" t="n">
        <f aca="false">C17-C16</f>
        <v>-29</v>
      </c>
      <c r="E17" s="54" t="n">
        <f aca="false">C17-152000</f>
        <v>54321</v>
      </c>
      <c r="F17" s="53" t="n">
        <f aca="false">D17/$D$2</f>
        <v>-14.6206201159566</v>
      </c>
      <c r="G17" s="53" t="n">
        <v>40</v>
      </c>
      <c r="H17" s="58" t="n">
        <v>0.22</v>
      </c>
      <c r="I17" s="53" t="n">
        <f aca="false">G17+H17</f>
        <v>40.22</v>
      </c>
      <c r="J17" s="83" t="n">
        <f aca="false">IF(L17&gt;0,L17,0)</f>
        <v>0</v>
      </c>
      <c r="K17" s="53" t="n">
        <f aca="false">I17+J17</f>
        <v>40.22</v>
      </c>
      <c r="L17" s="53" t="n">
        <f aca="false">F17-(I17-X17)</f>
        <v>-20.3406201159566</v>
      </c>
      <c r="M17" s="53" t="n">
        <v>5.5</v>
      </c>
      <c r="N17" s="53" t="n">
        <v>0</v>
      </c>
      <c r="O17" s="53" t="n">
        <v>0</v>
      </c>
      <c r="P17" s="6" t="n">
        <f aca="false">M17-(N17+O17)</f>
        <v>5.5</v>
      </c>
      <c r="Q17" s="53" t="n">
        <v>0</v>
      </c>
      <c r="R17" s="53" t="n">
        <v>0</v>
      </c>
      <c r="S17" s="53" t="n">
        <f aca="false">SUM(P17:R17)</f>
        <v>5.5</v>
      </c>
      <c r="T17" s="54"/>
      <c r="U17" s="53" t="n">
        <v>0</v>
      </c>
      <c r="V17" s="53" t="n">
        <v>29</v>
      </c>
      <c r="W17" s="54" t="n">
        <f aca="false">W16-V17</f>
        <v>1705</v>
      </c>
      <c r="X17" s="6" t="n">
        <f aca="false">N17+O17+S17+U17+V17</f>
        <v>34.5</v>
      </c>
      <c r="Y17" s="53" t="n">
        <f aca="false">IF(L17&lt;0,L17*-1,0)</f>
        <v>20.3406201159566</v>
      </c>
      <c r="Z17" s="53" t="n">
        <f aca="false">X17+Y17</f>
        <v>54.8406201159566</v>
      </c>
      <c r="AA17" s="58" t="n">
        <v>0</v>
      </c>
      <c r="AB17" s="59" t="n">
        <v>45</v>
      </c>
      <c r="AC17" s="59" t="n">
        <v>17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6876.66</v>
      </c>
      <c r="C18" s="54" t="n">
        <v>206321</v>
      </c>
      <c r="D18" s="59" t="n">
        <f aca="false">C18-C17</f>
        <v>0</v>
      </c>
      <c r="E18" s="54" t="n">
        <f aca="false">C18-152000</f>
        <v>54321</v>
      </c>
      <c r="F18" s="53" t="n">
        <f aca="false">D18/$D$2</f>
        <v>0</v>
      </c>
      <c r="G18" s="53" t="n">
        <v>40</v>
      </c>
      <c r="H18" s="58" t="n">
        <v>0.12</v>
      </c>
      <c r="I18" s="53" t="n">
        <f aca="false">G18+H18</f>
        <v>40.12</v>
      </c>
      <c r="J18" s="83" t="n">
        <f aca="false">IF(L18&gt;0,L18,0)</f>
        <v>0</v>
      </c>
      <c r="K18" s="53" t="n">
        <f aca="false">I18+J18</f>
        <v>40.12</v>
      </c>
      <c r="L18" s="53" t="n">
        <f aca="false">F18-(I18-X18)</f>
        <v>-4.62</v>
      </c>
      <c r="M18" s="53" t="n">
        <v>5.5</v>
      </c>
      <c r="N18" s="53" t="n">
        <v>0</v>
      </c>
      <c r="O18" s="53" t="n">
        <v>0</v>
      </c>
      <c r="P18" s="6" t="n">
        <f aca="false">M18-(N18+O18)</f>
        <v>5.5</v>
      </c>
      <c r="Q18" s="53" t="n">
        <v>0</v>
      </c>
      <c r="R18" s="53" t="n">
        <v>0</v>
      </c>
      <c r="S18" s="53" t="n">
        <f aca="false">SUM(P18:R18)</f>
        <v>5.5</v>
      </c>
      <c r="T18" s="54"/>
      <c r="U18" s="53" t="n">
        <v>0</v>
      </c>
      <c r="V18" s="53" t="n">
        <v>30</v>
      </c>
      <c r="W18" s="54" t="n">
        <f aca="false">W17-V18</f>
        <v>1675</v>
      </c>
      <c r="X18" s="6" t="n">
        <f aca="false">N18+O18+S18+U18+V18</f>
        <v>35.5</v>
      </c>
      <c r="Y18" s="53" t="n">
        <f aca="false">IF(L18&lt;0,L18*-1,0)</f>
        <v>4.62</v>
      </c>
      <c r="Z18" s="53" t="n">
        <f aca="false">X18+Y18</f>
        <v>40.12</v>
      </c>
      <c r="AA18" s="58" t="n">
        <v>0</v>
      </c>
      <c r="AB18" s="84" t="n">
        <v>33</v>
      </c>
      <c r="AC18" s="59" t="n">
        <v>10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6876.65</v>
      </c>
      <c r="C19" s="54" t="n">
        <v>206293</v>
      </c>
      <c r="D19" s="59" t="n">
        <f aca="false">C19-C18</f>
        <v>-28</v>
      </c>
      <c r="E19" s="54" t="n">
        <f aca="false">C19-152000</f>
        <v>54293</v>
      </c>
      <c r="F19" s="53" t="n">
        <f aca="false">D19/$D$2</f>
        <v>-14.1164608016133</v>
      </c>
      <c r="G19" s="53" t="n">
        <v>39</v>
      </c>
      <c r="H19" s="58" t="n">
        <v>0.16</v>
      </c>
      <c r="I19" s="53" t="n">
        <f aca="false">G19+H19</f>
        <v>39.16</v>
      </c>
      <c r="J19" s="83" t="n">
        <f aca="false">IF(L19&gt;0,L19,0)</f>
        <v>0</v>
      </c>
      <c r="K19" s="53" t="n">
        <f aca="false">I19+J19</f>
        <v>39.16</v>
      </c>
      <c r="L19" s="53" t="n">
        <f aca="false">F19-(I19-X19)</f>
        <v>-17.7764608016133</v>
      </c>
      <c r="M19" s="53" t="n">
        <v>5.5</v>
      </c>
      <c r="N19" s="53" t="n">
        <v>0</v>
      </c>
      <c r="O19" s="53" t="n">
        <v>0</v>
      </c>
      <c r="P19" s="6" t="n">
        <f aca="false">M19-(N19+O19)</f>
        <v>5.5</v>
      </c>
      <c r="Q19" s="53" t="n">
        <v>0</v>
      </c>
      <c r="R19" s="53" t="n">
        <v>0</v>
      </c>
      <c r="S19" s="53" t="n">
        <f aca="false">SUM(P19:R19)</f>
        <v>5.5</v>
      </c>
      <c r="T19" s="54"/>
      <c r="U19" s="53" t="n">
        <v>0</v>
      </c>
      <c r="V19" s="53" t="n">
        <v>30</v>
      </c>
      <c r="W19" s="54" t="n">
        <f aca="false">W18-V19</f>
        <v>1645</v>
      </c>
      <c r="X19" s="6" t="n">
        <f aca="false">N19+O19+S19+U19+V19</f>
        <v>35.5</v>
      </c>
      <c r="Y19" s="53" t="n">
        <f aca="false">IF(L19&lt;0,L19*-1,0)</f>
        <v>17.7764608016133</v>
      </c>
      <c r="Z19" s="53" t="n">
        <f aca="false">X19+Y19</f>
        <v>53.2764608016133</v>
      </c>
      <c r="AA19" s="58" t="n">
        <v>0</v>
      </c>
      <c r="AB19" s="59" t="n">
        <v>42</v>
      </c>
      <c r="AC19" s="59" t="n">
        <v>14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6876.65</v>
      </c>
      <c r="C20" s="54" t="n">
        <v>206293</v>
      </c>
      <c r="D20" s="59" t="n">
        <f aca="false">C20-C19</f>
        <v>0</v>
      </c>
      <c r="E20" s="54" t="n">
        <f aca="false">C20-152000</f>
        <v>54293</v>
      </c>
      <c r="F20" s="53" t="n">
        <f aca="false">D20/$D$2</f>
        <v>0</v>
      </c>
      <c r="G20" s="53" t="n">
        <v>38</v>
      </c>
      <c r="H20" s="58" t="n">
        <v>0.16</v>
      </c>
      <c r="I20" s="53" t="n">
        <f aca="false">G20+H20</f>
        <v>38.16</v>
      </c>
      <c r="J20" s="83" t="n">
        <f aca="false">IF(L20&gt;0,L20,0)</f>
        <v>0</v>
      </c>
      <c r="K20" s="53" t="n">
        <f aca="false">I20+J20</f>
        <v>38.16</v>
      </c>
      <c r="L20" s="53" t="n">
        <f aca="false">F20-(I20-X20)</f>
        <v>-2.76</v>
      </c>
      <c r="M20" s="53" t="n">
        <v>5.4</v>
      </c>
      <c r="N20" s="53" t="n">
        <v>0</v>
      </c>
      <c r="O20" s="53" t="n">
        <v>0</v>
      </c>
      <c r="P20" s="6" t="n">
        <f aca="false">M20-(N20+O20)</f>
        <v>5.4</v>
      </c>
      <c r="Q20" s="53" t="n">
        <v>0</v>
      </c>
      <c r="R20" s="53" t="n">
        <v>0</v>
      </c>
      <c r="S20" s="53" t="n">
        <f aca="false">SUM(P20:R20)</f>
        <v>5.4</v>
      </c>
      <c r="T20" s="54"/>
      <c r="U20" s="53" t="n">
        <v>0</v>
      </c>
      <c r="V20" s="53" t="n">
        <v>30</v>
      </c>
      <c r="W20" s="54" t="n">
        <f aca="false">W19-V20</f>
        <v>1615</v>
      </c>
      <c r="X20" s="6" t="n">
        <f aca="false">N20+O20+S20+U20+V20</f>
        <v>35.4</v>
      </c>
      <c r="Y20" s="53" t="n">
        <f aca="false">IF(L20&lt;0,L20*-1,0)</f>
        <v>2.76</v>
      </c>
      <c r="Z20" s="53" t="n">
        <f aca="false">X20+Y20</f>
        <v>38.16</v>
      </c>
      <c r="AA20" s="58" t="n">
        <v>0</v>
      </c>
      <c r="AB20" s="59" t="n">
        <v>47</v>
      </c>
      <c r="AC20" s="59" t="n">
        <v>14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6876.64</v>
      </c>
      <c r="C21" s="54" t="n">
        <v>206264</v>
      </c>
      <c r="D21" s="59" t="n">
        <f aca="false">C21-C20</f>
        <v>-29</v>
      </c>
      <c r="E21" s="54" t="n">
        <f aca="false">C21-152000</f>
        <v>54264</v>
      </c>
      <c r="F21" s="53" t="n">
        <f aca="false">D21/$D$2</f>
        <v>-14.6206201159566</v>
      </c>
      <c r="G21" s="53" t="n">
        <v>39</v>
      </c>
      <c r="H21" s="58" t="n">
        <v>0.11</v>
      </c>
      <c r="I21" s="53" t="n">
        <f aca="false">G21+H21</f>
        <v>39.11</v>
      </c>
      <c r="J21" s="83" t="n">
        <f aca="false">IF(L21&gt;0,L21,0)</f>
        <v>0</v>
      </c>
      <c r="K21" s="53" t="n">
        <f aca="false">I21+J21</f>
        <v>39.11</v>
      </c>
      <c r="L21" s="53" t="n">
        <f aca="false">F21-(I21-X21)</f>
        <v>-18.2306201159566</v>
      </c>
      <c r="M21" s="53" t="n">
        <v>5.5</v>
      </c>
      <c r="N21" s="53" t="n">
        <v>0</v>
      </c>
      <c r="O21" s="53" t="n">
        <v>0</v>
      </c>
      <c r="P21" s="6" t="n">
        <f aca="false">M21-(N21+O21)</f>
        <v>5.5</v>
      </c>
      <c r="Q21" s="53" t="n">
        <v>0</v>
      </c>
      <c r="R21" s="53" t="n">
        <v>0</v>
      </c>
      <c r="S21" s="53" t="n">
        <f aca="false">SUM(P21:R21)</f>
        <v>5.5</v>
      </c>
      <c r="T21" s="54"/>
      <c r="U21" s="53" t="n">
        <v>0</v>
      </c>
      <c r="V21" s="53" t="n">
        <v>30</v>
      </c>
      <c r="W21" s="54" t="n">
        <f aca="false">W20-V21</f>
        <v>1585</v>
      </c>
      <c r="X21" s="6" t="n">
        <f aca="false">N21+O21+S21+U21+V21</f>
        <v>35.5</v>
      </c>
      <c r="Y21" s="53" t="n">
        <f aca="false">IF(L21&lt;0,L21*-1,0)</f>
        <v>18.2306201159566</v>
      </c>
      <c r="Z21" s="53" t="n">
        <f aca="false">X21+Y21</f>
        <v>53.7306201159566</v>
      </c>
      <c r="AA21" s="58" t="n">
        <v>0</v>
      </c>
      <c r="AB21" s="59" t="n">
        <v>45</v>
      </c>
      <c r="AC21" s="59" t="n">
        <v>20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6876.64</v>
      </c>
      <c r="C22" s="54" t="n">
        <v>206264</v>
      </c>
      <c r="D22" s="59" t="n">
        <f aca="false">C22-C21</f>
        <v>0</v>
      </c>
      <c r="E22" s="54" t="n">
        <f aca="false">C22-152000</f>
        <v>54264</v>
      </c>
      <c r="F22" s="53" t="n">
        <f aca="false">D22/$D$2</f>
        <v>0</v>
      </c>
      <c r="G22" s="53" t="n">
        <v>40</v>
      </c>
      <c r="H22" s="58" t="n">
        <v>0.2</v>
      </c>
      <c r="I22" s="53" t="n">
        <f aca="false">G22+H22</f>
        <v>40.2</v>
      </c>
      <c r="J22" s="83" t="n">
        <f aca="false">IF(L22&gt;0,L22,0)</f>
        <v>0</v>
      </c>
      <c r="K22" s="53" t="n">
        <f aca="false">I22+J22</f>
        <v>40.2</v>
      </c>
      <c r="L22" s="53" t="n">
        <f aca="false">F22-(I22-X22)</f>
        <v>-4.90000000000001</v>
      </c>
      <c r="M22" s="53" t="n">
        <v>5.3</v>
      </c>
      <c r="N22" s="53" t="n">
        <v>0</v>
      </c>
      <c r="O22" s="53" t="n">
        <v>0</v>
      </c>
      <c r="P22" s="6" t="n">
        <f aca="false">M22-(N22+O22)</f>
        <v>5.3</v>
      </c>
      <c r="Q22" s="53" t="n">
        <v>0</v>
      </c>
      <c r="R22" s="53" t="n">
        <v>0</v>
      </c>
      <c r="S22" s="53" t="n">
        <f aca="false">SUM(P22:R22)</f>
        <v>5.3</v>
      </c>
      <c r="T22" s="54"/>
      <c r="U22" s="53" t="n">
        <v>0</v>
      </c>
      <c r="V22" s="53" t="n">
        <v>30</v>
      </c>
      <c r="W22" s="54" t="n">
        <f aca="false">W21-V22</f>
        <v>1555</v>
      </c>
      <c r="X22" s="6" t="n">
        <f aca="false">N22+O22+S22+U22+V22</f>
        <v>35.3</v>
      </c>
      <c r="Y22" s="53" t="n">
        <f aca="false">IF(L22&lt;0,L22*-1,0)</f>
        <v>4.90000000000001</v>
      </c>
      <c r="Z22" s="53" t="n">
        <f aca="false">X22+Y22</f>
        <v>40.2</v>
      </c>
      <c r="AA22" s="58" t="n">
        <v>0</v>
      </c>
      <c r="AB22" s="59" t="n">
        <v>46</v>
      </c>
      <c r="AC22" s="59" t="n">
        <v>15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6876.63</v>
      </c>
      <c r="C23" s="54" t="n">
        <v>206235</v>
      </c>
      <c r="D23" s="59" t="n">
        <f aca="false">C23-C22</f>
        <v>-29</v>
      </c>
      <c r="E23" s="54" t="n">
        <f aca="false">C23-152000</f>
        <v>54235</v>
      </c>
      <c r="F23" s="53" t="n">
        <f aca="false">D23/$D$2</f>
        <v>-14.6206201159566</v>
      </c>
      <c r="G23" s="53" t="n">
        <v>40</v>
      </c>
      <c r="H23" s="58" t="n">
        <v>0.2</v>
      </c>
      <c r="I23" s="53" t="n">
        <f aca="false">G23+H23</f>
        <v>40.2</v>
      </c>
      <c r="J23" s="83" t="n">
        <f aca="false">IF(L23&gt;0,L23,0)</f>
        <v>0</v>
      </c>
      <c r="K23" s="53" t="n">
        <f aca="false">I23+J23</f>
        <v>40.2</v>
      </c>
      <c r="L23" s="53" t="n">
        <f aca="false">F23-(I23-X23)</f>
        <v>-19.7206201159566</v>
      </c>
      <c r="M23" s="53" t="n">
        <v>5.1</v>
      </c>
      <c r="N23" s="53" t="n">
        <v>0</v>
      </c>
      <c r="O23" s="53" t="n">
        <v>0</v>
      </c>
      <c r="P23" s="6" t="n">
        <f aca="false">M23-(N23+O23)</f>
        <v>5.1</v>
      </c>
      <c r="Q23" s="53" t="n">
        <v>0</v>
      </c>
      <c r="R23" s="53" t="n">
        <v>0</v>
      </c>
      <c r="S23" s="53" t="n">
        <f aca="false">SUM(P23:R23)</f>
        <v>5.1</v>
      </c>
      <c r="T23" s="54"/>
      <c r="U23" s="53" t="n">
        <v>0</v>
      </c>
      <c r="V23" s="53" t="n">
        <v>30</v>
      </c>
      <c r="W23" s="54" t="n">
        <f aca="false">W22-V23</f>
        <v>1525</v>
      </c>
      <c r="X23" s="6" t="n">
        <f aca="false">N23+O23+S23+U23+V23</f>
        <v>35.1</v>
      </c>
      <c r="Y23" s="53" t="n">
        <f aca="false">IF(L23&lt;0,L23*-1,0)</f>
        <v>19.7206201159566</v>
      </c>
      <c r="Z23" s="53" t="n">
        <f aca="false">X23+Y23</f>
        <v>54.8206201159566</v>
      </c>
      <c r="AA23" s="58" t="n">
        <v>0</v>
      </c>
      <c r="AB23" s="84" t="n">
        <v>45</v>
      </c>
      <c r="AC23" s="59" t="n">
        <v>17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6876.63</v>
      </c>
      <c r="C24" s="54" t="n">
        <v>206235</v>
      </c>
      <c r="D24" s="59" t="n">
        <f aca="false">C24-C23</f>
        <v>0</v>
      </c>
      <c r="E24" s="54" t="n">
        <f aca="false">C24-152000</f>
        <v>54235</v>
      </c>
      <c r="F24" s="53" t="n">
        <f aca="false">D24/$D$2</f>
        <v>0</v>
      </c>
      <c r="G24" s="53" t="n">
        <v>41</v>
      </c>
      <c r="H24" s="58" t="n">
        <v>0.17</v>
      </c>
      <c r="I24" s="53" t="n">
        <f aca="false">G24+H24</f>
        <v>41.17</v>
      </c>
      <c r="J24" s="83" t="n">
        <f aca="false">IF(L24&gt;0,L24,0)</f>
        <v>0</v>
      </c>
      <c r="K24" s="53" t="n">
        <f aca="false">I24+J24</f>
        <v>41.17</v>
      </c>
      <c r="L24" s="53" t="n">
        <f aca="false">F24-(I24-X24)</f>
        <v>-6.07</v>
      </c>
      <c r="M24" s="53" t="n">
        <v>5.1</v>
      </c>
      <c r="N24" s="53" t="n">
        <v>0</v>
      </c>
      <c r="O24" s="53" t="n">
        <v>0</v>
      </c>
      <c r="P24" s="6" t="n">
        <f aca="false">M24-(N24+O24)</f>
        <v>5.1</v>
      </c>
      <c r="Q24" s="53" t="n">
        <v>0</v>
      </c>
      <c r="R24" s="53" t="n">
        <v>0</v>
      </c>
      <c r="S24" s="53" t="n">
        <f aca="false">SUM(P24:R24)</f>
        <v>5.1</v>
      </c>
      <c r="T24" s="54"/>
      <c r="U24" s="53" t="n">
        <v>0</v>
      </c>
      <c r="V24" s="53" t="n">
        <v>30</v>
      </c>
      <c r="W24" s="54" t="n">
        <f aca="false">W23-V24</f>
        <v>1495</v>
      </c>
      <c r="X24" s="6" t="n">
        <f aca="false">N24+O24+S24+U24+V24</f>
        <v>35.1</v>
      </c>
      <c r="Y24" s="53" t="n">
        <f aca="false">IF(L24&lt;0,L24*-1,0)</f>
        <v>6.07</v>
      </c>
      <c r="Z24" s="53" t="n">
        <f aca="false">X24+Y24</f>
        <v>41.17</v>
      </c>
      <c r="AA24" s="58" t="n">
        <v>0</v>
      </c>
      <c r="AB24" s="84" t="n">
        <v>43</v>
      </c>
      <c r="AC24" s="59" t="n">
        <v>16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6876.63</v>
      </c>
      <c r="C25" s="54" t="n">
        <v>206235</v>
      </c>
      <c r="D25" s="59" t="n">
        <f aca="false">C25-C24</f>
        <v>0</v>
      </c>
      <c r="E25" s="54" t="n">
        <f aca="false">C25-152000</f>
        <v>54235</v>
      </c>
      <c r="F25" s="53" t="n">
        <f aca="false">D25/$D$2</f>
        <v>0</v>
      </c>
      <c r="G25" s="53" t="n">
        <v>39</v>
      </c>
      <c r="H25" s="58" t="n">
        <v>0.31</v>
      </c>
      <c r="I25" s="53" t="n">
        <f aca="false">G25+H25</f>
        <v>39.31</v>
      </c>
      <c r="J25" s="83" t="n">
        <f aca="false">IF(L25&gt;0,L25,0)</f>
        <v>0</v>
      </c>
      <c r="K25" s="53" t="n">
        <f aca="false">I25+J25</f>
        <v>39.31</v>
      </c>
      <c r="L25" s="53" t="n">
        <f aca="false">F25-(I25-X25)</f>
        <v>-4.21</v>
      </c>
      <c r="M25" s="53" t="n">
        <v>5.1</v>
      </c>
      <c r="N25" s="53" t="n">
        <v>0</v>
      </c>
      <c r="O25" s="53" t="n">
        <v>0</v>
      </c>
      <c r="P25" s="6" t="n">
        <f aca="false">M25-(N25+O25)</f>
        <v>5.1</v>
      </c>
      <c r="Q25" s="53" t="n">
        <v>0</v>
      </c>
      <c r="R25" s="53" t="n">
        <v>0</v>
      </c>
      <c r="S25" s="53" t="n">
        <f aca="false">SUM(P25:R25)</f>
        <v>5.1</v>
      </c>
      <c r="T25" s="54"/>
      <c r="U25" s="53" t="n">
        <v>0</v>
      </c>
      <c r="V25" s="53" t="n">
        <v>30</v>
      </c>
      <c r="W25" s="54" t="n">
        <f aca="false">W24-V25</f>
        <v>1465</v>
      </c>
      <c r="X25" s="6" t="n">
        <f aca="false">N25+O25+S25+U25+V25</f>
        <v>35.1</v>
      </c>
      <c r="Y25" s="53" t="n">
        <f aca="false">IF(L25&lt;0,L25*-1,0)</f>
        <v>4.21</v>
      </c>
      <c r="Z25" s="53" t="n">
        <f aca="false">X25+Y25</f>
        <v>39.31</v>
      </c>
      <c r="AA25" s="58" t="n">
        <v>0</v>
      </c>
      <c r="AB25" s="84" t="n">
        <v>50</v>
      </c>
      <c r="AC25" s="59" t="n">
        <v>20</v>
      </c>
      <c r="AD25" s="60" t="n">
        <f aca="false">AD24+1</f>
        <v>16</v>
      </c>
      <c r="AE25" s="94"/>
      <c r="AF25" s="96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6876.63</v>
      </c>
      <c r="C26" s="54" t="n">
        <v>206235</v>
      </c>
      <c r="D26" s="59" t="n">
        <f aca="false">C26-C25</f>
        <v>0</v>
      </c>
      <c r="E26" s="54" t="n">
        <f aca="false">C26-152000</f>
        <v>54235</v>
      </c>
      <c r="F26" s="53" t="n">
        <f aca="false">D26/$D$2</f>
        <v>0</v>
      </c>
      <c r="G26" s="53" t="n">
        <v>41</v>
      </c>
      <c r="H26" s="58" t="n">
        <v>0.29</v>
      </c>
      <c r="I26" s="53" t="n">
        <f aca="false">G26+H26</f>
        <v>41.29</v>
      </c>
      <c r="J26" s="83" t="n">
        <f aca="false">IF(L26&gt;0,L26,0)</f>
        <v>0</v>
      </c>
      <c r="K26" s="53" t="n">
        <f aca="false">I26+J26</f>
        <v>41.29</v>
      </c>
      <c r="L26" s="53" t="n">
        <f aca="false">F26-(I26-X26)</f>
        <v>-5.99</v>
      </c>
      <c r="M26" s="53" t="n">
        <v>5.3</v>
      </c>
      <c r="N26" s="53" t="n">
        <v>0</v>
      </c>
      <c r="O26" s="53" t="n">
        <v>0</v>
      </c>
      <c r="P26" s="6" t="n">
        <f aca="false">M26-(N26+O26)</f>
        <v>5.3</v>
      </c>
      <c r="Q26" s="53" t="n">
        <v>0</v>
      </c>
      <c r="R26" s="53" t="n">
        <v>0</v>
      </c>
      <c r="S26" s="53" t="n">
        <f aca="false">SUM(P26:R26)</f>
        <v>5.3</v>
      </c>
      <c r="T26" s="54"/>
      <c r="U26" s="53" t="n">
        <v>0</v>
      </c>
      <c r="V26" s="53" t="n">
        <v>30</v>
      </c>
      <c r="W26" s="54" t="n">
        <f aca="false">W25-V26</f>
        <v>1435</v>
      </c>
      <c r="X26" s="6" t="n">
        <f aca="false">N26+O26+S26+U26+V26</f>
        <v>35.3</v>
      </c>
      <c r="Y26" s="53" t="n">
        <f aca="false">IF(L26&lt;0,L26*-1,0)</f>
        <v>5.99</v>
      </c>
      <c r="Z26" s="53" t="n">
        <f aca="false">X26+Y26</f>
        <v>41.29</v>
      </c>
      <c r="AA26" s="58" t="n">
        <v>0</v>
      </c>
      <c r="AB26" s="84" t="n">
        <v>48</v>
      </c>
      <c r="AC26" s="59" t="n">
        <v>27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6876.63</v>
      </c>
      <c r="C27" s="54" t="n">
        <v>206235</v>
      </c>
      <c r="D27" s="59" t="n">
        <f aca="false">C27-C26</f>
        <v>0</v>
      </c>
      <c r="E27" s="54" t="n">
        <f aca="false">C27-152000</f>
        <v>54235</v>
      </c>
      <c r="F27" s="53" t="n">
        <f aca="false">D27/$D$2</f>
        <v>0</v>
      </c>
      <c r="G27" s="53" t="n">
        <v>43</v>
      </c>
      <c r="H27" s="58" t="n">
        <v>0.37</v>
      </c>
      <c r="I27" s="53" t="n">
        <f aca="false">G27+H27</f>
        <v>43.37</v>
      </c>
      <c r="J27" s="83" t="n">
        <f aca="false">IF(L27&gt;0,L27,0)</f>
        <v>0</v>
      </c>
      <c r="K27" s="53" t="n">
        <f aca="false">I27+J27</f>
        <v>43.37</v>
      </c>
      <c r="L27" s="53" t="n">
        <f aca="false">F27-(I27-X27)</f>
        <v>-8.07</v>
      </c>
      <c r="M27" s="53" t="n">
        <v>5.3</v>
      </c>
      <c r="N27" s="53" t="n">
        <v>0</v>
      </c>
      <c r="O27" s="53" t="n">
        <v>0</v>
      </c>
      <c r="P27" s="6" t="n">
        <f aca="false">M27-(N27+O27)</f>
        <v>5.3</v>
      </c>
      <c r="Q27" s="53" t="n">
        <v>0</v>
      </c>
      <c r="R27" s="53" t="n">
        <v>0</v>
      </c>
      <c r="S27" s="53" t="n">
        <f aca="false">SUM(P27:R27)</f>
        <v>5.3</v>
      </c>
      <c r="T27" s="54"/>
      <c r="U27" s="53" t="n">
        <v>0</v>
      </c>
      <c r="V27" s="53" t="n">
        <v>30</v>
      </c>
      <c r="W27" s="54" t="n">
        <f aca="false">W26-V27</f>
        <v>1405</v>
      </c>
      <c r="X27" s="6" t="n">
        <f aca="false">N27+O27+S27+U27+V27</f>
        <v>35.3</v>
      </c>
      <c r="Y27" s="53" t="n">
        <f aca="false">IF(L27&lt;0,L27*-1,0)</f>
        <v>8.07</v>
      </c>
      <c r="Z27" s="53" t="n">
        <f aca="false">X27+Y27</f>
        <v>43.37</v>
      </c>
      <c r="AA27" s="58" t="n">
        <v>0.12</v>
      </c>
      <c r="AB27" s="84" t="n">
        <v>40</v>
      </c>
      <c r="AC27" s="59" t="n">
        <v>19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6876.64</v>
      </c>
      <c r="C28" s="101" t="n">
        <v>206264</v>
      </c>
      <c r="D28" s="59" t="n">
        <f aca="false">C28-C27</f>
        <v>29</v>
      </c>
      <c r="E28" s="54" t="n">
        <f aca="false">C28-152000</f>
        <v>54264</v>
      </c>
      <c r="F28" s="53" t="n">
        <f aca="false">D28/$D$2</f>
        <v>14.6206201159566</v>
      </c>
      <c r="G28" s="53" t="n">
        <v>42</v>
      </c>
      <c r="H28" s="58" t="n">
        <v>0.38</v>
      </c>
      <c r="I28" s="53" t="n">
        <f aca="false">G28+H28</f>
        <v>42.38</v>
      </c>
      <c r="J28" s="83" t="n">
        <f aca="false">IF(L28&gt;0,L28,0)</f>
        <v>7.34062011595664</v>
      </c>
      <c r="K28" s="53" t="n">
        <f aca="false">I28+J28</f>
        <v>49.7206201159566</v>
      </c>
      <c r="L28" s="53" t="n">
        <f aca="false">F28-(I28-X28)</f>
        <v>7.34062011595664</v>
      </c>
      <c r="M28" s="53" t="n">
        <v>5.1</v>
      </c>
      <c r="N28" s="53" t="n">
        <v>0</v>
      </c>
      <c r="O28" s="53" t="n">
        <v>0</v>
      </c>
      <c r="P28" s="6" t="n">
        <f aca="false">M28-(N28+O28)</f>
        <v>5.1</v>
      </c>
      <c r="Q28" s="53" t="n">
        <v>0</v>
      </c>
      <c r="R28" s="53" t="n">
        <v>0</v>
      </c>
      <c r="S28" s="53" t="n">
        <f aca="false">SUM(P28:R28)</f>
        <v>5.1</v>
      </c>
      <c r="T28" s="54"/>
      <c r="U28" s="53" t="n">
        <v>0</v>
      </c>
      <c r="V28" s="53" t="n">
        <v>30</v>
      </c>
      <c r="W28" s="54" t="n">
        <f aca="false">W27-V28</f>
        <v>1375</v>
      </c>
      <c r="X28" s="6" t="n">
        <f aca="false">N28+O28+S28+U28+V28</f>
        <v>35.1</v>
      </c>
      <c r="Y28" s="53" t="n">
        <f aca="false">IF(L28&lt;0,L28*-1,0)</f>
        <v>0</v>
      </c>
      <c r="Z28" s="53" t="n">
        <f aca="false">X28+Y28</f>
        <v>35.1</v>
      </c>
      <c r="AA28" s="58" t="n">
        <v>0</v>
      </c>
      <c r="AB28" s="84" t="n">
        <v>41</v>
      </c>
      <c r="AC28" s="59" t="n">
        <v>13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6876.64</v>
      </c>
      <c r="C29" s="54" t="n">
        <v>206264</v>
      </c>
      <c r="D29" s="59" t="n">
        <f aca="false">C29-C28</f>
        <v>0</v>
      </c>
      <c r="E29" s="54" t="n">
        <f aca="false">C29-152000</f>
        <v>54264</v>
      </c>
      <c r="F29" s="53" t="n">
        <f aca="false">D29/$D$2</f>
        <v>0</v>
      </c>
      <c r="G29" s="53" t="n">
        <v>40</v>
      </c>
      <c r="H29" s="58" t="n">
        <v>0.43</v>
      </c>
      <c r="I29" s="53" t="n">
        <f aca="false">G29+H29</f>
        <v>40.43</v>
      </c>
      <c r="J29" s="83" t="n">
        <f aca="false">IF(L29&gt;0,L29,0)</f>
        <v>0</v>
      </c>
      <c r="K29" s="53" t="n">
        <f aca="false">I29+J29</f>
        <v>40.43</v>
      </c>
      <c r="L29" s="53" t="n">
        <f aca="false">F29-(I29-X29)</f>
        <v>-5.33</v>
      </c>
      <c r="M29" s="53" t="n">
        <v>5.1</v>
      </c>
      <c r="N29" s="53" t="n">
        <v>0</v>
      </c>
      <c r="O29" s="53" t="n">
        <v>0</v>
      </c>
      <c r="P29" s="6" t="n">
        <f aca="false">M29-(N29+O29)</f>
        <v>5.1</v>
      </c>
      <c r="Q29" s="53" t="n">
        <v>0</v>
      </c>
      <c r="R29" s="53" t="n">
        <v>0</v>
      </c>
      <c r="S29" s="53" t="n">
        <f aca="false">SUM(P29:R29)</f>
        <v>5.1</v>
      </c>
      <c r="T29" s="54"/>
      <c r="U29" s="53" t="n">
        <v>0</v>
      </c>
      <c r="V29" s="53" t="n">
        <v>30</v>
      </c>
      <c r="W29" s="54" t="n">
        <f aca="false">W28-V29</f>
        <v>1345</v>
      </c>
      <c r="X29" s="6" t="n">
        <f aca="false">N29+O29+S29+U29+V29</f>
        <v>35.1</v>
      </c>
      <c r="Y29" s="53" t="n">
        <f aca="false">IF(L29&lt;0,L29*-1,0)</f>
        <v>5.33</v>
      </c>
      <c r="Z29" s="53" t="n">
        <f aca="false">X29+Y29</f>
        <v>40.43</v>
      </c>
      <c r="AA29" s="58" t="n">
        <v>0</v>
      </c>
      <c r="AB29" s="84" t="n">
        <v>41</v>
      </c>
      <c r="AC29" s="59" t="n">
        <v>24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6876.65</v>
      </c>
      <c r="C30" s="54" t="n">
        <v>206293</v>
      </c>
      <c r="D30" s="59" t="n">
        <f aca="false">C30-C29</f>
        <v>29</v>
      </c>
      <c r="E30" s="54" t="n">
        <f aca="false">C30-152000</f>
        <v>54293</v>
      </c>
      <c r="F30" s="53" t="n">
        <f aca="false">D30/$D$2</f>
        <v>14.6206201159566</v>
      </c>
      <c r="G30" s="53" t="n">
        <v>40</v>
      </c>
      <c r="H30" s="58" t="n">
        <v>0.44</v>
      </c>
      <c r="I30" s="53" t="n">
        <f aca="false">G30+H30</f>
        <v>40.44</v>
      </c>
      <c r="J30" s="83" t="n">
        <f aca="false">IF(L30&gt;0,L30,0)</f>
        <v>9.28062011595665</v>
      </c>
      <c r="K30" s="53" t="n">
        <f aca="false">I30+J30</f>
        <v>49.7206201159566</v>
      </c>
      <c r="L30" s="53" t="n">
        <f aca="false">F30-(I30-X30)</f>
        <v>9.28062011595665</v>
      </c>
      <c r="M30" s="53" t="n">
        <v>5.1</v>
      </c>
      <c r="N30" s="53" t="n">
        <v>0</v>
      </c>
      <c r="O30" s="53" t="n">
        <v>0</v>
      </c>
      <c r="P30" s="6" t="n">
        <f aca="false">M30-(N30+O30)</f>
        <v>5.1</v>
      </c>
      <c r="Q30" s="53" t="n">
        <v>0</v>
      </c>
      <c r="R30" s="53" t="n">
        <v>0</v>
      </c>
      <c r="S30" s="53" t="n">
        <f aca="false">SUM(P30:R30)</f>
        <v>5.1</v>
      </c>
      <c r="T30" s="54"/>
      <c r="U30" s="53" t="n">
        <v>0</v>
      </c>
      <c r="V30" s="53" t="n">
        <v>30</v>
      </c>
      <c r="W30" s="54" t="n">
        <f aca="false">W29-V30</f>
        <v>1315</v>
      </c>
      <c r="X30" s="6" t="n">
        <f aca="false">N30+O30+S30+U30+V30</f>
        <v>35.1</v>
      </c>
      <c r="Y30" s="53" t="n">
        <f aca="false">IF(L30&lt;0,L30*-1,0)</f>
        <v>0</v>
      </c>
      <c r="Z30" s="53" t="n">
        <f aca="false">X30+Y30</f>
        <v>35.1</v>
      </c>
      <c r="AA30" s="58" t="n">
        <v>0</v>
      </c>
      <c r="AB30" s="59" t="n">
        <v>44</v>
      </c>
      <c r="AC30" s="59" t="n">
        <v>16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6876.65</v>
      </c>
      <c r="C31" s="54" t="n">
        <v>206293</v>
      </c>
      <c r="D31" s="59" t="n">
        <f aca="false">C31-C30</f>
        <v>0</v>
      </c>
      <c r="E31" s="54" t="n">
        <f aca="false">C31-152000</f>
        <v>54293</v>
      </c>
      <c r="F31" s="53" t="n">
        <f aca="false">D31/$D$2</f>
        <v>0</v>
      </c>
      <c r="G31" s="53" t="n">
        <v>39</v>
      </c>
      <c r="H31" s="58" t="n">
        <v>0.38</v>
      </c>
      <c r="I31" s="53" t="n">
        <f aca="false">G31+H31</f>
        <v>39.38</v>
      </c>
      <c r="J31" s="83" t="n">
        <f aca="false">IF(L31&gt;0,L31,0)</f>
        <v>0</v>
      </c>
      <c r="K31" s="53" t="n">
        <f aca="false">I31+J31</f>
        <v>39.38</v>
      </c>
      <c r="L31" s="53" t="n">
        <f aca="false">F31-(I31-X31)</f>
        <v>-4.28</v>
      </c>
      <c r="M31" s="53" t="n">
        <v>5.1</v>
      </c>
      <c r="N31" s="53" t="n">
        <v>0</v>
      </c>
      <c r="O31" s="53" t="n">
        <v>0</v>
      </c>
      <c r="P31" s="6" t="n">
        <f aca="false">M31-(N31+O31)</f>
        <v>5.1</v>
      </c>
      <c r="Q31" s="53" t="n">
        <v>0</v>
      </c>
      <c r="R31" s="53" t="n">
        <v>0</v>
      </c>
      <c r="S31" s="53" t="n">
        <f aca="false">SUM(P31:R31)</f>
        <v>5.1</v>
      </c>
      <c r="T31" s="54"/>
      <c r="U31" s="53" t="n">
        <v>0</v>
      </c>
      <c r="V31" s="53" t="n">
        <v>30</v>
      </c>
      <c r="W31" s="54" t="n">
        <f aca="false">W30-V31</f>
        <v>1285</v>
      </c>
      <c r="X31" s="6" t="n">
        <f aca="false">N31+O31+S31+U31+V31</f>
        <v>35.1</v>
      </c>
      <c r="Y31" s="53" t="n">
        <f aca="false">IF(L31&lt;0,L31*-1,0)</f>
        <v>4.28</v>
      </c>
      <c r="Z31" s="53" t="n">
        <f aca="false">X31+Y31</f>
        <v>39.38</v>
      </c>
      <c r="AA31" s="58" t="n">
        <v>0</v>
      </c>
      <c r="AB31" s="59" t="n">
        <v>53</v>
      </c>
      <c r="AC31" s="59" t="n">
        <v>21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6876.66</v>
      </c>
      <c r="C32" s="54" t="n">
        <v>206321</v>
      </c>
      <c r="D32" s="59" t="n">
        <f aca="false">C32-C31</f>
        <v>28</v>
      </c>
      <c r="E32" s="54" t="n">
        <f aca="false">C32-152000</f>
        <v>54321</v>
      </c>
      <c r="F32" s="53" t="n">
        <f aca="false">D32/$D$2</f>
        <v>14.1164608016133</v>
      </c>
      <c r="G32" s="53" t="n">
        <v>40</v>
      </c>
      <c r="H32" s="58" t="n">
        <v>0.46</v>
      </c>
      <c r="I32" s="53" t="n">
        <f aca="false">G32+H32</f>
        <v>40.46</v>
      </c>
      <c r="J32" s="83" t="n">
        <f aca="false">IF(L32&gt;0,L32,0)</f>
        <v>8.75646080161331</v>
      </c>
      <c r="K32" s="53" t="n">
        <f aca="false">I32+J32</f>
        <v>49.2164608016133</v>
      </c>
      <c r="L32" s="53" t="n">
        <f aca="false">F32-(I32-X32)</f>
        <v>8.75646080161331</v>
      </c>
      <c r="M32" s="53" t="n">
        <v>5.1</v>
      </c>
      <c r="N32" s="53" t="n">
        <v>0</v>
      </c>
      <c r="O32" s="53" t="n">
        <v>0</v>
      </c>
      <c r="P32" s="6" t="n">
        <f aca="false">M32-(N32+O32)</f>
        <v>5.1</v>
      </c>
      <c r="Q32" s="53" t="n">
        <v>0</v>
      </c>
      <c r="R32" s="53" t="n">
        <v>0</v>
      </c>
      <c r="S32" s="53" t="n">
        <f aca="false">SUM(P32:R32)</f>
        <v>5.1</v>
      </c>
      <c r="T32" s="54"/>
      <c r="U32" s="53" t="n">
        <v>0</v>
      </c>
      <c r="V32" s="53" t="n">
        <v>30</v>
      </c>
      <c r="W32" s="54" t="n">
        <f aca="false">W31-V32</f>
        <v>1255</v>
      </c>
      <c r="X32" s="6" t="n">
        <f aca="false">N32+O32+S32+U32+V32</f>
        <v>35.1</v>
      </c>
      <c r="Y32" s="53" t="n">
        <f aca="false">IF(L32&lt;0,L32*-1,0)</f>
        <v>0</v>
      </c>
      <c r="Z32" s="53" t="n">
        <f aca="false">X32+Y32</f>
        <v>35.1</v>
      </c>
      <c r="AA32" s="58" t="n">
        <v>0</v>
      </c>
      <c r="AB32" s="59" t="n">
        <v>55</v>
      </c>
      <c r="AC32" s="84" t="n">
        <v>28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6876.66</v>
      </c>
      <c r="C33" s="54" t="n">
        <v>206321</v>
      </c>
      <c r="D33" s="59" t="n">
        <f aca="false">C33-C32</f>
        <v>0</v>
      </c>
      <c r="E33" s="54" t="n">
        <f aca="false">C33-152000</f>
        <v>54321</v>
      </c>
      <c r="F33" s="53" t="n">
        <f aca="false">D33/$D$2</f>
        <v>0</v>
      </c>
      <c r="G33" s="53" t="n">
        <v>42</v>
      </c>
      <c r="H33" s="58" t="n">
        <v>0.6</v>
      </c>
      <c r="I33" s="53" t="n">
        <f aca="false">G33+H33</f>
        <v>42.6</v>
      </c>
      <c r="J33" s="83" t="n">
        <f aca="false">IF(L33&gt;0,L33,0)</f>
        <v>0</v>
      </c>
      <c r="K33" s="53" t="n">
        <f aca="false">I33+J33</f>
        <v>42.6</v>
      </c>
      <c r="L33" s="53" t="n">
        <f aca="false">F33-(I33-X33)</f>
        <v>-7.5</v>
      </c>
      <c r="M33" s="53" t="n">
        <v>5.1</v>
      </c>
      <c r="N33" s="53" t="n">
        <v>0</v>
      </c>
      <c r="O33" s="53" t="n">
        <v>0</v>
      </c>
      <c r="P33" s="6" t="n">
        <f aca="false">M33-(N33+O33)</f>
        <v>5.1</v>
      </c>
      <c r="Q33" s="53" t="n">
        <v>0</v>
      </c>
      <c r="R33" s="53" t="n">
        <v>0</v>
      </c>
      <c r="S33" s="53" t="n">
        <f aca="false">SUM(P33:R33)</f>
        <v>5.1</v>
      </c>
      <c r="T33" s="54"/>
      <c r="U33" s="53" t="n">
        <v>0</v>
      </c>
      <c r="V33" s="53" t="n">
        <v>30</v>
      </c>
      <c r="W33" s="54" t="n">
        <f aca="false">W32-V33</f>
        <v>1225</v>
      </c>
      <c r="X33" s="6" t="n">
        <f aca="false">N33+O33+S33+U33+V33</f>
        <v>35.1</v>
      </c>
      <c r="Y33" s="53" t="n">
        <f aca="false">IF(L33&lt;0,L33*-1,0)</f>
        <v>7.5</v>
      </c>
      <c r="Z33" s="53" t="n">
        <f aca="false">X33+Y33</f>
        <v>42.6</v>
      </c>
      <c r="AA33" s="58" t="n">
        <v>0</v>
      </c>
      <c r="AB33" s="59" t="n">
        <v>46</v>
      </c>
      <c r="AC33" s="84" t="n">
        <v>27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6876.65</v>
      </c>
      <c r="C34" s="54" t="n">
        <v>206293</v>
      </c>
      <c r="D34" s="59" t="n">
        <f aca="false">C34-C33</f>
        <v>-28</v>
      </c>
      <c r="E34" s="54" t="n">
        <f aca="false">C34-152000</f>
        <v>54293</v>
      </c>
      <c r="F34" s="53" t="n">
        <f aca="false">D34/$D$2</f>
        <v>-14.1164608016133</v>
      </c>
      <c r="G34" s="53" t="n">
        <v>34</v>
      </c>
      <c r="H34" s="58" t="n">
        <v>0.59</v>
      </c>
      <c r="I34" s="53" t="n">
        <f aca="false">G34+H34</f>
        <v>34.59</v>
      </c>
      <c r="J34" s="83" t="n">
        <f aca="false">IF(L34&gt;0,L34,0)</f>
        <v>0</v>
      </c>
      <c r="K34" s="53" t="n">
        <f aca="false">I34+J34</f>
        <v>34.59</v>
      </c>
      <c r="L34" s="53" t="n">
        <f aca="false">F34-(I34-X34)</f>
        <v>-13.9064608016133</v>
      </c>
      <c r="M34" s="53" t="n">
        <v>4.8</v>
      </c>
      <c r="N34" s="53" t="n">
        <v>0</v>
      </c>
      <c r="O34" s="53" t="n">
        <v>0</v>
      </c>
      <c r="P34" s="6" t="n">
        <f aca="false">M34-(N34+O34)</f>
        <v>4.8</v>
      </c>
      <c r="Q34" s="53" t="n">
        <v>0</v>
      </c>
      <c r="R34" s="53" t="n">
        <v>0</v>
      </c>
      <c r="S34" s="53" t="n">
        <f aca="false">SUM(P34:R34)</f>
        <v>4.8</v>
      </c>
      <c r="T34" s="54"/>
      <c r="U34" s="53" t="n">
        <v>0</v>
      </c>
      <c r="V34" s="53" t="n">
        <v>30</v>
      </c>
      <c r="W34" s="54" t="n">
        <f aca="false">W33-V34</f>
        <v>1195</v>
      </c>
      <c r="X34" s="6" t="n">
        <f aca="false">N34+O34+S34+U34+V34</f>
        <v>34.8</v>
      </c>
      <c r="Y34" s="53" t="n">
        <f aca="false">IF(L34&lt;0,L34*-1,0)</f>
        <v>13.9064608016133</v>
      </c>
      <c r="Z34" s="53" t="n">
        <f aca="false">X34+Y34</f>
        <v>48.7064608016133</v>
      </c>
      <c r="AA34" s="58" t="n">
        <v>0</v>
      </c>
      <c r="AB34" s="59" t="n">
        <v>36</v>
      </c>
      <c r="AC34" s="84" t="n">
        <v>19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6876.64</v>
      </c>
      <c r="C35" s="54" t="n">
        <v>206264</v>
      </c>
      <c r="D35" s="59" t="n">
        <f aca="false">C35-C34</f>
        <v>-29</v>
      </c>
      <c r="E35" s="54" t="n">
        <f aca="false">C35-152000</f>
        <v>54264</v>
      </c>
      <c r="F35" s="53" t="n">
        <f aca="false">D35/$D$2</f>
        <v>-14.6206201159566</v>
      </c>
      <c r="G35" s="53" t="n">
        <v>33</v>
      </c>
      <c r="H35" s="58" t="n">
        <v>0.59</v>
      </c>
      <c r="I35" s="53" t="n">
        <f aca="false">G35+H35</f>
        <v>33.59</v>
      </c>
      <c r="J35" s="83" t="n">
        <f aca="false">IF(L35&gt;0,L35,0)</f>
        <v>0</v>
      </c>
      <c r="K35" s="53" t="n">
        <f aca="false">I35+J35</f>
        <v>33.59</v>
      </c>
      <c r="L35" s="53" t="n">
        <f aca="false">F35-(I35-X35)</f>
        <v>-14.0106201159566</v>
      </c>
      <c r="M35" s="53" t="n">
        <v>4.2</v>
      </c>
      <c r="N35" s="53" t="n">
        <v>0</v>
      </c>
      <c r="O35" s="53" t="n">
        <v>0</v>
      </c>
      <c r="P35" s="6" t="n">
        <f aca="false">M35-(N35+O35)</f>
        <v>4.2</v>
      </c>
      <c r="Q35" s="53" t="n">
        <v>0</v>
      </c>
      <c r="R35" s="53" t="n">
        <v>0</v>
      </c>
      <c r="S35" s="53" t="n">
        <f aca="false">SUM(P35:R35)</f>
        <v>4.2</v>
      </c>
      <c r="T35" s="54"/>
      <c r="U35" s="53" t="n">
        <v>0</v>
      </c>
      <c r="V35" s="53" t="n">
        <v>30</v>
      </c>
      <c r="W35" s="54" t="n">
        <f aca="false">W34-V35</f>
        <v>1165</v>
      </c>
      <c r="X35" s="6" t="n">
        <f aca="false">N35+O35+S35+U35+V35</f>
        <v>34.2</v>
      </c>
      <c r="Y35" s="53" t="n">
        <f aca="false">IF(L35&lt;0,L35*-1,0)</f>
        <v>14.0106201159566</v>
      </c>
      <c r="Z35" s="53" t="n">
        <f aca="false">X35+Y35</f>
        <v>48.2106201159566</v>
      </c>
      <c r="AA35" s="58" t="n">
        <v>0</v>
      </c>
      <c r="AB35" s="59" t="n">
        <v>39</v>
      </c>
      <c r="AC35" s="59" t="n">
        <v>13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6876.64</v>
      </c>
      <c r="C36" s="54" t="n">
        <v>206264</v>
      </c>
      <c r="D36" s="59" t="n">
        <f aca="false">C36-C35</f>
        <v>0</v>
      </c>
      <c r="E36" s="54" t="n">
        <f aca="false">C36-152000</f>
        <v>54264</v>
      </c>
      <c r="F36" s="53" t="n">
        <f aca="false">D36/$D$2</f>
        <v>0</v>
      </c>
      <c r="G36" s="53" t="n">
        <v>33</v>
      </c>
      <c r="H36" s="58" t="n">
        <v>0.62</v>
      </c>
      <c r="I36" s="53" t="n">
        <f aca="false">G36+H36</f>
        <v>33.62</v>
      </c>
      <c r="J36" s="83" t="n">
        <f aca="false">IF(L36&gt;0,L36,0)</f>
        <v>0.280000000000001</v>
      </c>
      <c r="K36" s="53" t="n">
        <f aca="false">I36+J36</f>
        <v>33.9</v>
      </c>
      <c r="L36" s="53" t="n">
        <f aca="false">F36-(I36-X36)</f>
        <v>0.280000000000001</v>
      </c>
      <c r="M36" s="53" t="n">
        <v>3.9</v>
      </c>
      <c r="N36" s="53" t="n">
        <v>0</v>
      </c>
      <c r="O36" s="53" t="n">
        <v>0</v>
      </c>
      <c r="P36" s="6" t="n">
        <f aca="false">M36-(N36+O36)</f>
        <v>3.9</v>
      </c>
      <c r="Q36" s="53" t="n">
        <v>0</v>
      </c>
      <c r="R36" s="53" t="n">
        <v>0</v>
      </c>
      <c r="S36" s="53" t="n">
        <f aca="false">SUM(P36:R36)</f>
        <v>3.9</v>
      </c>
      <c r="T36" s="54"/>
      <c r="U36" s="53" t="n">
        <v>0</v>
      </c>
      <c r="V36" s="53" t="n">
        <v>30</v>
      </c>
      <c r="W36" s="54" t="n">
        <f aca="false">W35-V36</f>
        <v>1135</v>
      </c>
      <c r="X36" s="6" t="n">
        <f aca="false">N36+O36+S36+U36+V36</f>
        <v>33.9</v>
      </c>
      <c r="Y36" s="53" t="n">
        <f aca="false">IF(L36&lt;0,L36*-1,0)</f>
        <v>0</v>
      </c>
      <c r="Z36" s="53" t="n">
        <f aca="false">X36+Y36</f>
        <v>33.9</v>
      </c>
      <c r="AA36" s="58" t="n">
        <v>0</v>
      </c>
      <c r="AB36" s="59" t="n">
        <v>43</v>
      </c>
      <c r="AC36" s="59" t="n">
        <v>12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v>28</v>
      </c>
      <c r="B37" s="75" t="n">
        <v>6876.64</v>
      </c>
      <c r="C37" s="54" t="n">
        <v>206264</v>
      </c>
      <c r="D37" s="59" t="n">
        <f aca="false">C37-C36</f>
        <v>0</v>
      </c>
      <c r="E37" s="54" t="n">
        <f aca="false">C37-152000</f>
        <v>54264</v>
      </c>
      <c r="F37" s="53" t="n">
        <f aca="false">D37/$D$2</f>
        <v>0</v>
      </c>
      <c r="G37" s="53" t="n">
        <v>35</v>
      </c>
      <c r="H37" s="58" t="n">
        <v>0.64</v>
      </c>
      <c r="I37" s="53" t="n">
        <f aca="false">G37+H37</f>
        <v>35.64</v>
      </c>
      <c r="J37" s="83" t="n">
        <f aca="false">IF(L37&gt;0,L37,0)</f>
        <v>0</v>
      </c>
      <c r="K37" s="53" t="n">
        <f aca="false">I37+J37</f>
        <v>35.64</v>
      </c>
      <c r="L37" s="53" t="n">
        <f aca="false">F37-(I37-X37)</f>
        <v>-1.94</v>
      </c>
      <c r="M37" s="53" t="n">
        <v>3.7</v>
      </c>
      <c r="N37" s="53" t="n">
        <v>0</v>
      </c>
      <c r="O37" s="53" t="n">
        <v>0</v>
      </c>
      <c r="P37" s="6" t="n">
        <f aca="false">M37-(N37+O37)</f>
        <v>3.7</v>
      </c>
      <c r="Q37" s="53" t="n">
        <v>0</v>
      </c>
      <c r="R37" s="53" t="n">
        <v>0</v>
      </c>
      <c r="S37" s="53" t="n">
        <f aca="false">SUM(P37:R37)</f>
        <v>3.7</v>
      </c>
      <c r="T37" s="54"/>
      <c r="U37" s="53" t="n">
        <v>0</v>
      </c>
      <c r="V37" s="53" t="n">
        <v>30</v>
      </c>
      <c r="W37" s="54" t="n">
        <f aca="false">W36-V37</f>
        <v>1105</v>
      </c>
      <c r="X37" s="6" t="n">
        <f aca="false">N37+O37+S37+U37+V37</f>
        <v>33.7</v>
      </c>
      <c r="Y37" s="53" t="n">
        <f aca="false">IF(L37&lt;0,L37*-1,0)</f>
        <v>1.94</v>
      </c>
      <c r="Z37" s="53" t="n">
        <f aca="false">X37+Y37</f>
        <v>35.64</v>
      </c>
      <c r="AA37" s="58" t="n">
        <v>0</v>
      </c>
      <c r="AB37" s="59" t="n">
        <v>19</v>
      </c>
      <c r="AC37" s="59" t="n">
        <v>17</v>
      </c>
      <c r="AD37" s="60" t="n">
        <v>28</v>
      </c>
      <c r="AE37" s="94"/>
      <c r="AF37" s="96"/>
      <c r="AG37" s="95"/>
    </row>
    <row r="38" customFormat="false" ht="3" hidden="false" customHeight="true" outlineLevel="0" collapsed="false">
      <c r="A38" s="76"/>
      <c r="B38" s="76"/>
      <c r="C38" s="78"/>
      <c r="D38" s="76"/>
      <c r="E38" s="78"/>
      <c r="F38" s="76"/>
      <c r="G38" s="76"/>
      <c r="H38" s="80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8"/>
      <c r="U38" s="76"/>
      <c r="V38" s="76"/>
      <c r="W38" s="76"/>
      <c r="X38" s="76"/>
      <c r="Y38" s="76"/>
      <c r="Z38" s="76"/>
      <c r="AA38" s="80"/>
      <c r="AB38" s="81"/>
      <c r="AC38" s="81"/>
      <c r="AD38" s="82"/>
      <c r="AE38" s="94"/>
      <c r="AF38" s="94"/>
      <c r="AG38" s="95"/>
    </row>
    <row r="39" customFormat="false" ht="11.1" hidden="false" customHeight="true" outlineLevel="0" collapsed="false">
      <c r="A39" s="53" t="s">
        <v>46</v>
      </c>
      <c r="B39" s="53"/>
      <c r="C39" s="54"/>
      <c r="D39" s="54"/>
      <c r="E39" s="54"/>
      <c r="F39" s="54" t="n">
        <f aca="false">SUM(F10:F37)</f>
        <v>-72.5989412654399</v>
      </c>
      <c r="G39" s="54" t="n">
        <f aca="false">SUM(G10:G37)</f>
        <v>1097</v>
      </c>
      <c r="H39" s="58" t="n">
        <f aca="false">SUM(H10:H37)</f>
        <v>8.88</v>
      </c>
      <c r="I39" s="54" t="n">
        <f aca="false">SUM(I10:I37)</f>
        <v>1105.88</v>
      </c>
      <c r="J39" s="54" t="n">
        <f aca="false">SUM(J10:J37)</f>
        <v>25.6577010335266</v>
      </c>
      <c r="K39" s="54" t="n">
        <f aca="false">SUM(K10:K37)</f>
        <v>1131.53770103353</v>
      </c>
      <c r="L39" s="54" t="n">
        <f aca="false">SUM(L10:L37)</f>
        <v>-202.17894126544</v>
      </c>
      <c r="M39" s="54" t="n">
        <f aca="false">SUM(M10:M37)</f>
        <v>142.3</v>
      </c>
      <c r="N39" s="54" t="n">
        <f aca="false">SUM(N10:N37)</f>
        <v>0</v>
      </c>
      <c r="O39" s="54" t="n">
        <f aca="false">SUM(O10:O37)</f>
        <v>0</v>
      </c>
      <c r="P39" s="54" t="n">
        <f aca="false">SUM(P10:P37)</f>
        <v>142.3</v>
      </c>
      <c r="Q39" s="54" t="n">
        <f aca="false">SUM(Q10:Q37)</f>
        <v>0</v>
      </c>
      <c r="R39" s="54" t="n">
        <f aca="false">SUM(R10:R37)</f>
        <v>0</v>
      </c>
      <c r="S39" s="54" t="n">
        <f aca="false">SUM(S10:S37)</f>
        <v>142.3</v>
      </c>
      <c r="T39" s="54"/>
      <c r="U39" s="54" t="n">
        <f aca="false">SUM(U10:U37)</f>
        <v>0</v>
      </c>
      <c r="V39" s="54" t="n">
        <f aca="false">SUM(V10:V37)</f>
        <v>834</v>
      </c>
      <c r="W39" s="54"/>
      <c r="X39" s="54" t="n">
        <f aca="false">SUM(X10:X37)</f>
        <v>976.3</v>
      </c>
      <c r="Y39" s="54" t="n">
        <f aca="false">SUM(Y10:Y37)</f>
        <v>227.836642298966</v>
      </c>
      <c r="Z39" s="54" t="n">
        <f aca="false">SUM(Z10:Z37)</f>
        <v>1204.13664229897</v>
      </c>
      <c r="AA39" s="58" t="n">
        <f aca="false">SUM(AA10:AA37)</f>
        <v>0.12</v>
      </c>
      <c r="AB39" s="59" t="n">
        <f aca="false">AVERAGE(AB10:AB37)</f>
        <v>42.5</v>
      </c>
      <c r="AC39" s="59" t="n">
        <f aca="false">AVERAGE(AC10:AC37)</f>
        <v>16.3928571428571</v>
      </c>
      <c r="AD39" s="60" t="s">
        <v>59</v>
      </c>
      <c r="AE39" s="94"/>
      <c r="AF39" s="94"/>
      <c r="AG39" s="95"/>
    </row>
    <row r="40" customFormat="false" ht="11.1" hidden="false" customHeight="true" outlineLevel="0" collapsed="false">
      <c r="A40" s="53" t="s">
        <v>48</v>
      </c>
      <c r="B40" s="53"/>
      <c r="C40" s="54"/>
      <c r="D40" s="54" t="n">
        <f aca="false">SUM(D10:D37)</f>
        <v>-144</v>
      </c>
      <c r="E40" s="54"/>
      <c r="F40" s="54" t="n">
        <f aca="false">F39*$D$2</f>
        <v>-144</v>
      </c>
      <c r="G40" s="54" t="n">
        <f aca="false">G39*$D$2</f>
        <v>2175.8995</v>
      </c>
      <c r="H40" s="58" t="n">
        <f aca="false">H39*$D$2</f>
        <v>17.61348</v>
      </c>
      <c r="I40" s="54" t="n">
        <f aca="false">I39*$D$2</f>
        <v>2193.51298</v>
      </c>
      <c r="J40" s="54" t="n">
        <f aca="false">J39*$D$2</f>
        <v>50.89205</v>
      </c>
      <c r="K40" s="54" t="n">
        <f aca="false">K39*$D$2</f>
        <v>2244.40503</v>
      </c>
      <c r="L40" s="54" t="n">
        <f aca="false">L39*$D$2</f>
        <v>-401.02193</v>
      </c>
      <c r="M40" s="54" t="n">
        <f aca="false">M39*$D$2</f>
        <v>282.25205</v>
      </c>
      <c r="N40" s="54" t="n">
        <f aca="false">N39*$D$2</f>
        <v>0</v>
      </c>
      <c r="O40" s="54" t="n">
        <f aca="false">O39*$D$2</f>
        <v>0</v>
      </c>
      <c r="P40" s="54" t="n">
        <f aca="false">P39*$D$2</f>
        <v>282.25205</v>
      </c>
      <c r="Q40" s="54" t="n">
        <f aca="false">Q39*$D$2</f>
        <v>0</v>
      </c>
      <c r="R40" s="54" t="n">
        <f aca="false">R39*$D$2</f>
        <v>0</v>
      </c>
      <c r="S40" s="54" t="n">
        <f aca="false">S39*$D$2</f>
        <v>282.25205</v>
      </c>
      <c r="T40" s="54"/>
      <c r="U40" s="54" t="n">
        <f aca="false">U39*$D$2</f>
        <v>0</v>
      </c>
      <c r="V40" s="54" t="n">
        <f aca="false">V39*$D$2</f>
        <v>1654.239</v>
      </c>
      <c r="W40" s="54"/>
      <c r="X40" s="54" t="n">
        <f aca="false">X39*$D$2</f>
        <v>1936.49105</v>
      </c>
      <c r="Y40" s="54" t="n">
        <f aca="false">Y39*$D$2</f>
        <v>451.91398</v>
      </c>
      <c r="Z40" s="54" t="n">
        <f aca="false">Z39*$D$2</f>
        <v>2388.40503</v>
      </c>
      <c r="AA40" s="58"/>
      <c r="AB40" s="59" t="n">
        <f aca="false">MAX(AB10:AB37)</f>
        <v>55</v>
      </c>
      <c r="AC40" s="59" t="n">
        <f aca="false">MAX(AC10:AC37)</f>
        <v>28</v>
      </c>
      <c r="AD40" s="60" t="s">
        <v>49</v>
      </c>
      <c r="AE40" s="94"/>
      <c r="AF40" s="94"/>
      <c r="AG40" s="95"/>
    </row>
    <row r="41" customFormat="false" ht="3" hidden="false" customHeight="true" outlineLevel="0" collapsed="false">
      <c r="A41" s="76"/>
      <c r="B41" s="76"/>
      <c r="C41" s="78"/>
      <c r="D41" s="78"/>
      <c r="E41" s="78"/>
      <c r="F41" s="78"/>
      <c r="G41" s="78"/>
      <c r="H41" s="80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6"/>
      <c r="X41" s="78"/>
      <c r="Y41" s="78"/>
      <c r="Z41" s="78"/>
      <c r="AA41" s="58"/>
      <c r="AB41" s="59"/>
      <c r="AC41" s="59"/>
      <c r="AD41" s="60"/>
      <c r="AE41" s="94"/>
      <c r="AF41" s="94"/>
      <c r="AG41" s="95"/>
    </row>
    <row r="42" customFormat="false" ht="11.1" hidden="false" customHeight="true" outlineLevel="0" collapsed="false">
      <c r="A42" s="53" t="s">
        <v>50</v>
      </c>
      <c r="B42" s="53"/>
      <c r="C42" s="54"/>
      <c r="D42" s="54"/>
      <c r="E42" s="54"/>
      <c r="F42" s="54"/>
      <c r="G42" s="54"/>
      <c r="H42" s="58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8"/>
      <c r="AB42" s="59" t="n">
        <f aca="false">MIN(AB10:AB37)</f>
        <v>19</v>
      </c>
      <c r="AC42" s="59" t="n">
        <f aca="false">MIN(AC10:AC37)</f>
        <v>6</v>
      </c>
      <c r="AD42" s="60" t="s">
        <v>51</v>
      </c>
      <c r="AE42" s="94"/>
      <c r="AF42" s="94"/>
      <c r="AG42" s="95"/>
    </row>
    <row r="43" customFormat="false" ht="11.1" hidden="false" customHeight="true" outlineLevel="0" collapsed="false">
      <c r="A43" s="53" t="s">
        <v>52</v>
      </c>
      <c r="B43" s="53"/>
      <c r="C43" s="54"/>
      <c r="D43" s="54"/>
      <c r="E43" s="54"/>
      <c r="F43" s="54"/>
      <c r="G43" s="54"/>
      <c r="H43" s="58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8"/>
      <c r="AB43" s="59"/>
      <c r="AC43" s="59"/>
      <c r="AD43" s="60"/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80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53</v>
      </c>
      <c r="B45" s="53"/>
      <c r="C45" s="54"/>
      <c r="D45" s="54"/>
      <c r="E45" s="54"/>
      <c r="F45" s="54" t="n">
        <f aca="false">F8+F39</f>
        <v>160.32266196118</v>
      </c>
      <c r="G45" s="54" t="n">
        <f aca="false">G8+G39</f>
        <v>5121</v>
      </c>
      <c r="H45" s="58" t="n">
        <f aca="false">H8+H39</f>
        <v>13.98</v>
      </c>
      <c r="I45" s="54" t="n">
        <f aca="false">I8+I39</f>
        <v>5087.45</v>
      </c>
      <c r="J45" s="54" t="n">
        <f aca="false">J8+J39</f>
        <v>724.243929921855</v>
      </c>
      <c r="K45" s="54" t="n">
        <f aca="false">K8+K39</f>
        <v>5811.69392992186</v>
      </c>
      <c r="L45" s="54" t="n">
        <f aca="false">L8+L39</f>
        <v>-321.64733803882</v>
      </c>
      <c r="M45" s="54" t="n">
        <f aca="false">M8+M39</f>
        <v>780.98</v>
      </c>
      <c r="N45" s="54" t="n">
        <f aca="false">N8+N39</f>
        <v>5</v>
      </c>
      <c r="O45" s="54" t="n">
        <f aca="false">O8+O39</f>
        <v>457.766</v>
      </c>
      <c r="P45" s="54" t="n">
        <f aca="false">P8+P39</f>
        <v>720.414</v>
      </c>
      <c r="Q45" s="54" t="n">
        <f aca="false">Q8+Q39</f>
        <v>0</v>
      </c>
      <c r="R45" s="54" t="n">
        <f aca="false">R8+R39</f>
        <v>127.5</v>
      </c>
      <c r="S45" s="54" t="n">
        <f aca="false">S8+S39</f>
        <v>847.914</v>
      </c>
      <c r="T45" s="54"/>
      <c r="U45" s="54" t="n">
        <f aca="false">U8+U39</f>
        <v>0</v>
      </c>
      <c r="V45" s="54" t="n">
        <f aca="false">V8+V39</f>
        <v>3697</v>
      </c>
      <c r="W45" s="54" t="n">
        <f aca="false">W37</f>
        <v>1105</v>
      </c>
      <c r="X45" s="54" t="n">
        <f aca="false">X8+X39</f>
        <v>4605.48</v>
      </c>
      <c r="Y45" s="54" t="n">
        <f aca="false">Y8+Y39</f>
        <v>1045.89126796067</v>
      </c>
      <c r="Z45" s="54" t="n">
        <f aca="false">Z8+Z39</f>
        <v>5651.37126796067</v>
      </c>
      <c r="AA45" s="58" t="n">
        <f aca="false">AA8+AA39</f>
        <v>2.89</v>
      </c>
      <c r="AB45" s="59"/>
      <c r="AC45" s="59"/>
      <c r="AD45" s="60"/>
      <c r="AE45" s="94"/>
      <c r="AF45" s="94"/>
      <c r="AG45" s="95"/>
    </row>
    <row r="46" customFormat="false" ht="11.1" hidden="false" customHeight="true" outlineLevel="0" collapsed="false">
      <c r="A46" s="53" t="s">
        <v>54</v>
      </c>
      <c r="B46" s="53"/>
      <c r="C46" s="54"/>
      <c r="D46" s="54" t="n">
        <f aca="false">D8+D40</f>
        <v>318</v>
      </c>
      <c r="E46" s="54" t="n">
        <f aca="false">E37</f>
        <v>54264</v>
      </c>
      <c r="F46" s="54" t="n">
        <f aca="false">F45*$D$2</f>
        <v>318.000000000001</v>
      </c>
      <c r="G46" s="54" t="n">
        <f aca="false">G45*$D$2</f>
        <v>10157.5035</v>
      </c>
      <c r="H46" s="58" t="n">
        <f aca="false">H45*$D$2</f>
        <v>27.72933</v>
      </c>
      <c r="I46" s="54" t="n">
        <f aca="false">I45*$D$2</f>
        <v>10090.957075</v>
      </c>
      <c r="J46" s="54" t="n">
        <f aca="false">J45*$D$2</f>
        <v>1436.537835</v>
      </c>
      <c r="K46" s="54" t="n">
        <f aca="false">K45*$D$2</f>
        <v>11527.49491</v>
      </c>
      <c r="L46" s="54" t="n">
        <f aca="false">L45*$D$2</f>
        <v>-637.987494999999</v>
      </c>
      <c r="M46" s="54" t="n">
        <f aca="false">M45*$D$2</f>
        <v>1549.07383</v>
      </c>
      <c r="N46" s="54" t="n">
        <f aca="false">N45*$D$2</f>
        <v>9.9175</v>
      </c>
      <c r="O46" s="54" t="n">
        <f aca="false">O45*$D$2</f>
        <v>907.978861</v>
      </c>
      <c r="P46" s="54" t="n">
        <f aca="false">P45*$D$2</f>
        <v>1428.941169</v>
      </c>
      <c r="Q46" s="54" t="n">
        <f aca="false">Q45*$D$2</f>
        <v>0</v>
      </c>
      <c r="R46" s="54" t="n">
        <f aca="false">R45*$D$2</f>
        <v>252.89625</v>
      </c>
      <c r="S46" s="54" t="n">
        <f aca="false">S45*$D$2</f>
        <v>1681.837419</v>
      </c>
      <c r="T46" s="54" t="n">
        <f aca="false">T45*$D$2</f>
        <v>0</v>
      </c>
      <c r="U46" s="54" t="n">
        <f aca="false">U45*$D$2</f>
        <v>0</v>
      </c>
      <c r="V46" s="54" t="n">
        <f aca="false">V45*$D$2</f>
        <v>7332.9995</v>
      </c>
      <c r="W46" s="54" t="n">
        <f aca="false">W45*$D$2</f>
        <v>2191.7675</v>
      </c>
      <c r="X46" s="54" t="n">
        <f aca="false">X45*$D$2</f>
        <v>9134.96958</v>
      </c>
      <c r="Y46" s="54" t="n">
        <f aca="false">Y45*$D$2</f>
        <v>2074.52533</v>
      </c>
      <c r="Z46" s="54" t="n">
        <f aca="false">Z45*$D$2</f>
        <v>11209.49491</v>
      </c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6"/>
      <c r="E47" s="78"/>
      <c r="F47" s="76"/>
      <c r="G47" s="76"/>
      <c r="H47" s="80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8"/>
      <c r="U47" s="76"/>
      <c r="V47" s="76"/>
      <c r="W47" s="78"/>
      <c r="X47" s="76"/>
      <c r="Y47" s="76"/>
      <c r="Z47" s="76"/>
      <c r="AA47" s="58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/>
      <c r="B48" s="86"/>
      <c r="C48" s="54"/>
      <c r="D48" s="53"/>
      <c r="E48" s="54"/>
      <c r="F48" s="53"/>
      <c r="G48" s="53"/>
      <c r="H48" s="58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4"/>
      <c r="U48" s="53"/>
      <c r="V48" s="53"/>
      <c r="W48" s="54"/>
      <c r="X48" s="53"/>
      <c r="Y48" s="53"/>
      <c r="Z48" s="53"/>
      <c r="AA48" s="58"/>
      <c r="AB48" s="59"/>
      <c r="AC48" s="59"/>
      <c r="AD48" s="60"/>
      <c r="AE48" s="90"/>
      <c r="AF48" s="90"/>
    </row>
    <row r="49" customFormat="false" ht="11.1" hidden="false" customHeight="true" outlineLevel="0" collapsed="false">
      <c r="A49" s="53"/>
      <c r="B49" s="75"/>
      <c r="C49" s="54"/>
      <c r="D49" s="84"/>
      <c r="E49" s="54"/>
      <c r="F49" s="53"/>
      <c r="G49" s="53"/>
      <c r="H49" s="2"/>
      <c r="I49" s="54"/>
      <c r="J49" s="53"/>
      <c r="K49" s="44"/>
      <c r="L49" s="53"/>
      <c r="M49" s="53"/>
      <c r="N49" s="53"/>
      <c r="O49" s="53"/>
      <c r="P49" s="53"/>
      <c r="Q49" s="53"/>
      <c r="R49" s="53"/>
      <c r="S49" s="53"/>
      <c r="T49" s="54"/>
      <c r="U49" s="53"/>
      <c r="V49" s="53"/>
      <c r="W49" s="54"/>
      <c r="X49" s="53"/>
      <c r="Y49" s="53"/>
      <c r="Z49" s="53"/>
      <c r="AA49" s="58"/>
      <c r="AB49" s="59"/>
      <c r="AC49" s="59"/>
      <c r="AD49" s="60"/>
      <c r="AE49" s="90"/>
      <c r="AF49" s="90"/>
    </row>
    <row r="50" customFormat="false" ht="11.1" hidden="false" customHeight="true" outlineLevel="0" collapsed="false">
      <c r="A50" s="84"/>
      <c r="B50" s="84"/>
      <c r="C50" s="54"/>
      <c r="D50" s="54"/>
      <c r="E50" s="54"/>
      <c r="F50" s="84"/>
      <c r="G50" s="84"/>
      <c r="H50" s="58"/>
      <c r="I50" s="54"/>
      <c r="J50" s="84"/>
      <c r="K50" s="84"/>
      <c r="L50" s="84"/>
      <c r="M50" s="83"/>
      <c r="N50" s="83"/>
      <c r="O50" s="83"/>
      <c r="P50" s="83"/>
      <c r="Q50" s="84"/>
      <c r="R50" s="84"/>
      <c r="S50" s="84"/>
      <c r="T50" s="54"/>
      <c r="U50" s="84"/>
      <c r="V50" s="84"/>
      <c r="W50" s="54"/>
      <c r="X50" s="84"/>
      <c r="Y50" s="84"/>
      <c r="Z50" s="84"/>
      <c r="AA50" s="58"/>
      <c r="AB50" s="59"/>
      <c r="AC50" s="59"/>
      <c r="AD50" s="60"/>
      <c r="AE50" s="100"/>
      <c r="AF50" s="100"/>
    </row>
    <row r="51" customFormat="false" ht="11.1" hidden="false" customHeight="true" outlineLevel="0" collapsed="false">
      <c r="A51" s="84"/>
      <c r="B51" s="57"/>
      <c r="C51" s="54"/>
      <c r="D51" s="54"/>
      <c r="E51" s="54"/>
      <c r="F51" s="84"/>
      <c r="G51" s="84"/>
      <c r="H51" s="58"/>
      <c r="I51" s="54"/>
      <c r="J51" s="84"/>
      <c r="K51" s="84"/>
      <c r="L51" s="84"/>
      <c r="M51" s="83"/>
      <c r="N51" s="83"/>
      <c r="O51" s="83"/>
      <c r="P51" s="83"/>
      <c r="Q51" s="84"/>
      <c r="R51" s="84"/>
      <c r="S51" s="84"/>
      <c r="T51" s="54"/>
      <c r="U51" s="84"/>
      <c r="V51" s="84"/>
      <c r="W51" s="54"/>
      <c r="X51" s="84"/>
      <c r="Y51" s="84"/>
      <c r="Z51" s="84"/>
      <c r="AA51" s="58"/>
      <c r="AB51" s="59"/>
      <c r="AC51" s="59"/>
      <c r="AD51" s="60"/>
      <c r="AE51" s="100"/>
      <c r="AF51" s="100"/>
    </row>
    <row r="52" customFormat="false" ht="11.1" hidden="false" customHeight="true" outlineLevel="0" collapsed="false">
      <c r="A52" s="84"/>
      <c r="B52" s="84"/>
      <c r="C52" s="54"/>
      <c r="D52" s="84"/>
      <c r="E52" s="54"/>
      <c r="F52" s="84"/>
      <c r="G52" s="87"/>
      <c r="H52" s="58"/>
      <c r="I52" s="84"/>
      <c r="J52" s="84"/>
      <c r="K52" s="84"/>
      <c r="L52" s="84"/>
      <c r="M52" s="83"/>
      <c r="N52" s="83"/>
      <c r="O52" s="83"/>
      <c r="P52" s="83"/>
      <c r="Q52" s="84"/>
      <c r="R52" s="84"/>
      <c r="S52" s="84"/>
      <c r="T52" s="54"/>
      <c r="U52" s="84"/>
      <c r="V52" s="84"/>
      <c r="W52" s="54"/>
      <c r="X52" s="84"/>
      <c r="Y52" s="84"/>
      <c r="Z52" s="84"/>
      <c r="AA52" s="58"/>
      <c r="AB52" s="59"/>
      <c r="AC52" s="59"/>
      <c r="AD52" s="60"/>
      <c r="AE52" s="100"/>
      <c r="AF52" s="100"/>
    </row>
    <row r="53" customFormat="false" ht="11.1" hidden="false" customHeight="true" outlineLevel="0" collapsed="false">
      <c r="P53" s="49"/>
      <c r="S53" s="46"/>
      <c r="T53" s="47"/>
      <c r="V53" s="46"/>
      <c r="W53" s="47"/>
      <c r="Z53" s="46"/>
      <c r="AC53" s="51"/>
      <c r="AD53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E23" activeCellId="0" sqref="AE23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7"/>
    <col collapsed="false" customWidth="true" hidden="false" outlineLevel="0" max="28" min="28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62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102" t="s">
        <v>8</v>
      </c>
      <c r="H4" s="103" t="s">
        <v>9</v>
      </c>
      <c r="I4" s="102" t="s">
        <v>10</v>
      </c>
      <c r="J4" s="102" t="s">
        <v>11</v>
      </c>
      <c r="K4" s="102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63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102" t="s">
        <v>28</v>
      </c>
      <c r="H5" s="103" t="s">
        <v>29</v>
      </c>
      <c r="I5" s="102" t="s">
        <v>30</v>
      </c>
      <c r="J5" s="102" t="s">
        <v>30</v>
      </c>
      <c r="K5" s="102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63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FEB!B37</f>
        <v>6876.64</v>
      </c>
      <c r="C8" s="54" t="n">
        <f aca="false">FEB!C37</f>
        <v>206264</v>
      </c>
      <c r="D8" s="54" t="n">
        <f aca="false">FEB!$D$46</f>
        <v>318</v>
      </c>
      <c r="E8" s="54" t="n">
        <f aca="false">FEB!$E$37</f>
        <v>54264</v>
      </c>
      <c r="F8" s="54" t="n">
        <f aca="false">FEB!F45</f>
        <v>160.32266196118</v>
      </c>
      <c r="G8" s="54" t="n">
        <f aca="false">FEB!G45</f>
        <v>5121</v>
      </c>
      <c r="H8" s="58" t="n">
        <f aca="false">FEB!H45</f>
        <v>13.98</v>
      </c>
      <c r="I8" s="54" t="n">
        <f aca="false">FEB!I45</f>
        <v>5087.45</v>
      </c>
      <c r="J8" s="54" t="n">
        <f aca="false">FEB!J45</f>
        <v>724.243929921855</v>
      </c>
      <c r="K8" s="54" t="n">
        <f aca="false">FEB!K45</f>
        <v>5811.69392992186</v>
      </c>
      <c r="L8" s="54" t="n">
        <f aca="false">FEB!L45</f>
        <v>-321.64733803882</v>
      </c>
      <c r="M8" s="54" t="n">
        <f aca="false">FEB!M45</f>
        <v>780.98</v>
      </c>
      <c r="N8" s="54" t="n">
        <f aca="false">FEB!N45</f>
        <v>5</v>
      </c>
      <c r="O8" s="54" t="n">
        <f aca="false">FEB!O45</f>
        <v>457.766</v>
      </c>
      <c r="P8" s="54" t="n">
        <f aca="false">FEB!P45</f>
        <v>720.414</v>
      </c>
      <c r="Q8" s="54" t="n">
        <f aca="false">FEB!Q45</f>
        <v>0</v>
      </c>
      <c r="R8" s="54" t="n">
        <f aca="false">FEB!R45</f>
        <v>127.5</v>
      </c>
      <c r="S8" s="54" t="n">
        <f aca="false">FEB!S45</f>
        <v>847.914</v>
      </c>
      <c r="T8" s="54" t="n">
        <f aca="false">FEB!T45</f>
        <v>0</v>
      </c>
      <c r="U8" s="54" t="n">
        <f aca="false">FEB!U45</f>
        <v>0</v>
      </c>
      <c r="V8" s="54" t="n">
        <f aca="false">FEB!V45</f>
        <v>3697</v>
      </c>
      <c r="W8" s="54" t="n">
        <f aca="false">FEB!W45</f>
        <v>1105</v>
      </c>
      <c r="X8" s="54" t="n">
        <f aca="false">FEB!X45</f>
        <v>4605.48</v>
      </c>
      <c r="Y8" s="54" t="n">
        <f aca="false">FEB!Y45</f>
        <v>1045.89126796067</v>
      </c>
      <c r="Z8" s="54" t="n">
        <f aca="false">FEB!Z45</f>
        <v>5651.37126796067</v>
      </c>
      <c r="AA8" s="58" t="n">
        <f aca="false">FEB!AA45</f>
        <v>2.89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6876.64</v>
      </c>
      <c r="C10" s="54" t="n">
        <v>206264</v>
      </c>
      <c r="D10" s="59" t="n">
        <f aca="false">C10-C8</f>
        <v>0</v>
      </c>
      <c r="E10" s="54" t="n">
        <f aca="false">C10-152000</f>
        <v>54264</v>
      </c>
      <c r="F10" s="53" t="n">
        <f aca="false">D10/$D$2</f>
        <v>0</v>
      </c>
      <c r="G10" s="53" t="n">
        <v>37</v>
      </c>
      <c r="H10" s="58" t="n">
        <v>0.66</v>
      </c>
      <c r="I10" s="53" t="n">
        <f aca="false">G10+H10</f>
        <v>37.66</v>
      </c>
      <c r="J10" s="83" t="n">
        <f aca="false">IF(L10&gt;0,L10,0)</f>
        <v>0</v>
      </c>
      <c r="K10" s="53" t="n">
        <f aca="false">I10+J10</f>
        <v>37.66</v>
      </c>
      <c r="L10" s="53" t="n">
        <f aca="false">F10-(I10-X10)</f>
        <v>-3.95999999999999</v>
      </c>
      <c r="M10" s="53" t="n">
        <v>3.7</v>
      </c>
      <c r="N10" s="53" t="n">
        <v>0</v>
      </c>
      <c r="O10" s="53" t="n">
        <v>0</v>
      </c>
      <c r="P10" s="6" t="n">
        <f aca="false">M10-(N10+O10)</f>
        <v>3.7</v>
      </c>
      <c r="Q10" s="53" t="n">
        <v>0</v>
      </c>
      <c r="R10" s="53" t="n">
        <v>0</v>
      </c>
      <c r="S10" s="53" t="n">
        <f aca="false">SUM(P10:R10)</f>
        <v>3.7</v>
      </c>
      <c r="T10" s="54"/>
      <c r="U10" s="53" t="n">
        <v>0</v>
      </c>
      <c r="V10" s="104" t="n">
        <v>30</v>
      </c>
      <c r="W10" s="105" t="n">
        <f aca="false">W8-V10</f>
        <v>1075</v>
      </c>
      <c r="X10" s="6" t="n">
        <f aca="false">N10+O10+S10+U10+V10</f>
        <v>33.7</v>
      </c>
      <c r="Y10" s="53" t="n">
        <f aca="false">IF(L10&lt;0,L10*-1,0)</f>
        <v>3.95999999999999</v>
      </c>
      <c r="Z10" s="53" t="n">
        <f aca="false">X10+Y10</f>
        <v>37.66</v>
      </c>
      <c r="AA10" s="58" t="n">
        <v>0.01</v>
      </c>
      <c r="AB10" s="59" t="n">
        <v>34</v>
      </c>
      <c r="AC10" s="59" t="n">
        <v>11</v>
      </c>
      <c r="AD10" s="60" t="n">
        <v>1</v>
      </c>
      <c r="AE10" s="95"/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6876.63</v>
      </c>
      <c r="C11" s="54" t="n">
        <v>206235</v>
      </c>
      <c r="D11" s="59" t="n">
        <f aca="false">C11-C10</f>
        <v>-29</v>
      </c>
      <c r="E11" s="54" t="n">
        <f aca="false">C11-152000</f>
        <v>54235</v>
      </c>
      <c r="F11" s="53" t="n">
        <f aca="false">D11/$D$2</f>
        <v>-14.6206201159566</v>
      </c>
      <c r="G11" s="53" t="n">
        <v>30</v>
      </c>
      <c r="H11" s="58" t="n">
        <v>0.49</v>
      </c>
      <c r="I11" s="53" t="n">
        <f aca="false">G11+H11</f>
        <v>30.49</v>
      </c>
      <c r="J11" s="83" t="n">
        <f aca="false">IF(L11&gt;0,L11,0)</f>
        <v>0</v>
      </c>
      <c r="K11" s="53" t="n">
        <f aca="false">I11+J11</f>
        <v>30.49</v>
      </c>
      <c r="L11" s="53" t="n">
        <f aca="false">F11-(I11-X11)</f>
        <v>-11.4106201159566</v>
      </c>
      <c r="M11" s="53" t="n">
        <v>3.7</v>
      </c>
      <c r="N11" s="53" t="n">
        <v>0</v>
      </c>
      <c r="O11" s="53" t="n">
        <v>0</v>
      </c>
      <c r="P11" s="6" t="n">
        <f aca="false">M11-(N11+O11)</f>
        <v>3.7</v>
      </c>
      <c r="Q11" s="53" t="n">
        <v>0</v>
      </c>
      <c r="R11" s="53" t="n">
        <v>0</v>
      </c>
      <c r="S11" s="53" t="n">
        <f aca="false">SUM(P11:R11)</f>
        <v>3.7</v>
      </c>
      <c r="T11" s="54"/>
      <c r="U11" s="53" t="n">
        <v>0</v>
      </c>
      <c r="V11" s="104" t="n">
        <v>30</v>
      </c>
      <c r="W11" s="105" t="n">
        <f aca="false">W10-V11</f>
        <v>1045</v>
      </c>
      <c r="X11" s="6" t="n">
        <f aca="false">N11+O11+S11+U11+V11</f>
        <v>33.7</v>
      </c>
      <c r="Y11" s="53" t="n">
        <f aca="false">IF(L11&lt;0,L11*-1,0)</f>
        <v>11.4106201159566</v>
      </c>
      <c r="Z11" s="53" t="n">
        <f aca="false">X11+Y11</f>
        <v>45.1106201159566</v>
      </c>
      <c r="AA11" s="58" t="n">
        <v>0</v>
      </c>
      <c r="AB11" s="59" t="n">
        <v>23</v>
      </c>
      <c r="AC11" s="59" t="n">
        <v>3</v>
      </c>
      <c r="AD11" s="60" t="n">
        <f aca="false">AD10+1</f>
        <v>2</v>
      </c>
      <c r="AE11" s="95"/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6876.63</v>
      </c>
      <c r="C12" s="54" t="n">
        <v>206235</v>
      </c>
      <c r="D12" s="59" t="n">
        <f aca="false">C12-C11</f>
        <v>0</v>
      </c>
      <c r="E12" s="54" t="n">
        <f aca="false">C12-152000</f>
        <v>54235</v>
      </c>
      <c r="F12" s="53" t="n">
        <f aca="false">D12/$D$2</f>
        <v>0</v>
      </c>
      <c r="G12" s="53" t="n">
        <v>29</v>
      </c>
      <c r="H12" s="58" t="n">
        <v>0.43</v>
      </c>
      <c r="I12" s="53" t="n">
        <f aca="false">G12+H12</f>
        <v>29.43</v>
      </c>
      <c r="J12" s="83" t="n">
        <f aca="false">IF(L12&gt;0,L12,0)</f>
        <v>4.27</v>
      </c>
      <c r="K12" s="53" t="n">
        <f aca="false">I12+J12</f>
        <v>33.7</v>
      </c>
      <c r="L12" s="53" t="n">
        <f aca="false">F12-(I12-X12)</f>
        <v>4.27</v>
      </c>
      <c r="M12" s="53" t="n">
        <v>3.7</v>
      </c>
      <c r="N12" s="53" t="n">
        <v>0</v>
      </c>
      <c r="O12" s="53" t="n">
        <v>0</v>
      </c>
      <c r="P12" s="6" t="n">
        <f aca="false">M12-(N12+O12)</f>
        <v>3.7</v>
      </c>
      <c r="Q12" s="53" t="n">
        <v>0</v>
      </c>
      <c r="R12" s="53" t="n">
        <v>0</v>
      </c>
      <c r="S12" s="53" t="n">
        <f aca="false">SUM(P12:R12)</f>
        <v>3.7</v>
      </c>
      <c r="T12" s="54"/>
      <c r="U12" s="53" t="n">
        <v>0</v>
      </c>
      <c r="V12" s="104" t="n">
        <v>30</v>
      </c>
      <c r="W12" s="105" t="n">
        <f aca="false">W11-V12</f>
        <v>1015</v>
      </c>
      <c r="X12" s="6" t="n">
        <f aca="false">N12+O12+S12+U12+V12</f>
        <v>33.7</v>
      </c>
      <c r="Y12" s="53" t="n">
        <f aca="false">IF(L12&lt;0,L12*-1,0)</f>
        <v>0</v>
      </c>
      <c r="Z12" s="53" t="n">
        <f aca="false">X12+Y12</f>
        <v>33.7</v>
      </c>
      <c r="AA12" s="58" t="n">
        <v>0</v>
      </c>
      <c r="AB12" s="59" t="n">
        <v>30</v>
      </c>
      <c r="AC12" s="59" t="n">
        <v>2</v>
      </c>
      <c r="AD12" s="60" t="n">
        <f aca="false">AD11+1</f>
        <v>3</v>
      </c>
      <c r="AE12" s="95"/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6876.62</v>
      </c>
      <c r="C13" s="54" t="n">
        <v>206206</v>
      </c>
      <c r="D13" s="59" t="n">
        <f aca="false">C13-C12</f>
        <v>-29</v>
      </c>
      <c r="E13" s="54" t="n">
        <f aca="false">C13-152000</f>
        <v>54206</v>
      </c>
      <c r="F13" s="53" t="n">
        <f aca="false">D13/$D$2</f>
        <v>-14.6206201159566</v>
      </c>
      <c r="G13" s="53" t="n">
        <v>30</v>
      </c>
      <c r="H13" s="58" t="n">
        <v>0.3</v>
      </c>
      <c r="I13" s="53" t="n">
        <f aca="false">G13+H13</f>
        <v>30.3</v>
      </c>
      <c r="J13" s="83" t="n">
        <f aca="false">IF(L13&gt;0,L13,0)</f>
        <v>0</v>
      </c>
      <c r="K13" s="53" t="n">
        <f aca="false">I13+J13</f>
        <v>30.3</v>
      </c>
      <c r="L13" s="53" t="n">
        <f aca="false">F13-(I13-X13)</f>
        <v>-11.2206201159566</v>
      </c>
      <c r="M13" s="53" t="n">
        <v>3.7</v>
      </c>
      <c r="N13" s="53" t="n">
        <v>0</v>
      </c>
      <c r="O13" s="53" t="n">
        <v>0</v>
      </c>
      <c r="P13" s="6" t="n">
        <f aca="false">M13-(N13+O13)</f>
        <v>3.7</v>
      </c>
      <c r="Q13" s="53" t="n">
        <v>0</v>
      </c>
      <c r="R13" s="53" t="n">
        <v>0</v>
      </c>
      <c r="S13" s="53" t="n">
        <f aca="false">SUM(P13:R13)</f>
        <v>3.7</v>
      </c>
      <c r="T13" s="54"/>
      <c r="U13" s="53" t="n">
        <v>0</v>
      </c>
      <c r="V13" s="104" t="n">
        <v>30</v>
      </c>
      <c r="W13" s="105" t="n">
        <f aca="false">W12-V13</f>
        <v>985</v>
      </c>
      <c r="X13" s="6" t="n">
        <f aca="false">N13+O13+S13+U13+V13</f>
        <v>33.7</v>
      </c>
      <c r="Y13" s="53" t="n">
        <f aca="false">IF(L13&lt;0,L13*-1,0)</f>
        <v>11.2206201159566</v>
      </c>
      <c r="Z13" s="53" t="n">
        <f aca="false">X13+Y13</f>
        <v>44.9206201159566</v>
      </c>
      <c r="AA13" s="58" t="n">
        <v>0</v>
      </c>
      <c r="AB13" s="59" t="n">
        <v>44</v>
      </c>
      <c r="AC13" s="59" t="n">
        <v>0</v>
      </c>
      <c r="AD13" s="60" t="n">
        <f aca="false">AD12+1</f>
        <v>4</v>
      </c>
      <c r="AE13" s="95"/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6876.62</v>
      </c>
      <c r="C14" s="54" t="n">
        <v>206206</v>
      </c>
      <c r="D14" s="59" t="n">
        <f aca="false">C14-C13</f>
        <v>0</v>
      </c>
      <c r="E14" s="54" t="n">
        <f aca="false">C14-152000</f>
        <v>54206</v>
      </c>
      <c r="F14" s="53" t="n">
        <f aca="false">D14/$D$2</f>
        <v>0</v>
      </c>
      <c r="G14" s="53" t="n">
        <v>31</v>
      </c>
      <c r="H14" s="58" t="n">
        <v>0.22</v>
      </c>
      <c r="I14" s="53" t="n">
        <f aca="false">G14+H14</f>
        <v>31.22</v>
      </c>
      <c r="J14" s="83" t="n">
        <f aca="false">IF(L14&gt;0,L14,0)</f>
        <v>6.48</v>
      </c>
      <c r="K14" s="53" t="n">
        <f aca="false">I14+J14</f>
        <v>37.7</v>
      </c>
      <c r="L14" s="53" t="n">
        <f aca="false">F14-(I14-X14)</f>
        <v>6.48</v>
      </c>
      <c r="M14" s="53" t="n">
        <v>7.7</v>
      </c>
      <c r="N14" s="53" t="n">
        <v>0</v>
      </c>
      <c r="O14" s="53" t="n">
        <v>0</v>
      </c>
      <c r="P14" s="6" t="n">
        <f aca="false">M14-(N14+O14)</f>
        <v>7.7</v>
      </c>
      <c r="Q14" s="53" t="n">
        <v>0</v>
      </c>
      <c r="R14" s="53" t="n">
        <v>0</v>
      </c>
      <c r="S14" s="53" t="n">
        <f aca="false">SUM(P14:R14)</f>
        <v>7.7</v>
      </c>
      <c r="T14" s="54"/>
      <c r="U14" s="53" t="n">
        <v>0</v>
      </c>
      <c r="V14" s="104" t="n">
        <v>30</v>
      </c>
      <c r="W14" s="105" t="n">
        <f aca="false">W13-V14</f>
        <v>955</v>
      </c>
      <c r="X14" s="6" t="n">
        <f aca="false">N14+O14+S14+U14+V14</f>
        <v>37.7</v>
      </c>
      <c r="Y14" s="53" t="n">
        <f aca="false">IF(L14&lt;0,L14*-1,0)</f>
        <v>0</v>
      </c>
      <c r="Z14" s="53" t="n">
        <f aca="false">X14+Y14</f>
        <v>37.7</v>
      </c>
      <c r="AA14" s="58" t="n">
        <v>0</v>
      </c>
      <c r="AB14" s="59" t="n">
        <v>50</v>
      </c>
      <c r="AC14" s="59" t="n">
        <v>17</v>
      </c>
      <c r="AD14" s="60" t="n">
        <f aca="false">AD13+1</f>
        <v>5</v>
      </c>
      <c r="AE14" s="95"/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6876.61</v>
      </c>
      <c r="C15" s="54" t="n">
        <v>206177</v>
      </c>
      <c r="D15" s="59" t="n">
        <f aca="false">C15-C14</f>
        <v>-29</v>
      </c>
      <c r="E15" s="54" t="n">
        <f aca="false">C15-152000</f>
        <v>54177</v>
      </c>
      <c r="F15" s="53" t="n">
        <f aca="false">D15/$D$2</f>
        <v>-14.6206201159566</v>
      </c>
      <c r="G15" s="53" t="n">
        <v>34</v>
      </c>
      <c r="H15" s="58" t="n">
        <v>0.29</v>
      </c>
      <c r="I15" s="53" t="n">
        <f aca="false">G15+H15</f>
        <v>34.29</v>
      </c>
      <c r="J15" s="83" t="n">
        <f aca="false">IF(L15&gt;0,L15,0)</f>
        <v>0</v>
      </c>
      <c r="K15" s="53" t="n">
        <f aca="false">I15+J15</f>
        <v>34.29</v>
      </c>
      <c r="L15" s="53" t="n">
        <f aca="false">F15-(I15-X15)</f>
        <v>-11.7106201159566</v>
      </c>
      <c r="M15" s="53" t="n">
        <v>7.2</v>
      </c>
      <c r="N15" s="53" t="n">
        <v>0</v>
      </c>
      <c r="O15" s="53" t="n">
        <v>0</v>
      </c>
      <c r="P15" s="6" t="n">
        <f aca="false">M15-(N15+O15)</f>
        <v>7.2</v>
      </c>
      <c r="Q15" s="53" t="n">
        <v>0</v>
      </c>
      <c r="R15" s="53" t="n">
        <v>0</v>
      </c>
      <c r="S15" s="53" t="n">
        <f aca="false">SUM(P15:R15)</f>
        <v>7.2</v>
      </c>
      <c r="T15" s="54"/>
      <c r="U15" s="53" t="n">
        <v>0</v>
      </c>
      <c r="V15" s="104" t="n">
        <v>30</v>
      </c>
      <c r="W15" s="105" t="n">
        <f aca="false">W14-V15</f>
        <v>925</v>
      </c>
      <c r="X15" s="6" t="n">
        <f aca="false">N15+O15+S15+U15+V15</f>
        <v>37.2</v>
      </c>
      <c r="Y15" s="53" t="n">
        <f aca="false">IF(L15&lt;0,L15*-1,0)</f>
        <v>11.7106201159566</v>
      </c>
      <c r="Z15" s="53" t="n">
        <f aca="false">X15+Y15</f>
        <v>48.9106201159566</v>
      </c>
      <c r="AA15" s="58" t="n">
        <v>0</v>
      </c>
      <c r="AB15" s="59" t="n">
        <v>55</v>
      </c>
      <c r="AC15" s="59" t="n">
        <v>21</v>
      </c>
      <c r="AD15" s="60" t="n">
        <f aca="false">AD14+1</f>
        <v>6</v>
      </c>
      <c r="AE15" s="94"/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6876.61</v>
      </c>
      <c r="C16" s="54" t="n">
        <v>206177</v>
      </c>
      <c r="D16" s="59" t="n">
        <f aca="false">C16-C15</f>
        <v>0</v>
      </c>
      <c r="E16" s="54" t="n">
        <f aca="false">C16-152000</f>
        <v>54177</v>
      </c>
      <c r="F16" s="53" t="n">
        <f aca="false">D16/$D$2</f>
        <v>0</v>
      </c>
      <c r="G16" s="53" t="n">
        <v>38</v>
      </c>
      <c r="H16" s="58" t="n">
        <v>0.45</v>
      </c>
      <c r="I16" s="53" t="n">
        <f aca="false">G16+H16</f>
        <v>38.45</v>
      </c>
      <c r="J16" s="83" t="n">
        <f aca="false">IF(L16&gt;0,L16,0)</f>
        <v>0</v>
      </c>
      <c r="K16" s="53" t="n">
        <f aca="false">I16+J16</f>
        <v>38.45</v>
      </c>
      <c r="L16" s="53" t="n">
        <f aca="false">F16-(I16-X16)</f>
        <v>-4.05</v>
      </c>
      <c r="M16" s="53" t="n">
        <v>4.4</v>
      </c>
      <c r="N16" s="53" t="n">
        <v>0</v>
      </c>
      <c r="O16" s="53" t="n">
        <v>0</v>
      </c>
      <c r="P16" s="6" t="n">
        <f aca="false">M16-(N16+O16)</f>
        <v>4.4</v>
      </c>
      <c r="Q16" s="53" t="n">
        <v>0</v>
      </c>
      <c r="R16" s="53" t="n">
        <v>0</v>
      </c>
      <c r="S16" s="53" t="n">
        <f aca="false">SUM(P16:R16)</f>
        <v>4.4</v>
      </c>
      <c r="T16" s="54"/>
      <c r="U16" s="53" t="n">
        <v>0</v>
      </c>
      <c r="V16" s="104" t="n">
        <v>30</v>
      </c>
      <c r="W16" s="105" t="n">
        <f aca="false">W15-V16</f>
        <v>895</v>
      </c>
      <c r="X16" s="6" t="n">
        <f aca="false">N16+O16+S16+U16+V16</f>
        <v>34.4</v>
      </c>
      <c r="Y16" s="53" t="n">
        <f aca="false">IF(L16&lt;0,L16*-1,0)</f>
        <v>4.05</v>
      </c>
      <c r="Z16" s="53" t="n">
        <f aca="false">X16+Y16</f>
        <v>38.45</v>
      </c>
      <c r="AA16" s="58" t="n">
        <v>0</v>
      </c>
      <c r="AB16" s="59" t="n">
        <v>53</v>
      </c>
      <c r="AC16" s="59" t="n">
        <v>38</v>
      </c>
      <c r="AD16" s="60" t="n">
        <f aca="false">AD15+1</f>
        <v>7</v>
      </c>
      <c r="AE16" s="94"/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6876.62</v>
      </c>
      <c r="C17" s="54" t="n">
        <v>206206</v>
      </c>
      <c r="D17" s="59" t="n">
        <f aca="false">C17-C16</f>
        <v>29</v>
      </c>
      <c r="E17" s="54" t="n">
        <f aca="false">C17-152000</f>
        <v>54206</v>
      </c>
      <c r="F17" s="53" t="n">
        <f aca="false">D17/$D$2</f>
        <v>14.6206201159566</v>
      </c>
      <c r="G17" s="53" t="n">
        <v>33</v>
      </c>
      <c r="H17" s="58" t="n">
        <v>0.57</v>
      </c>
      <c r="I17" s="53" t="n">
        <f aca="false">G17+H17</f>
        <v>33.57</v>
      </c>
      <c r="J17" s="83" t="n">
        <f aca="false">IF(L17&gt;0,L17,0)</f>
        <v>15.4506201159566</v>
      </c>
      <c r="K17" s="53" t="n">
        <f aca="false">I17+J17</f>
        <v>49.0206201159566</v>
      </c>
      <c r="L17" s="53" t="n">
        <f aca="false">F17-(I17-X17)</f>
        <v>15.4506201159566</v>
      </c>
      <c r="M17" s="53" t="n">
        <v>4.4</v>
      </c>
      <c r="N17" s="53" t="n">
        <v>0</v>
      </c>
      <c r="O17" s="53" t="n">
        <v>0</v>
      </c>
      <c r="P17" s="6" t="n">
        <f aca="false">M17-(N17+O17)</f>
        <v>4.4</v>
      </c>
      <c r="Q17" s="53" t="n">
        <v>0</v>
      </c>
      <c r="R17" s="53" t="n">
        <v>0</v>
      </c>
      <c r="S17" s="53" t="n">
        <f aca="false">SUM(P17:R17)</f>
        <v>4.4</v>
      </c>
      <c r="T17" s="54"/>
      <c r="U17" s="53" t="n">
        <v>0</v>
      </c>
      <c r="V17" s="104" t="n">
        <v>30</v>
      </c>
      <c r="W17" s="105" t="n">
        <f aca="false">W16-V17</f>
        <v>865</v>
      </c>
      <c r="X17" s="6" t="n">
        <f aca="false">N17+O17+S17+U17+V17</f>
        <v>34.4</v>
      </c>
      <c r="Y17" s="53" t="n">
        <f aca="false">IF(L17&lt;0,L17*-1,0)</f>
        <v>0</v>
      </c>
      <c r="Z17" s="53" t="n">
        <f aca="false">X17+Y17</f>
        <v>34.4</v>
      </c>
      <c r="AA17" s="58" t="n">
        <v>0.07</v>
      </c>
      <c r="AB17" s="59" t="n">
        <v>42</v>
      </c>
      <c r="AC17" s="59" t="n">
        <v>11</v>
      </c>
      <c r="AD17" s="60" t="n">
        <f aca="false">AD16+1</f>
        <v>8</v>
      </c>
      <c r="AE17" s="94"/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6876.62</v>
      </c>
      <c r="C18" s="54" t="n">
        <v>206206</v>
      </c>
      <c r="D18" s="59" t="n">
        <f aca="false">C18-C17</f>
        <v>0</v>
      </c>
      <c r="E18" s="54" t="n">
        <f aca="false">C18-152000</f>
        <v>54206</v>
      </c>
      <c r="F18" s="53" t="n">
        <f aca="false">D18/$D$2</f>
        <v>0</v>
      </c>
      <c r="G18" s="53" t="n">
        <v>28</v>
      </c>
      <c r="H18" s="58" t="n">
        <v>0.62</v>
      </c>
      <c r="I18" s="53" t="n">
        <f aca="false">G18+H18</f>
        <v>28.62</v>
      </c>
      <c r="J18" s="83" t="n">
        <f aca="false">IF(L18&gt;0,L18,0)</f>
        <v>5.78</v>
      </c>
      <c r="K18" s="53" t="n">
        <f aca="false">I18+J18</f>
        <v>34.4</v>
      </c>
      <c r="L18" s="53" t="n">
        <f aca="false">F18-(I18-X18)</f>
        <v>5.78</v>
      </c>
      <c r="M18" s="53" t="n">
        <v>4.4</v>
      </c>
      <c r="N18" s="53" t="n">
        <v>0</v>
      </c>
      <c r="O18" s="53" t="n">
        <v>0</v>
      </c>
      <c r="P18" s="6" t="n">
        <f aca="false">M18-(N18+O18)</f>
        <v>4.4</v>
      </c>
      <c r="Q18" s="53" t="n">
        <v>0</v>
      </c>
      <c r="R18" s="53" t="n">
        <v>0</v>
      </c>
      <c r="S18" s="53" t="n">
        <f aca="false">SUM(P18:R18)</f>
        <v>4.4</v>
      </c>
      <c r="T18" s="54"/>
      <c r="U18" s="53" t="n">
        <v>0</v>
      </c>
      <c r="V18" s="104" t="n">
        <v>30</v>
      </c>
      <c r="W18" s="105" t="n">
        <f aca="false">W17-V18</f>
        <v>835</v>
      </c>
      <c r="X18" s="6" t="n">
        <f aca="false">N18+O18+S18+U18+V18</f>
        <v>34.4</v>
      </c>
      <c r="Y18" s="53" t="n">
        <f aca="false">IF(L18&lt;0,L18*-1,0)</f>
        <v>0</v>
      </c>
      <c r="Z18" s="53" t="n">
        <f aca="false">X18+Y18</f>
        <v>34.4</v>
      </c>
      <c r="AA18" s="58" t="n">
        <v>0</v>
      </c>
      <c r="AB18" s="84" t="n">
        <v>46</v>
      </c>
      <c r="AC18" s="59" t="n">
        <v>10</v>
      </c>
      <c r="AD18" s="60" t="n">
        <f aca="false">AD17+1</f>
        <v>9</v>
      </c>
      <c r="AE18" s="94"/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6876.63</v>
      </c>
      <c r="C19" s="54" t="n">
        <v>206235</v>
      </c>
      <c r="D19" s="59" t="n">
        <f aca="false">C19-C18</f>
        <v>29</v>
      </c>
      <c r="E19" s="54" t="n">
        <f aca="false">C19-152000</f>
        <v>54235</v>
      </c>
      <c r="F19" s="53" t="n">
        <f aca="false">D19/$D$2</f>
        <v>14.6206201159566</v>
      </c>
      <c r="G19" s="53" t="n">
        <v>34</v>
      </c>
      <c r="H19" s="58" t="n">
        <v>0.68</v>
      </c>
      <c r="I19" s="53" t="n">
        <f aca="false">G19+H19</f>
        <v>34.68</v>
      </c>
      <c r="J19" s="83" t="n">
        <f aca="false">IF(L19&gt;0,L19,0)</f>
        <v>14.3406201159566</v>
      </c>
      <c r="K19" s="53" t="n">
        <f aca="false">I19+J19</f>
        <v>49.0206201159566</v>
      </c>
      <c r="L19" s="53" t="n">
        <f aca="false">F19-(I19-X19)</f>
        <v>14.3406201159566</v>
      </c>
      <c r="M19" s="53" t="n">
        <v>4.4</v>
      </c>
      <c r="N19" s="53" t="n">
        <v>0</v>
      </c>
      <c r="O19" s="53" t="n">
        <v>0</v>
      </c>
      <c r="P19" s="6" t="n">
        <f aca="false">M19-(N19+O19)</f>
        <v>4.4</v>
      </c>
      <c r="Q19" s="53" t="n">
        <v>0</v>
      </c>
      <c r="R19" s="53" t="n">
        <v>0</v>
      </c>
      <c r="S19" s="53" t="n">
        <f aca="false">SUM(P19:R19)</f>
        <v>4.4</v>
      </c>
      <c r="T19" s="54"/>
      <c r="U19" s="53" t="n">
        <v>0</v>
      </c>
      <c r="V19" s="104" t="n">
        <v>30</v>
      </c>
      <c r="W19" s="105" t="n">
        <f aca="false">W18-V19</f>
        <v>805</v>
      </c>
      <c r="X19" s="6" t="n">
        <f aca="false">N19+O19+S19+U19+V19</f>
        <v>34.4</v>
      </c>
      <c r="Y19" s="53" t="n">
        <f aca="false">IF(L19&lt;0,L19*-1,0)</f>
        <v>0</v>
      </c>
      <c r="Z19" s="53" t="n">
        <f aca="false">X19+Y19</f>
        <v>34.4</v>
      </c>
      <c r="AA19" s="58" t="n">
        <v>0</v>
      </c>
      <c r="AB19" s="59" t="n">
        <v>55</v>
      </c>
      <c r="AC19" s="59" t="n">
        <v>25</v>
      </c>
      <c r="AD19" s="60" t="n">
        <f aca="false">AD18+1</f>
        <v>10</v>
      </c>
      <c r="AE19" s="94"/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6876.64</v>
      </c>
      <c r="C20" s="54" t="n">
        <v>206264</v>
      </c>
      <c r="D20" s="59" t="n">
        <f aca="false">C20-C19</f>
        <v>29</v>
      </c>
      <c r="E20" s="54" t="n">
        <f aca="false">C20-152000</f>
        <v>54264</v>
      </c>
      <c r="F20" s="53" t="n">
        <f aca="false">D20/$D$2</f>
        <v>14.6206201159566</v>
      </c>
      <c r="G20" s="53" t="n">
        <v>37</v>
      </c>
      <c r="H20" s="58" t="n">
        <v>0.72</v>
      </c>
      <c r="I20" s="53" t="n">
        <f aca="false">G20+H20</f>
        <v>37.72</v>
      </c>
      <c r="J20" s="83" t="n">
        <f aca="false">IF(L20&gt;0,L20,0)</f>
        <v>11.3006201159566</v>
      </c>
      <c r="K20" s="53" t="n">
        <f aca="false">I20+J20</f>
        <v>49.0206201159566</v>
      </c>
      <c r="L20" s="53" t="n">
        <f aca="false">F20-(I20-X20)</f>
        <v>11.3006201159566</v>
      </c>
      <c r="M20" s="53" t="n">
        <v>4.4</v>
      </c>
      <c r="N20" s="53" t="n">
        <v>0</v>
      </c>
      <c r="O20" s="53" t="n">
        <v>0</v>
      </c>
      <c r="P20" s="6" t="n">
        <f aca="false">M20-(N20+O20)</f>
        <v>4.4</v>
      </c>
      <c r="Q20" s="53" t="n">
        <v>0</v>
      </c>
      <c r="R20" s="53" t="n">
        <v>0</v>
      </c>
      <c r="S20" s="53" t="n">
        <f aca="false">SUM(P20:R20)</f>
        <v>4.4</v>
      </c>
      <c r="T20" s="54"/>
      <c r="U20" s="53" t="n">
        <v>0</v>
      </c>
      <c r="V20" s="104" t="n">
        <v>30</v>
      </c>
      <c r="W20" s="105" t="n">
        <f aca="false">W19-V20</f>
        <v>775</v>
      </c>
      <c r="X20" s="6" t="n">
        <f aca="false">N20+O20+S20+U20+V20</f>
        <v>34.4</v>
      </c>
      <c r="Y20" s="53" t="n">
        <f aca="false">IF(L20&lt;0,L20*-1,0)</f>
        <v>0</v>
      </c>
      <c r="Z20" s="53" t="n">
        <f aca="false">X20+Y20</f>
        <v>34.4</v>
      </c>
      <c r="AA20" s="58" t="n">
        <v>0</v>
      </c>
      <c r="AB20" s="59" t="n">
        <v>51</v>
      </c>
      <c r="AC20" s="59" t="n">
        <v>28</v>
      </c>
      <c r="AD20" s="60" t="n">
        <f aca="false">AD19+1</f>
        <v>11</v>
      </c>
      <c r="AE20" s="94"/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6876.66</v>
      </c>
      <c r="C21" s="54" t="n">
        <v>206321</v>
      </c>
      <c r="D21" s="59" t="n">
        <f aca="false">C21-C20</f>
        <v>57</v>
      </c>
      <c r="E21" s="54" t="n">
        <f aca="false">C21-152000</f>
        <v>54321</v>
      </c>
      <c r="F21" s="53" t="n">
        <f aca="false">D21/$D$2</f>
        <v>28.7370809175699</v>
      </c>
      <c r="G21" s="53" t="n">
        <v>43</v>
      </c>
      <c r="H21" s="58" t="n">
        <v>0.72</v>
      </c>
      <c r="I21" s="53" t="n">
        <f aca="false">G21+H21</f>
        <v>43.72</v>
      </c>
      <c r="J21" s="83" t="n">
        <f aca="false">IF(L21&gt;0,L21,0)</f>
        <v>19.41708091757</v>
      </c>
      <c r="K21" s="53" t="n">
        <f aca="false">I21+J21</f>
        <v>63.13708091757</v>
      </c>
      <c r="L21" s="53" t="n">
        <f aca="false">F21-(I21-X21)</f>
        <v>19.41708091757</v>
      </c>
      <c r="M21" s="53" t="n">
        <v>4.4</v>
      </c>
      <c r="N21" s="53" t="n">
        <v>0</v>
      </c>
      <c r="O21" s="53" t="n">
        <v>0</v>
      </c>
      <c r="P21" s="6" t="n">
        <f aca="false">M21-(N21+O21)</f>
        <v>4.4</v>
      </c>
      <c r="Q21" s="53" t="n">
        <v>0</v>
      </c>
      <c r="R21" s="53" t="n">
        <v>0</v>
      </c>
      <c r="S21" s="53" t="n">
        <f aca="false">SUM(P21:R21)</f>
        <v>4.4</v>
      </c>
      <c r="T21" s="54"/>
      <c r="U21" s="53" t="n">
        <v>0</v>
      </c>
      <c r="V21" s="104" t="n">
        <v>30</v>
      </c>
      <c r="W21" s="105" t="n">
        <f aca="false">W20-V21</f>
        <v>745</v>
      </c>
      <c r="X21" s="6" t="n">
        <f aca="false">N21+O21+S21+U21+V21</f>
        <v>34.4</v>
      </c>
      <c r="Y21" s="53" t="n">
        <f aca="false">IF(L21&lt;0,L21*-1,0)</f>
        <v>0</v>
      </c>
      <c r="Z21" s="53" t="n">
        <f aca="false">X21+Y21</f>
        <v>34.4</v>
      </c>
      <c r="AA21" s="58" t="n">
        <v>0</v>
      </c>
      <c r="AB21" s="59" t="n">
        <v>56</v>
      </c>
      <c r="AC21" s="59" t="n">
        <v>25</v>
      </c>
      <c r="AD21" s="60" t="n">
        <f aca="false">AD20+1</f>
        <v>12</v>
      </c>
      <c r="AE21" s="94"/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6876.68</v>
      </c>
      <c r="C22" s="54" t="n">
        <v>206379</v>
      </c>
      <c r="D22" s="59" t="n">
        <f aca="false">C22-C21</f>
        <v>58</v>
      </c>
      <c r="E22" s="54" t="n">
        <f aca="false">C22-152000</f>
        <v>54379</v>
      </c>
      <c r="F22" s="53" t="n">
        <f aca="false">D22/$D$2</f>
        <v>29.2412402319133</v>
      </c>
      <c r="G22" s="53" t="n">
        <v>50</v>
      </c>
      <c r="H22" s="58" t="n">
        <v>0.77</v>
      </c>
      <c r="I22" s="53" t="n">
        <f aca="false">G22+H22</f>
        <v>50.77</v>
      </c>
      <c r="J22" s="83" t="n">
        <f aca="false">IF(L22&gt;0,L22,0)</f>
        <v>13.8712402319133</v>
      </c>
      <c r="K22" s="53" t="n">
        <f aca="false">I22+J22</f>
        <v>64.6412402319133</v>
      </c>
      <c r="L22" s="53" t="n">
        <f aca="false">F22-(I22-X22)</f>
        <v>13.8712402319133</v>
      </c>
      <c r="M22" s="53" t="n">
        <v>4.4</v>
      </c>
      <c r="N22" s="53" t="n">
        <v>0</v>
      </c>
      <c r="O22" s="53" t="n">
        <v>0</v>
      </c>
      <c r="P22" s="6" t="n">
        <f aca="false">M22-(N22+O22)</f>
        <v>4.4</v>
      </c>
      <c r="Q22" s="53" t="n">
        <v>0</v>
      </c>
      <c r="R22" s="53" t="n">
        <v>0</v>
      </c>
      <c r="S22" s="53" t="n">
        <f aca="false">SUM(P22:R22)</f>
        <v>4.4</v>
      </c>
      <c r="T22" s="54"/>
      <c r="U22" s="53" t="n">
        <v>0</v>
      </c>
      <c r="V22" s="104" t="n">
        <v>31</v>
      </c>
      <c r="W22" s="105" t="n">
        <f aca="false">W21-V22</f>
        <v>714</v>
      </c>
      <c r="X22" s="6" t="n">
        <f aca="false">N22+O22+S22+U22+V22</f>
        <v>35.4</v>
      </c>
      <c r="Y22" s="53" t="n">
        <f aca="false">IF(L22&lt;0,L22*-1,0)</f>
        <v>0</v>
      </c>
      <c r="Z22" s="53" t="n">
        <f aca="false">X22+Y22</f>
        <v>35.4</v>
      </c>
      <c r="AA22" s="58" t="n">
        <v>0</v>
      </c>
      <c r="AB22" s="59" t="n">
        <v>64</v>
      </c>
      <c r="AC22" s="59" t="n">
        <v>28</v>
      </c>
      <c r="AD22" s="60" t="n">
        <f aca="false">AD21+1</f>
        <v>13</v>
      </c>
      <c r="AE22" s="94"/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6876.69</v>
      </c>
      <c r="C23" s="54" t="n">
        <v>206408</v>
      </c>
      <c r="D23" s="59" t="n">
        <f aca="false">C23-C22</f>
        <v>29</v>
      </c>
      <c r="E23" s="54" t="n">
        <f aca="false">C23-152000</f>
        <v>54408</v>
      </c>
      <c r="F23" s="53" t="n">
        <f aca="false">D23/$D$2</f>
        <v>14.6206201159566</v>
      </c>
      <c r="G23" s="53" t="n">
        <v>56</v>
      </c>
      <c r="H23" s="58" t="n">
        <v>0.81</v>
      </c>
      <c r="I23" s="53" t="n">
        <f aca="false">G23+H23</f>
        <v>56.81</v>
      </c>
      <c r="J23" s="83" t="n">
        <f aca="false">IF(L23&gt;0,L23,0)</f>
        <v>0</v>
      </c>
      <c r="K23" s="53" t="n">
        <f aca="false">I23+J23</f>
        <v>56.81</v>
      </c>
      <c r="L23" s="53" t="n">
        <f aca="false">F23-(I23-X23)</f>
        <v>-7.78937988404336</v>
      </c>
      <c r="M23" s="53" t="n">
        <v>4.4</v>
      </c>
      <c r="N23" s="53" t="n">
        <v>0</v>
      </c>
      <c r="O23" s="53" t="n">
        <v>0</v>
      </c>
      <c r="P23" s="6" t="n">
        <f aca="false">M23-(N23+O23)</f>
        <v>4.4</v>
      </c>
      <c r="Q23" s="53" t="n">
        <v>0</v>
      </c>
      <c r="R23" s="53" t="n">
        <v>0</v>
      </c>
      <c r="S23" s="53" t="n">
        <f aca="false">SUM(P23:R23)</f>
        <v>4.4</v>
      </c>
      <c r="T23" s="54"/>
      <c r="U23" s="53" t="n">
        <v>0</v>
      </c>
      <c r="V23" s="104" t="n">
        <v>30</v>
      </c>
      <c r="W23" s="105" t="n">
        <f aca="false">W22-V23</f>
        <v>684</v>
      </c>
      <c r="X23" s="6" t="n">
        <f aca="false">N23+O23+S23+U23+V23</f>
        <v>34.4</v>
      </c>
      <c r="Y23" s="53" t="n">
        <f aca="false">IF(L23&lt;0,L23*-1,0)</f>
        <v>7.78937988404336</v>
      </c>
      <c r="Z23" s="53" t="n">
        <f aca="false">X23+Y23</f>
        <v>42.1893798840434</v>
      </c>
      <c r="AA23" s="58" t="n">
        <v>0.16</v>
      </c>
      <c r="AB23" s="84" t="n">
        <v>34</v>
      </c>
      <c r="AC23" s="59" t="n">
        <v>19</v>
      </c>
      <c r="AD23" s="60" t="n">
        <f aca="false">AD22+1</f>
        <v>14</v>
      </c>
      <c r="AE23" s="94"/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6876.71</v>
      </c>
      <c r="C24" s="54" t="n">
        <v>206466</v>
      </c>
      <c r="D24" s="59" t="n">
        <f aca="false">C24-C23</f>
        <v>58</v>
      </c>
      <c r="E24" s="54" t="n">
        <f aca="false">C24-152000</f>
        <v>54466</v>
      </c>
      <c r="F24" s="53" t="n">
        <f aca="false">D24/$D$2</f>
        <v>29.2412402319133</v>
      </c>
      <c r="G24" s="53" t="n">
        <v>42</v>
      </c>
      <c r="H24" s="58" t="n">
        <v>0.79</v>
      </c>
      <c r="I24" s="53" t="n">
        <f aca="false">G24+H24</f>
        <v>42.79</v>
      </c>
      <c r="J24" s="83" t="n">
        <f aca="false">IF(L24&gt;0,L24,0)</f>
        <v>20.8512402319133</v>
      </c>
      <c r="K24" s="53" t="n">
        <f aca="false">I24+J24</f>
        <v>63.6412402319133</v>
      </c>
      <c r="L24" s="53" t="n">
        <f aca="false">F24-(I24-X24)</f>
        <v>20.8512402319133</v>
      </c>
      <c r="M24" s="53" t="n">
        <v>4.4</v>
      </c>
      <c r="N24" s="53" t="n">
        <v>0</v>
      </c>
      <c r="O24" s="53" t="n">
        <v>0</v>
      </c>
      <c r="P24" s="6" t="n">
        <f aca="false">M24-(N24+O24)</f>
        <v>4.4</v>
      </c>
      <c r="Q24" s="53" t="n">
        <v>0</v>
      </c>
      <c r="R24" s="53" t="n">
        <v>0</v>
      </c>
      <c r="S24" s="53" t="n">
        <f aca="false">SUM(P24:R24)</f>
        <v>4.4</v>
      </c>
      <c r="T24" s="54"/>
      <c r="U24" s="53" t="n">
        <v>0</v>
      </c>
      <c r="V24" s="104" t="n">
        <v>30</v>
      </c>
      <c r="W24" s="105" t="n">
        <f aca="false">W23-V24</f>
        <v>654</v>
      </c>
      <c r="X24" s="6" t="n">
        <f aca="false">N24+O24+S24+U24+V24</f>
        <v>34.4</v>
      </c>
      <c r="Y24" s="53" t="n">
        <f aca="false">IF(L24&lt;0,L24*-1,0)</f>
        <v>0</v>
      </c>
      <c r="Z24" s="53" t="n">
        <f aca="false">X24+Y24</f>
        <v>34.4</v>
      </c>
      <c r="AA24" s="58" t="n">
        <v>0</v>
      </c>
      <c r="AB24" s="84" t="n">
        <v>39</v>
      </c>
      <c r="AC24" s="59" t="n">
        <v>14</v>
      </c>
      <c r="AD24" s="60" t="n">
        <f aca="false">AD23+1</f>
        <v>15</v>
      </c>
      <c r="AE24" s="94"/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6876.73</v>
      </c>
      <c r="C25" s="54" t="n">
        <v>206524</v>
      </c>
      <c r="D25" s="59" t="n">
        <f aca="false">C25-C24</f>
        <v>58</v>
      </c>
      <c r="E25" s="54" t="n">
        <f aca="false">C25-152000</f>
        <v>54524</v>
      </c>
      <c r="F25" s="53" t="n">
        <f aca="false">D25/$D$2</f>
        <v>29.2412402319133</v>
      </c>
      <c r="G25" s="53" t="n">
        <v>40</v>
      </c>
      <c r="H25" s="58" t="n">
        <v>0.77</v>
      </c>
      <c r="I25" s="53" t="n">
        <f aca="false">G25+H25</f>
        <v>40.77</v>
      </c>
      <c r="J25" s="83" t="n">
        <f aca="false">IF(L25&gt;0,L25,0)</f>
        <v>23.1712402319133</v>
      </c>
      <c r="K25" s="53" t="n">
        <f aca="false">I25+J25</f>
        <v>63.9412402319133</v>
      </c>
      <c r="L25" s="53" t="n">
        <f aca="false">F25-(I25-X25)</f>
        <v>23.1712402319133</v>
      </c>
      <c r="M25" s="53" t="n">
        <v>4.7</v>
      </c>
      <c r="N25" s="53" t="n">
        <v>0</v>
      </c>
      <c r="O25" s="53" t="n">
        <v>0</v>
      </c>
      <c r="P25" s="6" t="n">
        <f aca="false">M25-(N25+O25)</f>
        <v>4.7</v>
      </c>
      <c r="Q25" s="53" t="n">
        <v>0</v>
      </c>
      <c r="R25" s="53" t="n">
        <v>0</v>
      </c>
      <c r="S25" s="53" t="n">
        <f aca="false">SUM(P25:R25)</f>
        <v>4.7</v>
      </c>
      <c r="T25" s="54"/>
      <c r="U25" s="53" t="n">
        <v>0</v>
      </c>
      <c r="V25" s="104" t="n">
        <v>30</v>
      </c>
      <c r="W25" s="105" t="n">
        <f aca="false">W24-V25</f>
        <v>624</v>
      </c>
      <c r="X25" s="6" t="n">
        <f aca="false">N25+O25+S25+U25+V25</f>
        <v>34.7</v>
      </c>
      <c r="Y25" s="53" t="n">
        <f aca="false">IF(L25&lt;0,L25*-1,0)</f>
        <v>0</v>
      </c>
      <c r="Z25" s="53" t="n">
        <f aca="false">X25+Y25</f>
        <v>34.7</v>
      </c>
      <c r="AA25" s="58" t="n">
        <v>0.1</v>
      </c>
      <c r="AB25" s="84" t="n">
        <v>36</v>
      </c>
      <c r="AC25" s="59" t="n">
        <v>14</v>
      </c>
      <c r="AD25" s="60" t="n">
        <f aca="false">AD24+1</f>
        <v>16</v>
      </c>
      <c r="AE25" s="94"/>
      <c r="AF25" s="98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6876.76</v>
      </c>
      <c r="C26" s="54" t="n">
        <v>206610</v>
      </c>
      <c r="D26" s="59" t="n">
        <f aca="false">C26-C25</f>
        <v>86</v>
      </c>
      <c r="E26" s="54" t="n">
        <f aca="false">C26-152000</f>
        <v>54610</v>
      </c>
      <c r="F26" s="53" t="n">
        <f aca="false">D26/$D$2</f>
        <v>43.3577010335266</v>
      </c>
      <c r="G26" s="53" t="n">
        <v>38</v>
      </c>
      <c r="H26" s="58" t="n">
        <v>0.77</v>
      </c>
      <c r="I26" s="53" t="n">
        <f aca="false">G26+H26</f>
        <v>38.77</v>
      </c>
      <c r="J26" s="83" t="n">
        <f aca="false">IF(L26&gt;0,L26,0)</f>
        <v>39.6877010335266</v>
      </c>
      <c r="K26" s="53" t="n">
        <f aca="false">I26+J26</f>
        <v>78.4577010335266</v>
      </c>
      <c r="L26" s="53" t="n">
        <f aca="false">F26-(I26-X26)</f>
        <v>39.6877010335266</v>
      </c>
      <c r="M26" s="53" t="n">
        <v>5.1</v>
      </c>
      <c r="N26" s="53" t="n">
        <v>0</v>
      </c>
      <c r="O26" s="53" t="n">
        <v>0</v>
      </c>
      <c r="P26" s="6" t="n">
        <f aca="false">M26-(N26+O26)</f>
        <v>5.1</v>
      </c>
      <c r="Q26" s="53" t="n">
        <v>0</v>
      </c>
      <c r="R26" s="53" t="n">
        <v>0</v>
      </c>
      <c r="S26" s="53" t="n">
        <f aca="false">SUM(P26:R26)</f>
        <v>5.1</v>
      </c>
      <c r="T26" s="54"/>
      <c r="U26" s="53" t="n">
        <v>0</v>
      </c>
      <c r="V26" s="104" t="n">
        <v>30</v>
      </c>
      <c r="W26" s="105" t="n">
        <f aca="false">W25-V26</f>
        <v>594</v>
      </c>
      <c r="X26" s="6" t="n">
        <f aca="false">N26+O26+S26+U26+V26</f>
        <v>35.1</v>
      </c>
      <c r="Y26" s="53" t="n">
        <f aca="false">IF(L26&lt;0,L26*-1,0)</f>
        <v>0</v>
      </c>
      <c r="Z26" s="53" t="n">
        <f aca="false">X26+Y26</f>
        <v>35.1</v>
      </c>
      <c r="AA26" s="58" t="n">
        <v>0.07</v>
      </c>
      <c r="AB26" s="84" t="n">
        <v>36</v>
      </c>
      <c r="AC26" s="59" t="n">
        <v>18</v>
      </c>
      <c r="AD26" s="60" t="n">
        <f aca="false">AD25+1</f>
        <v>17</v>
      </c>
      <c r="AE26" s="94"/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6876.8</v>
      </c>
      <c r="C27" s="54" t="n">
        <v>206726</v>
      </c>
      <c r="D27" s="59" t="n">
        <f aca="false">C27-C26</f>
        <v>116</v>
      </c>
      <c r="E27" s="54" t="n">
        <f aca="false">C27-152000</f>
        <v>54726</v>
      </c>
      <c r="F27" s="53" t="n">
        <f aca="false">D27/$D$2</f>
        <v>58.4824804638266</v>
      </c>
      <c r="G27" s="53" t="n">
        <v>37</v>
      </c>
      <c r="H27" s="58" t="n">
        <v>0.76</v>
      </c>
      <c r="I27" s="53" t="n">
        <f aca="false">G27+H27</f>
        <v>37.76</v>
      </c>
      <c r="J27" s="83" t="n">
        <f aca="false">IF(L27&gt;0,L27,0)</f>
        <v>58.1224804638266</v>
      </c>
      <c r="K27" s="53" t="n">
        <f aca="false">I27+J27</f>
        <v>95.8824804638266</v>
      </c>
      <c r="L27" s="53" t="n">
        <f aca="false">F27-(I27-X27)</f>
        <v>58.1224804638266</v>
      </c>
      <c r="M27" s="53" t="n">
        <v>5.4</v>
      </c>
      <c r="N27" s="53" t="n">
        <v>0</v>
      </c>
      <c r="O27" s="53" t="n">
        <v>0</v>
      </c>
      <c r="P27" s="6" t="n">
        <f aca="false">M27-(N27+O27)</f>
        <v>5.4</v>
      </c>
      <c r="Q27" s="53" t="n">
        <v>0</v>
      </c>
      <c r="R27" s="53" t="n">
        <v>0</v>
      </c>
      <c r="S27" s="53" t="n">
        <f aca="false">SUM(P27:R27)</f>
        <v>5.4</v>
      </c>
      <c r="T27" s="54"/>
      <c r="U27" s="53" t="n">
        <v>0</v>
      </c>
      <c r="V27" s="104" t="n">
        <v>32</v>
      </c>
      <c r="W27" s="105" t="n">
        <f aca="false">W26-V27</f>
        <v>562</v>
      </c>
      <c r="X27" s="6" t="n">
        <f aca="false">N27+O27+S27+U27+V27</f>
        <v>37.4</v>
      </c>
      <c r="Y27" s="53" t="n">
        <f aca="false">IF(L27&lt;0,L27*-1,0)</f>
        <v>0</v>
      </c>
      <c r="Z27" s="53" t="n">
        <f aca="false">X27+Y27</f>
        <v>37.4</v>
      </c>
      <c r="AA27" s="58" t="n">
        <v>0</v>
      </c>
      <c r="AB27" s="84" t="n">
        <v>40</v>
      </c>
      <c r="AC27" s="59" t="n">
        <v>23</v>
      </c>
      <c r="AD27" s="60" t="n">
        <f aca="false">AD26+1</f>
        <v>18</v>
      </c>
      <c r="AE27" s="94"/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6876.83</v>
      </c>
      <c r="C28" s="101" t="n">
        <v>206813</v>
      </c>
      <c r="D28" s="59" t="n">
        <f aca="false">C28-C27</f>
        <v>87</v>
      </c>
      <c r="E28" s="54" t="n">
        <f aca="false">C28-152000</f>
        <v>54813</v>
      </c>
      <c r="F28" s="53" t="n">
        <f aca="false">D28/$D$2</f>
        <v>43.8618603478699</v>
      </c>
      <c r="G28" s="53" t="n">
        <v>35</v>
      </c>
      <c r="H28" s="58" t="n">
        <v>1.1</v>
      </c>
      <c r="I28" s="53" t="n">
        <f aca="false">G28+H28</f>
        <v>36.1</v>
      </c>
      <c r="J28" s="83" t="n">
        <f aca="false">IF(L28&gt;0,L28,0)</f>
        <v>46.4618603478699</v>
      </c>
      <c r="K28" s="53" t="n">
        <f aca="false">I28+J28</f>
        <v>82.5618603478699</v>
      </c>
      <c r="L28" s="53" t="n">
        <f aca="false">F28-(I28-X28)</f>
        <v>46.4618603478699</v>
      </c>
      <c r="M28" s="53" t="n">
        <v>5.7</v>
      </c>
      <c r="N28" s="53" t="n">
        <v>0</v>
      </c>
      <c r="O28" s="53" t="n">
        <v>0</v>
      </c>
      <c r="P28" s="6" t="n">
        <f aca="false">M28-(N28+O28)</f>
        <v>5.7</v>
      </c>
      <c r="Q28" s="53" t="n">
        <v>0</v>
      </c>
      <c r="R28" s="53" t="n">
        <v>0</v>
      </c>
      <c r="S28" s="53" t="n">
        <f aca="false">SUM(P28:R28)</f>
        <v>5.7</v>
      </c>
      <c r="T28" s="54"/>
      <c r="U28" s="53" t="n">
        <v>0</v>
      </c>
      <c r="V28" s="104" t="n">
        <v>33</v>
      </c>
      <c r="W28" s="105" t="n">
        <f aca="false">W27-V28</f>
        <v>529</v>
      </c>
      <c r="X28" s="6" t="n">
        <f aca="false">N28+O28+S28+U28+V28</f>
        <v>38.7</v>
      </c>
      <c r="Y28" s="53" t="n">
        <f aca="false">IF(L28&lt;0,L28*-1,0)</f>
        <v>0</v>
      </c>
      <c r="Z28" s="53" t="n">
        <f aca="false">X28+Y28</f>
        <v>38.7</v>
      </c>
      <c r="AA28" s="58" t="n">
        <v>0</v>
      </c>
      <c r="AB28" s="84" t="n">
        <v>48</v>
      </c>
      <c r="AC28" s="59" t="n">
        <v>22</v>
      </c>
      <c r="AD28" s="60" t="n">
        <f aca="false">AD27+1</f>
        <v>19</v>
      </c>
      <c r="AE28" s="94"/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6876.81</v>
      </c>
      <c r="C29" s="54" t="n">
        <v>206755</v>
      </c>
      <c r="D29" s="59" t="n">
        <f aca="false">C29-C28</f>
        <v>-58</v>
      </c>
      <c r="E29" s="54" t="n">
        <f aca="false">C29-152000</f>
        <v>54755</v>
      </c>
      <c r="F29" s="53" t="n">
        <f aca="false">D29/$D$2</f>
        <v>-29.2412402319133</v>
      </c>
      <c r="G29" s="53" t="n">
        <v>38</v>
      </c>
      <c r="H29" s="58" t="n">
        <v>0.9</v>
      </c>
      <c r="I29" s="53" t="n">
        <f aca="false">G29+H29</f>
        <v>38.9</v>
      </c>
      <c r="J29" s="83" t="n">
        <f aca="false">IF(L29&gt;0,L29,0)</f>
        <v>0</v>
      </c>
      <c r="K29" s="53" t="n">
        <f aca="false">I29+J29</f>
        <v>38.9</v>
      </c>
      <c r="L29" s="53" t="n">
        <f aca="false">F29-(I29-X29)</f>
        <v>-1.14124023191328</v>
      </c>
      <c r="M29" s="53" t="n">
        <v>35</v>
      </c>
      <c r="N29" s="53" t="n">
        <v>0</v>
      </c>
      <c r="O29" s="53" t="n">
        <v>0</v>
      </c>
      <c r="P29" s="6" t="n">
        <f aca="false">M29-(N29+O29)</f>
        <v>35</v>
      </c>
      <c r="Q29" s="53" t="n">
        <v>0</v>
      </c>
      <c r="R29" s="53" t="n">
        <v>0</v>
      </c>
      <c r="S29" s="53" t="n">
        <f aca="false">SUM(P29:R29)</f>
        <v>35</v>
      </c>
      <c r="T29" s="54"/>
      <c r="U29" s="53" t="n">
        <v>0</v>
      </c>
      <c r="V29" s="104" t="n">
        <v>32</v>
      </c>
      <c r="W29" s="105" t="n">
        <f aca="false">W28-V29</f>
        <v>497</v>
      </c>
      <c r="X29" s="6" t="n">
        <f aca="false">N29+O29+S29+U29+V29</f>
        <v>67</v>
      </c>
      <c r="Y29" s="53" t="n">
        <f aca="false">IF(L29&lt;0,L29*-1,0)</f>
        <v>1.14124023191328</v>
      </c>
      <c r="Z29" s="53" t="n">
        <f aca="false">X29+Y29</f>
        <v>68.1412402319133</v>
      </c>
      <c r="AA29" s="58" t="n">
        <v>0</v>
      </c>
      <c r="AB29" s="84" t="n">
        <v>58</v>
      </c>
      <c r="AC29" s="59" t="n">
        <v>27</v>
      </c>
      <c r="AD29" s="60" t="n">
        <f aca="false">AD28+1</f>
        <v>20</v>
      </c>
      <c r="AE29" s="94"/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6876.79</v>
      </c>
      <c r="C30" s="54" t="n">
        <v>206697</v>
      </c>
      <c r="D30" s="59" t="n">
        <f aca="false">C30-C29</f>
        <v>-58</v>
      </c>
      <c r="E30" s="54" t="n">
        <f aca="false">C30-152000</f>
        <v>54697</v>
      </c>
      <c r="F30" s="53" t="n">
        <f aca="false">D30/$D$2</f>
        <v>-29.2412402319133</v>
      </c>
      <c r="G30" s="53" t="n">
        <v>44</v>
      </c>
      <c r="H30" s="58" t="n">
        <v>0.88</v>
      </c>
      <c r="I30" s="53" t="n">
        <f aca="false">G30+H30</f>
        <v>44.88</v>
      </c>
      <c r="J30" s="83" t="n">
        <f aca="false">IF(L30&gt;0,L30,0)</f>
        <v>0</v>
      </c>
      <c r="K30" s="53" t="n">
        <f aca="false">I30+J30</f>
        <v>44.88</v>
      </c>
      <c r="L30" s="53" t="n">
        <f aca="false">F30-(I30-X30)</f>
        <v>-16.1212402319133</v>
      </c>
      <c r="M30" s="53" t="n">
        <v>25</v>
      </c>
      <c r="N30" s="53" t="n">
        <v>0</v>
      </c>
      <c r="O30" s="53" t="n">
        <v>0</v>
      </c>
      <c r="P30" s="6" t="n">
        <f aca="false">M30-(N30+O30)</f>
        <v>25</v>
      </c>
      <c r="Q30" s="53" t="n">
        <v>0</v>
      </c>
      <c r="R30" s="53" t="n">
        <v>0</v>
      </c>
      <c r="S30" s="53" t="n">
        <f aca="false">SUM(P30:R30)</f>
        <v>25</v>
      </c>
      <c r="T30" s="54"/>
      <c r="U30" s="53" t="n">
        <v>0</v>
      </c>
      <c r="V30" s="104" t="n">
        <v>33</v>
      </c>
      <c r="W30" s="105" t="n">
        <f aca="false">W29-V30</f>
        <v>464</v>
      </c>
      <c r="X30" s="6" t="n">
        <f aca="false">N30+O30+S30+U30+V30</f>
        <v>58</v>
      </c>
      <c r="Y30" s="53" t="n">
        <f aca="false">IF(L30&lt;0,L30*-1,0)</f>
        <v>16.1212402319133</v>
      </c>
      <c r="Z30" s="53" t="n">
        <f aca="false">X30+Y30</f>
        <v>74.1212402319133</v>
      </c>
      <c r="AA30" s="58" t="n">
        <v>0</v>
      </c>
      <c r="AB30" s="59" t="n">
        <v>64</v>
      </c>
      <c r="AC30" s="59" t="n">
        <v>28</v>
      </c>
      <c r="AD30" s="60" t="n">
        <f aca="false">AD29+1</f>
        <v>21</v>
      </c>
      <c r="AE30" s="94"/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6876.81</v>
      </c>
      <c r="C31" s="54" t="n">
        <v>206755</v>
      </c>
      <c r="D31" s="59" t="n">
        <f aca="false">C31-C30</f>
        <v>58</v>
      </c>
      <c r="E31" s="54" t="n">
        <f aca="false">C31-152000</f>
        <v>54755</v>
      </c>
      <c r="F31" s="53" t="n">
        <f aca="false">D31/$D$2</f>
        <v>29.2412402319133</v>
      </c>
      <c r="G31" s="53" t="n">
        <v>49</v>
      </c>
      <c r="H31" s="58" t="n">
        <v>1.1</v>
      </c>
      <c r="I31" s="53" t="n">
        <f aca="false">G31+H31</f>
        <v>50.1</v>
      </c>
      <c r="J31" s="83" t="n">
        <f aca="false">IF(L31&gt;0,L31,0)</f>
        <v>19.4412402319133</v>
      </c>
      <c r="K31" s="53" t="n">
        <f aca="false">I31+J31</f>
        <v>69.5412402319133</v>
      </c>
      <c r="L31" s="53" t="n">
        <f aca="false">F31-(I31-X31)</f>
        <v>19.4412402319133</v>
      </c>
      <c r="M31" s="53" t="n">
        <v>7.3</v>
      </c>
      <c r="N31" s="53" t="n">
        <v>0</v>
      </c>
      <c r="O31" s="53" t="n">
        <v>0</v>
      </c>
      <c r="P31" s="6" t="n">
        <f aca="false">M31-(N31+O31)</f>
        <v>7.3</v>
      </c>
      <c r="Q31" s="53" t="n">
        <v>0</v>
      </c>
      <c r="R31" s="53" t="n">
        <v>0</v>
      </c>
      <c r="S31" s="53" t="n">
        <f aca="false">SUM(P31:R31)</f>
        <v>7.3</v>
      </c>
      <c r="T31" s="54"/>
      <c r="U31" s="53" t="n">
        <v>0</v>
      </c>
      <c r="V31" s="104" t="n">
        <v>33</v>
      </c>
      <c r="W31" s="105" t="n">
        <f aca="false">W30-V31</f>
        <v>431</v>
      </c>
      <c r="X31" s="6" t="n">
        <f aca="false">N31+O31+S31+U31+V31</f>
        <v>40.3</v>
      </c>
      <c r="Y31" s="53" t="n">
        <f aca="false">IF(L31&lt;0,L31*-1,0)</f>
        <v>0</v>
      </c>
      <c r="Z31" s="53" t="n">
        <f aca="false">X31+Y31</f>
        <v>40.3</v>
      </c>
      <c r="AA31" s="58" t="n">
        <v>0</v>
      </c>
      <c r="AB31" s="59" t="n">
        <v>66</v>
      </c>
      <c r="AC31" s="59" t="n">
        <v>31</v>
      </c>
      <c r="AD31" s="60" t="n">
        <f aca="false">AD30+1</f>
        <v>22</v>
      </c>
      <c r="AE31" s="94"/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6876.84</v>
      </c>
      <c r="C32" s="54" t="n">
        <v>206841</v>
      </c>
      <c r="D32" s="59" t="n">
        <f aca="false">C32-C31</f>
        <v>86</v>
      </c>
      <c r="E32" s="54" t="n">
        <f aca="false">C32-152000</f>
        <v>54841</v>
      </c>
      <c r="F32" s="53" t="n">
        <f aca="false">D32/$D$2</f>
        <v>43.3577010335266</v>
      </c>
      <c r="G32" s="53" t="n">
        <v>55</v>
      </c>
      <c r="H32" s="58" t="n">
        <v>1.2</v>
      </c>
      <c r="I32" s="53" t="n">
        <f aca="false">G32+H32</f>
        <v>56.2</v>
      </c>
      <c r="J32" s="83" t="n">
        <f aca="false">IF(L32&gt;0,L32,0)</f>
        <v>27.8577010335266</v>
      </c>
      <c r="K32" s="53" t="n">
        <f aca="false">I32+J32</f>
        <v>84.0577010335266</v>
      </c>
      <c r="L32" s="53" t="n">
        <f aca="false">F32-(I32-X32)</f>
        <v>27.8577010335266</v>
      </c>
      <c r="M32" s="53" t="n">
        <v>7.7</v>
      </c>
      <c r="N32" s="53" t="n">
        <v>0</v>
      </c>
      <c r="O32" s="53" t="n">
        <v>0</v>
      </c>
      <c r="P32" s="6" t="n">
        <f aca="false">M32-(N32+O32)</f>
        <v>7.7</v>
      </c>
      <c r="Q32" s="53" t="n">
        <v>0</v>
      </c>
      <c r="R32" s="53" t="n">
        <v>0</v>
      </c>
      <c r="S32" s="53" t="n">
        <f aca="false">SUM(P32:R32)</f>
        <v>7.7</v>
      </c>
      <c r="T32" s="54"/>
      <c r="U32" s="53" t="n">
        <v>0</v>
      </c>
      <c r="V32" s="104" t="n">
        <v>33</v>
      </c>
      <c r="W32" s="105" t="n">
        <f aca="false">W31-V32</f>
        <v>398</v>
      </c>
      <c r="X32" s="6" t="n">
        <f aca="false">N32+O32+S32+U32+V32</f>
        <v>40.7</v>
      </c>
      <c r="Y32" s="53" t="n">
        <f aca="false">IF(L32&lt;0,L32*-1,0)</f>
        <v>0</v>
      </c>
      <c r="Z32" s="53" t="n">
        <f aca="false">X32+Y32</f>
        <v>40.7</v>
      </c>
      <c r="AA32" s="58" t="n">
        <v>0</v>
      </c>
      <c r="AB32" s="59" t="n">
        <v>58</v>
      </c>
      <c r="AC32" s="84" t="n">
        <v>33</v>
      </c>
      <c r="AD32" s="60" t="n">
        <f aca="false">AD31+1</f>
        <v>23</v>
      </c>
      <c r="AE32" s="94"/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6876.91</v>
      </c>
      <c r="C33" s="54" t="n">
        <v>207044</v>
      </c>
      <c r="D33" s="59" t="n">
        <f aca="false">C33-C32</f>
        <v>203</v>
      </c>
      <c r="E33" s="54" t="n">
        <f aca="false">C33-152000</f>
        <v>55044</v>
      </c>
      <c r="F33" s="53" t="n">
        <f aca="false">D33/$D$2</f>
        <v>102.344340811697</v>
      </c>
      <c r="G33" s="53" t="n">
        <v>52</v>
      </c>
      <c r="H33" s="58" t="n">
        <v>0.77</v>
      </c>
      <c r="I33" s="53" t="n">
        <f aca="false">G33+H33</f>
        <v>52.77</v>
      </c>
      <c r="J33" s="83" t="n">
        <f aca="false">IF(L33&gt;0,L33,0)</f>
        <v>89.9743408116965</v>
      </c>
      <c r="K33" s="53" t="n">
        <f aca="false">I33+J33</f>
        <v>142.744340811697</v>
      </c>
      <c r="L33" s="53" t="n">
        <f aca="false">F33-(I33-X33)</f>
        <v>89.9743408116965</v>
      </c>
      <c r="M33" s="53" t="n">
        <v>7.4</v>
      </c>
      <c r="N33" s="53" t="n">
        <v>0</v>
      </c>
      <c r="O33" s="53" t="n">
        <v>0</v>
      </c>
      <c r="P33" s="6" t="n">
        <f aca="false">M33-(N33+O33)</f>
        <v>7.4</v>
      </c>
      <c r="Q33" s="53" t="n">
        <v>0</v>
      </c>
      <c r="R33" s="53" t="n">
        <v>0</v>
      </c>
      <c r="S33" s="53" t="n">
        <f aca="false">SUM(P33:R33)</f>
        <v>7.4</v>
      </c>
      <c r="T33" s="54"/>
      <c r="U33" s="53" t="n">
        <v>0</v>
      </c>
      <c r="V33" s="104" t="n">
        <v>33</v>
      </c>
      <c r="W33" s="105" t="n">
        <f aca="false">W32-V33</f>
        <v>365</v>
      </c>
      <c r="X33" s="6" t="n">
        <f aca="false">N33+O33+S33+U33+V33</f>
        <v>40.4</v>
      </c>
      <c r="Y33" s="53" t="n">
        <f aca="false">IF(L33&lt;0,L33*-1,0)</f>
        <v>0</v>
      </c>
      <c r="Z33" s="53" t="n">
        <f aca="false">X33+Y33</f>
        <v>40.4</v>
      </c>
      <c r="AA33" s="58" t="n">
        <v>0.01</v>
      </c>
      <c r="AB33" s="59" t="n">
        <v>47</v>
      </c>
      <c r="AC33" s="84" t="n">
        <v>28</v>
      </c>
      <c r="AD33" s="60" t="n">
        <f aca="false">AD32+1</f>
        <v>24</v>
      </c>
      <c r="AE33" s="94"/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6876.93</v>
      </c>
      <c r="C34" s="54" t="n">
        <v>207101</v>
      </c>
      <c r="D34" s="59" t="n">
        <f aca="false">C34-C33</f>
        <v>57</v>
      </c>
      <c r="E34" s="54" t="n">
        <f aca="false">C34-152000</f>
        <v>55101</v>
      </c>
      <c r="F34" s="53" t="n">
        <f aca="false">D34/$D$2</f>
        <v>28.7370809175699</v>
      </c>
      <c r="G34" s="53" t="n">
        <v>49</v>
      </c>
      <c r="H34" s="58" t="n">
        <v>1</v>
      </c>
      <c r="I34" s="53" t="n">
        <f aca="false">G34+H34</f>
        <v>50</v>
      </c>
      <c r="J34" s="83" t="n">
        <f aca="false">IF(L34&gt;0,L34,0)</f>
        <v>60.73708091757</v>
      </c>
      <c r="K34" s="53" t="n">
        <f aca="false">I34+J34</f>
        <v>110.73708091757</v>
      </c>
      <c r="L34" s="53" t="n">
        <f aca="false">F34-(I34-X34)</f>
        <v>60.73708091757</v>
      </c>
      <c r="M34" s="53" t="n">
        <v>49</v>
      </c>
      <c r="N34" s="53" t="n">
        <v>0</v>
      </c>
      <c r="O34" s="53" t="n">
        <v>0</v>
      </c>
      <c r="P34" s="6" t="n">
        <f aca="false">M34-(N34+O34)</f>
        <v>49</v>
      </c>
      <c r="Q34" s="53" t="n">
        <v>0</v>
      </c>
      <c r="R34" s="53" t="n">
        <v>0</v>
      </c>
      <c r="S34" s="53" t="n">
        <f aca="false">SUM(P34:R34)</f>
        <v>49</v>
      </c>
      <c r="T34" s="54"/>
      <c r="U34" s="53" t="n">
        <v>0</v>
      </c>
      <c r="V34" s="104" t="n">
        <v>33</v>
      </c>
      <c r="W34" s="105" t="n">
        <f aca="false">W33-V34</f>
        <v>332</v>
      </c>
      <c r="X34" s="6" t="n">
        <f aca="false">N34+O34+S34+U34+V34</f>
        <v>82</v>
      </c>
      <c r="Y34" s="53" t="n">
        <f aca="false">IF(L34&lt;0,L34*-1,0)</f>
        <v>0</v>
      </c>
      <c r="Z34" s="53" t="n">
        <f aca="false">X34+Y34</f>
        <v>82</v>
      </c>
      <c r="AA34" s="58" t="n">
        <v>0.01</v>
      </c>
      <c r="AB34" s="59" t="n">
        <v>44</v>
      </c>
      <c r="AC34" s="84" t="n">
        <v>28</v>
      </c>
      <c r="AD34" s="60" t="n">
        <f aca="false">AD33+1</f>
        <v>25</v>
      </c>
      <c r="AE34" s="94"/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6876.91</v>
      </c>
      <c r="C35" s="54" t="n">
        <v>207044</v>
      </c>
      <c r="D35" s="59" t="n">
        <f aca="false">C35-C34</f>
        <v>-57</v>
      </c>
      <c r="E35" s="54" t="n">
        <f aca="false">C35-152000</f>
        <v>55044</v>
      </c>
      <c r="F35" s="53" t="n">
        <f aca="false">D35/$D$2</f>
        <v>-28.7370809175699</v>
      </c>
      <c r="G35" s="53" t="n">
        <v>39</v>
      </c>
      <c r="H35" s="58" t="n">
        <v>0.93</v>
      </c>
      <c r="I35" s="53" t="n">
        <f aca="false">G35+H35</f>
        <v>39.93</v>
      </c>
      <c r="J35" s="83" t="n">
        <f aca="false">IF(L35&gt;0,L35,0)</f>
        <v>0</v>
      </c>
      <c r="K35" s="53" t="n">
        <f aca="false">I35+J35</f>
        <v>39.93</v>
      </c>
      <c r="L35" s="53" t="n">
        <f aca="false">F35-(I35-X35)</f>
        <v>-10.66708091757</v>
      </c>
      <c r="M35" s="53" t="n">
        <v>25</v>
      </c>
      <c r="N35" s="53" t="n">
        <v>0.08</v>
      </c>
      <c r="O35" s="53" t="n">
        <v>0.1</v>
      </c>
      <c r="P35" s="6" t="n">
        <f aca="false">M35-(N35+O35)</f>
        <v>24.82</v>
      </c>
      <c r="Q35" s="53" t="n">
        <v>0</v>
      </c>
      <c r="R35" s="53" t="n">
        <v>0</v>
      </c>
      <c r="S35" s="53" t="n">
        <f aca="false">SUM(P35:R35)</f>
        <v>24.82</v>
      </c>
      <c r="T35" s="54"/>
      <c r="U35" s="53" t="n">
        <v>0</v>
      </c>
      <c r="V35" s="104" t="n">
        <v>33</v>
      </c>
      <c r="W35" s="105" t="n">
        <f aca="false">W34-V35</f>
        <v>299</v>
      </c>
      <c r="X35" s="6" t="n">
        <f aca="false">N35+O35+S35+U35+V35</f>
        <v>58</v>
      </c>
      <c r="Y35" s="53" t="n">
        <f aca="false">IF(L35&lt;0,L35*-1,0)</f>
        <v>10.66708091757</v>
      </c>
      <c r="Z35" s="53" t="n">
        <f aca="false">X35+Y35</f>
        <v>68.66708091757</v>
      </c>
      <c r="AA35" s="58" t="n">
        <v>0</v>
      </c>
      <c r="AB35" s="59" t="n">
        <v>55</v>
      </c>
      <c r="AC35" s="59" t="n">
        <v>26</v>
      </c>
      <c r="AD35" s="60" t="n">
        <f aca="false">AD34+1</f>
        <v>26</v>
      </c>
      <c r="AE35" s="94"/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6876.94</v>
      </c>
      <c r="C36" s="54" t="n">
        <v>207130</v>
      </c>
      <c r="D36" s="59" t="n">
        <f aca="false">C36-C35</f>
        <v>86</v>
      </c>
      <c r="E36" s="54" t="n">
        <f aca="false">C36-152000</f>
        <v>55130</v>
      </c>
      <c r="F36" s="53" t="n">
        <f aca="false">D36/$D$2</f>
        <v>43.3577010335266</v>
      </c>
      <c r="G36" s="53" t="n">
        <v>48</v>
      </c>
      <c r="H36" s="58" t="n">
        <v>0.83</v>
      </c>
      <c r="I36" s="53" t="n">
        <f aca="false">G36+H36</f>
        <v>48.83</v>
      </c>
      <c r="J36" s="83" t="n">
        <f aca="false">IF(L36&gt;0,L36,0)</f>
        <v>52.5277010335266</v>
      </c>
      <c r="K36" s="53" t="n">
        <f aca="false">I36+J36</f>
        <v>101.357701033527</v>
      </c>
      <c r="L36" s="53" t="n">
        <f aca="false">F36-(I36-X36)</f>
        <v>52.5277010335266</v>
      </c>
      <c r="M36" s="53" t="n">
        <v>25</v>
      </c>
      <c r="N36" s="53" t="n">
        <v>0</v>
      </c>
      <c r="O36" s="53" t="n">
        <v>7.5</v>
      </c>
      <c r="P36" s="6" t="n">
        <f aca="false">M36-(N36+O36)</f>
        <v>17.5</v>
      </c>
      <c r="Q36" s="53" t="n">
        <v>0</v>
      </c>
      <c r="R36" s="53" t="n">
        <v>0</v>
      </c>
      <c r="S36" s="53" t="n">
        <f aca="false">SUM(P36:R36)</f>
        <v>17.5</v>
      </c>
      <c r="T36" s="54"/>
      <c r="U36" s="53" t="n">
        <v>0</v>
      </c>
      <c r="V36" s="104" t="n">
        <v>33</v>
      </c>
      <c r="W36" s="105" t="n">
        <f aca="false">W35-V36</f>
        <v>266</v>
      </c>
      <c r="X36" s="6" t="n">
        <f aca="false">N36+O36+S36+U36+V36</f>
        <v>58</v>
      </c>
      <c r="Y36" s="53" t="n">
        <f aca="false">IF(L36&lt;0,L36*-1,0)</f>
        <v>0</v>
      </c>
      <c r="Z36" s="53" t="n">
        <f aca="false">X36+Y36</f>
        <v>58</v>
      </c>
      <c r="AA36" s="58" t="n">
        <v>0</v>
      </c>
      <c r="AB36" s="59" t="n">
        <v>60</v>
      </c>
      <c r="AC36" s="59" t="n">
        <v>29</v>
      </c>
      <c r="AD36" s="60" t="n">
        <f aca="false">AD35+1</f>
        <v>27</v>
      </c>
      <c r="AE36" s="94"/>
      <c r="AF36" s="96"/>
      <c r="AG36" s="95"/>
    </row>
    <row r="37" customFormat="false" ht="11.1" hidden="false" customHeight="true" outlineLevel="0" collapsed="false">
      <c r="A37" s="60" t="n">
        <f aca="false">A36+1</f>
        <v>28</v>
      </c>
      <c r="B37" s="75" t="n">
        <v>6876.91</v>
      </c>
      <c r="C37" s="54" t="n">
        <v>207044</v>
      </c>
      <c r="D37" s="59" t="n">
        <f aca="false">C37-C36</f>
        <v>-86</v>
      </c>
      <c r="E37" s="54" t="n">
        <f aca="false">C37-152000</f>
        <v>55044</v>
      </c>
      <c r="F37" s="53" t="n">
        <f aca="false">D37/$D$2</f>
        <v>-43.3577010335266</v>
      </c>
      <c r="G37" s="53" t="n">
        <v>58</v>
      </c>
      <c r="H37" s="58" t="n">
        <v>0.6</v>
      </c>
      <c r="I37" s="53" t="n">
        <f aca="false">G37+H37</f>
        <v>58.6</v>
      </c>
      <c r="J37" s="83" t="n">
        <f aca="false">IF(L37&gt;0,L37,0)</f>
        <v>0</v>
      </c>
      <c r="K37" s="53" t="n">
        <f aca="false">I37+J37</f>
        <v>58.6</v>
      </c>
      <c r="L37" s="53" t="n">
        <f aca="false">F37-(I37-X37)</f>
        <v>-7.9577010335266</v>
      </c>
      <c r="M37" s="53" t="n">
        <v>62</v>
      </c>
      <c r="N37" s="53" t="n">
        <v>0</v>
      </c>
      <c r="O37" s="53" t="n">
        <f aca="false">29.17*1.05</f>
        <v>30.6285</v>
      </c>
      <c r="P37" s="6" t="n">
        <f aca="false">M37-(N37+O37)</f>
        <v>31.3715</v>
      </c>
      <c r="Q37" s="53" t="n">
        <v>0</v>
      </c>
      <c r="R37" s="53" t="n">
        <v>0</v>
      </c>
      <c r="S37" s="53" t="n">
        <f aca="false">SUM(P37:R37)</f>
        <v>31.3715</v>
      </c>
      <c r="T37" s="54"/>
      <c r="U37" s="53" t="n">
        <v>0</v>
      </c>
      <c r="V37" s="104" t="n">
        <v>32</v>
      </c>
      <c r="W37" s="105" t="n">
        <f aca="false">W36-V37</f>
        <v>234</v>
      </c>
      <c r="X37" s="6" t="n">
        <f aca="false">N37+O37+S37+U37+V37</f>
        <v>94</v>
      </c>
      <c r="Y37" s="53" t="n">
        <f aca="false">IF(L37&lt;0,L37*-1,0)</f>
        <v>7.9577010335266</v>
      </c>
      <c r="Z37" s="53" t="n">
        <f aca="false">X37+Y37</f>
        <v>101.957701033527</v>
      </c>
      <c r="AA37" s="58" t="n">
        <v>0</v>
      </c>
      <c r="AB37" s="59" t="n">
        <v>63</v>
      </c>
      <c r="AC37" s="59" t="n">
        <v>28</v>
      </c>
      <c r="AD37" s="60" t="n">
        <f aca="false">AD36+1</f>
        <v>28</v>
      </c>
      <c r="AE37" s="94"/>
      <c r="AF37" s="96"/>
      <c r="AG37" s="95"/>
    </row>
    <row r="38" customFormat="false" ht="11.1" hidden="false" customHeight="true" outlineLevel="0" collapsed="false">
      <c r="A38" s="60" t="n">
        <f aca="false">A37+1</f>
        <v>29</v>
      </c>
      <c r="B38" s="75" t="n">
        <v>6876.98</v>
      </c>
      <c r="C38" s="54" t="n">
        <v>207246</v>
      </c>
      <c r="D38" s="59" t="n">
        <f aca="false">C38-C37</f>
        <v>202</v>
      </c>
      <c r="E38" s="54" t="n">
        <f aca="false">C38-152000</f>
        <v>55246</v>
      </c>
      <c r="F38" s="53" t="n">
        <f aca="false">D38/$D$2</f>
        <v>101.840181497353</v>
      </c>
      <c r="G38" s="53" t="n">
        <v>75</v>
      </c>
      <c r="H38" s="58" t="n">
        <v>0.52</v>
      </c>
      <c r="I38" s="53" t="n">
        <f aca="false">G38+H38</f>
        <v>75.52</v>
      </c>
      <c r="J38" s="83" t="n">
        <f aca="false">IF(L38&gt;0,L38,0)</f>
        <v>91.3201814973532</v>
      </c>
      <c r="K38" s="53" t="n">
        <f aca="false">I38+J38</f>
        <v>166.840181497353</v>
      </c>
      <c r="L38" s="53" t="n">
        <f aca="false">F38-(I38-X38)</f>
        <v>91.3201814973532</v>
      </c>
      <c r="M38" s="53" t="n">
        <v>34</v>
      </c>
      <c r="N38" s="53" t="n">
        <v>0</v>
      </c>
      <c r="O38" s="53" t="n">
        <f aca="false">2.61*1.05</f>
        <v>2.7405</v>
      </c>
      <c r="P38" s="6" t="n">
        <f aca="false">M38-(N38+O38)</f>
        <v>31.2595</v>
      </c>
      <c r="Q38" s="53" t="n">
        <v>0</v>
      </c>
      <c r="R38" s="53" t="n">
        <v>0</v>
      </c>
      <c r="S38" s="53" t="n">
        <f aca="false">SUM(P38:R38)</f>
        <v>31.2595</v>
      </c>
      <c r="T38" s="54"/>
      <c r="U38" s="53" t="n">
        <v>0</v>
      </c>
      <c r="V38" s="104" t="n">
        <v>31</v>
      </c>
      <c r="W38" s="105" t="n">
        <f aca="false">W37-V38</f>
        <v>203</v>
      </c>
      <c r="X38" s="6" t="n">
        <f aca="false">N38+O38+S38+U38+V38</f>
        <v>65</v>
      </c>
      <c r="Y38" s="53" t="n">
        <f aca="false">IF(L38&lt;0,L38*-1,0)</f>
        <v>0</v>
      </c>
      <c r="Z38" s="53" t="n">
        <f aca="false">X38+Y38</f>
        <v>65</v>
      </c>
      <c r="AA38" s="58" t="n">
        <v>0</v>
      </c>
      <c r="AB38" s="84" t="n">
        <v>65</v>
      </c>
      <c r="AC38" s="59" t="n">
        <v>30</v>
      </c>
      <c r="AD38" s="60" t="n">
        <f aca="false">AD37+1</f>
        <v>29</v>
      </c>
      <c r="AE38" s="94"/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6877.04</v>
      </c>
      <c r="C39" s="54" t="n">
        <v>207420</v>
      </c>
      <c r="D39" s="59" t="n">
        <f aca="false">C39-C38</f>
        <v>174</v>
      </c>
      <c r="E39" s="54" t="n">
        <f aca="false">C39-152000</f>
        <v>55420</v>
      </c>
      <c r="F39" s="53" t="n">
        <f aca="false">D39/$D$2</f>
        <v>87.7237206957399</v>
      </c>
      <c r="G39" s="53" t="n">
        <v>92</v>
      </c>
      <c r="H39" s="58" t="n">
        <v>0.48</v>
      </c>
      <c r="I39" s="53" t="n">
        <f aca="false">G39+H39</f>
        <v>92.48</v>
      </c>
      <c r="J39" s="83" t="n">
        <f aca="false">IF(L39&gt;0,L39,0)</f>
        <v>61.2437206957399</v>
      </c>
      <c r="K39" s="53" t="n">
        <f aca="false">I39+J39</f>
        <v>153.72372069574</v>
      </c>
      <c r="L39" s="53" t="n">
        <f aca="false">F39-(I39-X39)</f>
        <v>61.2437206957399</v>
      </c>
      <c r="M39" s="53" t="n">
        <v>35</v>
      </c>
      <c r="N39" s="53" t="n">
        <v>0</v>
      </c>
      <c r="O39" s="53" t="n">
        <f aca="false">12*1.05</f>
        <v>12.6</v>
      </c>
      <c r="P39" s="6" t="n">
        <f aca="false">M39-(N39+O39)</f>
        <v>22.4</v>
      </c>
      <c r="Q39" s="53" t="n">
        <v>0</v>
      </c>
      <c r="R39" s="53" t="n">
        <v>0</v>
      </c>
      <c r="S39" s="53" t="n">
        <f aca="false">SUM(P39:R39)</f>
        <v>22.4</v>
      </c>
      <c r="T39" s="54"/>
      <c r="U39" s="53" t="n">
        <v>0</v>
      </c>
      <c r="V39" s="104" t="n">
        <v>31</v>
      </c>
      <c r="W39" s="105" t="n">
        <f aca="false">W38-V39</f>
        <v>172</v>
      </c>
      <c r="X39" s="6" t="n">
        <f aca="false">N39+O39+S39+U39+V39</f>
        <v>66</v>
      </c>
      <c r="Y39" s="53" t="n">
        <f aca="false">IF(L39&lt;0,L39*-1,0)</f>
        <v>0</v>
      </c>
      <c r="Z39" s="53" t="n">
        <f aca="false">X39+Y39</f>
        <v>66</v>
      </c>
      <c r="AA39" s="58" t="n">
        <v>0</v>
      </c>
      <c r="AB39" s="84" t="n">
        <v>63</v>
      </c>
      <c r="AC39" s="59" t="n">
        <v>32</v>
      </c>
      <c r="AD39" s="60" t="n">
        <v>30</v>
      </c>
      <c r="AE39" s="94"/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6877.09</v>
      </c>
      <c r="C40" s="54" t="n">
        <v>207566</v>
      </c>
      <c r="D40" s="59" t="n">
        <f aca="false">C40-C39</f>
        <v>146</v>
      </c>
      <c r="E40" s="54" t="n">
        <f aca="false">C40-152000</f>
        <v>55566</v>
      </c>
      <c r="F40" s="53" t="n">
        <f aca="false">D40/$D$2</f>
        <v>73.6072598941265</v>
      </c>
      <c r="G40" s="53" t="n">
        <v>120</v>
      </c>
      <c r="H40" s="58" t="n">
        <v>0.42</v>
      </c>
      <c r="I40" s="53" t="n">
        <f aca="false">G40+H40</f>
        <v>120.42</v>
      </c>
      <c r="J40" s="83" t="n">
        <f aca="false">IF(L40&gt;0,L40,0)</f>
        <v>0</v>
      </c>
      <c r="K40" s="53" t="n">
        <f aca="false">I40+J40</f>
        <v>120.42</v>
      </c>
      <c r="L40" s="53" t="n">
        <f aca="false">F40-(I40-X40)</f>
        <v>-3.81274010587346</v>
      </c>
      <c r="M40" s="53" t="n">
        <v>12</v>
      </c>
      <c r="N40" s="53" t="n">
        <v>0</v>
      </c>
      <c r="O40" s="53" t="n">
        <v>0</v>
      </c>
      <c r="P40" s="6" t="n">
        <f aca="false">M40-(N40+O40)</f>
        <v>12</v>
      </c>
      <c r="Q40" s="53" t="n">
        <v>0</v>
      </c>
      <c r="R40" s="53" t="n">
        <v>0</v>
      </c>
      <c r="S40" s="53" t="n">
        <f aca="false">SUM(P40:R40)</f>
        <v>12</v>
      </c>
      <c r="T40" s="54"/>
      <c r="U40" s="53" t="n">
        <v>0</v>
      </c>
      <c r="V40" s="104" t="n">
        <v>31</v>
      </c>
      <c r="W40" s="105" t="n">
        <f aca="false">W39-V40</f>
        <v>141</v>
      </c>
      <c r="X40" s="6" t="n">
        <f aca="false">N40+O40+S40+U40+V40</f>
        <v>43</v>
      </c>
      <c r="Y40" s="53" t="n">
        <f aca="false">IF(L40&lt;0,L40*-1,0)</f>
        <v>3.81274010587346</v>
      </c>
      <c r="Z40" s="53" t="n">
        <f aca="false">X40+Y40</f>
        <v>46.8127401058735</v>
      </c>
      <c r="AA40" s="58" t="n">
        <v>0</v>
      </c>
      <c r="AB40" s="84" t="n">
        <v>68</v>
      </c>
      <c r="AC40" s="59" t="n">
        <v>32</v>
      </c>
      <c r="AD40" s="60" t="n">
        <v>31</v>
      </c>
      <c r="AE40" s="94"/>
      <c r="AF40" s="94"/>
      <c r="AG40" s="95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80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656.415427275019</v>
      </c>
      <c r="G42" s="54" t="n">
        <f aca="false">SUM(G10:G40)</f>
        <v>1421</v>
      </c>
      <c r="H42" s="58" t="n">
        <f aca="false">SUM(H10:H40)</f>
        <v>21.55</v>
      </c>
      <c r="I42" s="54" t="n">
        <f aca="false">SUM(I10:I40)</f>
        <v>1442.55</v>
      </c>
      <c r="J42" s="54" t="n">
        <f aca="false">SUM(J10:J40)</f>
        <v>682.306670027729</v>
      </c>
      <c r="K42" s="54" t="n">
        <f aca="false">SUM(K10:K40)</f>
        <v>2124.85667002773</v>
      </c>
      <c r="L42" s="54" t="n">
        <f aca="false">SUM(L10:L40)</f>
        <v>592.465427275019</v>
      </c>
      <c r="M42" s="54" t="n">
        <f aca="false">SUM(M10:M40)</f>
        <v>414.6</v>
      </c>
      <c r="N42" s="54" t="n">
        <f aca="false">SUM(N10:N40)</f>
        <v>0.08</v>
      </c>
      <c r="O42" s="54" t="n">
        <f aca="false">SUM(O10:O40)</f>
        <v>53.569</v>
      </c>
      <c r="P42" s="54" t="n">
        <f aca="false">SUM(P10:P40)</f>
        <v>360.951</v>
      </c>
      <c r="Q42" s="54" t="n">
        <f aca="false">SUM(Q10:Q40)</f>
        <v>0</v>
      </c>
      <c r="R42" s="54" t="n">
        <f aca="false">SUM(R10:R40)</f>
        <v>0</v>
      </c>
      <c r="S42" s="54" t="n">
        <f aca="false">SUM(S10:S40)</f>
        <v>360.951</v>
      </c>
      <c r="T42" s="54"/>
      <c r="U42" s="54" t="n">
        <f aca="false">SUM(U10:U40)</f>
        <v>0</v>
      </c>
      <c r="V42" s="54" t="n">
        <f aca="false">SUM(V10:V40)</f>
        <v>964</v>
      </c>
      <c r="W42" s="54"/>
      <c r="X42" s="54" t="n">
        <f aca="false">SUM(X10:X40)</f>
        <v>1378.6</v>
      </c>
      <c r="Y42" s="54" t="n">
        <f aca="false">SUM(Y10:Y40)</f>
        <v>89.8412427527099</v>
      </c>
      <c r="Z42" s="54" t="n">
        <f aca="false">SUM(Z10:Z40)</f>
        <v>1468.44124275271</v>
      </c>
      <c r="AA42" s="58" t="n">
        <f aca="false">SUM(AA10:AA40)</f>
        <v>0.43</v>
      </c>
      <c r="AB42" s="59" t="n">
        <f aca="false">AVERAGE(AB10:AB40)</f>
        <v>49.9032258064516</v>
      </c>
      <c r="AC42" s="59" t="n">
        <f aca="false">AVERAGE(AC10:AC40)</f>
        <v>21.9677419354839</v>
      </c>
      <c r="AD42" s="60" t="s">
        <v>59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1302</v>
      </c>
      <c r="E43" s="54"/>
      <c r="F43" s="54" t="n">
        <f aca="false">F42*$D$2</f>
        <v>1302</v>
      </c>
      <c r="G43" s="54" t="n">
        <f aca="false">G42*$D$2</f>
        <v>2818.5535</v>
      </c>
      <c r="H43" s="58" t="n">
        <f aca="false">H42*$D$2</f>
        <v>42.744425</v>
      </c>
      <c r="I43" s="54" t="n">
        <f aca="false">I42*$D$2</f>
        <v>2861.297925</v>
      </c>
      <c r="J43" s="54" t="n">
        <f aca="false">J42*$D$2</f>
        <v>1353.35528</v>
      </c>
      <c r="K43" s="54" t="n">
        <f aca="false">K42*$D$2</f>
        <v>4214.653205</v>
      </c>
      <c r="L43" s="54" t="n">
        <f aca="false">L42*$D$2</f>
        <v>1175.155175</v>
      </c>
      <c r="M43" s="54" t="n">
        <f aca="false">M42*$D$2</f>
        <v>822.3591</v>
      </c>
      <c r="N43" s="54" t="n">
        <f aca="false">N42*$D$2</f>
        <v>0.15868</v>
      </c>
      <c r="O43" s="54" t="n">
        <f aca="false">O42*$D$2</f>
        <v>106.2541115</v>
      </c>
      <c r="P43" s="54" t="n">
        <f aca="false">P42*$D$2</f>
        <v>715.9463085</v>
      </c>
      <c r="Q43" s="54" t="n">
        <f aca="false">Q42*$D$2</f>
        <v>0</v>
      </c>
      <c r="R43" s="54" t="n">
        <f aca="false">R42*$D$2</f>
        <v>0</v>
      </c>
      <c r="S43" s="54" t="n">
        <f aca="false">S42*$D$2</f>
        <v>715.9463085</v>
      </c>
      <c r="T43" s="54"/>
      <c r="U43" s="54" t="n">
        <f aca="false">U42*$D$2</f>
        <v>0</v>
      </c>
      <c r="V43" s="54" t="n">
        <f aca="false">V42*$D$2</f>
        <v>1912.094</v>
      </c>
      <c r="W43" s="54"/>
      <c r="X43" s="54" t="n">
        <f aca="false">X42*$D$2</f>
        <v>2734.4531</v>
      </c>
      <c r="Y43" s="54" t="n">
        <f aca="false">Y42*$D$2</f>
        <v>178.200105</v>
      </c>
      <c r="Z43" s="54" t="n">
        <f aca="false">Z42*$D$2</f>
        <v>2912.653205</v>
      </c>
      <c r="AA43" s="58"/>
      <c r="AB43" s="59" t="n">
        <f aca="false">MAX(AB10:AB40)</f>
        <v>68</v>
      </c>
      <c r="AC43" s="59" t="n">
        <f aca="false">MAX(AC10:AC40)</f>
        <v>38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/>
      <c r="G45" s="54"/>
      <c r="H45" s="58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8"/>
      <c r="AB45" s="59" t="n">
        <f aca="false">MIN(AB10:AB40)</f>
        <v>23</v>
      </c>
      <c r="AC45" s="59" t="n">
        <f aca="false">MIN(AC10:AC40)</f>
        <v>0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/>
      <c r="G46" s="54"/>
      <c r="H46" s="58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816.738089236199</v>
      </c>
      <c r="G48" s="54" t="n">
        <f aca="false">G8+G42</f>
        <v>6542</v>
      </c>
      <c r="H48" s="58" t="n">
        <f aca="false">H8+H42</f>
        <v>35.53</v>
      </c>
      <c r="I48" s="54" t="n">
        <f aca="false">I8+I42</f>
        <v>6530</v>
      </c>
      <c r="J48" s="54" t="n">
        <f aca="false">J8+J42</f>
        <v>1406.55059994958</v>
      </c>
      <c r="K48" s="54" t="n">
        <f aca="false">K8+K42</f>
        <v>7936.55059994959</v>
      </c>
      <c r="L48" s="54" t="n">
        <f aca="false">L8+L42</f>
        <v>270.818089236199</v>
      </c>
      <c r="M48" s="54" t="n">
        <f aca="false">M8+M42</f>
        <v>1195.58</v>
      </c>
      <c r="N48" s="54" t="n">
        <f aca="false">N8+N42</f>
        <v>5.08</v>
      </c>
      <c r="O48" s="54" t="n">
        <f aca="false">O8+O42</f>
        <v>511.335</v>
      </c>
      <c r="P48" s="54" t="n">
        <f aca="false">P8+P42</f>
        <v>1081.365</v>
      </c>
      <c r="Q48" s="54" t="n">
        <f aca="false">Q8+Q42</f>
        <v>0</v>
      </c>
      <c r="R48" s="54" t="n">
        <f aca="false">R8+R42</f>
        <v>127.5</v>
      </c>
      <c r="S48" s="54" t="n">
        <f aca="false">S8+S42</f>
        <v>1208.865</v>
      </c>
      <c r="T48" s="54"/>
      <c r="U48" s="54" t="n">
        <f aca="false">U8+U42</f>
        <v>0</v>
      </c>
      <c r="V48" s="54" t="n">
        <f aca="false">V8+V42</f>
        <v>4661</v>
      </c>
      <c r="W48" s="54" t="n">
        <f aca="false">W40</f>
        <v>141</v>
      </c>
      <c r="X48" s="54" t="n">
        <f aca="false">X8+X42</f>
        <v>5984.08</v>
      </c>
      <c r="Y48" s="54" t="n">
        <f aca="false">Y8+Y42</f>
        <v>1135.73251071338</v>
      </c>
      <c r="Z48" s="54" t="n">
        <f aca="false">Z8+Z42</f>
        <v>7119.81251071338</v>
      </c>
      <c r="AA48" s="58" t="n">
        <f aca="false">AA8+AA42</f>
        <v>3.32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1620</v>
      </c>
      <c r="E49" s="54" t="n">
        <f aca="false">E40</f>
        <v>55566</v>
      </c>
      <c r="F49" s="54" t="n">
        <f aca="false">F48*$D$2</f>
        <v>1620</v>
      </c>
      <c r="G49" s="54" t="n">
        <f aca="false">G48*$D$2</f>
        <v>12976.057</v>
      </c>
      <c r="H49" s="58" t="n">
        <f aca="false">H48*$D$2</f>
        <v>70.473755</v>
      </c>
      <c r="I49" s="54" t="n">
        <f aca="false">I48*$D$2</f>
        <v>12952.255</v>
      </c>
      <c r="J49" s="54" t="n">
        <f aca="false">J48*$D$2</f>
        <v>2789.893115</v>
      </c>
      <c r="K49" s="54" t="n">
        <f aca="false">K48*$D$2</f>
        <v>15742.148115</v>
      </c>
      <c r="L49" s="54" t="n">
        <f aca="false">L48*$D$2</f>
        <v>537.167680000001</v>
      </c>
      <c r="M49" s="54" t="n">
        <f aca="false">M48*$D$2</f>
        <v>2371.43293</v>
      </c>
      <c r="N49" s="54" t="n">
        <f aca="false">N48*$D$2</f>
        <v>10.07618</v>
      </c>
      <c r="O49" s="54" t="n">
        <f aca="false">O48*$D$2</f>
        <v>1014.2329725</v>
      </c>
      <c r="P49" s="54" t="n">
        <f aca="false">P48*$D$2</f>
        <v>2144.8874775</v>
      </c>
      <c r="Q49" s="54" t="n">
        <f aca="false">Q48*$D$2</f>
        <v>0</v>
      </c>
      <c r="R49" s="54" t="n">
        <f aca="false">R48*$D$2</f>
        <v>252.89625</v>
      </c>
      <c r="S49" s="54" t="n">
        <f aca="false">S48*$D$2</f>
        <v>2397.7837275</v>
      </c>
      <c r="T49" s="54" t="n">
        <f aca="false">T48*$D$2</f>
        <v>0</v>
      </c>
      <c r="U49" s="54" t="n">
        <f aca="false">U48*$D$2</f>
        <v>0</v>
      </c>
      <c r="V49" s="54" t="n">
        <f aca="false">V48*$D$2</f>
        <v>9245.0935</v>
      </c>
      <c r="W49" s="54" t="n">
        <f aca="false">W48*$D$2</f>
        <v>279.6735</v>
      </c>
      <c r="X49" s="54" t="n">
        <f aca="false">X48*$D$2</f>
        <v>11869.42268</v>
      </c>
      <c r="Y49" s="54" t="n">
        <f aca="false">Y48*$D$2</f>
        <v>2252.725435</v>
      </c>
      <c r="Z49" s="54" t="n">
        <f aca="false">Z48*$D$2</f>
        <v>14122.148115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86"/>
      <c r="C51" s="54"/>
      <c r="D51" s="53"/>
      <c r="E51" s="54"/>
      <c r="F51" s="53"/>
      <c r="G51" s="53"/>
      <c r="H51" s="58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/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75"/>
      <c r="C52" s="54"/>
      <c r="D52" s="84"/>
      <c r="E52" s="54"/>
      <c r="F52" s="53"/>
      <c r="G52" s="53"/>
      <c r="H52" s="58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3"/>
      <c r="T52" s="54"/>
      <c r="U52" s="53"/>
      <c r="V52" s="53"/>
      <c r="W52" s="54"/>
      <c r="X52" s="53"/>
      <c r="Y52" s="53"/>
      <c r="Z52" s="53"/>
      <c r="AA52" s="58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84"/>
      <c r="C53" s="54"/>
      <c r="D53" s="54"/>
      <c r="E53" s="54"/>
      <c r="F53" s="84"/>
      <c r="G53" s="84"/>
      <c r="H53" s="58"/>
      <c r="I53" s="84"/>
      <c r="J53" s="84"/>
      <c r="K53" s="84"/>
      <c r="L53" s="84"/>
      <c r="M53" s="83"/>
      <c r="N53" s="83"/>
      <c r="O53" s="83"/>
      <c r="P53" s="83"/>
      <c r="Q53" s="84"/>
      <c r="R53" s="84"/>
      <c r="S53" s="84"/>
      <c r="T53" s="54"/>
      <c r="U53" s="84"/>
      <c r="V53" s="84"/>
      <c r="W53" s="54"/>
      <c r="X53" s="84"/>
      <c r="Y53" s="84"/>
      <c r="Z53" s="84"/>
      <c r="AA53" s="58"/>
      <c r="AB53" s="59"/>
      <c r="AC53" s="59"/>
      <c r="AD53" s="60"/>
      <c r="AE53" s="100"/>
      <c r="AF53" s="100"/>
    </row>
    <row r="54" customFormat="false" ht="11.1" hidden="false" customHeight="true" outlineLevel="0" collapsed="false">
      <c r="A54" s="84"/>
      <c r="B54" s="57"/>
      <c r="C54" s="54"/>
      <c r="D54" s="54"/>
      <c r="E54" s="54"/>
      <c r="F54" s="84"/>
      <c r="G54" s="84"/>
      <c r="H54" s="58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8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G12" activePane="bottomRight" state="frozen"/>
      <selection pane="topLeft" activeCell="A1" activeCellId="0" sqref="A1"/>
      <selection pane="topRight" activeCell="G1" activeCellId="0" sqref="G1"/>
      <selection pane="bottomLeft" activeCell="A12" activeCellId="0" sqref="A12"/>
      <selection pane="bottomRight" activeCell="AH27" activeCellId="0" sqref="AH27"/>
    </sheetView>
  </sheetViews>
  <sheetFormatPr defaultColWidth="9.296875" defaultRowHeight="11.1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6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7" width="8.16"/>
    <col collapsed="false" customWidth="true" hidden="false" outlineLevel="0" max="27" min="27" style="2" width="4.67"/>
    <col collapsed="false" customWidth="true" hidden="false" outlineLevel="0" max="28" min="28" style="4" width="4.67"/>
    <col collapsed="false" customWidth="true" hidden="false" outlineLevel="0" max="29" min="29" style="5" width="4.67"/>
    <col collapsed="false" customWidth="true" hidden="false" outlineLevel="0" max="30" min="30" style="0" width="5.67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  <c r="AD1" s="108"/>
      <c r="AE1" s="108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109" t="s">
        <v>64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6"/>
      <c r="X2" s="6"/>
      <c r="Y2" s="6"/>
      <c r="Z2" s="10"/>
      <c r="AA2" s="11"/>
      <c r="AB2" s="12"/>
      <c r="AC2" s="13"/>
      <c r="AD2" s="108"/>
      <c r="AE2" s="108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 t="n">
        <v>5</v>
      </c>
      <c r="Z3" s="10"/>
      <c r="AA3" s="11"/>
      <c r="AB3" s="12"/>
      <c r="AC3" s="13"/>
      <c r="AD3" s="108"/>
      <c r="AE3" s="108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10" t="s">
        <v>8</v>
      </c>
      <c r="H4" s="111" t="s">
        <v>9</v>
      </c>
      <c r="I4" s="110" t="s">
        <v>10</v>
      </c>
      <c r="J4" s="110" t="s">
        <v>11</v>
      </c>
      <c r="K4" s="110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12" t="s">
        <v>65</v>
      </c>
      <c r="AF4" s="108"/>
    </row>
    <row r="5" customFormat="false" ht="11.1" hidden="false" customHeight="true" outlineLevel="0" collapsed="false">
      <c r="A5" s="22" t="s">
        <v>66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10" t="s">
        <v>28</v>
      </c>
      <c r="H5" s="111" t="s">
        <v>29</v>
      </c>
      <c r="I5" s="110" t="s">
        <v>30</v>
      </c>
      <c r="J5" s="110" t="s">
        <v>30</v>
      </c>
      <c r="K5" s="110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67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66</v>
      </c>
      <c r="AE5" s="112" t="s">
        <v>68</v>
      </c>
      <c r="AF5" s="108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 t="n">
        <v>11968</v>
      </c>
      <c r="X6" s="26"/>
      <c r="Y6" s="26"/>
      <c r="Z6" s="26"/>
      <c r="AA6" s="11"/>
      <c r="AB6" s="13"/>
      <c r="AC6" s="13"/>
      <c r="AD6" s="13"/>
      <c r="AE6" s="108"/>
      <c r="AF6" s="108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11"/>
      <c r="AB7" s="12"/>
      <c r="AC7" s="12"/>
      <c r="AD7" s="13"/>
      <c r="AE7" s="108"/>
    </row>
    <row r="8" s="1" customFormat="true" ht="11.1" hidden="false" customHeight="true" outlineLevel="0" collapsed="false">
      <c r="A8" s="7" t="s">
        <v>45</v>
      </c>
      <c r="B8" s="31" t="n">
        <f aca="false">MAR!B40</f>
        <v>6877.09</v>
      </c>
      <c r="C8" s="7" t="n">
        <f aca="false">MAR!C40</f>
        <v>207566</v>
      </c>
      <c r="D8" s="7" t="n">
        <f aca="false">MAR!D49</f>
        <v>1620</v>
      </c>
      <c r="E8" s="7" t="n">
        <f aca="false">MAR!E49</f>
        <v>55566</v>
      </c>
      <c r="F8" s="7" t="n">
        <f aca="false">MAR!F48</f>
        <v>816.738089236199</v>
      </c>
      <c r="G8" s="7" t="n">
        <f aca="false">MAR!G48</f>
        <v>6542</v>
      </c>
      <c r="H8" s="12" t="n">
        <f aca="false">MAR!H48</f>
        <v>35.53</v>
      </c>
      <c r="I8" s="7" t="n">
        <f aca="false">MAR!I48</f>
        <v>6530</v>
      </c>
      <c r="J8" s="7" t="n">
        <f aca="false">MAR!J48</f>
        <v>1406.55059994958</v>
      </c>
      <c r="K8" s="7" t="n">
        <f aca="false">MAR!K48</f>
        <v>7936.55059994959</v>
      </c>
      <c r="L8" s="7" t="n">
        <f aca="false">MAR!L48</f>
        <v>270.818089236199</v>
      </c>
      <c r="M8" s="7" t="n">
        <f aca="false">MAR!M48</f>
        <v>1195.58</v>
      </c>
      <c r="N8" s="7" t="n">
        <f aca="false">MAR!N48</f>
        <v>5.08</v>
      </c>
      <c r="O8" s="7" t="n">
        <f aca="false">MAR!O48</f>
        <v>511.335</v>
      </c>
      <c r="P8" s="7" t="n">
        <f aca="false">MAR!P48</f>
        <v>1081.365</v>
      </c>
      <c r="Q8" s="7" t="n">
        <f aca="false">MAR!Q48</f>
        <v>0</v>
      </c>
      <c r="R8" s="7" t="n">
        <f aca="false">MAR!R48</f>
        <v>127.5</v>
      </c>
      <c r="S8" s="7" t="n">
        <f aca="false">MAR!S48</f>
        <v>1208.865</v>
      </c>
      <c r="T8" s="7" t="n">
        <f aca="false">MAR!T48</f>
        <v>0</v>
      </c>
      <c r="U8" s="7" t="n">
        <f aca="false">MAR!U48</f>
        <v>0</v>
      </c>
      <c r="V8" s="7" t="n">
        <f aca="false">MAR!V48</f>
        <v>4661</v>
      </c>
      <c r="W8" s="7" t="n">
        <f aca="false">W6/D2</f>
        <v>6033.778674061</v>
      </c>
      <c r="X8" s="7" t="n">
        <f aca="false">MAR!X48</f>
        <v>5984.08</v>
      </c>
      <c r="Y8" s="7" t="n">
        <f aca="false">MAR!Y48</f>
        <v>1135.73251071338</v>
      </c>
      <c r="Z8" s="7" t="n">
        <f aca="false">MAR!Z48</f>
        <v>7119.81251071338</v>
      </c>
      <c r="AA8" s="11" t="n">
        <f aca="false">MAR!AA48</f>
        <v>3.32</v>
      </c>
      <c r="AB8" s="12"/>
      <c r="AC8" s="12"/>
      <c r="AD8" s="13"/>
      <c r="AE8" s="113"/>
      <c r="AF8" s="108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5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08"/>
      <c r="AF9" s="108"/>
    </row>
    <row r="10" customFormat="false" ht="11.1" hidden="false" customHeight="true" outlineLevel="0" collapsed="false">
      <c r="A10" s="13" t="n">
        <v>1</v>
      </c>
      <c r="B10" s="31" t="n">
        <v>6877.17</v>
      </c>
      <c r="C10" s="7" t="n">
        <v>207800</v>
      </c>
      <c r="D10" s="12" t="n">
        <f aca="false">C10-C8</f>
        <v>234</v>
      </c>
      <c r="E10" s="7" t="n">
        <f aca="false">C10-152000</f>
        <v>55800</v>
      </c>
      <c r="F10" s="6" t="n">
        <f aca="false">D10/$D$2</f>
        <v>117.97327955634</v>
      </c>
      <c r="G10" s="6" t="n">
        <v>157</v>
      </c>
      <c r="H10" s="8" t="n">
        <v>0.36</v>
      </c>
      <c r="I10" s="6" t="n">
        <f aca="false">G10+H10</f>
        <v>157.36</v>
      </c>
      <c r="J10" s="114" t="n">
        <f aca="false">IF(L10&gt;0,L10,0)</f>
        <v>6.61327955633979</v>
      </c>
      <c r="K10" s="6" t="n">
        <f aca="false">I10+J10</f>
        <v>163.97327955634</v>
      </c>
      <c r="L10" s="6" t="n">
        <f aca="false">F10-(I10-X10)</f>
        <v>6.61327955633979</v>
      </c>
      <c r="M10" s="6" t="n">
        <v>12</v>
      </c>
      <c r="N10" s="6" t="n">
        <v>0</v>
      </c>
      <c r="O10" s="6" t="n">
        <f aca="false">1.68*1.05</f>
        <v>1.764</v>
      </c>
      <c r="P10" s="6" t="n">
        <f aca="false">M10-(N10+O10)</f>
        <v>10.236</v>
      </c>
      <c r="Q10" s="6" t="n">
        <v>0</v>
      </c>
      <c r="R10" s="6" t="n">
        <v>0</v>
      </c>
      <c r="S10" s="6" t="n">
        <f aca="false">SUM(P10:R10)</f>
        <v>10.236</v>
      </c>
      <c r="T10" s="7" t="n">
        <f aca="false">T8+AE10</f>
        <v>147.124</v>
      </c>
      <c r="U10" s="6" t="n">
        <v>0</v>
      </c>
      <c r="V10" s="115" t="n">
        <v>34</v>
      </c>
      <c r="W10" s="116" t="n">
        <f aca="false">W8-V10</f>
        <v>5999.778674061</v>
      </c>
      <c r="X10" s="6" t="n">
        <f aca="false">N10+O10+S10+U10+V10</f>
        <v>46</v>
      </c>
      <c r="Y10" s="6" t="n">
        <f aca="false">IF(L10&lt;0,L10*-1,0)</f>
        <v>0</v>
      </c>
      <c r="Z10" s="6" t="n">
        <f aca="false">X10+Y10</f>
        <v>46</v>
      </c>
      <c r="AA10" s="11" t="n">
        <v>0</v>
      </c>
      <c r="AB10" s="12" t="n">
        <v>70</v>
      </c>
      <c r="AC10" s="12" t="n">
        <v>33</v>
      </c>
      <c r="AD10" s="13" t="n">
        <v>1</v>
      </c>
      <c r="AE10" s="12" t="n">
        <f aca="false">IF(I10&gt;S10,I10-S10,I10-S10)</f>
        <v>147.124</v>
      </c>
      <c r="AF10" s="12"/>
      <c r="AH10" s="6"/>
    </row>
    <row r="11" customFormat="false" ht="11.1" hidden="false" customHeight="true" outlineLevel="0" collapsed="false">
      <c r="A11" s="13" t="n">
        <f aca="false">A10+1</f>
        <v>2</v>
      </c>
      <c r="B11" s="31" t="n">
        <v>6877.27</v>
      </c>
      <c r="C11" s="7" t="n">
        <v>208092</v>
      </c>
      <c r="D11" s="12" t="n">
        <f aca="false">C11-C10</f>
        <v>292</v>
      </c>
      <c r="E11" s="7" t="n">
        <f aca="false">C11-152000</f>
        <v>56092</v>
      </c>
      <c r="F11" s="6" t="n">
        <f aca="false">D11/$D$2</f>
        <v>147.214519788253</v>
      </c>
      <c r="G11" s="6" t="n">
        <v>212</v>
      </c>
      <c r="H11" s="8" t="n">
        <v>0.32</v>
      </c>
      <c r="I11" s="6" t="n">
        <f aca="false">G11+H11</f>
        <v>212.32</v>
      </c>
      <c r="J11" s="114" t="n">
        <f aca="false">IF(L11&gt;0,L11,0)</f>
        <v>3.89451978825309</v>
      </c>
      <c r="K11" s="6" t="n">
        <f aca="false">I11+J11</f>
        <v>216.214519788253</v>
      </c>
      <c r="L11" s="6" t="n">
        <f aca="false">F11-(I11-X11)</f>
        <v>3.89451978825309</v>
      </c>
      <c r="M11" s="6" t="n">
        <v>35</v>
      </c>
      <c r="N11" s="6" t="n">
        <v>0</v>
      </c>
      <c r="O11" s="6" t="n">
        <f aca="false">13.73*1.05</f>
        <v>14.4165</v>
      </c>
      <c r="P11" s="6" t="n">
        <f aca="false">M11-(N11+O11)</f>
        <v>20.5835</v>
      </c>
      <c r="Q11" s="6" t="n">
        <v>0</v>
      </c>
      <c r="R11" s="6" t="n">
        <v>0</v>
      </c>
      <c r="S11" s="6" t="n">
        <f aca="false">SUM(P11:R11)</f>
        <v>20.5835</v>
      </c>
      <c r="T11" s="7" t="n">
        <f aca="false">T10+AE11</f>
        <v>338.8605</v>
      </c>
      <c r="U11" s="6" t="n">
        <v>0</v>
      </c>
      <c r="V11" s="115" t="n">
        <v>34</v>
      </c>
      <c r="W11" s="116" t="n">
        <f aca="false">W10-V11</f>
        <v>5965.778674061</v>
      </c>
      <c r="X11" s="6" t="n">
        <f aca="false">N11+O11+S11+U11+V11</f>
        <v>69</v>
      </c>
      <c r="Y11" s="6" t="n">
        <f aca="false">IF(L11&lt;0,L11*-1,0)</f>
        <v>0</v>
      </c>
      <c r="Z11" s="6" t="n">
        <f aca="false">X11+Y11</f>
        <v>69</v>
      </c>
      <c r="AA11" s="11" t="n">
        <v>0</v>
      </c>
      <c r="AB11" s="12" t="n">
        <v>70</v>
      </c>
      <c r="AC11" s="12" t="n">
        <v>32</v>
      </c>
      <c r="AD11" s="13" t="n">
        <f aca="false">AD10+1</f>
        <v>2</v>
      </c>
      <c r="AE11" s="12" t="n">
        <f aca="false">IF(I11&gt;S11,I11-S11,I11-S11)</f>
        <v>191.7365</v>
      </c>
      <c r="AF11" s="12"/>
      <c r="AH11" s="6"/>
    </row>
    <row r="12" customFormat="false" ht="11.1" hidden="false" customHeight="true" outlineLevel="0" collapsed="false">
      <c r="A12" s="13" t="n">
        <f aca="false">A11+1</f>
        <v>3</v>
      </c>
      <c r="B12" s="31" t="n">
        <v>6877.39</v>
      </c>
      <c r="C12" s="7" t="n">
        <v>208443</v>
      </c>
      <c r="D12" s="12" t="n">
        <f aca="false">C12-C11</f>
        <v>351</v>
      </c>
      <c r="E12" s="7" t="n">
        <f aca="false">C12-152000</f>
        <v>56443</v>
      </c>
      <c r="F12" s="6" t="n">
        <f aca="false">D12/$D$2</f>
        <v>176.95991933451</v>
      </c>
      <c r="G12" s="6" t="n">
        <v>283</v>
      </c>
      <c r="H12" s="8" t="n">
        <v>0.29</v>
      </c>
      <c r="I12" s="6" t="n">
        <f aca="false">G12+H12</f>
        <v>283.29</v>
      </c>
      <c r="J12" s="114" t="n">
        <f aca="false">IF(L12&gt;0,L12,0)</f>
        <v>0</v>
      </c>
      <c r="K12" s="6" t="n">
        <f aca="false">I12+J12</f>
        <v>283.29</v>
      </c>
      <c r="L12" s="6" t="n">
        <f aca="false">F12-(I12-X12)</f>
        <v>-10.3300806654903</v>
      </c>
      <c r="M12" s="6" t="n">
        <v>66</v>
      </c>
      <c r="N12" s="6" t="n">
        <v>0</v>
      </c>
      <c r="O12" s="6" t="n">
        <f aca="false">28.24*1.05</f>
        <v>29.652</v>
      </c>
      <c r="P12" s="6" t="n">
        <f aca="false">M12-(N12+O12)</f>
        <v>36.348</v>
      </c>
      <c r="Q12" s="6" t="n">
        <v>0</v>
      </c>
      <c r="R12" s="6" t="n">
        <v>0</v>
      </c>
      <c r="S12" s="6" t="n">
        <f aca="false">SUM(P12:R12)</f>
        <v>36.348</v>
      </c>
      <c r="T12" s="7" t="n">
        <f aca="false">T11+AE12</f>
        <v>585.8025</v>
      </c>
      <c r="U12" s="6" t="n">
        <v>0</v>
      </c>
      <c r="V12" s="115" t="n">
        <v>30</v>
      </c>
      <c r="W12" s="116" t="n">
        <f aca="false">W11-V12</f>
        <v>5935.778674061</v>
      </c>
      <c r="X12" s="6" t="n">
        <f aca="false">N12+O12+S12+U12+V12</f>
        <v>96</v>
      </c>
      <c r="Y12" s="6" t="n">
        <f aca="false">IF(L12&lt;0,L12*-1,0)</f>
        <v>10.3300806654903</v>
      </c>
      <c r="Z12" s="6" t="n">
        <f aca="false">X12+Y12</f>
        <v>106.33008066549</v>
      </c>
      <c r="AA12" s="11" t="n">
        <v>0</v>
      </c>
      <c r="AB12" s="12" t="n">
        <v>69</v>
      </c>
      <c r="AC12" s="12" t="n">
        <v>35</v>
      </c>
      <c r="AD12" s="13" t="n">
        <f aca="false">AD11+1</f>
        <v>3</v>
      </c>
      <c r="AE12" s="12" t="n">
        <f aca="false">IF(I12&gt;S12,I12-S12,I12-S12)</f>
        <v>246.942</v>
      </c>
      <c r="AF12" s="12"/>
      <c r="AH12" s="6"/>
    </row>
    <row r="13" customFormat="false" ht="11.1" hidden="false" customHeight="true" outlineLevel="0" collapsed="false">
      <c r="A13" s="13" t="n">
        <f aca="false">A12+1</f>
        <v>4</v>
      </c>
      <c r="B13" s="31" t="n">
        <v>6877.53</v>
      </c>
      <c r="C13" s="7" t="n">
        <v>208852</v>
      </c>
      <c r="D13" s="12" t="n">
        <f aca="false">C13-C12</f>
        <v>409</v>
      </c>
      <c r="E13" s="7" t="n">
        <f aca="false">C13-152000</f>
        <v>56852</v>
      </c>
      <c r="F13" s="6" t="n">
        <f aca="false">D13/$D$2</f>
        <v>206.201159566423</v>
      </c>
      <c r="G13" s="6" t="n">
        <v>323</v>
      </c>
      <c r="H13" s="8" t="n">
        <v>0.26</v>
      </c>
      <c r="I13" s="6" t="n">
        <f aca="false">G13+H13</f>
        <v>323.26</v>
      </c>
      <c r="J13" s="114" t="n">
        <f aca="false">IF(L13&gt;0,L13,0)</f>
        <v>36.941159566423</v>
      </c>
      <c r="K13" s="6" t="n">
        <f aca="false">I13+J13</f>
        <v>360.201159566423</v>
      </c>
      <c r="L13" s="6" t="n">
        <f aca="false">F13-(I13-X13)</f>
        <v>36.941159566423</v>
      </c>
      <c r="M13" s="6" t="n">
        <v>124</v>
      </c>
      <c r="N13" s="6" t="n">
        <v>0.5</v>
      </c>
      <c r="O13" s="6" t="n">
        <f aca="false">66.17*1.05</f>
        <v>69.4785</v>
      </c>
      <c r="P13" s="6" t="n">
        <f aca="false">M13-(N13+O13)</f>
        <v>54.0215</v>
      </c>
      <c r="Q13" s="6" t="n">
        <v>0</v>
      </c>
      <c r="R13" s="6" t="n">
        <v>0</v>
      </c>
      <c r="S13" s="6" t="n">
        <f aca="false">SUM(P13:R13)</f>
        <v>54.0215</v>
      </c>
      <c r="T13" s="7" t="n">
        <f aca="false">T12+AE13</f>
        <v>855.041</v>
      </c>
      <c r="U13" s="6" t="n">
        <v>0</v>
      </c>
      <c r="V13" s="115" t="n">
        <v>30</v>
      </c>
      <c r="W13" s="116" t="n">
        <f aca="false">W12-V13</f>
        <v>5905.778674061</v>
      </c>
      <c r="X13" s="6" t="n">
        <f aca="false">N13+O13+S13+U13+V13</f>
        <v>154</v>
      </c>
      <c r="Y13" s="6" t="n">
        <f aca="false">IF(L13&lt;0,L13*-1,0)</f>
        <v>0</v>
      </c>
      <c r="Z13" s="6" t="n">
        <f aca="false">X13+Y13</f>
        <v>154</v>
      </c>
      <c r="AA13" s="11" t="n">
        <v>0</v>
      </c>
      <c r="AB13" s="12" t="n">
        <v>70</v>
      </c>
      <c r="AC13" s="12" t="n">
        <v>35</v>
      </c>
      <c r="AD13" s="13" t="n">
        <f aca="false">AD12+1</f>
        <v>4</v>
      </c>
      <c r="AE13" s="12" t="n">
        <f aca="false">IF(I13&gt;S13,I13-S13,I13-S13)</f>
        <v>269.2385</v>
      </c>
      <c r="AF13" s="12"/>
      <c r="AH13" s="6"/>
    </row>
    <row r="14" customFormat="false" ht="11.1" hidden="false" customHeight="true" outlineLevel="0" collapsed="false">
      <c r="A14" s="13" t="n">
        <f aca="false">A13+1</f>
        <v>5</v>
      </c>
      <c r="B14" s="31" t="n">
        <v>6877.65</v>
      </c>
      <c r="C14" s="7" t="n">
        <v>209202</v>
      </c>
      <c r="D14" s="12" t="n">
        <f aca="false">C14-C13</f>
        <v>350</v>
      </c>
      <c r="E14" s="7" t="n">
        <f aca="false">C14-152000</f>
        <v>57202</v>
      </c>
      <c r="F14" s="6" t="n">
        <f aca="false">D14/$D$2</f>
        <v>176.455760020166</v>
      </c>
      <c r="G14" s="6" t="n">
        <v>345</v>
      </c>
      <c r="H14" s="8" t="n">
        <v>0.23</v>
      </c>
      <c r="I14" s="6" t="n">
        <f aca="false">G14+H14</f>
        <v>345.23</v>
      </c>
      <c r="J14" s="114" t="n">
        <f aca="false">IF(L14&gt;0,L14,0)</f>
        <v>0.225760020166348</v>
      </c>
      <c r="K14" s="6" t="n">
        <f aca="false">I14+J14</f>
        <v>345.455760020166</v>
      </c>
      <c r="L14" s="6" t="n">
        <f aca="false">F14-(I14-X14)</f>
        <v>0.225760020166348</v>
      </c>
      <c r="M14" s="6" t="n">
        <v>139</v>
      </c>
      <c r="N14" s="6" t="n">
        <v>0</v>
      </c>
      <c r="O14" s="6" t="n">
        <f aca="false">80.42*1.05</f>
        <v>84.441</v>
      </c>
      <c r="P14" s="6" t="n">
        <f aca="false">M14-(N14+O14)</f>
        <v>54.559</v>
      </c>
      <c r="Q14" s="6" t="n">
        <v>0</v>
      </c>
      <c r="R14" s="6" t="n">
        <v>0</v>
      </c>
      <c r="S14" s="6" t="n">
        <f aca="false">SUM(P14:R14)</f>
        <v>54.559</v>
      </c>
      <c r="T14" s="7" t="n">
        <f aca="false">T13+AE14</f>
        <v>1145.712</v>
      </c>
      <c r="U14" s="6" t="n">
        <v>0</v>
      </c>
      <c r="V14" s="115" t="n">
        <v>30</v>
      </c>
      <c r="W14" s="116" t="n">
        <f aca="false">W13-V14</f>
        <v>5875.778674061</v>
      </c>
      <c r="X14" s="6" t="n">
        <f aca="false">N14+O14+S14+U14+V14</f>
        <v>169</v>
      </c>
      <c r="Y14" s="6" t="n">
        <f aca="false">IF(L14&lt;0,L14*-1,0)</f>
        <v>0</v>
      </c>
      <c r="Z14" s="6" t="n">
        <f aca="false">X14+Y14</f>
        <v>169</v>
      </c>
      <c r="AA14" s="11" t="n">
        <v>0</v>
      </c>
      <c r="AB14" s="12" t="n">
        <v>69</v>
      </c>
      <c r="AC14" s="12" t="n">
        <v>37</v>
      </c>
      <c r="AD14" s="13" t="n">
        <f aca="false">AD13+1</f>
        <v>5</v>
      </c>
      <c r="AE14" s="12" t="n">
        <f aca="false">IF(I14&gt;S14,I14-S14,I14-S14)</f>
        <v>290.671</v>
      </c>
      <c r="AF14" s="12"/>
      <c r="AH14" s="6"/>
    </row>
    <row r="15" customFormat="false" ht="11.1" hidden="false" customHeight="true" outlineLevel="0" collapsed="false">
      <c r="A15" s="13" t="n">
        <f aca="false">A14+1</f>
        <v>6</v>
      </c>
      <c r="B15" s="31" t="n">
        <v>6877.8</v>
      </c>
      <c r="C15" s="7" t="n">
        <v>209641</v>
      </c>
      <c r="D15" s="12" t="n">
        <f aca="false">C15-C14</f>
        <v>439</v>
      </c>
      <c r="E15" s="7" t="n">
        <f aca="false">C15-152000</f>
        <v>57641</v>
      </c>
      <c r="F15" s="6" t="n">
        <f aca="false">D15/$D$2</f>
        <v>221.325938996723</v>
      </c>
      <c r="G15" s="6" t="n">
        <v>365</v>
      </c>
      <c r="H15" s="8" t="n">
        <v>0.93</v>
      </c>
      <c r="I15" s="6" t="n">
        <f aca="false">G15+H15</f>
        <v>365.93</v>
      </c>
      <c r="J15" s="114" t="n">
        <f aca="false">IF(L15&gt;0,L15,0)</f>
        <v>29.3959389967229</v>
      </c>
      <c r="K15" s="6" t="n">
        <f aca="false">I15+J15</f>
        <v>395.325938996723</v>
      </c>
      <c r="L15" s="6" t="n">
        <f aca="false">F15-(I15-X15)</f>
        <v>29.3959389967229</v>
      </c>
      <c r="M15" s="6" t="n">
        <v>144</v>
      </c>
      <c r="N15" s="6" t="n">
        <v>0</v>
      </c>
      <c r="O15" s="6" t="n">
        <f aca="false">79.89*1.05</f>
        <v>83.8845</v>
      </c>
      <c r="P15" s="6" t="n">
        <f aca="false">M15-(N15+O15)</f>
        <v>60.1155</v>
      </c>
      <c r="Q15" s="6" t="n">
        <v>0</v>
      </c>
      <c r="R15" s="6" t="n">
        <v>0</v>
      </c>
      <c r="S15" s="6" t="n">
        <f aca="false">SUM(P15:R15)</f>
        <v>60.1155</v>
      </c>
      <c r="T15" s="7" t="n">
        <f aca="false">T14+AE15</f>
        <v>1451.5265</v>
      </c>
      <c r="U15" s="6" t="n">
        <v>0</v>
      </c>
      <c r="V15" s="115" t="n">
        <v>30</v>
      </c>
      <c r="W15" s="116" t="n">
        <f aca="false">W14-V15</f>
        <v>5845.778674061</v>
      </c>
      <c r="X15" s="6" t="n">
        <f aca="false">N15+O15+S15+U15+V15</f>
        <v>174</v>
      </c>
      <c r="Y15" s="6" t="n">
        <f aca="false">IF(L15&lt;0,L15*-1,0)</f>
        <v>0</v>
      </c>
      <c r="Z15" s="6" t="n">
        <f aca="false">X15+Y15</f>
        <v>174</v>
      </c>
      <c r="AA15" s="11" t="n">
        <v>0</v>
      </c>
      <c r="AB15" s="12" t="n">
        <v>64</v>
      </c>
      <c r="AC15" s="12" t="n">
        <v>36</v>
      </c>
      <c r="AD15" s="13" t="n">
        <f aca="false">AD14+1</f>
        <v>6</v>
      </c>
      <c r="AE15" s="12" t="n">
        <f aca="false">IF(I15&gt;S15,I15-S15,I15-S15)</f>
        <v>305.8145</v>
      </c>
      <c r="AF15" s="12"/>
      <c r="AH15" s="6"/>
    </row>
    <row r="16" customFormat="false" ht="11.1" hidden="false" customHeight="true" outlineLevel="0" collapsed="false">
      <c r="A16" s="13" t="n">
        <f aca="false">A15+1</f>
        <v>7</v>
      </c>
      <c r="B16" s="31" t="n">
        <v>6877.93</v>
      </c>
      <c r="C16" s="7" t="n">
        <v>210020</v>
      </c>
      <c r="D16" s="12" t="n">
        <f aca="false">C16-C15</f>
        <v>379</v>
      </c>
      <c r="E16" s="7" t="n">
        <f aca="false">C16-152000</f>
        <v>58020</v>
      </c>
      <c r="F16" s="6" t="n">
        <f aca="false">D16/$D$2</f>
        <v>191.076380136123</v>
      </c>
      <c r="G16" s="6" t="n">
        <v>361</v>
      </c>
      <c r="H16" s="8" t="n">
        <v>1.1</v>
      </c>
      <c r="I16" s="6" t="n">
        <f aca="false">G16+H16</f>
        <v>362.1</v>
      </c>
      <c r="J16" s="114" t="n">
        <f aca="false">IF(L16&gt;0,L16,0)</f>
        <v>12.976380136123</v>
      </c>
      <c r="K16" s="6" t="n">
        <f aca="false">I16+J16</f>
        <v>375.076380136123</v>
      </c>
      <c r="L16" s="6" t="n">
        <f aca="false">F16-(I16-X16)</f>
        <v>12.976380136123</v>
      </c>
      <c r="M16" s="6" t="n">
        <v>154</v>
      </c>
      <c r="N16" s="6" t="n">
        <v>0</v>
      </c>
      <c r="O16" s="6" t="n">
        <f aca="false">89.74*1.05</f>
        <v>94.227</v>
      </c>
      <c r="P16" s="6" t="n">
        <f aca="false">M16-(N16+O16)</f>
        <v>59.773</v>
      </c>
      <c r="Q16" s="6" t="n">
        <v>0</v>
      </c>
      <c r="R16" s="6" t="n">
        <v>0</v>
      </c>
      <c r="S16" s="6" t="n">
        <f aca="false">SUM(P16:R16)</f>
        <v>59.773</v>
      </c>
      <c r="T16" s="7" t="n">
        <f aca="false">T15+AE16</f>
        <v>1753.8535</v>
      </c>
      <c r="U16" s="6" t="n">
        <v>0</v>
      </c>
      <c r="V16" s="115" t="n">
        <v>30</v>
      </c>
      <c r="W16" s="116" t="n">
        <f aca="false">W15-V16</f>
        <v>5815.778674061</v>
      </c>
      <c r="X16" s="6" t="n">
        <f aca="false">N16+O16+S16+U16+V16</f>
        <v>184</v>
      </c>
      <c r="Y16" s="6" t="n">
        <f aca="false">IF(L16&lt;0,L16*-1,0)</f>
        <v>0</v>
      </c>
      <c r="Z16" s="6" t="n">
        <f aca="false">X16+Y16</f>
        <v>184</v>
      </c>
      <c r="AA16" s="11" t="n">
        <v>0.02</v>
      </c>
      <c r="AB16" s="12" t="n">
        <v>63</v>
      </c>
      <c r="AC16" s="12" t="n">
        <v>38</v>
      </c>
      <c r="AD16" s="13" t="n">
        <f aca="false">AD15+1</f>
        <v>7</v>
      </c>
      <c r="AE16" s="12" t="n">
        <f aca="false">IF(I16&gt;S16,I16-S16,I16-S16)</f>
        <v>302.327</v>
      </c>
      <c r="AF16" s="12"/>
      <c r="AH16" s="6"/>
    </row>
    <row r="17" customFormat="false" ht="11.1" hidden="false" customHeight="true" outlineLevel="0" collapsed="false">
      <c r="A17" s="13" t="n">
        <f aca="false">A16+1</f>
        <v>8</v>
      </c>
      <c r="B17" s="31" t="n">
        <v>6878.03</v>
      </c>
      <c r="C17" s="7" t="n">
        <v>210313</v>
      </c>
      <c r="D17" s="12" t="n">
        <f aca="false">C17-C16</f>
        <v>293</v>
      </c>
      <c r="E17" s="7" t="n">
        <f aca="false">C17-152000</f>
        <v>58313</v>
      </c>
      <c r="F17" s="6" t="n">
        <f aca="false">D17/$D$2</f>
        <v>147.718679102596</v>
      </c>
      <c r="G17" s="6" t="n">
        <v>360</v>
      </c>
      <c r="H17" s="8" t="n">
        <v>1.1</v>
      </c>
      <c r="I17" s="6" t="n">
        <f aca="false">G17+H17</f>
        <v>361.1</v>
      </c>
      <c r="J17" s="114" t="n">
        <f aca="false">IF(L17&gt;0,L17,0)</f>
        <v>0</v>
      </c>
      <c r="K17" s="6" t="n">
        <f aca="false">I17+J17</f>
        <v>361.1</v>
      </c>
      <c r="L17" s="6" t="n">
        <f aca="false">F17-(I17-X17)</f>
        <v>-34.3813208974036</v>
      </c>
      <c r="M17" s="6" t="n">
        <v>149</v>
      </c>
      <c r="N17" s="6" t="n">
        <v>0</v>
      </c>
      <c r="O17" s="6" t="n">
        <f aca="false">94.12*1.05</f>
        <v>98.826</v>
      </c>
      <c r="P17" s="6" t="n">
        <f aca="false">M17-(N17+O17)</f>
        <v>50.174</v>
      </c>
      <c r="Q17" s="6" t="n">
        <v>0</v>
      </c>
      <c r="R17" s="6" t="n">
        <v>0</v>
      </c>
      <c r="S17" s="6" t="n">
        <f aca="false">SUM(P17:R17)</f>
        <v>50.174</v>
      </c>
      <c r="T17" s="7" t="n">
        <f aca="false">T16+AE17</f>
        <v>2064.7795</v>
      </c>
      <c r="U17" s="6" t="n">
        <v>0</v>
      </c>
      <c r="V17" s="115" t="n">
        <v>30</v>
      </c>
      <c r="W17" s="116" t="n">
        <f aca="false">W16-V17</f>
        <v>5785.778674061</v>
      </c>
      <c r="X17" s="6" t="n">
        <f aca="false">N17+O17+S17+U17+V17</f>
        <v>179</v>
      </c>
      <c r="Y17" s="6" t="n">
        <f aca="false">IF(L17&lt;0,L17*-1,0)</f>
        <v>34.3813208974036</v>
      </c>
      <c r="Z17" s="6" t="n">
        <f aca="false">X17+Y17</f>
        <v>213.381320897404</v>
      </c>
      <c r="AA17" s="11" t="n">
        <v>0</v>
      </c>
      <c r="AB17" s="12" t="n">
        <v>63</v>
      </c>
      <c r="AC17" s="12" t="n">
        <v>28</v>
      </c>
      <c r="AD17" s="13" t="n">
        <f aca="false">AD16+1</f>
        <v>8</v>
      </c>
      <c r="AE17" s="12" t="n">
        <f aca="false">IF(I17&gt;S17,I17-S17,I17-S17)</f>
        <v>310.926</v>
      </c>
      <c r="AF17" s="12"/>
      <c r="AH17" s="6"/>
    </row>
    <row r="18" customFormat="false" ht="11.1" hidden="false" customHeight="true" outlineLevel="0" collapsed="false">
      <c r="A18" s="13" t="n">
        <f aca="false">A17+1</f>
        <v>9</v>
      </c>
      <c r="B18" s="31" t="n">
        <v>6878.13</v>
      </c>
      <c r="C18" s="7" t="n">
        <v>210609</v>
      </c>
      <c r="D18" s="12" t="n">
        <f aca="false">C18-C17</f>
        <v>296</v>
      </c>
      <c r="E18" s="7" t="n">
        <f aca="false">C18-152000</f>
        <v>58609</v>
      </c>
      <c r="F18" s="6" t="n">
        <f aca="false">D18/$D$2</f>
        <v>149.231157045626</v>
      </c>
      <c r="G18" s="6" t="n">
        <v>354</v>
      </c>
      <c r="H18" s="8" t="n">
        <v>1.1</v>
      </c>
      <c r="I18" s="6" t="n">
        <f aca="false">G18+H18</f>
        <v>355.1</v>
      </c>
      <c r="J18" s="114" t="n">
        <f aca="false">IF(L18&gt;0,L18,0)</f>
        <v>0</v>
      </c>
      <c r="K18" s="6" t="n">
        <f aca="false">I18+J18</f>
        <v>355.1</v>
      </c>
      <c r="L18" s="6" t="n">
        <f aca="false">F18-(I18-X18)</f>
        <v>-10.1888429543736</v>
      </c>
      <c r="M18" s="6" t="n">
        <v>144</v>
      </c>
      <c r="N18" s="6" t="n">
        <v>0</v>
      </c>
      <c r="O18" s="6" t="n">
        <f aca="false">103.04*1.05</f>
        <v>108.192</v>
      </c>
      <c r="P18" s="6" t="n">
        <f aca="false">M18-(N18+O18)</f>
        <v>35.808</v>
      </c>
      <c r="Q18" s="6" t="n">
        <v>0</v>
      </c>
      <c r="R18" s="6" t="n">
        <v>0</v>
      </c>
      <c r="S18" s="6" t="n">
        <f aca="false">SUM(P18:R18)</f>
        <v>35.808</v>
      </c>
      <c r="T18" s="7" t="n">
        <f aca="false">T17+AE18</f>
        <v>2384.0715</v>
      </c>
      <c r="U18" s="6" t="n">
        <v>21.68</v>
      </c>
      <c r="V18" s="115" t="n">
        <v>30</v>
      </c>
      <c r="W18" s="116" t="n">
        <f aca="false">W17-V18</f>
        <v>5755.778674061</v>
      </c>
      <c r="X18" s="6" t="n">
        <f aca="false">N18+O18+S18+U18+V18</f>
        <v>195.68</v>
      </c>
      <c r="Y18" s="6" t="n">
        <f aca="false">IF(L18&lt;0,L18*-1,0)</f>
        <v>10.1888429543736</v>
      </c>
      <c r="Z18" s="6" t="n">
        <f aca="false">X18+Y18</f>
        <v>205.868842954374</v>
      </c>
      <c r="AA18" s="11" t="n">
        <v>0</v>
      </c>
      <c r="AB18" s="41" t="n">
        <v>67</v>
      </c>
      <c r="AC18" s="12" t="n">
        <v>35</v>
      </c>
      <c r="AD18" s="13" t="n">
        <f aca="false">AD17+1</f>
        <v>9</v>
      </c>
      <c r="AE18" s="12" t="n">
        <f aca="false">IF(I18&gt;S18,I18-S18,I18-S18)</f>
        <v>319.292</v>
      </c>
      <c r="AF18" s="12"/>
      <c r="AH18" s="6"/>
    </row>
    <row r="19" customFormat="false" ht="11.1" hidden="false" customHeight="true" outlineLevel="0" collapsed="false">
      <c r="A19" s="13" t="n">
        <f aca="false">A18+1</f>
        <v>10</v>
      </c>
      <c r="B19" s="31" t="n">
        <v>6878.21</v>
      </c>
      <c r="C19" s="7" t="n">
        <v>210845</v>
      </c>
      <c r="D19" s="12" t="n">
        <f aca="false">C19-C18</f>
        <v>236</v>
      </c>
      <c r="E19" s="7" t="n">
        <f aca="false">C19-152000</f>
        <v>58845</v>
      </c>
      <c r="F19" s="6" t="n">
        <f aca="false">D19/$D$2</f>
        <v>118.981598185026</v>
      </c>
      <c r="G19" s="6" t="n">
        <v>338</v>
      </c>
      <c r="H19" s="8" t="n">
        <v>0.98</v>
      </c>
      <c r="I19" s="6" t="n">
        <f aca="false">G19+H19</f>
        <v>338.98</v>
      </c>
      <c r="J19" s="114" t="n">
        <f aca="false">IF(L19&gt;0,L19,0)</f>
        <v>0</v>
      </c>
      <c r="K19" s="6" t="n">
        <f aca="false">I19+J19</f>
        <v>338.98</v>
      </c>
      <c r="L19" s="6" t="n">
        <f aca="false">F19-(I19-X19)</f>
        <v>-11.9384018149735</v>
      </c>
      <c r="M19" s="6" t="n">
        <v>140</v>
      </c>
      <c r="N19" s="6" t="n">
        <v>0</v>
      </c>
      <c r="O19" s="6" t="n">
        <f aca="false">101.34*1.05</f>
        <v>106.407</v>
      </c>
      <c r="P19" s="6" t="n">
        <f aca="false">M19-(N19+O19)</f>
        <v>33.593</v>
      </c>
      <c r="Q19" s="6" t="n">
        <v>0</v>
      </c>
      <c r="R19" s="6" t="n">
        <v>0</v>
      </c>
      <c r="S19" s="6" t="n">
        <f aca="false">SUM(P19:R19)</f>
        <v>33.593</v>
      </c>
      <c r="T19" s="7" t="n">
        <f aca="false">T18+AE19</f>
        <v>2689.4585</v>
      </c>
      <c r="U19" s="6" t="n">
        <v>38.06</v>
      </c>
      <c r="V19" s="115" t="n">
        <v>30</v>
      </c>
      <c r="W19" s="116" t="n">
        <f aca="false">W18-V19</f>
        <v>5725.778674061</v>
      </c>
      <c r="X19" s="6" t="n">
        <f aca="false">N19+O19+S19+U19+V19</f>
        <v>208.06</v>
      </c>
      <c r="Y19" s="6" t="n">
        <f aca="false">IF(L19&lt;0,L19*-1,0)</f>
        <v>11.9384018149735</v>
      </c>
      <c r="Z19" s="6" t="n">
        <f aca="false">X19+Y19</f>
        <v>219.998401814974</v>
      </c>
      <c r="AA19" s="11" t="n">
        <v>0</v>
      </c>
      <c r="AB19" s="12" t="n">
        <v>62</v>
      </c>
      <c r="AC19" s="12" t="n">
        <v>41</v>
      </c>
      <c r="AD19" s="13" t="n">
        <f aca="false">AD18+1</f>
        <v>10</v>
      </c>
      <c r="AE19" s="12" t="n">
        <f aca="false">IF(I19&gt;S19,I19-S19,I19-S19)</f>
        <v>305.387</v>
      </c>
      <c r="AF19" s="12"/>
      <c r="AH19" s="6"/>
    </row>
    <row r="20" customFormat="false" ht="11.1" hidden="false" customHeight="true" outlineLevel="0" collapsed="false">
      <c r="A20" s="13" t="n">
        <f aca="false">A19+1</f>
        <v>11</v>
      </c>
      <c r="B20" s="31" t="n">
        <v>6878.27</v>
      </c>
      <c r="C20" s="7" t="n">
        <v>211022</v>
      </c>
      <c r="D20" s="12" t="n">
        <f aca="false">C20-C19</f>
        <v>177</v>
      </c>
      <c r="E20" s="7" t="n">
        <f aca="false">C20-152000</f>
        <v>59022</v>
      </c>
      <c r="F20" s="6" t="n">
        <f aca="false">D20/$D$2</f>
        <v>89.2361986387698</v>
      </c>
      <c r="G20" s="6" t="n">
        <v>307</v>
      </c>
      <c r="H20" s="8" t="n">
        <v>1</v>
      </c>
      <c r="I20" s="6" t="n">
        <f aca="false">G20+H20</f>
        <v>308</v>
      </c>
      <c r="J20" s="114" t="n">
        <f aca="false">IF(L20&gt;0,L20,0)</f>
        <v>0</v>
      </c>
      <c r="K20" s="6" t="n">
        <f aca="false">I20+J20</f>
        <v>308</v>
      </c>
      <c r="L20" s="6" t="n">
        <f aca="false">F20-(I20-X20)</f>
        <v>-3.90380136123014</v>
      </c>
      <c r="M20" s="6" t="n">
        <v>147</v>
      </c>
      <c r="N20" s="6" t="n">
        <v>0</v>
      </c>
      <c r="O20" s="6" t="n">
        <f aca="false">103.53*1.05</f>
        <v>108.7065</v>
      </c>
      <c r="P20" s="6" t="n">
        <f aca="false">M20-(N20+O20)</f>
        <v>38.2935</v>
      </c>
      <c r="Q20" s="6" t="n">
        <v>0</v>
      </c>
      <c r="R20" s="6" t="n">
        <v>0</v>
      </c>
      <c r="S20" s="6" t="n">
        <f aca="false">SUM(P20:R20)</f>
        <v>38.2935</v>
      </c>
      <c r="T20" s="7" t="n">
        <f aca="false">T19+AE20</f>
        <v>2959.165</v>
      </c>
      <c r="U20" s="6" t="n">
        <v>37.86</v>
      </c>
      <c r="V20" s="115" t="n">
        <v>30</v>
      </c>
      <c r="W20" s="116" t="n">
        <f aca="false">W19-V20</f>
        <v>5695.778674061</v>
      </c>
      <c r="X20" s="6" t="n">
        <f aca="false">N20+O20+S20+U20+V20</f>
        <v>214.86</v>
      </c>
      <c r="Y20" s="6" t="n">
        <f aca="false">IF(L20&lt;0,L20*-1,0)</f>
        <v>3.90380136123014</v>
      </c>
      <c r="Z20" s="6" t="n">
        <f aca="false">X20+Y20</f>
        <v>218.76380136123</v>
      </c>
      <c r="AA20" s="11" t="n">
        <v>0.01</v>
      </c>
      <c r="AB20" s="12" t="n">
        <v>65</v>
      </c>
      <c r="AC20" s="12" t="n">
        <v>34</v>
      </c>
      <c r="AD20" s="13" t="n">
        <f aca="false">AD19+1</f>
        <v>11</v>
      </c>
      <c r="AE20" s="12" t="n">
        <f aca="false">IF(I20&gt;S20,I20-S20,I20-S20)</f>
        <v>269.7065</v>
      </c>
      <c r="AF20" s="12"/>
      <c r="AH20" s="6"/>
    </row>
    <row r="21" customFormat="false" ht="11.1" hidden="false" customHeight="true" outlineLevel="0" collapsed="false">
      <c r="A21" s="13" t="n">
        <f aca="false">A20+1</f>
        <v>12</v>
      </c>
      <c r="B21" s="31" t="n">
        <v>6878.33</v>
      </c>
      <c r="C21" s="7" t="n">
        <v>211200</v>
      </c>
      <c r="D21" s="12" t="n">
        <f aca="false">C21-C20</f>
        <v>178</v>
      </c>
      <c r="E21" s="7" t="n">
        <f aca="false">C21-152000</f>
        <v>59200</v>
      </c>
      <c r="F21" s="6" t="n">
        <f aca="false">D21/$D$2</f>
        <v>89.7403579531132</v>
      </c>
      <c r="G21" s="6" t="n">
        <v>299</v>
      </c>
      <c r="H21" s="8" t="n">
        <v>1</v>
      </c>
      <c r="I21" s="6" t="n">
        <f aca="false">G21+H21</f>
        <v>300</v>
      </c>
      <c r="J21" s="114" t="n">
        <f aca="false">IF(L21&gt;0,L21,0)</f>
        <v>0</v>
      </c>
      <c r="K21" s="6" t="n">
        <f aca="false">I21+J21</f>
        <v>300</v>
      </c>
      <c r="L21" s="6" t="n">
        <f aca="false">F21-(I21-X21)</f>
        <v>-0.279642046886835</v>
      </c>
      <c r="M21" s="6" t="n">
        <v>142</v>
      </c>
      <c r="N21" s="6" t="n">
        <v>0</v>
      </c>
      <c r="O21" s="6" t="n">
        <f aca="false">105.91*1.05</f>
        <v>111.2055</v>
      </c>
      <c r="P21" s="6" t="n">
        <f aca="false">M21-(N21+O21)</f>
        <v>30.7945</v>
      </c>
      <c r="Q21" s="6" t="n">
        <v>0</v>
      </c>
      <c r="R21" s="6" t="n">
        <v>0</v>
      </c>
      <c r="S21" s="6" t="n">
        <f aca="false">SUM(P21:R21)</f>
        <v>30.7945</v>
      </c>
      <c r="T21" s="7" t="n">
        <f aca="false">T20+AE21</f>
        <v>3228.3705</v>
      </c>
      <c r="U21" s="6" t="n">
        <v>37.98</v>
      </c>
      <c r="V21" s="115" t="n">
        <v>30</v>
      </c>
      <c r="W21" s="116" t="n">
        <f aca="false">W20-V21</f>
        <v>5665.778674061</v>
      </c>
      <c r="X21" s="6" t="n">
        <f aca="false">N21+O21+S21+U21+V21</f>
        <v>209.98</v>
      </c>
      <c r="Y21" s="6" t="n">
        <f aca="false">IF(L21&lt;0,L21*-1,0)</f>
        <v>0.279642046886835</v>
      </c>
      <c r="Z21" s="6" t="n">
        <f aca="false">X21+Y21</f>
        <v>210.259642046887</v>
      </c>
      <c r="AA21" s="11" t="n">
        <v>0</v>
      </c>
      <c r="AB21" s="12" t="n">
        <v>59</v>
      </c>
      <c r="AC21" s="12" t="n">
        <v>39</v>
      </c>
      <c r="AD21" s="13" t="n">
        <f aca="false">AD20+1</f>
        <v>12</v>
      </c>
      <c r="AE21" s="12" t="n">
        <f aca="false">IF(I21&gt;S21,I21-S21,I21-S21)</f>
        <v>269.2055</v>
      </c>
      <c r="AF21" s="12"/>
      <c r="AH21" s="6"/>
    </row>
    <row r="22" customFormat="false" ht="11.1" hidden="false" customHeight="true" outlineLevel="0" collapsed="false">
      <c r="A22" s="13" t="n">
        <f aca="false">A21+1</f>
        <v>13</v>
      </c>
      <c r="B22" s="31" t="n">
        <v>6878.35</v>
      </c>
      <c r="C22" s="7" t="n">
        <v>211259</v>
      </c>
      <c r="D22" s="12" t="n">
        <f aca="false">C22-C21</f>
        <v>59</v>
      </c>
      <c r="E22" s="7" t="n">
        <f aca="false">C22-152000</f>
        <v>59259</v>
      </c>
      <c r="F22" s="6" t="n">
        <f aca="false">D22/$D$2</f>
        <v>29.7453995462566</v>
      </c>
      <c r="G22" s="6" t="n">
        <v>274</v>
      </c>
      <c r="H22" s="8" t="n">
        <v>1</v>
      </c>
      <c r="I22" s="6" t="n">
        <f aca="false">G22+H22</f>
        <v>275</v>
      </c>
      <c r="J22" s="114" t="n">
        <f aca="false">IF(L22&gt;0,L22,0)</f>
        <v>0</v>
      </c>
      <c r="K22" s="6" t="n">
        <f aca="false">I22+J22</f>
        <v>275</v>
      </c>
      <c r="L22" s="6" t="n">
        <f aca="false">F22-(I22-X22)</f>
        <v>-31.5446004537434</v>
      </c>
      <c r="M22" s="6" t="n">
        <v>146</v>
      </c>
      <c r="N22" s="6" t="n">
        <v>0</v>
      </c>
      <c r="O22" s="6" t="n">
        <f aca="false">108.93*1.05</f>
        <v>114.3765</v>
      </c>
      <c r="P22" s="6" t="n">
        <f aca="false">M22-(N22+O22)</f>
        <v>31.6235</v>
      </c>
      <c r="Q22" s="6" t="n">
        <v>0</v>
      </c>
      <c r="R22" s="6" t="n">
        <v>0</v>
      </c>
      <c r="S22" s="6" t="n">
        <f aca="false">SUM(P22:R22)</f>
        <v>31.6235</v>
      </c>
      <c r="T22" s="7" t="n">
        <f aca="false">T21+AE22</f>
        <v>3471.747</v>
      </c>
      <c r="U22" s="6" t="n">
        <v>37.71</v>
      </c>
      <c r="V22" s="115" t="n">
        <v>30</v>
      </c>
      <c r="W22" s="116" t="n">
        <f aca="false">W21-V22</f>
        <v>5635.778674061</v>
      </c>
      <c r="X22" s="6" t="n">
        <f aca="false">N22+O22+S22+U22+V22</f>
        <v>213.71</v>
      </c>
      <c r="Y22" s="6" t="n">
        <f aca="false">IF(L22&lt;0,L22*-1,0)</f>
        <v>31.5446004537434</v>
      </c>
      <c r="Z22" s="6" t="n">
        <f aca="false">X22+Y22</f>
        <v>245.254600453743</v>
      </c>
      <c r="AA22" s="11" t="n">
        <v>0</v>
      </c>
      <c r="AB22" s="12" t="n">
        <v>69</v>
      </c>
      <c r="AC22" s="12" t="n">
        <v>35</v>
      </c>
      <c r="AD22" s="13" t="n">
        <f aca="false">AD21+1</f>
        <v>13</v>
      </c>
      <c r="AE22" s="12" t="n">
        <f aca="false">IF(I22&gt;S22,I22-S22,I22-S22)</f>
        <v>243.3765</v>
      </c>
      <c r="AF22" s="12"/>
      <c r="AH22" s="6"/>
    </row>
    <row r="23" customFormat="false" ht="11.1" hidden="false" customHeight="true" outlineLevel="0" collapsed="false">
      <c r="A23" s="13" t="n">
        <f aca="false">A22+1</f>
        <v>14</v>
      </c>
      <c r="B23" s="31" t="n">
        <v>6878.41</v>
      </c>
      <c r="C23" s="7" t="n">
        <v>211436</v>
      </c>
      <c r="D23" s="12" t="n">
        <f aca="false">C23-C22</f>
        <v>177</v>
      </c>
      <c r="E23" s="7" t="n">
        <f aca="false">C23-152000</f>
        <v>59436</v>
      </c>
      <c r="F23" s="6" t="n">
        <f aca="false">D23/$D$2</f>
        <v>89.2361986387698</v>
      </c>
      <c r="G23" s="6" t="n">
        <v>324</v>
      </c>
      <c r="H23" s="8" t="n">
        <v>0.94</v>
      </c>
      <c r="I23" s="6" t="n">
        <f aca="false">G23+H23</f>
        <v>324.94</v>
      </c>
      <c r="J23" s="114" t="n">
        <f aca="false">IF(L23&gt;0,L23,0)</f>
        <v>0</v>
      </c>
      <c r="K23" s="6" t="n">
        <f aca="false">I23+J23</f>
        <v>324.94</v>
      </c>
      <c r="L23" s="6" t="n">
        <f aca="false">F23-(I23-X23)</f>
        <v>-50.7038013612302</v>
      </c>
      <c r="M23" s="6" t="n">
        <v>155</v>
      </c>
      <c r="N23" s="6" t="n">
        <v>0</v>
      </c>
      <c r="O23" s="6" t="n">
        <f aca="false">108.16*1.05</f>
        <v>113.568</v>
      </c>
      <c r="P23" s="6" t="n">
        <f aca="false">M23-(N23+O23)</f>
        <v>41.432</v>
      </c>
      <c r="Q23" s="6" t="n">
        <v>0</v>
      </c>
      <c r="R23" s="6" t="n">
        <v>0</v>
      </c>
      <c r="S23" s="6" t="n">
        <f aca="false">SUM(P23:R23)</f>
        <v>41.432</v>
      </c>
      <c r="T23" s="7" t="n">
        <f aca="false">T22+AE23</f>
        <v>3755.255</v>
      </c>
      <c r="U23" s="6" t="n">
        <v>0</v>
      </c>
      <c r="V23" s="115" t="n">
        <v>30</v>
      </c>
      <c r="W23" s="116" t="n">
        <f aca="false">W22-V23</f>
        <v>5605.778674061</v>
      </c>
      <c r="X23" s="6" t="n">
        <f aca="false">N23+O23+S23+U23+V23</f>
        <v>185</v>
      </c>
      <c r="Y23" s="6" t="n">
        <f aca="false">IF(L23&lt;0,L23*-1,0)</f>
        <v>50.7038013612302</v>
      </c>
      <c r="Z23" s="6" t="n">
        <f aca="false">X23+Y23</f>
        <v>235.70380136123</v>
      </c>
      <c r="AA23" s="11" t="n">
        <v>0</v>
      </c>
      <c r="AB23" s="41" t="n">
        <v>72</v>
      </c>
      <c r="AC23" s="12" t="n">
        <v>37</v>
      </c>
      <c r="AD23" s="13" t="n">
        <f aca="false">AD22+1</f>
        <v>14</v>
      </c>
      <c r="AE23" s="12" t="n">
        <f aca="false">IF(I23&gt;S23,I23-S23,I23-S23)</f>
        <v>283.508</v>
      </c>
      <c r="AF23" s="12"/>
      <c r="AH23" s="6"/>
    </row>
    <row r="24" customFormat="false" ht="11.1" hidden="false" customHeight="true" outlineLevel="0" collapsed="false">
      <c r="A24" s="13" t="n">
        <f aca="false">A23+1</f>
        <v>15</v>
      </c>
      <c r="B24" s="31" t="n">
        <v>6878.53</v>
      </c>
      <c r="C24" s="7" t="n">
        <v>211790</v>
      </c>
      <c r="D24" s="12" t="n">
        <f aca="false">C24-C23</f>
        <v>354</v>
      </c>
      <c r="E24" s="7" t="n">
        <f aca="false">C24-152000</f>
        <v>59790</v>
      </c>
      <c r="F24" s="6" t="n">
        <f aca="false">D24/$D$2</f>
        <v>178.47239727754</v>
      </c>
      <c r="G24" s="6" t="n">
        <v>444</v>
      </c>
      <c r="H24" s="8" t="n">
        <v>0.94</v>
      </c>
      <c r="I24" s="6" t="n">
        <f aca="false">G24+H24</f>
        <v>444.94</v>
      </c>
      <c r="J24" s="114" t="n">
        <f aca="false">IF(L24&gt;0,L24,0)</f>
        <v>0</v>
      </c>
      <c r="K24" s="6" t="n">
        <f aca="false">I24+J24</f>
        <v>444.94</v>
      </c>
      <c r="L24" s="6" t="n">
        <f aca="false">F24-(I24-X24)</f>
        <v>-56.0476027224603</v>
      </c>
      <c r="M24" s="6" t="n">
        <v>164</v>
      </c>
      <c r="N24" s="6" t="n">
        <v>0</v>
      </c>
      <c r="O24" s="6" t="n">
        <f aca="false">108.46*1.05</f>
        <v>113.883</v>
      </c>
      <c r="P24" s="6" t="n">
        <f aca="false">M24-(N24+O24)</f>
        <v>50.117</v>
      </c>
      <c r="Q24" s="6" t="n">
        <v>0</v>
      </c>
      <c r="R24" s="6" t="n">
        <v>0</v>
      </c>
      <c r="S24" s="6" t="n">
        <f aca="false">SUM(P24:R24)</f>
        <v>50.117</v>
      </c>
      <c r="T24" s="7" t="n">
        <f aca="false">T23+AE24</f>
        <v>4150.078</v>
      </c>
      <c r="U24" s="6" t="n">
        <v>17.42</v>
      </c>
      <c r="V24" s="115" t="n">
        <v>29</v>
      </c>
      <c r="W24" s="116" t="n">
        <f aca="false">W23-V24</f>
        <v>5576.778674061</v>
      </c>
      <c r="X24" s="6" t="n">
        <f aca="false">N24+O24+S24+U24+V24</f>
        <v>210.42</v>
      </c>
      <c r="Y24" s="6" t="n">
        <f aca="false">IF(L24&lt;0,L24*-1,0)</f>
        <v>56.0476027224603</v>
      </c>
      <c r="Z24" s="6" t="n">
        <f aca="false">X24+Y24</f>
        <v>266.46760272246</v>
      </c>
      <c r="AA24" s="11" t="n">
        <v>0</v>
      </c>
      <c r="AB24" s="41" t="n">
        <v>68</v>
      </c>
      <c r="AC24" s="12" t="n">
        <v>46</v>
      </c>
      <c r="AD24" s="13" t="n">
        <f aca="false">AD23+1</f>
        <v>15</v>
      </c>
      <c r="AE24" s="12" t="n">
        <f aca="false">IF(I24&gt;S24,I24-S24,I24-S24)</f>
        <v>394.823</v>
      </c>
      <c r="AF24" s="12"/>
      <c r="AH24" s="6"/>
    </row>
    <row r="25" customFormat="false" ht="11.1" hidden="false" customHeight="true" outlineLevel="0" collapsed="false">
      <c r="A25" s="13" t="n">
        <f aca="false">A24+1</f>
        <v>16</v>
      </c>
      <c r="B25" s="31" t="n">
        <v>6878.66</v>
      </c>
      <c r="C25" s="7" t="n">
        <v>212174</v>
      </c>
      <c r="D25" s="12" t="n">
        <f aca="false">C25-C24</f>
        <v>384</v>
      </c>
      <c r="E25" s="7" t="n">
        <f aca="false">C25-152000</f>
        <v>60174</v>
      </c>
      <c r="F25" s="6" t="n">
        <f aca="false">D25/$D$2</f>
        <v>193.59717670784</v>
      </c>
      <c r="G25" s="6" t="n">
        <v>415</v>
      </c>
      <c r="H25" s="8" t="n">
        <v>1</v>
      </c>
      <c r="I25" s="6" t="n">
        <f aca="false">G25+H25</f>
        <v>416</v>
      </c>
      <c r="J25" s="114" t="n">
        <f aca="false">IF(L25&gt;0,L25,0)</f>
        <v>0</v>
      </c>
      <c r="K25" s="6" t="n">
        <f aca="false">I25+J25</f>
        <v>416</v>
      </c>
      <c r="L25" s="6" t="n">
        <f aca="false">F25-(I25-X25)</f>
        <v>-18.1928232921603</v>
      </c>
      <c r="M25" s="6" t="n">
        <v>163</v>
      </c>
      <c r="N25" s="6" t="n">
        <v>0</v>
      </c>
      <c r="O25" s="6" t="n">
        <f aca="false">111.13*1.05</f>
        <v>116.6865</v>
      </c>
      <c r="P25" s="6" t="n">
        <f aca="false">M25-(N25+O25)</f>
        <v>46.3135</v>
      </c>
      <c r="Q25" s="6" t="n">
        <v>0</v>
      </c>
      <c r="R25" s="6" t="n">
        <v>0</v>
      </c>
      <c r="S25" s="6" t="n">
        <f aca="false">SUM(P25:R25)</f>
        <v>46.3135</v>
      </c>
      <c r="T25" s="7" t="n">
        <f aca="false">T24+AE25</f>
        <v>4519.7645</v>
      </c>
      <c r="U25" s="6" t="n">
        <v>11.21</v>
      </c>
      <c r="V25" s="115" t="n">
        <v>30</v>
      </c>
      <c r="W25" s="116" t="n">
        <f aca="false">W24-V25</f>
        <v>5546.778674061</v>
      </c>
      <c r="X25" s="6" t="n">
        <f aca="false">N25+O25+S25+U25+V25</f>
        <v>204.21</v>
      </c>
      <c r="Y25" s="6" t="n">
        <f aca="false">IF(L25&lt;0,L25*-1,0)</f>
        <v>18.1928232921603</v>
      </c>
      <c r="Z25" s="6" t="n">
        <f aca="false">X25+Y25</f>
        <v>222.40282329216</v>
      </c>
      <c r="AA25" s="11" t="n">
        <v>0.14</v>
      </c>
      <c r="AB25" s="41" t="n">
        <v>56</v>
      </c>
      <c r="AC25" s="12" t="n">
        <v>31</v>
      </c>
      <c r="AD25" s="13" t="n">
        <f aca="false">AD24+1</f>
        <v>16</v>
      </c>
      <c r="AE25" s="12" t="n">
        <f aca="false">IF(I25&gt;S25,I25-S25,I25-S25)</f>
        <v>369.6865</v>
      </c>
      <c r="AF25" s="12"/>
      <c r="AH25" s="6"/>
    </row>
    <row r="26" customFormat="false" ht="11.1" hidden="false" customHeight="true" outlineLevel="0" collapsed="false">
      <c r="A26" s="13" t="n">
        <f aca="false">A25+1</f>
        <v>17</v>
      </c>
      <c r="B26" s="31" t="n">
        <v>6878.76</v>
      </c>
      <c r="C26" s="7" t="n">
        <v>212470</v>
      </c>
      <c r="D26" s="12" t="n">
        <f aca="false">C26-C25</f>
        <v>296</v>
      </c>
      <c r="E26" s="7" t="n">
        <f aca="false">C26-152000</f>
        <v>60470</v>
      </c>
      <c r="F26" s="6" t="n">
        <f aca="false">D26/$D$2</f>
        <v>149.231157045626</v>
      </c>
      <c r="G26" s="6" t="n">
        <v>344</v>
      </c>
      <c r="H26" s="8" t="n">
        <v>1.3</v>
      </c>
      <c r="I26" s="6" t="n">
        <f aca="false">G26+H26</f>
        <v>345.3</v>
      </c>
      <c r="J26" s="114" t="n">
        <f aca="false">IF(L26&gt;0,L26,0)</f>
        <v>5.64115704562641</v>
      </c>
      <c r="K26" s="6" t="n">
        <f aca="false">I26+J26</f>
        <v>350.941157045626</v>
      </c>
      <c r="L26" s="6" t="n">
        <f aca="false">F26-(I26-X26)</f>
        <v>5.64115704562641</v>
      </c>
      <c r="M26" s="6" t="n">
        <v>156</v>
      </c>
      <c r="N26" s="6" t="n">
        <v>0</v>
      </c>
      <c r="O26" s="6" t="n">
        <f aca="false">106.57*1.05</f>
        <v>111.8985</v>
      </c>
      <c r="P26" s="6" t="n">
        <f aca="false">M26-(N26+O26)</f>
        <v>44.1015</v>
      </c>
      <c r="Q26" s="6" t="n">
        <v>0</v>
      </c>
      <c r="R26" s="6" t="n">
        <v>0</v>
      </c>
      <c r="S26" s="6" t="n">
        <f aca="false">SUM(P26:R26)</f>
        <v>44.1015</v>
      </c>
      <c r="T26" s="7" t="n">
        <f aca="false">T25+AE26</f>
        <v>4820.963</v>
      </c>
      <c r="U26" s="6" t="n">
        <v>15.71</v>
      </c>
      <c r="V26" s="115" t="n">
        <v>30</v>
      </c>
      <c r="W26" s="116" t="n">
        <f aca="false">W25-V26</f>
        <v>5516.778674061</v>
      </c>
      <c r="X26" s="6" t="n">
        <f aca="false">N26+O26+S26+U26+V26</f>
        <v>201.71</v>
      </c>
      <c r="Y26" s="6" t="n">
        <f aca="false">IF(L26&lt;0,L26*-1,0)</f>
        <v>0</v>
      </c>
      <c r="Z26" s="6" t="n">
        <f aca="false">X26+Y26</f>
        <v>201.71</v>
      </c>
      <c r="AA26" s="11" t="n">
        <v>0</v>
      </c>
      <c r="AB26" s="41" t="n">
        <v>50</v>
      </c>
      <c r="AC26" s="12" t="n">
        <v>46</v>
      </c>
      <c r="AD26" s="13" t="n">
        <f aca="false">AD25+1</f>
        <v>17</v>
      </c>
      <c r="AE26" s="12" t="n">
        <f aca="false">IF(I26&gt;S26,I26-S26,I26-S26)</f>
        <v>301.1985</v>
      </c>
      <c r="AF26" s="12"/>
      <c r="AH26" s="6"/>
    </row>
    <row r="27" customFormat="false" ht="11.1" hidden="false" customHeight="true" outlineLevel="0" collapsed="false">
      <c r="A27" s="13" t="n">
        <f aca="false">A26+1</f>
        <v>18</v>
      </c>
      <c r="B27" s="31" t="n">
        <v>6878.83</v>
      </c>
      <c r="C27" s="7" t="n">
        <v>212677</v>
      </c>
      <c r="D27" s="12" t="n">
        <f aca="false">C27-C26</f>
        <v>207</v>
      </c>
      <c r="E27" s="7" t="n">
        <f aca="false">C27-152000</f>
        <v>60677</v>
      </c>
      <c r="F27" s="6" t="n">
        <f aca="false">D27/$D$2</f>
        <v>104.36097806907</v>
      </c>
      <c r="G27" s="6" t="n">
        <v>308</v>
      </c>
      <c r="H27" s="8" t="n">
        <v>1.2</v>
      </c>
      <c r="I27" s="6" t="n">
        <f aca="false">G27+H27</f>
        <v>309.2</v>
      </c>
      <c r="J27" s="114" t="n">
        <f aca="false">IF(L27&gt;0,L27,0)</f>
        <v>0</v>
      </c>
      <c r="K27" s="6" t="n">
        <f aca="false">I27+J27</f>
        <v>309.2</v>
      </c>
      <c r="L27" s="6" t="n">
        <f aca="false">F27-(I27-X27)</f>
        <v>-12.0990219309302</v>
      </c>
      <c r="M27" s="6" t="n">
        <v>156</v>
      </c>
      <c r="N27" s="6" t="n">
        <v>0</v>
      </c>
      <c r="O27" s="6" t="n">
        <f aca="false">106.92*1.05</f>
        <v>112.266</v>
      </c>
      <c r="P27" s="6" t="n">
        <f aca="false">M27-(N27+O27)</f>
        <v>43.734</v>
      </c>
      <c r="Q27" s="6" t="n">
        <v>0</v>
      </c>
      <c r="R27" s="6" t="n">
        <v>0</v>
      </c>
      <c r="S27" s="6" t="n">
        <f aca="false">SUM(P27:R27)</f>
        <v>43.734</v>
      </c>
      <c r="T27" s="7" t="n">
        <f aca="false">T26+AE27</f>
        <v>5086.429</v>
      </c>
      <c r="U27" s="6" t="n">
        <v>6.74</v>
      </c>
      <c r="V27" s="115" t="n">
        <v>30</v>
      </c>
      <c r="W27" s="116" t="n">
        <f aca="false">W26-V27</f>
        <v>5486.778674061</v>
      </c>
      <c r="X27" s="6" t="n">
        <f aca="false">N27+O27+S27+U27+V27</f>
        <v>192.74</v>
      </c>
      <c r="Y27" s="6" t="n">
        <f aca="false">IF(L27&lt;0,L27*-1,0)</f>
        <v>12.0990219309302</v>
      </c>
      <c r="Z27" s="6" t="n">
        <f aca="false">X27+Y27</f>
        <v>204.83902193093</v>
      </c>
      <c r="AA27" s="11" t="n">
        <v>0</v>
      </c>
      <c r="AB27" s="41" t="n">
        <v>64</v>
      </c>
      <c r="AC27" s="12" t="n">
        <v>39</v>
      </c>
      <c r="AD27" s="13" t="n">
        <f aca="false">AD26+1</f>
        <v>18</v>
      </c>
      <c r="AE27" s="12" t="n">
        <f aca="false">IF(I27&gt;S27,I27-S27,I27-S27)</f>
        <v>265.466</v>
      </c>
      <c r="AF27" s="12"/>
      <c r="AH27" s="6"/>
    </row>
    <row r="28" customFormat="false" ht="11.1" hidden="false" customHeight="true" outlineLevel="0" collapsed="false">
      <c r="A28" s="13" t="n">
        <f aca="false">A27+1</f>
        <v>19</v>
      </c>
      <c r="B28" s="31" t="n">
        <v>6878.95</v>
      </c>
      <c r="C28" s="7" t="n">
        <v>213031</v>
      </c>
      <c r="D28" s="12" t="n">
        <f aca="false">C28-C27</f>
        <v>354</v>
      </c>
      <c r="E28" s="7" t="n">
        <f aca="false">C28-152000</f>
        <v>61031</v>
      </c>
      <c r="F28" s="6" t="n">
        <f aca="false">D28/$D$2</f>
        <v>178.47239727754</v>
      </c>
      <c r="G28" s="6" t="n">
        <v>329</v>
      </c>
      <c r="H28" s="8" t="n">
        <v>1</v>
      </c>
      <c r="I28" s="6" t="n">
        <f aca="false">G28+H28</f>
        <v>330</v>
      </c>
      <c r="J28" s="114" t="n">
        <f aca="false">IF(L28&gt;0,L28,0)</f>
        <v>0</v>
      </c>
      <c r="K28" s="6" t="n">
        <f aca="false">I28+J28</f>
        <v>330</v>
      </c>
      <c r="L28" s="6" t="n">
        <f aca="false">F28-(I28-X28)</f>
        <v>-18.5276027224603</v>
      </c>
      <c r="M28" s="6" t="n">
        <v>103</v>
      </c>
      <c r="N28" s="6" t="n">
        <v>0</v>
      </c>
      <c r="O28" s="6" t="n">
        <v>59.75</v>
      </c>
      <c r="P28" s="6" t="n">
        <f aca="false">M28-(N28+O28)</f>
        <v>43.25</v>
      </c>
      <c r="Q28" s="6" t="n">
        <v>0</v>
      </c>
      <c r="R28" s="6" t="n">
        <v>0</v>
      </c>
      <c r="S28" s="6" t="n">
        <f aca="false">SUM(P28:R28)</f>
        <v>43.25</v>
      </c>
      <c r="T28" s="7" t="n">
        <f aca="false">T27+AE28</f>
        <v>5373.179</v>
      </c>
      <c r="U28" s="6" t="n">
        <v>0</v>
      </c>
      <c r="V28" s="115" t="n">
        <v>30</v>
      </c>
      <c r="W28" s="116" t="n">
        <f aca="false">W27-V28</f>
        <v>5456.778674061</v>
      </c>
      <c r="X28" s="6" t="n">
        <f aca="false">N28+O28+S28+U28+V28</f>
        <v>133</v>
      </c>
      <c r="Y28" s="6" t="n">
        <f aca="false">IF(L28&lt;0,L28*-1,0)</f>
        <v>18.5276027224603</v>
      </c>
      <c r="Z28" s="6" t="n">
        <f aca="false">X28+Y28</f>
        <v>151.52760272246</v>
      </c>
      <c r="AA28" s="11" t="n">
        <v>0</v>
      </c>
      <c r="AB28" s="41" t="n">
        <v>61</v>
      </c>
      <c r="AC28" s="12" t="n">
        <v>33</v>
      </c>
      <c r="AD28" s="13" t="n">
        <f aca="false">AD27+1</f>
        <v>19</v>
      </c>
      <c r="AE28" s="12" t="n">
        <f aca="false">IF(I28&gt;S28,I28-S28,I28-S28)</f>
        <v>286.75</v>
      </c>
      <c r="AF28" s="12"/>
      <c r="AH28" s="6"/>
    </row>
    <row r="29" customFormat="false" ht="11.1" hidden="false" customHeight="true" outlineLevel="0" collapsed="false">
      <c r="A29" s="13" t="n">
        <f aca="false">A28+1</f>
        <v>20</v>
      </c>
      <c r="B29" s="31" t="n">
        <v>6879.09</v>
      </c>
      <c r="C29" s="7" t="n">
        <v>213447</v>
      </c>
      <c r="D29" s="12" t="n">
        <f aca="false">C29-C28</f>
        <v>416</v>
      </c>
      <c r="E29" s="7" t="n">
        <f aca="false">C29-152000</f>
        <v>61447</v>
      </c>
      <c r="F29" s="6" t="n">
        <f aca="false">D29/$D$2</f>
        <v>209.730274766826</v>
      </c>
      <c r="G29" s="6" t="n">
        <v>360</v>
      </c>
      <c r="H29" s="8" t="n">
        <v>0.96</v>
      </c>
      <c r="I29" s="6" t="n">
        <f aca="false">G29+H29</f>
        <v>360.96</v>
      </c>
      <c r="J29" s="114" t="n">
        <f aca="false">IF(L29&gt;0,L29,0)</f>
        <v>0</v>
      </c>
      <c r="K29" s="6" t="n">
        <f aca="false">I29+J29</f>
        <v>360.96</v>
      </c>
      <c r="L29" s="6" t="n">
        <f aca="false">F29-(I29-X29)</f>
        <v>-32.2297252331737</v>
      </c>
      <c r="M29" s="6" t="n">
        <v>89</v>
      </c>
      <c r="N29" s="6" t="n">
        <v>0</v>
      </c>
      <c r="O29" s="6" t="n">
        <v>28.91</v>
      </c>
      <c r="P29" s="6" t="n">
        <f aca="false">M29-(N29+O29)</f>
        <v>60.09</v>
      </c>
      <c r="Q29" s="6" t="n">
        <v>0</v>
      </c>
      <c r="R29" s="6" t="n">
        <v>0</v>
      </c>
      <c r="S29" s="6" t="n">
        <f aca="false">SUM(P29:R29)</f>
        <v>60.09</v>
      </c>
      <c r="T29" s="7" t="n">
        <f aca="false">T28+AE29</f>
        <v>5674.049</v>
      </c>
      <c r="U29" s="6" t="n">
        <v>0</v>
      </c>
      <c r="V29" s="115" t="n">
        <v>30</v>
      </c>
      <c r="W29" s="116" t="n">
        <f aca="false">W28-V29</f>
        <v>5426.778674061</v>
      </c>
      <c r="X29" s="6" t="n">
        <f aca="false">N29+O29+S29+U29+V29</f>
        <v>119</v>
      </c>
      <c r="Y29" s="6" t="n">
        <f aca="false">IF(L29&lt;0,L29*-1,0)</f>
        <v>32.2297252331737</v>
      </c>
      <c r="Z29" s="6" t="n">
        <f aca="false">X29+Y29</f>
        <v>151.229725233174</v>
      </c>
      <c r="AA29" s="11" t="n">
        <v>0</v>
      </c>
      <c r="AB29" s="41" t="n">
        <v>55</v>
      </c>
      <c r="AC29" s="12" t="n">
        <v>26</v>
      </c>
      <c r="AD29" s="13" t="n">
        <f aca="false">AD28+1</f>
        <v>20</v>
      </c>
      <c r="AE29" s="12" t="n">
        <f aca="false">IF(I29&gt;S29,I29-S29,I29-S29)</f>
        <v>300.87</v>
      </c>
      <c r="AF29" s="12"/>
      <c r="AH29" s="6"/>
    </row>
    <row r="30" customFormat="false" ht="11.1" hidden="false" customHeight="true" outlineLevel="0" collapsed="false">
      <c r="A30" s="13" t="n">
        <f aca="false">A29+1</f>
        <v>21</v>
      </c>
      <c r="B30" s="31" t="n">
        <v>6879.2</v>
      </c>
      <c r="C30" s="7" t="n">
        <v>213776</v>
      </c>
      <c r="D30" s="12" t="n">
        <f aca="false">C30-C29</f>
        <v>329</v>
      </c>
      <c r="E30" s="7" t="n">
        <f aca="false">C30-152000</f>
        <v>61776</v>
      </c>
      <c r="F30" s="6" t="n">
        <f aca="false">D30/$D$2</f>
        <v>165.868414418956</v>
      </c>
      <c r="G30" s="6" t="n">
        <v>267</v>
      </c>
      <c r="H30" s="8" t="n">
        <v>0.83</v>
      </c>
      <c r="I30" s="6" t="n">
        <f aca="false">G30+H30</f>
        <v>267.83</v>
      </c>
      <c r="J30" s="114" t="n">
        <f aca="false">IF(L30&gt;0,L30,0)</f>
        <v>3.03841441895639</v>
      </c>
      <c r="K30" s="6" t="n">
        <f aca="false">I30+J30</f>
        <v>270.868414418956</v>
      </c>
      <c r="L30" s="6" t="n">
        <f aca="false">F30-(I30-X30)</f>
        <v>3.03841441895639</v>
      </c>
      <c r="M30" s="6" t="n">
        <v>75</v>
      </c>
      <c r="N30" s="6" t="n">
        <v>0</v>
      </c>
      <c r="O30" s="6" t="n">
        <v>25.8</v>
      </c>
      <c r="P30" s="6" t="n">
        <f aca="false">M30-(N30+O30)</f>
        <v>49.2</v>
      </c>
      <c r="Q30" s="6" t="n">
        <v>0</v>
      </c>
      <c r="R30" s="6" t="n">
        <v>0</v>
      </c>
      <c r="S30" s="6" t="n">
        <f aca="false">SUM(P30:R30)</f>
        <v>49.2</v>
      </c>
      <c r="T30" s="7" t="n">
        <f aca="false">T29+AE30</f>
        <v>5892.679</v>
      </c>
      <c r="U30" s="6" t="n">
        <v>0</v>
      </c>
      <c r="V30" s="115" t="n">
        <v>30</v>
      </c>
      <c r="W30" s="116" t="n">
        <f aca="false">W29-V30</f>
        <v>5396.778674061</v>
      </c>
      <c r="X30" s="6" t="n">
        <f aca="false">N30+O30+S30+U30+V30</f>
        <v>105</v>
      </c>
      <c r="Y30" s="6" t="n">
        <f aca="false">IF(L30&lt;0,L30*-1,0)</f>
        <v>0</v>
      </c>
      <c r="Z30" s="6" t="n">
        <f aca="false">X30+Y30</f>
        <v>105</v>
      </c>
      <c r="AA30" s="11" t="n">
        <v>0</v>
      </c>
      <c r="AB30" s="12" t="n">
        <v>51</v>
      </c>
      <c r="AC30" s="12" t="n">
        <v>16</v>
      </c>
      <c r="AD30" s="13" t="n">
        <f aca="false">AD29+1</f>
        <v>21</v>
      </c>
      <c r="AE30" s="12" t="n">
        <f aca="false">IF(I30&gt;S30,I30-S30,I30-S30)</f>
        <v>218.63</v>
      </c>
      <c r="AF30" s="12"/>
      <c r="AH30" s="6"/>
    </row>
    <row r="31" customFormat="false" ht="11.1" hidden="false" customHeight="true" outlineLevel="0" collapsed="false">
      <c r="A31" s="13" t="n">
        <f aca="false">A30+1</f>
        <v>22</v>
      </c>
      <c r="B31" s="31" t="n">
        <v>6879.25</v>
      </c>
      <c r="C31" s="7" t="n">
        <v>213925</v>
      </c>
      <c r="D31" s="12" t="n">
        <f aca="false">C31-C30</f>
        <v>149</v>
      </c>
      <c r="E31" s="7" t="n">
        <f aca="false">C31-152000</f>
        <v>61925</v>
      </c>
      <c r="F31" s="6" t="n">
        <f aca="false">D31/$D$2</f>
        <v>75.1197378371565</v>
      </c>
      <c r="G31" s="6" t="n">
        <v>271</v>
      </c>
      <c r="H31" s="8" t="n">
        <v>0.77</v>
      </c>
      <c r="I31" s="6" t="n">
        <f aca="false">G31+H31</f>
        <v>271.77</v>
      </c>
      <c r="J31" s="114" t="n">
        <f aca="false">IF(L31&gt;0,L31,0)</f>
        <v>0</v>
      </c>
      <c r="K31" s="6" t="n">
        <f aca="false">I31+J31</f>
        <v>271.77</v>
      </c>
      <c r="L31" s="6" t="n">
        <f aca="false">F31-(I31-X31)</f>
        <v>-22.6502621628434</v>
      </c>
      <c r="M31" s="6" t="n">
        <v>79</v>
      </c>
      <c r="N31" s="6" t="n">
        <v>0</v>
      </c>
      <c r="O31" s="6" t="n">
        <f aca="false">21.53*1.05</f>
        <v>22.6065</v>
      </c>
      <c r="P31" s="6" t="n">
        <f aca="false">M31-(N31+O31)</f>
        <v>56.3935</v>
      </c>
      <c r="Q31" s="6" t="n">
        <v>39</v>
      </c>
      <c r="R31" s="6" t="n">
        <v>0</v>
      </c>
      <c r="S31" s="6" t="n">
        <f aca="false">SUM(P31:R31)</f>
        <v>95.3935</v>
      </c>
      <c r="T31" s="7" t="n">
        <f aca="false">T30+AE31</f>
        <v>6069.0555</v>
      </c>
      <c r="U31" s="6" t="n">
        <v>26</v>
      </c>
      <c r="V31" s="115" t="n">
        <v>30</v>
      </c>
      <c r="W31" s="116" t="n">
        <f aca="false">W30-V31</f>
        <v>5366.778674061</v>
      </c>
      <c r="X31" s="6" t="n">
        <f aca="false">N31+O31+S31+U31+V31</f>
        <v>174</v>
      </c>
      <c r="Y31" s="6" t="n">
        <f aca="false">IF(L31&lt;0,L31*-1,0)</f>
        <v>22.6502621628434</v>
      </c>
      <c r="Z31" s="6" t="n">
        <f aca="false">X31+Y31</f>
        <v>196.650262162843</v>
      </c>
      <c r="AA31" s="11" t="n">
        <v>0</v>
      </c>
      <c r="AB31" s="12" t="n">
        <v>64</v>
      </c>
      <c r="AC31" s="12" t="n">
        <v>30</v>
      </c>
      <c r="AD31" s="13" t="n">
        <f aca="false">AD30+1</f>
        <v>22</v>
      </c>
      <c r="AE31" s="12" t="n">
        <f aca="false">IF(I31&gt;S31,I31-S31,I31-S31)</f>
        <v>176.3765</v>
      </c>
      <c r="AF31" s="12"/>
      <c r="AH31" s="6"/>
    </row>
    <row r="32" customFormat="false" ht="11.1" hidden="false" customHeight="true" outlineLevel="0" collapsed="false">
      <c r="A32" s="13" t="n">
        <f aca="false">A31+1</f>
        <v>23</v>
      </c>
      <c r="B32" s="31" t="n">
        <v>6879.26</v>
      </c>
      <c r="C32" s="7" t="n">
        <v>213955</v>
      </c>
      <c r="D32" s="12" t="n">
        <f aca="false">C32-C31</f>
        <v>30</v>
      </c>
      <c r="E32" s="7" t="n">
        <f aca="false">C32-152000</f>
        <v>61955</v>
      </c>
      <c r="F32" s="6" t="n">
        <f aca="false">D32/$D$2</f>
        <v>15.1247794303</v>
      </c>
      <c r="G32" s="6" t="n">
        <v>308</v>
      </c>
      <c r="H32" s="8" t="n">
        <v>0.65</v>
      </c>
      <c r="I32" s="6" t="n">
        <f aca="false">G32+H32</f>
        <v>308.65</v>
      </c>
      <c r="J32" s="114" t="n">
        <f aca="false">IF(L32&gt;0,L32,0)</f>
        <v>0</v>
      </c>
      <c r="K32" s="6" t="n">
        <f aca="false">I32+J32</f>
        <v>308.65</v>
      </c>
      <c r="L32" s="6" t="n">
        <f aca="false">F32-(I32-X32)</f>
        <v>-55.8552205697</v>
      </c>
      <c r="M32" s="6" t="n">
        <v>126</v>
      </c>
      <c r="N32" s="6" t="n">
        <v>0</v>
      </c>
      <c r="O32" s="6" t="n">
        <f aca="false">39.61*1.05</f>
        <v>41.5905</v>
      </c>
      <c r="P32" s="6" t="n">
        <f aca="false">M32-(N32+O32)</f>
        <v>84.4095</v>
      </c>
      <c r="Q32" s="6" t="n">
        <v>60</v>
      </c>
      <c r="R32" s="6" t="n">
        <v>0</v>
      </c>
      <c r="S32" s="6" t="n">
        <f aca="false">SUM(P32:R32)</f>
        <v>144.4095</v>
      </c>
      <c r="T32" s="7" t="n">
        <f aca="false">T31+AE32</f>
        <v>6233.296</v>
      </c>
      <c r="U32" s="6" t="n">
        <v>21.67</v>
      </c>
      <c r="V32" s="115" t="n">
        <v>30</v>
      </c>
      <c r="W32" s="116" t="n">
        <f aca="false">W31-V32</f>
        <v>5336.778674061</v>
      </c>
      <c r="X32" s="6" t="n">
        <f aca="false">N32+O32+S32+U32+V32</f>
        <v>237.67</v>
      </c>
      <c r="Y32" s="6" t="n">
        <f aca="false">IF(L32&lt;0,L32*-1,0)</f>
        <v>55.8552205697</v>
      </c>
      <c r="Z32" s="6" t="n">
        <f aca="false">X32+Y32</f>
        <v>293.5252205697</v>
      </c>
      <c r="AA32" s="11" t="n">
        <v>0</v>
      </c>
      <c r="AB32" s="12" t="n">
        <v>69</v>
      </c>
      <c r="AC32" s="41" t="n">
        <v>34</v>
      </c>
      <c r="AD32" s="13" t="n">
        <f aca="false">AD31+1</f>
        <v>23</v>
      </c>
      <c r="AE32" s="12" t="n">
        <f aca="false">IF(I32&gt;S32,I32-S32,I32-S32)</f>
        <v>164.2405</v>
      </c>
      <c r="AF32" s="12"/>
      <c r="AH32" s="6"/>
    </row>
    <row r="33" customFormat="false" ht="11.1" hidden="false" customHeight="true" outlineLevel="0" collapsed="false">
      <c r="A33" s="13" t="n">
        <f aca="false">A32+1</f>
        <v>24</v>
      </c>
      <c r="B33" s="31" t="n">
        <v>6879.28</v>
      </c>
      <c r="C33" s="7" t="n">
        <v>214015</v>
      </c>
      <c r="D33" s="12" t="n">
        <f aca="false">C33-C32</f>
        <v>60</v>
      </c>
      <c r="E33" s="7" t="n">
        <f aca="false">C33-152000</f>
        <v>62015</v>
      </c>
      <c r="F33" s="6" t="n">
        <f aca="false">D33/$D$2</f>
        <v>30.2495588605999</v>
      </c>
      <c r="G33" s="6" t="n">
        <v>335</v>
      </c>
      <c r="H33" s="8" t="n">
        <v>0.67</v>
      </c>
      <c r="I33" s="6" t="n">
        <f aca="false">G33+H33</f>
        <v>335.67</v>
      </c>
      <c r="J33" s="114" t="n">
        <f aca="false">IF(L33&gt;0,L33,0)</f>
        <v>0</v>
      </c>
      <c r="K33" s="6" t="n">
        <f aca="false">I33+J33</f>
        <v>335.67</v>
      </c>
      <c r="L33" s="6" t="n">
        <f aca="false">F33-(I33-X33)</f>
        <v>-44.2104411394</v>
      </c>
      <c r="M33" s="6" t="n">
        <v>155</v>
      </c>
      <c r="N33" s="6" t="n">
        <v>0</v>
      </c>
      <c r="O33" s="6" t="n">
        <f aca="false">63.99*1.05</f>
        <v>67.1895</v>
      </c>
      <c r="P33" s="6" t="n">
        <f aca="false">M33-(N33+O33)</f>
        <v>87.8105</v>
      </c>
      <c r="Q33" s="6" t="n">
        <v>60</v>
      </c>
      <c r="R33" s="6" t="n">
        <v>0</v>
      </c>
      <c r="S33" s="6" t="n">
        <f aca="false">SUM(P33:R33)</f>
        <v>147.8105</v>
      </c>
      <c r="T33" s="7" t="n">
        <f aca="false">T32+AE33</f>
        <v>6421.1555</v>
      </c>
      <c r="U33" s="6" t="n">
        <v>16.21</v>
      </c>
      <c r="V33" s="115" t="n">
        <v>30</v>
      </c>
      <c r="W33" s="116" t="n">
        <f aca="false">W32-V33</f>
        <v>5306.778674061</v>
      </c>
      <c r="X33" s="6" t="n">
        <f aca="false">N33+O33+S33+U33+V33</f>
        <v>261.21</v>
      </c>
      <c r="Y33" s="6" t="n">
        <f aca="false">IF(L33&lt;0,L33*-1,0)</f>
        <v>44.2104411394</v>
      </c>
      <c r="Z33" s="6" t="n">
        <f aca="false">X33+Y33</f>
        <v>305.4204411394</v>
      </c>
      <c r="AA33" s="11" t="n">
        <v>0</v>
      </c>
      <c r="AB33" s="12" t="n">
        <v>72</v>
      </c>
      <c r="AC33" s="41" t="n">
        <v>34</v>
      </c>
      <c r="AD33" s="13" t="n">
        <f aca="false">AD32+1</f>
        <v>24</v>
      </c>
      <c r="AE33" s="12" t="n">
        <f aca="false">IF(I33&gt;S33,I33-S33,I33-S33)</f>
        <v>187.8595</v>
      </c>
      <c r="AF33" s="12"/>
      <c r="AH33" s="6"/>
    </row>
    <row r="34" customFormat="false" ht="11.1" hidden="false" customHeight="true" outlineLevel="0" collapsed="false">
      <c r="A34" s="13" t="n">
        <f aca="false">A33+1</f>
        <v>25</v>
      </c>
      <c r="B34" s="31" t="n">
        <v>6879.35</v>
      </c>
      <c r="C34" s="7" t="n">
        <v>214224</v>
      </c>
      <c r="D34" s="12" t="n">
        <f aca="false">C34-C33</f>
        <v>209</v>
      </c>
      <c r="E34" s="7" t="n">
        <f aca="false">C34-152000</f>
        <v>62224</v>
      </c>
      <c r="F34" s="6" t="n">
        <f aca="false">D34/$D$2</f>
        <v>105.369296697756</v>
      </c>
      <c r="G34" s="6" t="n">
        <v>391</v>
      </c>
      <c r="H34" s="8" t="n">
        <v>0.66</v>
      </c>
      <c r="I34" s="6" t="n">
        <f aca="false">G34+H34</f>
        <v>391.66</v>
      </c>
      <c r="J34" s="114" t="n">
        <f aca="false">IF(L34&gt;0,L34,0)</f>
        <v>0</v>
      </c>
      <c r="K34" s="6" t="n">
        <f aca="false">I34+J34</f>
        <v>391.66</v>
      </c>
      <c r="L34" s="6" t="n">
        <f aca="false">F34-(I34-X34)</f>
        <v>-21.6807033022435</v>
      </c>
      <c r="M34" s="6" t="n">
        <v>148</v>
      </c>
      <c r="N34" s="6" t="n">
        <v>0</v>
      </c>
      <c r="O34" s="6" t="n">
        <f aca="false">55.95*1.05</f>
        <v>58.7475</v>
      </c>
      <c r="P34" s="6" t="n">
        <f aca="false">M34-(N34+O34)</f>
        <v>89.2525</v>
      </c>
      <c r="Q34" s="6" t="n">
        <v>60</v>
      </c>
      <c r="R34" s="6" t="n">
        <v>0</v>
      </c>
      <c r="S34" s="6" t="n">
        <f aca="false">SUM(P34:R34)</f>
        <v>149.2525</v>
      </c>
      <c r="T34" s="7" t="n">
        <f aca="false">T33+AE34</f>
        <v>6663.563</v>
      </c>
      <c r="U34" s="6" t="n">
        <v>26.61</v>
      </c>
      <c r="V34" s="115" t="n">
        <v>30</v>
      </c>
      <c r="W34" s="116" t="n">
        <f aca="false">W33-V34</f>
        <v>5276.778674061</v>
      </c>
      <c r="X34" s="6" t="n">
        <f aca="false">N34+O34+S34+U34+V34</f>
        <v>264.61</v>
      </c>
      <c r="Y34" s="6" t="n">
        <f aca="false">IF(L34&lt;0,L34*-1,0)</f>
        <v>21.6807033022435</v>
      </c>
      <c r="Z34" s="6" t="n">
        <f aca="false">X34+Y34</f>
        <v>286.290703302244</v>
      </c>
      <c r="AA34" s="11" t="n">
        <v>0</v>
      </c>
      <c r="AB34" s="12" t="n">
        <v>67</v>
      </c>
      <c r="AC34" s="41" t="n">
        <v>44</v>
      </c>
      <c r="AD34" s="13" t="n">
        <f aca="false">AD33+1</f>
        <v>25</v>
      </c>
      <c r="AE34" s="12" t="n">
        <f aca="false">IF(I34&gt;S34,I34-S34,I34-S34)</f>
        <v>242.4075</v>
      </c>
      <c r="AF34" s="12"/>
      <c r="AH34" s="6"/>
    </row>
    <row r="35" customFormat="false" ht="11.1" hidden="false" customHeight="true" outlineLevel="0" collapsed="false">
      <c r="A35" s="13" t="n">
        <f aca="false">A34+1</f>
        <v>26</v>
      </c>
      <c r="B35" s="31" t="n">
        <v>6879.39</v>
      </c>
      <c r="C35" s="7" t="n">
        <v>214343</v>
      </c>
      <c r="D35" s="12" t="n">
        <f aca="false">C35-C34</f>
        <v>119</v>
      </c>
      <c r="E35" s="7" t="n">
        <f aca="false">C35-152000</f>
        <v>62343</v>
      </c>
      <c r="F35" s="6" t="n">
        <f aca="false">D35/$D$2</f>
        <v>59.9949584068566</v>
      </c>
      <c r="G35" s="6" t="n">
        <v>364</v>
      </c>
      <c r="H35" s="8" t="n">
        <v>0.68</v>
      </c>
      <c r="I35" s="6" t="n">
        <f aca="false">G35+H35</f>
        <v>364.68</v>
      </c>
      <c r="J35" s="114" t="n">
        <f aca="false">IF(L35&gt;0,L35,0)</f>
        <v>0</v>
      </c>
      <c r="K35" s="6" t="n">
        <f aca="false">I35+J35</f>
        <v>364.68</v>
      </c>
      <c r="L35" s="6" t="n">
        <f aca="false">F35-(I35-X35)</f>
        <v>-45.4350415931434</v>
      </c>
      <c r="M35" s="6" t="n">
        <v>144</v>
      </c>
      <c r="N35" s="6" t="n">
        <v>0</v>
      </c>
      <c r="O35" s="6" t="n">
        <f aca="false">48.12*1.05</f>
        <v>50.526</v>
      </c>
      <c r="P35" s="6" t="n">
        <f aca="false">M35-(N35+O35)</f>
        <v>93.474</v>
      </c>
      <c r="Q35" s="6" t="n">
        <v>60</v>
      </c>
      <c r="R35" s="6" t="n">
        <v>0</v>
      </c>
      <c r="S35" s="6" t="n">
        <f aca="false">SUM(P35:R35)</f>
        <v>153.474</v>
      </c>
      <c r="T35" s="7" t="n">
        <f aca="false">T34+AE35</f>
        <v>6874.769</v>
      </c>
      <c r="U35" s="6" t="n">
        <v>31.25</v>
      </c>
      <c r="V35" s="115" t="n">
        <v>24</v>
      </c>
      <c r="W35" s="116" t="n">
        <f aca="false">W34-V35</f>
        <v>5252.778674061</v>
      </c>
      <c r="X35" s="6" t="n">
        <f aca="false">N35+O35+S35+U35+V35</f>
        <v>259.25</v>
      </c>
      <c r="Y35" s="6" t="n">
        <f aca="false">IF(L35&lt;0,L35*-1,0)</f>
        <v>45.4350415931434</v>
      </c>
      <c r="Z35" s="6" t="n">
        <f aca="false">X35+Y35</f>
        <v>304.685041593143</v>
      </c>
      <c r="AA35" s="11" t="n">
        <v>0.05</v>
      </c>
      <c r="AB35" s="12" t="n">
        <v>69</v>
      </c>
      <c r="AC35" s="12" t="n">
        <v>41</v>
      </c>
      <c r="AD35" s="13" t="n">
        <f aca="false">AD34+1</f>
        <v>26</v>
      </c>
      <c r="AE35" s="12" t="n">
        <f aca="false">IF(I35&gt;S35,I35-S35,I35-S35)</f>
        <v>211.206</v>
      </c>
      <c r="AF35" s="12"/>
      <c r="AH35" s="3"/>
    </row>
    <row r="36" customFormat="false" ht="11.1" hidden="false" customHeight="true" outlineLevel="0" collapsed="false">
      <c r="A36" s="13" t="n">
        <f aca="false">A35+1</f>
        <v>27</v>
      </c>
      <c r="B36" s="31" t="n">
        <v>6879.49</v>
      </c>
      <c r="C36" s="7" t="n">
        <v>214642</v>
      </c>
      <c r="D36" s="12" t="n">
        <f aca="false">C36-C35</f>
        <v>299</v>
      </c>
      <c r="E36" s="7" t="n">
        <f aca="false">C36-152000</f>
        <v>62642</v>
      </c>
      <c r="F36" s="6" t="n">
        <f aca="false">D36/$D$2</f>
        <v>150.743634988656</v>
      </c>
      <c r="G36" s="6" t="n">
        <v>367</v>
      </c>
      <c r="H36" s="8" t="n">
        <v>0.67</v>
      </c>
      <c r="I36" s="6" t="n">
        <f aca="false">G36+H36</f>
        <v>367.67</v>
      </c>
      <c r="J36" s="114" t="n">
        <f aca="false">IF(L36&gt;0,L36,0)</f>
        <v>8.72363498865641</v>
      </c>
      <c r="K36" s="6" t="n">
        <f aca="false">I36+J36</f>
        <v>376.393634988656</v>
      </c>
      <c r="L36" s="6" t="n">
        <f aca="false">F36-(I36-X36)</f>
        <v>8.72363498865641</v>
      </c>
      <c r="M36" s="6" t="n">
        <v>141</v>
      </c>
      <c r="N36" s="6" t="n">
        <v>0</v>
      </c>
      <c r="O36" s="6" t="n">
        <f aca="false">60.89*1.05</f>
        <v>63.9345</v>
      </c>
      <c r="P36" s="6" t="n">
        <f aca="false">M36-(N36+O36)</f>
        <v>77.0655</v>
      </c>
      <c r="Q36" s="6" t="n">
        <v>60</v>
      </c>
      <c r="R36" s="6" t="n">
        <v>0</v>
      </c>
      <c r="S36" s="6" t="n">
        <f aca="false">SUM(P36:R36)</f>
        <v>137.0655</v>
      </c>
      <c r="T36" s="7" t="n">
        <f aca="false">T35+AE36</f>
        <v>7105.3735</v>
      </c>
      <c r="U36" s="6" t="n">
        <v>6.65</v>
      </c>
      <c r="V36" s="115" t="n">
        <v>18</v>
      </c>
      <c r="W36" s="116" t="n">
        <f aca="false">W35-V36</f>
        <v>5234.778674061</v>
      </c>
      <c r="X36" s="6" t="n">
        <f aca="false">N36+O36+S36+U36+V36</f>
        <v>225.65</v>
      </c>
      <c r="Y36" s="6" t="n">
        <f aca="false">IF(L36&lt;0,L36*-1,0)</f>
        <v>0</v>
      </c>
      <c r="Z36" s="6" t="n">
        <f aca="false">X36+Y36</f>
        <v>225.65</v>
      </c>
      <c r="AA36" s="11" t="n">
        <v>0</v>
      </c>
      <c r="AB36" s="12" t="n">
        <v>56</v>
      </c>
      <c r="AC36" s="12" t="n">
        <v>36</v>
      </c>
      <c r="AD36" s="13" t="n">
        <f aca="false">AD35+1</f>
        <v>27</v>
      </c>
      <c r="AE36" s="12" t="n">
        <f aca="false">IF(I36&gt;S36,I36-S36,I36-S36)</f>
        <v>230.6045</v>
      </c>
      <c r="AF36" s="12"/>
      <c r="AH36" s="6"/>
    </row>
    <row r="37" customFormat="false" ht="11.1" hidden="false" customHeight="true" outlineLevel="0" collapsed="false">
      <c r="A37" s="13" t="n">
        <f aca="false">A36+1</f>
        <v>28</v>
      </c>
      <c r="B37" s="31" t="n">
        <v>6879.53</v>
      </c>
      <c r="C37" s="7" t="n">
        <v>214761</v>
      </c>
      <c r="D37" s="12" t="n">
        <f aca="false">C37-C36</f>
        <v>119</v>
      </c>
      <c r="E37" s="7" t="n">
        <f aca="false">C37-152000</f>
        <v>62761</v>
      </c>
      <c r="F37" s="6" t="n">
        <f aca="false">D37/$D$2</f>
        <v>59.9949584068566</v>
      </c>
      <c r="G37" s="6" t="n">
        <v>299</v>
      </c>
      <c r="H37" s="8" t="n">
        <v>0.66</v>
      </c>
      <c r="I37" s="6" t="n">
        <f aca="false">G37+H37</f>
        <v>299.66</v>
      </c>
      <c r="J37" s="114" t="n">
        <f aca="false">IF(L37&gt;0,L37,0)</f>
        <v>7.44495840685656</v>
      </c>
      <c r="K37" s="6" t="n">
        <f aca="false">I37+J37</f>
        <v>307.104958406857</v>
      </c>
      <c r="L37" s="6" t="n">
        <f aca="false">F37-(I37-X37)</f>
        <v>7.44495840685656</v>
      </c>
      <c r="M37" s="6" t="n">
        <v>146</v>
      </c>
      <c r="N37" s="6" t="n">
        <v>0</v>
      </c>
      <c r="O37" s="6" t="n">
        <f aca="false">64.28*1.05</f>
        <v>67.494</v>
      </c>
      <c r="P37" s="6" t="n">
        <f aca="false">M37-(N37+O37)</f>
        <v>78.506</v>
      </c>
      <c r="Q37" s="6" t="n">
        <v>60</v>
      </c>
      <c r="R37" s="6" t="n">
        <v>0</v>
      </c>
      <c r="S37" s="6" t="n">
        <f aca="false">SUM(P37:R37)</f>
        <v>138.506</v>
      </c>
      <c r="T37" s="7" t="n">
        <f aca="false">T36+AE37</f>
        <v>7266.5275</v>
      </c>
      <c r="U37" s="6" t="n">
        <v>23.11</v>
      </c>
      <c r="V37" s="115" t="n">
        <v>18</v>
      </c>
      <c r="W37" s="116" t="n">
        <f aca="false">W36-V37</f>
        <v>5216.778674061</v>
      </c>
      <c r="X37" s="6" t="n">
        <f aca="false">N37+O37+S37+U37+V37</f>
        <v>247.11</v>
      </c>
      <c r="Y37" s="6" t="n">
        <f aca="false">IF(L37&lt;0,L37*-1,0)</f>
        <v>0</v>
      </c>
      <c r="Z37" s="6" t="n">
        <f aca="false">X37+Y37</f>
        <v>247.11</v>
      </c>
      <c r="AA37" s="11" t="n">
        <v>0</v>
      </c>
      <c r="AB37" s="12" t="n">
        <v>65</v>
      </c>
      <c r="AC37" s="12" t="n">
        <v>29</v>
      </c>
      <c r="AD37" s="13" t="n">
        <f aca="false">AD36+1</f>
        <v>28</v>
      </c>
      <c r="AE37" s="12" t="n">
        <f aca="false">IF(I37&gt;S37,I37-S37,I37-S37)</f>
        <v>161.154</v>
      </c>
      <c r="AF37" s="12"/>
      <c r="AH37" s="6"/>
    </row>
    <row r="38" customFormat="false" ht="11.1" hidden="false" customHeight="true" outlineLevel="0" collapsed="false">
      <c r="A38" s="13" t="n">
        <f aca="false">A37+1</f>
        <v>29</v>
      </c>
      <c r="B38" s="31" t="n">
        <v>6879.48</v>
      </c>
      <c r="C38" s="7" t="n">
        <v>214612</v>
      </c>
      <c r="D38" s="12" t="n">
        <f aca="false">C38-C37</f>
        <v>-149</v>
      </c>
      <c r="E38" s="7" t="n">
        <f aca="false">C38-152000</f>
        <v>62612</v>
      </c>
      <c r="F38" s="6" t="n">
        <f aca="false">D38/$D$2</f>
        <v>-75.1197378371565</v>
      </c>
      <c r="G38" s="6" t="n">
        <v>308</v>
      </c>
      <c r="H38" s="8" t="n">
        <v>0.59</v>
      </c>
      <c r="I38" s="6" t="n">
        <f aca="false">G38+H38</f>
        <v>308.59</v>
      </c>
      <c r="J38" s="114" t="n">
        <f aca="false">IF(L38&gt;0,L38,0)</f>
        <v>0</v>
      </c>
      <c r="K38" s="6" t="n">
        <f aca="false">I38+J38</f>
        <v>308.59</v>
      </c>
      <c r="L38" s="6" t="n">
        <f aca="false">F38-(I38-X38)</f>
        <v>-57.6997378371565</v>
      </c>
      <c r="M38" s="6" t="n">
        <v>180</v>
      </c>
      <c r="N38" s="6" t="n">
        <v>0</v>
      </c>
      <c r="O38" s="6" t="n">
        <f aca="false">58.36*1.05</f>
        <v>61.278</v>
      </c>
      <c r="P38" s="6" t="n">
        <f aca="false">M38-(N38+O38)</f>
        <v>118.722</v>
      </c>
      <c r="Q38" s="6" t="n">
        <v>60</v>
      </c>
      <c r="R38" s="6" t="n">
        <v>15</v>
      </c>
      <c r="S38" s="6" t="n">
        <f aca="false">SUM(P38:R38)</f>
        <v>193.722</v>
      </c>
      <c r="T38" s="7" t="n">
        <f aca="false">T37+AE38</f>
        <v>7381.3955</v>
      </c>
      <c r="U38" s="6" t="n">
        <v>53.01</v>
      </c>
      <c r="V38" s="115" t="n">
        <v>18</v>
      </c>
      <c r="W38" s="116" t="n">
        <f aca="false">W37-V38</f>
        <v>5198.778674061</v>
      </c>
      <c r="X38" s="6" t="n">
        <f aca="false">N38+O38+S38+U38+V38</f>
        <v>326.01</v>
      </c>
      <c r="Y38" s="6" t="n">
        <f aca="false">IF(L38&lt;0,L38*-1,0)</f>
        <v>57.6997378371565</v>
      </c>
      <c r="Z38" s="6" t="n">
        <f aca="false">X38+Y38</f>
        <v>383.709737837157</v>
      </c>
      <c r="AA38" s="11" t="n">
        <v>0</v>
      </c>
      <c r="AB38" s="41" t="n">
        <v>71</v>
      </c>
      <c r="AC38" s="12" t="n">
        <v>39</v>
      </c>
      <c r="AD38" s="13" t="n">
        <f aca="false">AD37+1</f>
        <v>29</v>
      </c>
      <c r="AE38" s="12" t="n">
        <f aca="false">IF(I38&gt;S38,I38-S38,I38-S38)</f>
        <v>114.868</v>
      </c>
      <c r="AF38" s="12"/>
      <c r="AH38" s="6"/>
    </row>
    <row r="39" customFormat="false" ht="11.1" hidden="false" customHeight="true" outlineLevel="0" collapsed="false">
      <c r="A39" s="13" t="n">
        <v>30</v>
      </c>
      <c r="B39" s="31" t="n">
        <v>6879.4</v>
      </c>
      <c r="C39" s="7" t="n">
        <v>214373</v>
      </c>
      <c r="D39" s="12" t="n">
        <f aca="false">C39-C38</f>
        <v>-239</v>
      </c>
      <c r="E39" s="7" t="n">
        <f aca="false">C39-152000</f>
        <v>62373</v>
      </c>
      <c r="F39" s="6" t="n">
        <f aca="false">D39/$D$2</f>
        <v>-120.494076128056</v>
      </c>
      <c r="G39" s="6" t="n">
        <v>294</v>
      </c>
      <c r="H39" s="8" t="n">
        <v>0.57</v>
      </c>
      <c r="I39" s="6" t="n">
        <f aca="false">G39+H39</f>
        <v>294.57</v>
      </c>
      <c r="J39" s="114" t="n">
        <f aca="false">IF(L39&gt;0,L39,0)</f>
        <v>0</v>
      </c>
      <c r="K39" s="6" t="n">
        <f aca="false">I39+J39</f>
        <v>294.57</v>
      </c>
      <c r="L39" s="6" t="n">
        <f aca="false">F39-(I39-X39)</f>
        <v>-66.3740761280565</v>
      </c>
      <c r="M39" s="6" t="n">
        <v>205</v>
      </c>
      <c r="N39" s="6" t="n">
        <v>0</v>
      </c>
      <c r="O39" s="6" t="n">
        <f aca="false">59.97*1.05</f>
        <v>62.9685</v>
      </c>
      <c r="P39" s="6" t="n">
        <f aca="false">M39-(N39+O39)</f>
        <v>142.0315</v>
      </c>
      <c r="Q39" s="6" t="n">
        <v>60</v>
      </c>
      <c r="R39" s="6" t="n">
        <v>15</v>
      </c>
      <c r="S39" s="6" t="n">
        <f aca="false">SUM(P39:R39)</f>
        <v>217.0315</v>
      </c>
      <c r="T39" s="7" t="n">
        <f aca="false">T38+AE39</f>
        <v>7458.934</v>
      </c>
      <c r="U39" s="6" t="n">
        <v>50.69</v>
      </c>
      <c r="V39" s="115" t="n">
        <v>18</v>
      </c>
      <c r="W39" s="116" t="n">
        <f aca="false">W38-V39</f>
        <v>5180.778674061</v>
      </c>
      <c r="X39" s="6" t="n">
        <f aca="false">N39+O39+S39+U39+V39</f>
        <v>348.69</v>
      </c>
      <c r="Y39" s="6" t="n">
        <f aca="false">IF(L39&lt;0,L39*-1,0)</f>
        <v>66.3740761280565</v>
      </c>
      <c r="Z39" s="6" t="n">
        <f aca="false">X39+Y39</f>
        <v>415.064076128057</v>
      </c>
      <c r="AA39" s="11" t="n">
        <v>0</v>
      </c>
      <c r="AB39" s="41" t="n">
        <v>73</v>
      </c>
      <c r="AC39" s="12" t="n">
        <v>38</v>
      </c>
      <c r="AD39" s="13" t="n">
        <v>30</v>
      </c>
      <c r="AE39" s="12" t="n">
        <f aca="false">IF(I39&gt;S39,I39-S39,I39-S39)</f>
        <v>77.5385</v>
      </c>
      <c r="AF39" s="12"/>
      <c r="AH39" s="6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5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117"/>
      <c r="W40" s="117"/>
      <c r="X40" s="32"/>
      <c r="Y40" s="32"/>
      <c r="Z40" s="32"/>
      <c r="AA40" s="36"/>
      <c r="AB40" s="37"/>
      <c r="AC40" s="37"/>
      <c r="AD40" s="38"/>
      <c r="AE40" s="108"/>
      <c r="AF40" s="108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3431.81245273506</v>
      </c>
      <c r="G41" s="7" t="n">
        <f aca="false">SUM(G10:G39)</f>
        <v>9706</v>
      </c>
      <c r="H41" s="7" t="n">
        <f aca="false">SUM(H10:H39)</f>
        <v>23.76</v>
      </c>
      <c r="I41" s="7" t="n">
        <f aca="false">SUM(I10:I39)</f>
        <v>9729.76</v>
      </c>
      <c r="J41" s="7" t="n">
        <f aca="false">SUM(J10:J39)</f>
        <v>114.895202924124</v>
      </c>
      <c r="K41" s="7" t="n">
        <f aca="false">SUM(K10:K39)</f>
        <v>9844.65520292413</v>
      </c>
      <c r="L41" s="7" t="n">
        <f aca="false">SUM(L10:L39)</f>
        <v>-489.377547264936</v>
      </c>
      <c r="M41" s="7" t="n">
        <f aca="false">SUM(M10:M39)</f>
        <v>3927</v>
      </c>
      <c r="N41" s="7" t="n">
        <f aca="false">SUM(N10:N39)</f>
        <v>0.5</v>
      </c>
      <c r="O41" s="7" t="n">
        <f aca="false">SUM(O10:O39)</f>
        <v>2204.674</v>
      </c>
      <c r="P41" s="7" t="n">
        <f aca="false">SUM(P10:P39)</f>
        <v>1721.826</v>
      </c>
      <c r="Q41" s="7" t="n">
        <f aca="false">SUM(Q10:Q39)</f>
        <v>519</v>
      </c>
      <c r="R41" s="7" t="n">
        <f aca="false">SUM(R10:R39)</f>
        <v>30</v>
      </c>
      <c r="S41" s="7" t="n">
        <f aca="false">SUM(S10:S39)</f>
        <v>2270.826</v>
      </c>
      <c r="T41" s="7"/>
      <c r="U41" s="7" t="n">
        <f aca="false">SUM(U10:U39)</f>
        <v>479.57</v>
      </c>
      <c r="V41" s="7" t="n">
        <f aca="false">SUM(V10:V39)</f>
        <v>853</v>
      </c>
      <c r="W41" s="7"/>
      <c r="X41" s="7" t="n">
        <f aca="false">SUM(X10:X39)</f>
        <v>5808.57</v>
      </c>
      <c r="Y41" s="7" t="n">
        <f aca="false">SUM(Y10:Y39)</f>
        <v>604.27275018906</v>
      </c>
      <c r="Z41" s="7" t="n">
        <f aca="false">SUM(Z10:Z39)</f>
        <v>6412.84275018906</v>
      </c>
      <c r="AA41" s="11" t="n">
        <f aca="false">SUM(AA10:AA39)</f>
        <v>0.22</v>
      </c>
      <c r="AB41" s="12" t="n">
        <f aca="false">AVERAGE(AB10:AB39)</f>
        <v>64.7666666666667</v>
      </c>
      <c r="AC41" s="12" t="n">
        <f aca="false">AVERAGE(AC10:AC39)</f>
        <v>35.2333333333333</v>
      </c>
      <c r="AD41" s="13" t="s">
        <v>47</v>
      </c>
      <c r="AE41" s="7" t="n">
        <f aca="false">SUM(AE10:AE39)</f>
        <v>7458.934</v>
      </c>
      <c r="AF41" s="108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6807</v>
      </c>
      <c r="E42" s="7"/>
      <c r="F42" s="7" t="n">
        <f aca="false">F41*$D$2</f>
        <v>6807</v>
      </c>
      <c r="G42" s="7" t="n">
        <f aca="false">G41*$D$2</f>
        <v>19251.851</v>
      </c>
      <c r="H42" s="7" t="n">
        <f aca="false">H41*$D$2</f>
        <v>47.12796</v>
      </c>
      <c r="I42" s="7" t="n">
        <f aca="false">I41*$D$2</f>
        <v>19298.97896</v>
      </c>
      <c r="J42" s="7" t="n">
        <f aca="false">J41*$D$2</f>
        <v>227.894635</v>
      </c>
      <c r="K42" s="7" t="n">
        <f aca="false">K41*$D$2</f>
        <v>19526.873595</v>
      </c>
      <c r="L42" s="7" t="n">
        <f aca="false">L41*$D$2</f>
        <v>-970.680365</v>
      </c>
      <c r="M42" s="7" t="n">
        <f aca="false">M41*$D$2</f>
        <v>7789.2045</v>
      </c>
      <c r="N42" s="7" t="n">
        <f aca="false">N41*$D$2</f>
        <v>0.99175</v>
      </c>
      <c r="O42" s="7" t="n">
        <f aca="false">O41*$D$2</f>
        <v>4372.970879</v>
      </c>
      <c r="P42" s="7" t="n">
        <f aca="false">P41*$D$2</f>
        <v>3415.241871</v>
      </c>
      <c r="Q42" s="7" t="n">
        <f aca="false">Q41*$D$2</f>
        <v>1029.4365</v>
      </c>
      <c r="R42" s="7" t="n">
        <f aca="false">R41*$D$2</f>
        <v>59.505</v>
      </c>
      <c r="S42" s="7" t="n">
        <f aca="false">S41*$D$2</f>
        <v>4504.183371</v>
      </c>
      <c r="T42" s="7"/>
      <c r="U42" s="7" t="n">
        <f aca="false">U41*$D$2</f>
        <v>951.227095</v>
      </c>
      <c r="V42" s="7" t="n">
        <f aca="false">V41*$D$2</f>
        <v>1691.9255</v>
      </c>
      <c r="W42" s="7"/>
      <c r="X42" s="7" t="n">
        <f aca="false">X41*$D$2</f>
        <v>11521.298595</v>
      </c>
      <c r="Y42" s="7" t="n">
        <f aca="false">Y41*$D$2</f>
        <v>1198.575</v>
      </c>
      <c r="Z42" s="7" t="n">
        <f aca="false">Z41*$D$2</f>
        <v>12719.873595</v>
      </c>
      <c r="AA42" s="11"/>
      <c r="AB42" s="12" t="n">
        <f aca="false">MAX(AB10:AB39)</f>
        <v>73</v>
      </c>
      <c r="AC42" s="12" t="n">
        <f aca="false">MAX(AC10:AC39)</f>
        <v>46</v>
      </c>
      <c r="AD42" s="13" t="s">
        <v>49</v>
      </c>
      <c r="AE42" s="108"/>
      <c r="AF42" s="108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08"/>
      <c r="AF43" s="108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3431.81245273506</v>
      </c>
      <c r="G44" s="7" t="n">
        <f aca="false">G7+G41</f>
        <v>9706</v>
      </c>
      <c r="H44" s="12" t="n">
        <f aca="false">H7+H41</f>
        <v>23.76</v>
      </c>
      <c r="I44" s="7" t="n">
        <f aca="false">I7+I41</f>
        <v>9729.76</v>
      </c>
      <c r="J44" s="7" t="n">
        <f aca="false">J7+J41</f>
        <v>114.895202924124</v>
      </c>
      <c r="K44" s="7" t="n">
        <f aca="false">K7+K41</f>
        <v>9844.65520292413</v>
      </c>
      <c r="L44" s="7" t="n">
        <f aca="false">L7+L41</f>
        <v>-489.377547264936</v>
      </c>
      <c r="M44" s="7" t="n">
        <f aca="false">M7+M41</f>
        <v>3927</v>
      </c>
      <c r="N44" s="7" t="n">
        <f aca="false">N7+N41</f>
        <v>0.5</v>
      </c>
      <c r="O44" s="7" t="n">
        <f aca="false">O7+O41</f>
        <v>2204.674</v>
      </c>
      <c r="P44" s="7" t="n">
        <f aca="false">P7+P41</f>
        <v>1721.826</v>
      </c>
      <c r="Q44" s="7" t="n">
        <f aca="false">Q7+Q41</f>
        <v>519</v>
      </c>
      <c r="R44" s="7" t="n">
        <f aca="false">R7+R41</f>
        <v>30</v>
      </c>
      <c r="S44" s="7" t="n">
        <f aca="false">S7+S41</f>
        <v>2270.826</v>
      </c>
      <c r="T44" s="7" t="n">
        <f aca="false">T39</f>
        <v>7458.934</v>
      </c>
      <c r="U44" s="7" t="n">
        <f aca="false">U7+U41</f>
        <v>479.57</v>
      </c>
      <c r="V44" s="7" t="n">
        <f aca="false">V7+V41</f>
        <v>853</v>
      </c>
      <c r="W44" s="7"/>
      <c r="X44" s="7" t="n">
        <f aca="false">X7+X41</f>
        <v>5808.57</v>
      </c>
      <c r="Y44" s="7" t="n">
        <f aca="false">Y7+Y41</f>
        <v>604.27275018906</v>
      </c>
      <c r="Z44" s="7" t="n">
        <f aca="false">Z7+Z41</f>
        <v>6412.84275018906</v>
      </c>
      <c r="AA44" s="11"/>
      <c r="AB44" s="12" t="n">
        <f aca="false">MIN(AB10:AB39)</f>
        <v>50</v>
      </c>
      <c r="AC44" s="12" t="n">
        <f aca="false">MIN(AC10:AC39)</f>
        <v>16</v>
      </c>
      <c r="AD44" s="13" t="s">
        <v>51</v>
      </c>
      <c r="AE44" s="108"/>
      <c r="AF44" s="108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6807</v>
      </c>
      <c r="G45" s="7" t="n">
        <f aca="false">G44*$D$2</f>
        <v>19251.851</v>
      </c>
      <c r="H45" s="12" t="n">
        <f aca="false">H44*$D$2</f>
        <v>47.12796</v>
      </c>
      <c r="I45" s="7" t="n">
        <f aca="false">I44*$D$2</f>
        <v>19298.97896</v>
      </c>
      <c r="J45" s="7" t="n">
        <f aca="false">J44*$D$2</f>
        <v>227.894635</v>
      </c>
      <c r="K45" s="7" t="n">
        <f aca="false">K44*$D$2</f>
        <v>19526.873595</v>
      </c>
      <c r="L45" s="7" t="n">
        <f aca="false">L44*$D$2</f>
        <v>-970.680365</v>
      </c>
      <c r="M45" s="7" t="n">
        <f aca="false">M44*$D$2</f>
        <v>7789.2045</v>
      </c>
      <c r="N45" s="7" t="n">
        <f aca="false">N44*$D$2</f>
        <v>0.99175</v>
      </c>
      <c r="O45" s="7" t="n">
        <f aca="false">O44*$D$2</f>
        <v>4372.970879</v>
      </c>
      <c r="P45" s="7" t="n">
        <f aca="false">P44*$D$2</f>
        <v>3415.241871</v>
      </c>
      <c r="Q45" s="7" t="n">
        <f aca="false">Q44*$D$2</f>
        <v>1029.4365</v>
      </c>
      <c r="R45" s="7" t="n">
        <f aca="false">R44*$D$2</f>
        <v>59.505</v>
      </c>
      <c r="S45" s="7" t="n">
        <f aca="false">S44*$D$2</f>
        <v>4504.183371</v>
      </c>
      <c r="T45" s="7" t="n">
        <f aca="false">T44*$D$2</f>
        <v>14794.795589</v>
      </c>
      <c r="U45" s="7" t="n">
        <f aca="false">U44*$D$2</f>
        <v>951.227095</v>
      </c>
      <c r="V45" s="7" t="n">
        <f aca="false">V44*$D$2</f>
        <v>1691.9255</v>
      </c>
      <c r="W45" s="7"/>
      <c r="X45" s="7" t="n">
        <f aca="false">X44*$D$2</f>
        <v>11521.298595</v>
      </c>
      <c r="Y45" s="7" t="n">
        <f aca="false">Y44*$D$2</f>
        <v>1198.575</v>
      </c>
      <c r="Z45" s="7" t="n">
        <f aca="false">Z44*$D$2</f>
        <v>12719.873595</v>
      </c>
      <c r="AA45" s="11"/>
      <c r="AB45" s="12"/>
      <c r="AC45" s="12"/>
      <c r="AD45" s="13"/>
      <c r="AE45" s="108"/>
      <c r="AF45" s="108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7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08"/>
      <c r="AF46" s="108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4248.55054197126</v>
      </c>
      <c r="G47" s="7" t="n">
        <f aca="false">G8+G41</f>
        <v>16248</v>
      </c>
      <c r="H47" s="12" t="n">
        <f aca="false">H8+H41</f>
        <v>59.29</v>
      </c>
      <c r="I47" s="7" t="n">
        <f aca="false">I8+I41</f>
        <v>16259.76</v>
      </c>
      <c r="J47" s="7" t="n">
        <f aca="false">J8+J41</f>
        <v>1521.44580287371</v>
      </c>
      <c r="K47" s="7" t="n">
        <f aca="false">K8+K41</f>
        <v>17781.2058028737</v>
      </c>
      <c r="L47" s="7" t="n">
        <f aca="false">L8+L41</f>
        <v>-218.559458028737</v>
      </c>
      <c r="M47" s="7" t="n">
        <f aca="false">M8+M41</f>
        <v>5122.58</v>
      </c>
      <c r="N47" s="7" t="n">
        <f aca="false">N8+N41</f>
        <v>5.58</v>
      </c>
      <c r="O47" s="7" t="n">
        <f aca="false">O8+O41</f>
        <v>2716.009</v>
      </c>
      <c r="P47" s="7" t="n">
        <f aca="false">P8+P41</f>
        <v>2803.191</v>
      </c>
      <c r="Q47" s="7" t="n">
        <f aca="false">Q8+Q41</f>
        <v>519</v>
      </c>
      <c r="R47" s="7" t="n">
        <f aca="false">R8+R41</f>
        <v>157.5</v>
      </c>
      <c r="S47" s="7" t="n">
        <f aca="false">S8+S41</f>
        <v>3479.691</v>
      </c>
      <c r="T47" s="7"/>
      <c r="U47" s="7" t="n">
        <f aca="false">U8+U41</f>
        <v>479.57</v>
      </c>
      <c r="V47" s="7" t="n">
        <f aca="false">V8+V41</f>
        <v>5514</v>
      </c>
      <c r="W47" s="7" t="n">
        <f aca="false">W39</f>
        <v>5180.778674061</v>
      </c>
      <c r="X47" s="7" t="n">
        <f aca="false">X8+X41</f>
        <v>11792.65</v>
      </c>
      <c r="Y47" s="7" t="n">
        <f aca="false">Y8+Y41</f>
        <v>1740.00526090244</v>
      </c>
      <c r="Z47" s="7" t="n">
        <f aca="false">Z8+Z41</f>
        <v>13532.6552609024</v>
      </c>
      <c r="AA47" s="11" t="n">
        <f aca="false">AA8+AA41</f>
        <v>3.54</v>
      </c>
      <c r="AB47" s="12"/>
      <c r="AC47" s="12"/>
      <c r="AD47" s="13"/>
      <c r="AE47" s="108"/>
      <c r="AF47" s="108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8427</v>
      </c>
      <c r="E48" s="7" t="n">
        <f aca="false">E39</f>
        <v>62373</v>
      </c>
      <c r="F48" s="7" t="n">
        <f aca="false">F47*$D$2</f>
        <v>8426.99999999999</v>
      </c>
      <c r="G48" s="7" t="n">
        <f aca="false">G47*$D$2</f>
        <v>32227.908</v>
      </c>
      <c r="H48" s="12" t="n">
        <f aca="false">H47*$D$2</f>
        <v>117.601715</v>
      </c>
      <c r="I48" s="7" t="n">
        <f aca="false">I47*$D$2</f>
        <v>32251.23396</v>
      </c>
      <c r="J48" s="7" t="n">
        <f aca="false">J47*$D$2</f>
        <v>3017.78775</v>
      </c>
      <c r="K48" s="7" t="n">
        <f aca="false">K47*$D$2</f>
        <v>35269.02171</v>
      </c>
      <c r="L48" s="7" t="n">
        <f aca="false">L47*$D$2</f>
        <v>-433.512685</v>
      </c>
      <c r="M48" s="7" t="n">
        <f aca="false">M47*$D$2</f>
        <v>10160.63743</v>
      </c>
      <c r="N48" s="7" t="n">
        <f aca="false">N47*$D$2</f>
        <v>11.06793</v>
      </c>
      <c r="O48" s="7" t="n">
        <f aca="false">O47*$D$2</f>
        <v>5387.2038515</v>
      </c>
      <c r="P48" s="7" t="n">
        <f aca="false">P47*$D$2</f>
        <v>5560.1293485</v>
      </c>
      <c r="Q48" s="7" t="n">
        <f aca="false">Q47*$D$2</f>
        <v>1029.4365</v>
      </c>
      <c r="R48" s="7" t="n">
        <f aca="false">R47*$D$2</f>
        <v>312.40125</v>
      </c>
      <c r="S48" s="7" t="n">
        <f aca="false">S47*$D$2</f>
        <v>6901.9670985</v>
      </c>
      <c r="T48" s="7" t="n">
        <f aca="false">T47*$D$2</f>
        <v>0</v>
      </c>
      <c r="U48" s="7" t="n">
        <f aca="false">U47*$D$2</f>
        <v>951.227095</v>
      </c>
      <c r="V48" s="7" t="n">
        <f aca="false">V47*$D$2</f>
        <v>10937.019</v>
      </c>
      <c r="W48" s="7" t="n">
        <f aca="false">W47*$D$2</f>
        <v>10276.0745</v>
      </c>
      <c r="X48" s="7" t="n">
        <f aca="false">X47*$D$2</f>
        <v>23390.721275</v>
      </c>
      <c r="Y48" s="7" t="n">
        <f aca="false">Y47*$D$2</f>
        <v>3451.300435</v>
      </c>
      <c r="Z48" s="7" t="n">
        <f aca="false">Z47*$D$2</f>
        <v>26842.02171</v>
      </c>
      <c r="AA48" s="11"/>
      <c r="AB48" s="12"/>
      <c r="AC48" s="12"/>
      <c r="AD48" s="13"/>
      <c r="AE48" s="108"/>
      <c r="AF48" s="108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5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08"/>
      <c r="AF49" s="108"/>
    </row>
    <row r="50" customFormat="false" ht="14.1" hidden="false" customHeight="true" outlineLevel="0" collapsed="false">
      <c r="A50" s="42"/>
      <c r="B50" s="43"/>
      <c r="C50" s="7"/>
      <c r="D50" s="6"/>
      <c r="E50" s="7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7"/>
      <c r="X50" s="6"/>
      <c r="Y50" s="6"/>
      <c r="Z50" s="0"/>
      <c r="AA50" s="11" t="n">
        <v>34790</v>
      </c>
      <c r="AB50" s="12" t="n">
        <v>56</v>
      </c>
      <c r="AC50" s="12" t="n">
        <v>32</v>
      </c>
      <c r="AD50" s="13" t="s">
        <v>47</v>
      </c>
      <c r="AE50" s="108"/>
      <c r="AF50" s="108"/>
    </row>
    <row r="51" customFormat="false" ht="11.1" hidden="false" customHeight="true" outlineLevel="0" collapsed="false">
      <c r="A51" s="6"/>
      <c r="B51" s="31"/>
      <c r="C51" s="7"/>
      <c r="D51" s="41"/>
      <c r="E51" s="7"/>
      <c r="F51" s="6"/>
      <c r="G51" s="6"/>
      <c r="H51" s="41"/>
      <c r="I51" s="8"/>
      <c r="J51" s="6"/>
      <c r="K51" s="44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7"/>
      <c r="X51" s="6"/>
      <c r="Y51" s="6"/>
      <c r="Z51" s="6"/>
      <c r="AA51" s="11"/>
      <c r="AB51" s="12" t="n">
        <v>67</v>
      </c>
      <c r="AC51" s="12" t="n">
        <v>40</v>
      </c>
      <c r="AD51" s="13" t="s">
        <v>69</v>
      </c>
      <c r="AE51" s="108"/>
      <c r="AF51" s="108"/>
    </row>
    <row r="52" customFormat="false" ht="11.1" hidden="false" customHeight="true" outlineLevel="0" collapsed="false">
      <c r="B52" s="41"/>
      <c r="C52" s="7"/>
      <c r="D52" s="7"/>
      <c r="E52" s="7"/>
      <c r="F52" s="41"/>
      <c r="G52" s="41"/>
      <c r="H52" s="8"/>
      <c r="I52" s="41"/>
      <c r="J52" s="41"/>
      <c r="K52" s="41"/>
      <c r="L52" s="41"/>
      <c r="M52" s="39"/>
      <c r="N52" s="39"/>
      <c r="O52" s="39"/>
      <c r="P52" s="39"/>
      <c r="Q52" s="41"/>
      <c r="R52" s="41"/>
      <c r="S52" s="41"/>
      <c r="T52" s="7"/>
      <c r="U52" s="41"/>
      <c r="V52" s="41"/>
      <c r="W52" s="7"/>
      <c r="X52" s="41"/>
      <c r="Y52" s="41"/>
      <c r="Z52" s="41"/>
      <c r="AA52" s="11"/>
      <c r="AB52" s="12" t="n">
        <v>36</v>
      </c>
      <c r="AC52" s="12" t="n">
        <v>22</v>
      </c>
      <c r="AD52" s="13" t="s">
        <v>70</v>
      </c>
      <c r="AE52" s="118"/>
      <c r="AF52" s="118"/>
    </row>
    <row r="53" customFormat="false" ht="11.1" hidden="false" customHeight="true" outlineLevel="0" collapsed="false">
      <c r="A53" s="41"/>
      <c r="B53" s="10"/>
      <c r="C53" s="7"/>
      <c r="D53" s="7"/>
      <c r="E53" s="7"/>
      <c r="F53" s="41"/>
      <c r="G53" s="41"/>
      <c r="H53" s="8"/>
      <c r="I53" s="41"/>
      <c r="J53" s="41"/>
      <c r="K53" s="41"/>
      <c r="L53" s="41"/>
      <c r="M53" s="39"/>
      <c r="N53" s="39"/>
      <c r="O53" s="39"/>
      <c r="P53" s="39"/>
      <c r="Q53" s="41"/>
      <c r="R53" s="41"/>
      <c r="S53" s="41"/>
      <c r="T53" s="7"/>
      <c r="U53" s="41"/>
      <c r="V53" s="41"/>
      <c r="W53" s="7"/>
      <c r="X53" s="41"/>
      <c r="Y53" s="41"/>
      <c r="Z53" s="0"/>
      <c r="AA53" s="11" t="n">
        <v>35156</v>
      </c>
      <c r="AB53" s="12" t="n">
        <v>60</v>
      </c>
      <c r="AC53" s="12" t="n">
        <v>32</v>
      </c>
      <c r="AD53" s="13" t="s">
        <v>47</v>
      </c>
      <c r="AE53" s="118"/>
      <c r="AF53" s="118"/>
    </row>
    <row r="54" customFormat="false" ht="11.1" hidden="false" customHeight="true" outlineLevel="0" collapsed="false">
      <c r="A54" s="41"/>
      <c r="B54" s="41"/>
      <c r="C54" s="7"/>
      <c r="D54" s="41"/>
      <c r="E54" s="7"/>
      <c r="F54" s="41"/>
      <c r="G54" s="45"/>
      <c r="H54" s="8"/>
      <c r="I54" s="41"/>
      <c r="J54" s="41"/>
      <c r="K54" s="41"/>
      <c r="L54" s="41"/>
      <c r="M54" s="39"/>
      <c r="N54" s="39"/>
      <c r="O54" s="39"/>
      <c r="P54" s="41"/>
      <c r="Q54" s="41"/>
      <c r="R54" s="41"/>
      <c r="S54" s="7"/>
      <c r="T54" s="41"/>
      <c r="U54" s="41"/>
      <c r="V54" s="7"/>
      <c r="W54" s="41"/>
      <c r="X54" s="41"/>
      <c r="Y54" s="41"/>
      <c r="Z54" s="10"/>
      <c r="AA54" s="11" t="n">
        <v>76</v>
      </c>
      <c r="AB54" s="12" t="n">
        <v>42</v>
      </c>
      <c r="AC54" s="13" t="s">
        <v>69</v>
      </c>
      <c r="AD54" s="118"/>
      <c r="AE54" s="118"/>
    </row>
    <row r="55" customFormat="false" ht="11.1" hidden="false" customHeight="true" outlineLevel="0" collapsed="false">
      <c r="AA55" s="2" t="n">
        <v>41</v>
      </c>
      <c r="AB55" s="4" t="n">
        <v>21</v>
      </c>
      <c r="AC55" s="13" t="s">
        <v>70</v>
      </c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B28" activePane="bottomRight" state="frozen"/>
      <selection pane="topLeft" activeCell="A1" activeCellId="0" sqref="A1"/>
      <selection pane="topRight" activeCell="B1" activeCellId="0" sqref="B1"/>
      <selection pane="bottomLeft" activeCell="A28" activeCellId="0" sqref="A28"/>
      <selection pane="bottomRight" activeCell="C40" activeCellId="0" sqref="C40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7.16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50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82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32"/>
    <col collapsed="false" customWidth="true" hidden="false" outlineLevel="0" max="28" min="28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7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7"/>
      <c r="I2" s="53"/>
      <c r="J2" s="53"/>
      <c r="K2" s="62" t="s">
        <v>71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7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102" t="s">
        <v>8</v>
      </c>
      <c r="H4" s="119" t="s">
        <v>9</v>
      </c>
      <c r="I4" s="102" t="s">
        <v>10</v>
      </c>
      <c r="J4" s="102" t="s">
        <v>11</v>
      </c>
      <c r="K4" s="102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72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102" t="s">
        <v>28</v>
      </c>
      <c r="H5" s="119" t="s">
        <v>29</v>
      </c>
      <c r="I5" s="102" t="s">
        <v>30</v>
      </c>
      <c r="J5" s="102" t="s">
        <v>30</v>
      </c>
      <c r="K5" s="102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72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120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121"/>
      <c r="X6" s="72"/>
      <c r="Y6" s="72"/>
      <c r="Z6" s="72"/>
      <c r="AA6" s="58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APR!F44</f>
        <v>3431.81245273506</v>
      </c>
      <c r="G7" s="54" t="n">
        <f aca="false">APR!G44</f>
        <v>9706</v>
      </c>
      <c r="H7" s="57" t="n">
        <f aca="false">APR!H44</f>
        <v>23.76</v>
      </c>
      <c r="I7" s="54" t="n">
        <f aca="false">APR!I44</f>
        <v>9729.76</v>
      </c>
      <c r="J7" s="54" t="n">
        <f aca="false">APR!J44</f>
        <v>114.895202924124</v>
      </c>
      <c r="K7" s="54" t="n">
        <f aca="false">APR!K44</f>
        <v>9844.65520292413</v>
      </c>
      <c r="L7" s="54" t="n">
        <f aca="false">APR!L44</f>
        <v>-489.377547264936</v>
      </c>
      <c r="M7" s="54" t="n">
        <f aca="false">APR!M44</f>
        <v>3927</v>
      </c>
      <c r="N7" s="54" t="n">
        <f aca="false">APR!N44</f>
        <v>0.5</v>
      </c>
      <c r="O7" s="54" t="n">
        <f aca="false">APR!O44</f>
        <v>2204.674</v>
      </c>
      <c r="P7" s="54" t="n">
        <f aca="false">APR!P44</f>
        <v>1721.826</v>
      </c>
      <c r="Q7" s="54" t="n">
        <f aca="false">APR!Q44</f>
        <v>519</v>
      </c>
      <c r="R7" s="54" t="n">
        <f aca="false">APR!R44</f>
        <v>30</v>
      </c>
      <c r="S7" s="54" t="n">
        <f aca="false">APR!S44</f>
        <v>2270.826</v>
      </c>
      <c r="T7" s="54" t="n">
        <f aca="false">APR!T44</f>
        <v>7458.934</v>
      </c>
      <c r="U7" s="54" t="n">
        <f aca="false">APR!U44</f>
        <v>479.57</v>
      </c>
      <c r="V7" s="54" t="n">
        <f aca="false">APR!V44</f>
        <v>853</v>
      </c>
      <c r="W7" s="54"/>
      <c r="X7" s="54" t="n">
        <f aca="false">APR!X44</f>
        <v>5808.57</v>
      </c>
      <c r="Y7" s="54" t="n">
        <f aca="false">APR!Y44</f>
        <v>604.27275018906</v>
      </c>
      <c r="Z7" s="54" t="n">
        <f aca="false">APR!Z44</f>
        <v>6412.84275018906</v>
      </c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APR!B39</f>
        <v>6879.4</v>
      </c>
      <c r="C8" s="54" t="n">
        <f aca="false">APR!C39</f>
        <v>214373</v>
      </c>
      <c r="D8" s="54" t="n">
        <f aca="false">APR!D48</f>
        <v>8427</v>
      </c>
      <c r="E8" s="54" t="n">
        <f aca="false">APR!E48</f>
        <v>62373</v>
      </c>
      <c r="F8" s="54" t="n">
        <f aca="false">APR!F47</f>
        <v>4248.55054197126</v>
      </c>
      <c r="G8" s="54" t="n">
        <f aca="false">APR!G47</f>
        <v>16248</v>
      </c>
      <c r="H8" s="57" t="n">
        <f aca="false">APR!H47</f>
        <v>59.29</v>
      </c>
      <c r="I8" s="54" t="n">
        <f aca="false">APR!I47</f>
        <v>16259.76</v>
      </c>
      <c r="J8" s="54" t="n">
        <f aca="false">APR!J47</f>
        <v>1521.44580287371</v>
      </c>
      <c r="K8" s="54" t="n">
        <f aca="false">APR!K47</f>
        <v>17781.2058028737</v>
      </c>
      <c r="L8" s="54" t="n">
        <f aca="false">APR!L47</f>
        <v>-218.559458028737</v>
      </c>
      <c r="M8" s="54" t="n">
        <f aca="false">APR!M47</f>
        <v>5122.58</v>
      </c>
      <c r="N8" s="54" t="n">
        <f aca="false">APR!N47</f>
        <v>5.58</v>
      </c>
      <c r="O8" s="54" t="n">
        <f aca="false">APR!O47</f>
        <v>2716.009</v>
      </c>
      <c r="P8" s="54" t="n">
        <f aca="false">APR!P47</f>
        <v>2803.191</v>
      </c>
      <c r="Q8" s="54" t="n">
        <f aca="false">APR!Q47</f>
        <v>519</v>
      </c>
      <c r="R8" s="54" t="n">
        <f aca="false">APR!R47</f>
        <v>157.5</v>
      </c>
      <c r="S8" s="54" t="n">
        <f aca="false">APR!S47</f>
        <v>3479.691</v>
      </c>
      <c r="T8" s="54" t="n">
        <f aca="false">APR!T47</f>
        <v>0</v>
      </c>
      <c r="U8" s="54" t="n">
        <f aca="false">APR!U47</f>
        <v>479.57</v>
      </c>
      <c r="V8" s="54" t="n">
        <f aca="false">APR!V47</f>
        <v>5514</v>
      </c>
      <c r="W8" s="54" t="n">
        <f aca="false">APR!W47</f>
        <v>5180.778674061</v>
      </c>
      <c r="X8" s="54" t="n">
        <f aca="false">APR!X47</f>
        <v>11792.65</v>
      </c>
      <c r="Y8" s="54" t="n">
        <f aca="false">APR!Y47</f>
        <v>1740.00526090244</v>
      </c>
      <c r="Z8" s="54" t="n">
        <f aca="false">APR!Z47</f>
        <v>13532.6552609024</v>
      </c>
      <c r="AA8" s="58" t="n">
        <f aca="false">APR!AA47</f>
        <v>3.54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122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6879.39</v>
      </c>
      <c r="C10" s="54" t="n">
        <v>214343</v>
      </c>
      <c r="D10" s="59" t="n">
        <f aca="false">C10-C8</f>
        <v>-30</v>
      </c>
      <c r="E10" s="54" t="n">
        <f aca="false">C10-152000</f>
        <v>62343</v>
      </c>
      <c r="F10" s="53" t="n">
        <f aca="false">D10/$D$2</f>
        <v>-15.1247794303</v>
      </c>
      <c r="G10" s="53" t="n">
        <v>337</v>
      </c>
      <c r="H10" s="57" t="n">
        <v>0.54</v>
      </c>
      <c r="I10" s="53" t="n">
        <f aca="false">G10+H10</f>
        <v>337.54</v>
      </c>
      <c r="J10" s="83" t="n">
        <f aca="false">IF(L10&gt;0,L10,0)</f>
        <v>2.43522056970003</v>
      </c>
      <c r="K10" s="53" t="n">
        <f aca="false">I10+J10</f>
        <v>339.9752205697</v>
      </c>
      <c r="L10" s="53" t="n">
        <f aca="false">F10-(I10-X10)</f>
        <v>2.43522056970003</v>
      </c>
      <c r="M10" s="53" t="n">
        <v>202</v>
      </c>
      <c r="N10" s="53" t="n">
        <v>0</v>
      </c>
      <c r="O10" s="53" t="n">
        <f aca="false">54.49*1.05</f>
        <v>57.2145</v>
      </c>
      <c r="P10" s="6" t="n">
        <f aca="false">M10-(N10+O10)</f>
        <v>144.7855</v>
      </c>
      <c r="Q10" s="53" t="n">
        <v>59</v>
      </c>
      <c r="R10" s="53" t="n">
        <v>27</v>
      </c>
      <c r="S10" s="53" t="n">
        <f aca="false">SUM(P10:R10)</f>
        <v>230.7855</v>
      </c>
      <c r="T10" s="54" t="n">
        <f aca="false">T7+AE10</f>
        <v>7565.6885</v>
      </c>
      <c r="U10" s="53" t="n">
        <v>48.1</v>
      </c>
      <c r="V10" s="104" t="n">
        <v>19</v>
      </c>
      <c r="W10" s="105" t="n">
        <f aca="false">W8-V10</f>
        <v>5161.778674061</v>
      </c>
      <c r="X10" s="6" t="n">
        <f aca="false">N10+O10+S10+U10+V10</f>
        <v>355.1</v>
      </c>
      <c r="Y10" s="53" t="n">
        <f aca="false">IF(L10&lt;0,L10*-1,0)</f>
        <v>0</v>
      </c>
      <c r="Z10" s="53" t="n">
        <f aca="false">X10+Y10</f>
        <v>355.1</v>
      </c>
      <c r="AA10" s="58" t="n">
        <v>0</v>
      </c>
      <c r="AB10" s="59" t="n">
        <v>60</v>
      </c>
      <c r="AC10" s="59" t="n">
        <v>37</v>
      </c>
      <c r="AD10" s="60" t="n">
        <v>1</v>
      </c>
      <c r="AE10" s="12" t="n">
        <f aca="false">IF(I10&gt;S10,I10-S10,I10-S10)</f>
        <v>106.7545</v>
      </c>
      <c r="AF10" s="96"/>
      <c r="AG10" s="95"/>
    </row>
    <row r="11" customFormat="false" ht="11.1" hidden="false" customHeight="true" outlineLevel="0" collapsed="false">
      <c r="A11" s="60" t="n">
        <f aca="false">A10+1</f>
        <v>2</v>
      </c>
      <c r="B11" s="75" t="n">
        <v>6879.39</v>
      </c>
      <c r="C11" s="54" t="n">
        <v>214343</v>
      </c>
      <c r="D11" s="59" t="n">
        <f aca="false">C11-C10</f>
        <v>0</v>
      </c>
      <c r="E11" s="54" t="n">
        <f aca="false">C11-152000</f>
        <v>62343</v>
      </c>
      <c r="F11" s="53" t="n">
        <f aca="false">D11/$D$2</f>
        <v>0</v>
      </c>
      <c r="G11" s="53" t="n">
        <v>321</v>
      </c>
      <c r="H11" s="57" t="n">
        <v>0.48</v>
      </c>
      <c r="I11" s="53" t="n">
        <f aca="false">G11+H11</f>
        <v>321.48</v>
      </c>
      <c r="J11" s="83" t="n">
        <f aca="false">IF(L11&gt;0,L11,0)</f>
        <v>5.75999999999999</v>
      </c>
      <c r="K11" s="53" t="n">
        <f aca="false">I11+J11</f>
        <v>327.24</v>
      </c>
      <c r="L11" s="53" t="n">
        <f aca="false">F11-(I11-X11)</f>
        <v>5.75999999999999</v>
      </c>
      <c r="M11" s="53" t="n">
        <v>152</v>
      </c>
      <c r="N11" s="53" t="n">
        <v>0</v>
      </c>
      <c r="O11" s="53" t="n">
        <v>0</v>
      </c>
      <c r="P11" s="6" t="n">
        <f aca="false">M11-(N11+O11)</f>
        <v>152</v>
      </c>
      <c r="Q11" s="53" t="n">
        <v>59</v>
      </c>
      <c r="R11" s="53" t="n">
        <v>38</v>
      </c>
      <c r="S11" s="53" t="n">
        <f aca="false">SUM(P11:R11)</f>
        <v>249</v>
      </c>
      <c r="T11" s="54" t="n">
        <f aca="false">T10+AE11</f>
        <v>7638.1685</v>
      </c>
      <c r="U11" s="53" t="n">
        <v>59.24</v>
      </c>
      <c r="V11" s="104" t="n">
        <v>19</v>
      </c>
      <c r="W11" s="105" t="n">
        <f aca="false">W10-V11</f>
        <v>5142.778674061</v>
      </c>
      <c r="X11" s="6" t="n">
        <f aca="false">N11+O11+S11+U11+V11</f>
        <v>327.24</v>
      </c>
      <c r="Y11" s="53" t="n">
        <f aca="false">IF(L11&lt;0,L11*-1,0)</f>
        <v>0</v>
      </c>
      <c r="Z11" s="53" t="n">
        <f aca="false">X11+Y11</f>
        <v>327.24</v>
      </c>
      <c r="AA11" s="58" t="n">
        <v>0</v>
      </c>
      <c r="AB11" s="59" t="n">
        <v>60</v>
      </c>
      <c r="AC11" s="59" t="n">
        <v>28</v>
      </c>
      <c r="AD11" s="60" t="n">
        <f aca="false">AD10+1</f>
        <v>2</v>
      </c>
      <c r="AE11" s="12" t="n">
        <f aca="false">IF(I11&gt;S11,I11-S11,I11-S11)</f>
        <v>72.48</v>
      </c>
      <c r="AF11" s="96"/>
      <c r="AG11" s="95"/>
    </row>
    <row r="12" customFormat="false" ht="11.1" hidden="false" customHeight="true" outlineLevel="0" collapsed="false">
      <c r="A12" s="60" t="n">
        <f aca="false">A11+1</f>
        <v>3</v>
      </c>
      <c r="B12" s="75" t="n">
        <v>6879.36</v>
      </c>
      <c r="C12" s="54" t="n">
        <v>214254</v>
      </c>
      <c r="D12" s="59" t="n">
        <f aca="false">C12-C11</f>
        <v>-89</v>
      </c>
      <c r="E12" s="54" t="n">
        <f aca="false">C12-152000</f>
        <v>62254</v>
      </c>
      <c r="F12" s="53" t="n">
        <f aca="false">D12/$D$2</f>
        <v>-44.8701789765566</v>
      </c>
      <c r="G12" s="53" t="n">
        <v>267</v>
      </c>
      <c r="H12" s="57" t="n">
        <v>0.45</v>
      </c>
      <c r="I12" s="53" t="n">
        <f aca="false">G12+H12</f>
        <v>267.45</v>
      </c>
      <c r="J12" s="83" t="n">
        <f aca="false">IF(L12&gt;0,L12,0)</f>
        <v>49.1198210234434</v>
      </c>
      <c r="K12" s="53" t="n">
        <f aca="false">I12+J12</f>
        <v>316.569821023443</v>
      </c>
      <c r="L12" s="53" t="n">
        <f aca="false">F12-(I12-X12)</f>
        <v>49.1198210234434</v>
      </c>
      <c r="M12" s="53" t="n">
        <v>162</v>
      </c>
      <c r="N12" s="53" t="n">
        <v>0</v>
      </c>
      <c r="O12" s="53" t="n">
        <v>0</v>
      </c>
      <c r="P12" s="6" t="n">
        <f aca="false">M12-(N12+O12)</f>
        <v>162</v>
      </c>
      <c r="Q12" s="53" t="n">
        <v>65</v>
      </c>
      <c r="R12" s="53" t="n">
        <v>46</v>
      </c>
      <c r="S12" s="53" t="n">
        <f aca="false">SUM(P12:R12)</f>
        <v>273</v>
      </c>
      <c r="T12" s="54" t="n">
        <f aca="false">T11+AE12</f>
        <v>7632.6185</v>
      </c>
      <c r="U12" s="53" t="n">
        <v>70.44</v>
      </c>
      <c r="V12" s="104" t="n">
        <v>18</v>
      </c>
      <c r="W12" s="105" t="n">
        <f aca="false">W11-V12</f>
        <v>5124.778674061</v>
      </c>
      <c r="X12" s="6" t="n">
        <f aca="false">N12+O12+S12+U12+V12</f>
        <v>361.44</v>
      </c>
      <c r="Y12" s="53" t="n">
        <f aca="false">IF(L12&lt;0,L12*-1,0)</f>
        <v>0</v>
      </c>
      <c r="Z12" s="53" t="n">
        <f aca="false">X12+Y12</f>
        <v>361.44</v>
      </c>
      <c r="AA12" s="58" t="n">
        <v>0</v>
      </c>
      <c r="AB12" s="59" t="n">
        <v>64</v>
      </c>
      <c r="AC12" s="59" t="n">
        <v>30</v>
      </c>
      <c r="AD12" s="60" t="n">
        <f aca="false">AD11+1</f>
        <v>3</v>
      </c>
      <c r="AE12" s="12" t="n">
        <f aca="false">IF(I12&gt;S12,I12-S12,I12-S12)</f>
        <v>-5.55000000000001</v>
      </c>
      <c r="AF12" s="96"/>
      <c r="AG12" s="95"/>
    </row>
    <row r="13" customFormat="false" ht="11.1" hidden="false" customHeight="true" outlineLevel="0" collapsed="false">
      <c r="A13" s="60" t="n">
        <f aca="false">A12+1</f>
        <v>4</v>
      </c>
      <c r="B13" s="75" t="n">
        <v>6879.2</v>
      </c>
      <c r="C13" s="54" t="n">
        <v>213776</v>
      </c>
      <c r="D13" s="59" t="n">
        <f aca="false">C13-C12</f>
        <v>-478</v>
      </c>
      <c r="E13" s="54" t="n">
        <f aca="false">C13-152000</f>
        <v>61776</v>
      </c>
      <c r="F13" s="53" t="n">
        <f aca="false">D13/$D$2</f>
        <v>-240.988152256113</v>
      </c>
      <c r="G13" s="53" t="n">
        <v>265</v>
      </c>
      <c r="H13" s="57" t="n">
        <v>0.37</v>
      </c>
      <c r="I13" s="53" t="n">
        <f aca="false">G13+H13</f>
        <v>265.37</v>
      </c>
      <c r="J13" s="83" t="n">
        <f aca="false">IF(L13&gt;0,L13,0)</f>
        <v>0</v>
      </c>
      <c r="K13" s="53" t="n">
        <f aca="false">I13+J13</f>
        <v>265.37</v>
      </c>
      <c r="L13" s="53" t="n">
        <f aca="false">F13-(I13-X13)</f>
        <v>-73.2681522561129</v>
      </c>
      <c r="M13" s="53" t="n">
        <v>191</v>
      </c>
      <c r="N13" s="53" t="n">
        <v>0</v>
      </c>
      <c r="O13" s="53" t="n">
        <f aca="false">0.92*1.05</f>
        <v>0.966</v>
      </c>
      <c r="P13" s="6" t="n">
        <f aca="false">M13-(N13+O13)</f>
        <v>190.034</v>
      </c>
      <c r="Q13" s="53" t="n">
        <v>80</v>
      </c>
      <c r="R13" s="53" t="n">
        <v>54</v>
      </c>
      <c r="S13" s="53" t="n">
        <f aca="false">SUM(P13:R13)</f>
        <v>324.034</v>
      </c>
      <c r="T13" s="54" t="n">
        <f aca="false">T12+AE13</f>
        <v>7573.9545</v>
      </c>
      <c r="U13" s="53" t="n">
        <v>90.09</v>
      </c>
      <c r="V13" s="104" t="n">
        <v>18</v>
      </c>
      <c r="W13" s="105" t="n">
        <f aca="false">W12-V13</f>
        <v>5106.778674061</v>
      </c>
      <c r="X13" s="6" t="n">
        <f aca="false">N13+O13+S13+U13+V13</f>
        <v>433.09</v>
      </c>
      <c r="Y13" s="53" t="n">
        <f aca="false">IF(L13&lt;0,L13*-1,0)</f>
        <v>73.2681522561129</v>
      </c>
      <c r="Z13" s="53" t="n">
        <f aca="false">X13+Y13</f>
        <v>506.358152256113</v>
      </c>
      <c r="AA13" s="58" t="n">
        <v>0</v>
      </c>
      <c r="AB13" s="59" t="n">
        <v>68</v>
      </c>
      <c r="AC13" s="59" t="n">
        <v>36</v>
      </c>
      <c r="AD13" s="60" t="n">
        <f aca="false">AD12+1</f>
        <v>4</v>
      </c>
      <c r="AE13" s="12" t="n">
        <f aca="false">IF(I13&gt;S13,I13-S13,I13-S13)</f>
        <v>-58.664</v>
      </c>
      <c r="AF13" s="96"/>
      <c r="AG13" s="95"/>
    </row>
    <row r="14" customFormat="false" ht="11.1" hidden="false" customHeight="true" outlineLevel="0" collapsed="false">
      <c r="A14" s="60" t="n">
        <f aca="false">A13+1</f>
        <v>5</v>
      </c>
      <c r="B14" s="75" t="n">
        <v>6879.08</v>
      </c>
      <c r="C14" s="54" t="n">
        <v>213418</v>
      </c>
      <c r="D14" s="59" t="n">
        <f aca="false">C14-C13</f>
        <v>-358</v>
      </c>
      <c r="E14" s="54" t="n">
        <f aca="false">C14-152000</f>
        <v>61418</v>
      </c>
      <c r="F14" s="53" t="n">
        <f aca="false">D14/$D$2</f>
        <v>-180.489034534913</v>
      </c>
      <c r="G14" s="53" t="n">
        <v>273</v>
      </c>
      <c r="H14" s="57" t="n">
        <v>0.27</v>
      </c>
      <c r="I14" s="53" t="n">
        <f aca="false">G14+H14</f>
        <v>273.27</v>
      </c>
      <c r="J14" s="83" t="n">
        <f aca="false">IF(L14&gt;0,L14,0)</f>
        <v>23.200965465087</v>
      </c>
      <c r="K14" s="53" t="n">
        <f aca="false">I14+J14</f>
        <v>296.470965465087</v>
      </c>
      <c r="L14" s="53" t="n">
        <f aca="false">F14-(I14-X14)</f>
        <v>23.200965465087</v>
      </c>
      <c r="M14" s="53" t="n">
        <v>205</v>
      </c>
      <c r="N14" s="53" t="n">
        <v>0</v>
      </c>
      <c r="O14" s="53" t="n">
        <v>0</v>
      </c>
      <c r="P14" s="6" t="n">
        <f aca="false">M14-(N14+O14)</f>
        <v>205</v>
      </c>
      <c r="Q14" s="53" t="n">
        <v>79</v>
      </c>
      <c r="R14" s="53" t="n">
        <v>59</v>
      </c>
      <c r="S14" s="53" t="n">
        <f aca="false">SUM(P14:R14)</f>
        <v>343</v>
      </c>
      <c r="T14" s="54" t="n">
        <f aca="false">T13+AE14</f>
        <v>7504.2245</v>
      </c>
      <c r="U14" s="53" t="n">
        <v>115.96</v>
      </c>
      <c r="V14" s="104" t="n">
        <v>18</v>
      </c>
      <c r="W14" s="105" t="n">
        <f aca="false">W13-V14</f>
        <v>5088.778674061</v>
      </c>
      <c r="X14" s="6" t="n">
        <f aca="false">N14+O14+S14+U14+V14</f>
        <v>476.96</v>
      </c>
      <c r="Y14" s="53" t="n">
        <f aca="false">IF(L14&lt;0,L14*-1,0)</f>
        <v>0</v>
      </c>
      <c r="Z14" s="53" t="n">
        <f aca="false">X14+Y14</f>
        <v>476.96</v>
      </c>
      <c r="AA14" s="58" t="n">
        <v>0</v>
      </c>
      <c r="AB14" s="59" t="n">
        <v>70</v>
      </c>
      <c r="AC14" s="59" t="n">
        <v>36</v>
      </c>
      <c r="AD14" s="60" t="n">
        <f aca="false">AD13+1</f>
        <v>5</v>
      </c>
      <c r="AE14" s="12" t="n">
        <f aca="false">IF(I14&gt;S14,I14-S14,I14-S14)</f>
        <v>-69.73</v>
      </c>
      <c r="AF14" s="96"/>
      <c r="AG14" s="95"/>
    </row>
    <row r="15" customFormat="false" ht="11.1" hidden="false" customHeight="true" outlineLevel="0" collapsed="false">
      <c r="A15" s="60" t="n">
        <f aca="false">A14+1</f>
        <v>6</v>
      </c>
      <c r="B15" s="75" t="n">
        <v>6878.91</v>
      </c>
      <c r="C15" s="54" t="n">
        <v>212913</v>
      </c>
      <c r="D15" s="59" t="n">
        <f aca="false">C15-C14</f>
        <v>-505</v>
      </c>
      <c r="E15" s="54" t="n">
        <f aca="false">C15-152000</f>
        <v>60913</v>
      </c>
      <c r="F15" s="53" t="n">
        <f aca="false">D15/$D$2</f>
        <v>-254.600453743383</v>
      </c>
      <c r="G15" s="53" t="n">
        <v>318</v>
      </c>
      <c r="H15" s="57" t="n">
        <v>0.25</v>
      </c>
      <c r="I15" s="53" t="n">
        <f aca="false">G15+H15</f>
        <v>318.25</v>
      </c>
      <c r="J15" s="83" t="n">
        <f aca="false">IF(L15&gt;0,L15,0)</f>
        <v>0</v>
      </c>
      <c r="K15" s="53" t="n">
        <f aca="false">I15+J15</f>
        <v>318.25</v>
      </c>
      <c r="L15" s="53" t="n">
        <f aca="false">F15-(I15-X15)</f>
        <v>-65.4204537433829</v>
      </c>
      <c r="M15" s="53" t="n">
        <v>205</v>
      </c>
      <c r="N15" s="53" t="n">
        <v>0</v>
      </c>
      <c r="O15" s="53" t="n">
        <v>0</v>
      </c>
      <c r="P15" s="6" t="n">
        <f aca="false">M15-(N15+O15)</f>
        <v>205</v>
      </c>
      <c r="Q15" s="53" t="n">
        <v>79</v>
      </c>
      <c r="R15" s="53" t="n">
        <v>58</v>
      </c>
      <c r="S15" s="53" t="n">
        <f aca="false">SUM(P15:R15)</f>
        <v>342</v>
      </c>
      <c r="T15" s="54" t="n">
        <f aca="false">T14+AE15</f>
        <v>7480.4745</v>
      </c>
      <c r="U15" s="53" t="n">
        <v>147.43</v>
      </c>
      <c r="V15" s="104" t="n">
        <v>18</v>
      </c>
      <c r="W15" s="105" t="n">
        <f aca="false">W14-V15</f>
        <v>5070.778674061</v>
      </c>
      <c r="X15" s="6" t="n">
        <f aca="false">N15+O15+S15+U15+V15</f>
        <v>507.43</v>
      </c>
      <c r="Y15" s="53" t="n">
        <f aca="false">IF(L15&lt;0,L15*-1,0)</f>
        <v>65.4204537433829</v>
      </c>
      <c r="Z15" s="53" t="n">
        <f aca="false">X15+Y15</f>
        <v>572.850453743383</v>
      </c>
      <c r="AA15" s="58" t="n">
        <v>0</v>
      </c>
      <c r="AB15" s="59" t="n">
        <v>72</v>
      </c>
      <c r="AC15" s="59" t="n">
        <v>37</v>
      </c>
      <c r="AD15" s="60" t="n">
        <f aca="false">AD14+1</f>
        <v>6</v>
      </c>
      <c r="AE15" s="12" t="n">
        <f aca="false">IF(I15&gt;S15,I15-S15,I15-S15)</f>
        <v>-23.75</v>
      </c>
      <c r="AF15" s="96"/>
      <c r="AG15" s="95"/>
    </row>
    <row r="16" customFormat="false" ht="11.1" hidden="false" customHeight="true" outlineLevel="0" collapsed="false">
      <c r="A16" s="60" t="n">
        <f aca="false">A15+1</f>
        <v>7</v>
      </c>
      <c r="B16" s="75" t="n">
        <v>6878.75</v>
      </c>
      <c r="C16" s="54" t="n">
        <v>212440</v>
      </c>
      <c r="D16" s="59" t="n">
        <f aca="false">C16-C15</f>
        <v>-473</v>
      </c>
      <c r="E16" s="54" t="n">
        <f aca="false">C16-152000</f>
        <v>60440</v>
      </c>
      <c r="F16" s="53" t="n">
        <f aca="false">D16/$D$2</f>
        <v>-238.467355684396</v>
      </c>
      <c r="G16" s="53" t="n">
        <v>352</v>
      </c>
      <c r="H16" s="57" t="n">
        <v>0.25</v>
      </c>
      <c r="I16" s="53" t="n">
        <f aca="false">G16+H16</f>
        <v>352.25</v>
      </c>
      <c r="J16" s="83" t="n">
        <f aca="false">IF(L16&gt;0,L16,0)</f>
        <v>0</v>
      </c>
      <c r="K16" s="53" t="n">
        <f aca="false">I16+J16</f>
        <v>352.25</v>
      </c>
      <c r="L16" s="53" t="n">
        <f aca="false">F16-(I16-X16)</f>
        <v>-53.1473556843963</v>
      </c>
      <c r="M16" s="53" t="n">
        <v>212</v>
      </c>
      <c r="N16" s="53" t="n">
        <v>0</v>
      </c>
      <c r="O16" s="53" t="n">
        <v>0</v>
      </c>
      <c r="P16" s="6" t="n">
        <f aca="false">M16-(N16+O16)</f>
        <v>212</v>
      </c>
      <c r="Q16" s="53" t="n">
        <v>78</v>
      </c>
      <c r="R16" s="53" t="n">
        <v>58</v>
      </c>
      <c r="S16" s="53" t="n">
        <f aca="false">SUM(P16:R16)</f>
        <v>348</v>
      </c>
      <c r="T16" s="54" t="n">
        <f aca="false">T15+AE16</f>
        <v>7484.7245</v>
      </c>
      <c r="U16" s="53" t="n">
        <v>171.57</v>
      </c>
      <c r="V16" s="104" t="n">
        <v>18</v>
      </c>
      <c r="W16" s="105" t="n">
        <f aca="false">W15-V16</f>
        <v>5052.778674061</v>
      </c>
      <c r="X16" s="6" t="n">
        <f aca="false">N16+O16+S16+U16+V16</f>
        <v>537.57</v>
      </c>
      <c r="Y16" s="53" t="n">
        <f aca="false">IF(L16&lt;0,L16*-1,0)</f>
        <v>53.1473556843963</v>
      </c>
      <c r="Z16" s="53" t="n">
        <f aca="false">X16+Y16</f>
        <v>590.717355684396</v>
      </c>
      <c r="AA16" s="58" t="n">
        <v>0</v>
      </c>
      <c r="AB16" s="59" t="n">
        <v>72</v>
      </c>
      <c r="AC16" s="59" t="n">
        <v>37</v>
      </c>
      <c r="AD16" s="60" t="n">
        <f aca="false">AD15+1</f>
        <v>7</v>
      </c>
      <c r="AE16" s="12" t="n">
        <f aca="false">IF(I16&gt;S16,I16-S16,I16-S16)</f>
        <v>4.25</v>
      </c>
      <c r="AF16" s="96"/>
      <c r="AG16" s="95"/>
    </row>
    <row r="17" customFormat="false" ht="11.1" hidden="false" customHeight="true" outlineLevel="0" collapsed="false">
      <c r="A17" s="60" t="n">
        <f aca="false">A16+1</f>
        <v>8</v>
      </c>
      <c r="B17" s="75" t="n">
        <v>6878.66</v>
      </c>
      <c r="C17" s="54" t="n">
        <v>212174</v>
      </c>
      <c r="D17" s="59" t="n">
        <f aca="false">C17-C16</f>
        <v>-266</v>
      </c>
      <c r="E17" s="54" t="n">
        <f aca="false">C17-152000</f>
        <v>60174</v>
      </c>
      <c r="F17" s="53" t="n">
        <f aca="false">D17/$D$2</f>
        <v>-134.106377615326</v>
      </c>
      <c r="G17" s="53" t="n">
        <v>365</v>
      </c>
      <c r="H17" s="57" t="n">
        <v>0.22</v>
      </c>
      <c r="I17" s="53" t="n">
        <f aca="false">G17+H17</f>
        <v>365.22</v>
      </c>
      <c r="J17" s="83" t="n">
        <f aca="false">IF(L17&gt;0,L17,0)</f>
        <v>27.8836223846736</v>
      </c>
      <c r="K17" s="53" t="n">
        <f aca="false">I17+J17</f>
        <v>393.103622384674</v>
      </c>
      <c r="L17" s="53" t="n">
        <f aca="false">F17-(I17-X17)</f>
        <v>27.8836223846736</v>
      </c>
      <c r="M17" s="53" t="n">
        <v>221</v>
      </c>
      <c r="N17" s="53" t="n">
        <v>0</v>
      </c>
      <c r="O17" s="53" t="n">
        <v>0</v>
      </c>
      <c r="P17" s="6" t="n">
        <f aca="false">M17-(N17+O17)</f>
        <v>221</v>
      </c>
      <c r="Q17" s="53" t="n">
        <v>78</v>
      </c>
      <c r="R17" s="53" t="n">
        <v>68</v>
      </c>
      <c r="S17" s="53" t="n">
        <f aca="false">SUM(P17:R17)</f>
        <v>367</v>
      </c>
      <c r="T17" s="54" t="n">
        <f aca="false">T16+AE17</f>
        <v>7482.9445</v>
      </c>
      <c r="U17" s="53" t="n">
        <v>142.21</v>
      </c>
      <c r="V17" s="104" t="n">
        <v>18</v>
      </c>
      <c r="W17" s="105" t="n">
        <f aca="false">W16-V17</f>
        <v>5034.778674061</v>
      </c>
      <c r="X17" s="6" t="n">
        <f aca="false">N17+O17+S17+U17+V17</f>
        <v>527.21</v>
      </c>
      <c r="Y17" s="53" t="n">
        <f aca="false">IF(L17&lt;0,L17*-1,0)</f>
        <v>0</v>
      </c>
      <c r="Z17" s="53" t="n">
        <f aca="false">X17+Y17</f>
        <v>527.21</v>
      </c>
      <c r="AA17" s="58" t="n">
        <v>0</v>
      </c>
      <c r="AB17" s="59" t="n">
        <v>62</v>
      </c>
      <c r="AC17" s="59" t="n">
        <v>37</v>
      </c>
      <c r="AD17" s="60" t="n">
        <f aca="false">AD16+1</f>
        <v>8</v>
      </c>
      <c r="AE17" s="12" t="n">
        <f aca="false">IF(I17&gt;S17,I17-S17,I17-S17)</f>
        <v>-1.77999999999997</v>
      </c>
      <c r="AF17" s="96"/>
      <c r="AG17" s="95"/>
    </row>
    <row r="18" customFormat="false" ht="11.1" hidden="false" customHeight="true" outlineLevel="0" collapsed="false">
      <c r="A18" s="60" t="n">
        <f aca="false">A17+1</f>
        <v>9</v>
      </c>
      <c r="B18" s="75" t="n">
        <v>6878.46</v>
      </c>
      <c r="C18" s="54" t="n">
        <v>211584</v>
      </c>
      <c r="D18" s="59" t="n">
        <f aca="false">C18-C17</f>
        <v>-590</v>
      </c>
      <c r="E18" s="54" t="n">
        <f aca="false">C18-152000</f>
        <v>59584</v>
      </c>
      <c r="F18" s="53" t="n">
        <f aca="false">D18/$D$2</f>
        <v>-297.453995462566</v>
      </c>
      <c r="G18" s="53" t="n">
        <v>304</v>
      </c>
      <c r="H18" s="57" t="n">
        <v>0.18</v>
      </c>
      <c r="I18" s="53" t="n">
        <f aca="false">G18+H18</f>
        <v>304.18</v>
      </c>
      <c r="J18" s="83" t="n">
        <f aca="false">IF(L18&gt;0,L18,0)</f>
        <v>0</v>
      </c>
      <c r="K18" s="53" t="n">
        <f aca="false">I18+J18</f>
        <v>304.18</v>
      </c>
      <c r="L18" s="53" t="n">
        <f aca="false">F18-(I18-X18)</f>
        <v>-48.9039954625662</v>
      </c>
      <c r="M18" s="53" t="n">
        <v>231</v>
      </c>
      <c r="N18" s="53" t="n">
        <v>0</v>
      </c>
      <c r="O18" s="53" t="n">
        <f aca="false">20.19*1.05</f>
        <v>21.1995</v>
      </c>
      <c r="P18" s="6" t="n">
        <f aca="false">M18-(N18+O18)</f>
        <v>209.8005</v>
      </c>
      <c r="Q18" s="53" t="n">
        <v>78</v>
      </c>
      <c r="R18" s="53" t="n">
        <v>78</v>
      </c>
      <c r="S18" s="53" t="n">
        <f aca="false">SUM(P18:R18)</f>
        <v>365.8005</v>
      </c>
      <c r="T18" s="54" t="n">
        <f aca="false">T17+AE18</f>
        <v>7421.324</v>
      </c>
      <c r="U18" s="53" t="n">
        <v>147.73</v>
      </c>
      <c r="V18" s="104" t="n">
        <v>18</v>
      </c>
      <c r="W18" s="105" t="n">
        <f aca="false">W17-V18</f>
        <v>5016.778674061</v>
      </c>
      <c r="X18" s="6" t="n">
        <f aca="false">N18+O18+S18+U18+V18</f>
        <v>552.73</v>
      </c>
      <c r="Y18" s="53" t="n">
        <f aca="false">IF(L18&lt;0,L18*-1,0)</f>
        <v>48.9039954625662</v>
      </c>
      <c r="Z18" s="53" t="n">
        <f aca="false">X18+Y18</f>
        <v>601.633995462566</v>
      </c>
      <c r="AA18" s="58" t="n">
        <v>0</v>
      </c>
      <c r="AB18" s="59" t="n">
        <v>67</v>
      </c>
      <c r="AC18" s="59" t="n">
        <v>31</v>
      </c>
      <c r="AD18" s="60" t="n">
        <f aca="false">AD17+1</f>
        <v>9</v>
      </c>
      <c r="AE18" s="12" t="n">
        <f aca="false">IF(I18&gt;S18,I18-S18,I18-S18)</f>
        <v>-61.6205</v>
      </c>
      <c r="AF18" s="96"/>
      <c r="AG18" s="95"/>
    </row>
    <row r="19" customFormat="false" ht="11.1" hidden="false" customHeight="true" outlineLevel="0" collapsed="false">
      <c r="A19" s="60" t="n">
        <f aca="false">A18+1</f>
        <v>10</v>
      </c>
      <c r="B19" s="75" t="n">
        <v>6878.23</v>
      </c>
      <c r="C19" s="54" t="n">
        <v>210904</v>
      </c>
      <c r="D19" s="59" t="n">
        <f aca="false">C19-C18</f>
        <v>-680</v>
      </c>
      <c r="E19" s="54" t="n">
        <f aca="false">C19-152000</f>
        <v>58904</v>
      </c>
      <c r="F19" s="53" t="n">
        <f aca="false">D19/$D$2</f>
        <v>-342.828333753466</v>
      </c>
      <c r="G19" s="53" t="n">
        <v>300</v>
      </c>
      <c r="H19" s="57" t="n">
        <v>0.19</v>
      </c>
      <c r="I19" s="53" t="n">
        <f aca="false">G19+H19</f>
        <v>300.19</v>
      </c>
      <c r="J19" s="83" t="n">
        <f aca="false">IF(L19&gt;0,L19,0)</f>
        <v>0</v>
      </c>
      <c r="K19" s="53" t="n">
        <f aca="false">I19+J19</f>
        <v>300.19</v>
      </c>
      <c r="L19" s="53" t="n">
        <f aca="false">F19-(I19-X19)</f>
        <v>-86.1783337534661</v>
      </c>
      <c r="M19" s="53" t="n">
        <v>248</v>
      </c>
      <c r="N19" s="53" t="n">
        <v>0</v>
      </c>
      <c r="O19" s="53" t="n">
        <f aca="false">35.28*1.05</f>
        <v>37.044</v>
      </c>
      <c r="P19" s="6" t="n">
        <f aca="false">M19-(N19+O19)</f>
        <v>210.956</v>
      </c>
      <c r="Q19" s="53" t="n">
        <v>78</v>
      </c>
      <c r="R19" s="53" t="n">
        <v>79</v>
      </c>
      <c r="S19" s="53" t="n">
        <f aca="false">SUM(P19:R19)</f>
        <v>367.956</v>
      </c>
      <c r="T19" s="54" t="n">
        <f aca="false">T18+AE19</f>
        <v>7353.558</v>
      </c>
      <c r="U19" s="53" t="n">
        <v>133.84</v>
      </c>
      <c r="V19" s="104" t="n">
        <v>18</v>
      </c>
      <c r="W19" s="105" t="n">
        <f aca="false">W18-V19</f>
        <v>4998.778674061</v>
      </c>
      <c r="X19" s="6" t="n">
        <f aca="false">N19+O19+S19+U19+V19</f>
        <v>556.84</v>
      </c>
      <c r="Y19" s="53" t="n">
        <f aca="false">IF(L19&lt;0,L19*-1,0)</f>
        <v>86.1783337534661</v>
      </c>
      <c r="Z19" s="53" t="n">
        <f aca="false">X19+Y19</f>
        <v>643.018333753466</v>
      </c>
      <c r="AA19" s="58" t="n">
        <v>0</v>
      </c>
      <c r="AB19" s="59" t="n">
        <v>69</v>
      </c>
      <c r="AC19" s="59" t="n">
        <v>41</v>
      </c>
      <c r="AD19" s="60" t="n">
        <f aca="false">AD18+1</f>
        <v>10</v>
      </c>
      <c r="AE19" s="12" t="n">
        <f aca="false">IF(I19&gt;S19,I19-S19,I19-S19)</f>
        <v>-67.766</v>
      </c>
      <c r="AF19" s="96"/>
      <c r="AG19" s="95"/>
    </row>
    <row r="20" customFormat="false" ht="11.1" hidden="false" customHeight="true" outlineLevel="0" collapsed="false">
      <c r="A20" s="60" t="n">
        <f aca="false">A19+1</f>
        <v>11</v>
      </c>
      <c r="B20" s="75" t="n">
        <v>6878.03</v>
      </c>
      <c r="C20" s="54" t="n">
        <v>210313</v>
      </c>
      <c r="D20" s="59" t="n">
        <f aca="false">C20-C19</f>
        <v>-591</v>
      </c>
      <c r="E20" s="54" t="n">
        <f aca="false">C20-152000</f>
        <v>58313</v>
      </c>
      <c r="F20" s="53" t="n">
        <f aca="false">D20/$D$2</f>
        <v>-297.958154776909</v>
      </c>
      <c r="G20" s="53" t="n">
        <v>268</v>
      </c>
      <c r="H20" s="57" t="n">
        <v>0.17</v>
      </c>
      <c r="I20" s="53" t="n">
        <f aca="false">G20+H20</f>
        <v>268.17</v>
      </c>
      <c r="J20" s="83" t="n">
        <f aca="false">IF(L20&gt;0,L20,0)</f>
        <v>4.81184522309042</v>
      </c>
      <c r="K20" s="53" t="n">
        <f aca="false">I20+J20</f>
        <v>272.98184522309</v>
      </c>
      <c r="L20" s="53" t="n">
        <f aca="false">F20-(I20-X20)</f>
        <v>4.81184522309042</v>
      </c>
      <c r="M20" s="53" t="n">
        <v>232</v>
      </c>
      <c r="N20" s="53" t="n">
        <v>0</v>
      </c>
      <c r="O20" s="53" t="n">
        <f aca="false">12.32*1.05</f>
        <v>12.936</v>
      </c>
      <c r="P20" s="6" t="n">
        <f aca="false">M20-(N20+O20)</f>
        <v>219.064</v>
      </c>
      <c r="Q20" s="53" t="n">
        <v>77</v>
      </c>
      <c r="R20" s="53" t="n">
        <v>78</v>
      </c>
      <c r="S20" s="53" t="n">
        <f aca="false">SUM(P20:R20)</f>
        <v>374.064</v>
      </c>
      <c r="T20" s="54" t="n">
        <f aca="false">T19+AE20</f>
        <v>7247.664</v>
      </c>
      <c r="U20" s="53" t="n">
        <v>165.94</v>
      </c>
      <c r="V20" s="104" t="n">
        <v>18</v>
      </c>
      <c r="W20" s="105" t="n">
        <f aca="false">W19-V20</f>
        <v>4980.778674061</v>
      </c>
      <c r="X20" s="6" t="n">
        <f aca="false">N20+O20+S20+U20+V20</f>
        <v>570.94</v>
      </c>
      <c r="Y20" s="53" t="n">
        <f aca="false">IF(L20&lt;0,L20*-1,0)</f>
        <v>0</v>
      </c>
      <c r="Z20" s="53" t="n">
        <f aca="false">X20+Y20</f>
        <v>570.94</v>
      </c>
      <c r="AA20" s="58" t="n">
        <v>0</v>
      </c>
      <c r="AB20" s="59" t="n">
        <v>71</v>
      </c>
      <c r="AC20" s="59" t="n">
        <v>37</v>
      </c>
      <c r="AD20" s="60" t="n">
        <f aca="false">AD19+1</f>
        <v>11</v>
      </c>
      <c r="AE20" s="12" t="n">
        <f aca="false">IF(I20&gt;S20,I20-S20,I20-S20)</f>
        <v>-105.894</v>
      </c>
      <c r="AF20" s="96"/>
      <c r="AG20" s="95"/>
    </row>
    <row r="21" customFormat="false" ht="11.1" hidden="false" customHeight="true" outlineLevel="0" collapsed="false">
      <c r="A21" s="60" t="n">
        <f aca="false">A20+1</f>
        <v>12</v>
      </c>
      <c r="B21" s="75" t="n">
        <v>6877.91</v>
      </c>
      <c r="C21" s="54" t="n">
        <v>209962</v>
      </c>
      <c r="D21" s="59" t="n">
        <f aca="false">C21-C20</f>
        <v>-351</v>
      </c>
      <c r="E21" s="54" t="n">
        <f aca="false">C21-152000</f>
        <v>57962</v>
      </c>
      <c r="F21" s="53" t="n">
        <f aca="false">D21/$D$2</f>
        <v>-176.95991933451</v>
      </c>
      <c r="G21" s="53" t="n">
        <v>286</v>
      </c>
      <c r="H21" s="57" t="n">
        <v>0.18</v>
      </c>
      <c r="I21" s="53" t="n">
        <f aca="false">G21+H21</f>
        <v>286.18</v>
      </c>
      <c r="J21" s="83" t="n">
        <f aca="false">IF(L21&gt;0,L21,0)</f>
        <v>81.5500806654904</v>
      </c>
      <c r="K21" s="53" t="n">
        <f aca="false">I21+J21</f>
        <v>367.73008066549</v>
      </c>
      <c r="L21" s="53" t="n">
        <f aca="false">F21-(I21-X21)</f>
        <v>81.5500806654904</v>
      </c>
      <c r="M21" s="53" t="n">
        <v>226</v>
      </c>
      <c r="N21" s="53" t="n">
        <v>0</v>
      </c>
      <c r="O21" s="53" t="n">
        <f aca="false">9.07*1.05</f>
        <v>9.5235</v>
      </c>
      <c r="P21" s="6" t="n">
        <f aca="false">M21-(N21+O21)</f>
        <v>216.4765</v>
      </c>
      <c r="Q21" s="53" t="n">
        <v>77</v>
      </c>
      <c r="R21" s="53" t="n">
        <v>78</v>
      </c>
      <c r="S21" s="53" t="n">
        <f aca="false">SUM(P21:R21)</f>
        <v>371.4765</v>
      </c>
      <c r="T21" s="54" t="n">
        <f aca="false">T20+AE21</f>
        <v>7162.3675</v>
      </c>
      <c r="U21" s="53" t="n">
        <v>145.69</v>
      </c>
      <c r="V21" s="104" t="n">
        <v>18</v>
      </c>
      <c r="W21" s="105" t="n">
        <f aca="false">W20-V21</f>
        <v>4962.778674061</v>
      </c>
      <c r="X21" s="6" t="n">
        <f aca="false">N21+O21+S21+U21+V21</f>
        <v>544.69</v>
      </c>
      <c r="Y21" s="53" t="n">
        <f aca="false">IF(L21&lt;0,L21*-1,0)</f>
        <v>0</v>
      </c>
      <c r="Z21" s="53" t="n">
        <f aca="false">X21+Y21</f>
        <v>544.69</v>
      </c>
      <c r="AA21" s="58" t="n">
        <v>0.06</v>
      </c>
      <c r="AB21" s="59" t="n">
        <v>60</v>
      </c>
      <c r="AC21" s="59" t="n">
        <v>36</v>
      </c>
      <c r="AD21" s="60" t="n">
        <f aca="false">AD20+1</f>
        <v>12</v>
      </c>
      <c r="AE21" s="12" t="n">
        <f aca="false">IF(I21&gt;S21,I21-S21,I21-S21)</f>
        <v>-85.2965</v>
      </c>
      <c r="AF21" s="96"/>
      <c r="AG21" s="95"/>
    </row>
    <row r="22" customFormat="false" ht="11.1" hidden="false" customHeight="true" outlineLevel="0" collapsed="false">
      <c r="A22" s="60" t="n">
        <f aca="false">A21+1</f>
        <v>13</v>
      </c>
      <c r="B22" s="75" t="n">
        <v>6877.63</v>
      </c>
      <c r="C22" s="54" t="n">
        <v>209144</v>
      </c>
      <c r="D22" s="59" t="n">
        <f aca="false">C22-C21</f>
        <v>-818</v>
      </c>
      <c r="E22" s="54" t="n">
        <f aca="false">C22-152000</f>
        <v>57144</v>
      </c>
      <c r="F22" s="53" t="n">
        <f aca="false">D22/$D$2</f>
        <v>-412.402319132846</v>
      </c>
      <c r="G22" s="53" t="n">
        <v>287</v>
      </c>
      <c r="H22" s="57" t="n">
        <v>0.16</v>
      </c>
      <c r="I22" s="53" t="n">
        <f aca="false">G22+H22</f>
        <v>287.16</v>
      </c>
      <c r="J22" s="83" t="n">
        <f aca="false">IF(L22&gt;0,L22,0)</f>
        <v>0</v>
      </c>
      <c r="K22" s="53" t="n">
        <f aca="false">I22+J22</f>
        <v>287.16</v>
      </c>
      <c r="L22" s="53" t="n">
        <f aca="false">F22-(I22-X22)</f>
        <v>-101.512319132846</v>
      </c>
      <c r="M22" s="53" t="n">
        <v>226</v>
      </c>
      <c r="N22" s="53" t="n">
        <v>0</v>
      </c>
      <c r="O22" s="53" t="n">
        <f aca="false">3.87*1.05</f>
        <v>4.0635</v>
      </c>
      <c r="P22" s="6" t="n">
        <f aca="false">M22-(N22+O22)</f>
        <v>221.9365</v>
      </c>
      <c r="Q22" s="53" t="n">
        <v>75</v>
      </c>
      <c r="R22" s="53" t="n">
        <v>76</v>
      </c>
      <c r="S22" s="53" t="n">
        <f aca="false">SUM(P22:R22)</f>
        <v>372.9365</v>
      </c>
      <c r="T22" s="54" t="n">
        <f aca="false">T21+AE22</f>
        <v>7076.591</v>
      </c>
      <c r="U22" s="53" t="n">
        <v>202.05</v>
      </c>
      <c r="V22" s="104" t="n">
        <v>19</v>
      </c>
      <c r="W22" s="105" t="n">
        <f aca="false">W21-V22</f>
        <v>4943.778674061</v>
      </c>
      <c r="X22" s="6" t="n">
        <f aca="false">N22+O22+S22+U22+V22</f>
        <v>598.05</v>
      </c>
      <c r="Y22" s="53" t="n">
        <f aca="false">IF(L22&lt;0,L22*-1,0)</f>
        <v>101.512319132846</v>
      </c>
      <c r="Z22" s="53" t="n">
        <f aca="false">X22+Y22</f>
        <v>699.562319132846</v>
      </c>
      <c r="AA22" s="58" t="n">
        <v>0</v>
      </c>
      <c r="AB22" s="59" t="n">
        <v>72</v>
      </c>
      <c r="AC22" s="59" t="n">
        <v>37</v>
      </c>
      <c r="AD22" s="60" t="n">
        <f aca="false">AD21+1</f>
        <v>13</v>
      </c>
      <c r="AE22" s="12" t="n">
        <f aca="false">IF(I22&gt;S22,I22-S22,I22-S22)</f>
        <v>-85.7765</v>
      </c>
      <c r="AF22" s="96"/>
      <c r="AG22" s="95"/>
    </row>
    <row r="23" customFormat="false" ht="11.1" hidden="false" customHeight="true" outlineLevel="0" collapsed="false">
      <c r="A23" s="60" t="n">
        <f aca="false">A22+1</f>
        <v>14</v>
      </c>
      <c r="B23" s="75" t="n">
        <v>6877.42</v>
      </c>
      <c r="C23" s="54" t="n">
        <v>208530</v>
      </c>
      <c r="D23" s="59" t="n">
        <f aca="false">C23-C22</f>
        <v>-614</v>
      </c>
      <c r="E23" s="54" t="n">
        <f aca="false">C23-152000</f>
        <v>56530</v>
      </c>
      <c r="F23" s="53" t="n">
        <f aca="false">D23/$D$2</f>
        <v>-309.553819006806</v>
      </c>
      <c r="G23" s="53" t="n">
        <v>286</v>
      </c>
      <c r="H23" s="57" t="n">
        <v>0.15</v>
      </c>
      <c r="I23" s="53" t="n">
        <f aca="false">G23+H23</f>
        <v>286.15</v>
      </c>
      <c r="J23" s="83" t="n">
        <f aca="false">IF(L23&gt;0,L23,0)</f>
        <v>2.07618099319387</v>
      </c>
      <c r="K23" s="53" t="n">
        <f aca="false">I23+J23</f>
        <v>288.226180993194</v>
      </c>
      <c r="L23" s="53" t="n">
        <f aca="false">F23-(I23-X23)</f>
        <v>2.07618099319387</v>
      </c>
      <c r="M23" s="53" t="n">
        <v>236</v>
      </c>
      <c r="N23" s="53" t="n">
        <v>0</v>
      </c>
      <c r="O23" s="53" t="n">
        <f aca="false">6.36*1.05</f>
        <v>6.678</v>
      </c>
      <c r="P23" s="6" t="n">
        <f aca="false">M23-(N23+O23)</f>
        <v>229.322</v>
      </c>
      <c r="Q23" s="53" t="n">
        <v>57</v>
      </c>
      <c r="R23" s="53" t="n">
        <v>75</v>
      </c>
      <c r="S23" s="53" t="n">
        <f aca="false">SUM(P23:R23)</f>
        <v>361.322</v>
      </c>
      <c r="T23" s="54" t="n">
        <f aca="false">T22+AE23</f>
        <v>7001.419</v>
      </c>
      <c r="U23" s="53" t="n">
        <v>210.78</v>
      </c>
      <c r="V23" s="104" t="n">
        <v>19</v>
      </c>
      <c r="W23" s="105" t="n">
        <f aca="false">W22-V23</f>
        <v>4924.778674061</v>
      </c>
      <c r="X23" s="6" t="n">
        <f aca="false">N23+O23+S23+U23+V23</f>
        <v>597.78</v>
      </c>
      <c r="Y23" s="53" t="n">
        <f aca="false">IF(L23&lt;0,L23*-1,0)</f>
        <v>0</v>
      </c>
      <c r="Z23" s="53" t="n">
        <f aca="false">X23+Y23</f>
        <v>597.78</v>
      </c>
      <c r="AA23" s="58" t="n">
        <v>0</v>
      </c>
      <c r="AB23" s="59" t="n">
        <v>76</v>
      </c>
      <c r="AC23" s="59" t="n">
        <v>40</v>
      </c>
      <c r="AD23" s="60" t="n">
        <f aca="false">AD22+1</f>
        <v>14</v>
      </c>
      <c r="AE23" s="12" t="n">
        <f aca="false">IF(I23&gt;S23,I23-S23,I23-S23)</f>
        <v>-75.172</v>
      </c>
      <c r="AF23" s="96"/>
      <c r="AG23" s="95"/>
    </row>
    <row r="24" customFormat="false" ht="11.1" hidden="false" customHeight="true" outlineLevel="0" collapsed="false">
      <c r="A24" s="60" t="n">
        <f aca="false">A23+1</f>
        <v>15</v>
      </c>
      <c r="B24" s="75" t="n">
        <v>6877.22</v>
      </c>
      <c r="C24" s="54" t="n">
        <v>207946</v>
      </c>
      <c r="D24" s="59" t="n">
        <f aca="false">C24-C23</f>
        <v>-584</v>
      </c>
      <c r="E24" s="54" t="n">
        <f aca="false">C24-152000</f>
        <v>55946</v>
      </c>
      <c r="F24" s="53" t="n">
        <f aca="false">D24/$D$2</f>
        <v>-294.429039576506</v>
      </c>
      <c r="G24" s="53" t="n">
        <v>297</v>
      </c>
      <c r="H24" s="57" t="n">
        <v>0.11</v>
      </c>
      <c r="I24" s="53" t="n">
        <f aca="false">G24+H24</f>
        <v>297.11</v>
      </c>
      <c r="J24" s="83" t="n">
        <f aca="false">IF(L24&gt;0,L24,0)</f>
        <v>0</v>
      </c>
      <c r="K24" s="53" t="n">
        <f aca="false">I24+J24</f>
        <v>297.11</v>
      </c>
      <c r="L24" s="53" t="n">
        <f aca="false">F24-(I24-X24)</f>
        <v>-15.4790395765062</v>
      </c>
      <c r="M24" s="53" t="n">
        <v>202</v>
      </c>
      <c r="N24" s="53" t="n">
        <v>0</v>
      </c>
      <c r="O24" s="53" t="n">
        <f aca="false">10.46*1.05</f>
        <v>10.983</v>
      </c>
      <c r="P24" s="6" t="n">
        <f aca="false">M24-(N24+O24)</f>
        <v>191.017</v>
      </c>
      <c r="Q24" s="53" t="n">
        <v>39</v>
      </c>
      <c r="R24" s="53" t="n">
        <v>74</v>
      </c>
      <c r="S24" s="53" t="n">
        <f aca="false">SUM(P24:R24)</f>
        <v>304.017</v>
      </c>
      <c r="T24" s="54" t="n">
        <f aca="false">T23+AE24</f>
        <v>6994.512</v>
      </c>
      <c r="U24" s="53" t="n">
        <v>242.06</v>
      </c>
      <c r="V24" s="104" t="n">
        <v>19</v>
      </c>
      <c r="W24" s="105" t="n">
        <f aca="false">W23-V24</f>
        <v>4905.778674061</v>
      </c>
      <c r="X24" s="6" t="n">
        <f aca="false">N24+O24+S24+U24+V24</f>
        <v>576.06</v>
      </c>
      <c r="Y24" s="53" t="n">
        <f aca="false">IF(L24&lt;0,L24*-1,0)</f>
        <v>15.4790395765062</v>
      </c>
      <c r="Z24" s="53" t="n">
        <f aca="false">X24+Y24</f>
        <v>591.539039576506</v>
      </c>
      <c r="AA24" s="58" t="n">
        <v>0</v>
      </c>
      <c r="AB24" s="59" t="n">
        <v>76</v>
      </c>
      <c r="AC24" s="59" t="n">
        <v>42</v>
      </c>
      <c r="AD24" s="60" t="n">
        <f aca="false">AD23+1</f>
        <v>15</v>
      </c>
      <c r="AE24" s="12" t="n">
        <f aca="false">IF(I24&gt;S24,I24-S24,I24-S24)</f>
        <v>-6.90699999999998</v>
      </c>
      <c r="AF24" s="96"/>
      <c r="AG24" s="95"/>
    </row>
    <row r="25" customFormat="false" ht="11.1" hidden="false" customHeight="true" outlineLevel="0" collapsed="false">
      <c r="A25" s="60" t="n">
        <f aca="false">A24+1</f>
        <v>16</v>
      </c>
      <c r="B25" s="75" t="n">
        <v>6877</v>
      </c>
      <c r="C25" s="54" t="n">
        <v>207304</v>
      </c>
      <c r="D25" s="59" t="n">
        <f aca="false">C25-C24</f>
        <v>-642</v>
      </c>
      <c r="E25" s="54" t="n">
        <f aca="false">C25-152000</f>
        <v>55304</v>
      </c>
      <c r="F25" s="53" t="n">
        <f aca="false">D25/$D$2</f>
        <v>-323.670279808419</v>
      </c>
      <c r="G25" s="53" t="n">
        <v>315</v>
      </c>
      <c r="H25" s="57" t="n">
        <v>0.07</v>
      </c>
      <c r="I25" s="53" t="n">
        <f aca="false">G25+H25</f>
        <v>315.07</v>
      </c>
      <c r="J25" s="83" t="n">
        <f aca="false">IF(L25&gt;0,L25,0)</f>
        <v>0</v>
      </c>
      <c r="K25" s="53" t="n">
        <f aca="false">I25+J25</f>
        <v>315.07</v>
      </c>
      <c r="L25" s="53" t="n">
        <f aca="false">F25-(I25-X25)</f>
        <v>-59.2702798084196</v>
      </c>
      <c r="M25" s="53" t="n">
        <v>196</v>
      </c>
      <c r="N25" s="53" t="n">
        <v>0</v>
      </c>
      <c r="O25" s="53" t="n">
        <f aca="false">13.79*1.05</f>
        <v>14.4795</v>
      </c>
      <c r="P25" s="6" t="n">
        <f aca="false">M25-(N25+O25)</f>
        <v>181.5205</v>
      </c>
      <c r="Q25" s="53" t="n">
        <v>39</v>
      </c>
      <c r="R25" s="53" t="n">
        <v>74</v>
      </c>
      <c r="S25" s="53" t="n">
        <f aca="false">SUM(P25:R25)</f>
        <v>294.5205</v>
      </c>
      <c r="T25" s="54" t="n">
        <f aca="false">T24+AE25</f>
        <v>7015.0615</v>
      </c>
      <c r="U25" s="53" t="n">
        <v>251.47</v>
      </c>
      <c r="V25" s="104" t="n">
        <v>19</v>
      </c>
      <c r="W25" s="105" t="n">
        <f aca="false">W24-V25</f>
        <v>4886.778674061</v>
      </c>
      <c r="X25" s="6" t="n">
        <f aca="false">N25+O25+S25+U25+V25</f>
        <v>579.47</v>
      </c>
      <c r="Y25" s="53" t="n">
        <f aca="false">IF(L25&lt;0,L25*-1,0)</f>
        <v>59.2702798084196</v>
      </c>
      <c r="Z25" s="53" t="n">
        <f aca="false">X25+Y25</f>
        <v>638.74027980842</v>
      </c>
      <c r="AA25" s="58" t="n">
        <v>0</v>
      </c>
      <c r="AB25" s="59" t="n">
        <v>76</v>
      </c>
      <c r="AC25" s="59" t="n">
        <v>42</v>
      </c>
      <c r="AD25" s="60" t="n">
        <f aca="false">AD24+1</f>
        <v>16</v>
      </c>
      <c r="AE25" s="12" t="n">
        <f aca="false">IF(I25&gt;S25,I25-S25,I25-S25)</f>
        <v>20.5495</v>
      </c>
      <c r="AF25" s="96"/>
      <c r="AG25" s="95"/>
    </row>
    <row r="26" customFormat="false" ht="11.1" hidden="false" customHeight="true" outlineLevel="0" collapsed="false">
      <c r="A26" s="60" t="n">
        <f aca="false">A25+1</f>
        <v>17</v>
      </c>
      <c r="B26" s="75" t="n">
        <v>6876.78</v>
      </c>
      <c r="C26" s="54" t="n">
        <v>206668</v>
      </c>
      <c r="D26" s="59" t="n">
        <f aca="false">C26-C25</f>
        <v>-636</v>
      </c>
      <c r="E26" s="54" t="n">
        <f aca="false">C26-152000</f>
        <v>54668</v>
      </c>
      <c r="F26" s="53" t="n">
        <f aca="false">D26/$D$2</f>
        <v>-320.645323922359</v>
      </c>
      <c r="G26" s="53" t="n">
        <v>301</v>
      </c>
      <c r="H26" s="57" t="n">
        <v>0.02</v>
      </c>
      <c r="I26" s="53" t="n">
        <f aca="false">G26+H26</f>
        <v>301.02</v>
      </c>
      <c r="J26" s="83" t="n">
        <f aca="false">IF(L26&gt;0,L26,0)</f>
        <v>0</v>
      </c>
      <c r="K26" s="53" t="n">
        <f aca="false">I26+J26</f>
        <v>301.02</v>
      </c>
      <c r="L26" s="53" t="n">
        <f aca="false">F26-(I26-X26)</f>
        <v>-26.1753239223594</v>
      </c>
      <c r="M26" s="53" t="n">
        <v>203</v>
      </c>
      <c r="N26" s="53" t="n">
        <v>0</v>
      </c>
      <c r="O26" s="53" t="n">
        <f aca="false">23.56*1.05</f>
        <v>24.738</v>
      </c>
      <c r="P26" s="6" t="n">
        <f aca="false">M26-(N26+O26)</f>
        <v>178.262</v>
      </c>
      <c r="Q26" s="53" t="n">
        <v>46</v>
      </c>
      <c r="R26" s="53" t="n">
        <v>73</v>
      </c>
      <c r="S26" s="53" t="n">
        <f aca="false">SUM(P26:R26)</f>
        <v>297.262</v>
      </c>
      <c r="T26" s="54" t="n">
        <f aca="false">T25+AE26</f>
        <v>7018.8195</v>
      </c>
      <c r="U26" s="53" t="n">
        <v>254.49</v>
      </c>
      <c r="V26" s="104" t="n">
        <v>19</v>
      </c>
      <c r="W26" s="105" t="n">
        <f aca="false">W25-V26</f>
        <v>4867.778674061</v>
      </c>
      <c r="X26" s="6" t="n">
        <f aca="false">N26+O26+S26+U26+V26</f>
        <v>595.49</v>
      </c>
      <c r="Y26" s="53" t="n">
        <f aca="false">IF(L26&lt;0,L26*-1,0)</f>
        <v>26.1753239223594</v>
      </c>
      <c r="Z26" s="53" t="n">
        <f aca="false">X26+Y26</f>
        <v>621.66532392236</v>
      </c>
      <c r="AA26" s="58" t="n">
        <v>0</v>
      </c>
      <c r="AB26" s="59" t="n">
        <v>79</v>
      </c>
      <c r="AC26" s="59" t="n">
        <v>45</v>
      </c>
      <c r="AD26" s="60" t="n">
        <f aca="false">AD25+1</f>
        <v>17</v>
      </c>
      <c r="AE26" s="12" t="n">
        <f aca="false">IF(I26&gt;S26,I26-S26,I26-S26)</f>
        <v>3.75799999999998</v>
      </c>
      <c r="AF26" s="96"/>
      <c r="AG26" s="95"/>
    </row>
    <row r="27" customFormat="false" ht="11.1" hidden="false" customHeight="true" outlineLevel="0" collapsed="false">
      <c r="A27" s="60" t="n">
        <f aca="false">A26+1</f>
        <v>18</v>
      </c>
      <c r="B27" s="75" t="n">
        <v>6876.58</v>
      </c>
      <c r="C27" s="54" t="n">
        <v>206090</v>
      </c>
      <c r="D27" s="59" t="n">
        <f aca="false">C27-C26</f>
        <v>-578</v>
      </c>
      <c r="E27" s="54" t="n">
        <f aca="false">C27-152000</f>
        <v>54090</v>
      </c>
      <c r="F27" s="53" t="n">
        <f aca="false">D27/$D$2</f>
        <v>-291.404083690446</v>
      </c>
      <c r="G27" s="53" t="n">
        <v>317</v>
      </c>
      <c r="H27" s="57" t="n">
        <v>0</v>
      </c>
      <c r="I27" s="53" t="n">
        <f aca="false">G27+H27</f>
        <v>317</v>
      </c>
      <c r="J27" s="83" t="n">
        <f aca="false">IF(L27&gt;0,L27,0)</f>
        <v>0</v>
      </c>
      <c r="K27" s="53" t="n">
        <f aca="false">I27+J27</f>
        <v>317</v>
      </c>
      <c r="L27" s="53" t="n">
        <f aca="false">F27-(I27-X27)</f>
        <v>-11.3740836904462</v>
      </c>
      <c r="M27" s="53" t="n">
        <v>206</v>
      </c>
      <c r="N27" s="53" t="n">
        <v>0</v>
      </c>
      <c r="O27" s="53" t="n">
        <f aca="false">19.38*1.05</f>
        <v>20.349</v>
      </c>
      <c r="P27" s="6" t="n">
        <f aca="false">M27-(N27+O27)</f>
        <v>185.651</v>
      </c>
      <c r="Q27" s="53" t="n">
        <v>57</v>
      </c>
      <c r="R27" s="53" t="n">
        <v>73</v>
      </c>
      <c r="S27" s="53" t="n">
        <f aca="false">SUM(P27:R27)</f>
        <v>315.651</v>
      </c>
      <c r="T27" s="54" t="n">
        <f aca="false">T26+AE27</f>
        <v>7020.1685</v>
      </c>
      <c r="U27" s="53" t="n">
        <v>242.03</v>
      </c>
      <c r="V27" s="104" t="n">
        <v>19</v>
      </c>
      <c r="W27" s="105" t="n">
        <f aca="false">W26-V27</f>
        <v>4848.778674061</v>
      </c>
      <c r="X27" s="6" t="n">
        <f aca="false">N27+O27+S27+U27+V27</f>
        <v>597.03</v>
      </c>
      <c r="Y27" s="53" t="n">
        <f aca="false">IF(L27&lt;0,L27*-1,0)</f>
        <v>11.3740836904462</v>
      </c>
      <c r="Z27" s="53" t="n">
        <f aca="false">X27+Y27</f>
        <v>608.404083690446</v>
      </c>
      <c r="AA27" s="58" t="n">
        <v>0</v>
      </c>
      <c r="AB27" s="59" t="n">
        <v>80</v>
      </c>
      <c r="AC27" s="59" t="n">
        <v>47</v>
      </c>
      <c r="AD27" s="60" t="n">
        <f aca="false">AD26+1</f>
        <v>18</v>
      </c>
      <c r="AE27" s="12" t="n">
        <f aca="false">IF(I27&gt;S27,I27-S27,I27-S27)</f>
        <v>1.34899999999999</v>
      </c>
      <c r="AF27" s="96"/>
      <c r="AG27" s="95"/>
    </row>
    <row r="28" customFormat="false" ht="11.1" hidden="false" customHeight="true" outlineLevel="0" collapsed="false">
      <c r="A28" s="60" t="n">
        <f aca="false">A27+1</f>
        <v>19</v>
      </c>
      <c r="B28" s="75" t="n">
        <v>6876.38</v>
      </c>
      <c r="C28" s="101" t="n">
        <v>205513</v>
      </c>
      <c r="D28" s="59" t="n">
        <f aca="false">C28-C27</f>
        <v>-577</v>
      </c>
      <c r="E28" s="54" t="n">
        <f aca="false">C28-152000</f>
        <v>53513</v>
      </c>
      <c r="F28" s="53" t="n">
        <f aca="false">D28/$D$2</f>
        <v>-290.899924376103</v>
      </c>
      <c r="G28" s="53" t="n">
        <v>326</v>
      </c>
      <c r="H28" s="57" t="n">
        <v>0</v>
      </c>
      <c r="I28" s="53" t="n">
        <f aca="false">G28+H28</f>
        <v>326</v>
      </c>
      <c r="J28" s="83" t="n">
        <f aca="false">IF(L28&gt;0,L28,0)</f>
        <v>0</v>
      </c>
      <c r="K28" s="53" t="n">
        <f aca="false">I28+J28</f>
        <v>326</v>
      </c>
      <c r="L28" s="53" t="n">
        <f aca="false">F28-(I28-X28)</f>
        <v>-65.0099243761028</v>
      </c>
      <c r="M28" s="53" t="n">
        <v>199</v>
      </c>
      <c r="N28" s="53" t="n">
        <v>0</v>
      </c>
      <c r="O28" s="53" t="n">
        <f aca="false">10.03*1.05</f>
        <v>10.5315</v>
      </c>
      <c r="P28" s="6" t="n">
        <f aca="false">M28-(N28+O28)</f>
        <v>188.4685</v>
      </c>
      <c r="Q28" s="53" t="n">
        <v>61</v>
      </c>
      <c r="R28" s="53" t="n">
        <v>74</v>
      </c>
      <c r="S28" s="53" t="n">
        <f aca="false">SUM(P28:R28)</f>
        <v>323.4685</v>
      </c>
      <c r="T28" s="54" t="n">
        <f aca="false">T27+AE28</f>
        <v>7022.7</v>
      </c>
      <c r="U28" s="53" t="n">
        <v>198.89</v>
      </c>
      <c r="V28" s="104" t="n">
        <v>19</v>
      </c>
      <c r="W28" s="105" t="n">
        <f aca="false">W27-V28</f>
        <v>4829.778674061</v>
      </c>
      <c r="X28" s="6" t="n">
        <f aca="false">N28+O28+S28+U28+V28</f>
        <v>551.89</v>
      </c>
      <c r="Y28" s="53" t="n">
        <f aca="false">IF(L28&lt;0,L28*-1,0)</f>
        <v>65.0099243761028</v>
      </c>
      <c r="Z28" s="53" t="n">
        <f aca="false">X28+Y28</f>
        <v>616.899924376103</v>
      </c>
      <c r="AA28" s="58" t="n">
        <v>0</v>
      </c>
      <c r="AB28" s="59" t="n">
        <v>81</v>
      </c>
      <c r="AC28" s="59" t="n">
        <v>49</v>
      </c>
      <c r="AD28" s="60" t="n">
        <f aca="false">AD27+1</f>
        <v>19</v>
      </c>
      <c r="AE28" s="12" t="n">
        <f aca="false">IF(I28&gt;S28,I28-S28,I28-S28)</f>
        <v>2.53149999999999</v>
      </c>
      <c r="AF28" s="96"/>
      <c r="AG28" s="95"/>
    </row>
    <row r="29" customFormat="false" ht="11.1" hidden="false" customHeight="true" outlineLevel="0" collapsed="false">
      <c r="A29" s="60" t="n">
        <f aca="false">A28+1</f>
        <v>20</v>
      </c>
      <c r="B29" s="75" t="n">
        <v>6876.23</v>
      </c>
      <c r="C29" s="54" t="n">
        <v>205080</v>
      </c>
      <c r="D29" s="59" t="n">
        <f aca="false">C29-C28</f>
        <v>-433</v>
      </c>
      <c r="E29" s="54" t="n">
        <f aca="false">C29-152000</f>
        <v>53080</v>
      </c>
      <c r="F29" s="53" t="n">
        <f aca="false">D29/$D$2</f>
        <v>-218.300983110663</v>
      </c>
      <c r="G29" s="53" t="n">
        <v>304</v>
      </c>
      <c r="H29" s="57" t="n">
        <v>0</v>
      </c>
      <c r="I29" s="53" t="n">
        <f aca="false">G29+H29</f>
        <v>304</v>
      </c>
      <c r="J29" s="83" t="n">
        <f aca="false">IF(L29&gt;0,L29,0)</f>
        <v>4.83901688933702</v>
      </c>
      <c r="K29" s="53" t="n">
        <f aca="false">I29+J29</f>
        <v>308.839016889337</v>
      </c>
      <c r="L29" s="53" t="n">
        <f aca="false">F29-(I29-X29)</f>
        <v>4.83901688933702</v>
      </c>
      <c r="M29" s="53" t="n">
        <v>189</v>
      </c>
      <c r="N29" s="53" t="n">
        <v>4.2</v>
      </c>
      <c r="O29" s="53" t="n">
        <v>0</v>
      </c>
      <c r="P29" s="6" t="n">
        <f aca="false">M29-(N29+O29)</f>
        <v>184.8</v>
      </c>
      <c r="Q29" s="53" t="n">
        <v>76</v>
      </c>
      <c r="R29" s="53" t="n">
        <v>73</v>
      </c>
      <c r="S29" s="53" t="n">
        <f aca="false">SUM(P29:R29)</f>
        <v>333.8</v>
      </c>
      <c r="T29" s="54" t="n">
        <f aca="false">T28+AE29</f>
        <v>6992.9</v>
      </c>
      <c r="U29" s="53" t="n">
        <v>170.14</v>
      </c>
      <c r="V29" s="104" t="n">
        <v>19</v>
      </c>
      <c r="W29" s="105" t="n">
        <f aca="false">W28-V29</f>
        <v>4810.778674061</v>
      </c>
      <c r="X29" s="6" t="n">
        <f aca="false">N29+O29+S29+U29+V29</f>
        <v>527.14</v>
      </c>
      <c r="Y29" s="53" t="n">
        <f aca="false">IF(L29&lt;0,L29*-1,0)</f>
        <v>0</v>
      </c>
      <c r="Z29" s="53" t="n">
        <f aca="false">X29+Y29</f>
        <v>527.14</v>
      </c>
      <c r="AA29" s="58" t="n">
        <v>0</v>
      </c>
      <c r="AB29" s="59" t="n">
        <v>78</v>
      </c>
      <c r="AC29" s="59" t="n">
        <v>53</v>
      </c>
      <c r="AD29" s="60" t="n">
        <f aca="false">AD28+1</f>
        <v>20</v>
      </c>
      <c r="AE29" s="12" t="n">
        <f aca="false">IF(I29&gt;S29,I29-S29,I29-S29)</f>
        <v>-29.8</v>
      </c>
      <c r="AF29" s="96"/>
      <c r="AG29" s="95"/>
    </row>
    <row r="30" customFormat="false" ht="11.1" hidden="false" customHeight="true" outlineLevel="0" collapsed="false">
      <c r="A30" s="60" t="n">
        <f aca="false">A29+1</f>
        <v>21</v>
      </c>
      <c r="B30" s="75" t="n">
        <v>6876.1</v>
      </c>
      <c r="C30" s="54" t="n">
        <v>204704</v>
      </c>
      <c r="D30" s="59" t="n">
        <f aca="false">C30-C29</f>
        <v>-376</v>
      </c>
      <c r="E30" s="54" t="n">
        <f aca="false">C30-152000</f>
        <v>52704</v>
      </c>
      <c r="F30" s="53" t="n">
        <f aca="false">D30/$D$2</f>
        <v>-189.563902193093</v>
      </c>
      <c r="G30" s="53" t="n">
        <v>296</v>
      </c>
      <c r="H30" s="57" t="n">
        <v>0</v>
      </c>
      <c r="I30" s="53" t="n">
        <f aca="false">G30+H30</f>
        <v>296</v>
      </c>
      <c r="J30" s="83" t="n">
        <f aca="false">IF(L30&gt;0,L30,0)</f>
        <v>2.15609780690701</v>
      </c>
      <c r="K30" s="53" t="n">
        <f aca="false">I30+J30</f>
        <v>298.156097806907</v>
      </c>
      <c r="L30" s="53" t="n">
        <f aca="false">F30-(I30-X30)</f>
        <v>2.15609780690701</v>
      </c>
      <c r="M30" s="53" t="n">
        <v>188</v>
      </c>
      <c r="N30" s="53" t="n">
        <v>4.2</v>
      </c>
      <c r="O30" s="53" t="n">
        <f aca="false">0.29*1.05</f>
        <v>0.3045</v>
      </c>
      <c r="P30" s="6" t="n">
        <f aca="false">M30-(N30+O30)</f>
        <v>183.4955</v>
      </c>
      <c r="Q30" s="53" t="n">
        <v>81</v>
      </c>
      <c r="R30" s="53" t="n">
        <v>74</v>
      </c>
      <c r="S30" s="53" t="n">
        <f aca="false">SUM(P30:R30)</f>
        <v>338.4955</v>
      </c>
      <c r="T30" s="54" t="n">
        <f aca="false">T29+AE30</f>
        <v>6950.4045</v>
      </c>
      <c r="U30" s="53" t="n">
        <v>125.72</v>
      </c>
      <c r="V30" s="104" t="n">
        <v>19</v>
      </c>
      <c r="W30" s="105" t="n">
        <f aca="false">W29-V30</f>
        <v>4791.778674061</v>
      </c>
      <c r="X30" s="6" t="n">
        <f aca="false">N30+O30+S30+U30+V30</f>
        <v>487.72</v>
      </c>
      <c r="Y30" s="53" t="n">
        <f aca="false">IF(L30&lt;0,L30*-1,0)</f>
        <v>0</v>
      </c>
      <c r="Z30" s="53" t="n">
        <f aca="false">X30+Y30</f>
        <v>487.72</v>
      </c>
      <c r="AA30" s="58" t="n">
        <v>0</v>
      </c>
      <c r="AB30" s="59" t="n">
        <v>62</v>
      </c>
      <c r="AC30" s="59" t="n">
        <v>36</v>
      </c>
      <c r="AD30" s="60" t="n">
        <f aca="false">AD29+1</f>
        <v>21</v>
      </c>
      <c r="AE30" s="12" t="n">
        <f aca="false">IF(I30&gt;S30,I30-S30,I30-S30)</f>
        <v>-42.4955</v>
      </c>
      <c r="AF30" s="96"/>
      <c r="AG30" s="95"/>
    </row>
    <row r="31" customFormat="false" ht="11.1" hidden="false" customHeight="true" outlineLevel="0" collapsed="false">
      <c r="A31" s="60" t="n">
        <f aca="false">A30+1</f>
        <v>22</v>
      </c>
      <c r="B31" s="75" t="n">
        <v>6875.93</v>
      </c>
      <c r="C31" s="54" t="n">
        <v>204215</v>
      </c>
      <c r="D31" s="59" t="n">
        <f aca="false">C31-C30</f>
        <v>-489</v>
      </c>
      <c r="E31" s="54" t="n">
        <f aca="false">C31-152000</f>
        <v>52215</v>
      </c>
      <c r="F31" s="53" t="n">
        <f aca="false">D31/$D$2</f>
        <v>-246.53390471389</v>
      </c>
      <c r="G31" s="53" t="n">
        <v>271</v>
      </c>
      <c r="H31" s="57" t="n">
        <v>0</v>
      </c>
      <c r="I31" s="53" t="n">
        <f aca="false">G31+H31</f>
        <v>271</v>
      </c>
      <c r="J31" s="83" t="n">
        <f aca="false">IF(L31&gt;0,L31,0)</f>
        <v>0</v>
      </c>
      <c r="K31" s="53" t="n">
        <f aca="false">I31+J31</f>
        <v>271</v>
      </c>
      <c r="L31" s="53" t="n">
        <f aca="false">F31-(I31-X31)</f>
        <v>-27.3239047138896</v>
      </c>
      <c r="M31" s="53" t="n">
        <v>171</v>
      </c>
      <c r="N31" s="53" t="n">
        <v>4.2</v>
      </c>
      <c r="O31" s="53" t="n">
        <v>0</v>
      </c>
      <c r="P31" s="6" t="n">
        <f aca="false">M31-(N31+O31)</f>
        <v>166.8</v>
      </c>
      <c r="Q31" s="53" t="n">
        <v>80</v>
      </c>
      <c r="R31" s="53" t="n">
        <v>73</v>
      </c>
      <c r="S31" s="53" t="n">
        <f aca="false">SUM(P31:R31)</f>
        <v>319.8</v>
      </c>
      <c r="T31" s="54" t="n">
        <f aca="false">T30+AE31</f>
        <v>6901.6045</v>
      </c>
      <c r="U31" s="53" t="n">
        <v>147.21</v>
      </c>
      <c r="V31" s="104" t="n">
        <v>19</v>
      </c>
      <c r="W31" s="105" t="n">
        <f aca="false">W30-V31</f>
        <v>4772.778674061</v>
      </c>
      <c r="X31" s="6" t="n">
        <f aca="false">N31+O31+S31+U31+V31</f>
        <v>490.21</v>
      </c>
      <c r="Y31" s="53" t="n">
        <f aca="false">IF(L31&lt;0,L31*-1,0)</f>
        <v>27.3239047138896</v>
      </c>
      <c r="Z31" s="53" t="n">
        <f aca="false">X31+Y31</f>
        <v>517.53390471389</v>
      </c>
      <c r="AA31" s="58" t="n">
        <v>0</v>
      </c>
      <c r="AB31" s="59" t="n">
        <v>59</v>
      </c>
      <c r="AC31" s="59" t="n">
        <v>27</v>
      </c>
      <c r="AD31" s="60" t="n">
        <f aca="false">AD30+1</f>
        <v>22</v>
      </c>
      <c r="AE31" s="12" t="n">
        <f aca="false">IF(I31&gt;S31,I31-S31,I31-S31)</f>
        <v>-48.8</v>
      </c>
      <c r="AF31" s="96"/>
      <c r="AG31" s="95"/>
    </row>
    <row r="32" customFormat="false" ht="11.1" hidden="false" customHeight="true" outlineLevel="0" collapsed="false">
      <c r="A32" s="60" t="n">
        <f aca="false">A31+1</f>
        <v>23</v>
      </c>
      <c r="B32" s="75" t="n">
        <v>6875.73</v>
      </c>
      <c r="C32" s="54" t="n">
        <v>203644</v>
      </c>
      <c r="D32" s="59" t="n">
        <f aca="false">C32-C31</f>
        <v>-571</v>
      </c>
      <c r="E32" s="54" t="n">
        <f aca="false">C32-152000</f>
        <v>51644</v>
      </c>
      <c r="F32" s="53" t="n">
        <f aca="false">D32/$D$2</f>
        <v>-287.874968490043</v>
      </c>
      <c r="G32" s="53" t="n">
        <v>222</v>
      </c>
      <c r="H32" s="57" t="n">
        <v>0</v>
      </c>
      <c r="I32" s="53" t="n">
        <f aca="false">G32+H32</f>
        <v>222</v>
      </c>
      <c r="J32" s="83" t="n">
        <f aca="false">IF(L32&gt;0,L32,0)</f>
        <v>0</v>
      </c>
      <c r="K32" s="53" t="n">
        <f aca="false">I32+J32</f>
        <v>222</v>
      </c>
      <c r="L32" s="53" t="n">
        <f aca="false">F32-(I32-X32)</f>
        <v>-1.15496849004285</v>
      </c>
      <c r="M32" s="53" t="n">
        <v>181</v>
      </c>
      <c r="N32" s="53" t="n">
        <v>0</v>
      </c>
      <c r="O32" s="53" t="n">
        <f aca="false">6.79*1.05</f>
        <v>7.1295</v>
      </c>
      <c r="P32" s="6" t="n">
        <f aca="false">M32-(N32+O32)</f>
        <v>173.8705</v>
      </c>
      <c r="Q32" s="53" t="n">
        <v>79</v>
      </c>
      <c r="R32" s="53" t="n">
        <v>73</v>
      </c>
      <c r="S32" s="53" t="n">
        <f aca="false">SUM(P32:R32)</f>
        <v>325.8705</v>
      </c>
      <c r="T32" s="54" t="n">
        <f aca="false">T31+AE32</f>
        <v>6797.734</v>
      </c>
      <c r="U32" s="53" t="n">
        <v>156.72</v>
      </c>
      <c r="V32" s="104" t="n">
        <v>19</v>
      </c>
      <c r="W32" s="105" t="n">
        <f aca="false">W31-V32</f>
        <v>4753.778674061</v>
      </c>
      <c r="X32" s="6" t="n">
        <f aca="false">N32+O32+S32+U32+V32</f>
        <v>508.72</v>
      </c>
      <c r="Y32" s="53" t="n">
        <f aca="false">IF(L32&lt;0,L32*-1,0)</f>
        <v>1.15496849004285</v>
      </c>
      <c r="Z32" s="53" t="n">
        <f aca="false">X32+Y32</f>
        <v>509.874968490043</v>
      </c>
      <c r="AA32" s="58" t="n">
        <v>0</v>
      </c>
      <c r="AB32" s="59" t="n">
        <v>64</v>
      </c>
      <c r="AC32" s="59" t="n">
        <v>32</v>
      </c>
      <c r="AD32" s="60" t="n">
        <f aca="false">AD31+1</f>
        <v>23</v>
      </c>
      <c r="AE32" s="12" t="n">
        <f aca="false">IF(I32&gt;S32,I32-S32,I32-S32)</f>
        <v>-103.8705</v>
      </c>
      <c r="AF32" s="96"/>
      <c r="AG32" s="95"/>
    </row>
    <row r="33" customFormat="false" ht="11.1" hidden="false" customHeight="true" outlineLevel="0" collapsed="false">
      <c r="A33" s="60" t="n">
        <f aca="false">A32+1</f>
        <v>24</v>
      </c>
      <c r="B33" s="75" t="n">
        <v>6875.47</v>
      </c>
      <c r="C33" s="54" t="n">
        <v>202902</v>
      </c>
      <c r="D33" s="59" t="n">
        <f aca="false">C33-C32</f>
        <v>-742</v>
      </c>
      <c r="E33" s="54" t="n">
        <f aca="false">C33-152000</f>
        <v>50902</v>
      </c>
      <c r="F33" s="53" t="n">
        <f aca="false">D33/$D$2</f>
        <v>-374.086211242753</v>
      </c>
      <c r="G33" s="53" t="n">
        <v>195</v>
      </c>
      <c r="H33" s="57" t="n">
        <v>0</v>
      </c>
      <c r="I33" s="53" t="n">
        <f aca="false">G33+H33</f>
        <v>195</v>
      </c>
      <c r="J33" s="83" t="n">
        <f aca="false">IF(L33&gt;0,L33,0)</f>
        <v>2.69378875724726</v>
      </c>
      <c r="K33" s="53" t="n">
        <f aca="false">I33+J33</f>
        <v>197.693788757247</v>
      </c>
      <c r="L33" s="53" t="n">
        <f aca="false">F33-(I33-X33)</f>
        <v>2.69378875724726</v>
      </c>
      <c r="M33" s="53" t="n">
        <v>206</v>
      </c>
      <c r="N33" s="53" t="n">
        <v>0</v>
      </c>
      <c r="O33" s="53" t="n">
        <f aca="false">10.01*1.05</f>
        <v>10.5105</v>
      </c>
      <c r="P33" s="6" t="n">
        <f aca="false">M33-(N33+O33)</f>
        <v>195.4895</v>
      </c>
      <c r="Q33" s="53" t="n">
        <v>91</v>
      </c>
      <c r="R33" s="53" t="n">
        <v>71</v>
      </c>
      <c r="S33" s="53" t="n">
        <f aca="false">SUM(P33:R33)</f>
        <v>357.4895</v>
      </c>
      <c r="T33" s="54" t="n">
        <f aca="false">T32+AE33</f>
        <v>6635.2445</v>
      </c>
      <c r="U33" s="53" t="n">
        <v>184.78</v>
      </c>
      <c r="V33" s="104" t="n">
        <v>19</v>
      </c>
      <c r="W33" s="105" t="n">
        <f aca="false">W32-V33</f>
        <v>4734.778674061</v>
      </c>
      <c r="X33" s="6" t="n">
        <f aca="false">N33+O33+S33+U33+V33</f>
        <v>571.78</v>
      </c>
      <c r="Y33" s="53" t="n">
        <f aca="false">IF(L33&lt;0,L33*-1,0)</f>
        <v>0</v>
      </c>
      <c r="Z33" s="53" t="n">
        <f aca="false">X33+Y33</f>
        <v>571.78</v>
      </c>
      <c r="AA33" s="58" t="n">
        <v>0</v>
      </c>
      <c r="AB33" s="59" t="n">
        <v>64</v>
      </c>
      <c r="AC33" s="59" t="n">
        <v>40</v>
      </c>
      <c r="AD33" s="60" t="n">
        <f aca="false">AD32+1</f>
        <v>24</v>
      </c>
      <c r="AE33" s="12" t="n">
        <f aca="false">IF(I33&gt;S33,I33-S33,I33-S33)</f>
        <v>-162.4895</v>
      </c>
      <c r="AF33" s="96"/>
      <c r="AG33" s="95"/>
    </row>
    <row r="34" customFormat="false" ht="11.1" hidden="false" customHeight="true" outlineLevel="0" collapsed="false">
      <c r="A34" s="60" t="n">
        <f aca="false">A33+1</f>
        <v>25</v>
      </c>
      <c r="B34" s="75" t="n">
        <v>6875.14</v>
      </c>
      <c r="C34" s="54" t="n">
        <v>201960</v>
      </c>
      <c r="D34" s="59" t="n">
        <f aca="false">C34-C33</f>
        <v>-942</v>
      </c>
      <c r="E34" s="54" t="n">
        <f aca="false">C34-152000</f>
        <v>49960</v>
      </c>
      <c r="F34" s="53" t="n">
        <f aca="false">D34/$D$2</f>
        <v>-474.918074111419</v>
      </c>
      <c r="G34" s="53" t="n">
        <v>176</v>
      </c>
      <c r="H34" s="57" t="n">
        <v>0</v>
      </c>
      <c r="I34" s="53" t="n">
        <f aca="false">G34+H34</f>
        <v>176</v>
      </c>
      <c r="J34" s="83" t="n">
        <f aca="false">IF(L34&gt;0,L34,0)</f>
        <v>0</v>
      </c>
      <c r="K34" s="53" t="n">
        <f aca="false">I34+J34</f>
        <v>176</v>
      </c>
      <c r="L34" s="53" t="n">
        <f aca="false">F34-(I34-X34)</f>
        <v>-30.3680741114192</v>
      </c>
      <c r="M34" s="53" t="n">
        <v>212</v>
      </c>
      <c r="N34" s="53" t="n">
        <v>0</v>
      </c>
      <c r="O34" s="53" t="n">
        <f aca="false">12.59*1.05</f>
        <v>13.2195</v>
      </c>
      <c r="P34" s="6" t="n">
        <f aca="false">M34-(N34+O34)</f>
        <v>198.7805</v>
      </c>
      <c r="Q34" s="53" t="n">
        <v>101</v>
      </c>
      <c r="R34" s="53" t="n">
        <v>82</v>
      </c>
      <c r="S34" s="53" t="n">
        <f aca="false">SUM(P34:R34)</f>
        <v>381.7805</v>
      </c>
      <c r="T34" s="54" t="n">
        <f aca="false">T33+AE34</f>
        <v>6429.464</v>
      </c>
      <c r="U34" s="53" t="n">
        <v>206.55</v>
      </c>
      <c r="V34" s="104" t="n">
        <v>19</v>
      </c>
      <c r="W34" s="105" t="n">
        <f aca="false">W33-V34</f>
        <v>4715.778674061</v>
      </c>
      <c r="X34" s="6" t="n">
        <f aca="false">N34+O34+S34+U34+V34</f>
        <v>620.55</v>
      </c>
      <c r="Y34" s="53" t="n">
        <f aca="false">IF(L34&lt;0,L34*-1,0)</f>
        <v>30.3680741114192</v>
      </c>
      <c r="Z34" s="53" t="n">
        <f aca="false">X34+Y34</f>
        <v>650.918074111419</v>
      </c>
      <c r="AA34" s="58" t="n">
        <v>0</v>
      </c>
      <c r="AB34" s="59" t="n">
        <v>72</v>
      </c>
      <c r="AC34" s="59" t="n">
        <v>38</v>
      </c>
      <c r="AD34" s="60" t="n">
        <f aca="false">AD33+1</f>
        <v>25</v>
      </c>
      <c r="AE34" s="12" t="n">
        <f aca="false">IF(I34&gt;S34,I34-S34,I34-S34)</f>
        <v>-205.7805</v>
      </c>
      <c r="AF34" s="96"/>
      <c r="AG34" s="95"/>
    </row>
    <row r="35" customFormat="false" ht="11.1" hidden="false" customHeight="true" outlineLevel="0" collapsed="false">
      <c r="A35" s="60" t="n">
        <f aca="false">A34+1</f>
        <v>26</v>
      </c>
      <c r="B35" s="75" t="n">
        <v>6874.82</v>
      </c>
      <c r="C35" s="54" t="n">
        <v>201053</v>
      </c>
      <c r="D35" s="59" t="n">
        <f aca="false">C35-C34</f>
        <v>-907</v>
      </c>
      <c r="E35" s="54" t="n">
        <f aca="false">C35-152000</f>
        <v>49053</v>
      </c>
      <c r="F35" s="53" t="n">
        <f aca="false">D35/$D$2</f>
        <v>-457.272498109403</v>
      </c>
      <c r="G35" s="53" t="n">
        <v>167</v>
      </c>
      <c r="H35" s="57" t="n">
        <v>0</v>
      </c>
      <c r="I35" s="53" t="n">
        <f aca="false">G35+H35</f>
        <v>167</v>
      </c>
      <c r="J35" s="83" t="n">
        <f aca="false">IF(L35&gt;0,L35,0)</f>
        <v>0</v>
      </c>
      <c r="K35" s="53" t="n">
        <f aca="false">I35+J35</f>
        <v>167</v>
      </c>
      <c r="L35" s="53" t="n">
        <f aca="false">F35-(I35-X35)</f>
        <v>-45.2424981094026</v>
      </c>
      <c r="M35" s="53" t="n">
        <v>216</v>
      </c>
      <c r="N35" s="53" t="n">
        <v>0</v>
      </c>
      <c r="O35" s="53" t="n">
        <f aca="false">10.47*1.05</f>
        <v>10.9935</v>
      </c>
      <c r="P35" s="6" t="n">
        <f aca="false">M35-(N35+O35)</f>
        <v>205.0065</v>
      </c>
      <c r="Q35" s="53" t="n">
        <v>102</v>
      </c>
      <c r="R35" s="53" t="n">
        <v>71</v>
      </c>
      <c r="S35" s="53" t="n">
        <f aca="false">SUM(P35:R35)</f>
        <v>378.0065</v>
      </c>
      <c r="T35" s="54" t="n">
        <f aca="false">T34+AE35</f>
        <v>6218.4575</v>
      </c>
      <c r="U35" s="53" t="n">
        <v>171.03</v>
      </c>
      <c r="V35" s="104" t="n">
        <v>19</v>
      </c>
      <c r="W35" s="105" t="n">
        <f aca="false">W34-V35</f>
        <v>4696.778674061</v>
      </c>
      <c r="X35" s="6" t="n">
        <f aca="false">N35+O35+S35+U35+V35</f>
        <v>579.03</v>
      </c>
      <c r="Y35" s="53" t="n">
        <f aca="false">IF(L35&lt;0,L35*-1,0)</f>
        <v>45.2424981094026</v>
      </c>
      <c r="Z35" s="53" t="n">
        <f aca="false">X35+Y35</f>
        <v>624.272498109402</v>
      </c>
      <c r="AA35" s="58" t="n">
        <v>0</v>
      </c>
      <c r="AB35" s="59" t="n">
        <v>76</v>
      </c>
      <c r="AC35" s="59" t="n">
        <v>41</v>
      </c>
      <c r="AD35" s="60" t="n">
        <f aca="false">AD34+1</f>
        <v>26</v>
      </c>
      <c r="AE35" s="12" t="n">
        <f aca="false">IF(I35&gt;S35,I35-S35,I35-S35)</f>
        <v>-211.0065</v>
      </c>
      <c r="AF35" s="96"/>
      <c r="AG35" s="95"/>
    </row>
    <row r="36" customFormat="false" ht="11.1" hidden="false" customHeight="true" outlineLevel="0" collapsed="false">
      <c r="A36" s="60" t="n">
        <f aca="false">A35+1</f>
        <v>27</v>
      </c>
      <c r="B36" s="75" t="n">
        <v>6874.5</v>
      </c>
      <c r="C36" s="54" t="n">
        <v>200150</v>
      </c>
      <c r="D36" s="59" t="n">
        <f aca="false">C36-C35</f>
        <v>-903</v>
      </c>
      <c r="E36" s="54" t="n">
        <f aca="false">C36-152000</f>
        <v>48150</v>
      </c>
      <c r="F36" s="53" t="n">
        <f aca="false">D36/$D$2</f>
        <v>-455.255860852029</v>
      </c>
      <c r="G36" s="53" t="n">
        <v>158</v>
      </c>
      <c r="H36" s="57" t="n">
        <v>0</v>
      </c>
      <c r="I36" s="53" t="n">
        <f aca="false">G36+H36</f>
        <v>158</v>
      </c>
      <c r="J36" s="83" t="n">
        <f aca="false">IF(L36&gt;0,L36,0)</f>
        <v>0</v>
      </c>
      <c r="K36" s="53" t="n">
        <f aca="false">I36+J36</f>
        <v>158</v>
      </c>
      <c r="L36" s="53" t="n">
        <f aca="false">F36-(I36-X36)</f>
        <v>-32.9358608520293</v>
      </c>
      <c r="M36" s="53" t="n">
        <v>201</v>
      </c>
      <c r="N36" s="53" t="n">
        <v>0</v>
      </c>
      <c r="O36" s="53" t="n">
        <v>0</v>
      </c>
      <c r="P36" s="6" t="n">
        <f aca="false">M36-(N36+O36)</f>
        <v>201</v>
      </c>
      <c r="Q36" s="53" t="n">
        <v>101</v>
      </c>
      <c r="R36" s="53" t="n">
        <v>70</v>
      </c>
      <c r="S36" s="53" t="n">
        <f aca="false">SUM(P36:R36)</f>
        <v>372</v>
      </c>
      <c r="T36" s="54" t="n">
        <f aca="false">T35+AE36</f>
        <v>6004.4575</v>
      </c>
      <c r="U36" s="53" t="n">
        <v>189.32</v>
      </c>
      <c r="V36" s="104" t="n">
        <v>19</v>
      </c>
      <c r="W36" s="105" t="n">
        <f aca="false">W35-V36</f>
        <v>4677.778674061</v>
      </c>
      <c r="X36" s="6" t="n">
        <f aca="false">N36+O36+S36+U36+V36</f>
        <v>580.32</v>
      </c>
      <c r="Y36" s="53" t="n">
        <f aca="false">IF(L36&lt;0,L36*-1,0)</f>
        <v>32.9358608520293</v>
      </c>
      <c r="Z36" s="53" t="n">
        <f aca="false">X36+Y36</f>
        <v>613.255860852029</v>
      </c>
      <c r="AA36" s="58" t="n">
        <v>0</v>
      </c>
      <c r="AB36" s="59" t="n">
        <v>79</v>
      </c>
      <c r="AC36" s="59" t="n">
        <v>44</v>
      </c>
      <c r="AD36" s="60" t="n">
        <f aca="false">AD35+1</f>
        <v>27</v>
      </c>
      <c r="AE36" s="12" t="n">
        <f aca="false">IF(I36&gt;S36,I36-S36,I36-S36)</f>
        <v>-214</v>
      </c>
      <c r="AF36" s="96"/>
      <c r="AG36" s="95"/>
    </row>
    <row r="37" customFormat="false" ht="11.1" hidden="false" customHeight="true" outlineLevel="0" collapsed="false">
      <c r="A37" s="60" t="n">
        <v>28</v>
      </c>
      <c r="B37" s="75" t="n">
        <v>6874.15</v>
      </c>
      <c r="C37" s="54" t="n">
        <v>199163</v>
      </c>
      <c r="D37" s="59" t="n">
        <f aca="false">C37-C36</f>
        <v>-987</v>
      </c>
      <c r="E37" s="54" t="n">
        <f aca="false">C37-152000</f>
        <v>47163</v>
      </c>
      <c r="F37" s="53" t="n">
        <f aca="false">D37/$D$2</f>
        <v>-497.605243256869</v>
      </c>
      <c r="G37" s="53" t="n">
        <v>148</v>
      </c>
      <c r="H37" s="57" t="n">
        <v>0</v>
      </c>
      <c r="I37" s="53" t="n">
        <f aca="false">G37+H37</f>
        <v>148</v>
      </c>
      <c r="J37" s="83" t="n">
        <f aca="false">IF(L37&gt;0,L37,0)</f>
        <v>0</v>
      </c>
      <c r="K37" s="53" t="n">
        <f aca="false">I37+J37</f>
        <v>148</v>
      </c>
      <c r="L37" s="53" t="n">
        <f aca="false">F37-(I37-X37)</f>
        <v>-38.4452432568692</v>
      </c>
      <c r="M37" s="53" t="n">
        <v>208</v>
      </c>
      <c r="N37" s="53" t="n">
        <v>0</v>
      </c>
      <c r="O37" s="53" t="n">
        <f aca="false">0.2*1.05</f>
        <v>0.21</v>
      </c>
      <c r="P37" s="6" t="n">
        <f aca="false">M37-(N37+O37)</f>
        <v>207.79</v>
      </c>
      <c r="Q37" s="53" t="n">
        <v>100</v>
      </c>
      <c r="R37" s="53" t="n">
        <v>70</v>
      </c>
      <c r="S37" s="53" t="n">
        <f aca="false">SUM(P37:R37)</f>
        <v>377.79</v>
      </c>
      <c r="T37" s="54" t="n">
        <f aca="false">T36+AE37</f>
        <v>5774.6675</v>
      </c>
      <c r="U37" s="53" t="n">
        <v>210.16</v>
      </c>
      <c r="V37" s="104" t="n">
        <v>19</v>
      </c>
      <c r="W37" s="105" t="n">
        <f aca="false">W36-V37</f>
        <v>4658.778674061</v>
      </c>
      <c r="X37" s="6" t="n">
        <f aca="false">N37+O37+S37+U37+V37</f>
        <v>607.16</v>
      </c>
      <c r="Y37" s="53" t="n">
        <f aca="false">IF(L37&lt;0,L37*-1,0)</f>
        <v>38.4452432568692</v>
      </c>
      <c r="Z37" s="53" t="n">
        <f aca="false">X37+Y37</f>
        <v>645.605243256869</v>
      </c>
      <c r="AA37" s="58" t="n">
        <v>0</v>
      </c>
      <c r="AB37" s="59" t="n">
        <v>81</v>
      </c>
      <c r="AC37" s="59" t="n">
        <v>45</v>
      </c>
      <c r="AD37" s="60" t="n">
        <v>28</v>
      </c>
      <c r="AE37" s="12" t="n">
        <f aca="false">IF(I37&gt;S37,I37-S37,I37-S37)</f>
        <v>-229.79</v>
      </c>
      <c r="AF37" s="96"/>
      <c r="AG37" s="95"/>
    </row>
    <row r="38" customFormat="false" ht="11.1" hidden="false" customHeight="true" outlineLevel="0" collapsed="false">
      <c r="A38" s="60" t="n">
        <v>29</v>
      </c>
      <c r="B38" s="75" t="n">
        <v>6873.82</v>
      </c>
      <c r="C38" s="54" t="n">
        <v>198238</v>
      </c>
      <c r="D38" s="59" t="n">
        <f aca="false">C38-C37</f>
        <v>-925</v>
      </c>
      <c r="E38" s="54" t="n">
        <f aca="false">C38-152000</f>
        <v>46238</v>
      </c>
      <c r="F38" s="53" t="n">
        <f aca="false">D38/$D$2</f>
        <v>-466.347365767583</v>
      </c>
      <c r="G38" s="53" t="n">
        <v>146</v>
      </c>
      <c r="H38" s="57" t="n">
        <v>0</v>
      </c>
      <c r="I38" s="53" t="n">
        <f aca="false">G38+H38</f>
        <v>146</v>
      </c>
      <c r="J38" s="83" t="n">
        <f aca="false">IF(L38&gt;0,L38,0)</f>
        <v>3.36263423241746</v>
      </c>
      <c r="K38" s="53" t="n">
        <f aca="false">I38+J38</f>
        <v>149.362634232417</v>
      </c>
      <c r="L38" s="53" t="n">
        <f aca="false">F38-(I38-X38)</f>
        <v>3.36263423241746</v>
      </c>
      <c r="M38" s="53" t="n">
        <v>231</v>
      </c>
      <c r="N38" s="53" t="n">
        <v>0</v>
      </c>
      <c r="O38" s="53" t="n">
        <f aca="false">2.96*1.05</f>
        <v>3.108</v>
      </c>
      <c r="P38" s="6" t="n">
        <f aca="false">M38-(N38+O38)</f>
        <v>227.892</v>
      </c>
      <c r="Q38" s="53" t="n">
        <v>99</v>
      </c>
      <c r="R38" s="53" t="n">
        <v>70</v>
      </c>
      <c r="S38" s="53" t="n">
        <f aca="false">SUM(P38:R38)</f>
        <v>396.892</v>
      </c>
      <c r="T38" s="54" t="n">
        <f aca="false">T37+AE38</f>
        <v>5523.7755</v>
      </c>
      <c r="U38" s="53" t="n">
        <v>199.71</v>
      </c>
      <c r="V38" s="104" t="n">
        <v>16</v>
      </c>
      <c r="W38" s="105" t="n">
        <f aca="false">W37-V38</f>
        <v>4642.778674061</v>
      </c>
      <c r="X38" s="6" t="n">
        <f aca="false">N38+O38+S38+U38+V38</f>
        <v>615.71</v>
      </c>
      <c r="Y38" s="53" t="n">
        <f aca="false">IF(L38&lt;0,L38*-1,0)</f>
        <v>0</v>
      </c>
      <c r="Z38" s="53" t="n">
        <f aca="false">X38+Y38</f>
        <v>615.71</v>
      </c>
      <c r="AA38" s="58" t="n">
        <v>0</v>
      </c>
      <c r="AB38" s="59" t="n">
        <v>86</v>
      </c>
      <c r="AC38" s="59" t="n">
        <v>47</v>
      </c>
      <c r="AD38" s="60" t="n">
        <v>29</v>
      </c>
      <c r="AE38" s="12" t="n">
        <f aca="false">IF(I38&gt;S38,I38-S38,I38-S38)</f>
        <v>-250.892</v>
      </c>
      <c r="AF38" s="96"/>
      <c r="AG38" s="95"/>
    </row>
    <row r="39" customFormat="false" ht="11.1" hidden="false" customHeight="true" outlineLevel="0" collapsed="false">
      <c r="A39" s="60" t="n">
        <v>30</v>
      </c>
      <c r="B39" s="75" t="n">
        <v>6873.47</v>
      </c>
      <c r="C39" s="54" t="n">
        <v>197262</v>
      </c>
      <c r="D39" s="59" t="n">
        <f aca="false">C39-C38</f>
        <v>-976</v>
      </c>
      <c r="E39" s="54" t="n">
        <f aca="false">C39-152000</f>
        <v>45262</v>
      </c>
      <c r="F39" s="53" t="n">
        <f aca="false">D39/$D$2</f>
        <v>-492.059490799092</v>
      </c>
      <c r="G39" s="53" t="n">
        <v>147</v>
      </c>
      <c r="H39" s="57" t="n">
        <v>0</v>
      </c>
      <c r="I39" s="53" t="n">
        <f aca="false">G39+H39</f>
        <v>147</v>
      </c>
      <c r="J39" s="83" t="n">
        <f aca="false">IF(L39&gt;0,L39,0)</f>
        <v>0</v>
      </c>
      <c r="K39" s="53" t="n">
        <f aca="false">I39+J39</f>
        <v>147</v>
      </c>
      <c r="L39" s="53" t="n">
        <f aca="false">F39-(I39-X39)</f>
        <v>-35.7594907990925</v>
      </c>
      <c r="M39" s="53" t="n">
        <v>215</v>
      </c>
      <c r="N39" s="53" t="n">
        <v>0</v>
      </c>
      <c r="O39" s="53" t="n">
        <f aca="false">1.98*1.05</f>
        <v>2.079</v>
      </c>
      <c r="P39" s="6" t="n">
        <f aca="false">M39-(N39+O39)</f>
        <v>212.921</v>
      </c>
      <c r="Q39" s="53" t="n">
        <v>98</v>
      </c>
      <c r="R39" s="53" t="n">
        <v>75</v>
      </c>
      <c r="S39" s="53" t="n">
        <f aca="false">SUM(P39:R39)</f>
        <v>385.921</v>
      </c>
      <c r="T39" s="54" t="n">
        <f aca="false">T38+AE39</f>
        <v>5284.8545</v>
      </c>
      <c r="U39" s="53" t="n">
        <v>200.3</v>
      </c>
      <c r="V39" s="104" t="n">
        <v>15</v>
      </c>
      <c r="W39" s="105" t="n">
        <f aca="false">W38-V39</f>
        <v>4627.778674061</v>
      </c>
      <c r="X39" s="6" t="n">
        <f aca="false">N39+O39+S39+U39+V39</f>
        <v>603.3</v>
      </c>
      <c r="Y39" s="53" t="n">
        <f aca="false">IF(L39&lt;0,L39*-1,0)</f>
        <v>35.7594907990925</v>
      </c>
      <c r="Z39" s="53" t="n">
        <f aca="false">X39+Y39</f>
        <v>639.059490799093</v>
      </c>
      <c r="AA39" s="58" t="n">
        <v>0</v>
      </c>
      <c r="AB39" s="59" t="n">
        <v>88</v>
      </c>
      <c r="AC39" s="59" t="n">
        <v>51</v>
      </c>
      <c r="AD39" s="60" t="n">
        <v>30</v>
      </c>
      <c r="AE39" s="12" t="n">
        <f aca="false">IF(I39&gt;S39,I39-S39,I39-S39)</f>
        <v>-238.921</v>
      </c>
      <c r="AF39" s="96"/>
      <c r="AG39" s="95"/>
    </row>
    <row r="40" customFormat="false" ht="11.1" hidden="false" customHeight="true" outlineLevel="0" collapsed="false">
      <c r="A40" s="60" t="n">
        <v>31</v>
      </c>
      <c r="B40" s="75" t="n">
        <v>6873.12</v>
      </c>
      <c r="C40" s="54" t="n">
        <v>196287</v>
      </c>
      <c r="D40" s="59" t="n">
        <f aca="false">C40-C39</f>
        <v>-975</v>
      </c>
      <c r="E40" s="54" t="n">
        <f aca="false">C40-152000</f>
        <v>44287</v>
      </c>
      <c r="F40" s="53" t="n">
        <f aca="false">D40/$D$2</f>
        <v>-491.555331484749</v>
      </c>
      <c r="G40" s="53" t="n">
        <v>161</v>
      </c>
      <c r="H40" s="57" t="n">
        <v>0</v>
      </c>
      <c r="I40" s="53" t="n">
        <f aca="false">G40+H40</f>
        <v>161</v>
      </c>
      <c r="J40" s="83" t="n">
        <f aca="false">IF(L40&gt;0,L40,0)</f>
        <v>0</v>
      </c>
      <c r="K40" s="53" t="n">
        <f aca="false">I40+J40</f>
        <v>161</v>
      </c>
      <c r="L40" s="53" t="n">
        <f aca="false">F40-(I40-X40)</f>
        <v>-32.9153314847492</v>
      </c>
      <c r="M40" s="53" t="n">
        <v>235</v>
      </c>
      <c r="N40" s="53" t="n">
        <v>0</v>
      </c>
      <c r="O40" s="53" t="n">
        <f aca="false">2.01*1.05</f>
        <v>2.1105</v>
      </c>
      <c r="P40" s="6" t="n">
        <f aca="false">M40-(N40+O40)</f>
        <v>232.8895</v>
      </c>
      <c r="Q40" s="53" t="n">
        <v>98</v>
      </c>
      <c r="R40" s="53" t="n">
        <v>81</v>
      </c>
      <c r="S40" s="53" t="n">
        <f aca="false">SUM(P40:R40)</f>
        <v>411.8895</v>
      </c>
      <c r="T40" s="54" t="n">
        <f aca="false">T39+AE40</f>
        <v>5033.965</v>
      </c>
      <c r="U40" s="53" t="n">
        <v>190.64</v>
      </c>
      <c r="V40" s="104" t="n">
        <v>15</v>
      </c>
      <c r="W40" s="105" t="n">
        <f aca="false">W39-V40</f>
        <v>4612.778674061</v>
      </c>
      <c r="X40" s="6" t="n">
        <f aca="false">N40+O40+S40+U40+V40</f>
        <v>619.64</v>
      </c>
      <c r="Y40" s="53" t="n">
        <f aca="false">IF(L40&lt;0,L40*-1,0)</f>
        <v>32.9153314847492</v>
      </c>
      <c r="Z40" s="53" t="n">
        <f aca="false">X40+Y40</f>
        <v>652.555331484749</v>
      </c>
      <c r="AA40" s="58" t="n">
        <v>0</v>
      </c>
      <c r="AB40" s="59" t="n">
        <v>91</v>
      </c>
      <c r="AC40" s="59" t="n">
        <v>53</v>
      </c>
      <c r="AD40" s="60" t="n">
        <v>31</v>
      </c>
      <c r="AE40" s="12" t="n">
        <f aca="false">IF(I40&gt;S40,I40-S40,I40-S40)</f>
        <v>-250.8895</v>
      </c>
      <c r="AF40" s="96"/>
      <c r="AG40" s="95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122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-9118.22535921351</v>
      </c>
      <c r="G42" s="54" t="n">
        <f aca="false">SUM(G10:G40)</f>
        <v>8176</v>
      </c>
      <c r="H42" s="57" t="n">
        <f aca="false">SUM(H10:H40)</f>
        <v>4.06</v>
      </c>
      <c r="I42" s="54" t="n">
        <f aca="false">SUM(I10:I40)</f>
        <v>8180.06</v>
      </c>
      <c r="J42" s="54" t="n">
        <f aca="false">SUM(J10:J40)</f>
        <v>209.889274010587</v>
      </c>
      <c r="K42" s="54" t="n">
        <f aca="false">SUM(K10:K40)</f>
        <v>8389.94927401058</v>
      </c>
      <c r="L42" s="54" t="n">
        <f aca="false">SUM(L10:L40)</f>
        <v>-639.995359213512</v>
      </c>
      <c r="M42" s="54" t="n">
        <f aca="false">SUM(M10:M40)</f>
        <v>6408</v>
      </c>
      <c r="N42" s="54" t="n">
        <f aca="false">SUM(N10:N40)</f>
        <v>12.6</v>
      </c>
      <c r="O42" s="54" t="n">
        <f aca="false">SUM(O10:O40)</f>
        <v>280.371</v>
      </c>
      <c r="P42" s="54" t="n">
        <f aca="false">SUM(P10:P40)</f>
        <v>6115.029</v>
      </c>
      <c r="Q42" s="54" t="n">
        <f aca="false">SUM(Q10:Q40)</f>
        <v>2367</v>
      </c>
      <c r="R42" s="54" t="n">
        <f aca="false">SUM(R10:R40)</f>
        <v>2123</v>
      </c>
      <c r="S42" s="54" t="n">
        <f aca="false">SUM(S10:S40)</f>
        <v>10605.029</v>
      </c>
      <c r="T42" s="54"/>
      <c r="U42" s="54" t="n">
        <f aca="false">SUM(U10:U40)</f>
        <v>5192.29</v>
      </c>
      <c r="V42" s="54" t="n">
        <f aca="false">SUM(V10:V40)</f>
        <v>568</v>
      </c>
      <c r="W42" s="54"/>
      <c r="X42" s="54" t="n">
        <f aca="false">SUM(X10:X40)</f>
        <v>16658.29</v>
      </c>
      <c r="Y42" s="54" t="n">
        <f aca="false">SUM(Y10:Y40)</f>
        <v>849.884633224099</v>
      </c>
      <c r="Z42" s="54" t="n">
        <f aca="false">SUM(Z10:Z40)</f>
        <v>17508.1746332241</v>
      </c>
      <c r="AA42" s="58" t="n">
        <f aca="false">SUM(AA10:AA40)</f>
        <v>0.06</v>
      </c>
      <c r="AB42" s="59" t="n">
        <f aca="false">AVERAGE(AB10:AB40)</f>
        <v>72.0967741935484</v>
      </c>
      <c r="AC42" s="59" t="n">
        <f aca="false">AVERAGE(AC10:AC40)</f>
        <v>39.741935483871</v>
      </c>
      <c r="AD42" s="60" t="s">
        <v>73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-18086</v>
      </c>
      <c r="E43" s="54"/>
      <c r="F43" s="54" t="n">
        <f aca="false">F42*$D$2</f>
        <v>-18086</v>
      </c>
      <c r="G43" s="54" t="n">
        <f aca="false">G42*$D$2</f>
        <v>16217.096</v>
      </c>
      <c r="H43" s="57" t="n">
        <f aca="false">H42*$D$2</f>
        <v>8.05301</v>
      </c>
      <c r="I43" s="54" t="n">
        <f aca="false">I42*$D$2</f>
        <v>16225.14901</v>
      </c>
      <c r="J43" s="54" t="n">
        <f aca="false">J42*$D$2</f>
        <v>416.315375</v>
      </c>
      <c r="K43" s="54" t="n">
        <f aca="false">K42*$D$2</f>
        <v>16641.464385</v>
      </c>
      <c r="L43" s="54" t="n">
        <f aca="false">L42*$D$2</f>
        <v>-1269.430795</v>
      </c>
      <c r="M43" s="54" t="n">
        <f aca="false">M42*$D$2</f>
        <v>12710.268</v>
      </c>
      <c r="N43" s="54" t="n">
        <f aca="false">N42*$D$2</f>
        <v>24.9921</v>
      </c>
      <c r="O43" s="54" t="n">
        <f aca="false">O42*$D$2</f>
        <v>556.1158785</v>
      </c>
      <c r="P43" s="54" t="n">
        <f aca="false">P42*$D$2</f>
        <v>12129.1600215</v>
      </c>
      <c r="Q43" s="54" t="n">
        <f aca="false">Q42*$D$2</f>
        <v>4694.9445</v>
      </c>
      <c r="R43" s="54" t="n">
        <f aca="false">R42*$D$2</f>
        <v>4210.9705</v>
      </c>
      <c r="S43" s="54" t="n">
        <f aca="false">S42*$D$2</f>
        <v>21035.0750215</v>
      </c>
      <c r="T43" s="54"/>
      <c r="U43" s="54" t="n">
        <f aca="false">U42*$D$2</f>
        <v>10298.907215</v>
      </c>
      <c r="V43" s="54" t="n">
        <f aca="false">V42*$D$2</f>
        <v>1126.628</v>
      </c>
      <c r="W43" s="54"/>
      <c r="X43" s="54" t="n">
        <f aca="false">X42*$D$2</f>
        <v>33041.718215</v>
      </c>
      <c r="Y43" s="54" t="n">
        <f aca="false">Y42*$D$2</f>
        <v>1685.74617</v>
      </c>
      <c r="Z43" s="54" t="n">
        <f aca="false">Z42*$D$2</f>
        <v>34727.464385</v>
      </c>
      <c r="AA43" s="58"/>
      <c r="AB43" s="59" t="n">
        <f aca="false">MAX(AB10:AB40)</f>
        <v>91</v>
      </c>
      <c r="AC43" s="59" t="n">
        <f aca="false">MAX(AC10:AC40)</f>
        <v>53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122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-5686.41290647845</v>
      </c>
      <c r="G45" s="54" t="n">
        <f aca="false">G7+G42</f>
        <v>17882</v>
      </c>
      <c r="H45" s="57" t="n">
        <f aca="false">H7+H42</f>
        <v>27.82</v>
      </c>
      <c r="I45" s="54" t="n">
        <f aca="false">I7+I42</f>
        <v>17909.82</v>
      </c>
      <c r="J45" s="54" t="n">
        <f aca="false">J7+J42</f>
        <v>324.784476934711</v>
      </c>
      <c r="K45" s="54" t="n">
        <f aca="false">K7+K42</f>
        <v>18234.6044769347</v>
      </c>
      <c r="L45" s="54" t="n">
        <f aca="false">L7+L42</f>
        <v>-1129.37290647845</v>
      </c>
      <c r="M45" s="54" t="n">
        <f aca="false">M7+M42</f>
        <v>10335</v>
      </c>
      <c r="N45" s="54" t="n">
        <f aca="false">N7+N42</f>
        <v>13.1</v>
      </c>
      <c r="O45" s="54" t="n">
        <f aca="false">O7+O42</f>
        <v>2485.045</v>
      </c>
      <c r="P45" s="54" t="n">
        <f aca="false">P7+P42</f>
        <v>7836.855</v>
      </c>
      <c r="Q45" s="54" t="n">
        <f aca="false">Q7+Q42</f>
        <v>2886</v>
      </c>
      <c r="R45" s="54" t="n">
        <f aca="false">R7+R42</f>
        <v>2153</v>
      </c>
      <c r="S45" s="54" t="n">
        <f aca="false">S7+S42</f>
        <v>12875.855</v>
      </c>
      <c r="T45" s="54" t="n">
        <f aca="false">T40+T42</f>
        <v>5033.965</v>
      </c>
      <c r="U45" s="54" t="n">
        <f aca="false">U7+U42</f>
        <v>5671.86</v>
      </c>
      <c r="V45" s="54" t="n">
        <f aca="false">V7+V42</f>
        <v>1421</v>
      </c>
      <c r="W45" s="54" t="n">
        <f aca="false">W40</f>
        <v>4612.778674061</v>
      </c>
      <c r="X45" s="54" t="n">
        <f aca="false">X7+X42</f>
        <v>22466.86</v>
      </c>
      <c r="Y45" s="54" t="n">
        <f aca="false">Y7+Y42</f>
        <v>1454.15738341316</v>
      </c>
      <c r="Z45" s="54" t="n">
        <f aca="false">Z7+Z42</f>
        <v>23921.0173834132</v>
      </c>
      <c r="AA45" s="58"/>
      <c r="AB45" s="59" t="n">
        <f aca="false">MIN(AB10:AB40)</f>
        <v>59</v>
      </c>
      <c r="AC45" s="59" t="n">
        <f aca="false">MIN(AC10:AC40)</f>
        <v>27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-11279</v>
      </c>
      <c r="G46" s="54" t="n">
        <f aca="false">G45*$D$2</f>
        <v>35468.947</v>
      </c>
      <c r="H46" s="57" t="n">
        <f aca="false">H45*$D$2</f>
        <v>55.18097</v>
      </c>
      <c r="I46" s="54" t="n">
        <f aca="false">I45*$D$2</f>
        <v>35524.12797</v>
      </c>
      <c r="J46" s="54" t="n">
        <f aca="false">J45*$D$2</f>
        <v>644.21001</v>
      </c>
      <c r="K46" s="54" t="n">
        <f aca="false">K45*$D$2</f>
        <v>36168.33798</v>
      </c>
      <c r="L46" s="54" t="n">
        <f aca="false">L45*$D$2</f>
        <v>-2240.11116</v>
      </c>
      <c r="M46" s="54" t="n">
        <f aca="false">M45*$D$2</f>
        <v>20499.4725</v>
      </c>
      <c r="N46" s="54" t="n">
        <f aca="false">N45*$D$2</f>
        <v>25.98385</v>
      </c>
      <c r="O46" s="54" t="n">
        <f aca="false">O45*$D$2</f>
        <v>4929.0867575</v>
      </c>
      <c r="P46" s="54" t="n">
        <f aca="false">P45*$D$2</f>
        <v>15544.4018925</v>
      </c>
      <c r="Q46" s="54" t="n">
        <f aca="false">Q45*$D$2</f>
        <v>5724.381</v>
      </c>
      <c r="R46" s="54" t="n">
        <f aca="false">R45*$D$2</f>
        <v>4270.4755</v>
      </c>
      <c r="S46" s="54" t="n">
        <f aca="false">S45*$D$2</f>
        <v>25539.2583925</v>
      </c>
      <c r="T46" s="54" t="n">
        <f aca="false">T45*$D$2</f>
        <v>9984.8695775</v>
      </c>
      <c r="U46" s="54" t="n">
        <f aca="false">U45*$D$2</f>
        <v>11250.13431</v>
      </c>
      <c r="V46" s="54" t="n">
        <f aca="false">V45*$D$2</f>
        <v>2818.5535</v>
      </c>
      <c r="W46" s="54" t="n">
        <f aca="false">W45*D2</f>
        <v>9149.4465</v>
      </c>
      <c r="X46" s="54" t="n">
        <f aca="false">X45*$D$2</f>
        <v>44563.01681</v>
      </c>
      <c r="Y46" s="54" t="n">
        <f aca="false">Y45*$D$2</f>
        <v>2884.32117</v>
      </c>
      <c r="Z46" s="54" t="n">
        <f aca="false">Z45*$D$2</f>
        <v>47447.33798</v>
      </c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122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-4869.67481724225</v>
      </c>
      <c r="G48" s="54" t="n">
        <f aca="false">G8+G42</f>
        <v>24424</v>
      </c>
      <c r="H48" s="57" t="n">
        <f aca="false">H8+H42</f>
        <v>63.35</v>
      </c>
      <c r="I48" s="54" t="n">
        <f aca="false">I8+I42</f>
        <v>24439.82</v>
      </c>
      <c r="J48" s="54" t="n">
        <f aca="false">J8+J42</f>
        <v>1731.3350768843</v>
      </c>
      <c r="K48" s="54" t="n">
        <f aca="false">K8+K42</f>
        <v>26171.1550768843</v>
      </c>
      <c r="L48" s="54" t="n">
        <f aca="false">L8+L42</f>
        <v>-858.554817242248</v>
      </c>
      <c r="M48" s="54" t="n">
        <f aca="false">M8+M42</f>
        <v>11530.58</v>
      </c>
      <c r="N48" s="54" t="n">
        <f aca="false">N8+N42</f>
        <v>18.18</v>
      </c>
      <c r="O48" s="54" t="n">
        <f aca="false">O8+O42</f>
        <v>2996.38</v>
      </c>
      <c r="P48" s="54" t="n">
        <f aca="false">P8+P42</f>
        <v>8918.22</v>
      </c>
      <c r="Q48" s="54" t="n">
        <f aca="false">Q8+Q42</f>
        <v>2886</v>
      </c>
      <c r="R48" s="54" t="n">
        <f aca="false">R8+R42</f>
        <v>2280.5</v>
      </c>
      <c r="S48" s="54" t="n">
        <f aca="false">S8+S42</f>
        <v>14084.72</v>
      </c>
      <c r="T48" s="54"/>
      <c r="U48" s="54" t="n">
        <f aca="false">U8+U42</f>
        <v>5671.86</v>
      </c>
      <c r="V48" s="54" t="n">
        <f aca="false">V8+V42</f>
        <v>6082</v>
      </c>
      <c r="W48" s="54" t="n">
        <f aca="false">W40</f>
        <v>4612.778674061</v>
      </c>
      <c r="X48" s="54" t="n">
        <f aca="false">X8+X42</f>
        <v>28450.94</v>
      </c>
      <c r="Y48" s="54" t="n">
        <f aca="false">Y8+Y42</f>
        <v>2589.88989412654</v>
      </c>
      <c r="Z48" s="54" t="n">
        <f aca="false">Z8+Z42</f>
        <v>31040.8298941265</v>
      </c>
      <c r="AA48" s="58" t="n">
        <f aca="false">AA8+AA42</f>
        <v>3.6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-9659</v>
      </c>
      <c r="E49" s="54" t="n">
        <f aca="false">E40</f>
        <v>44287</v>
      </c>
      <c r="F49" s="54" t="n">
        <f aca="false">F48*$D$2</f>
        <v>-9659.00000000001</v>
      </c>
      <c r="G49" s="54" t="n">
        <f aca="false">G48*$D$2</f>
        <v>48445.004</v>
      </c>
      <c r="H49" s="57" t="n">
        <f aca="false">H48*$D$2</f>
        <v>125.654725</v>
      </c>
      <c r="I49" s="54" t="n">
        <f aca="false">I48*$D$2</f>
        <v>48476.38297</v>
      </c>
      <c r="J49" s="54" t="n">
        <f aca="false">J48*$D$2</f>
        <v>3434.103125</v>
      </c>
      <c r="K49" s="54" t="n">
        <f aca="false">K48*$D$2</f>
        <v>51910.486095</v>
      </c>
      <c r="L49" s="54" t="n">
        <f aca="false">L48*$D$2</f>
        <v>-1702.94348</v>
      </c>
      <c r="M49" s="54" t="n">
        <f aca="false">M48*$D$2</f>
        <v>22870.90543</v>
      </c>
      <c r="N49" s="54" t="n">
        <f aca="false">N48*$D$2</f>
        <v>36.06003</v>
      </c>
      <c r="O49" s="54" t="n">
        <f aca="false">O48*$D$2</f>
        <v>5943.31973</v>
      </c>
      <c r="P49" s="54" t="n">
        <f aca="false">P48*$D$2</f>
        <v>17689.28937</v>
      </c>
      <c r="Q49" s="54" t="n">
        <f aca="false">Q48*$D$2</f>
        <v>5724.381</v>
      </c>
      <c r="R49" s="54" t="n">
        <f aca="false">R48*$D$2</f>
        <v>4523.37175</v>
      </c>
      <c r="S49" s="54" t="n">
        <f aca="false">S48*$D$2</f>
        <v>27937.04212</v>
      </c>
      <c r="T49" s="54" t="n">
        <f aca="false">T48*$D$2</f>
        <v>0</v>
      </c>
      <c r="U49" s="54" t="n">
        <f aca="false">U48*$D$2</f>
        <v>11250.13431</v>
      </c>
      <c r="V49" s="54" t="n">
        <f aca="false">V48*$D$2</f>
        <v>12063.647</v>
      </c>
      <c r="W49" s="54" t="n">
        <f aca="false">W48*$D$2</f>
        <v>9149.4465</v>
      </c>
      <c r="X49" s="54" t="n">
        <f aca="false">X48*$D$2</f>
        <v>56432.43949</v>
      </c>
      <c r="Y49" s="54" t="n">
        <f aca="false">Y48*$D$2</f>
        <v>5137.046605</v>
      </c>
      <c r="Z49" s="54" t="n">
        <f aca="false">Z48*$D$2</f>
        <v>61569.486095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123"/>
      <c r="G50" s="123"/>
      <c r="H50" s="122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124"/>
      <c r="B51" s="86"/>
      <c r="C51" s="54"/>
      <c r="D51" s="53"/>
      <c r="E51" s="54"/>
      <c r="F51" s="125"/>
      <c r="G51" s="126" t="n">
        <f aca="false">7308+2932</f>
        <v>10240</v>
      </c>
      <c r="H51" s="57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 t="n">
        <v>-15086</v>
      </c>
      <c r="U51" s="53"/>
      <c r="V51" s="53"/>
      <c r="W51" s="54"/>
      <c r="X51" s="53"/>
      <c r="Y51" s="53"/>
      <c r="Z51" s="53"/>
      <c r="AA51" s="58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54" t="s">
        <v>74</v>
      </c>
      <c r="E52" s="127" t="n">
        <f aca="false">E40-((O53+U53+W53+(T53*-1)))</f>
        <v>6989.89034345238</v>
      </c>
      <c r="F52" s="128" t="n">
        <f aca="false">2932/210</f>
        <v>13.9619047619048</v>
      </c>
      <c r="G52" s="129" t="n">
        <f aca="false">7308/210</f>
        <v>34.8</v>
      </c>
      <c r="H52" s="57"/>
      <c r="I52" s="101"/>
      <c r="J52" s="53"/>
      <c r="K52" s="44"/>
      <c r="L52" s="53"/>
      <c r="M52" s="53"/>
      <c r="N52" s="54"/>
      <c r="O52" s="130" t="n">
        <v>6289</v>
      </c>
      <c r="P52" s="53"/>
      <c r="Q52" s="53"/>
      <c r="R52" s="54"/>
      <c r="S52" s="130"/>
      <c r="T52" s="54" t="n">
        <f aca="false">F52*F53</f>
        <v>823.752380952381</v>
      </c>
      <c r="U52" s="54" t="n">
        <v>14805</v>
      </c>
      <c r="V52" s="54"/>
      <c r="W52" s="54"/>
      <c r="X52" s="53"/>
      <c r="Y52" s="53"/>
      <c r="Z52" s="57"/>
      <c r="AA52" s="58"/>
      <c r="AB52" s="59"/>
      <c r="AC52" s="60"/>
      <c r="AD52" s="90"/>
      <c r="AE52" s="90"/>
    </row>
    <row r="53" customFormat="false" ht="11.1" hidden="false" customHeight="true" outlineLevel="0" collapsed="false">
      <c r="A53" s="84"/>
      <c r="B53" s="84" t="s">
        <v>75</v>
      </c>
      <c r="C53" s="54"/>
      <c r="D53" s="54"/>
      <c r="E53" s="131" t="n">
        <f aca="false">G51-G53</f>
        <v>7363.04761904762</v>
      </c>
      <c r="F53" s="128" t="n">
        <v>59</v>
      </c>
      <c r="G53" s="132" t="n">
        <f aca="false">(F52*F53)+(G52*F53)</f>
        <v>2876.95238095238</v>
      </c>
      <c r="H53" s="57"/>
      <c r="I53" s="54" t="s">
        <v>76</v>
      </c>
      <c r="J53" s="84"/>
      <c r="K53" s="84"/>
      <c r="L53" s="83"/>
      <c r="M53" s="0"/>
      <c r="N53" s="101"/>
      <c r="O53" s="59" t="n">
        <f aca="false">O52-O49</f>
        <v>345.68027</v>
      </c>
      <c r="P53" s="84"/>
      <c r="Q53" s="84"/>
      <c r="R53" s="101"/>
      <c r="S53" s="54"/>
      <c r="T53" s="59" t="n">
        <f aca="false">T51+T52-T46</f>
        <v>-24247.1171965476</v>
      </c>
      <c r="U53" s="54" t="n">
        <f aca="false">U52-U49</f>
        <v>3554.86569</v>
      </c>
      <c r="V53" s="59"/>
      <c r="W53" s="54" t="n">
        <f aca="false">W46</f>
        <v>9149.4465</v>
      </c>
      <c r="X53" s="84"/>
      <c r="Y53" s="84"/>
      <c r="Z53" s="57"/>
      <c r="AA53" s="58"/>
      <c r="AB53" s="59"/>
      <c r="AC53" s="60"/>
      <c r="AD53" s="100"/>
      <c r="AE53" s="100"/>
    </row>
    <row r="54" customFormat="false" ht="11.1" hidden="false" customHeight="true" outlineLevel="0" collapsed="false">
      <c r="A54" s="84"/>
      <c r="B54" s="57"/>
      <c r="C54" s="54"/>
      <c r="D54" s="54" t="s">
        <v>77</v>
      </c>
      <c r="E54" s="47" t="n">
        <f aca="false">E52-E53</f>
        <v>-373.157275595245</v>
      </c>
      <c r="F54" s="133" t="s">
        <v>78</v>
      </c>
      <c r="G54" s="134"/>
      <c r="I54" s="84"/>
      <c r="J54" s="84"/>
      <c r="K54" s="84"/>
      <c r="L54" s="84"/>
      <c r="M54" s="83"/>
      <c r="N54" s="83"/>
      <c r="O54" s="83"/>
      <c r="P54" s="84"/>
      <c r="Q54" s="84"/>
      <c r="R54" s="84"/>
      <c r="S54" s="54"/>
      <c r="T54" s="84"/>
      <c r="U54" s="54"/>
      <c r="V54" s="54"/>
      <c r="W54" s="84"/>
      <c r="X54" s="84"/>
      <c r="Y54" s="84"/>
      <c r="Z54" s="57"/>
      <c r="AA54" s="58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0"/>
      <c r="C55" s="54"/>
      <c r="D55" s="0"/>
      <c r="E55" s="54"/>
      <c r="F55" s="84"/>
      <c r="G55" s="135"/>
      <c r="H55" s="136"/>
      <c r="I55" s="137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O12" activeCellId="0" sqref="O12"/>
    </sheetView>
  </sheetViews>
  <sheetFormatPr defaultColWidth="9.296875" defaultRowHeight="11.1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false" outlineLevel="0" max="14" min="14" style="3" width="7.32"/>
    <col collapsed="false" customWidth="true" hidden="false" outlineLevel="0" max="15" min="15" style="3" width="6.49"/>
    <col collapsed="false" customWidth="true" hidden="fals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3" min="23" style="0" width="6.82"/>
    <col collapsed="false" customWidth="true" hidden="false" outlineLevel="0" max="25" min="24" style="0" width="7.82"/>
    <col collapsed="false" customWidth="true" hidden="false" outlineLevel="0" max="26" min="26" style="107" width="8.16"/>
    <col collapsed="false" customWidth="true" hidden="false" outlineLevel="0" max="27" min="27" style="2" width="4.67"/>
    <col collapsed="false" customWidth="true" hidden="false" outlineLevel="0" max="28" min="28" style="4" width="4.67"/>
    <col collapsed="false" customWidth="true" hidden="false" outlineLevel="0" max="29" min="29" style="5" width="4.67"/>
    <col collapsed="false" customWidth="true" hidden="false" outlineLevel="0" max="30" min="30" style="0" width="5.67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11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6"/>
      <c r="Z1" s="10"/>
      <c r="AA1" s="11"/>
      <c r="AB1" s="12"/>
      <c r="AC1" s="13"/>
      <c r="AD1" s="108"/>
      <c r="AE1" s="108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11"/>
      <c r="I2" s="6"/>
      <c r="J2" s="6"/>
      <c r="K2" s="109" t="s">
        <v>79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6"/>
      <c r="X2" s="6"/>
      <c r="Y2" s="6"/>
      <c r="Z2" s="10"/>
      <c r="AA2" s="11"/>
      <c r="AB2" s="12"/>
      <c r="AC2" s="13"/>
      <c r="AD2" s="108"/>
      <c r="AE2" s="108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11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6"/>
      <c r="Z3" s="10"/>
      <c r="AA3" s="11"/>
      <c r="AB3" s="12"/>
      <c r="AC3" s="13"/>
      <c r="AD3" s="108"/>
      <c r="AE3" s="108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10" t="s">
        <v>8</v>
      </c>
      <c r="H4" s="138" t="s">
        <v>9</v>
      </c>
      <c r="I4" s="110" t="s">
        <v>10</v>
      </c>
      <c r="J4" s="110" t="s">
        <v>11</v>
      </c>
      <c r="K4" s="110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7" t="s">
        <v>19</v>
      </c>
      <c r="X4" s="16" t="s">
        <v>10</v>
      </c>
      <c r="Y4" s="16" t="s">
        <v>11</v>
      </c>
      <c r="Z4" s="16" t="s">
        <v>12</v>
      </c>
      <c r="AA4" s="20" t="s">
        <v>20</v>
      </c>
      <c r="AB4" s="21" t="s">
        <v>21</v>
      </c>
      <c r="AC4" s="21" t="s">
        <v>22</v>
      </c>
      <c r="AD4" s="21" t="s">
        <v>3</v>
      </c>
      <c r="AE4" s="112" t="s">
        <v>80</v>
      </c>
      <c r="AF4" s="108"/>
    </row>
    <row r="5" customFormat="false" ht="11.1" hidden="false" customHeight="true" outlineLevel="0" collapsed="false">
      <c r="A5" s="22" t="s">
        <v>81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10" t="s">
        <v>28</v>
      </c>
      <c r="H5" s="138" t="s">
        <v>29</v>
      </c>
      <c r="I5" s="110" t="s">
        <v>30</v>
      </c>
      <c r="J5" s="110" t="s">
        <v>30</v>
      </c>
      <c r="K5" s="110" t="s">
        <v>30</v>
      </c>
      <c r="L5" s="16" t="s">
        <v>31</v>
      </c>
      <c r="M5" s="16" t="s">
        <v>32</v>
      </c>
      <c r="N5" s="16" t="s">
        <v>33</v>
      </c>
      <c r="O5" s="16" t="s">
        <v>34</v>
      </c>
      <c r="P5" s="16" t="s">
        <v>67</v>
      </c>
      <c r="Q5" s="16" t="s">
        <v>36</v>
      </c>
      <c r="R5" s="16" t="s">
        <v>37</v>
      </c>
      <c r="S5" s="16" t="s">
        <v>16</v>
      </c>
      <c r="T5" s="17" t="s">
        <v>38</v>
      </c>
      <c r="U5" s="16" t="s">
        <v>39</v>
      </c>
      <c r="V5" s="16" t="s">
        <v>40</v>
      </c>
      <c r="W5" s="17" t="s">
        <v>41</v>
      </c>
      <c r="X5" s="16" t="s">
        <v>42</v>
      </c>
      <c r="Y5" s="16" t="s">
        <v>42</v>
      </c>
      <c r="Z5" s="16" t="s">
        <v>42</v>
      </c>
      <c r="AA5" s="24"/>
      <c r="AB5" s="21" t="s">
        <v>43</v>
      </c>
      <c r="AC5" s="21" t="s">
        <v>43</v>
      </c>
      <c r="AD5" s="25" t="s">
        <v>81</v>
      </c>
      <c r="AE5" s="112" t="s">
        <v>82</v>
      </c>
      <c r="AF5" s="108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39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7"/>
      <c r="X6" s="26"/>
      <c r="Y6" s="26"/>
      <c r="Z6" s="26"/>
      <c r="AA6" s="11"/>
      <c r="AB6" s="13"/>
      <c r="AC6" s="13"/>
      <c r="AD6" s="13"/>
      <c r="AG6" s="140"/>
    </row>
    <row r="7" customFormat="false" ht="11.1" hidden="false" customHeight="true" outlineLevel="0" collapsed="false">
      <c r="A7" s="6" t="s">
        <v>44</v>
      </c>
      <c r="B7" s="6"/>
      <c r="C7" s="7"/>
      <c r="D7" s="7"/>
      <c r="E7" s="7"/>
      <c r="F7" s="7" t="n">
        <f aca="false">MAY!F45</f>
        <v>-5686.41290647845</v>
      </c>
      <c r="G7" s="7" t="n">
        <f aca="false">MAY!G45</f>
        <v>17882</v>
      </c>
      <c r="H7" s="11" t="n">
        <f aca="false">MAY!H45</f>
        <v>27.82</v>
      </c>
      <c r="I7" s="7" t="n">
        <f aca="false">MAY!I45</f>
        <v>17909.82</v>
      </c>
      <c r="J7" s="7" t="n">
        <f aca="false">MAY!J45</f>
        <v>324.784476934711</v>
      </c>
      <c r="K7" s="7" t="n">
        <f aca="false">MAY!K45</f>
        <v>18234.6044769347</v>
      </c>
      <c r="L7" s="7" t="n">
        <f aca="false">MAY!L45</f>
        <v>-1129.37290647845</v>
      </c>
      <c r="M7" s="7" t="n">
        <f aca="false">MAY!M45</f>
        <v>10335</v>
      </c>
      <c r="N7" s="7" t="n">
        <f aca="false">MAY!N45</f>
        <v>13.1</v>
      </c>
      <c r="O7" s="7" t="n">
        <f aca="false">MAY!O45</f>
        <v>2485.045</v>
      </c>
      <c r="P7" s="7" t="n">
        <f aca="false">MAY!P45</f>
        <v>7836.855</v>
      </c>
      <c r="Q7" s="7" t="n">
        <f aca="false">MAY!Q45</f>
        <v>2886</v>
      </c>
      <c r="R7" s="7" t="n">
        <f aca="false">MAY!R45</f>
        <v>2153</v>
      </c>
      <c r="S7" s="7" t="n">
        <f aca="false">MAY!S45</f>
        <v>12875.855</v>
      </c>
      <c r="T7" s="7" t="n">
        <f aca="false">MAY!T45</f>
        <v>5033.965</v>
      </c>
      <c r="U7" s="7" t="n">
        <f aca="false">MAY!U45</f>
        <v>5671.86</v>
      </c>
      <c r="V7" s="7" t="n">
        <f aca="false">MAY!V45</f>
        <v>1421</v>
      </c>
      <c r="W7" s="7"/>
      <c r="X7" s="7" t="n">
        <f aca="false">MAY!X45</f>
        <v>22466.86</v>
      </c>
      <c r="Y7" s="7" t="n">
        <f aca="false">MAY!Y45</f>
        <v>1454.15738341316</v>
      </c>
      <c r="Z7" s="7" t="n">
        <f aca="false">MAY!Z45</f>
        <v>23921.0173834132</v>
      </c>
      <c r="AA7" s="11"/>
      <c r="AB7" s="12"/>
      <c r="AC7" s="12"/>
      <c r="AD7" s="13"/>
      <c r="AE7" s="113"/>
      <c r="AG7" s="141"/>
    </row>
    <row r="8" s="1" customFormat="true" ht="11.1" hidden="false" customHeight="true" outlineLevel="0" collapsed="false">
      <c r="A8" s="7" t="s">
        <v>45</v>
      </c>
      <c r="B8" s="31" t="n">
        <f aca="false">MAY!B40</f>
        <v>6873.12</v>
      </c>
      <c r="C8" s="7" t="n">
        <f aca="false">MAY!C40</f>
        <v>196287</v>
      </c>
      <c r="D8" s="7" t="n">
        <f aca="false">MAY!D49</f>
        <v>-9659</v>
      </c>
      <c r="E8" s="7" t="n">
        <f aca="false">MAY!E49</f>
        <v>44287</v>
      </c>
      <c r="F8" s="7" t="n">
        <f aca="false">MAY!F48</f>
        <v>-4869.67481724225</v>
      </c>
      <c r="G8" s="7" t="n">
        <f aca="false">MAY!G48</f>
        <v>24424</v>
      </c>
      <c r="H8" s="11" t="n">
        <f aca="false">MAY!H48</f>
        <v>63.35</v>
      </c>
      <c r="I8" s="7" t="n">
        <f aca="false">MAY!I48</f>
        <v>24439.82</v>
      </c>
      <c r="J8" s="7" t="n">
        <f aca="false">MAY!J48</f>
        <v>1731.3350768843</v>
      </c>
      <c r="K8" s="7" t="n">
        <f aca="false">MAY!K48</f>
        <v>26171.1550768843</v>
      </c>
      <c r="L8" s="7" t="n">
        <f aca="false">MAY!L48</f>
        <v>-858.554817242248</v>
      </c>
      <c r="M8" s="7" t="n">
        <f aca="false">MAY!M48</f>
        <v>11530.58</v>
      </c>
      <c r="N8" s="7" t="n">
        <f aca="false">MAY!N48</f>
        <v>18.18</v>
      </c>
      <c r="O8" s="7" t="n">
        <f aca="false">MAY!O48</f>
        <v>2996.38</v>
      </c>
      <c r="P8" s="7" t="n">
        <f aca="false">MAY!P48</f>
        <v>8918.22</v>
      </c>
      <c r="Q8" s="7" t="n">
        <f aca="false">MAY!Q48</f>
        <v>2886</v>
      </c>
      <c r="R8" s="7" t="n">
        <f aca="false">MAY!R48</f>
        <v>2280.5</v>
      </c>
      <c r="S8" s="7" t="n">
        <f aca="false">MAY!S48</f>
        <v>14084.72</v>
      </c>
      <c r="T8" s="7" t="n">
        <f aca="false">MAY!T48</f>
        <v>0</v>
      </c>
      <c r="U8" s="7" t="n">
        <f aca="false">MAY!U48</f>
        <v>5671.86</v>
      </c>
      <c r="V8" s="7" t="n">
        <f aca="false">MAY!V48</f>
        <v>6082</v>
      </c>
      <c r="W8" s="7" t="n">
        <f aca="false">MAY!W48</f>
        <v>4612.778674061</v>
      </c>
      <c r="X8" s="7" t="n">
        <f aca="false">MAY!X48</f>
        <v>28450.94</v>
      </c>
      <c r="Y8" s="7" t="n">
        <f aca="false">MAY!Y48</f>
        <v>2589.88989412654</v>
      </c>
      <c r="Z8" s="7" t="n">
        <f aca="false">MAY!Z48</f>
        <v>31040.8298941265</v>
      </c>
      <c r="AA8" s="11" t="n">
        <f aca="false">MAY!AA48</f>
        <v>3.6</v>
      </c>
      <c r="AB8" s="12"/>
      <c r="AC8" s="12"/>
      <c r="AD8" s="13"/>
      <c r="AE8" s="142"/>
      <c r="AF8" s="142"/>
    </row>
    <row r="9" customFormat="false" ht="3" hidden="false" customHeight="true" outlineLevel="0" collapsed="false">
      <c r="A9" s="32"/>
      <c r="B9" s="33"/>
      <c r="C9" s="34"/>
      <c r="D9" s="32"/>
      <c r="E9" s="34"/>
      <c r="F9" s="32"/>
      <c r="G9" s="32"/>
      <c r="H9" s="36"/>
      <c r="I9" s="32"/>
      <c r="J9" s="32"/>
      <c r="K9" s="32"/>
      <c r="L9" s="32"/>
      <c r="M9" s="32"/>
      <c r="N9" s="32"/>
      <c r="O9" s="32" t="n">
        <v>0</v>
      </c>
      <c r="P9" s="32"/>
      <c r="Q9" s="32"/>
      <c r="R9" s="32" t="n">
        <v>0</v>
      </c>
      <c r="S9" s="32"/>
      <c r="T9" s="34"/>
      <c r="U9" s="32"/>
      <c r="V9" s="32"/>
      <c r="W9" s="34"/>
      <c r="X9" s="32"/>
      <c r="Y9" s="32"/>
      <c r="Z9" s="32"/>
      <c r="AA9" s="36"/>
      <c r="AB9" s="37"/>
      <c r="AC9" s="37"/>
      <c r="AD9" s="38"/>
      <c r="AE9" s="108"/>
      <c r="AF9" s="108"/>
    </row>
    <row r="10" customFormat="false" ht="11.1" hidden="false" customHeight="true" outlineLevel="0" collapsed="false">
      <c r="A10" s="13" t="n">
        <v>1</v>
      </c>
      <c r="B10" s="31" t="n">
        <v>6872.82</v>
      </c>
      <c r="C10" s="7" t="n">
        <v>195457</v>
      </c>
      <c r="D10" s="12" t="n">
        <f aca="false">C10-C8</f>
        <v>-830</v>
      </c>
      <c r="E10" s="7" t="n">
        <f aca="false">C10-152000</f>
        <v>43457</v>
      </c>
      <c r="F10" s="6" t="n">
        <f aca="false">D10/$D$2</f>
        <v>-418.452230904966</v>
      </c>
      <c r="G10" s="6" t="n">
        <v>169</v>
      </c>
      <c r="H10" s="11" t="n">
        <v>0</v>
      </c>
      <c r="I10" s="6" t="n">
        <f aca="false">G10+H10</f>
        <v>169</v>
      </c>
      <c r="J10" s="114" t="n">
        <f aca="false">IF(L10&gt;0,L10,0)</f>
        <v>13.8777690950341</v>
      </c>
      <c r="K10" s="6" t="n">
        <f aca="false">I10+J10</f>
        <v>182.877769095034</v>
      </c>
      <c r="L10" s="6" t="n">
        <f aca="false">F10-(I10-X10)</f>
        <v>13.8777690950341</v>
      </c>
      <c r="M10" s="6" t="n">
        <v>235</v>
      </c>
      <c r="N10" s="6" t="n">
        <v>0</v>
      </c>
      <c r="O10" s="53" t="n">
        <f aca="false">1.97*1.05</f>
        <v>2.0685</v>
      </c>
      <c r="P10" s="6" t="n">
        <f aca="false">M10-(N10+O10)</f>
        <v>232.9315</v>
      </c>
      <c r="Q10" s="6" t="n">
        <v>117</v>
      </c>
      <c r="R10" s="6" t="n">
        <v>80</v>
      </c>
      <c r="S10" s="6" t="n">
        <f aca="false">SUM(P10:R10)</f>
        <v>429.9315</v>
      </c>
      <c r="T10" s="7" t="n">
        <f aca="false">T7+AE10</f>
        <v>4773.0335</v>
      </c>
      <c r="U10" s="6" t="n">
        <v>154.33</v>
      </c>
      <c r="V10" s="115" t="n">
        <v>15</v>
      </c>
      <c r="W10" s="116" t="n">
        <f aca="false">W8-V10</f>
        <v>4597.778674061</v>
      </c>
      <c r="X10" s="6" t="n">
        <f aca="false">N10+O10+S10+U10+V10</f>
        <v>601.33</v>
      </c>
      <c r="Y10" s="6" t="n">
        <f aca="false">IF(L10&lt;0,L10*-1,0)</f>
        <v>0</v>
      </c>
      <c r="Z10" s="6" t="n">
        <f aca="false">X10+Y10</f>
        <v>601.33</v>
      </c>
      <c r="AA10" s="11" t="n">
        <v>0</v>
      </c>
      <c r="AB10" s="12" t="n">
        <v>93</v>
      </c>
      <c r="AC10" s="12" t="n">
        <v>52</v>
      </c>
      <c r="AD10" s="13" t="n">
        <v>1</v>
      </c>
      <c r="AE10" s="12" t="n">
        <f aca="false">IF(I10&gt;S10,I10-S10,I10-S10)</f>
        <v>-260.9315</v>
      </c>
      <c r="AF10" s="12"/>
      <c r="AG10" s="143"/>
      <c r="AH10" s="6"/>
    </row>
    <row r="11" customFormat="false" ht="11.1" hidden="false" customHeight="true" outlineLevel="0" collapsed="false">
      <c r="A11" s="13" t="n">
        <f aca="false">A10+1</f>
        <v>2</v>
      </c>
      <c r="B11" s="31" t="n">
        <v>6872.54</v>
      </c>
      <c r="C11" s="7" t="n">
        <v>194687</v>
      </c>
      <c r="D11" s="12" t="n">
        <f aca="false">C11-C10</f>
        <v>-770</v>
      </c>
      <c r="E11" s="7" t="n">
        <f aca="false">C11-152000</f>
        <v>42687</v>
      </c>
      <c r="F11" s="6" t="n">
        <f aca="false">D11/$D$2</f>
        <v>-388.202672044366</v>
      </c>
      <c r="G11" s="6" t="n">
        <v>161</v>
      </c>
      <c r="H11" s="11" t="n">
        <v>0</v>
      </c>
      <c r="I11" s="6" t="n">
        <f aca="false">G11+H11</f>
        <v>161</v>
      </c>
      <c r="J11" s="114" t="n">
        <f aca="false">IF(L11&gt;0,L11,0)</f>
        <v>8.82732795563396</v>
      </c>
      <c r="K11" s="6" t="n">
        <f aca="false">I11+J11</f>
        <v>169.827327955634</v>
      </c>
      <c r="L11" s="6" t="n">
        <f aca="false">F11-(I11-X11)</f>
        <v>8.82732795563396</v>
      </c>
      <c r="M11" s="6" t="n">
        <v>226</v>
      </c>
      <c r="N11" s="6" t="n">
        <v>0</v>
      </c>
      <c r="O11" s="53" t="n">
        <f aca="false">6.57*1.05</f>
        <v>6.8985</v>
      </c>
      <c r="P11" s="6" t="n">
        <f aca="false">M11-(N11+O11)</f>
        <v>219.1015</v>
      </c>
      <c r="Q11" s="6" t="n">
        <v>129</v>
      </c>
      <c r="R11" s="6" t="n">
        <v>81</v>
      </c>
      <c r="S11" s="6" t="n">
        <f aca="false">SUM(P11:R11)</f>
        <v>429.1015</v>
      </c>
      <c r="T11" s="54" t="n">
        <f aca="false">T10+AE11</f>
        <v>4504.932</v>
      </c>
      <c r="U11" s="6" t="n">
        <v>107.03</v>
      </c>
      <c r="V11" s="115" t="n">
        <v>15</v>
      </c>
      <c r="W11" s="116" t="n">
        <f aca="false">W10-V11</f>
        <v>4582.778674061</v>
      </c>
      <c r="X11" s="6" t="n">
        <f aca="false">N11+O11+S11+U11+V11</f>
        <v>558.03</v>
      </c>
      <c r="Y11" s="6" t="n">
        <f aca="false">IF(L11&lt;0,L11*-1,0)</f>
        <v>0</v>
      </c>
      <c r="Z11" s="6" t="n">
        <f aca="false">X11+Y11</f>
        <v>558.03</v>
      </c>
      <c r="AA11" s="11" t="n">
        <v>0</v>
      </c>
      <c r="AB11" s="12" t="n">
        <v>92</v>
      </c>
      <c r="AC11" s="12" t="n">
        <v>54</v>
      </c>
      <c r="AD11" s="13" t="n">
        <f aca="false">AD10+1</f>
        <v>2</v>
      </c>
      <c r="AE11" s="12" t="n">
        <f aca="false">IF(I11&gt;S11,I11-S11,I11-S11)</f>
        <v>-268.1015</v>
      </c>
      <c r="AF11" s="12"/>
      <c r="AH11" s="6"/>
    </row>
    <row r="12" customFormat="false" ht="11.1" hidden="false" customHeight="true" outlineLevel="0" collapsed="false">
      <c r="A12" s="13" t="n">
        <f aca="false">A11+1</f>
        <v>3</v>
      </c>
      <c r="B12" s="31" t="n">
        <v>6872.19</v>
      </c>
      <c r="C12" s="7" t="n">
        <v>193724</v>
      </c>
      <c r="D12" s="12" t="n">
        <f aca="false">C12-C11</f>
        <v>-963</v>
      </c>
      <c r="E12" s="7" t="n">
        <f aca="false">C12-152000</f>
        <v>41724</v>
      </c>
      <c r="F12" s="6" t="n">
        <f aca="false">D12/$D$2</f>
        <v>-485.505419712629</v>
      </c>
      <c r="G12" s="6" t="n">
        <v>143</v>
      </c>
      <c r="H12" s="11" t="n">
        <v>0</v>
      </c>
      <c r="I12" s="6" t="n">
        <f aca="false">G12+H12</f>
        <v>143</v>
      </c>
      <c r="J12" s="114" t="n">
        <f aca="false">IF(L12&gt;0,L12,0)</f>
        <v>0</v>
      </c>
      <c r="K12" s="6" t="n">
        <f aca="false">I12+J12</f>
        <v>143</v>
      </c>
      <c r="L12" s="6" t="n">
        <f aca="false">F12-(I12-X12)</f>
        <v>-53.6554197126293</v>
      </c>
      <c r="M12" s="6" t="n">
        <v>226</v>
      </c>
      <c r="N12" s="6" t="n">
        <v>2.5</v>
      </c>
      <c r="O12" s="6" t="n">
        <f aca="false">1.29*1.05</f>
        <v>1.3545</v>
      </c>
      <c r="P12" s="6" t="n">
        <f aca="false">M12-(N12+O12)</f>
        <v>222.1455</v>
      </c>
      <c r="Q12" s="6" t="n">
        <v>128</v>
      </c>
      <c r="R12" s="6" t="n">
        <v>78</v>
      </c>
      <c r="S12" s="6" t="n">
        <f aca="false">SUM(P12:R12)</f>
        <v>428.1455</v>
      </c>
      <c r="T12" s="54" t="n">
        <f aca="false">T11+AE12</f>
        <v>4219.7865</v>
      </c>
      <c r="U12" s="6" t="n">
        <v>127.85</v>
      </c>
      <c r="V12" s="115" t="n">
        <v>15</v>
      </c>
      <c r="W12" s="116" t="n">
        <f aca="false">W11-V12</f>
        <v>4567.778674061</v>
      </c>
      <c r="X12" s="6" t="n">
        <f aca="false">N12+O12+S12+U12+V12</f>
        <v>574.85</v>
      </c>
      <c r="Y12" s="6" t="n">
        <f aca="false">IF(L12&lt;0,L12*-1,0)</f>
        <v>53.6554197126293</v>
      </c>
      <c r="Z12" s="6" t="n">
        <f aca="false">X12+Y12</f>
        <v>628.505419712629</v>
      </c>
      <c r="AA12" s="11" t="n">
        <v>0</v>
      </c>
      <c r="AB12" s="12" t="n">
        <v>80</v>
      </c>
      <c r="AC12" s="12" t="n">
        <v>47</v>
      </c>
      <c r="AD12" s="13" t="n">
        <f aca="false">AD11+1</f>
        <v>3</v>
      </c>
      <c r="AE12" s="12" t="n">
        <f aca="false">IF(I12&gt;S12,I12-S12,I12-S12)</f>
        <v>-285.1455</v>
      </c>
      <c r="AF12" s="12"/>
      <c r="AH12" s="6"/>
    </row>
    <row r="13" customFormat="false" ht="11.1" hidden="false" customHeight="true" outlineLevel="0" collapsed="false">
      <c r="A13" s="13" t="n">
        <f aca="false">A12+1</f>
        <v>4</v>
      </c>
      <c r="B13" s="31" t="n">
        <v>6871.86</v>
      </c>
      <c r="C13" s="7" t="n">
        <v>192820</v>
      </c>
      <c r="D13" s="12" t="n">
        <f aca="false">C13-C12</f>
        <v>-904</v>
      </c>
      <c r="E13" s="7" t="n">
        <f aca="false">C13-152000</f>
        <v>40820</v>
      </c>
      <c r="F13" s="6" t="n">
        <f aca="false">D13/$D$2</f>
        <v>-455.760020166373</v>
      </c>
      <c r="G13" s="6" t="n">
        <v>132</v>
      </c>
      <c r="H13" s="11" t="n">
        <v>0</v>
      </c>
      <c r="I13" s="6" t="n">
        <f aca="false">G13+H13</f>
        <v>132</v>
      </c>
      <c r="J13" s="114" t="n">
        <f aca="false">IF(L13&gt;0,L13,0)</f>
        <v>0</v>
      </c>
      <c r="K13" s="6" t="n">
        <f aca="false">I13+J13</f>
        <v>132</v>
      </c>
      <c r="L13" s="6" t="n">
        <f aca="false">F13-(I13-X13)</f>
        <v>-40.4100201663725</v>
      </c>
      <c r="M13" s="6" t="n">
        <v>217</v>
      </c>
      <c r="N13" s="6" t="n">
        <v>2.5</v>
      </c>
      <c r="O13" s="6" t="n">
        <f aca="false">1.38*1.05</f>
        <v>1.449</v>
      </c>
      <c r="P13" s="6" t="n">
        <f aca="false">M13-(N13+O13)</f>
        <v>213.051</v>
      </c>
      <c r="Q13" s="6" t="n">
        <v>128</v>
      </c>
      <c r="R13" s="6" t="n">
        <v>77</v>
      </c>
      <c r="S13" s="6" t="n">
        <f aca="false">SUM(P13:R13)</f>
        <v>418.051</v>
      </c>
      <c r="T13" s="54" t="n">
        <f aca="false">T12+AE13</f>
        <v>3933.7355</v>
      </c>
      <c r="U13" s="6" t="n">
        <v>111.35</v>
      </c>
      <c r="V13" s="115" t="n">
        <v>14</v>
      </c>
      <c r="W13" s="116" t="n">
        <f aca="false">W12-V13</f>
        <v>4553.778674061</v>
      </c>
      <c r="X13" s="6" t="n">
        <f aca="false">N13+O13+S13+U13+V13</f>
        <v>547.35</v>
      </c>
      <c r="Y13" s="6" t="n">
        <f aca="false">IF(L13&lt;0,L13*-1,0)</f>
        <v>40.4100201663725</v>
      </c>
      <c r="Z13" s="6" t="n">
        <f aca="false">X13+Y13</f>
        <v>587.760020166373</v>
      </c>
      <c r="AA13" s="11" t="n">
        <v>0</v>
      </c>
      <c r="AB13" s="12" t="n">
        <v>72</v>
      </c>
      <c r="AC13" s="12" t="n">
        <v>42</v>
      </c>
      <c r="AD13" s="13" t="n">
        <f aca="false">AD12+1</f>
        <v>4</v>
      </c>
      <c r="AE13" s="12" t="n">
        <f aca="false">IF(I13&gt;S13,I13-S13,I13-S13)</f>
        <v>-286.051</v>
      </c>
      <c r="AF13" s="12"/>
      <c r="AH13" s="6"/>
    </row>
    <row r="14" customFormat="false" ht="11.1" hidden="false" customHeight="true" outlineLevel="0" collapsed="false">
      <c r="A14" s="13" t="n">
        <f aca="false">A13+1</f>
        <v>5</v>
      </c>
      <c r="B14" s="31" t="n">
        <v>6871.52</v>
      </c>
      <c r="C14" s="7" t="n">
        <v>191897</v>
      </c>
      <c r="D14" s="12" t="n">
        <f aca="false">C14-C13</f>
        <v>-923</v>
      </c>
      <c r="E14" s="7" t="n">
        <f aca="false">C14-152000</f>
        <v>39897</v>
      </c>
      <c r="F14" s="6" t="n">
        <f aca="false">D14/$D$2</f>
        <v>-465.339047138896</v>
      </c>
      <c r="G14" s="6" t="n">
        <v>118</v>
      </c>
      <c r="H14" s="11" t="n">
        <v>0</v>
      </c>
      <c r="I14" s="6" t="n">
        <f aca="false">G14+H14</f>
        <v>118</v>
      </c>
      <c r="J14" s="114" t="n">
        <f aca="false">IF(L14&gt;0,L14,0)</f>
        <v>0</v>
      </c>
      <c r="K14" s="6" t="n">
        <f aca="false">I14+J14</f>
        <v>118</v>
      </c>
      <c r="L14" s="6" t="n">
        <f aca="false">F14-(I14-X14)</f>
        <v>-29.6490471388958</v>
      </c>
      <c r="M14" s="6" t="n">
        <v>206</v>
      </c>
      <c r="N14" s="6" t="n">
        <v>0</v>
      </c>
      <c r="O14" s="6" t="n">
        <v>0</v>
      </c>
      <c r="P14" s="6" t="n">
        <f aca="false">M14-(N14+O14)</f>
        <v>206</v>
      </c>
      <c r="Q14" s="6" t="n">
        <v>126</v>
      </c>
      <c r="R14" s="6" t="n">
        <v>77</v>
      </c>
      <c r="S14" s="6" t="n">
        <f aca="false">SUM(P14:R14)</f>
        <v>409</v>
      </c>
      <c r="T14" s="54" t="n">
        <f aca="false">T13+AE14</f>
        <v>3642.7355</v>
      </c>
      <c r="U14" s="6" t="n">
        <v>130.69</v>
      </c>
      <c r="V14" s="115" t="n">
        <v>14</v>
      </c>
      <c r="W14" s="116" t="n">
        <f aca="false">W13-V14</f>
        <v>4539.778674061</v>
      </c>
      <c r="X14" s="6" t="n">
        <f aca="false">N14+O14+S14+U14+V14</f>
        <v>553.69</v>
      </c>
      <c r="Y14" s="6" t="n">
        <f aca="false">IF(L14&lt;0,L14*-1,0)</f>
        <v>29.6490471388958</v>
      </c>
      <c r="Z14" s="6" t="n">
        <f aca="false">X14+Y14</f>
        <v>583.339047138896</v>
      </c>
      <c r="AA14" s="11" t="n">
        <v>0</v>
      </c>
      <c r="AB14" s="12" t="n">
        <v>79</v>
      </c>
      <c r="AC14" s="12" t="n">
        <v>42</v>
      </c>
      <c r="AD14" s="13" t="n">
        <v>5</v>
      </c>
      <c r="AE14" s="12" t="n">
        <f aca="false">IF(I14&gt;S14,I14-S14,I14-S14)</f>
        <v>-291</v>
      </c>
      <c r="AF14" s="12"/>
      <c r="AH14" s="6"/>
    </row>
    <row r="15" customFormat="false" ht="11.1" hidden="false" customHeight="true" outlineLevel="0" collapsed="false">
      <c r="A15" s="13" t="n">
        <f aca="false">A14+1</f>
        <v>6</v>
      </c>
      <c r="B15" s="31" t="n">
        <v>6871.12</v>
      </c>
      <c r="C15" s="7" t="n">
        <v>190810</v>
      </c>
      <c r="D15" s="12" t="n">
        <f aca="false">C15-C14</f>
        <v>-1087</v>
      </c>
      <c r="E15" s="7" t="n">
        <f aca="false">C15-152000</f>
        <v>38810</v>
      </c>
      <c r="F15" s="6" t="n">
        <f aca="false">D15/$D$2</f>
        <v>-548.021174691202</v>
      </c>
      <c r="G15" s="6" t="n">
        <v>105</v>
      </c>
      <c r="H15" s="11" t="n">
        <v>0</v>
      </c>
      <c r="I15" s="6" t="n">
        <f aca="false">G15+H15</f>
        <v>105</v>
      </c>
      <c r="J15" s="114" t="n">
        <f aca="false">IF(L15&gt;0,L15,0)</f>
        <v>0</v>
      </c>
      <c r="K15" s="6" t="n">
        <f aca="false">I15+J15</f>
        <v>105</v>
      </c>
      <c r="L15" s="6" t="n">
        <f aca="false">F15-(I15-X15)</f>
        <v>-37.6711746912024</v>
      </c>
      <c r="M15" s="6" t="n">
        <v>234</v>
      </c>
      <c r="N15" s="6" t="n">
        <v>0</v>
      </c>
      <c r="O15" s="6" t="n">
        <v>0</v>
      </c>
      <c r="P15" s="6" t="n">
        <f aca="false">M15-(N15+O15)</f>
        <v>234</v>
      </c>
      <c r="Q15" s="6" t="n">
        <v>152</v>
      </c>
      <c r="R15" s="6" t="n">
        <v>84</v>
      </c>
      <c r="S15" s="6" t="n">
        <f aca="false">SUM(P15:R15)</f>
        <v>470</v>
      </c>
      <c r="T15" s="54" t="n">
        <f aca="false">T14+AE15</f>
        <v>3277.7355</v>
      </c>
      <c r="U15" s="6" t="n">
        <v>130.35</v>
      </c>
      <c r="V15" s="115" t="n">
        <v>15</v>
      </c>
      <c r="W15" s="116" t="n">
        <f aca="false">W14-V15</f>
        <v>4524.778674061</v>
      </c>
      <c r="X15" s="6" t="n">
        <f aca="false">N15+O15+S15+U15+V15</f>
        <v>615.35</v>
      </c>
      <c r="Y15" s="6" t="n">
        <f aca="false">IF(L15&lt;0,L15*-1,0)</f>
        <v>37.6711746912024</v>
      </c>
      <c r="Z15" s="6" t="n">
        <f aca="false">X15+Y15</f>
        <v>653.021174691202</v>
      </c>
      <c r="AA15" s="11" t="n">
        <v>0</v>
      </c>
      <c r="AB15" s="12" t="n">
        <v>85</v>
      </c>
      <c r="AC15" s="12" t="n">
        <v>47</v>
      </c>
      <c r="AD15" s="13" t="n">
        <f aca="false">AD14+1</f>
        <v>6</v>
      </c>
      <c r="AE15" s="12" t="n">
        <f aca="false">IF(I15&gt;S15,I15-S15,I15-S15)</f>
        <v>-365</v>
      </c>
      <c r="AF15" s="12"/>
      <c r="AH15" s="6"/>
    </row>
    <row r="16" customFormat="false" ht="11.1" hidden="false" customHeight="true" outlineLevel="0" collapsed="false">
      <c r="A16" s="13" t="n">
        <f aca="false">A15+1</f>
        <v>7</v>
      </c>
      <c r="B16" s="31" t="n">
        <v>6870.74</v>
      </c>
      <c r="C16" s="7" t="n">
        <v>189787</v>
      </c>
      <c r="D16" s="12" t="n">
        <f aca="false">C16-C15</f>
        <v>-1023</v>
      </c>
      <c r="E16" s="7" t="n">
        <f aca="false">C16-152000</f>
        <v>37787</v>
      </c>
      <c r="F16" s="6" t="n">
        <f aca="false">D16/$D$2</f>
        <v>-515.754978573229</v>
      </c>
      <c r="G16" s="6" t="n">
        <v>97</v>
      </c>
      <c r="H16" s="11" t="n">
        <v>0</v>
      </c>
      <c r="I16" s="6" t="n">
        <f aca="false">G16+H16</f>
        <v>97</v>
      </c>
      <c r="J16" s="114" t="n">
        <f aca="false">IF(L16&gt;0,L16,0)</f>
        <v>0</v>
      </c>
      <c r="K16" s="6" t="n">
        <f aca="false">I16+J16</f>
        <v>97</v>
      </c>
      <c r="L16" s="6" t="n">
        <f aca="false">F16-(I16-X16)</f>
        <v>-29.0349785732291</v>
      </c>
      <c r="M16" s="6" t="n">
        <v>207</v>
      </c>
      <c r="N16" s="6" t="n">
        <v>0</v>
      </c>
      <c r="O16" s="6" t="n">
        <v>0</v>
      </c>
      <c r="P16" s="6" t="n">
        <f aca="false">M16-(N16+O16)</f>
        <v>207</v>
      </c>
      <c r="Q16" s="6" t="n">
        <v>168</v>
      </c>
      <c r="R16" s="6" t="n">
        <v>86</v>
      </c>
      <c r="S16" s="6" t="n">
        <f aca="false">SUM(P16:R16)</f>
        <v>461</v>
      </c>
      <c r="T16" s="54" t="n">
        <f aca="false">T15+AE16</f>
        <v>2913.7355</v>
      </c>
      <c r="U16" s="6" t="n">
        <v>108.72</v>
      </c>
      <c r="V16" s="115" t="n">
        <v>14</v>
      </c>
      <c r="W16" s="116" t="n">
        <f aca="false">W15-V16</f>
        <v>4510.778674061</v>
      </c>
      <c r="X16" s="6" t="n">
        <f aca="false">N16+O16+S16+U16+V16</f>
        <v>583.72</v>
      </c>
      <c r="Y16" s="6" t="n">
        <f aca="false">IF(L16&lt;0,L16*-1,0)</f>
        <v>29.0349785732291</v>
      </c>
      <c r="Z16" s="6" t="n">
        <f aca="false">X16+Y16</f>
        <v>612.754978573229</v>
      </c>
      <c r="AA16" s="11" t="n">
        <v>0</v>
      </c>
      <c r="AB16" s="12" t="n">
        <v>87</v>
      </c>
      <c r="AC16" s="12" t="n">
        <v>51</v>
      </c>
      <c r="AD16" s="13" t="n">
        <f aca="false">AD15+1</f>
        <v>7</v>
      </c>
      <c r="AE16" s="12" t="n">
        <f aca="false">IF(I16&gt;S16,I16-S16,I16-S16)</f>
        <v>-364</v>
      </c>
      <c r="AF16" s="12"/>
      <c r="AH16" s="6"/>
    </row>
    <row r="17" customFormat="false" ht="11.1" hidden="false" customHeight="true" outlineLevel="0" collapsed="false">
      <c r="A17" s="13" t="n">
        <f aca="false">A16+1</f>
        <v>8</v>
      </c>
      <c r="B17" s="31" t="n">
        <v>6870.38</v>
      </c>
      <c r="C17" s="7" t="n">
        <v>188822</v>
      </c>
      <c r="D17" s="12" t="n">
        <f aca="false">C17-C16</f>
        <v>-965</v>
      </c>
      <c r="E17" s="7" t="n">
        <f aca="false">C17-152000</f>
        <v>36822</v>
      </c>
      <c r="F17" s="6" t="n">
        <f aca="false">D17/$D$2</f>
        <v>-486.513738341316</v>
      </c>
      <c r="G17" s="6" t="n">
        <v>91</v>
      </c>
      <c r="H17" s="11" t="n">
        <v>0</v>
      </c>
      <c r="I17" s="6" t="n">
        <f aca="false">G17+H17</f>
        <v>91</v>
      </c>
      <c r="J17" s="114" t="n">
        <f aca="false">IF(L17&gt;0,L17,0)</f>
        <v>0</v>
      </c>
      <c r="K17" s="6" t="n">
        <f aca="false">I17+J17</f>
        <v>91</v>
      </c>
      <c r="L17" s="6" t="n">
        <f aca="false">F17-(I17-X17)</f>
        <v>-16.5737383413158</v>
      </c>
      <c r="M17" s="6" t="n">
        <v>216</v>
      </c>
      <c r="N17" s="6" t="n">
        <v>0</v>
      </c>
      <c r="O17" s="6" t="n">
        <v>0</v>
      </c>
      <c r="P17" s="6" t="n">
        <f aca="false">M17-(N17+O17)</f>
        <v>216</v>
      </c>
      <c r="Q17" s="6" t="n">
        <v>168</v>
      </c>
      <c r="R17" s="6" t="n">
        <v>86</v>
      </c>
      <c r="S17" s="6" t="n">
        <f aca="false">SUM(P17:R17)</f>
        <v>470</v>
      </c>
      <c r="T17" s="54" t="n">
        <f aca="false">T16+AE17</f>
        <v>2534.7355</v>
      </c>
      <c r="U17" s="6" t="n">
        <v>76.94</v>
      </c>
      <c r="V17" s="115" t="n">
        <v>14</v>
      </c>
      <c r="W17" s="116" t="n">
        <f aca="false">W16-V17</f>
        <v>4496.778674061</v>
      </c>
      <c r="X17" s="6" t="n">
        <f aca="false">N17+O17+S17+U17+V17</f>
        <v>560.94</v>
      </c>
      <c r="Y17" s="6" t="n">
        <f aca="false">IF(L17&lt;0,L17*-1,0)</f>
        <v>16.5737383413158</v>
      </c>
      <c r="Z17" s="6" t="n">
        <f aca="false">X17+Y17</f>
        <v>577.513738341316</v>
      </c>
      <c r="AA17" s="11" t="n">
        <v>0</v>
      </c>
      <c r="AB17" s="12" t="n">
        <v>87</v>
      </c>
      <c r="AC17" s="12" t="n">
        <v>50</v>
      </c>
      <c r="AD17" s="13" t="n">
        <f aca="false">AD16+1</f>
        <v>8</v>
      </c>
      <c r="AE17" s="12" t="n">
        <f aca="false">IF(I17&gt;S17,I17-S17,I17-S17)</f>
        <v>-379</v>
      </c>
      <c r="AF17" s="12"/>
      <c r="AH17" s="6"/>
    </row>
    <row r="18" customFormat="false" ht="11.1" hidden="false" customHeight="true" outlineLevel="0" collapsed="false">
      <c r="A18" s="13" t="n">
        <f aca="false">A17+1</f>
        <v>9</v>
      </c>
      <c r="B18" s="31" t="n">
        <v>6870.01</v>
      </c>
      <c r="C18" s="7" t="n">
        <v>187830</v>
      </c>
      <c r="D18" s="12" t="n">
        <f aca="false">C18-C17</f>
        <v>-992</v>
      </c>
      <c r="E18" s="7" t="n">
        <f aca="false">C18-152000</f>
        <v>35830</v>
      </c>
      <c r="F18" s="6" t="n">
        <f aca="false">D18/$D$2</f>
        <v>-500.126039828586</v>
      </c>
      <c r="G18" s="6" t="n">
        <v>88</v>
      </c>
      <c r="H18" s="11" t="n">
        <v>0</v>
      </c>
      <c r="I18" s="6" t="n">
        <f aca="false">G18+H18</f>
        <v>88</v>
      </c>
      <c r="J18" s="114" t="n">
        <f aca="false">IF(L18&gt;0,L18,0)</f>
        <v>0</v>
      </c>
      <c r="K18" s="6" t="n">
        <f aca="false">I18+J18</f>
        <v>88</v>
      </c>
      <c r="L18" s="6" t="n">
        <f aca="false">F18-(I18-X18)</f>
        <v>-80.2260398285859</v>
      </c>
      <c r="M18" s="6" t="n">
        <v>205</v>
      </c>
      <c r="N18" s="6" t="n">
        <v>2.5</v>
      </c>
      <c r="O18" s="6" t="n">
        <f aca="false">1.34*1.05</f>
        <v>1.407</v>
      </c>
      <c r="P18" s="6" t="n">
        <f aca="false">M18-(N18+O18)</f>
        <v>201.093</v>
      </c>
      <c r="Q18" s="6" t="n">
        <v>168</v>
      </c>
      <c r="R18" s="6" t="n">
        <v>86</v>
      </c>
      <c r="S18" s="6" t="n">
        <f aca="false">SUM(P18:R18)</f>
        <v>455.093</v>
      </c>
      <c r="T18" s="54" t="n">
        <f aca="false">T17+AE18</f>
        <v>2167.6425</v>
      </c>
      <c r="U18" s="6" t="n">
        <v>34.9</v>
      </c>
      <c r="V18" s="115" t="n">
        <v>14</v>
      </c>
      <c r="W18" s="116" t="n">
        <f aca="false">W17-V18</f>
        <v>4482.778674061</v>
      </c>
      <c r="X18" s="6" t="n">
        <f aca="false">N18+O18+S18+U18+V18</f>
        <v>507.9</v>
      </c>
      <c r="Y18" s="6" t="n">
        <f aca="false">IF(L18&lt;0,L18*-1,0)</f>
        <v>80.2260398285859</v>
      </c>
      <c r="Z18" s="6" t="n">
        <f aca="false">X18+Y18</f>
        <v>588.126039828586</v>
      </c>
      <c r="AA18" s="11" t="n">
        <v>0</v>
      </c>
      <c r="AB18" s="12" t="n">
        <v>86</v>
      </c>
      <c r="AC18" s="12" t="n">
        <v>58</v>
      </c>
      <c r="AD18" s="13" t="n">
        <f aca="false">AD17+1</f>
        <v>9</v>
      </c>
      <c r="AE18" s="12" t="n">
        <f aca="false">IF(I18&gt;S18,I18-S18,I18-S18)</f>
        <v>-367.093</v>
      </c>
      <c r="AF18" s="12"/>
      <c r="AH18" s="6"/>
    </row>
    <row r="19" customFormat="false" ht="11.1" hidden="false" customHeight="true" outlineLevel="0" collapsed="false">
      <c r="A19" s="13" t="n">
        <f aca="false">A18+1</f>
        <v>10</v>
      </c>
      <c r="B19" s="31" t="n">
        <v>6869.68</v>
      </c>
      <c r="C19" s="7" t="n">
        <v>186957</v>
      </c>
      <c r="D19" s="12" t="n">
        <f aca="false">C19-C18</f>
        <v>-873</v>
      </c>
      <c r="E19" s="7" t="n">
        <f aca="false">C19-152000</f>
        <v>34957</v>
      </c>
      <c r="F19" s="6" t="n">
        <f aca="false">D19/$D$2</f>
        <v>-440.131081421729</v>
      </c>
      <c r="G19" s="6" t="n">
        <v>83</v>
      </c>
      <c r="H19" s="11" t="n">
        <v>0</v>
      </c>
      <c r="I19" s="6" t="n">
        <f aca="false">G19+H19</f>
        <v>83</v>
      </c>
      <c r="J19" s="114" t="n">
        <f aca="false">IF(L19&gt;0,L19,0)</f>
        <v>31.2889185782707</v>
      </c>
      <c r="K19" s="6" t="n">
        <f aca="false">I19+J19</f>
        <v>114.288918578271</v>
      </c>
      <c r="L19" s="6" t="n">
        <f aca="false">F19-(I19-X19)</f>
        <v>31.2889185782707</v>
      </c>
      <c r="M19" s="6" t="n">
        <v>219</v>
      </c>
      <c r="N19" s="6" t="n">
        <v>2.5</v>
      </c>
      <c r="O19" s="6" t="n">
        <v>0.263</v>
      </c>
      <c r="P19" s="6" t="n">
        <f aca="false">M19-(N19+O19)</f>
        <v>216.237</v>
      </c>
      <c r="Q19" s="6" t="n">
        <v>166</v>
      </c>
      <c r="R19" s="6" t="n">
        <v>85</v>
      </c>
      <c r="S19" s="6" t="n">
        <f aca="false">SUM(P19:R19)</f>
        <v>467.237</v>
      </c>
      <c r="T19" s="54" t="n">
        <f aca="false">T18+AE19</f>
        <v>1783.4055</v>
      </c>
      <c r="U19" s="6" t="n">
        <v>70.42</v>
      </c>
      <c r="V19" s="115" t="n">
        <v>14</v>
      </c>
      <c r="W19" s="116" t="n">
        <f aca="false">W18-V19</f>
        <v>4468.778674061</v>
      </c>
      <c r="X19" s="6" t="n">
        <f aca="false">N19+O19+S19+U19+V19</f>
        <v>554.42</v>
      </c>
      <c r="Y19" s="6" t="n">
        <f aca="false">IF(L19&lt;0,L19*-1,0)</f>
        <v>0</v>
      </c>
      <c r="Z19" s="6" t="n">
        <f aca="false">X19+Y19</f>
        <v>554.42</v>
      </c>
      <c r="AA19" s="11" t="n">
        <v>0</v>
      </c>
      <c r="AB19" s="12" t="n">
        <v>78</v>
      </c>
      <c r="AC19" s="12" t="n">
        <v>42</v>
      </c>
      <c r="AD19" s="13" t="n">
        <f aca="false">AD18+1</f>
        <v>10</v>
      </c>
      <c r="AE19" s="12" t="n">
        <f aca="false">IF(I19&gt;S19,I19-S19,I19-S19)</f>
        <v>-384.237</v>
      </c>
      <c r="AF19" s="12"/>
      <c r="AH19" s="6"/>
    </row>
    <row r="20" customFormat="false" ht="11.1" hidden="false" customHeight="true" outlineLevel="0" collapsed="false">
      <c r="A20" s="13" t="n">
        <f aca="false">A19+1</f>
        <v>11</v>
      </c>
      <c r="B20" s="31" t="n">
        <v>6869.31</v>
      </c>
      <c r="C20" s="7" t="n">
        <v>185978</v>
      </c>
      <c r="D20" s="12" t="n">
        <f aca="false">C20-C19</f>
        <v>-979</v>
      </c>
      <c r="E20" s="7" t="n">
        <f aca="false">C20-152000</f>
        <v>33978</v>
      </c>
      <c r="F20" s="6" t="n">
        <f aca="false">D20/$D$2</f>
        <v>-493.571968742123</v>
      </c>
      <c r="G20" s="6" t="n">
        <v>81</v>
      </c>
      <c r="H20" s="11" t="n">
        <v>0</v>
      </c>
      <c r="I20" s="6" t="n">
        <f aca="false">G20+H20</f>
        <v>81</v>
      </c>
      <c r="J20" s="114" t="n">
        <f aca="false">IF(L20&gt;0,L20,0)</f>
        <v>0</v>
      </c>
      <c r="K20" s="6" t="n">
        <f aca="false">I20+J20</f>
        <v>81</v>
      </c>
      <c r="L20" s="6" t="n">
        <f aca="false">F20-(I20-X20)</f>
        <v>-8.7219687421225</v>
      </c>
      <c r="M20" s="6" t="n">
        <v>222</v>
      </c>
      <c r="N20" s="6" t="n">
        <v>0</v>
      </c>
      <c r="O20" s="6" t="n">
        <v>0</v>
      </c>
      <c r="P20" s="6" t="n">
        <f aca="false">M20-(N20+O20)</f>
        <v>222</v>
      </c>
      <c r="Q20" s="6" t="n">
        <v>164</v>
      </c>
      <c r="R20" s="6" t="n">
        <v>84</v>
      </c>
      <c r="S20" s="6" t="n">
        <f aca="false">SUM(P20:R20)</f>
        <v>470</v>
      </c>
      <c r="T20" s="54" t="n">
        <f aca="false">T19+AE20</f>
        <v>1394.4055</v>
      </c>
      <c r="U20" s="6" t="n">
        <v>81.85</v>
      </c>
      <c r="V20" s="115" t="n">
        <v>14</v>
      </c>
      <c r="W20" s="116" t="n">
        <f aca="false">W19-V20</f>
        <v>4454.778674061</v>
      </c>
      <c r="X20" s="6" t="n">
        <f aca="false">N20+O20+S20+U20+V20</f>
        <v>565.85</v>
      </c>
      <c r="Y20" s="6" t="n">
        <f aca="false">IF(L20&lt;0,L20*-1,0)</f>
        <v>8.7219687421225</v>
      </c>
      <c r="Z20" s="6" t="n">
        <f aca="false">X20+Y20</f>
        <v>574.571968742123</v>
      </c>
      <c r="AA20" s="11" t="n">
        <v>0</v>
      </c>
      <c r="AB20" s="12" t="n">
        <v>80</v>
      </c>
      <c r="AC20" s="12" t="n">
        <v>44</v>
      </c>
      <c r="AD20" s="13" t="n">
        <f aca="false">AD19+1</f>
        <v>11</v>
      </c>
      <c r="AE20" s="12" t="n">
        <f aca="false">IF(I20&gt;S20,I20-S20,I20-S20)</f>
        <v>-389</v>
      </c>
      <c r="AF20" s="12"/>
      <c r="AH20" s="6"/>
    </row>
    <row r="21" customFormat="false" ht="11.1" hidden="false" customHeight="true" outlineLevel="0" collapsed="false">
      <c r="A21" s="13" t="n">
        <f aca="false">A20+1</f>
        <v>12</v>
      </c>
      <c r="B21" s="31" t="n">
        <v>6869.04</v>
      </c>
      <c r="C21" s="7" t="n">
        <v>185264</v>
      </c>
      <c r="D21" s="12" t="n">
        <f aca="false">C21-C20</f>
        <v>-714</v>
      </c>
      <c r="E21" s="7" t="n">
        <f aca="false">C21-152000</f>
        <v>33264</v>
      </c>
      <c r="F21" s="6" t="n">
        <f aca="false">D21/$D$2</f>
        <v>-359.969750441139</v>
      </c>
      <c r="G21" s="6" t="n">
        <v>72</v>
      </c>
      <c r="H21" s="11" t="n">
        <v>0</v>
      </c>
      <c r="I21" s="6" t="n">
        <f aca="false">G21+H21</f>
        <v>72</v>
      </c>
      <c r="J21" s="114" t="n">
        <f aca="false">IF(L21&gt;0,L21,0)</f>
        <v>0</v>
      </c>
      <c r="K21" s="6" t="n">
        <f aca="false">I21+J21</f>
        <v>72</v>
      </c>
      <c r="L21" s="6" t="n">
        <f aca="false">F21-(I21-X21)</f>
        <v>-27.5097504411394</v>
      </c>
      <c r="M21" s="6" t="n">
        <v>133</v>
      </c>
      <c r="N21" s="6" t="n">
        <v>2.5</v>
      </c>
      <c r="O21" s="6" t="n">
        <v>0</v>
      </c>
      <c r="P21" s="6" t="n">
        <f aca="false">M21-(N21+O21)</f>
        <v>130.5</v>
      </c>
      <c r="Q21" s="6" t="n">
        <v>163</v>
      </c>
      <c r="R21" s="6" t="n">
        <v>20</v>
      </c>
      <c r="S21" s="6" t="n">
        <f aca="false">SUM(P21:R21)</f>
        <v>313.5</v>
      </c>
      <c r="T21" s="54" t="n">
        <f aca="false">T20+AE21</f>
        <v>1152.9055</v>
      </c>
      <c r="U21" s="6" t="n">
        <v>74.46</v>
      </c>
      <c r="V21" s="115" t="n">
        <v>14</v>
      </c>
      <c r="W21" s="116" t="n">
        <f aca="false">W20-V21</f>
        <v>4440.778674061</v>
      </c>
      <c r="X21" s="6" t="n">
        <f aca="false">N21+O21+S21+U21+V21</f>
        <v>404.46</v>
      </c>
      <c r="Y21" s="6" t="n">
        <f aca="false">IF(L21&lt;0,L21*-1,0)</f>
        <v>27.5097504411394</v>
      </c>
      <c r="Z21" s="6" t="n">
        <f aca="false">X21+Y21</f>
        <v>431.969750441139</v>
      </c>
      <c r="AA21" s="11" t="n">
        <v>0</v>
      </c>
      <c r="AB21" s="12" t="n">
        <v>84</v>
      </c>
      <c r="AC21" s="12" t="n">
        <v>47</v>
      </c>
      <c r="AD21" s="13" t="n">
        <f aca="false">AD20+1</f>
        <v>12</v>
      </c>
      <c r="AE21" s="12" t="n">
        <f aca="false">IF(I21&gt;S21,I21-S21,I21-S21)</f>
        <v>-241.5</v>
      </c>
      <c r="AF21" s="12"/>
      <c r="AH21" s="6"/>
    </row>
    <row r="22" customFormat="false" ht="11.1" hidden="false" customHeight="true" outlineLevel="0" collapsed="false">
      <c r="A22" s="13" t="n">
        <f aca="false">A21+1</f>
        <v>13</v>
      </c>
      <c r="B22" s="31" t="n">
        <v>6868.79</v>
      </c>
      <c r="C22" s="7" t="n">
        <v>184610</v>
      </c>
      <c r="D22" s="12" t="n">
        <f aca="false">C22-C21</f>
        <v>-654</v>
      </c>
      <c r="E22" s="7" t="n">
        <f aca="false">C22-152000</f>
        <v>32610</v>
      </c>
      <c r="F22" s="6" t="n">
        <f aca="false">D22/$D$2</f>
        <v>-329.720191580539</v>
      </c>
      <c r="G22" s="6" t="n">
        <v>66</v>
      </c>
      <c r="H22" s="11" t="n">
        <v>0</v>
      </c>
      <c r="I22" s="6" t="n">
        <f aca="false">G22+H22</f>
        <v>66</v>
      </c>
      <c r="J22" s="114" t="n">
        <f aca="false">IF(L22&gt;0,L22,0)</f>
        <v>0</v>
      </c>
      <c r="K22" s="6" t="n">
        <f aca="false">I22+J22</f>
        <v>66</v>
      </c>
      <c r="L22" s="6" t="n">
        <f aca="false">F22-(I22-X22)</f>
        <v>-44.2901915805394</v>
      </c>
      <c r="M22" s="6" t="n">
        <v>95</v>
      </c>
      <c r="N22" s="6" t="n">
        <v>0</v>
      </c>
      <c r="O22" s="6" t="n">
        <v>0</v>
      </c>
      <c r="P22" s="6" t="n">
        <f aca="false">M22-(N22+O22)</f>
        <v>95</v>
      </c>
      <c r="Q22" s="6" t="n">
        <v>199</v>
      </c>
      <c r="R22" s="6" t="n">
        <v>0</v>
      </c>
      <c r="S22" s="6" t="n">
        <f aca="false">SUM(P22:R22)</f>
        <v>294</v>
      </c>
      <c r="T22" s="54" t="n">
        <f aca="false">T21+AE22</f>
        <v>924.9055</v>
      </c>
      <c r="U22" s="6" t="n">
        <v>43.43</v>
      </c>
      <c r="V22" s="115" t="n">
        <v>14</v>
      </c>
      <c r="W22" s="116" t="n">
        <f aca="false">W21-V22</f>
        <v>4426.778674061</v>
      </c>
      <c r="X22" s="6" t="n">
        <f aca="false">N22+O22+S22+U22+V22</f>
        <v>351.43</v>
      </c>
      <c r="Y22" s="6" t="n">
        <f aca="false">IF(L22&lt;0,L22*-1,0)</f>
        <v>44.2901915805394</v>
      </c>
      <c r="Z22" s="6" t="n">
        <f aca="false">X22+Y22</f>
        <v>395.720191580539</v>
      </c>
      <c r="AA22" s="11" t="n">
        <v>0</v>
      </c>
      <c r="AB22" s="12" t="n">
        <v>86</v>
      </c>
      <c r="AC22" s="12" t="n">
        <v>50</v>
      </c>
      <c r="AD22" s="13" t="n">
        <f aca="false">AD21+1</f>
        <v>13</v>
      </c>
      <c r="AE22" s="12" t="n">
        <f aca="false">IF(I22&gt;S22,I22-S22,I22-S22)</f>
        <v>-228</v>
      </c>
      <c r="AF22" s="12"/>
      <c r="AH22" s="6"/>
    </row>
    <row r="23" customFormat="false" ht="11.1" hidden="false" customHeight="true" outlineLevel="0" collapsed="false">
      <c r="A23" s="13" t="n">
        <f aca="false">A22+1</f>
        <v>14</v>
      </c>
      <c r="B23" s="31" t="n">
        <v>6868.53</v>
      </c>
      <c r="C23" s="7" t="n">
        <v>183932</v>
      </c>
      <c r="D23" s="12" t="n">
        <f aca="false">C23-C22</f>
        <v>-678</v>
      </c>
      <c r="E23" s="7" t="n">
        <f aca="false">C23-152000</f>
        <v>31932</v>
      </c>
      <c r="F23" s="6" t="n">
        <f aca="false">D23/$D$2</f>
        <v>-341.820015124779</v>
      </c>
      <c r="G23" s="6" t="n">
        <v>59</v>
      </c>
      <c r="H23" s="11" t="n">
        <v>0</v>
      </c>
      <c r="I23" s="6" t="n">
        <f aca="false">G23+H23</f>
        <v>59</v>
      </c>
      <c r="J23" s="114" t="n">
        <f aca="false">IF(L23&gt;0,L23,0)</f>
        <v>0</v>
      </c>
      <c r="K23" s="6" t="n">
        <f aca="false">I23+J23</f>
        <v>59</v>
      </c>
      <c r="L23" s="6" t="n">
        <f aca="false">F23-(I23-X23)</f>
        <v>-22.5400151247795</v>
      </c>
      <c r="M23" s="6" t="n">
        <v>113</v>
      </c>
      <c r="N23" s="6" t="n">
        <v>0</v>
      </c>
      <c r="O23" s="6" t="n">
        <v>0</v>
      </c>
      <c r="P23" s="6" t="n">
        <f aca="false">M23-(N23+O23)</f>
        <v>113</v>
      </c>
      <c r="Q23" s="6" t="n">
        <v>198</v>
      </c>
      <c r="R23" s="6" t="n">
        <v>0</v>
      </c>
      <c r="S23" s="6" t="n">
        <f aca="false">SUM(P23:R23)</f>
        <v>311</v>
      </c>
      <c r="T23" s="54" t="n">
        <f aca="false">T22+AE23</f>
        <v>672.9055</v>
      </c>
      <c r="U23" s="6" t="n">
        <v>53.28</v>
      </c>
      <c r="V23" s="115" t="n">
        <v>14</v>
      </c>
      <c r="W23" s="116" t="n">
        <f aca="false">W22-V23</f>
        <v>4412.778674061</v>
      </c>
      <c r="X23" s="6" t="n">
        <f aca="false">N23+O23+S23+U23+V23</f>
        <v>378.28</v>
      </c>
      <c r="Y23" s="6" t="n">
        <f aca="false">IF(L23&lt;0,L23*-1,0)</f>
        <v>22.5400151247795</v>
      </c>
      <c r="Z23" s="6" t="n">
        <f aca="false">X23+Y23</f>
        <v>400.820015124779</v>
      </c>
      <c r="AA23" s="11" t="n">
        <v>0</v>
      </c>
      <c r="AB23" s="12" t="n">
        <v>89</v>
      </c>
      <c r="AC23" s="12" t="n">
        <v>50</v>
      </c>
      <c r="AD23" s="13" t="n">
        <f aca="false">AD22+1</f>
        <v>14</v>
      </c>
      <c r="AE23" s="12" t="n">
        <f aca="false">IF(I23&gt;S23,I23-S23,I23-S23)</f>
        <v>-252</v>
      </c>
      <c r="AF23" s="12"/>
      <c r="AH23" s="6"/>
    </row>
    <row r="24" customFormat="false" ht="11.1" hidden="false" customHeight="true" outlineLevel="0" collapsed="false">
      <c r="A24" s="13" t="n">
        <f aca="false">A23+1</f>
        <v>15</v>
      </c>
      <c r="B24" s="31" t="n">
        <v>6868.36</v>
      </c>
      <c r="C24" s="7" t="n">
        <v>183489</v>
      </c>
      <c r="D24" s="12" t="n">
        <f aca="false">C24-C23</f>
        <v>-443</v>
      </c>
      <c r="E24" s="7" t="n">
        <f aca="false">C24-152000</f>
        <v>31489</v>
      </c>
      <c r="F24" s="6" t="n">
        <f aca="false">D24/$D$2</f>
        <v>-223.342576254096</v>
      </c>
      <c r="G24" s="6" t="n">
        <v>55</v>
      </c>
      <c r="H24" s="11" t="n">
        <v>0</v>
      </c>
      <c r="I24" s="6" t="n">
        <f aca="false">G24+H24</f>
        <v>55</v>
      </c>
      <c r="J24" s="114" t="n">
        <f aca="false">IF(L24&gt;0,L24,0)</f>
        <v>0</v>
      </c>
      <c r="K24" s="6" t="n">
        <f aca="false">I24+J24</f>
        <v>55</v>
      </c>
      <c r="L24" s="6" t="n">
        <f aca="false">F24-(I24-X24)</f>
        <v>-34.5025762540963</v>
      </c>
      <c r="M24" s="6" t="n">
        <v>114</v>
      </c>
      <c r="N24" s="6" t="n">
        <v>0</v>
      </c>
      <c r="O24" s="6" t="n">
        <v>0</v>
      </c>
      <c r="P24" s="6" t="n">
        <f aca="false">M24-(N24+O24)</f>
        <v>114</v>
      </c>
      <c r="Q24" s="6" t="n">
        <v>72</v>
      </c>
      <c r="R24" s="6" t="n">
        <v>0</v>
      </c>
      <c r="S24" s="6" t="n">
        <f aca="false">SUM(P24:R24)</f>
        <v>186</v>
      </c>
      <c r="T24" s="54" t="n">
        <f aca="false">T23+AE24</f>
        <v>541.9055</v>
      </c>
      <c r="U24" s="6" t="n">
        <v>43.84</v>
      </c>
      <c r="V24" s="115" t="n">
        <v>14</v>
      </c>
      <c r="W24" s="116" t="n">
        <f aca="false">W23-V24</f>
        <v>4398.778674061</v>
      </c>
      <c r="X24" s="6" t="n">
        <f aca="false">N24+O24+S24+U24+V24</f>
        <v>243.84</v>
      </c>
      <c r="Y24" s="6" t="n">
        <f aca="false">IF(L24&lt;0,L24*-1,0)</f>
        <v>34.5025762540963</v>
      </c>
      <c r="Z24" s="6" t="n">
        <f aca="false">X24+Y24</f>
        <v>278.342576254096</v>
      </c>
      <c r="AA24" s="11" t="n">
        <v>0</v>
      </c>
      <c r="AB24" s="12" t="n">
        <v>87</v>
      </c>
      <c r="AC24" s="12" t="n">
        <v>47</v>
      </c>
      <c r="AD24" s="13" t="n">
        <f aca="false">AD23+1</f>
        <v>15</v>
      </c>
      <c r="AE24" s="12" t="n">
        <f aca="false">IF(I24&gt;S24,I24-S24,I24-S24)</f>
        <v>-131</v>
      </c>
      <c r="AF24" s="12"/>
      <c r="AH24" s="6"/>
    </row>
    <row r="25" customFormat="false" ht="11.1" hidden="false" customHeight="true" outlineLevel="0" collapsed="false">
      <c r="A25" s="13" t="n">
        <f aca="false">A24+1</f>
        <v>16</v>
      </c>
      <c r="B25" s="31" t="n">
        <v>6868.26</v>
      </c>
      <c r="C25" s="7" t="n">
        <v>183228</v>
      </c>
      <c r="D25" s="12" t="n">
        <f aca="false">C25-C24</f>
        <v>-261</v>
      </c>
      <c r="E25" s="7" t="n">
        <f aca="false">C25-152000</f>
        <v>31228</v>
      </c>
      <c r="F25" s="6" t="n">
        <f aca="false">D25/$D$2</f>
        <v>-131.58558104361</v>
      </c>
      <c r="G25" s="6" t="n">
        <v>53</v>
      </c>
      <c r="H25" s="11" t="n">
        <v>0</v>
      </c>
      <c r="I25" s="6" t="n">
        <f aca="false">G25+H25</f>
        <v>53</v>
      </c>
      <c r="J25" s="114" t="n">
        <f aca="false">IF(L25&gt;0,L25,0)</f>
        <v>0</v>
      </c>
      <c r="K25" s="6" t="n">
        <f aca="false">I25+J25</f>
        <v>53</v>
      </c>
      <c r="L25" s="6" t="n">
        <f aca="false">F25-(I25-X25)</f>
        <v>-23.9155810436098</v>
      </c>
      <c r="M25" s="6" t="n">
        <v>111</v>
      </c>
      <c r="N25" s="6" t="n">
        <v>0</v>
      </c>
      <c r="O25" s="6" t="n">
        <f aca="false">0.03*1.05</f>
        <v>0.0315</v>
      </c>
      <c r="P25" s="6" t="n">
        <f aca="false">M25-(N25+O25)</f>
        <v>110.9685</v>
      </c>
      <c r="Q25" s="6" t="n">
        <v>0</v>
      </c>
      <c r="R25" s="6" t="n">
        <v>0</v>
      </c>
      <c r="S25" s="6" t="n">
        <f aca="false">SUM(P25:R25)</f>
        <v>110.9685</v>
      </c>
      <c r="T25" s="54" t="n">
        <f aca="false">T24+AE25</f>
        <v>483.937</v>
      </c>
      <c r="U25" s="6" t="n">
        <v>35.67</v>
      </c>
      <c r="V25" s="115" t="n">
        <v>14</v>
      </c>
      <c r="W25" s="116" t="n">
        <f aca="false">W24-V25</f>
        <v>4384.778674061</v>
      </c>
      <c r="X25" s="6" t="n">
        <f aca="false">N25+O25+S25+U25+V25</f>
        <v>160.67</v>
      </c>
      <c r="Y25" s="6" t="n">
        <f aca="false">IF(L25&lt;0,L25*-1,0)</f>
        <v>23.9155810436098</v>
      </c>
      <c r="Z25" s="6" t="n">
        <f aca="false">X25+Y25</f>
        <v>184.58558104361</v>
      </c>
      <c r="AA25" s="11" t="n">
        <v>0</v>
      </c>
      <c r="AB25" s="12" t="n">
        <v>88</v>
      </c>
      <c r="AC25" s="12" t="n">
        <v>52</v>
      </c>
      <c r="AD25" s="13" t="n">
        <f aca="false">AD24+1</f>
        <v>16</v>
      </c>
      <c r="AE25" s="12" t="n">
        <f aca="false">IF(I25&gt;S25,I25-S25,I25-S25)</f>
        <v>-57.9685</v>
      </c>
      <c r="AF25" s="12"/>
      <c r="AH25" s="6"/>
    </row>
    <row r="26" customFormat="false" ht="11.1" hidden="false" customHeight="true" outlineLevel="0" collapsed="false">
      <c r="A26" s="13" t="n">
        <f aca="false">A25+1</f>
        <v>17</v>
      </c>
      <c r="B26" s="31" t="n">
        <v>6868.18</v>
      </c>
      <c r="C26" s="7" t="n">
        <v>183019</v>
      </c>
      <c r="D26" s="12" t="n">
        <f aca="false">C26-C25</f>
        <v>-209</v>
      </c>
      <c r="E26" s="7" t="n">
        <f aca="false">C26-152000</f>
        <v>31019</v>
      </c>
      <c r="F26" s="6" t="n">
        <f aca="false">D26/$D$2</f>
        <v>-105.369296697756</v>
      </c>
      <c r="G26" s="6" t="n">
        <v>51</v>
      </c>
      <c r="H26" s="11" t="n">
        <v>0</v>
      </c>
      <c r="I26" s="6" t="n">
        <f aca="false">G26+H26</f>
        <v>51</v>
      </c>
      <c r="J26" s="114" t="n">
        <f aca="false">IF(L26&gt;0,L26,0)</f>
        <v>0</v>
      </c>
      <c r="K26" s="6" t="n">
        <f aca="false">I26+J26</f>
        <v>51</v>
      </c>
      <c r="L26" s="6" t="n">
        <f aca="false">F26-(I26-X26)</f>
        <v>-3.50929669775647</v>
      </c>
      <c r="M26" s="6" t="n">
        <v>104</v>
      </c>
      <c r="N26" s="6" t="n">
        <v>0</v>
      </c>
      <c r="O26" s="6" t="n">
        <v>0</v>
      </c>
      <c r="P26" s="6" t="n">
        <f aca="false">M26-(N26+O26)</f>
        <v>104</v>
      </c>
      <c r="Q26" s="6" t="n">
        <v>0</v>
      </c>
      <c r="R26" s="6" t="n">
        <v>0</v>
      </c>
      <c r="S26" s="6" t="n">
        <f aca="false">SUM(P26:R26)</f>
        <v>104</v>
      </c>
      <c r="T26" s="54" t="n">
        <f aca="false">T25+AE26</f>
        <v>430.937</v>
      </c>
      <c r="U26" s="6" t="n">
        <v>34.86</v>
      </c>
      <c r="V26" s="115" t="n">
        <v>14</v>
      </c>
      <c r="W26" s="116" t="n">
        <f aca="false">W25-V26</f>
        <v>4370.778674061</v>
      </c>
      <c r="X26" s="6" t="n">
        <f aca="false">N26+O26+S26+U26+V26</f>
        <v>152.86</v>
      </c>
      <c r="Y26" s="6" t="n">
        <f aca="false">IF(L26&lt;0,L26*-1,0)</f>
        <v>3.50929669775647</v>
      </c>
      <c r="Z26" s="6" t="n">
        <f aca="false">X26+Y26</f>
        <v>156.369296697756</v>
      </c>
      <c r="AA26" s="11" t="n">
        <v>0</v>
      </c>
      <c r="AB26" s="12" t="n">
        <v>89</v>
      </c>
      <c r="AC26" s="12" t="n">
        <v>50</v>
      </c>
      <c r="AD26" s="13" t="n">
        <f aca="false">AD25+1</f>
        <v>17</v>
      </c>
      <c r="AE26" s="12" t="n">
        <f aca="false">IF(I26&gt;S26,I26-S26,I26-S26)</f>
        <v>-53</v>
      </c>
      <c r="AF26" s="12"/>
      <c r="AH26" s="6"/>
    </row>
    <row r="27" customFormat="false" ht="11.1" hidden="false" customHeight="true" outlineLevel="0" collapsed="false">
      <c r="A27" s="13" t="n">
        <f aca="false">A26+1</f>
        <v>18</v>
      </c>
      <c r="B27" s="31" t="n">
        <v>6868.08</v>
      </c>
      <c r="C27" s="7" t="n">
        <v>182759</v>
      </c>
      <c r="D27" s="12" t="n">
        <f aca="false">C27-C26</f>
        <v>-260</v>
      </c>
      <c r="E27" s="7" t="n">
        <f aca="false">C27-152000</f>
        <v>30759</v>
      </c>
      <c r="F27" s="6" t="n">
        <f aca="false">D27/$D$2</f>
        <v>-131.081421729266</v>
      </c>
      <c r="G27" s="6" t="n">
        <v>45</v>
      </c>
      <c r="H27" s="11" t="n">
        <v>0</v>
      </c>
      <c r="I27" s="6" t="n">
        <f aca="false">G27+H27</f>
        <v>45</v>
      </c>
      <c r="J27" s="114" t="n">
        <f aca="false">IF(L27&gt;0,L27,0)</f>
        <v>0</v>
      </c>
      <c r="K27" s="6" t="n">
        <f aca="false">I27+J27</f>
        <v>45</v>
      </c>
      <c r="L27" s="6" t="n">
        <f aca="false">F27-(I27-X27)</f>
        <v>-14.1714217292665</v>
      </c>
      <c r="M27" s="6" t="n">
        <v>113</v>
      </c>
      <c r="N27" s="6" t="n">
        <v>0</v>
      </c>
      <c r="O27" s="6" t="n">
        <v>0</v>
      </c>
      <c r="P27" s="6" t="n">
        <f aca="false">M27-(N27+O27)</f>
        <v>113</v>
      </c>
      <c r="Q27" s="6" t="n">
        <v>0</v>
      </c>
      <c r="R27" s="6" t="n">
        <v>0</v>
      </c>
      <c r="S27" s="6" t="n">
        <f aca="false">SUM(P27:R27)</f>
        <v>113</v>
      </c>
      <c r="T27" s="54" t="n">
        <f aca="false">T26+AE27</f>
        <v>362.937</v>
      </c>
      <c r="U27" s="6" t="n">
        <v>34.91</v>
      </c>
      <c r="V27" s="115" t="n">
        <v>14</v>
      </c>
      <c r="W27" s="116" t="n">
        <f aca="false">W26-V27</f>
        <v>4356.778674061</v>
      </c>
      <c r="X27" s="6" t="n">
        <f aca="false">N27+O27+S27+U27+V27</f>
        <v>161.91</v>
      </c>
      <c r="Y27" s="6" t="n">
        <f aca="false">IF(L27&lt;0,L27*-1,0)</f>
        <v>14.1714217292665</v>
      </c>
      <c r="Z27" s="6" t="n">
        <f aca="false">X27+Y27</f>
        <v>176.081421729266</v>
      </c>
      <c r="AA27" s="11" t="n">
        <v>0</v>
      </c>
      <c r="AB27" s="12" t="n">
        <v>89</v>
      </c>
      <c r="AC27" s="12" t="n">
        <v>49</v>
      </c>
      <c r="AD27" s="13" t="n">
        <f aca="false">AD26+1</f>
        <v>18</v>
      </c>
      <c r="AE27" s="12" t="n">
        <f aca="false">IF(I27&gt;S27,I27-S27,I27-S27)</f>
        <v>-68</v>
      </c>
      <c r="AF27" s="12"/>
      <c r="AH27" s="6"/>
    </row>
    <row r="28" customFormat="false" ht="11.1" hidden="false" customHeight="true" outlineLevel="0" collapsed="false">
      <c r="A28" s="13" t="n">
        <f aca="false">A27+1</f>
        <v>19</v>
      </c>
      <c r="B28" s="31" t="n">
        <v>6868</v>
      </c>
      <c r="C28" s="7" t="n">
        <v>182550</v>
      </c>
      <c r="D28" s="12" t="n">
        <f aca="false">C28-C27</f>
        <v>-209</v>
      </c>
      <c r="E28" s="7" t="n">
        <f aca="false">C28-152000</f>
        <v>30550</v>
      </c>
      <c r="F28" s="6" t="n">
        <f aca="false">D28/$D$2</f>
        <v>-105.369296697756</v>
      </c>
      <c r="G28" s="6" t="n">
        <v>43</v>
      </c>
      <c r="H28" s="11" t="n">
        <v>0</v>
      </c>
      <c r="I28" s="6" t="n">
        <f aca="false">G28+H28</f>
        <v>43</v>
      </c>
      <c r="J28" s="114" t="n">
        <f aca="false">IF(L28&gt;0,L28,0)</f>
        <v>0</v>
      </c>
      <c r="K28" s="6" t="n">
        <f aca="false">I28+J28</f>
        <v>43</v>
      </c>
      <c r="L28" s="6" t="n">
        <f aca="false">F28-(I28-X28)</f>
        <v>-18.7692966977565</v>
      </c>
      <c r="M28" s="6" t="n">
        <v>97</v>
      </c>
      <c r="N28" s="6" t="n">
        <v>0</v>
      </c>
      <c r="O28" s="6" t="n">
        <v>0</v>
      </c>
      <c r="P28" s="6" t="n">
        <f aca="false">M28-(N28+O28)</f>
        <v>97</v>
      </c>
      <c r="Q28" s="6" t="n">
        <v>0</v>
      </c>
      <c r="R28" s="6" t="n">
        <v>0</v>
      </c>
      <c r="S28" s="6" t="n">
        <f aca="false">SUM(P28:R28)</f>
        <v>97</v>
      </c>
      <c r="T28" s="54" t="n">
        <f aca="false">T27+AE28</f>
        <v>308.937</v>
      </c>
      <c r="U28" s="6" t="n">
        <v>18.6</v>
      </c>
      <c r="V28" s="115" t="n">
        <v>14</v>
      </c>
      <c r="W28" s="116" t="n">
        <f aca="false">W27-V28</f>
        <v>4342.778674061</v>
      </c>
      <c r="X28" s="6" t="n">
        <f aca="false">N28+O28+S28+U28+V28</f>
        <v>129.6</v>
      </c>
      <c r="Y28" s="6" t="n">
        <f aca="false">IF(L28&lt;0,L28*-1,0)</f>
        <v>18.7692966977565</v>
      </c>
      <c r="Z28" s="6" t="n">
        <f aca="false">X28+Y28</f>
        <v>148.369296697757</v>
      </c>
      <c r="AA28" s="11" t="n">
        <v>0</v>
      </c>
      <c r="AB28" s="12" t="n">
        <v>88</v>
      </c>
      <c r="AC28" s="12" t="n">
        <v>48</v>
      </c>
      <c r="AD28" s="13" t="n">
        <f aca="false">AD27+1</f>
        <v>19</v>
      </c>
      <c r="AE28" s="12" t="n">
        <f aca="false">IF(I28&gt;S28,I28-S28,I28-S28)</f>
        <v>-54</v>
      </c>
      <c r="AF28" s="12"/>
      <c r="AH28" s="6"/>
    </row>
    <row r="29" customFormat="false" ht="11.1" hidden="false" customHeight="true" outlineLevel="0" collapsed="false">
      <c r="A29" s="13" t="n">
        <f aca="false">A28+1</f>
        <v>20</v>
      </c>
      <c r="B29" s="31" t="n">
        <v>6867.91</v>
      </c>
      <c r="C29" s="7" t="n">
        <v>182319</v>
      </c>
      <c r="D29" s="12" t="n">
        <f aca="false">C29-C28</f>
        <v>-231</v>
      </c>
      <c r="E29" s="7" t="n">
        <f aca="false">C29-152000</f>
        <v>30319</v>
      </c>
      <c r="F29" s="6" t="n">
        <f aca="false">D29/$D$2</f>
        <v>-116.46080161331</v>
      </c>
      <c r="G29" s="6" t="n">
        <v>40</v>
      </c>
      <c r="H29" s="11" t="n">
        <v>0</v>
      </c>
      <c r="I29" s="6" t="n">
        <f aca="false">G29+H29</f>
        <v>40</v>
      </c>
      <c r="J29" s="114" t="n">
        <f aca="false">IF(L29&gt;0,L29,0)</f>
        <v>0</v>
      </c>
      <c r="K29" s="6" t="n">
        <f aca="false">I29+J29</f>
        <v>40</v>
      </c>
      <c r="L29" s="6" t="n">
        <f aca="false">F29-(I29-X29)</f>
        <v>-2.88080161330981</v>
      </c>
      <c r="M29" s="6" t="n">
        <v>105</v>
      </c>
      <c r="N29" s="6" t="n">
        <v>0</v>
      </c>
      <c r="O29" s="144" t="n">
        <v>0</v>
      </c>
      <c r="P29" s="6" t="n">
        <f aca="false">M29-(N29+O29)</f>
        <v>105</v>
      </c>
      <c r="Q29" s="6" t="n">
        <v>0</v>
      </c>
      <c r="R29" s="6" t="n">
        <v>0</v>
      </c>
      <c r="S29" s="6" t="n">
        <f aca="false">SUM(P29:R29)</f>
        <v>105</v>
      </c>
      <c r="T29" s="54" t="n">
        <f aca="false">T28+AE29</f>
        <v>243.937</v>
      </c>
      <c r="U29" s="6" t="n">
        <v>34.58</v>
      </c>
      <c r="V29" s="115" t="n">
        <v>14</v>
      </c>
      <c r="W29" s="116" t="n">
        <f aca="false">W28-V29</f>
        <v>4328.778674061</v>
      </c>
      <c r="X29" s="6" t="n">
        <f aca="false">N29+O29+S29+U29+V29</f>
        <v>153.58</v>
      </c>
      <c r="Y29" s="6" t="n">
        <f aca="false">IF(L29&lt;0,L29*-1,0)</f>
        <v>2.88080161330981</v>
      </c>
      <c r="Z29" s="6" t="n">
        <f aca="false">X29+Y29</f>
        <v>156.46080161331</v>
      </c>
      <c r="AA29" s="11" t="n">
        <v>0</v>
      </c>
      <c r="AB29" s="12" t="n">
        <v>89</v>
      </c>
      <c r="AC29" s="12" t="n">
        <v>50</v>
      </c>
      <c r="AD29" s="13" t="n">
        <f aca="false">AD28+1</f>
        <v>20</v>
      </c>
      <c r="AE29" s="12" t="n">
        <f aca="false">IF(I29&gt;S29,I29-S29,I29-S29)</f>
        <v>-65</v>
      </c>
      <c r="AF29" s="12"/>
      <c r="AH29" s="6"/>
    </row>
    <row r="30" customFormat="false" ht="11.1" hidden="false" customHeight="true" outlineLevel="0" collapsed="false">
      <c r="A30" s="13" t="n">
        <f aca="false">A29+1</f>
        <v>21</v>
      </c>
      <c r="B30" s="31" t="n">
        <v>6867.8</v>
      </c>
      <c r="C30" s="7" t="n">
        <v>182036</v>
      </c>
      <c r="D30" s="12" t="n">
        <f aca="false">C30-C29</f>
        <v>-283</v>
      </c>
      <c r="E30" s="7" t="n">
        <f aca="false">C30-152000</f>
        <v>30036</v>
      </c>
      <c r="F30" s="6" t="n">
        <f aca="false">D30/$D$2</f>
        <v>-142.677085959163</v>
      </c>
      <c r="G30" s="6" t="n">
        <v>40</v>
      </c>
      <c r="H30" s="11" t="n">
        <v>0</v>
      </c>
      <c r="I30" s="6" t="n">
        <f aca="false">G30+H30</f>
        <v>40</v>
      </c>
      <c r="J30" s="114" t="n">
        <f aca="false">IF(L30&gt;0,L30,0)</f>
        <v>0</v>
      </c>
      <c r="K30" s="6" t="n">
        <f aca="false">I30+J30</f>
        <v>40</v>
      </c>
      <c r="L30" s="6" t="n">
        <f aca="false">F30-(I30-X30)</f>
        <v>-61.9070859591631</v>
      </c>
      <c r="M30" s="6" t="n">
        <v>92</v>
      </c>
      <c r="N30" s="6" t="n">
        <v>0</v>
      </c>
      <c r="O30" s="6" t="n">
        <f aca="false">0.53*1.05</f>
        <v>0.5565</v>
      </c>
      <c r="P30" s="6" t="n">
        <f aca="false">M30-(N30+O30)</f>
        <v>91.4435</v>
      </c>
      <c r="Q30" s="6" t="n">
        <v>0</v>
      </c>
      <c r="R30" s="6" t="n">
        <v>0</v>
      </c>
      <c r="S30" s="6" t="n">
        <f aca="false">SUM(P30:R30)</f>
        <v>91.4435</v>
      </c>
      <c r="T30" s="54" t="n">
        <f aca="false">T29+AE30</f>
        <v>192.4935</v>
      </c>
      <c r="U30" s="6" t="n">
        <v>14.77</v>
      </c>
      <c r="V30" s="115" t="n">
        <v>14</v>
      </c>
      <c r="W30" s="116" t="n">
        <f aca="false">W29-V30</f>
        <v>4314.778674061</v>
      </c>
      <c r="X30" s="6" t="n">
        <f aca="false">N30+O30+S30+U30+V30</f>
        <v>120.77</v>
      </c>
      <c r="Y30" s="6" t="n">
        <f aca="false">IF(L30&lt;0,L30*-1,0)</f>
        <v>61.9070859591631</v>
      </c>
      <c r="Z30" s="6" t="n">
        <f aca="false">X30+Y30</f>
        <v>182.677085959163</v>
      </c>
      <c r="AA30" s="11" t="n">
        <v>0</v>
      </c>
      <c r="AB30" s="12" t="n">
        <v>87</v>
      </c>
      <c r="AC30" s="12" t="n">
        <v>63</v>
      </c>
      <c r="AD30" s="13" t="n">
        <f aca="false">AD29+1</f>
        <v>21</v>
      </c>
      <c r="AE30" s="12" t="n">
        <f aca="false">IF(I30&gt;S30,I30-S30,I30-S30)</f>
        <v>-51.4435</v>
      </c>
      <c r="AF30" s="12"/>
      <c r="AH30" s="6"/>
    </row>
    <row r="31" customFormat="false" ht="11.1" hidden="false" customHeight="true" outlineLevel="0" collapsed="false">
      <c r="A31" s="13" t="n">
        <f aca="false">A30+1</f>
        <v>22</v>
      </c>
      <c r="B31" s="31" t="n">
        <v>6867.75</v>
      </c>
      <c r="C31" s="7" t="n">
        <v>181907</v>
      </c>
      <c r="D31" s="12" t="n">
        <f aca="false">C31-C30</f>
        <v>-129</v>
      </c>
      <c r="E31" s="7" t="n">
        <f aca="false">C31-152000</f>
        <v>29907</v>
      </c>
      <c r="F31" s="6" t="n">
        <f aca="false">D31/$D$2</f>
        <v>-65.0365515502899</v>
      </c>
      <c r="G31" s="6" t="n">
        <v>38</v>
      </c>
      <c r="H31" s="11" t="n">
        <v>0</v>
      </c>
      <c r="I31" s="6" t="n">
        <f aca="false">G31+H31</f>
        <v>38</v>
      </c>
      <c r="J31" s="114" t="n">
        <f aca="false">IF(L31&gt;0,L31,0)</f>
        <v>16.4334484497101</v>
      </c>
      <c r="K31" s="6" t="n">
        <f aca="false">I31+J31</f>
        <v>54.4334484497101</v>
      </c>
      <c r="L31" s="6" t="n">
        <f aca="false">F31-(I31-X31)</f>
        <v>16.4334484497101</v>
      </c>
      <c r="M31" s="6" t="n">
        <v>89</v>
      </c>
      <c r="N31" s="6" t="n">
        <v>0</v>
      </c>
      <c r="O31" s="6" t="n">
        <v>0</v>
      </c>
      <c r="P31" s="6" t="n">
        <f aca="false">M31-(N31+O31)</f>
        <v>89</v>
      </c>
      <c r="Q31" s="6" t="n">
        <v>0</v>
      </c>
      <c r="R31" s="6" t="n">
        <v>0</v>
      </c>
      <c r="S31" s="6" t="n">
        <f aca="false">SUM(P31:R31)</f>
        <v>89</v>
      </c>
      <c r="T31" s="54" t="n">
        <f aca="false">T30+AE31</f>
        <v>141.4935</v>
      </c>
      <c r="U31" s="6" t="n">
        <v>16.47</v>
      </c>
      <c r="V31" s="115" t="n">
        <v>14</v>
      </c>
      <c r="W31" s="116" t="n">
        <f aca="false">W30-V31</f>
        <v>4300.778674061</v>
      </c>
      <c r="X31" s="6" t="n">
        <f aca="false">N31+O31+S31+U31+V31</f>
        <v>119.47</v>
      </c>
      <c r="Y31" s="6" t="n">
        <f aca="false">IF(L31&lt;0,L31*-1,0)</f>
        <v>0</v>
      </c>
      <c r="Z31" s="6" t="n">
        <f aca="false">X31+Y31</f>
        <v>119.47</v>
      </c>
      <c r="AA31" s="11" t="n">
        <v>0</v>
      </c>
      <c r="AB31" s="12" t="n">
        <v>86</v>
      </c>
      <c r="AC31" s="12" t="n">
        <v>54</v>
      </c>
      <c r="AD31" s="13" t="n">
        <f aca="false">AD30+1</f>
        <v>22</v>
      </c>
      <c r="AE31" s="12" t="n">
        <f aca="false">IF(I31&gt;S31,I31-S31,I31-S31)</f>
        <v>-51</v>
      </c>
      <c r="AF31" s="12"/>
      <c r="AH31" s="6"/>
    </row>
    <row r="32" customFormat="false" ht="11.1" hidden="false" customHeight="true" outlineLevel="0" collapsed="false">
      <c r="A32" s="13" t="n">
        <f aca="false">A31+1</f>
        <v>23</v>
      </c>
      <c r="B32" s="31" t="n">
        <v>6867.58</v>
      </c>
      <c r="C32" s="7" t="n">
        <v>181470</v>
      </c>
      <c r="D32" s="12" t="n">
        <f aca="false">C32-C31</f>
        <v>-437</v>
      </c>
      <c r="E32" s="7" t="n">
        <f aca="false">C32-152000</f>
        <v>29470</v>
      </c>
      <c r="F32" s="6" t="n">
        <f aca="false">D32/$D$2</f>
        <v>-220.317620368036</v>
      </c>
      <c r="G32" s="6" t="n">
        <v>36</v>
      </c>
      <c r="H32" s="11" t="n">
        <v>0</v>
      </c>
      <c r="I32" s="6" t="n">
        <f aca="false">G32+H32</f>
        <v>36</v>
      </c>
      <c r="J32" s="114" t="n">
        <f aca="false">IF(L32&gt;0,L32,0)</f>
        <v>0</v>
      </c>
      <c r="K32" s="6" t="n">
        <f aca="false">I32+J32</f>
        <v>36</v>
      </c>
      <c r="L32" s="6" t="n">
        <f aca="false">F32-(I32-X32)</f>
        <v>-39.2176203680363</v>
      </c>
      <c r="M32" s="6" t="n">
        <v>118</v>
      </c>
      <c r="N32" s="6" t="n">
        <v>0</v>
      </c>
      <c r="O32" s="6" t="n">
        <v>0</v>
      </c>
      <c r="P32" s="6" t="n">
        <f aca="false">M32-(N32+O32)</f>
        <v>118</v>
      </c>
      <c r="Q32" s="6" t="n">
        <v>44</v>
      </c>
      <c r="R32" s="6" t="n">
        <v>13</v>
      </c>
      <c r="S32" s="6" t="n">
        <f aca="false">SUM(P32:R32)</f>
        <v>175</v>
      </c>
      <c r="T32" s="54" t="n">
        <f aca="false">T31+AE32</f>
        <v>2.4935000000003</v>
      </c>
      <c r="U32" s="6" t="n">
        <v>28.1</v>
      </c>
      <c r="V32" s="115" t="n">
        <v>14</v>
      </c>
      <c r="W32" s="116" t="n">
        <f aca="false">W31-V32</f>
        <v>4286.778674061</v>
      </c>
      <c r="X32" s="6" t="n">
        <f aca="false">N32+O32+S32+U32+V32</f>
        <v>217.1</v>
      </c>
      <c r="Y32" s="6" t="n">
        <f aca="false">IF(L32&lt;0,L32*-1,0)</f>
        <v>39.2176203680363</v>
      </c>
      <c r="Z32" s="6" t="n">
        <f aca="false">X32+Y32</f>
        <v>256.317620368036</v>
      </c>
      <c r="AA32" s="11" t="n">
        <v>0</v>
      </c>
      <c r="AB32" s="12" t="n">
        <v>86</v>
      </c>
      <c r="AC32" s="12" t="n">
        <v>49</v>
      </c>
      <c r="AD32" s="13" t="n">
        <f aca="false">AD31+1</f>
        <v>23</v>
      </c>
      <c r="AE32" s="12" t="n">
        <f aca="false">IF(I32&gt;S32,I32-S32,I32-S32)</f>
        <v>-139</v>
      </c>
      <c r="AF32" s="12"/>
      <c r="AH32" s="6"/>
    </row>
    <row r="33" customFormat="false" ht="11.1" hidden="false" customHeight="true" outlineLevel="0" collapsed="false">
      <c r="A33" s="13" t="n">
        <f aca="false">A32+1</f>
        <v>24</v>
      </c>
      <c r="B33" s="31" t="n">
        <v>6867.18</v>
      </c>
      <c r="C33" s="7" t="n">
        <v>180442</v>
      </c>
      <c r="D33" s="12" t="n">
        <f aca="false">C33-C32</f>
        <v>-1028</v>
      </c>
      <c r="E33" s="7" t="n">
        <f aca="false">C33-152000</f>
        <v>28442</v>
      </c>
      <c r="F33" s="6" t="n">
        <f aca="false">D33/$D$2</f>
        <v>-518.275775144946</v>
      </c>
      <c r="G33" s="6" t="n">
        <v>35</v>
      </c>
      <c r="H33" s="11" t="n">
        <v>0</v>
      </c>
      <c r="I33" s="6" t="n">
        <f aca="false">G33+H33</f>
        <v>35</v>
      </c>
      <c r="J33" s="114" t="n">
        <f aca="false">IF(L33&gt;0,L33,0)</f>
        <v>0</v>
      </c>
      <c r="K33" s="6" t="n">
        <f aca="false">I33+J33</f>
        <v>35</v>
      </c>
      <c r="L33" s="6" t="n">
        <f aca="false">F33-(I33-X33)</f>
        <v>-49.0457751449458</v>
      </c>
      <c r="M33" s="6" t="n">
        <v>232</v>
      </c>
      <c r="N33" s="6" t="n">
        <v>0</v>
      </c>
      <c r="O33" s="6" t="n">
        <v>0</v>
      </c>
      <c r="P33" s="6" t="n">
        <f aca="false">M33-(N33+O33)</f>
        <v>232</v>
      </c>
      <c r="Q33" s="6" t="n">
        <v>169</v>
      </c>
      <c r="R33" s="6" t="n">
        <v>65</v>
      </c>
      <c r="S33" s="6" t="n">
        <f aca="false">SUM(P33:R33)</f>
        <v>466</v>
      </c>
      <c r="T33" s="54" t="n">
        <f aca="false">T32+AE33</f>
        <v>-428.5065</v>
      </c>
      <c r="U33" s="6" t="n">
        <v>24.23</v>
      </c>
      <c r="V33" s="115" t="n">
        <v>14</v>
      </c>
      <c r="W33" s="116" t="n">
        <f aca="false">W32-V33</f>
        <v>4272.778674061</v>
      </c>
      <c r="X33" s="6" t="n">
        <f aca="false">N33+O33+S33+U33+V33</f>
        <v>504.23</v>
      </c>
      <c r="Y33" s="6" t="n">
        <f aca="false">IF(L33&lt;0,L33*-1,0)</f>
        <v>49.0457751449458</v>
      </c>
      <c r="Z33" s="6" t="n">
        <f aca="false">X33+Y33</f>
        <v>553.275775144946</v>
      </c>
      <c r="AA33" s="11" t="n">
        <v>0</v>
      </c>
      <c r="AB33" s="12" t="n">
        <v>90</v>
      </c>
      <c r="AC33" s="12" t="n">
        <v>51</v>
      </c>
      <c r="AD33" s="13" t="n">
        <f aca="false">AD32+1</f>
        <v>24</v>
      </c>
      <c r="AE33" s="12" t="n">
        <f aca="false">IF(I33&gt;S33,I33-S33,I33-S33)</f>
        <v>-431</v>
      </c>
      <c r="AF33" s="12"/>
      <c r="AH33" s="6"/>
    </row>
    <row r="34" customFormat="false" ht="11.1" hidden="false" customHeight="true" outlineLevel="0" collapsed="false">
      <c r="A34" s="13" t="n">
        <f aca="false">A33+1</f>
        <v>25</v>
      </c>
      <c r="B34" s="31" t="n">
        <v>6866.78</v>
      </c>
      <c r="C34" s="7" t="n">
        <v>179421</v>
      </c>
      <c r="D34" s="12" t="n">
        <f aca="false">C34-C33</f>
        <v>-1021</v>
      </c>
      <c r="E34" s="7" t="n">
        <f aca="false">C34-152000</f>
        <v>27421</v>
      </c>
      <c r="F34" s="6" t="n">
        <f aca="false">D34/$D$2</f>
        <v>-514.746659944542</v>
      </c>
      <c r="G34" s="6" t="n">
        <v>32</v>
      </c>
      <c r="H34" s="11" t="n">
        <v>0</v>
      </c>
      <c r="I34" s="6" t="n">
        <f aca="false">G34+H34</f>
        <v>32</v>
      </c>
      <c r="J34" s="114" t="n">
        <f aca="false">IF(L34&gt;0,L34,0)</f>
        <v>0</v>
      </c>
      <c r="K34" s="6" t="n">
        <f aca="false">I34+J34</f>
        <v>32</v>
      </c>
      <c r="L34" s="6" t="n">
        <f aca="false">F34-(I34-X34)</f>
        <v>-46.0066599445424</v>
      </c>
      <c r="M34" s="6" t="n">
        <v>223</v>
      </c>
      <c r="N34" s="6" t="n">
        <v>0</v>
      </c>
      <c r="O34" s="6" t="n">
        <v>0</v>
      </c>
      <c r="P34" s="6" t="n">
        <f aca="false">M34-(N34+O34)</f>
        <v>223</v>
      </c>
      <c r="Q34" s="6" t="n">
        <v>167</v>
      </c>
      <c r="R34" s="6" t="n">
        <v>68</v>
      </c>
      <c r="S34" s="6" t="n">
        <f aca="false">SUM(P34:R34)</f>
        <v>458</v>
      </c>
      <c r="T34" s="54" t="n">
        <f aca="false">T33+AE34</f>
        <v>-854.5065</v>
      </c>
      <c r="U34" s="6" t="n">
        <v>28.74</v>
      </c>
      <c r="V34" s="115" t="n">
        <v>14</v>
      </c>
      <c r="W34" s="116" t="n">
        <f aca="false">W33-V34</f>
        <v>4258.778674061</v>
      </c>
      <c r="X34" s="6" t="n">
        <f aca="false">N34+O34+S34+U34+V34</f>
        <v>500.74</v>
      </c>
      <c r="Y34" s="6" t="n">
        <f aca="false">IF(L34&lt;0,L34*-1,0)</f>
        <v>46.0066599445424</v>
      </c>
      <c r="Z34" s="6" t="n">
        <f aca="false">X34+Y34</f>
        <v>546.746659944543</v>
      </c>
      <c r="AA34" s="11" t="n">
        <v>0</v>
      </c>
      <c r="AB34" s="12" t="n">
        <v>92</v>
      </c>
      <c r="AC34" s="12" t="n">
        <v>52</v>
      </c>
      <c r="AD34" s="13" t="n">
        <f aca="false">AD33+1</f>
        <v>25</v>
      </c>
      <c r="AE34" s="12" t="n">
        <f aca="false">IF(I34&gt;S34,I34-S34,I34-S34)</f>
        <v>-426</v>
      </c>
      <c r="AF34" s="12"/>
      <c r="AH34" s="6"/>
    </row>
    <row r="35" customFormat="false" ht="11.1" hidden="false" customHeight="true" outlineLevel="0" collapsed="false">
      <c r="A35" s="13" t="n">
        <f aca="false">A34+1</f>
        <v>26</v>
      </c>
      <c r="B35" s="31" t="n">
        <v>6866.38</v>
      </c>
      <c r="C35" s="7" t="n">
        <v>178408</v>
      </c>
      <c r="D35" s="12" t="n">
        <f aca="false">C35-C34</f>
        <v>-1013</v>
      </c>
      <c r="E35" s="7" t="n">
        <f aca="false">C35-152000</f>
        <v>26408</v>
      </c>
      <c r="F35" s="6" t="n">
        <f aca="false">D35/$D$2</f>
        <v>-510.713385429796</v>
      </c>
      <c r="G35" s="6" t="n">
        <v>30</v>
      </c>
      <c r="H35" s="11" t="n">
        <v>0</v>
      </c>
      <c r="I35" s="6" t="n">
        <f aca="false">G35+H35</f>
        <v>30</v>
      </c>
      <c r="J35" s="114" t="n">
        <f aca="false">IF(L35&gt;0,L35,0)</f>
        <v>0</v>
      </c>
      <c r="K35" s="6" t="n">
        <f aca="false">I35+J35</f>
        <v>30</v>
      </c>
      <c r="L35" s="6" t="n">
        <f aca="false">F35-(I35-X35)</f>
        <v>-25.1933854297958</v>
      </c>
      <c r="M35" s="6" t="n">
        <v>224</v>
      </c>
      <c r="N35" s="6" t="n">
        <v>0</v>
      </c>
      <c r="O35" s="6" t="n">
        <v>0</v>
      </c>
      <c r="P35" s="6" t="n">
        <f aca="false">M35-(N35+O35)</f>
        <v>224</v>
      </c>
      <c r="Q35" s="6" t="n">
        <v>169</v>
      </c>
      <c r="R35" s="6" t="n">
        <v>78</v>
      </c>
      <c r="S35" s="6" t="n">
        <f aca="false">SUM(P35:R35)</f>
        <v>471</v>
      </c>
      <c r="T35" s="54" t="n">
        <f aca="false">T34+AE35</f>
        <v>-1295.5065</v>
      </c>
      <c r="U35" s="6" t="n">
        <v>30.52</v>
      </c>
      <c r="V35" s="115" t="n">
        <v>14</v>
      </c>
      <c r="W35" s="116" t="n">
        <f aca="false">W34-V35</f>
        <v>4244.778674061</v>
      </c>
      <c r="X35" s="6" t="n">
        <f aca="false">N35+O35+S35+U35+V35</f>
        <v>515.52</v>
      </c>
      <c r="Y35" s="6" t="n">
        <f aca="false">IF(L35&lt;0,L35*-1,0)</f>
        <v>25.1933854297958</v>
      </c>
      <c r="Z35" s="6" t="n">
        <f aca="false">X35+Y35</f>
        <v>540.713385429796</v>
      </c>
      <c r="AA35" s="11" t="n">
        <v>0</v>
      </c>
      <c r="AB35" s="12" t="n">
        <v>91</v>
      </c>
      <c r="AC35" s="12" t="n">
        <v>53</v>
      </c>
      <c r="AD35" s="13" t="n">
        <f aca="false">AD34+1</f>
        <v>26</v>
      </c>
      <c r="AE35" s="12" t="n">
        <f aca="false">IF(I35&gt;S35,I35-S35,I35-S35)</f>
        <v>-441</v>
      </c>
      <c r="AF35" s="12"/>
      <c r="AH35" s="3"/>
    </row>
    <row r="36" customFormat="false" ht="11.1" hidden="false" customHeight="true" outlineLevel="0" collapsed="false">
      <c r="A36" s="13" t="n">
        <f aca="false">A35+1</f>
        <v>27</v>
      </c>
      <c r="B36" s="31" t="n">
        <v>6865.97</v>
      </c>
      <c r="C36" s="7" t="n">
        <v>177370</v>
      </c>
      <c r="D36" s="12" t="n">
        <f aca="false">C36-C35</f>
        <v>-1038</v>
      </c>
      <c r="E36" s="7" t="n">
        <f aca="false">C36-152000</f>
        <v>25370</v>
      </c>
      <c r="F36" s="6" t="n">
        <f aca="false">D36/$D$2</f>
        <v>-523.317368288379</v>
      </c>
      <c r="G36" s="6" t="n">
        <v>29</v>
      </c>
      <c r="H36" s="11" t="n">
        <v>0</v>
      </c>
      <c r="I36" s="6" t="n">
        <f aca="false">G36+H36</f>
        <v>29</v>
      </c>
      <c r="J36" s="114" t="n">
        <f aca="false">IF(L36&gt;0,L36,0)</f>
        <v>0</v>
      </c>
      <c r="K36" s="6" t="n">
        <f aca="false">I36+J36</f>
        <v>29</v>
      </c>
      <c r="L36" s="6" t="n">
        <f aca="false">F36-(I36-X36)</f>
        <v>-34.2673682883792</v>
      </c>
      <c r="M36" s="6" t="n">
        <v>238</v>
      </c>
      <c r="N36" s="6" t="n">
        <v>0</v>
      </c>
      <c r="O36" s="6" t="n">
        <v>0</v>
      </c>
      <c r="P36" s="6" t="n">
        <f aca="false">M36-(N36+O36)</f>
        <v>238</v>
      </c>
      <c r="Q36" s="6" t="n">
        <v>170</v>
      </c>
      <c r="R36" s="6" t="n">
        <v>80</v>
      </c>
      <c r="S36" s="6" t="n">
        <f aca="false">SUM(P36:R36)</f>
        <v>488</v>
      </c>
      <c r="T36" s="54" t="n">
        <f aca="false">T35+AE36</f>
        <v>-1754.5065</v>
      </c>
      <c r="U36" s="6" t="n">
        <v>16.05</v>
      </c>
      <c r="V36" s="115" t="n">
        <v>14</v>
      </c>
      <c r="W36" s="116" t="n">
        <f aca="false">W35-V36</f>
        <v>4230.778674061</v>
      </c>
      <c r="X36" s="6" t="n">
        <f aca="false">N36+O36+S36+U36+V36</f>
        <v>518.05</v>
      </c>
      <c r="Y36" s="6" t="n">
        <f aca="false">IF(L36&lt;0,L36*-1,0)</f>
        <v>34.2673682883792</v>
      </c>
      <c r="Z36" s="6" t="n">
        <f aca="false">X36+Y36</f>
        <v>552.317368288379</v>
      </c>
      <c r="AA36" s="11" t="n">
        <v>0</v>
      </c>
      <c r="AB36" s="12" t="n">
        <v>89</v>
      </c>
      <c r="AC36" s="12" t="n">
        <v>59</v>
      </c>
      <c r="AD36" s="13" t="n">
        <f aca="false">AD35+1</f>
        <v>27</v>
      </c>
      <c r="AE36" s="12" t="n">
        <f aca="false">IF(I36&gt;S36,I36-S36,I36-S36)</f>
        <v>-459</v>
      </c>
      <c r="AF36" s="12"/>
      <c r="AH36" s="6"/>
    </row>
    <row r="37" customFormat="false" ht="11.1" hidden="false" customHeight="true" outlineLevel="0" collapsed="false">
      <c r="A37" s="13" t="n">
        <f aca="false">A36+1</f>
        <v>28</v>
      </c>
      <c r="B37" s="31" t="n">
        <v>6865.57</v>
      </c>
      <c r="C37" s="7" t="n">
        <v>176372</v>
      </c>
      <c r="D37" s="12" t="n">
        <f aca="false">C37-C36</f>
        <v>-998</v>
      </c>
      <c r="E37" s="7" t="n">
        <f aca="false">C37-152000</f>
        <v>24372</v>
      </c>
      <c r="F37" s="6" t="n">
        <f aca="false">D37/$D$2</f>
        <v>-503.150995714646</v>
      </c>
      <c r="G37" s="6" t="n">
        <v>28</v>
      </c>
      <c r="H37" s="11" t="n">
        <v>0</v>
      </c>
      <c r="I37" s="6" t="n">
        <f aca="false">G37+H37</f>
        <v>28</v>
      </c>
      <c r="J37" s="114" t="n">
        <f aca="false">IF(L37&gt;0,L37,0)</f>
        <v>0</v>
      </c>
      <c r="K37" s="6" t="n">
        <f aca="false">I37+J37</f>
        <v>28</v>
      </c>
      <c r="L37" s="6" t="n">
        <f aca="false">F37-(I37-X37)</f>
        <v>-6.95099571464579</v>
      </c>
      <c r="M37" s="6" t="n">
        <v>225</v>
      </c>
      <c r="N37" s="6" t="n">
        <v>0</v>
      </c>
      <c r="O37" s="6" t="n">
        <v>0</v>
      </c>
      <c r="P37" s="6" t="n">
        <f aca="false">M37-(N37+O37)</f>
        <v>225</v>
      </c>
      <c r="Q37" s="6" t="n">
        <v>171</v>
      </c>
      <c r="R37" s="6" t="n">
        <v>80</v>
      </c>
      <c r="S37" s="6" t="n">
        <f aca="false">SUM(P37:R37)</f>
        <v>476</v>
      </c>
      <c r="T37" s="54" t="n">
        <f aca="false">T36+AE37</f>
        <v>-2202.5065</v>
      </c>
      <c r="U37" s="6" t="n">
        <v>34.2</v>
      </c>
      <c r="V37" s="115" t="n">
        <v>14</v>
      </c>
      <c r="W37" s="116" t="n">
        <f aca="false">W36-V37</f>
        <v>4216.778674061</v>
      </c>
      <c r="X37" s="6" t="n">
        <f aca="false">N37+O37+S37+U37+V37</f>
        <v>524.2</v>
      </c>
      <c r="Y37" s="6" t="n">
        <f aca="false">IF(L37&lt;0,L37*-1,0)</f>
        <v>6.95099571464579</v>
      </c>
      <c r="Z37" s="6" t="n">
        <f aca="false">X37+Y37</f>
        <v>531.150995714646</v>
      </c>
      <c r="AA37" s="11" t="n">
        <v>0</v>
      </c>
      <c r="AB37" s="12" t="n">
        <v>87</v>
      </c>
      <c r="AC37" s="12" t="n">
        <v>55</v>
      </c>
      <c r="AD37" s="13" t="n">
        <f aca="false">AD36+1</f>
        <v>28</v>
      </c>
      <c r="AE37" s="12" t="n">
        <f aca="false">IF(I37&gt;S37,I37-S37,I37-S37)</f>
        <v>-448</v>
      </c>
      <c r="AF37" s="12"/>
      <c r="AH37" s="6"/>
    </row>
    <row r="38" customFormat="false" ht="11.1" hidden="false" customHeight="true" outlineLevel="0" collapsed="false">
      <c r="A38" s="13" t="n">
        <f aca="false">A37+1</f>
        <v>29</v>
      </c>
      <c r="B38" s="31" t="n">
        <v>6865.15</v>
      </c>
      <c r="C38" s="7" t="n">
        <v>175324</v>
      </c>
      <c r="D38" s="12" t="n">
        <f aca="false">C38-C37</f>
        <v>-1048</v>
      </c>
      <c r="E38" s="7" t="n">
        <f aca="false">C38-152000</f>
        <v>23324</v>
      </c>
      <c r="F38" s="6" t="n">
        <f aca="false">D38/$D$2</f>
        <v>-528.358961431812</v>
      </c>
      <c r="G38" s="6" t="n">
        <v>23</v>
      </c>
      <c r="H38" s="11" t="n">
        <v>0</v>
      </c>
      <c r="I38" s="6" t="n">
        <f aca="false">G38+H38</f>
        <v>23</v>
      </c>
      <c r="J38" s="114" t="n">
        <f aca="false">IF(L38&gt;0,L38,0)</f>
        <v>0</v>
      </c>
      <c r="K38" s="6" t="n">
        <f aca="false">I38+J38</f>
        <v>23</v>
      </c>
      <c r="L38" s="6" t="n">
        <f aca="false">F38-(I38-X38)</f>
        <v>-27.5189614318125</v>
      </c>
      <c r="M38" s="6" t="n">
        <v>236</v>
      </c>
      <c r="N38" s="6" t="n">
        <v>0</v>
      </c>
      <c r="O38" s="6" t="n">
        <v>0</v>
      </c>
      <c r="P38" s="6" t="n">
        <f aca="false">M38-(N38+O38)</f>
        <v>236</v>
      </c>
      <c r="Q38" s="6" t="n">
        <v>171</v>
      </c>
      <c r="R38" s="6" t="n">
        <v>82</v>
      </c>
      <c r="S38" s="6" t="n">
        <f aca="false">SUM(P38:R38)</f>
        <v>489</v>
      </c>
      <c r="T38" s="54" t="n">
        <f aca="false">T37+AE38</f>
        <v>-2668.5065</v>
      </c>
      <c r="U38" s="6" t="n">
        <v>20.84</v>
      </c>
      <c r="V38" s="115" t="n">
        <v>14</v>
      </c>
      <c r="W38" s="116" t="n">
        <f aca="false">W37-V38</f>
        <v>4202.778674061</v>
      </c>
      <c r="X38" s="6" t="n">
        <f aca="false">N38+O38+S38+U38+V38</f>
        <v>523.84</v>
      </c>
      <c r="Y38" s="6" t="n">
        <f aca="false">IF(L38&lt;0,L38*-1,0)</f>
        <v>27.5189614318125</v>
      </c>
      <c r="Z38" s="6" t="n">
        <f aca="false">X38+Y38</f>
        <v>551.358961431812</v>
      </c>
      <c r="AA38" s="11" t="n">
        <v>0</v>
      </c>
      <c r="AB38" s="12" t="n">
        <v>90</v>
      </c>
      <c r="AC38" s="12" t="n">
        <v>53</v>
      </c>
      <c r="AD38" s="13" t="n">
        <f aca="false">AD37+1</f>
        <v>29</v>
      </c>
      <c r="AE38" s="12" t="n">
        <f aca="false">IF(I38&gt;S38,I38-S38,I38-S38)</f>
        <v>-466</v>
      </c>
      <c r="AF38" s="12"/>
      <c r="AH38" s="6"/>
    </row>
    <row r="39" customFormat="false" ht="11.1" hidden="false" customHeight="true" outlineLevel="0" collapsed="false">
      <c r="A39" s="13" t="n">
        <v>30</v>
      </c>
      <c r="B39" s="31" t="n">
        <v>6864.7</v>
      </c>
      <c r="C39" s="7" t="n">
        <v>174213</v>
      </c>
      <c r="D39" s="12" t="n">
        <f aca="false">C39-C38</f>
        <v>-1111</v>
      </c>
      <c r="E39" s="7" t="n">
        <f aca="false">C39-152000</f>
        <v>22213</v>
      </c>
      <c r="F39" s="6" t="n">
        <f aca="false">D39/$D$2</f>
        <v>-560.120998235442</v>
      </c>
      <c r="G39" s="6" t="n">
        <v>21</v>
      </c>
      <c r="H39" s="11" t="n">
        <v>0</v>
      </c>
      <c r="I39" s="6" t="n">
        <f aca="false">G39+H39</f>
        <v>21</v>
      </c>
      <c r="J39" s="114" t="n">
        <f aca="false">IF(L39&gt;0,L39,0)</f>
        <v>0</v>
      </c>
      <c r="K39" s="6" t="n">
        <f aca="false">I39+J39</f>
        <v>21</v>
      </c>
      <c r="L39" s="6" t="n">
        <f aca="false">F39-(I39-X39)</f>
        <v>-57.7809982354424</v>
      </c>
      <c r="M39" s="6" t="n">
        <v>236</v>
      </c>
      <c r="N39" s="6" t="n">
        <v>0</v>
      </c>
      <c r="O39" s="6" t="n">
        <f aca="false">0.43*1.05</f>
        <v>0.4515</v>
      </c>
      <c r="P39" s="6" t="n">
        <f aca="false">M39-(N39+O39)</f>
        <v>235.5485</v>
      </c>
      <c r="Q39" s="6" t="n">
        <v>169</v>
      </c>
      <c r="R39" s="6" t="n">
        <v>80</v>
      </c>
      <c r="S39" s="6" t="n">
        <f aca="false">SUM(P39:R39)</f>
        <v>484.5485</v>
      </c>
      <c r="T39" s="54" t="n">
        <f aca="false">T38+AE39</f>
        <v>-3132.055</v>
      </c>
      <c r="U39" s="6" t="n">
        <v>24.34</v>
      </c>
      <c r="V39" s="115" t="n">
        <v>14</v>
      </c>
      <c r="W39" s="116" t="n">
        <f aca="false">W38-V39</f>
        <v>4188.778674061</v>
      </c>
      <c r="X39" s="6" t="n">
        <f aca="false">N39+O39+S39+U39+V39</f>
        <v>523.34</v>
      </c>
      <c r="Y39" s="6" t="n">
        <f aca="false">IF(L39&lt;0,L39*-1,0)</f>
        <v>57.7809982354424</v>
      </c>
      <c r="Z39" s="6" t="n">
        <f aca="false">X39+Y39</f>
        <v>581.120998235442</v>
      </c>
      <c r="AA39" s="11" t="n">
        <v>0</v>
      </c>
      <c r="AB39" s="12" t="n">
        <v>93</v>
      </c>
      <c r="AC39" s="12" t="n">
        <v>54</v>
      </c>
      <c r="AD39" s="13" t="n">
        <v>30</v>
      </c>
      <c r="AE39" s="12" t="n">
        <f aca="false">IF(I39&gt;S39,I39-S39,I39-S39)</f>
        <v>-463.5485</v>
      </c>
      <c r="AF39" s="12"/>
      <c r="AH39" s="6"/>
    </row>
    <row r="40" customFormat="false" ht="3" hidden="false" customHeight="true" outlineLevel="0" collapsed="false">
      <c r="A40" s="32"/>
      <c r="B40" s="32"/>
      <c r="C40" s="34"/>
      <c r="D40" s="32"/>
      <c r="E40" s="34"/>
      <c r="F40" s="32"/>
      <c r="G40" s="32"/>
      <c r="H40" s="36" t="n">
        <v>0.29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2"/>
      <c r="X40" s="32"/>
      <c r="Y40" s="32"/>
      <c r="Z40" s="32"/>
      <c r="AA40" s="36"/>
      <c r="AB40" s="37"/>
      <c r="AC40" s="37"/>
      <c r="AD40" s="38"/>
      <c r="AE40" s="108"/>
      <c r="AF40" s="108"/>
    </row>
    <row r="41" customFormat="false" ht="11.1" hidden="false" customHeight="true" outlineLevel="0" collapsed="false">
      <c r="A41" s="6" t="s">
        <v>46</v>
      </c>
      <c r="B41" s="6"/>
      <c r="C41" s="7"/>
      <c r="D41" s="7"/>
      <c r="E41" s="7"/>
      <c r="F41" s="7" t="n">
        <f aca="false">SUM(F10:F39)</f>
        <v>-11128.8127048147</v>
      </c>
      <c r="G41" s="7" t="n">
        <f aca="false">SUM(G10:G39)</f>
        <v>2064</v>
      </c>
      <c r="H41" s="11" t="n">
        <f aca="false">SUM(H10:H39)</f>
        <v>0</v>
      </c>
      <c r="I41" s="7" t="n">
        <f aca="false">SUM(I10:I39)</f>
        <v>2064</v>
      </c>
      <c r="J41" s="7" t="n">
        <f aca="false">SUM(J10:J39)</f>
        <v>70.4274640786489</v>
      </c>
      <c r="K41" s="7" t="n">
        <f aca="false">SUM(K10:K39)</f>
        <v>2134.42746407865</v>
      </c>
      <c r="L41" s="7" t="n">
        <f aca="false">SUM(L10:L39)</f>
        <v>-765.492704814721</v>
      </c>
      <c r="M41" s="7" t="n">
        <f aca="false">SUM(M10:M39)</f>
        <v>5311</v>
      </c>
      <c r="N41" s="7" t="n">
        <f aca="false">SUM(N10:N39)</f>
        <v>12.5</v>
      </c>
      <c r="O41" s="7" t="n">
        <f aca="false">SUM(O10:O39)</f>
        <v>14.48</v>
      </c>
      <c r="P41" s="7" t="n">
        <f aca="false">SUM(P10:P39)</f>
        <v>5284.02</v>
      </c>
      <c r="Q41" s="7" t="n">
        <f aca="false">SUM(Q10:Q39)</f>
        <v>3476</v>
      </c>
      <c r="R41" s="7" t="n">
        <f aca="false">SUM(R10:R39)</f>
        <v>1470</v>
      </c>
      <c r="S41" s="7" t="n">
        <f aca="false">SUM(S10:S39)</f>
        <v>10230.02</v>
      </c>
      <c r="T41" s="7"/>
      <c r="U41" s="7" t="n">
        <f aca="false">SUM(U10:U39)</f>
        <v>1746.32</v>
      </c>
      <c r="V41" s="7" t="n">
        <f aca="false">SUM(V10:V39)</f>
        <v>424</v>
      </c>
      <c r="W41" s="7"/>
      <c r="X41" s="7" t="n">
        <f aca="false">SUM(X10:X39)</f>
        <v>12427.32</v>
      </c>
      <c r="Y41" s="7" t="n">
        <f aca="false">SUM(Y10:Y39)</f>
        <v>835.92016889337</v>
      </c>
      <c r="Z41" s="7" t="n">
        <f aca="false">SUM(Z10:Z39)</f>
        <v>13263.2401688934</v>
      </c>
      <c r="AA41" s="11" t="n">
        <f aca="false">SUM(AA10:AA39)</f>
        <v>0</v>
      </c>
      <c r="AB41" s="12" t="n">
        <f aca="false">AVERAGE(AB10:AB39)</f>
        <v>86.6333333333333</v>
      </c>
      <c r="AC41" s="12" t="n">
        <f aca="false">AVERAGE(AC10:AC39)</f>
        <v>50.5</v>
      </c>
      <c r="AD41" s="13" t="s">
        <v>73</v>
      </c>
      <c r="AE41" s="108"/>
      <c r="AF41" s="108"/>
    </row>
    <row r="42" customFormat="false" ht="11.1" hidden="false" customHeight="true" outlineLevel="0" collapsed="false">
      <c r="A42" s="6" t="s">
        <v>48</v>
      </c>
      <c r="B42" s="6"/>
      <c r="C42" s="7"/>
      <c r="D42" s="7" t="n">
        <f aca="false">SUM(D10:D39)</f>
        <v>-22074</v>
      </c>
      <c r="E42" s="7"/>
      <c r="F42" s="7" t="n">
        <f aca="false">F41*$D$2</f>
        <v>-22074</v>
      </c>
      <c r="G42" s="7" t="n">
        <f aca="false">G41*$D$2</f>
        <v>4093.944</v>
      </c>
      <c r="H42" s="11" t="n">
        <f aca="false">H41*$D$2</f>
        <v>0</v>
      </c>
      <c r="I42" s="7" t="n">
        <f aca="false">I41*$D$2</f>
        <v>4093.944</v>
      </c>
      <c r="J42" s="7" t="n">
        <f aca="false">J41*$D$2</f>
        <v>139.692875</v>
      </c>
      <c r="K42" s="7" t="n">
        <f aca="false">K41*$D$2</f>
        <v>4233.636875</v>
      </c>
      <c r="L42" s="7" t="n">
        <f aca="false">L41*$D$2</f>
        <v>-1518.35478</v>
      </c>
      <c r="M42" s="7" t="n">
        <f aca="false">M41*$D$2</f>
        <v>10534.3685</v>
      </c>
      <c r="N42" s="7" t="n">
        <f aca="false">N41*$D$2</f>
        <v>24.79375</v>
      </c>
      <c r="O42" s="7" t="n">
        <f aca="false">O41*$D$2</f>
        <v>28.72108</v>
      </c>
      <c r="P42" s="7" t="n">
        <f aca="false">P41*$D$2</f>
        <v>10480.85367</v>
      </c>
      <c r="Q42" s="7" t="n">
        <f aca="false">Q41*$D$2</f>
        <v>6894.646</v>
      </c>
      <c r="R42" s="7" t="n">
        <f aca="false">R41*$D$2</f>
        <v>2915.745</v>
      </c>
      <c r="S42" s="7" t="n">
        <f aca="false">S41*$D$2</f>
        <v>20291.24467</v>
      </c>
      <c r="T42" s="7"/>
      <c r="U42" s="7" t="n">
        <f aca="false">U41*$D$2</f>
        <v>3463.82572</v>
      </c>
      <c r="V42" s="7" t="n">
        <f aca="false">V41*$D$2</f>
        <v>841.004</v>
      </c>
      <c r="W42" s="7"/>
      <c r="X42" s="7" t="n">
        <f aca="false">X41*$D$2</f>
        <v>24649.58922</v>
      </c>
      <c r="Y42" s="7" t="n">
        <f aca="false">Y41*$D$2</f>
        <v>1658.047655</v>
      </c>
      <c r="Z42" s="7" t="n">
        <f aca="false">Z41*$D$2</f>
        <v>26307.636875</v>
      </c>
      <c r="AA42" s="11"/>
      <c r="AB42" s="12" t="n">
        <f aca="false">MAX(AB10:AB39)</f>
        <v>93</v>
      </c>
      <c r="AC42" s="12" t="n">
        <f aca="false">MAX(AC10:AC39)</f>
        <v>63</v>
      </c>
      <c r="AD42" s="13" t="s">
        <v>49</v>
      </c>
      <c r="AE42" s="108"/>
      <c r="AF42" s="108"/>
    </row>
    <row r="43" customFormat="false" ht="3" hidden="false" customHeight="true" outlineLevel="0" collapsed="false">
      <c r="A43" s="32"/>
      <c r="B43" s="32"/>
      <c r="C43" s="34"/>
      <c r="D43" s="34"/>
      <c r="E43" s="34"/>
      <c r="F43" s="34"/>
      <c r="G43" s="34"/>
      <c r="H43" s="36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2"/>
      <c r="X43" s="34"/>
      <c r="Y43" s="34"/>
      <c r="Z43" s="34"/>
      <c r="AA43" s="11"/>
      <c r="AB43" s="12"/>
      <c r="AC43" s="12"/>
      <c r="AD43" s="13"/>
      <c r="AE43" s="108"/>
      <c r="AF43" s="108"/>
    </row>
    <row r="44" customFormat="false" ht="11.1" hidden="false" customHeight="true" outlineLevel="0" collapsed="false">
      <c r="A44" s="6" t="s">
        <v>50</v>
      </c>
      <c r="B44" s="6"/>
      <c r="C44" s="7"/>
      <c r="D44" s="7"/>
      <c r="E44" s="7"/>
      <c r="F44" s="7" t="n">
        <f aca="false">F7+F41</f>
        <v>-16815.2256112932</v>
      </c>
      <c r="G44" s="7" t="n">
        <f aca="false">G7+G41</f>
        <v>19946</v>
      </c>
      <c r="H44" s="11" t="n">
        <f aca="false">H7+H41</f>
        <v>27.82</v>
      </c>
      <c r="I44" s="7" t="n">
        <f aca="false">I7+I41</f>
        <v>19973.82</v>
      </c>
      <c r="J44" s="7" t="n">
        <f aca="false">J7+J41</f>
        <v>395.21194101336</v>
      </c>
      <c r="K44" s="7" t="n">
        <f aca="false">K7+K41</f>
        <v>20369.0319410134</v>
      </c>
      <c r="L44" s="7" t="n">
        <f aca="false">L7+L41</f>
        <v>-1894.86561129317</v>
      </c>
      <c r="M44" s="7" t="n">
        <f aca="false">M7+M41</f>
        <v>15646</v>
      </c>
      <c r="N44" s="7" t="n">
        <f aca="false">N7+N41</f>
        <v>25.6</v>
      </c>
      <c r="O44" s="7" t="n">
        <f aca="false">O7+O41</f>
        <v>2499.525</v>
      </c>
      <c r="P44" s="7" t="n">
        <f aca="false">P7+P41</f>
        <v>13120.875</v>
      </c>
      <c r="Q44" s="7" t="n">
        <f aca="false">Q7+Q41</f>
        <v>6362</v>
      </c>
      <c r="R44" s="7" t="n">
        <f aca="false">R7+R41</f>
        <v>3623</v>
      </c>
      <c r="S44" s="7" t="n">
        <f aca="false">S7+S41</f>
        <v>23105.875</v>
      </c>
      <c r="T44" s="145" t="n">
        <f aca="false">T39</f>
        <v>-3132.055</v>
      </c>
      <c r="U44" s="7" t="n">
        <f aca="false">U7+U41</f>
        <v>7418.18</v>
      </c>
      <c r="V44" s="7" t="n">
        <f aca="false">V7+V41</f>
        <v>1845</v>
      </c>
      <c r="W44" s="145" t="n">
        <f aca="false">W39</f>
        <v>4188.778674061</v>
      </c>
      <c r="X44" s="7" t="n">
        <f aca="false">X7+X41</f>
        <v>34894.18</v>
      </c>
      <c r="Y44" s="7" t="n">
        <f aca="false">Y7+Y41</f>
        <v>2290.07755230653</v>
      </c>
      <c r="Z44" s="7" t="n">
        <f aca="false">Z7+Z41</f>
        <v>37184.2575523065</v>
      </c>
      <c r="AA44" s="11"/>
      <c r="AB44" s="12" t="n">
        <f aca="false">MIN(AB10:AB39)</f>
        <v>72</v>
      </c>
      <c r="AC44" s="12" t="n">
        <f aca="false">MIN(AC10:AC39)</f>
        <v>42</v>
      </c>
      <c r="AD44" s="13" t="s">
        <v>51</v>
      </c>
      <c r="AE44" s="108"/>
      <c r="AF44" s="108"/>
    </row>
    <row r="45" customFormat="false" ht="11.1" hidden="false" customHeight="true" outlineLevel="0" collapsed="false">
      <c r="A45" s="6" t="s">
        <v>52</v>
      </c>
      <c r="B45" s="6"/>
      <c r="C45" s="7"/>
      <c r="D45" s="7"/>
      <c r="E45" s="7"/>
      <c r="F45" s="7" t="n">
        <f aca="false">F44*$D$2</f>
        <v>-33353</v>
      </c>
      <c r="G45" s="7" t="n">
        <f aca="false">G44*$D$2</f>
        <v>39562.891</v>
      </c>
      <c r="H45" s="11" t="n">
        <f aca="false">H44*$D$2</f>
        <v>55.18097</v>
      </c>
      <c r="I45" s="7" t="n">
        <f aca="false">I44*$D$2</f>
        <v>39618.07197</v>
      </c>
      <c r="J45" s="7" t="n">
        <f aca="false">J44*$D$2</f>
        <v>783.902885</v>
      </c>
      <c r="K45" s="7" t="n">
        <f aca="false">K44*$D$2</f>
        <v>40401.974855</v>
      </c>
      <c r="L45" s="7" t="n">
        <f aca="false">L44*$D$2</f>
        <v>-3758.46594</v>
      </c>
      <c r="M45" s="7" t="n">
        <f aca="false">M44*$D$2</f>
        <v>31033.841</v>
      </c>
      <c r="N45" s="7" t="n">
        <f aca="false">N44*$D$2</f>
        <v>50.7776</v>
      </c>
      <c r="O45" s="7" t="n">
        <f aca="false">O44*$D$2</f>
        <v>4957.8078375</v>
      </c>
      <c r="P45" s="7" t="n">
        <f aca="false">P44*$D$2</f>
        <v>26025.2555625</v>
      </c>
      <c r="Q45" s="7" t="n">
        <f aca="false">Q44*$D$2</f>
        <v>12619.027</v>
      </c>
      <c r="R45" s="7" t="n">
        <f aca="false">R44*$D$2</f>
        <v>7186.2205</v>
      </c>
      <c r="S45" s="7" t="n">
        <f aca="false">S44*$D$2</f>
        <v>45830.5030625</v>
      </c>
      <c r="T45" s="7" t="n">
        <f aca="false">T44*$D$2</f>
        <v>-6212.4310925</v>
      </c>
      <c r="U45" s="7" t="n">
        <f aca="false">U44*$D$2</f>
        <v>14713.96003</v>
      </c>
      <c r="V45" s="7" t="n">
        <f aca="false">V44*$D$2</f>
        <v>3659.5575</v>
      </c>
      <c r="W45" s="7" t="n">
        <f aca="false">W44*$D$2</f>
        <v>8308.4425</v>
      </c>
      <c r="X45" s="7" t="n">
        <f aca="false">X44*$D$2</f>
        <v>69212.60603</v>
      </c>
      <c r="Y45" s="7" t="n">
        <f aca="false">Y44*$D$2</f>
        <v>4542.368825</v>
      </c>
      <c r="Z45" s="7" t="n">
        <f aca="false">Z44*$D$2</f>
        <v>73754.974855</v>
      </c>
      <c r="AA45" s="11"/>
      <c r="AB45" s="12"/>
      <c r="AC45" s="12"/>
      <c r="AD45" s="13"/>
      <c r="AE45" s="108"/>
      <c r="AF45" s="108"/>
    </row>
    <row r="46" customFormat="false" ht="3" hidden="false" customHeight="true" outlineLevel="0" collapsed="false">
      <c r="A46" s="32"/>
      <c r="B46" s="32"/>
      <c r="C46" s="34"/>
      <c r="D46" s="34"/>
      <c r="E46" s="34"/>
      <c r="F46" s="34"/>
      <c r="G46" s="34"/>
      <c r="H46" s="36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6"/>
      <c r="AB46" s="12"/>
      <c r="AC46" s="12"/>
      <c r="AD46" s="13"/>
      <c r="AE46" s="108"/>
      <c r="AF46" s="108"/>
    </row>
    <row r="47" customFormat="false" ht="11.1" hidden="false" customHeight="true" outlineLevel="0" collapsed="false">
      <c r="A47" s="6" t="s">
        <v>53</v>
      </c>
      <c r="B47" s="6"/>
      <c r="C47" s="7"/>
      <c r="D47" s="7"/>
      <c r="E47" s="7"/>
      <c r="F47" s="7" t="n">
        <f aca="false">F8+F41</f>
        <v>-15998.487522057</v>
      </c>
      <c r="G47" s="7" t="n">
        <f aca="false">G8+G41</f>
        <v>26488</v>
      </c>
      <c r="H47" s="11" t="n">
        <f aca="false">H8+H41</f>
        <v>63.35</v>
      </c>
      <c r="I47" s="7" t="n">
        <f aca="false">I8+I41</f>
        <v>26503.82</v>
      </c>
      <c r="J47" s="7" t="n">
        <f aca="false">J8+J41</f>
        <v>1801.76254096294</v>
      </c>
      <c r="K47" s="7" t="n">
        <f aca="false">K8+K41</f>
        <v>28305.582540963</v>
      </c>
      <c r="L47" s="7" t="n">
        <f aca="false">L8+L41</f>
        <v>-1624.04752205697</v>
      </c>
      <c r="M47" s="7" t="n">
        <f aca="false">M8+M41</f>
        <v>16841.58</v>
      </c>
      <c r="N47" s="7" t="n">
        <f aca="false">N8+N41</f>
        <v>30.68</v>
      </c>
      <c r="O47" s="7" t="n">
        <f aca="false">O8+O41</f>
        <v>3010.86</v>
      </c>
      <c r="P47" s="7" t="n">
        <f aca="false">P8+P41</f>
        <v>14202.24</v>
      </c>
      <c r="Q47" s="7" t="n">
        <f aca="false">Q8+Q41</f>
        <v>6362</v>
      </c>
      <c r="R47" s="7" t="n">
        <f aca="false">R8+R41</f>
        <v>3750.5</v>
      </c>
      <c r="S47" s="7" t="n">
        <f aca="false">S8+S41</f>
        <v>24314.74</v>
      </c>
      <c r="T47" s="7" t="n">
        <f aca="false">T39</f>
        <v>-3132.055</v>
      </c>
      <c r="U47" s="7" t="n">
        <f aca="false">U8+U41</f>
        <v>7418.18</v>
      </c>
      <c r="V47" s="7" t="n">
        <f aca="false">V8+V41</f>
        <v>6506</v>
      </c>
      <c r="X47" s="7" t="n">
        <f aca="false">X8+X41</f>
        <v>40878.26</v>
      </c>
      <c r="Y47" s="7" t="n">
        <f aca="false">Y8+Y41</f>
        <v>3425.81006301991</v>
      </c>
      <c r="Z47" s="7" t="n">
        <f aca="false">Z8+Z41</f>
        <v>44304.0700630199</v>
      </c>
      <c r="AA47" s="11" t="n">
        <f aca="false">AA8+AA41</f>
        <v>3.6</v>
      </c>
      <c r="AB47" s="12"/>
      <c r="AC47" s="12"/>
      <c r="AD47" s="13"/>
      <c r="AE47" s="108"/>
      <c r="AF47" s="108"/>
    </row>
    <row r="48" customFormat="false" ht="11.1" hidden="false" customHeight="true" outlineLevel="0" collapsed="false">
      <c r="A48" s="6" t="s">
        <v>54</v>
      </c>
      <c r="B48" s="6"/>
      <c r="C48" s="7"/>
      <c r="D48" s="7" t="n">
        <f aca="false">D8+D42</f>
        <v>-31733</v>
      </c>
      <c r="E48" s="7" t="n">
        <f aca="false">E39</f>
        <v>22213</v>
      </c>
      <c r="F48" s="7" t="n">
        <f aca="false">F47*$D$2</f>
        <v>-31733</v>
      </c>
      <c r="G48" s="7" t="n">
        <f aca="false">G47*$D$2</f>
        <v>52538.948</v>
      </c>
      <c r="H48" s="11" t="n">
        <f aca="false">H47*$D$2</f>
        <v>125.654725</v>
      </c>
      <c r="I48" s="7" t="n">
        <f aca="false">I47*$D$2</f>
        <v>52570.32697</v>
      </c>
      <c r="J48" s="7" t="n">
        <f aca="false">J47*$D$2</f>
        <v>3573.796</v>
      </c>
      <c r="K48" s="7" t="n">
        <f aca="false">K47*$D$2</f>
        <v>56144.12297</v>
      </c>
      <c r="L48" s="7" t="n">
        <f aca="false">L47*$D$2</f>
        <v>-3221.29826</v>
      </c>
      <c r="M48" s="7" t="n">
        <f aca="false">M47*$D$2</f>
        <v>33405.27393</v>
      </c>
      <c r="N48" s="7" t="n">
        <f aca="false">N47*$D$2</f>
        <v>60.85378</v>
      </c>
      <c r="O48" s="7" t="n">
        <f aca="false">O47*$D$2</f>
        <v>5972.04081</v>
      </c>
      <c r="P48" s="7" t="n">
        <f aca="false">P47*$D$2</f>
        <v>28170.14304</v>
      </c>
      <c r="Q48" s="7" t="n">
        <f aca="false">Q47*$D$2</f>
        <v>12619.027</v>
      </c>
      <c r="R48" s="7" t="n">
        <f aca="false">R47*$D$2</f>
        <v>7439.11675</v>
      </c>
      <c r="S48" s="7" t="n">
        <f aca="false">S47*$D$2</f>
        <v>48228.28679</v>
      </c>
      <c r="T48" s="7" t="n">
        <f aca="false">T47*$D$2</f>
        <v>-6212.4310925</v>
      </c>
      <c r="U48" s="7" t="n">
        <f aca="false">U47*$D$2</f>
        <v>14713.96003</v>
      </c>
      <c r="V48" s="7" t="n">
        <f aca="false">V47*$D$2</f>
        <v>12904.651</v>
      </c>
      <c r="X48" s="7" t="n">
        <f aca="false">X47*$D$2</f>
        <v>81082.02871</v>
      </c>
      <c r="Y48" s="7" t="n">
        <f aca="false">Y47*$D$2</f>
        <v>6795.09426</v>
      </c>
      <c r="Z48" s="7" t="n">
        <f aca="false">Z47*$D$2</f>
        <v>87877.12297</v>
      </c>
      <c r="AA48" s="11"/>
      <c r="AB48" s="12"/>
      <c r="AC48" s="12"/>
      <c r="AD48" s="13"/>
      <c r="AE48" s="108"/>
      <c r="AF48" s="108"/>
    </row>
    <row r="49" customFormat="false" ht="3" hidden="false" customHeight="true" outlineLevel="0" collapsed="false">
      <c r="A49" s="32"/>
      <c r="B49" s="32"/>
      <c r="C49" s="34"/>
      <c r="D49" s="32"/>
      <c r="E49" s="34"/>
      <c r="F49" s="32"/>
      <c r="G49" s="32"/>
      <c r="H49" s="36"/>
      <c r="I49" s="32"/>
      <c r="J49" s="32"/>
      <c r="K49" s="146"/>
      <c r="L49" s="32"/>
      <c r="M49" s="32"/>
      <c r="N49" s="32"/>
      <c r="O49" s="32"/>
      <c r="P49" s="32"/>
      <c r="Q49" s="32"/>
      <c r="R49" s="32"/>
      <c r="S49" s="32"/>
      <c r="T49" s="34"/>
      <c r="U49" s="32"/>
      <c r="V49" s="32"/>
      <c r="W49" s="34"/>
      <c r="X49" s="32"/>
      <c r="Y49" s="32"/>
      <c r="Z49" s="32"/>
      <c r="AA49" s="11"/>
      <c r="AB49" s="12"/>
      <c r="AC49" s="12"/>
      <c r="AD49" s="13"/>
      <c r="AE49" s="108"/>
      <c r="AF49" s="108"/>
    </row>
    <row r="50" customFormat="false" ht="14.1" hidden="false" customHeight="true" outlineLevel="0" collapsed="false">
      <c r="A50" s="42"/>
      <c r="B50" s="31" t="s">
        <v>83</v>
      </c>
      <c r="C50" s="7"/>
      <c r="D50" s="6"/>
      <c r="E50" s="145" t="n">
        <f aca="false">E39</f>
        <v>22213</v>
      </c>
      <c r="H50" s="11" t="s">
        <v>84</v>
      </c>
      <c r="I50" s="6"/>
      <c r="J50" s="6"/>
      <c r="K50" s="147"/>
      <c r="L50" s="54" t="n">
        <f aca="false">3500+2932</f>
        <v>6432</v>
      </c>
      <c r="M50" s="6"/>
      <c r="N50" s="6"/>
      <c r="O50" s="6"/>
      <c r="P50" s="6"/>
      <c r="Q50" s="6"/>
      <c r="R50" s="6"/>
      <c r="S50" s="6"/>
      <c r="T50" s="148"/>
      <c r="U50" s="6"/>
      <c r="V50" s="6"/>
      <c r="W50" s="145" t="n">
        <v>272</v>
      </c>
      <c r="X50" s="6"/>
      <c r="Y50" s="6"/>
      <c r="Z50" s="6"/>
      <c r="AA50" s="11"/>
      <c r="AB50" s="12"/>
      <c r="AC50" s="12"/>
      <c r="AD50" s="13"/>
      <c r="AE50" s="108"/>
      <c r="AF50" s="108"/>
    </row>
    <row r="51" customFormat="false" ht="11.1" hidden="false" customHeight="true" outlineLevel="0" collapsed="false">
      <c r="A51" s="6"/>
      <c r="B51" s="31" t="s">
        <v>85</v>
      </c>
      <c r="C51" s="7"/>
      <c r="D51" s="41"/>
      <c r="E51" s="127" t="n">
        <f aca="false">L53+O53+T53+U53+W53</f>
        <v>19920.8449945833</v>
      </c>
      <c r="F51" s="149"/>
      <c r="H51" s="11" t="s">
        <v>86</v>
      </c>
      <c r="I51" s="8"/>
      <c r="J51" s="6"/>
      <c r="K51" s="44"/>
      <c r="L51" s="83" t="n">
        <f aca="false">L50/210</f>
        <v>30.6285714285714</v>
      </c>
      <c r="M51" s="6"/>
      <c r="N51" s="6"/>
      <c r="O51" s="6"/>
      <c r="P51" s="150" t="s">
        <v>87</v>
      </c>
      <c r="Q51" s="151"/>
      <c r="R51" s="152"/>
      <c r="S51" s="153" t="n">
        <v>91</v>
      </c>
      <c r="T51" s="154" t="n">
        <v>14832</v>
      </c>
      <c r="U51" s="148"/>
      <c r="V51" s="6"/>
      <c r="W51" s="7" t="n">
        <f aca="false">W45/W50</f>
        <v>30.5457444852941</v>
      </c>
      <c r="X51" s="6"/>
      <c r="Y51" s="6"/>
      <c r="Z51" s="6"/>
      <c r="AA51" s="11"/>
      <c r="AB51" s="12"/>
      <c r="AC51" s="12"/>
      <c r="AD51" s="13"/>
      <c r="AE51" s="108"/>
      <c r="AF51" s="108"/>
    </row>
    <row r="52" customFormat="false" ht="11.1" hidden="false" customHeight="true" outlineLevel="0" collapsed="false">
      <c r="B52" s="54"/>
      <c r="C52" s="47"/>
      <c r="D52" s="46"/>
      <c r="E52" s="127"/>
      <c r="F52" s="155"/>
      <c r="H52" s="11" t="s">
        <v>88</v>
      </c>
      <c r="I52" s="41"/>
      <c r="J52" s="41"/>
      <c r="K52" s="156"/>
      <c r="L52" s="157" t="n">
        <f aca="false">210-S51</f>
        <v>119</v>
      </c>
      <c r="M52" s="39"/>
      <c r="N52" s="39"/>
      <c r="O52" s="158" t="n">
        <v>6289</v>
      </c>
      <c r="P52" s="159" t="s">
        <v>89</v>
      </c>
      <c r="Q52" s="160"/>
      <c r="R52" s="144"/>
      <c r="S52" s="161" t="n">
        <f aca="false">2932/210</f>
        <v>13.9619047619048</v>
      </c>
      <c r="T52" s="162" t="n">
        <f aca="false">S51*S52</f>
        <v>1270.53333333333</v>
      </c>
      <c r="U52" s="163" t="n">
        <f aca="false">14562+1946+600+15+25</f>
        <v>17148</v>
      </c>
      <c r="V52" s="7"/>
      <c r="W52" s="164"/>
      <c r="X52" s="41"/>
      <c r="Y52" s="41"/>
      <c r="Z52" s="10"/>
      <c r="AA52" s="11"/>
      <c r="AB52" s="12"/>
      <c r="AC52" s="13"/>
      <c r="AD52" s="118"/>
      <c r="AE52" s="118"/>
    </row>
    <row r="53" customFormat="false" ht="11.1" hidden="false" customHeight="true" outlineLevel="0" collapsed="false">
      <c r="A53" s="41"/>
      <c r="B53" s="165" t="s">
        <v>90</v>
      </c>
      <c r="C53" s="166"/>
      <c r="D53" s="166"/>
      <c r="E53" s="167" t="n">
        <f aca="false">E50-E51</f>
        <v>2292.15500541667</v>
      </c>
      <c r="H53" s="54" t="s">
        <v>76</v>
      </c>
      <c r="J53" s="41"/>
      <c r="K53" s="156"/>
      <c r="L53" s="83" t="n">
        <f aca="false">L52*L51</f>
        <v>3644.8</v>
      </c>
      <c r="M53" s="39"/>
      <c r="N53" s="39"/>
      <c r="O53" s="59" t="n">
        <f aca="false">O52-O48</f>
        <v>316.95919</v>
      </c>
      <c r="P53" s="168"/>
      <c r="Q53" s="169"/>
      <c r="R53" s="169"/>
      <c r="S53" s="170"/>
      <c r="T53" s="171" t="n">
        <f aca="false">(T51+T52)+T45</f>
        <v>9890.10224083333</v>
      </c>
      <c r="U53" s="54" t="n">
        <f aca="false">U52-U48</f>
        <v>2434.03997</v>
      </c>
      <c r="V53" s="7"/>
      <c r="W53" s="54" t="n">
        <f aca="false">L52*W51</f>
        <v>3634.94359375</v>
      </c>
      <c r="X53" s="41"/>
      <c r="Y53" s="41"/>
      <c r="Z53" s="10"/>
      <c r="AA53" s="11"/>
      <c r="AB53" s="12"/>
      <c r="AC53" s="13"/>
      <c r="AD53" s="118"/>
      <c r="AE53" s="118"/>
    </row>
    <row r="54" customFormat="false" ht="11.1" hidden="false" customHeight="true" outlineLevel="0" collapsed="false">
      <c r="A54" s="41"/>
      <c r="B54" s="57"/>
      <c r="C54" s="54"/>
      <c r="D54" s="54"/>
      <c r="E54" s="127"/>
      <c r="F54" s="172"/>
      <c r="G54" s="84"/>
      <c r="H54" s="11"/>
      <c r="I54" s="41"/>
      <c r="J54" s="41"/>
      <c r="K54" s="44"/>
      <c r="L54" s="41"/>
      <c r="M54" s="39"/>
      <c r="N54" s="39"/>
      <c r="O54" s="39"/>
      <c r="P54" s="41"/>
      <c r="Q54" s="41"/>
      <c r="R54" s="41"/>
      <c r="S54" s="7"/>
      <c r="T54" s="7"/>
      <c r="U54" s="41"/>
      <c r="V54" s="7"/>
      <c r="W54" s="41"/>
      <c r="X54" s="41"/>
      <c r="Y54" s="41"/>
      <c r="Z54" s="10"/>
      <c r="AA54" s="11"/>
      <c r="AB54" s="12"/>
      <c r="AC54" s="13"/>
      <c r="AD54" s="118"/>
      <c r="AE54" s="118"/>
    </row>
    <row r="55" customFormat="false" ht="11.1" hidden="false" customHeight="true" outlineLevel="0" collapsed="false">
      <c r="R55" s="41"/>
      <c r="S55" s="7"/>
    </row>
    <row r="56" customFormat="false" ht="11.1" hidden="false" customHeight="true" outlineLevel="0" collapsed="false">
      <c r="B56" s="43"/>
    </row>
  </sheetData>
  <mergeCells count="2">
    <mergeCell ref="K2:V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8"/>
  <sheetViews>
    <sheetView showFormulas="false" showGridLines="true" showRowColHeaders="true" showZeros="true" rightToLeft="false" tabSelected="false" showOutlineSymbols="true" defaultGridColor="true" view="normal" topLeftCell="A189" colorId="64" zoomScale="180" zoomScaleNormal="180" zoomScalePageLayoutView="100" workbookViewId="0">
      <selection pane="topLeft" activeCell="D212" activeCellId="0" sqref="D212"/>
    </sheetView>
  </sheetViews>
  <sheetFormatPr defaultColWidth="9.296875" defaultRowHeight="11.25" zeroHeight="false" outlineLevelRow="0" outlineLevelCol="0"/>
  <sheetData>
    <row r="1" customFormat="false" ht="11.25" hidden="false" customHeight="false" outlineLevel="0" collapsed="false">
      <c r="A1" s="0" t="s">
        <v>91</v>
      </c>
      <c r="D1" s="0" t="s">
        <v>92</v>
      </c>
    </row>
    <row r="3" customFormat="false" ht="11.25" hidden="false" customHeight="false" outlineLevel="0" collapsed="false">
      <c r="A3" s="173" t="n">
        <v>37460</v>
      </c>
      <c r="D3" s="174" t="n">
        <v>37347</v>
      </c>
      <c r="E3" s="0" t="n">
        <v>1</v>
      </c>
    </row>
    <row r="4" customFormat="false" ht="11.25" hidden="false" customHeight="false" outlineLevel="0" collapsed="false">
      <c r="A4" s="173" t="n">
        <v>37461</v>
      </c>
      <c r="B4" s="0" t="n">
        <v>100</v>
      </c>
      <c r="D4" s="174" t="n">
        <v>37348</v>
      </c>
      <c r="E4" s="0" t="n">
        <v>2</v>
      </c>
    </row>
    <row r="5" customFormat="false" ht="11.25" hidden="false" customHeight="false" outlineLevel="0" collapsed="false">
      <c r="A5" s="173" t="n">
        <v>37462</v>
      </c>
      <c r="B5" s="0" t="n">
        <v>99</v>
      </c>
      <c r="D5" s="174" t="n">
        <v>37349</v>
      </c>
      <c r="E5" s="0" t="n">
        <v>3</v>
      </c>
    </row>
    <row r="6" customFormat="false" ht="11.25" hidden="false" customHeight="false" outlineLevel="0" collapsed="false">
      <c r="A6" s="173" t="n">
        <v>37463</v>
      </c>
      <c r="B6" s="0" t="n">
        <v>98</v>
      </c>
      <c r="D6" s="174" t="n">
        <v>37350</v>
      </c>
      <c r="E6" s="0" t="n">
        <v>4</v>
      </c>
    </row>
    <row r="7" customFormat="false" ht="11.25" hidden="false" customHeight="false" outlineLevel="0" collapsed="false">
      <c r="A7" s="173" t="n">
        <v>37464</v>
      </c>
      <c r="B7" s="0" t="n">
        <v>97</v>
      </c>
      <c r="D7" s="174" t="n">
        <v>37351</v>
      </c>
      <c r="E7" s="0" t="n">
        <v>5</v>
      </c>
    </row>
    <row r="8" customFormat="false" ht="11.25" hidden="false" customHeight="false" outlineLevel="0" collapsed="false">
      <c r="A8" s="173" t="n">
        <v>37465</v>
      </c>
      <c r="B8" s="0" t="n">
        <v>96</v>
      </c>
      <c r="D8" s="174" t="n">
        <v>37352</v>
      </c>
      <c r="E8" s="0" t="n">
        <v>6</v>
      </c>
    </row>
    <row r="9" customFormat="false" ht="11.25" hidden="false" customHeight="false" outlineLevel="0" collapsed="false">
      <c r="A9" s="173" t="n">
        <v>37466</v>
      </c>
      <c r="B9" s="0" t="n">
        <v>95</v>
      </c>
      <c r="D9" s="174" t="n">
        <v>37353</v>
      </c>
      <c r="E9" s="0" t="n">
        <v>7</v>
      </c>
    </row>
    <row r="10" customFormat="false" ht="11.25" hidden="false" customHeight="false" outlineLevel="0" collapsed="false">
      <c r="A10" s="173" t="n">
        <v>37467</v>
      </c>
      <c r="B10" s="0" t="n">
        <v>94</v>
      </c>
      <c r="D10" s="174" t="n">
        <v>37354</v>
      </c>
      <c r="E10" s="0" t="n">
        <v>8</v>
      </c>
    </row>
    <row r="11" customFormat="false" ht="11.25" hidden="false" customHeight="false" outlineLevel="0" collapsed="false">
      <c r="A11" s="173" t="n">
        <v>37468</v>
      </c>
      <c r="B11" s="0" t="n">
        <v>93</v>
      </c>
      <c r="D11" s="174" t="n">
        <v>37355</v>
      </c>
      <c r="E11" s="0" t="n">
        <v>9</v>
      </c>
    </row>
    <row r="12" customFormat="false" ht="11.25" hidden="false" customHeight="false" outlineLevel="0" collapsed="false">
      <c r="A12" s="173" t="n">
        <v>37469</v>
      </c>
      <c r="B12" s="0" t="n">
        <v>92</v>
      </c>
      <c r="D12" s="174" t="n">
        <v>37356</v>
      </c>
      <c r="E12" s="0" t="n">
        <v>10</v>
      </c>
    </row>
    <row r="13" customFormat="false" ht="11.25" hidden="false" customHeight="false" outlineLevel="0" collapsed="false">
      <c r="A13" s="173" t="n">
        <v>37470</v>
      </c>
      <c r="B13" s="0" t="n">
        <v>91</v>
      </c>
      <c r="D13" s="174" t="n">
        <v>37357</v>
      </c>
      <c r="E13" s="0" t="n">
        <v>11</v>
      </c>
    </row>
    <row r="14" customFormat="false" ht="11.25" hidden="false" customHeight="false" outlineLevel="0" collapsed="false">
      <c r="A14" s="173" t="n">
        <v>37471</v>
      </c>
      <c r="B14" s="0" t="n">
        <v>90</v>
      </c>
      <c r="D14" s="174" t="n">
        <v>37358</v>
      </c>
      <c r="E14" s="0" t="n">
        <v>12</v>
      </c>
    </row>
    <row r="15" customFormat="false" ht="11.25" hidden="false" customHeight="false" outlineLevel="0" collapsed="false">
      <c r="A15" s="173" t="n">
        <v>37472</v>
      </c>
      <c r="B15" s="0" t="n">
        <v>89</v>
      </c>
      <c r="D15" s="174" t="n">
        <v>37359</v>
      </c>
      <c r="E15" s="0" t="n">
        <v>13</v>
      </c>
    </row>
    <row r="16" customFormat="false" ht="11.25" hidden="false" customHeight="false" outlineLevel="0" collapsed="false">
      <c r="A16" s="173" t="n">
        <v>37473</v>
      </c>
      <c r="B16" s="0" t="n">
        <v>88</v>
      </c>
      <c r="D16" s="174" t="n">
        <v>37360</v>
      </c>
      <c r="E16" s="0" t="n">
        <v>14</v>
      </c>
    </row>
    <row r="17" customFormat="false" ht="11.25" hidden="false" customHeight="false" outlineLevel="0" collapsed="false">
      <c r="A17" s="173" t="n">
        <v>37474</v>
      </c>
      <c r="B17" s="0" t="n">
        <v>87</v>
      </c>
      <c r="D17" s="174" t="n">
        <v>37361</v>
      </c>
      <c r="E17" s="0" t="n">
        <v>15</v>
      </c>
    </row>
    <row r="18" customFormat="false" ht="11.25" hidden="false" customHeight="false" outlineLevel="0" collapsed="false">
      <c r="A18" s="173" t="n">
        <v>37475</v>
      </c>
      <c r="B18" s="0" t="n">
        <v>86</v>
      </c>
      <c r="D18" s="174" t="n">
        <v>37362</v>
      </c>
      <c r="E18" s="0" t="n">
        <v>16</v>
      </c>
    </row>
    <row r="19" customFormat="false" ht="11.25" hidden="false" customHeight="false" outlineLevel="0" collapsed="false">
      <c r="A19" s="173" t="n">
        <v>37476</v>
      </c>
      <c r="B19" s="0" t="n">
        <v>85</v>
      </c>
      <c r="D19" s="174" t="n">
        <v>37363</v>
      </c>
      <c r="E19" s="0" t="n">
        <v>17</v>
      </c>
    </row>
    <row r="20" customFormat="false" ht="11.25" hidden="false" customHeight="false" outlineLevel="0" collapsed="false">
      <c r="A20" s="173" t="n">
        <v>37477</v>
      </c>
      <c r="B20" s="0" t="n">
        <v>84</v>
      </c>
      <c r="D20" s="174" t="n">
        <v>37364</v>
      </c>
      <c r="E20" s="0" t="n">
        <v>18</v>
      </c>
    </row>
    <row r="21" customFormat="false" ht="11.25" hidden="false" customHeight="false" outlineLevel="0" collapsed="false">
      <c r="A21" s="173" t="n">
        <v>37478</v>
      </c>
      <c r="B21" s="0" t="n">
        <v>83</v>
      </c>
      <c r="D21" s="174" t="n">
        <v>37365</v>
      </c>
      <c r="E21" s="0" t="n">
        <v>19</v>
      </c>
    </row>
    <row r="22" customFormat="false" ht="11.25" hidden="false" customHeight="false" outlineLevel="0" collapsed="false">
      <c r="A22" s="173" t="n">
        <v>37479</v>
      </c>
      <c r="B22" s="0" t="n">
        <v>82</v>
      </c>
      <c r="D22" s="174" t="n">
        <v>37366</v>
      </c>
      <c r="E22" s="0" t="n">
        <v>20</v>
      </c>
    </row>
    <row r="23" customFormat="false" ht="11.25" hidden="false" customHeight="false" outlineLevel="0" collapsed="false">
      <c r="A23" s="173" t="n">
        <v>37480</v>
      </c>
      <c r="B23" s="0" t="n">
        <v>81</v>
      </c>
      <c r="D23" s="174" t="n">
        <v>37367</v>
      </c>
      <c r="E23" s="0" t="n">
        <v>21</v>
      </c>
    </row>
    <row r="24" customFormat="false" ht="11.25" hidden="false" customHeight="false" outlineLevel="0" collapsed="false">
      <c r="A24" s="173" t="n">
        <v>37481</v>
      </c>
      <c r="B24" s="0" t="n">
        <v>80</v>
      </c>
      <c r="D24" s="174" t="n">
        <v>37368</v>
      </c>
      <c r="E24" s="0" t="n">
        <v>22</v>
      </c>
    </row>
    <row r="25" customFormat="false" ht="11.25" hidden="false" customHeight="false" outlineLevel="0" collapsed="false">
      <c r="A25" s="173" t="n">
        <v>37482</v>
      </c>
      <c r="B25" s="0" t="n">
        <v>79</v>
      </c>
      <c r="D25" s="174" t="n">
        <v>37369</v>
      </c>
      <c r="E25" s="0" t="n">
        <v>23</v>
      </c>
    </row>
    <row r="26" customFormat="false" ht="11.25" hidden="false" customHeight="false" outlineLevel="0" collapsed="false">
      <c r="A26" s="173" t="n">
        <v>37483</v>
      </c>
      <c r="B26" s="0" t="n">
        <v>78</v>
      </c>
      <c r="D26" s="174" t="n">
        <v>37370</v>
      </c>
      <c r="E26" s="0" t="n">
        <v>24</v>
      </c>
    </row>
    <row r="27" customFormat="false" ht="11.25" hidden="false" customHeight="false" outlineLevel="0" collapsed="false">
      <c r="A27" s="173" t="n">
        <v>37484</v>
      </c>
      <c r="B27" s="0" t="n">
        <v>77</v>
      </c>
      <c r="D27" s="174" t="n">
        <v>37371</v>
      </c>
      <c r="E27" s="0" t="n">
        <v>25</v>
      </c>
    </row>
    <row r="28" customFormat="false" ht="11.25" hidden="false" customHeight="false" outlineLevel="0" collapsed="false">
      <c r="A28" s="173" t="n">
        <v>37485</v>
      </c>
      <c r="B28" s="0" t="n">
        <v>76</v>
      </c>
      <c r="D28" s="174" t="n">
        <v>37372</v>
      </c>
      <c r="E28" s="0" t="n">
        <v>26</v>
      </c>
    </row>
    <row r="29" customFormat="false" ht="11.25" hidden="false" customHeight="false" outlineLevel="0" collapsed="false">
      <c r="A29" s="173" t="n">
        <v>37486</v>
      </c>
      <c r="B29" s="0" t="n">
        <v>75</v>
      </c>
      <c r="D29" s="174" t="n">
        <v>37373</v>
      </c>
      <c r="E29" s="0" t="n">
        <v>27</v>
      </c>
    </row>
    <row r="30" customFormat="false" ht="11.25" hidden="false" customHeight="false" outlineLevel="0" collapsed="false">
      <c r="A30" s="173" t="n">
        <v>37487</v>
      </c>
      <c r="B30" s="0" t="n">
        <v>74</v>
      </c>
      <c r="D30" s="174" t="n">
        <v>37374</v>
      </c>
      <c r="E30" s="0" t="n">
        <v>28</v>
      </c>
    </row>
    <row r="31" customFormat="false" ht="11.25" hidden="false" customHeight="false" outlineLevel="0" collapsed="false">
      <c r="A31" s="173" t="n">
        <v>37488</v>
      </c>
      <c r="B31" s="0" t="n">
        <v>73</v>
      </c>
      <c r="D31" s="174" t="n">
        <v>37375</v>
      </c>
      <c r="E31" s="0" t="n">
        <v>29</v>
      </c>
    </row>
    <row r="32" customFormat="false" ht="11.25" hidden="false" customHeight="false" outlineLevel="0" collapsed="false">
      <c r="A32" s="173" t="n">
        <v>37489</v>
      </c>
      <c r="B32" s="0" t="n">
        <v>72</v>
      </c>
      <c r="D32" s="174" t="n">
        <v>37376</v>
      </c>
      <c r="E32" s="0" t="n">
        <v>30</v>
      </c>
    </row>
    <row r="33" customFormat="false" ht="11.25" hidden="false" customHeight="false" outlineLevel="0" collapsed="false">
      <c r="A33" s="173" t="n">
        <v>37490</v>
      </c>
      <c r="B33" s="0" t="n">
        <v>71</v>
      </c>
      <c r="D33" s="174" t="n">
        <v>37377</v>
      </c>
      <c r="E33" s="0" t="n">
        <v>31</v>
      </c>
    </row>
    <row r="34" customFormat="false" ht="11.25" hidden="false" customHeight="false" outlineLevel="0" collapsed="false">
      <c r="A34" s="173" t="n">
        <v>37491</v>
      </c>
      <c r="B34" s="0" t="n">
        <v>70</v>
      </c>
      <c r="D34" s="174" t="n">
        <v>37378</v>
      </c>
      <c r="E34" s="0" t="n">
        <v>32</v>
      </c>
    </row>
    <row r="35" customFormat="false" ht="11.25" hidden="false" customHeight="false" outlineLevel="0" collapsed="false">
      <c r="A35" s="173" t="n">
        <v>37492</v>
      </c>
      <c r="B35" s="0" t="n">
        <v>69</v>
      </c>
      <c r="D35" s="174" t="n">
        <v>37379</v>
      </c>
      <c r="E35" s="0" t="n">
        <v>33</v>
      </c>
    </row>
    <row r="36" customFormat="false" ht="11.25" hidden="false" customHeight="false" outlineLevel="0" collapsed="false">
      <c r="A36" s="173" t="n">
        <v>37493</v>
      </c>
      <c r="B36" s="0" t="n">
        <v>68</v>
      </c>
      <c r="D36" s="174" t="n">
        <v>37380</v>
      </c>
      <c r="E36" s="0" t="n">
        <v>34</v>
      </c>
    </row>
    <row r="37" customFormat="false" ht="11.25" hidden="false" customHeight="false" outlineLevel="0" collapsed="false">
      <c r="A37" s="173" t="n">
        <v>37494</v>
      </c>
      <c r="B37" s="0" t="n">
        <v>67</v>
      </c>
      <c r="D37" s="174" t="n">
        <v>37381</v>
      </c>
      <c r="E37" s="0" t="n">
        <v>35</v>
      </c>
    </row>
    <row r="38" customFormat="false" ht="11.25" hidden="false" customHeight="false" outlineLevel="0" collapsed="false">
      <c r="A38" s="173" t="n">
        <v>37495</v>
      </c>
      <c r="B38" s="0" t="n">
        <v>66</v>
      </c>
      <c r="D38" s="174" t="n">
        <v>37382</v>
      </c>
      <c r="E38" s="0" t="n">
        <v>36</v>
      </c>
    </row>
    <row r="39" customFormat="false" ht="11.25" hidden="false" customHeight="false" outlineLevel="0" collapsed="false">
      <c r="A39" s="173" t="n">
        <v>37496</v>
      </c>
      <c r="B39" s="0" t="n">
        <v>65</v>
      </c>
      <c r="D39" s="174" t="n">
        <v>37383</v>
      </c>
      <c r="E39" s="0" t="n">
        <v>37</v>
      </c>
    </row>
    <row r="40" customFormat="false" ht="11.25" hidden="false" customHeight="false" outlineLevel="0" collapsed="false">
      <c r="A40" s="173" t="n">
        <v>37497</v>
      </c>
      <c r="B40" s="0" t="n">
        <v>64</v>
      </c>
      <c r="D40" s="174" t="n">
        <v>37384</v>
      </c>
      <c r="E40" s="0" t="n">
        <v>38</v>
      </c>
    </row>
    <row r="41" customFormat="false" ht="11.25" hidden="false" customHeight="false" outlineLevel="0" collapsed="false">
      <c r="A41" s="173" t="n">
        <v>37498</v>
      </c>
      <c r="B41" s="0" t="n">
        <v>63</v>
      </c>
      <c r="D41" s="174" t="n">
        <v>37385</v>
      </c>
      <c r="E41" s="0" t="n">
        <v>39</v>
      </c>
    </row>
    <row r="42" customFormat="false" ht="11.25" hidden="false" customHeight="false" outlineLevel="0" collapsed="false">
      <c r="A42" s="173" t="n">
        <v>37499</v>
      </c>
      <c r="B42" s="0" t="n">
        <v>62</v>
      </c>
      <c r="D42" s="174" t="n">
        <v>37386</v>
      </c>
      <c r="E42" s="0" t="n">
        <v>40</v>
      </c>
    </row>
    <row r="43" customFormat="false" ht="11.25" hidden="false" customHeight="false" outlineLevel="0" collapsed="false">
      <c r="A43" s="173" t="n">
        <v>37500</v>
      </c>
      <c r="B43" s="0" t="n">
        <v>61</v>
      </c>
      <c r="D43" s="174" t="n">
        <v>37387</v>
      </c>
      <c r="E43" s="0" t="n">
        <v>41</v>
      </c>
    </row>
    <row r="44" customFormat="false" ht="11.25" hidden="false" customHeight="false" outlineLevel="0" collapsed="false">
      <c r="A44" s="173" t="n">
        <v>37501</v>
      </c>
      <c r="B44" s="0" t="n">
        <v>60</v>
      </c>
      <c r="D44" s="174" t="n">
        <v>37388</v>
      </c>
      <c r="E44" s="0" t="n">
        <v>42</v>
      </c>
    </row>
    <row r="45" customFormat="false" ht="11.25" hidden="false" customHeight="false" outlineLevel="0" collapsed="false">
      <c r="A45" s="173" t="n">
        <v>37502</v>
      </c>
      <c r="B45" s="0" t="n">
        <v>59</v>
      </c>
      <c r="D45" s="174" t="n">
        <v>37389</v>
      </c>
      <c r="E45" s="0" t="n">
        <v>43</v>
      </c>
    </row>
    <row r="46" customFormat="false" ht="11.25" hidden="false" customHeight="false" outlineLevel="0" collapsed="false">
      <c r="A46" s="173" t="n">
        <v>37503</v>
      </c>
      <c r="B46" s="0" t="n">
        <v>58</v>
      </c>
      <c r="D46" s="174" t="n">
        <v>37390</v>
      </c>
      <c r="E46" s="0" t="n">
        <v>44</v>
      </c>
    </row>
    <row r="47" customFormat="false" ht="11.25" hidden="false" customHeight="false" outlineLevel="0" collapsed="false">
      <c r="A47" s="173" t="n">
        <v>37504</v>
      </c>
      <c r="B47" s="0" t="n">
        <v>57</v>
      </c>
      <c r="D47" s="174" t="n">
        <v>37391</v>
      </c>
      <c r="E47" s="0" t="n">
        <v>45</v>
      </c>
    </row>
    <row r="48" customFormat="false" ht="11.25" hidden="false" customHeight="false" outlineLevel="0" collapsed="false">
      <c r="A48" s="173" t="n">
        <v>37505</v>
      </c>
      <c r="B48" s="0" t="n">
        <v>56</v>
      </c>
      <c r="D48" s="174" t="n">
        <v>37392</v>
      </c>
      <c r="E48" s="0" t="n">
        <v>46</v>
      </c>
    </row>
    <row r="49" customFormat="false" ht="11.25" hidden="false" customHeight="false" outlineLevel="0" collapsed="false">
      <c r="A49" s="173" t="n">
        <v>37506</v>
      </c>
      <c r="B49" s="0" t="n">
        <v>55</v>
      </c>
      <c r="D49" s="174" t="n">
        <v>37393</v>
      </c>
      <c r="E49" s="0" t="n">
        <v>47</v>
      </c>
    </row>
    <row r="50" customFormat="false" ht="11.25" hidden="false" customHeight="false" outlineLevel="0" collapsed="false">
      <c r="A50" s="173" t="n">
        <v>37507</v>
      </c>
      <c r="B50" s="0" t="n">
        <v>54</v>
      </c>
      <c r="D50" s="174" t="n">
        <v>37394</v>
      </c>
      <c r="E50" s="0" t="n">
        <v>48</v>
      </c>
    </row>
    <row r="51" customFormat="false" ht="11.25" hidden="false" customHeight="false" outlineLevel="0" collapsed="false">
      <c r="A51" s="173" t="n">
        <v>37508</v>
      </c>
      <c r="B51" s="0" t="n">
        <v>53</v>
      </c>
      <c r="D51" s="174" t="n">
        <v>37395</v>
      </c>
      <c r="E51" s="0" t="n">
        <v>49</v>
      </c>
    </row>
    <row r="52" customFormat="false" ht="11.25" hidden="false" customHeight="false" outlineLevel="0" collapsed="false">
      <c r="A52" s="173" t="n">
        <v>37509</v>
      </c>
      <c r="B52" s="0" t="n">
        <v>52</v>
      </c>
      <c r="D52" s="174" t="n">
        <v>37396</v>
      </c>
      <c r="E52" s="0" t="n">
        <v>50</v>
      </c>
    </row>
    <row r="53" customFormat="false" ht="11.25" hidden="false" customHeight="false" outlineLevel="0" collapsed="false">
      <c r="A53" s="173" t="n">
        <v>37510</v>
      </c>
      <c r="B53" s="0" t="n">
        <v>51</v>
      </c>
      <c r="D53" s="174" t="n">
        <v>37397</v>
      </c>
      <c r="E53" s="0" t="n">
        <v>51</v>
      </c>
    </row>
    <row r="54" customFormat="false" ht="11.25" hidden="false" customHeight="false" outlineLevel="0" collapsed="false">
      <c r="A54" s="173" t="n">
        <v>37511</v>
      </c>
      <c r="B54" s="0" t="n">
        <v>50</v>
      </c>
      <c r="D54" s="174" t="n">
        <v>37398</v>
      </c>
      <c r="E54" s="0" t="n">
        <v>52</v>
      </c>
    </row>
    <row r="55" customFormat="false" ht="11.25" hidden="false" customHeight="false" outlineLevel="0" collapsed="false">
      <c r="A55" s="173" t="n">
        <v>37512</v>
      </c>
      <c r="B55" s="0" t="n">
        <v>49</v>
      </c>
      <c r="D55" s="174" t="n">
        <v>37399</v>
      </c>
      <c r="E55" s="0" t="n">
        <v>53</v>
      </c>
    </row>
    <row r="56" customFormat="false" ht="11.25" hidden="false" customHeight="false" outlineLevel="0" collapsed="false">
      <c r="A56" s="173" t="n">
        <v>37513</v>
      </c>
      <c r="B56" s="0" t="n">
        <v>48</v>
      </c>
      <c r="D56" s="174" t="n">
        <v>37400</v>
      </c>
      <c r="E56" s="0" t="n">
        <v>54</v>
      </c>
    </row>
    <row r="57" customFormat="false" ht="11.25" hidden="false" customHeight="false" outlineLevel="0" collapsed="false">
      <c r="A57" s="173" t="n">
        <v>37514</v>
      </c>
      <c r="B57" s="0" t="n">
        <v>47</v>
      </c>
      <c r="D57" s="174" t="n">
        <v>37401</v>
      </c>
      <c r="E57" s="0" t="n">
        <v>55</v>
      </c>
    </row>
    <row r="58" customFormat="false" ht="11.25" hidden="false" customHeight="false" outlineLevel="0" collapsed="false">
      <c r="A58" s="173" t="n">
        <v>37515</v>
      </c>
      <c r="B58" s="0" t="n">
        <v>46</v>
      </c>
      <c r="D58" s="174" t="n">
        <v>37402</v>
      </c>
      <c r="E58" s="0" t="n">
        <v>56</v>
      </c>
    </row>
    <row r="59" customFormat="false" ht="11.25" hidden="false" customHeight="false" outlineLevel="0" collapsed="false">
      <c r="A59" s="173" t="n">
        <v>37516</v>
      </c>
      <c r="B59" s="0" t="n">
        <v>45</v>
      </c>
      <c r="D59" s="174" t="n">
        <v>37403</v>
      </c>
      <c r="E59" s="0" t="n">
        <v>57</v>
      </c>
    </row>
    <row r="60" customFormat="false" ht="11.25" hidden="false" customHeight="false" outlineLevel="0" collapsed="false">
      <c r="A60" s="173" t="n">
        <v>37517</v>
      </c>
      <c r="B60" s="0" t="n">
        <v>44</v>
      </c>
      <c r="D60" s="174" t="n">
        <v>37404</v>
      </c>
      <c r="E60" s="0" t="n">
        <v>58</v>
      </c>
    </row>
    <row r="61" customFormat="false" ht="11.25" hidden="false" customHeight="false" outlineLevel="0" collapsed="false">
      <c r="A61" s="173" t="n">
        <v>37518</v>
      </c>
      <c r="B61" s="0" t="n">
        <v>43</v>
      </c>
      <c r="D61" s="174" t="n">
        <v>37405</v>
      </c>
      <c r="E61" s="0" t="n">
        <v>59</v>
      </c>
    </row>
    <row r="62" customFormat="false" ht="11.25" hidden="false" customHeight="false" outlineLevel="0" collapsed="false">
      <c r="A62" s="173" t="n">
        <v>37519</v>
      </c>
      <c r="B62" s="0" t="n">
        <v>42</v>
      </c>
      <c r="D62" s="174" t="n">
        <v>37406</v>
      </c>
      <c r="E62" s="0" t="n">
        <v>60</v>
      </c>
    </row>
    <row r="63" customFormat="false" ht="11.25" hidden="false" customHeight="false" outlineLevel="0" collapsed="false">
      <c r="A63" s="173" t="n">
        <v>37520</v>
      </c>
      <c r="B63" s="0" t="n">
        <v>41</v>
      </c>
      <c r="D63" s="174" t="n">
        <v>37407</v>
      </c>
      <c r="E63" s="0" t="n">
        <v>61</v>
      </c>
    </row>
    <row r="64" customFormat="false" ht="11.25" hidden="false" customHeight="false" outlineLevel="0" collapsed="false">
      <c r="A64" s="173" t="n">
        <v>37521</v>
      </c>
      <c r="B64" s="0" t="n">
        <v>40</v>
      </c>
      <c r="D64" s="174" t="n">
        <v>37408</v>
      </c>
      <c r="E64" s="0" t="n">
        <v>62</v>
      </c>
    </row>
    <row r="65" customFormat="false" ht="11.25" hidden="false" customHeight="false" outlineLevel="0" collapsed="false">
      <c r="A65" s="173" t="n">
        <v>37522</v>
      </c>
      <c r="B65" s="0" t="n">
        <v>39</v>
      </c>
      <c r="D65" s="174" t="n">
        <v>37409</v>
      </c>
      <c r="E65" s="0" t="n">
        <v>63</v>
      </c>
    </row>
    <row r="66" customFormat="false" ht="11.25" hidden="false" customHeight="false" outlineLevel="0" collapsed="false">
      <c r="A66" s="173" t="n">
        <v>37523</v>
      </c>
      <c r="B66" s="0" t="n">
        <v>38</v>
      </c>
      <c r="D66" s="174" t="n">
        <v>37410</v>
      </c>
      <c r="E66" s="0" t="n">
        <v>64</v>
      </c>
    </row>
    <row r="67" customFormat="false" ht="11.25" hidden="false" customHeight="false" outlineLevel="0" collapsed="false">
      <c r="A67" s="173" t="n">
        <v>37524</v>
      </c>
      <c r="B67" s="0" t="n">
        <v>37</v>
      </c>
      <c r="D67" s="174" t="n">
        <v>37411</v>
      </c>
      <c r="E67" s="0" t="n">
        <v>65</v>
      </c>
    </row>
    <row r="68" customFormat="false" ht="11.25" hidden="false" customHeight="false" outlineLevel="0" collapsed="false">
      <c r="A68" s="173" t="n">
        <v>37525</v>
      </c>
      <c r="B68" s="0" t="n">
        <v>36</v>
      </c>
      <c r="D68" s="174" t="n">
        <v>37412</v>
      </c>
      <c r="E68" s="0" t="n">
        <v>66</v>
      </c>
    </row>
    <row r="69" customFormat="false" ht="11.25" hidden="false" customHeight="false" outlineLevel="0" collapsed="false">
      <c r="A69" s="173" t="n">
        <v>37526</v>
      </c>
      <c r="B69" s="0" t="n">
        <v>35</v>
      </c>
      <c r="D69" s="174" t="n">
        <v>37413</v>
      </c>
      <c r="E69" s="0" t="n">
        <v>67</v>
      </c>
    </row>
    <row r="70" customFormat="false" ht="11.25" hidden="false" customHeight="false" outlineLevel="0" collapsed="false">
      <c r="A70" s="173" t="n">
        <v>37527</v>
      </c>
      <c r="B70" s="0" t="n">
        <v>34</v>
      </c>
      <c r="D70" s="174" t="n">
        <v>37414</v>
      </c>
      <c r="E70" s="0" t="n">
        <v>68</v>
      </c>
    </row>
    <row r="71" customFormat="false" ht="11.25" hidden="false" customHeight="false" outlineLevel="0" collapsed="false">
      <c r="A71" s="173" t="n">
        <v>37528</v>
      </c>
      <c r="B71" s="0" t="n">
        <v>33</v>
      </c>
      <c r="D71" s="174" t="n">
        <v>37415</v>
      </c>
      <c r="E71" s="0" t="n">
        <v>69</v>
      </c>
    </row>
    <row r="72" customFormat="false" ht="11.25" hidden="false" customHeight="false" outlineLevel="0" collapsed="false">
      <c r="A72" s="173" t="n">
        <v>37529</v>
      </c>
      <c r="B72" s="0" t="n">
        <v>32</v>
      </c>
      <c r="D72" s="174" t="n">
        <v>37416</v>
      </c>
      <c r="E72" s="0" t="n">
        <v>70</v>
      </c>
    </row>
    <row r="73" customFormat="false" ht="11.25" hidden="false" customHeight="false" outlineLevel="0" collapsed="false">
      <c r="A73" s="173" t="n">
        <v>37530</v>
      </c>
      <c r="B73" s="0" t="n">
        <v>31</v>
      </c>
      <c r="D73" s="174" t="n">
        <v>37417</v>
      </c>
      <c r="E73" s="0" t="n">
        <v>71</v>
      </c>
    </row>
    <row r="74" customFormat="false" ht="11.25" hidden="false" customHeight="false" outlineLevel="0" collapsed="false">
      <c r="A74" s="173" t="n">
        <v>37531</v>
      </c>
      <c r="B74" s="0" t="n">
        <v>30</v>
      </c>
      <c r="D74" s="174" t="n">
        <v>37418</v>
      </c>
      <c r="E74" s="0" t="n">
        <v>72</v>
      </c>
    </row>
    <row r="75" customFormat="false" ht="11.25" hidden="false" customHeight="false" outlineLevel="0" collapsed="false">
      <c r="A75" s="173" t="n">
        <v>37532</v>
      </c>
      <c r="B75" s="0" t="n">
        <v>29</v>
      </c>
      <c r="D75" s="174" t="n">
        <v>37419</v>
      </c>
      <c r="E75" s="0" t="n">
        <v>73</v>
      </c>
    </row>
    <row r="76" customFormat="false" ht="11.25" hidden="false" customHeight="false" outlineLevel="0" collapsed="false">
      <c r="A76" s="173" t="n">
        <v>37533</v>
      </c>
      <c r="B76" s="0" t="n">
        <v>28</v>
      </c>
      <c r="D76" s="174" t="n">
        <v>37420</v>
      </c>
      <c r="E76" s="0" t="n">
        <v>74</v>
      </c>
    </row>
    <row r="77" customFormat="false" ht="11.25" hidden="false" customHeight="false" outlineLevel="0" collapsed="false">
      <c r="A77" s="173" t="n">
        <v>37534</v>
      </c>
      <c r="B77" s="0" t="n">
        <v>27</v>
      </c>
      <c r="D77" s="174" t="n">
        <v>37421</v>
      </c>
      <c r="E77" s="0" t="n">
        <v>75</v>
      </c>
    </row>
    <row r="78" customFormat="false" ht="11.25" hidden="false" customHeight="false" outlineLevel="0" collapsed="false">
      <c r="A78" s="173" t="n">
        <v>37535</v>
      </c>
      <c r="B78" s="0" t="n">
        <v>26</v>
      </c>
      <c r="D78" s="174" t="n">
        <v>37422</v>
      </c>
      <c r="E78" s="0" t="n">
        <v>76</v>
      </c>
    </row>
    <row r="79" customFormat="false" ht="11.25" hidden="false" customHeight="false" outlineLevel="0" collapsed="false">
      <c r="A79" s="173" t="n">
        <v>37536</v>
      </c>
      <c r="B79" s="0" t="n">
        <v>25</v>
      </c>
      <c r="D79" s="174" t="n">
        <v>37423</v>
      </c>
      <c r="E79" s="0" t="n">
        <v>77</v>
      </c>
    </row>
    <row r="80" customFormat="false" ht="11.25" hidden="false" customHeight="false" outlineLevel="0" collapsed="false">
      <c r="A80" s="173" t="n">
        <v>37537</v>
      </c>
      <c r="B80" s="0" t="n">
        <v>24</v>
      </c>
      <c r="D80" s="174" t="n">
        <v>37424</v>
      </c>
      <c r="E80" s="0" t="n">
        <v>78</v>
      </c>
    </row>
    <row r="81" customFormat="false" ht="11.25" hidden="false" customHeight="false" outlineLevel="0" collapsed="false">
      <c r="A81" s="173" t="n">
        <v>37538</v>
      </c>
      <c r="B81" s="0" t="n">
        <v>23</v>
      </c>
      <c r="D81" s="174" t="n">
        <v>37425</v>
      </c>
      <c r="E81" s="0" t="n">
        <v>79</v>
      </c>
    </row>
    <row r="82" customFormat="false" ht="11.25" hidden="false" customHeight="false" outlineLevel="0" collapsed="false">
      <c r="A82" s="173" t="n">
        <v>37539</v>
      </c>
      <c r="B82" s="0" t="n">
        <v>22</v>
      </c>
      <c r="D82" s="174" t="n">
        <v>37426</v>
      </c>
      <c r="E82" s="0" t="n">
        <v>80</v>
      </c>
    </row>
    <row r="83" customFormat="false" ht="11.25" hidden="false" customHeight="false" outlineLevel="0" collapsed="false">
      <c r="A83" s="173" t="n">
        <v>37540</v>
      </c>
      <c r="B83" s="0" t="n">
        <v>21</v>
      </c>
      <c r="D83" s="174" t="n">
        <v>37427</v>
      </c>
      <c r="E83" s="0" t="n">
        <v>81</v>
      </c>
    </row>
    <row r="84" customFormat="false" ht="11.25" hidden="false" customHeight="false" outlineLevel="0" collapsed="false">
      <c r="A84" s="173" t="n">
        <v>37541</v>
      </c>
      <c r="B84" s="0" t="n">
        <v>20</v>
      </c>
      <c r="D84" s="174" t="n">
        <v>37428</v>
      </c>
      <c r="E84" s="0" t="n">
        <v>82</v>
      </c>
    </row>
    <row r="85" customFormat="false" ht="11.25" hidden="false" customHeight="false" outlineLevel="0" collapsed="false">
      <c r="A85" s="173" t="n">
        <v>37542</v>
      </c>
      <c r="B85" s="0" t="n">
        <v>19</v>
      </c>
      <c r="D85" s="174" t="n">
        <v>37429</v>
      </c>
      <c r="E85" s="0" t="n">
        <v>83</v>
      </c>
    </row>
    <row r="86" customFormat="false" ht="11.25" hidden="false" customHeight="false" outlineLevel="0" collapsed="false">
      <c r="A86" s="173" t="n">
        <v>37543</v>
      </c>
      <c r="B86" s="0" t="n">
        <v>18</v>
      </c>
      <c r="D86" s="174" t="n">
        <v>37430</v>
      </c>
      <c r="E86" s="0" t="n">
        <v>84</v>
      </c>
    </row>
    <row r="87" customFormat="false" ht="11.25" hidden="false" customHeight="false" outlineLevel="0" collapsed="false">
      <c r="A87" s="173" t="n">
        <v>37544</v>
      </c>
      <c r="B87" s="0" t="n">
        <v>17</v>
      </c>
      <c r="D87" s="174" t="n">
        <v>37431</v>
      </c>
      <c r="E87" s="0" t="n">
        <v>85</v>
      </c>
    </row>
    <row r="88" customFormat="false" ht="11.25" hidden="false" customHeight="false" outlineLevel="0" collapsed="false">
      <c r="A88" s="173" t="n">
        <v>37545</v>
      </c>
      <c r="B88" s="0" t="n">
        <v>16</v>
      </c>
      <c r="D88" s="174" t="n">
        <v>37432</v>
      </c>
      <c r="E88" s="0" t="n">
        <v>86</v>
      </c>
    </row>
    <row r="89" customFormat="false" ht="11.25" hidden="false" customHeight="false" outlineLevel="0" collapsed="false">
      <c r="A89" s="173" t="n">
        <v>37546</v>
      </c>
      <c r="B89" s="0" t="n">
        <v>15</v>
      </c>
      <c r="D89" s="174" t="n">
        <v>37433</v>
      </c>
      <c r="E89" s="0" t="n">
        <v>87</v>
      </c>
    </row>
    <row r="90" customFormat="false" ht="11.25" hidden="false" customHeight="false" outlineLevel="0" collapsed="false">
      <c r="A90" s="173" t="n">
        <v>37547</v>
      </c>
      <c r="B90" s="0" t="n">
        <v>14</v>
      </c>
      <c r="D90" s="174" t="n">
        <v>37434</v>
      </c>
      <c r="E90" s="0" t="n">
        <v>88</v>
      </c>
    </row>
    <row r="91" customFormat="false" ht="11.25" hidden="false" customHeight="false" outlineLevel="0" collapsed="false">
      <c r="A91" s="173" t="n">
        <v>37548</v>
      </c>
      <c r="B91" s="0" t="n">
        <v>13</v>
      </c>
      <c r="D91" s="174" t="n">
        <v>37435</v>
      </c>
      <c r="E91" s="0" t="n">
        <v>89</v>
      </c>
    </row>
    <row r="92" customFormat="false" ht="11.25" hidden="false" customHeight="false" outlineLevel="0" collapsed="false">
      <c r="A92" s="173" t="n">
        <v>37549</v>
      </c>
      <c r="B92" s="0" t="n">
        <v>12</v>
      </c>
      <c r="D92" s="174" t="n">
        <v>37436</v>
      </c>
      <c r="E92" s="0" t="n">
        <v>90</v>
      </c>
    </row>
    <row r="93" customFormat="false" ht="11.25" hidden="false" customHeight="false" outlineLevel="0" collapsed="false">
      <c r="A93" s="173" t="n">
        <v>37550</v>
      </c>
      <c r="B93" s="0" t="n">
        <v>11</v>
      </c>
      <c r="D93" s="174" t="n">
        <v>37437</v>
      </c>
      <c r="E93" s="0" t="n">
        <v>91</v>
      </c>
    </row>
    <row r="94" customFormat="false" ht="11.25" hidden="false" customHeight="false" outlineLevel="0" collapsed="false">
      <c r="A94" s="173" t="n">
        <v>37551</v>
      </c>
      <c r="B94" s="0" t="n">
        <v>10</v>
      </c>
      <c r="D94" s="174" t="n">
        <v>37438</v>
      </c>
      <c r="E94" s="0" t="n">
        <v>92</v>
      </c>
    </row>
    <row r="95" customFormat="false" ht="11.25" hidden="false" customHeight="false" outlineLevel="0" collapsed="false">
      <c r="A95" s="173" t="n">
        <v>37552</v>
      </c>
      <c r="B95" s="0" t="n">
        <v>9</v>
      </c>
      <c r="D95" s="174" t="n">
        <v>37439</v>
      </c>
      <c r="E95" s="0" t="n">
        <v>93</v>
      </c>
    </row>
    <row r="96" customFormat="false" ht="11.25" hidden="false" customHeight="false" outlineLevel="0" collapsed="false">
      <c r="A96" s="173" t="n">
        <v>37553</v>
      </c>
      <c r="B96" s="0" t="n">
        <v>8</v>
      </c>
      <c r="D96" s="174" t="n">
        <v>37440</v>
      </c>
      <c r="E96" s="0" t="n">
        <v>94</v>
      </c>
    </row>
    <row r="97" customFormat="false" ht="11.25" hidden="false" customHeight="false" outlineLevel="0" collapsed="false">
      <c r="A97" s="173" t="n">
        <v>37554</v>
      </c>
      <c r="B97" s="0" t="n">
        <v>7</v>
      </c>
      <c r="D97" s="174" t="n">
        <v>37441</v>
      </c>
      <c r="E97" s="0" t="n">
        <v>95</v>
      </c>
    </row>
    <row r="98" customFormat="false" ht="11.25" hidden="false" customHeight="false" outlineLevel="0" collapsed="false">
      <c r="A98" s="173" t="n">
        <v>37555</v>
      </c>
      <c r="B98" s="0" t="n">
        <v>6</v>
      </c>
      <c r="D98" s="174" t="n">
        <v>37442</v>
      </c>
      <c r="E98" s="0" t="n">
        <v>96</v>
      </c>
    </row>
    <row r="99" customFormat="false" ht="11.25" hidden="false" customHeight="false" outlineLevel="0" collapsed="false">
      <c r="A99" s="173" t="n">
        <v>37556</v>
      </c>
      <c r="B99" s="0" t="n">
        <v>5</v>
      </c>
      <c r="D99" s="174" t="n">
        <v>37443</v>
      </c>
      <c r="E99" s="0" t="n">
        <v>97</v>
      </c>
    </row>
    <row r="100" customFormat="false" ht="11.25" hidden="false" customHeight="false" outlineLevel="0" collapsed="false">
      <c r="A100" s="173" t="n">
        <v>37557</v>
      </c>
      <c r="B100" s="0" t="n">
        <v>4</v>
      </c>
      <c r="D100" s="174" t="n">
        <v>37444</v>
      </c>
      <c r="E100" s="0" t="n">
        <v>98</v>
      </c>
    </row>
    <row r="101" customFormat="false" ht="11.25" hidden="false" customHeight="false" outlineLevel="0" collapsed="false">
      <c r="A101" s="173" t="n">
        <v>37558</v>
      </c>
      <c r="B101" s="0" t="n">
        <v>3</v>
      </c>
      <c r="D101" s="174" t="n">
        <v>37445</v>
      </c>
      <c r="E101" s="0" t="n">
        <v>99</v>
      </c>
    </row>
    <row r="102" customFormat="false" ht="11.25" hidden="false" customHeight="false" outlineLevel="0" collapsed="false">
      <c r="A102" s="173" t="n">
        <v>37559</v>
      </c>
      <c r="B102" s="0" t="n">
        <v>2</v>
      </c>
      <c r="D102" s="174" t="n">
        <v>37446</v>
      </c>
      <c r="E102" s="0" t="n">
        <v>100</v>
      </c>
    </row>
    <row r="103" customFormat="false" ht="11.25" hidden="false" customHeight="false" outlineLevel="0" collapsed="false">
      <c r="A103" s="173" t="n">
        <v>37560</v>
      </c>
      <c r="B103" s="0" t="n">
        <v>1</v>
      </c>
      <c r="D103" s="174" t="n">
        <v>37447</v>
      </c>
      <c r="E103" s="0" t="n">
        <v>101</v>
      </c>
    </row>
    <row r="104" customFormat="false" ht="11.25" hidden="false" customHeight="false" outlineLevel="0" collapsed="false">
      <c r="A104" s="173" t="n">
        <v>37561</v>
      </c>
      <c r="D104" s="174" t="n">
        <v>37448</v>
      </c>
      <c r="E104" s="0" t="n">
        <v>102</v>
      </c>
    </row>
    <row r="105" customFormat="false" ht="11.25" hidden="false" customHeight="false" outlineLevel="0" collapsed="false">
      <c r="D105" s="174" t="n">
        <v>37449</v>
      </c>
      <c r="E105" s="0" t="n">
        <v>103</v>
      </c>
    </row>
    <row r="106" customFormat="false" ht="11.25" hidden="false" customHeight="false" outlineLevel="0" collapsed="false">
      <c r="D106" s="174" t="n">
        <v>37450</v>
      </c>
      <c r="E106" s="0" t="n">
        <v>104</v>
      </c>
    </row>
    <row r="107" customFormat="false" ht="11.25" hidden="false" customHeight="false" outlineLevel="0" collapsed="false">
      <c r="D107" s="174" t="n">
        <v>37451</v>
      </c>
      <c r="E107" s="0" t="n">
        <v>105</v>
      </c>
    </row>
    <row r="108" customFormat="false" ht="11.25" hidden="false" customHeight="false" outlineLevel="0" collapsed="false">
      <c r="D108" s="174" t="n">
        <v>37452</v>
      </c>
      <c r="E108" s="0" t="n">
        <v>106</v>
      </c>
    </row>
    <row r="109" customFormat="false" ht="11.25" hidden="false" customHeight="false" outlineLevel="0" collapsed="false">
      <c r="D109" s="174" t="n">
        <v>37453</v>
      </c>
      <c r="E109" s="0" t="n">
        <v>107</v>
      </c>
    </row>
    <row r="110" customFormat="false" ht="11.25" hidden="false" customHeight="false" outlineLevel="0" collapsed="false">
      <c r="D110" s="174" t="n">
        <v>37454</v>
      </c>
      <c r="E110" s="0" t="n">
        <v>108</v>
      </c>
    </row>
    <row r="111" customFormat="false" ht="11.25" hidden="false" customHeight="false" outlineLevel="0" collapsed="false">
      <c r="D111" s="174" t="n">
        <v>37455</v>
      </c>
      <c r="E111" s="0" t="n">
        <v>109</v>
      </c>
    </row>
    <row r="112" customFormat="false" ht="11.25" hidden="false" customHeight="false" outlineLevel="0" collapsed="false">
      <c r="D112" s="174" t="n">
        <v>37456</v>
      </c>
      <c r="E112" s="0" t="n">
        <v>110</v>
      </c>
    </row>
    <row r="113" customFormat="false" ht="11.25" hidden="false" customHeight="false" outlineLevel="0" collapsed="false">
      <c r="D113" s="174" t="n">
        <v>37457</v>
      </c>
      <c r="E113" s="0" t="n">
        <v>111</v>
      </c>
    </row>
    <row r="114" customFormat="false" ht="11.25" hidden="false" customHeight="false" outlineLevel="0" collapsed="false">
      <c r="D114" s="174" t="n">
        <v>37458</v>
      </c>
      <c r="E114" s="0" t="n">
        <v>112</v>
      </c>
    </row>
    <row r="115" customFormat="false" ht="11.25" hidden="false" customHeight="false" outlineLevel="0" collapsed="false">
      <c r="D115" s="174" t="n">
        <v>37459</v>
      </c>
      <c r="E115" s="0" t="n">
        <v>113</v>
      </c>
    </row>
    <row r="116" customFormat="false" ht="11.25" hidden="false" customHeight="false" outlineLevel="0" collapsed="false">
      <c r="D116" s="174" t="n">
        <v>37460</v>
      </c>
      <c r="E116" s="0" t="n">
        <v>114</v>
      </c>
    </row>
    <row r="117" customFormat="false" ht="11.25" hidden="false" customHeight="false" outlineLevel="0" collapsed="false">
      <c r="D117" s="174" t="n">
        <v>37461</v>
      </c>
      <c r="E117" s="0" t="n">
        <v>115</v>
      </c>
      <c r="F117" s="0" t="n">
        <f aca="false">$E$367-E117</f>
        <v>250</v>
      </c>
    </row>
    <row r="118" customFormat="false" ht="11.25" hidden="false" customHeight="false" outlineLevel="0" collapsed="false">
      <c r="D118" s="174" t="n">
        <v>37462</v>
      </c>
      <c r="E118" s="0" t="n">
        <v>116</v>
      </c>
      <c r="F118" s="0" t="n">
        <f aca="false">$E$367-E118</f>
        <v>249</v>
      </c>
    </row>
    <row r="119" customFormat="false" ht="11.25" hidden="false" customHeight="false" outlineLevel="0" collapsed="false">
      <c r="D119" s="174" t="n">
        <v>37463</v>
      </c>
      <c r="E119" s="0" t="n">
        <v>117</v>
      </c>
      <c r="F119" s="0" t="n">
        <f aca="false">$E$367-E119</f>
        <v>248</v>
      </c>
    </row>
    <row r="120" customFormat="false" ht="11.25" hidden="false" customHeight="false" outlineLevel="0" collapsed="false">
      <c r="D120" s="174" t="n">
        <v>37464</v>
      </c>
      <c r="E120" s="0" t="n">
        <v>118</v>
      </c>
      <c r="F120" s="0" t="n">
        <f aca="false">$E$367-E120</f>
        <v>247</v>
      </c>
    </row>
    <row r="121" customFormat="false" ht="11.25" hidden="false" customHeight="false" outlineLevel="0" collapsed="false">
      <c r="D121" s="174" t="n">
        <v>37465</v>
      </c>
      <c r="E121" s="0" t="n">
        <v>119</v>
      </c>
      <c r="F121" s="0" t="n">
        <f aca="false">$E$367-E121</f>
        <v>246</v>
      </c>
    </row>
    <row r="122" customFormat="false" ht="11.25" hidden="false" customHeight="false" outlineLevel="0" collapsed="false">
      <c r="D122" s="174" t="n">
        <v>37466</v>
      </c>
      <c r="E122" s="0" t="n">
        <v>120</v>
      </c>
      <c r="F122" s="0" t="n">
        <f aca="false">$E$367-E122</f>
        <v>245</v>
      </c>
    </row>
    <row r="123" customFormat="false" ht="11.25" hidden="false" customHeight="false" outlineLevel="0" collapsed="false">
      <c r="D123" s="174" t="n">
        <v>37467</v>
      </c>
      <c r="E123" s="0" t="n">
        <v>121</v>
      </c>
      <c r="F123" s="0" t="n">
        <f aca="false">$E$367-E123</f>
        <v>244</v>
      </c>
    </row>
    <row r="124" customFormat="false" ht="11.25" hidden="false" customHeight="false" outlineLevel="0" collapsed="false">
      <c r="D124" s="174" t="n">
        <v>37468</v>
      </c>
      <c r="E124" s="0" t="n">
        <v>122</v>
      </c>
      <c r="F124" s="0" t="n">
        <f aca="false">$E$367-E124</f>
        <v>243</v>
      </c>
    </row>
    <row r="125" customFormat="false" ht="11.25" hidden="false" customHeight="false" outlineLevel="0" collapsed="false">
      <c r="D125" s="174" t="n">
        <v>37469</v>
      </c>
      <c r="E125" s="0" t="n">
        <v>123</v>
      </c>
      <c r="F125" s="0" t="n">
        <f aca="false">$E$367-E125</f>
        <v>242</v>
      </c>
    </row>
    <row r="126" customFormat="false" ht="11.25" hidden="false" customHeight="false" outlineLevel="0" collapsed="false">
      <c r="D126" s="174" t="n">
        <v>37470</v>
      </c>
      <c r="E126" s="0" t="n">
        <v>124</v>
      </c>
      <c r="F126" s="0" t="n">
        <f aca="false">$E$367-E126</f>
        <v>241</v>
      </c>
    </row>
    <row r="127" customFormat="false" ht="11.25" hidden="false" customHeight="false" outlineLevel="0" collapsed="false">
      <c r="D127" s="174" t="n">
        <v>37471</v>
      </c>
      <c r="E127" s="0" t="n">
        <v>125</v>
      </c>
      <c r="F127" s="0" t="n">
        <f aca="false">$E$367-E127</f>
        <v>240</v>
      </c>
    </row>
    <row r="128" customFormat="false" ht="11.25" hidden="false" customHeight="false" outlineLevel="0" collapsed="false">
      <c r="D128" s="174" t="n">
        <v>37472</v>
      </c>
      <c r="E128" s="0" t="n">
        <v>126</v>
      </c>
      <c r="F128" s="0" t="n">
        <f aca="false">$E$367-E128</f>
        <v>239</v>
      </c>
    </row>
    <row r="129" customFormat="false" ht="11.25" hidden="false" customHeight="false" outlineLevel="0" collapsed="false">
      <c r="D129" s="174" t="n">
        <v>37473</v>
      </c>
      <c r="E129" s="0" t="n">
        <v>127</v>
      </c>
      <c r="F129" s="0" t="n">
        <f aca="false">$E$367-E129</f>
        <v>238</v>
      </c>
    </row>
    <row r="130" customFormat="false" ht="11.25" hidden="false" customHeight="false" outlineLevel="0" collapsed="false">
      <c r="D130" s="174" t="n">
        <v>37474</v>
      </c>
      <c r="E130" s="0" t="n">
        <v>128</v>
      </c>
      <c r="F130" s="0" t="n">
        <f aca="false">$E$367-E130</f>
        <v>237</v>
      </c>
    </row>
    <row r="131" customFormat="false" ht="11.25" hidden="false" customHeight="false" outlineLevel="0" collapsed="false">
      <c r="D131" s="174" t="n">
        <v>37475</v>
      </c>
      <c r="E131" s="0" t="n">
        <v>129</v>
      </c>
      <c r="F131" s="0" t="n">
        <f aca="false">$E$367-E131</f>
        <v>236</v>
      </c>
    </row>
    <row r="132" customFormat="false" ht="11.25" hidden="false" customHeight="false" outlineLevel="0" collapsed="false">
      <c r="D132" s="174" t="n">
        <v>37476</v>
      </c>
      <c r="E132" s="0" t="n">
        <v>130</v>
      </c>
      <c r="F132" s="0" t="n">
        <f aca="false">$E$367-E132</f>
        <v>235</v>
      </c>
    </row>
    <row r="133" customFormat="false" ht="11.25" hidden="false" customHeight="false" outlineLevel="0" collapsed="false">
      <c r="D133" s="174" t="n">
        <v>37477</v>
      </c>
      <c r="E133" s="0" t="n">
        <v>131</v>
      </c>
      <c r="F133" s="0" t="n">
        <f aca="false">$E$367-E133</f>
        <v>234</v>
      </c>
    </row>
    <row r="134" customFormat="false" ht="11.25" hidden="false" customHeight="false" outlineLevel="0" collapsed="false">
      <c r="D134" s="174" t="n">
        <v>37478</v>
      </c>
      <c r="E134" s="0" t="n">
        <v>132</v>
      </c>
      <c r="F134" s="0" t="n">
        <f aca="false">$E$367-E134</f>
        <v>233</v>
      </c>
    </row>
    <row r="135" customFormat="false" ht="11.25" hidden="false" customHeight="false" outlineLevel="0" collapsed="false">
      <c r="D135" s="174" t="n">
        <v>37479</v>
      </c>
      <c r="E135" s="0" t="n">
        <v>133</v>
      </c>
      <c r="F135" s="0" t="n">
        <f aca="false">$E$367-E135</f>
        <v>232</v>
      </c>
    </row>
    <row r="136" customFormat="false" ht="11.25" hidden="false" customHeight="false" outlineLevel="0" collapsed="false">
      <c r="D136" s="174" t="n">
        <v>37480</v>
      </c>
      <c r="E136" s="0" t="n">
        <v>134</v>
      </c>
      <c r="F136" s="0" t="n">
        <f aca="false">$E$367-E136</f>
        <v>231</v>
      </c>
    </row>
    <row r="137" customFormat="false" ht="11.25" hidden="false" customHeight="false" outlineLevel="0" collapsed="false">
      <c r="D137" s="174" t="n">
        <v>37481</v>
      </c>
      <c r="E137" s="0" t="n">
        <v>135</v>
      </c>
      <c r="F137" s="0" t="n">
        <f aca="false">$E$367-E137</f>
        <v>230</v>
      </c>
    </row>
    <row r="138" customFormat="false" ht="11.25" hidden="false" customHeight="false" outlineLevel="0" collapsed="false">
      <c r="D138" s="174" t="n">
        <v>37482</v>
      </c>
      <c r="E138" s="0" t="n">
        <v>136</v>
      </c>
      <c r="F138" s="0" t="n">
        <f aca="false">$E$367-E138</f>
        <v>229</v>
      </c>
    </row>
    <row r="139" customFormat="false" ht="11.25" hidden="false" customHeight="false" outlineLevel="0" collapsed="false">
      <c r="D139" s="174" t="n">
        <v>37483</v>
      </c>
      <c r="E139" s="0" t="n">
        <v>137</v>
      </c>
      <c r="F139" s="0" t="n">
        <f aca="false">$E$367-E139</f>
        <v>228</v>
      </c>
    </row>
    <row r="140" customFormat="false" ht="11.25" hidden="false" customHeight="false" outlineLevel="0" collapsed="false">
      <c r="D140" s="174" t="n">
        <v>37484</v>
      </c>
      <c r="E140" s="0" t="n">
        <v>138</v>
      </c>
      <c r="F140" s="0" t="n">
        <f aca="false">$E$367-E140</f>
        <v>227</v>
      </c>
    </row>
    <row r="141" customFormat="false" ht="11.25" hidden="false" customHeight="false" outlineLevel="0" collapsed="false">
      <c r="D141" s="174" t="n">
        <v>37485</v>
      </c>
      <c r="E141" s="0" t="n">
        <v>139</v>
      </c>
      <c r="F141" s="0" t="n">
        <f aca="false">$E$367-E141</f>
        <v>226</v>
      </c>
    </row>
    <row r="142" customFormat="false" ht="11.25" hidden="false" customHeight="false" outlineLevel="0" collapsed="false">
      <c r="D142" s="174" t="n">
        <v>37486</v>
      </c>
      <c r="E142" s="0" t="n">
        <v>140</v>
      </c>
      <c r="F142" s="0" t="n">
        <f aca="false">$E$367-E142</f>
        <v>225</v>
      </c>
    </row>
    <row r="143" customFormat="false" ht="11.25" hidden="false" customHeight="false" outlineLevel="0" collapsed="false">
      <c r="D143" s="174" t="n">
        <v>37487</v>
      </c>
      <c r="E143" s="0" t="n">
        <v>141</v>
      </c>
      <c r="F143" s="0" t="n">
        <f aca="false">$E$367-E143</f>
        <v>224</v>
      </c>
    </row>
    <row r="144" customFormat="false" ht="11.25" hidden="false" customHeight="false" outlineLevel="0" collapsed="false">
      <c r="D144" s="174" t="n">
        <v>37488</v>
      </c>
      <c r="E144" s="0" t="n">
        <v>142</v>
      </c>
      <c r="F144" s="0" t="n">
        <f aca="false">$E$367-E144</f>
        <v>223</v>
      </c>
    </row>
    <row r="145" customFormat="false" ht="11.25" hidden="false" customHeight="false" outlineLevel="0" collapsed="false">
      <c r="D145" s="174" t="n">
        <v>37489</v>
      </c>
      <c r="E145" s="0" t="n">
        <v>143</v>
      </c>
      <c r="F145" s="0" t="n">
        <f aca="false">$E$367-E145</f>
        <v>222</v>
      </c>
    </row>
    <row r="146" customFormat="false" ht="11.25" hidden="false" customHeight="false" outlineLevel="0" collapsed="false">
      <c r="D146" s="174" t="n">
        <v>37490</v>
      </c>
      <c r="E146" s="0" t="n">
        <v>144</v>
      </c>
      <c r="F146" s="0" t="n">
        <f aca="false">$E$367-E146</f>
        <v>221</v>
      </c>
    </row>
    <row r="147" customFormat="false" ht="11.25" hidden="false" customHeight="false" outlineLevel="0" collapsed="false">
      <c r="D147" s="174" t="n">
        <v>37491</v>
      </c>
      <c r="E147" s="0" t="n">
        <v>145</v>
      </c>
      <c r="F147" s="0" t="n">
        <f aca="false">$E$367-E147</f>
        <v>220</v>
      </c>
    </row>
    <row r="148" customFormat="false" ht="11.25" hidden="false" customHeight="false" outlineLevel="0" collapsed="false">
      <c r="D148" s="174" t="n">
        <v>37492</v>
      </c>
      <c r="E148" s="0" t="n">
        <v>146</v>
      </c>
      <c r="F148" s="0" t="n">
        <f aca="false">$E$367-E148</f>
        <v>219</v>
      </c>
    </row>
    <row r="149" customFormat="false" ht="11.25" hidden="false" customHeight="false" outlineLevel="0" collapsed="false">
      <c r="D149" s="174" t="n">
        <v>37493</v>
      </c>
      <c r="E149" s="0" t="n">
        <v>147</v>
      </c>
      <c r="F149" s="0" t="n">
        <f aca="false">$E$367-E149</f>
        <v>218</v>
      </c>
    </row>
    <row r="150" customFormat="false" ht="11.25" hidden="false" customHeight="false" outlineLevel="0" collapsed="false">
      <c r="D150" s="174" t="n">
        <v>37494</v>
      </c>
      <c r="E150" s="0" t="n">
        <v>148</v>
      </c>
      <c r="F150" s="0" t="n">
        <f aca="false">$E$367-E150</f>
        <v>217</v>
      </c>
    </row>
    <row r="151" customFormat="false" ht="11.25" hidden="false" customHeight="false" outlineLevel="0" collapsed="false">
      <c r="D151" s="174" t="n">
        <v>37495</v>
      </c>
      <c r="E151" s="0" t="n">
        <v>149</v>
      </c>
      <c r="F151" s="0" t="n">
        <f aca="false">$E$367-E151</f>
        <v>216</v>
      </c>
    </row>
    <row r="152" customFormat="false" ht="11.25" hidden="false" customHeight="false" outlineLevel="0" collapsed="false">
      <c r="D152" s="174" t="n">
        <v>37496</v>
      </c>
      <c r="E152" s="0" t="n">
        <v>150</v>
      </c>
      <c r="F152" s="0" t="n">
        <f aca="false">$E$367-E152</f>
        <v>215</v>
      </c>
    </row>
    <row r="153" customFormat="false" ht="11.25" hidden="false" customHeight="false" outlineLevel="0" collapsed="false">
      <c r="D153" s="174" t="n">
        <v>37497</v>
      </c>
      <c r="E153" s="0" t="n">
        <v>151</v>
      </c>
      <c r="F153" s="0" t="n">
        <f aca="false">$E$367-E153</f>
        <v>214</v>
      </c>
    </row>
    <row r="154" customFormat="false" ht="11.25" hidden="false" customHeight="false" outlineLevel="0" collapsed="false">
      <c r="D154" s="174" t="n">
        <v>37498</v>
      </c>
      <c r="E154" s="0" t="n">
        <v>152</v>
      </c>
      <c r="F154" s="0" t="n">
        <f aca="false">$E$367-E154</f>
        <v>213</v>
      </c>
    </row>
    <row r="155" customFormat="false" ht="11.25" hidden="false" customHeight="false" outlineLevel="0" collapsed="false">
      <c r="D155" s="174" t="n">
        <v>37499</v>
      </c>
      <c r="E155" s="0" t="n">
        <v>153</v>
      </c>
      <c r="F155" s="0" t="n">
        <f aca="false">$E$367-E155</f>
        <v>212</v>
      </c>
    </row>
    <row r="156" customFormat="false" ht="11.25" hidden="false" customHeight="false" outlineLevel="0" collapsed="false">
      <c r="D156" s="174" t="n">
        <v>37500</v>
      </c>
      <c r="E156" s="0" t="n">
        <v>154</v>
      </c>
      <c r="F156" s="0" t="n">
        <f aca="false">$E$367-E156</f>
        <v>211</v>
      </c>
    </row>
    <row r="157" customFormat="false" ht="11.25" hidden="false" customHeight="false" outlineLevel="0" collapsed="false">
      <c r="D157" s="174" t="n">
        <v>37501</v>
      </c>
      <c r="E157" s="0" t="n">
        <v>155</v>
      </c>
      <c r="F157" s="0" t="n">
        <f aca="false">$E$367-E157</f>
        <v>210</v>
      </c>
    </row>
    <row r="158" customFormat="false" ht="11.25" hidden="false" customHeight="false" outlineLevel="0" collapsed="false">
      <c r="D158" s="174" t="n">
        <v>37502</v>
      </c>
      <c r="E158" s="0" t="n">
        <v>156</v>
      </c>
      <c r="F158" s="0" t="n">
        <f aca="false">$E$367-E158</f>
        <v>209</v>
      </c>
    </row>
    <row r="159" customFormat="false" ht="11.25" hidden="false" customHeight="false" outlineLevel="0" collapsed="false">
      <c r="D159" s="174" t="n">
        <v>37503</v>
      </c>
      <c r="E159" s="0" t="n">
        <v>157</v>
      </c>
      <c r="F159" s="0" t="n">
        <f aca="false">$E$367-E159</f>
        <v>208</v>
      </c>
    </row>
    <row r="160" customFormat="false" ht="11.25" hidden="false" customHeight="false" outlineLevel="0" collapsed="false">
      <c r="D160" s="174" t="n">
        <v>37504</v>
      </c>
      <c r="E160" s="0" t="n">
        <v>158</v>
      </c>
      <c r="F160" s="0" t="n">
        <f aca="false">$E$367-E160</f>
        <v>207</v>
      </c>
    </row>
    <row r="161" customFormat="false" ht="11.25" hidden="false" customHeight="false" outlineLevel="0" collapsed="false">
      <c r="D161" s="174" t="n">
        <v>37505</v>
      </c>
      <c r="E161" s="0" t="n">
        <v>159</v>
      </c>
      <c r="F161" s="0" t="n">
        <f aca="false">$E$367-E161</f>
        <v>206</v>
      </c>
    </row>
    <row r="162" customFormat="false" ht="11.25" hidden="false" customHeight="false" outlineLevel="0" collapsed="false">
      <c r="D162" s="174" t="n">
        <v>37506</v>
      </c>
      <c r="E162" s="0" t="n">
        <v>160</v>
      </c>
      <c r="F162" s="0" t="n">
        <f aca="false">$E$367-E162</f>
        <v>205</v>
      </c>
    </row>
    <row r="163" customFormat="false" ht="11.25" hidden="false" customHeight="false" outlineLevel="0" collapsed="false">
      <c r="D163" s="174" t="n">
        <v>37507</v>
      </c>
      <c r="E163" s="0" t="n">
        <v>161</v>
      </c>
      <c r="F163" s="0" t="n">
        <f aca="false">$E$367-E163</f>
        <v>204</v>
      </c>
    </row>
    <row r="164" customFormat="false" ht="11.25" hidden="false" customHeight="false" outlineLevel="0" collapsed="false">
      <c r="D164" s="174" t="n">
        <v>37508</v>
      </c>
      <c r="E164" s="0" t="n">
        <v>162</v>
      </c>
      <c r="F164" s="0" t="n">
        <f aca="false">$E$367-E164</f>
        <v>203</v>
      </c>
    </row>
    <row r="165" customFormat="false" ht="11.25" hidden="false" customHeight="false" outlineLevel="0" collapsed="false">
      <c r="D165" s="174" t="n">
        <v>37509</v>
      </c>
      <c r="E165" s="0" t="n">
        <v>163</v>
      </c>
      <c r="F165" s="0" t="n">
        <f aca="false">$E$367-E165</f>
        <v>202</v>
      </c>
    </row>
    <row r="166" customFormat="false" ht="11.25" hidden="false" customHeight="false" outlineLevel="0" collapsed="false">
      <c r="D166" s="174" t="n">
        <v>37510</v>
      </c>
      <c r="E166" s="0" t="n">
        <v>164</v>
      </c>
      <c r="F166" s="0" t="n">
        <f aca="false">$E$367-E166</f>
        <v>201</v>
      </c>
    </row>
    <row r="167" customFormat="false" ht="11.25" hidden="false" customHeight="false" outlineLevel="0" collapsed="false">
      <c r="D167" s="174" t="n">
        <v>37511</v>
      </c>
      <c r="E167" s="0" t="n">
        <v>165</v>
      </c>
      <c r="F167" s="0" t="n">
        <f aca="false">$E$367-E167</f>
        <v>200</v>
      </c>
    </row>
    <row r="168" customFormat="false" ht="11.25" hidden="false" customHeight="false" outlineLevel="0" collapsed="false">
      <c r="D168" s="174" t="n">
        <v>37512</v>
      </c>
      <c r="E168" s="0" t="n">
        <v>166</v>
      </c>
      <c r="F168" s="0" t="n">
        <f aca="false">$E$367-E168</f>
        <v>199</v>
      </c>
    </row>
    <row r="169" customFormat="false" ht="11.25" hidden="false" customHeight="false" outlineLevel="0" collapsed="false">
      <c r="D169" s="174" t="n">
        <v>37513</v>
      </c>
      <c r="E169" s="0" t="n">
        <v>167</v>
      </c>
      <c r="F169" s="0" t="n">
        <f aca="false">$E$367-E169</f>
        <v>198</v>
      </c>
    </row>
    <row r="170" customFormat="false" ht="11.25" hidden="false" customHeight="false" outlineLevel="0" collapsed="false">
      <c r="D170" s="174" t="n">
        <v>37514</v>
      </c>
      <c r="E170" s="0" t="n">
        <v>168</v>
      </c>
      <c r="F170" s="0" t="n">
        <f aca="false">$E$367-E170</f>
        <v>197</v>
      </c>
    </row>
    <row r="171" customFormat="false" ht="11.25" hidden="false" customHeight="false" outlineLevel="0" collapsed="false">
      <c r="D171" s="174" t="n">
        <v>37515</v>
      </c>
      <c r="E171" s="0" t="n">
        <v>169</v>
      </c>
      <c r="F171" s="0" t="n">
        <f aca="false">$E$367-E171</f>
        <v>196</v>
      </c>
    </row>
    <row r="172" customFormat="false" ht="11.25" hidden="false" customHeight="false" outlineLevel="0" collapsed="false">
      <c r="D172" s="174" t="n">
        <v>37516</v>
      </c>
      <c r="E172" s="0" t="n">
        <v>170</v>
      </c>
      <c r="F172" s="0" t="n">
        <f aca="false">$E$367-E172</f>
        <v>195</v>
      </c>
    </row>
    <row r="173" customFormat="false" ht="11.25" hidden="false" customHeight="false" outlineLevel="0" collapsed="false">
      <c r="D173" s="174" t="n">
        <v>37517</v>
      </c>
      <c r="E173" s="0" t="n">
        <v>171</v>
      </c>
      <c r="F173" s="0" t="n">
        <f aca="false">$E$367-E173</f>
        <v>194</v>
      </c>
    </row>
    <row r="174" customFormat="false" ht="11.25" hidden="false" customHeight="false" outlineLevel="0" collapsed="false">
      <c r="D174" s="174" t="n">
        <v>37518</v>
      </c>
      <c r="E174" s="0" t="n">
        <v>172</v>
      </c>
      <c r="F174" s="0" t="n">
        <f aca="false">$E$367-E174</f>
        <v>193</v>
      </c>
    </row>
    <row r="175" customFormat="false" ht="11.25" hidden="false" customHeight="false" outlineLevel="0" collapsed="false">
      <c r="D175" s="174" t="n">
        <v>37519</v>
      </c>
      <c r="E175" s="0" t="n">
        <v>173</v>
      </c>
      <c r="F175" s="0" t="n">
        <f aca="false">$E$367-E175</f>
        <v>192</v>
      </c>
    </row>
    <row r="176" customFormat="false" ht="11.25" hidden="false" customHeight="false" outlineLevel="0" collapsed="false">
      <c r="D176" s="174" t="n">
        <v>37520</v>
      </c>
      <c r="E176" s="0" t="n">
        <v>174</v>
      </c>
      <c r="F176" s="0" t="n">
        <f aca="false">$E$367-E176</f>
        <v>191</v>
      </c>
    </row>
    <row r="177" customFormat="false" ht="11.25" hidden="false" customHeight="false" outlineLevel="0" collapsed="false">
      <c r="D177" s="174" t="n">
        <v>37521</v>
      </c>
      <c r="E177" s="0" t="n">
        <v>175</v>
      </c>
      <c r="F177" s="0" t="n">
        <f aca="false">$E$367-E177</f>
        <v>190</v>
      </c>
    </row>
    <row r="178" customFormat="false" ht="11.25" hidden="false" customHeight="false" outlineLevel="0" collapsed="false">
      <c r="D178" s="174" t="n">
        <v>37522</v>
      </c>
      <c r="E178" s="0" t="n">
        <v>176</v>
      </c>
      <c r="F178" s="0" t="n">
        <f aca="false">$E$367-E178</f>
        <v>189</v>
      </c>
    </row>
    <row r="179" customFormat="false" ht="11.25" hidden="false" customHeight="false" outlineLevel="0" collapsed="false">
      <c r="D179" s="174" t="n">
        <v>37523</v>
      </c>
      <c r="E179" s="0" t="n">
        <v>177</v>
      </c>
      <c r="F179" s="0" t="n">
        <f aca="false">$E$367-E179</f>
        <v>188</v>
      </c>
    </row>
    <row r="180" customFormat="false" ht="11.25" hidden="false" customHeight="false" outlineLevel="0" collapsed="false">
      <c r="D180" s="174" t="n">
        <v>37524</v>
      </c>
      <c r="E180" s="0" t="n">
        <v>178</v>
      </c>
      <c r="F180" s="0" t="n">
        <f aca="false">$E$367-E180</f>
        <v>187</v>
      </c>
    </row>
    <row r="181" customFormat="false" ht="11.25" hidden="false" customHeight="false" outlineLevel="0" collapsed="false">
      <c r="D181" s="174" t="n">
        <v>37525</v>
      </c>
      <c r="E181" s="0" t="n">
        <v>179</v>
      </c>
      <c r="F181" s="0" t="n">
        <f aca="false">$E$367-E181</f>
        <v>186</v>
      </c>
    </row>
    <row r="182" customFormat="false" ht="11.25" hidden="false" customHeight="false" outlineLevel="0" collapsed="false">
      <c r="D182" s="174" t="n">
        <v>37526</v>
      </c>
      <c r="E182" s="0" t="n">
        <v>180</v>
      </c>
      <c r="F182" s="0" t="n">
        <f aca="false">$E$367-E182</f>
        <v>185</v>
      </c>
    </row>
    <row r="183" customFormat="false" ht="11.25" hidden="false" customHeight="false" outlineLevel="0" collapsed="false">
      <c r="D183" s="174" t="n">
        <v>37527</v>
      </c>
      <c r="E183" s="0" t="n">
        <v>181</v>
      </c>
      <c r="F183" s="0" t="n">
        <f aca="false">$E$367-E183</f>
        <v>184</v>
      </c>
    </row>
    <row r="184" customFormat="false" ht="11.25" hidden="false" customHeight="false" outlineLevel="0" collapsed="false">
      <c r="D184" s="174" t="n">
        <v>37528</v>
      </c>
      <c r="E184" s="0" t="n">
        <v>182</v>
      </c>
      <c r="F184" s="0" t="n">
        <f aca="false">$E$367-E184</f>
        <v>183</v>
      </c>
    </row>
    <row r="185" customFormat="false" ht="11.25" hidden="false" customHeight="false" outlineLevel="0" collapsed="false">
      <c r="D185" s="174" t="n">
        <v>37529</v>
      </c>
      <c r="E185" s="0" t="n">
        <v>183</v>
      </c>
      <c r="F185" s="0" t="n">
        <f aca="false">$E$367-E185</f>
        <v>182</v>
      </c>
    </row>
    <row r="186" customFormat="false" ht="11.25" hidden="false" customHeight="false" outlineLevel="0" collapsed="false">
      <c r="D186" s="174" t="n">
        <v>37530</v>
      </c>
      <c r="E186" s="0" t="n">
        <v>184</v>
      </c>
      <c r="F186" s="0" t="n">
        <f aca="false">$E$367-E186</f>
        <v>181</v>
      </c>
    </row>
    <row r="187" customFormat="false" ht="11.25" hidden="false" customHeight="false" outlineLevel="0" collapsed="false">
      <c r="D187" s="174" t="n">
        <v>37531</v>
      </c>
      <c r="E187" s="0" t="n">
        <v>185</v>
      </c>
      <c r="F187" s="0" t="n">
        <f aca="false">$E$367-E187</f>
        <v>180</v>
      </c>
    </row>
    <row r="188" customFormat="false" ht="11.25" hidden="false" customHeight="false" outlineLevel="0" collapsed="false">
      <c r="D188" s="174" t="n">
        <v>37532</v>
      </c>
      <c r="E188" s="0" t="n">
        <v>186</v>
      </c>
      <c r="F188" s="0" t="n">
        <f aca="false">$E$367-E188</f>
        <v>179</v>
      </c>
    </row>
    <row r="189" customFormat="false" ht="11.25" hidden="false" customHeight="false" outlineLevel="0" collapsed="false">
      <c r="D189" s="174" t="n">
        <v>37533</v>
      </c>
      <c r="E189" s="0" t="n">
        <v>187</v>
      </c>
      <c r="F189" s="0" t="n">
        <f aca="false">$E$367-E189</f>
        <v>178</v>
      </c>
    </row>
    <row r="190" customFormat="false" ht="11.25" hidden="false" customHeight="false" outlineLevel="0" collapsed="false">
      <c r="D190" s="174" t="n">
        <v>37534</v>
      </c>
      <c r="E190" s="0" t="n">
        <v>188</v>
      </c>
      <c r="F190" s="0" t="n">
        <f aca="false">$E$367-E190</f>
        <v>177</v>
      </c>
    </row>
    <row r="191" customFormat="false" ht="11.25" hidden="false" customHeight="false" outlineLevel="0" collapsed="false">
      <c r="D191" s="174" t="n">
        <v>37535</v>
      </c>
      <c r="E191" s="0" t="n">
        <v>189</v>
      </c>
      <c r="F191" s="0" t="n">
        <f aca="false">$E$367-E191</f>
        <v>176</v>
      </c>
    </row>
    <row r="192" customFormat="false" ht="11.25" hidden="false" customHeight="false" outlineLevel="0" collapsed="false">
      <c r="D192" s="174" t="n">
        <v>37536</v>
      </c>
      <c r="E192" s="0" t="n">
        <v>190</v>
      </c>
      <c r="F192" s="0" t="n">
        <f aca="false">$E$367-E192</f>
        <v>175</v>
      </c>
    </row>
    <row r="193" customFormat="false" ht="11.25" hidden="false" customHeight="false" outlineLevel="0" collapsed="false">
      <c r="D193" s="174" t="n">
        <v>37537</v>
      </c>
      <c r="E193" s="0" t="n">
        <v>191</v>
      </c>
      <c r="F193" s="0" t="n">
        <f aca="false">$E$367-E193</f>
        <v>174</v>
      </c>
    </row>
    <row r="194" customFormat="false" ht="11.25" hidden="false" customHeight="false" outlineLevel="0" collapsed="false">
      <c r="D194" s="174" t="n">
        <v>37538</v>
      </c>
      <c r="E194" s="0" t="n">
        <v>192</v>
      </c>
      <c r="F194" s="0" t="n">
        <f aca="false">$E$367-E194</f>
        <v>173</v>
      </c>
    </row>
    <row r="195" customFormat="false" ht="11.25" hidden="false" customHeight="false" outlineLevel="0" collapsed="false">
      <c r="D195" s="174" t="n">
        <v>37539</v>
      </c>
      <c r="E195" s="0" t="n">
        <v>193</v>
      </c>
      <c r="F195" s="0" t="n">
        <f aca="false">$E$367-E195</f>
        <v>172</v>
      </c>
    </row>
    <row r="196" customFormat="false" ht="11.25" hidden="false" customHeight="false" outlineLevel="0" collapsed="false">
      <c r="D196" s="174" t="n">
        <v>37540</v>
      </c>
      <c r="E196" s="0" t="n">
        <v>194</v>
      </c>
      <c r="F196" s="0" t="n">
        <f aca="false">$E$367-E196</f>
        <v>171</v>
      </c>
    </row>
    <row r="197" customFormat="false" ht="11.25" hidden="false" customHeight="false" outlineLevel="0" collapsed="false">
      <c r="D197" s="174" t="n">
        <v>37541</v>
      </c>
      <c r="E197" s="0" t="n">
        <v>195</v>
      </c>
      <c r="F197" s="0" t="n">
        <f aca="false">$E$367-E197</f>
        <v>170</v>
      </c>
    </row>
    <row r="198" customFormat="false" ht="11.25" hidden="false" customHeight="false" outlineLevel="0" collapsed="false">
      <c r="D198" s="174" t="n">
        <v>37542</v>
      </c>
      <c r="E198" s="0" t="n">
        <v>196</v>
      </c>
      <c r="F198" s="0" t="n">
        <f aca="false">$E$367-E198</f>
        <v>169</v>
      </c>
    </row>
    <row r="199" customFormat="false" ht="11.25" hidden="false" customHeight="false" outlineLevel="0" collapsed="false">
      <c r="D199" s="174" t="n">
        <v>37543</v>
      </c>
      <c r="E199" s="0" t="n">
        <v>197</v>
      </c>
      <c r="F199" s="0" t="n">
        <f aca="false">$E$367-E199</f>
        <v>168</v>
      </c>
    </row>
    <row r="200" customFormat="false" ht="11.25" hidden="false" customHeight="false" outlineLevel="0" collapsed="false">
      <c r="D200" s="174" t="n">
        <v>37544</v>
      </c>
      <c r="E200" s="0" t="n">
        <v>198</v>
      </c>
      <c r="F200" s="0" t="n">
        <f aca="false">$E$367-E200</f>
        <v>167</v>
      </c>
    </row>
    <row r="201" customFormat="false" ht="11.25" hidden="false" customHeight="false" outlineLevel="0" collapsed="false">
      <c r="D201" s="174" t="n">
        <v>37545</v>
      </c>
      <c r="E201" s="0" t="n">
        <v>199</v>
      </c>
      <c r="F201" s="0" t="n">
        <f aca="false">$E$367-E201</f>
        <v>166</v>
      </c>
    </row>
    <row r="202" customFormat="false" ht="11.25" hidden="false" customHeight="false" outlineLevel="0" collapsed="false">
      <c r="D202" s="174" t="n">
        <v>37546</v>
      </c>
      <c r="E202" s="0" t="n">
        <v>200</v>
      </c>
      <c r="F202" s="0" t="n">
        <f aca="false">$E$367-E202</f>
        <v>165</v>
      </c>
    </row>
    <row r="203" customFormat="false" ht="11.25" hidden="false" customHeight="false" outlineLevel="0" collapsed="false">
      <c r="D203" s="174" t="n">
        <v>37547</v>
      </c>
      <c r="E203" s="0" t="n">
        <v>201</v>
      </c>
      <c r="F203" s="0" t="n">
        <f aca="false">$E$367-E203</f>
        <v>164</v>
      </c>
    </row>
    <row r="204" customFormat="false" ht="11.25" hidden="false" customHeight="false" outlineLevel="0" collapsed="false">
      <c r="D204" s="174" t="n">
        <v>37548</v>
      </c>
      <c r="E204" s="0" t="n">
        <v>202</v>
      </c>
      <c r="F204" s="0" t="n">
        <f aca="false">$E$367-E204</f>
        <v>163</v>
      </c>
    </row>
    <row r="205" customFormat="false" ht="11.25" hidden="false" customHeight="false" outlineLevel="0" collapsed="false">
      <c r="D205" s="174" t="n">
        <v>37549</v>
      </c>
      <c r="E205" s="0" t="n">
        <v>203</v>
      </c>
      <c r="F205" s="0" t="n">
        <f aca="false">$E$367-E205</f>
        <v>162</v>
      </c>
    </row>
    <row r="206" customFormat="false" ht="11.25" hidden="false" customHeight="false" outlineLevel="0" collapsed="false">
      <c r="D206" s="174" t="n">
        <v>37550</v>
      </c>
      <c r="E206" s="0" t="n">
        <v>204</v>
      </c>
      <c r="F206" s="0" t="n">
        <f aca="false">$E$367-E206</f>
        <v>161</v>
      </c>
    </row>
    <row r="207" customFormat="false" ht="11.25" hidden="false" customHeight="false" outlineLevel="0" collapsed="false">
      <c r="D207" s="174" t="n">
        <v>37551</v>
      </c>
      <c r="E207" s="0" t="n">
        <v>205</v>
      </c>
      <c r="F207" s="0" t="n">
        <f aca="false">$E$367-E207</f>
        <v>160</v>
      </c>
    </row>
    <row r="208" customFormat="false" ht="11.25" hidden="false" customHeight="false" outlineLevel="0" collapsed="false">
      <c r="D208" s="174" t="n">
        <v>37552</v>
      </c>
      <c r="E208" s="0" t="n">
        <v>206</v>
      </c>
      <c r="F208" s="0" t="n">
        <f aca="false">$E$367-E208</f>
        <v>159</v>
      </c>
    </row>
    <row r="209" customFormat="false" ht="11.25" hidden="false" customHeight="false" outlineLevel="0" collapsed="false">
      <c r="D209" s="174" t="n">
        <v>37553</v>
      </c>
      <c r="E209" s="0" t="n">
        <v>207</v>
      </c>
      <c r="F209" s="0" t="n">
        <f aca="false">$E$367-E209</f>
        <v>158</v>
      </c>
    </row>
    <row r="210" customFormat="false" ht="11.25" hidden="false" customHeight="false" outlineLevel="0" collapsed="false">
      <c r="D210" s="174" t="n">
        <v>37554</v>
      </c>
      <c r="E210" s="0" t="n">
        <v>208</v>
      </c>
      <c r="F210" s="0" t="n">
        <f aca="false">$E$367-E210</f>
        <v>157</v>
      </c>
    </row>
    <row r="211" customFormat="false" ht="11.25" hidden="false" customHeight="false" outlineLevel="0" collapsed="false">
      <c r="D211" s="174" t="n">
        <v>37555</v>
      </c>
      <c r="E211" s="0" t="n">
        <v>209</v>
      </c>
      <c r="F211" s="0" t="n">
        <f aca="false">$E$367-E211</f>
        <v>156</v>
      </c>
    </row>
    <row r="212" customFormat="false" ht="11.25" hidden="false" customHeight="false" outlineLevel="0" collapsed="false">
      <c r="D212" s="174" t="n">
        <v>37556</v>
      </c>
      <c r="E212" s="0" t="n">
        <v>210</v>
      </c>
      <c r="F212" s="0" t="n">
        <f aca="false">$E$367-E212</f>
        <v>155</v>
      </c>
    </row>
    <row r="213" customFormat="false" ht="11.25" hidden="false" customHeight="false" outlineLevel="0" collapsed="false">
      <c r="D213" s="174" t="n">
        <v>37557</v>
      </c>
      <c r="E213" s="0" t="n">
        <v>211</v>
      </c>
      <c r="F213" s="0" t="n">
        <f aca="false">$E$367-E213</f>
        <v>154</v>
      </c>
    </row>
    <row r="214" customFormat="false" ht="11.25" hidden="false" customHeight="false" outlineLevel="0" collapsed="false">
      <c r="D214" s="174" t="n">
        <v>37558</v>
      </c>
      <c r="E214" s="0" t="n">
        <v>212</v>
      </c>
      <c r="F214" s="0" t="n">
        <f aca="false">$E$367-E214</f>
        <v>153</v>
      </c>
    </row>
    <row r="215" customFormat="false" ht="11.25" hidden="false" customHeight="false" outlineLevel="0" collapsed="false">
      <c r="D215" s="174" t="n">
        <v>37559</v>
      </c>
      <c r="E215" s="0" t="n">
        <v>213</v>
      </c>
      <c r="F215" s="0" t="n">
        <f aca="false">$E$367-E215</f>
        <v>152</v>
      </c>
    </row>
    <row r="216" customFormat="false" ht="11.25" hidden="false" customHeight="false" outlineLevel="0" collapsed="false">
      <c r="D216" s="174" t="n">
        <v>37560</v>
      </c>
      <c r="E216" s="0" t="n">
        <v>214</v>
      </c>
      <c r="F216" s="0" t="n">
        <f aca="false">$E$367-E216</f>
        <v>151</v>
      </c>
    </row>
    <row r="217" customFormat="false" ht="11.25" hidden="false" customHeight="false" outlineLevel="0" collapsed="false">
      <c r="D217" s="174" t="n">
        <v>37561</v>
      </c>
      <c r="E217" s="0" t="n">
        <v>215</v>
      </c>
      <c r="F217" s="0" t="n">
        <f aca="false">$E$367-E217</f>
        <v>150</v>
      </c>
    </row>
    <row r="218" customFormat="false" ht="11.25" hidden="false" customHeight="false" outlineLevel="0" collapsed="false">
      <c r="D218" s="174" t="n">
        <v>37562</v>
      </c>
      <c r="E218" s="0" t="n">
        <v>216</v>
      </c>
      <c r="F218" s="0" t="n">
        <f aca="false">$E$367-E218</f>
        <v>149</v>
      </c>
    </row>
    <row r="219" customFormat="false" ht="11.25" hidden="false" customHeight="false" outlineLevel="0" collapsed="false">
      <c r="D219" s="174" t="n">
        <v>37563</v>
      </c>
      <c r="E219" s="0" t="n">
        <v>217</v>
      </c>
      <c r="F219" s="0" t="n">
        <f aca="false">$E$367-E219</f>
        <v>148</v>
      </c>
    </row>
    <row r="220" customFormat="false" ht="11.25" hidden="false" customHeight="false" outlineLevel="0" collapsed="false">
      <c r="D220" s="174" t="n">
        <v>37564</v>
      </c>
      <c r="E220" s="0" t="n">
        <v>218</v>
      </c>
      <c r="F220" s="0" t="n">
        <f aca="false">$E$367-E220</f>
        <v>147</v>
      </c>
    </row>
    <row r="221" customFormat="false" ht="11.25" hidden="false" customHeight="false" outlineLevel="0" collapsed="false">
      <c r="D221" s="174" t="n">
        <v>37565</v>
      </c>
      <c r="E221" s="0" t="n">
        <v>219</v>
      </c>
      <c r="F221" s="0" t="n">
        <f aca="false">$E$367-E221</f>
        <v>146</v>
      </c>
    </row>
    <row r="222" customFormat="false" ht="11.25" hidden="false" customHeight="false" outlineLevel="0" collapsed="false">
      <c r="D222" s="174" t="n">
        <v>37566</v>
      </c>
      <c r="E222" s="0" t="n">
        <v>220</v>
      </c>
      <c r="F222" s="0" t="n">
        <f aca="false">$E$367-E222</f>
        <v>145</v>
      </c>
    </row>
    <row r="223" customFormat="false" ht="11.25" hidden="false" customHeight="false" outlineLevel="0" collapsed="false">
      <c r="D223" s="174" t="n">
        <v>37567</v>
      </c>
      <c r="E223" s="0" t="n">
        <v>221</v>
      </c>
      <c r="F223" s="0" t="n">
        <f aca="false">$E$367-E223</f>
        <v>144</v>
      </c>
    </row>
    <row r="224" customFormat="false" ht="11.25" hidden="false" customHeight="false" outlineLevel="0" collapsed="false">
      <c r="D224" s="174" t="n">
        <v>37568</v>
      </c>
      <c r="E224" s="0" t="n">
        <v>222</v>
      </c>
      <c r="F224" s="0" t="n">
        <f aca="false">$E$367-E224</f>
        <v>143</v>
      </c>
    </row>
    <row r="225" customFormat="false" ht="11.25" hidden="false" customHeight="false" outlineLevel="0" collapsed="false">
      <c r="D225" s="174" t="n">
        <v>37569</v>
      </c>
      <c r="E225" s="0" t="n">
        <v>223</v>
      </c>
      <c r="F225" s="0" t="n">
        <f aca="false">$E$367-E225</f>
        <v>142</v>
      </c>
    </row>
    <row r="226" customFormat="false" ht="11.25" hidden="false" customHeight="false" outlineLevel="0" collapsed="false">
      <c r="D226" s="174" t="n">
        <v>37570</v>
      </c>
      <c r="E226" s="0" t="n">
        <v>224</v>
      </c>
      <c r="F226" s="0" t="n">
        <f aca="false">$E$367-E226</f>
        <v>141</v>
      </c>
    </row>
    <row r="227" customFormat="false" ht="11.25" hidden="false" customHeight="false" outlineLevel="0" collapsed="false">
      <c r="D227" s="174" t="n">
        <v>37571</v>
      </c>
      <c r="E227" s="0" t="n">
        <v>225</v>
      </c>
      <c r="F227" s="0" t="n">
        <f aca="false">$E$367-E227</f>
        <v>140</v>
      </c>
    </row>
    <row r="228" customFormat="false" ht="11.25" hidden="false" customHeight="false" outlineLevel="0" collapsed="false">
      <c r="D228" s="174" t="n">
        <v>37572</v>
      </c>
      <c r="E228" s="0" t="n">
        <v>226</v>
      </c>
      <c r="F228" s="0" t="n">
        <f aca="false">$E$367-E228</f>
        <v>139</v>
      </c>
    </row>
    <row r="229" customFormat="false" ht="11.25" hidden="false" customHeight="false" outlineLevel="0" collapsed="false">
      <c r="D229" s="174" t="n">
        <v>37573</v>
      </c>
      <c r="E229" s="0" t="n">
        <v>227</v>
      </c>
      <c r="F229" s="0" t="n">
        <f aca="false">$E$367-E229</f>
        <v>138</v>
      </c>
    </row>
    <row r="230" customFormat="false" ht="11.25" hidden="false" customHeight="false" outlineLevel="0" collapsed="false">
      <c r="D230" s="174" t="n">
        <v>37574</v>
      </c>
      <c r="E230" s="0" t="n">
        <v>228</v>
      </c>
      <c r="F230" s="0" t="n">
        <f aca="false">$E$367-E230</f>
        <v>137</v>
      </c>
    </row>
    <row r="231" customFormat="false" ht="11.25" hidden="false" customHeight="false" outlineLevel="0" collapsed="false">
      <c r="D231" s="174" t="n">
        <v>37575</v>
      </c>
      <c r="E231" s="0" t="n">
        <v>229</v>
      </c>
      <c r="F231" s="0" t="n">
        <f aca="false">$E$367-E231</f>
        <v>136</v>
      </c>
    </row>
    <row r="232" customFormat="false" ht="11.25" hidden="false" customHeight="false" outlineLevel="0" collapsed="false">
      <c r="D232" s="174" t="n">
        <v>37576</v>
      </c>
      <c r="E232" s="0" t="n">
        <v>230</v>
      </c>
      <c r="F232" s="0" t="n">
        <f aca="false">$E$367-E232</f>
        <v>135</v>
      </c>
    </row>
    <row r="233" customFormat="false" ht="11.25" hidden="false" customHeight="false" outlineLevel="0" collapsed="false">
      <c r="D233" s="174" t="n">
        <v>37577</v>
      </c>
      <c r="E233" s="0" t="n">
        <v>231</v>
      </c>
      <c r="F233" s="0" t="n">
        <f aca="false">$E$367-E233</f>
        <v>134</v>
      </c>
    </row>
    <row r="234" customFormat="false" ht="11.25" hidden="false" customHeight="false" outlineLevel="0" collapsed="false">
      <c r="D234" s="174" t="n">
        <v>37578</v>
      </c>
      <c r="E234" s="0" t="n">
        <v>232</v>
      </c>
      <c r="F234" s="0" t="n">
        <f aca="false">$E$367-E234</f>
        <v>133</v>
      </c>
    </row>
    <row r="235" customFormat="false" ht="11.25" hidden="false" customHeight="false" outlineLevel="0" collapsed="false">
      <c r="D235" s="174" t="n">
        <v>37579</v>
      </c>
      <c r="E235" s="0" t="n">
        <v>233</v>
      </c>
      <c r="F235" s="0" t="n">
        <f aca="false">$E$367-E235</f>
        <v>132</v>
      </c>
    </row>
    <row r="236" customFormat="false" ht="11.25" hidden="false" customHeight="false" outlineLevel="0" collapsed="false">
      <c r="D236" s="174" t="n">
        <v>37580</v>
      </c>
      <c r="E236" s="0" t="n">
        <v>234</v>
      </c>
      <c r="F236" s="0" t="n">
        <f aca="false">$E$367-E236</f>
        <v>131</v>
      </c>
    </row>
    <row r="237" customFormat="false" ht="11.25" hidden="false" customHeight="false" outlineLevel="0" collapsed="false">
      <c r="D237" s="174" t="n">
        <v>37581</v>
      </c>
      <c r="E237" s="0" t="n">
        <v>235</v>
      </c>
      <c r="F237" s="0" t="n">
        <f aca="false">$E$367-E237</f>
        <v>130</v>
      </c>
    </row>
    <row r="238" customFormat="false" ht="11.25" hidden="false" customHeight="false" outlineLevel="0" collapsed="false">
      <c r="D238" s="174" t="n">
        <v>37582</v>
      </c>
      <c r="E238" s="0" t="n">
        <v>236</v>
      </c>
      <c r="F238" s="0" t="n">
        <f aca="false">$E$367-E238</f>
        <v>129</v>
      </c>
    </row>
    <row r="239" customFormat="false" ht="11.25" hidden="false" customHeight="false" outlineLevel="0" collapsed="false">
      <c r="D239" s="174" t="n">
        <v>37583</v>
      </c>
      <c r="E239" s="0" t="n">
        <v>237</v>
      </c>
      <c r="F239" s="0" t="n">
        <f aca="false">$E$367-E239</f>
        <v>128</v>
      </c>
    </row>
    <row r="240" customFormat="false" ht="11.25" hidden="false" customHeight="false" outlineLevel="0" collapsed="false">
      <c r="D240" s="174" t="n">
        <v>37584</v>
      </c>
      <c r="E240" s="0" t="n">
        <v>238</v>
      </c>
      <c r="F240" s="0" t="n">
        <f aca="false">$E$367-E240</f>
        <v>127</v>
      </c>
    </row>
    <row r="241" customFormat="false" ht="11.25" hidden="false" customHeight="false" outlineLevel="0" collapsed="false">
      <c r="D241" s="174" t="n">
        <v>37585</v>
      </c>
      <c r="E241" s="0" t="n">
        <v>239</v>
      </c>
      <c r="F241" s="0" t="n">
        <f aca="false">$E$367-E241</f>
        <v>126</v>
      </c>
    </row>
    <row r="242" customFormat="false" ht="11.25" hidden="false" customHeight="false" outlineLevel="0" collapsed="false">
      <c r="D242" s="174" t="n">
        <v>37586</v>
      </c>
      <c r="E242" s="0" t="n">
        <v>240</v>
      </c>
      <c r="F242" s="0" t="n">
        <f aca="false">$E$367-E242</f>
        <v>125</v>
      </c>
    </row>
    <row r="243" customFormat="false" ht="11.25" hidden="false" customHeight="false" outlineLevel="0" collapsed="false">
      <c r="D243" s="174" t="n">
        <v>37587</v>
      </c>
      <c r="E243" s="0" t="n">
        <v>241</v>
      </c>
      <c r="F243" s="0" t="n">
        <f aca="false">$E$367-E243</f>
        <v>124</v>
      </c>
    </row>
    <row r="244" customFormat="false" ht="11.25" hidden="false" customHeight="false" outlineLevel="0" collapsed="false">
      <c r="D244" s="174" t="n">
        <v>37588</v>
      </c>
      <c r="E244" s="0" t="n">
        <v>242</v>
      </c>
      <c r="F244" s="0" t="n">
        <f aca="false">$E$367-E244</f>
        <v>123</v>
      </c>
    </row>
    <row r="245" customFormat="false" ht="11.25" hidden="false" customHeight="false" outlineLevel="0" collapsed="false">
      <c r="D245" s="174" t="n">
        <v>37589</v>
      </c>
      <c r="E245" s="0" t="n">
        <v>243</v>
      </c>
      <c r="F245" s="0" t="n">
        <f aca="false">$E$367-E245</f>
        <v>122</v>
      </c>
    </row>
    <row r="246" customFormat="false" ht="11.25" hidden="false" customHeight="false" outlineLevel="0" collapsed="false">
      <c r="D246" s="174" t="n">
        <v>37590</v>
      </c>
      <c r="E246" s="0" t="n">
        <v>244</v>
      </c>
      <c r="F246" s="0" t="n">
        <f aca="false">$E$367-E246</f>
        <v>121</v>
      </c>
    </row>
    <row r="247" customFormat="false" ht="11.25" hidden="false" customHeight="false" outlineLevel="0" collapsed="false">
      <c r="D247" s="174" t="n">
        <v>37591</v>
      </c>
      <c r="E247" s="0" t="n">
        <v>245</v>
      </c>
      <c r="F247" s="0" t="n">
        <f aca="false">$E$367-E247</f>
        <v>120</v>
      </c>
    </row>
    <row r="248" customFormat="false" ht="11.25" hidden="false" customHeight="false" outlineLevel="0" collapsed="false">
      <c r="D248" s="174" t="n">
        <v>37592</v>
      </c>
      <c r="E248" s="0" t="n">
        <v>246</v>
      </c>
      <c r="F248" s="0" t="n">
        <f aca="false">$E$367-E248</f>
        <v>119</v>
      </c>
    </row>
    <row r="249" customFormat="false" ht="11.25" hidden="false" customHeight="false" outlineLevel="0" collapsed="false">
      <c r="D249" s="174" t="n">
        <v>37593</v>
      </c>
      <c r="E249" s="0" t="n">
        <v>247</v>
      </c>
      <c r="F249" s="0" t="n">
        <f aca="false">$E$367-E249</f>
        <v>118</v>
      </c>
    </row>
    <row r="250" customFormat="false" ht="11.25" hidden="false" customHeight="false" outlineLevel="0" collapsed="false">
      <c r="D250" s="174" t="n">
        <v>37594</v>
      </c>
      <c r="E250" s="0" t="n">
        <v>248</v>
      </c>
      <c r="F250" s="0" t="n">
        <f aca="false">$E$367-E250</f>
        <v>117</v>
      </c>
    </row>
    <row r="251" customFormat="false" ht="11.25" hidden="false" customHeight="false" outlineLevel="0" collapsed="false">
      <c r="D251" s="174" t="n">
        <v>37595</v>
      </c>
      <c r="E251" s="0" t="n">
        <v>249</v>
      </c>
      <c r="F251" s="0" t="n">
        <f aca="false">$E$367-E251</f>
        <v>116</v>
      </c>
    </row>
    <row r="252" customFormat="false" ht="11.25" hidden="false" customHeight="false" outlineLevel="0" collapsed="false">
      <c r="D252" s="174" t="n">
        <v>37596</v>
      </c>
      <c r="E252" s="0" t="n">
        <v>250</v>
      </c>
      <c r="F252" s="0" t="n">
        <f aca="false">$E$367-E252</f>
        <v>115</v>
      </c>
    </row>
    <row r="253" customFormat="false" ht="11.25" hidden="false" customHeight="false" outlineLevel="0" collapsed="false">
      <c r="D253" s="174" t="n">
        <v>37597</v>
      </c>
      <c r="E253" s="0" t="n">
        <v>251</v>
      </c>
      <c r="F253" s="0" t="n">
        <f aca="false">$E$367-E253</f>
        <v>114</v>
      </c>
    </row>
    <row r="254" customFormat="false" ht="11.25" hidden="false" customHeight="false" outlineLevel="0" collapsed="false">
      <c r="D254" s="174" t="n">
        <v>37598</v>
      </c>
      <c r="E254" s="0" t="n">
        <v>252</v>
      </c>
      <c r="F254" s="0" t="n">
        <f aca="false">$E$367-E254</f>
        <v>113</v>
      </c>
    </row>
    <row r="255" customFormat="false" ht="11.25" hidden="false" customHeight="false" outlineLevel="0" collapsed="false">
      <c r="D255" s="174" t="n">
        <v>37599</v>
      </c>
      <c r="E255" s="0" t="n">
        <v>253</v>
      </c>
      <c r="F255" s="0" t="n">
        <f aca="false">$E$367-E255</f>
        <v>112</v>
      </c>
    </row>
    <row r="256" customFormat="false" ht="11.25" hidden="false" customHeight="false" outlineLevel="0" collapsed="false">
      <c r="D256" s="174" t="n">
        <v>37600</v>
      </c>
      <c r="E256" s="0" t="n">
        <v>254</v>
      </c>
      <c r="F256" s="0" t="n">
        <f aca="false">$E$367-E256</f>
        <v>111</v>
      </c>
    </row>
    <row r="257" customFormat="false" ht="11.25" hidden="false" customHeight="false" outlineLevel="0" collapsed="false">
      <c r="D257" s="174" t="n">
        <v>37601</v>
      </c>
      <c r="E257" s="0" t="n">
        <v>255</v>
      </c>
      <c r="F257" s="0" t="n">
        <f aca="false">$E$367-E257</f>
        <v>110</v>
      </c>
    </row>
    <row r="258" customFormat="false" ht="11.25" hidden="false" customHeight="false" outlineLevel="0" collapsed="false">
      <c r="D258" s="174" t="n">
        <v>37602</v>
      </c>
      <c r="E258" s="0" t="n">
        <v>256</v>
      </c>
      <c r="F258" s="0" t="n">
        <f aca="false">$E$367-E258</f>
        <v>109</v>
      </c>
    </row>
    <row r="259" customFormat="false" ht="11.25" hidden="false" customHeight="false" outlineLevel="0" collapsed="false">
      <c r="D259" s="174" t="n">
        <v>37603</v>
      </c>
      <c r="E259" s="0" t="n">
        <v>257</v>
      </c>
      <c r="F259" s="0" t="n">
        <f aca="false">$E$367-E259</f>
        <v>108</v>
      </c>
    </row>
    <row r="260" customFormat="false" ht="11.25" hidden="false" customHeight="false" outlineLevel="0" collapsed="false">
      <c r="D260" s="174" t="n">
        <v>37604</v>
      </c>
      <c r="E260" s="0" t="n">
        <v>258</v>
      </c>
      <c r="F260" s="0" t="n">
        <f aca="false">$E$367-E260</f>
        <v>107</v>
      </c>
    </row>
    <row r="261" customFormat="false" ht="11.25" hidden="false" customHeight="false" outlineLevel="0" collapsed="false">
      <c r="D261" s="174" t="n">
        <v>37605</v>
      </c>
      <c r="E261" s="0" t="n">
        <v>259</v>
      </c>
      <c r="F261" s="0" t="n">
        <f aca="false">$E$367-E261</f>
        <v>106</v>
      </c>
    </row>
    <row r="262" customFormat="false" ht="11.25" hidden="false" customHeight="false" outlineLevel="0" collapsed="false">
      <c r="D262" s="174" t="n">
        <v>37606</v>
      </c>
      <c r="E262" s="0" t="n">
        <v>260</v>
      </c>
      <c r="F262" s="0" t="n">
        <f aca="false">$E$367-E262</f>
        <v>105</v>
      </c>
    </row>
    <row r="263" customFormat="false" ht="11.25" hidden="false" customHeight="false" outlineLevel="0" collapsed="false">
      <c r="D263" s="174" t="n">
        <v>37607</v>
      </c>
      <c r="E263" s="0" t="n">
        <v>261</v>
      </c>
      <c r="F263" s="0" t="n">
        <f aca="false">$E$367-E263</f>
        <v>104</v>
      </c>
    </row>
    <row r="264" customFormat="false" ht="11.25" hidden="false" customHeight="false" outlineLevel="0" collapsed="false">
      <c r="D264" s="174" t="n">
        <v>37608</v>
      </c>
      <c r="E264" s="0" t="n">
        <v>262</v>
      </c>
      <c r="F264" s="0" t="n">
        <f aca="false">$E$367-E264</f>
        <v>103</v>
      </c>
    </row>
    <row r="265" customFormat="false" ht="11.25" hidden="false" customHeight="false" outlineLevel="0" collapsed="false">
      <c r="D265" s="174" t="n">
        <v>37609</v>
      </c>
      <c r="E265" s="0" t="n">
        <v>263</v>
      </c>
      <c r="F265" s="0" t="n">
        <f aca="false">$E$367-E265</f>
        <v>102</v>
      </c>
    </row>
    <row r="266" customFormat="false" ht="11.25" hidden="false" customHeight="false" outlineLevel="0" collapsed="false">
      <c r="D266" s="174" t="n">
        <v>37610</v>
      </c>
      <c r="E266" s="0" t="n">
        <v>264</v>
      </c>
      <c r="F266" s="0" t="n">
        <f aca="false">$E$367-E266</f>
        <v>101</v>
      </c>
    </row>
    <row r="267" customFormat="false" ht="11.25" hidden="false" customHeight="false" outlineLevel="0" collapsed="false">
      <c r="D267" s="174" t="n">
        <v>37611</v>
      </c>
      <c r="E267" s="0" t="n">
        <v>265</v>
      </c>
      <c r="F267" s="0" t="n">
        <f aca="false">$E$367-E267</f>
        <v>100</v>
      </c>
    </row>
    <row r="268" customFormat="false" ht="11.25" hidden="false" customHeight="false" outlineLevel="0" collapsed="false">
      <c r="D268" s="174" t="n">
        <v>37612</v>
      </c>
      <c r="E268" s="0" t="n">
        <v>266</v>
      </c>
      <c r="F268" s="0" t="n">
        <f aca="false">$E$367-E268</f>
        <v>99</v>
      </c>
    </row>
    <row r="269" customFormat="false" ht="11.25" hidden="false" customHeight="false" outlineLevel="0" collapsed="false">
      <c r="D269" s="174" t="n">
        <v>37613</v>
      </c>
      <c r="E269" s="0" t="n">
        <v>267</v>
      </c>
      <c r="F269" s="0" t="n">
        <f aca="false">$E$367-E269</f>
        <v>98</v>
      </c>
    </row>
    <row r="270" customFormat="false" ht="11.25" hidden="false" customHeight="false" outlineLevel="0" collapsed="false">
      <c r="D270" s="174" t="n">
        <v>37614</v>
      </c>
      <c r="E270" s="0" t="n">
        <v>268</v>
      </c>
      <c r="F270" s="0" t="n">
        <f aca="false">$E$367-E270</f>
        <v>97</v>
      </c>
    </row>
    <row r="271" customFormat="false" ht="11.25" hidden="false" customHeight="false" outlineLevel="0" collapsed="false">
      <c r="D271" s="174" t="n">
        <v>37615</v>
      </c>
      <c r="E271" s="0" t="n">
        <v>269</v>
      </c>
      <c r="F271" s="0" t="n">
        <f aca="false">$E$367-E271</f>
        <v>96</v>
      </c>
    </row>
    <row r="272" customFormat="false" ht="11.25" hidden="false" customHeight="false" outlineLevel="0" collapsed="false">
      <c r="D272" s="174" t="n">
        <v>37616</v>
      </c>
      <c r="E272" s="0" t="n">
        <v>270</v>
      </c>
      <c r="F272" s="0" t="n">
        <f aca="false">$E$367-E272</f>
        <v>95</v>
      </c>
    </row>
    <row r="273" customFormat="false" ht="11.25" hidden="false" customHeight="false" outlineLevel="0" collapsed="false">
      <c r="D273" s="174" t="n">
        <v>37617</v>
      </c>
      <c r="E273" s="0" t="n">
        <v>271</v>
      </c>
      <c r="F273" s="0" t="n">
        <f aca="false">$E$367-E273</f>
        <v>94</v>
      </c>
    </row>
    <row r="274" customFormat="false" ht="11.25" hidden="false" customHeight="false" outlineLevel="0" collapsed="false">
      <c r="D274" s="174" t="n">
        <v>37618</v>
      </c>
      <c r="E274" s="0" t="n">
        <v>272</v>
      </c>
      <c r="F274" s="0" t="n">
        <f aca="false">$E$367-E274</f>
        <v>93</v>
      </c>
    </row>
    <row r="275" customFormat="false" ht="11.25" hidden="false" customHeight="false" outlineLevel="0" collapsed="false">
      <c r="D275" s="174" t="n">
        <v>37619</v>
      </c>
      <c r="E275" s="0" t="n">
        <v>273</v>
      </c>
      <c r="F275" s="0" t="n">
        <f aca="false">$E$367-E275</f>
        <v>92</v>
      </c>
    </row>
    <row r="276" customFormat="false" ht="11.25" hidden="false" customHeight="false" outlineLevel="0" collapsed="false">
      <c r="D276" s="174" t="n">
        <v>37620</v>
      </c>
      <c r="E276" s="0" t="n">
        <v>274</v>
      </c>
      <c r="F276" s="0" t="n">
        <f aca="false">$E$367-E276</f>
        <v>91</v>
      </c>
    </row>
    <row r="277" customFormat="false" ht="11.25" hidden="false" customHeight="false" outlineLevel="0" collapsed="false">
      <c r="D277" s="174" t="n">
        <v>37621</v>
      </c>
      <c r="E277" s="0" t="n">
        <v>275</v>
      </c>
      <c r="F277" s="0" t="n">
        <f aca="false">$E$367-E277</f>
        <v>90</v>
      </c>
    </row>
    <row r="278" customFormat="false" ht="11.25" hidden="false" customHeight="false" outlineLevel="0" collapsed="false">
      <c r="D278" s="174" t="n">
        <v>37622</v>
      </c>
      <c r="E278" s="0" t="n">
        <v>276</v>
      </c>
      <c r="F278" s="0" t="n">
        <f aca="false">$E$367-E278</f>
        <v>89</v>
      </c>
    </row>
    <row r="279" customFormat="false" ht="11.25" hidden="false" customHeight="false" outlineLevel="0" collapsed="false">
      <c r="D279" s="174" t="n">
        <v>37623</v>
      </c>
      <c r="E279" s="0" t="n">
        <v>277</v>
      </c>
      <c r="F279" s="0" t="n">
        <f aca="false">$E$367-E279</f>
        <v>88</v>
      </c>
    </row>
    <row r="280" customFormat="false" ht="11.25" hidden="false" customHeight="false" outlineLevel="0" collapsed="false">
      <c r="D280" s="174" t="n">
        <v>37624</v>
      </c>
      <c r="E280" s="0" t="n">
        <v>278</v>
      </c>
      <c r="F280" s="0" t="n">
        <f aca="false">$E$367-E280</f>
        <v>87</v>
      </c>
    </row>
    <row r="281" customFormat="false" ht="11.25" hidden="false" customHeight="false" outlineLevel="0" collapsed="false">
      <c r="D281" s="174" t="n">
        <v>37625</v>
      </c>
      <c r="E281" s="0" t="n">
        <v>279</v>
      </c>
      <c r="F281" s="0" t="n">
        <f aca="false">$E$367-E281</f>
        <v>86</v>
      </c>
    </row>
    <row r="282" customFormat="false" ht="11.25" hidden="false" customHeight="false" outlineLevel="0" collapsed="false">
      <c r="D282" s="174" t="n">
        <v>37626</v>
      </c>
      <c r="E282" s="0" t="n">
        <v>280</v>
      </c>
      <c r="F282" s="0" t="n">
        <f aca="false">$E$367-E282</f>
        <v>85</v>
      </c>
    </row>
    <row r="283" customFormat="false" ht="11.25" hidden="false" customHeight="false" outlineLevel="0" collapsed="false">
      <c r="D283" s="174" t="n">
        <v>37627</v>
      </c>
      <c r="E283" s="0" t="n">
        <v>281</v>
      </c>
      <c r="F283" s="0" t="n">
        <f aca="false">$E$367-E283</f>
        <v>84</v>
      </c>
    </row>
    <row r="284" customFormat="false" ht="11.25" hidden="false" customHeight="false" outlineLevel="0" collapsed="false">
      <c r="D284" s="174" t="n">
        <v>37628</v>
      </c>
      <c r="E284" s="0" t="n">
        <v>282</v>
      </c>
      <c r="F284" s="0" t="n">
        <f aca="false">$E$367-E284</f>
        <v>83</v>
      </c>
    </row>
    <row r="285" customFormat="false" ht="11.25" hidden="false" customHeight="false" outlineLevel="0" collapsed="false">
      <c r="D285" s="174" t="n">
        <v>37629</v>
      </c>
      <c r="E285" s="0" t="n">
        <v>283</v>
      </c>
      <c r="F285" s="0" t="n">
        <f aca="false">$E$367-E285</f>
        <v>82</v>
      </c>
    </row>
    <row r="286" customFormat="false" ht="11.25" hidden="false" customHeight="false" outlineLevel="0" collapsed="false">
      <c r="D286" s="174" t="n">
        <v>37630</v>
      </c>
      <c r="E286" s="0" t="n">
        <v>284</v>
      </c>
      <c r="F286" s="0" t="n">
        <f aca="false">$E$367-E286</f>
        <v>81</v>
      </c>
    </row>
    <row r="287" customFormat="false" ht="11.25" hidden="false" customHeight="false" outlineLevel="0" collapsed="false">
      <c r="D287" s="174" t="n">
        <v>37631</v>
      </c>
      <c r="E287" s="0" t="n">
        <v>285</v>
      </c>
      <c r="F287" s="0" t="n">
        <f aca="false">$E$367-E287</f>
        <v>80</v>
      </c>
    </row>
    <row r="288" customFormat="false" ht="11.25" hidden="false" customHeight="false" outlineLevel="0" collapsed="false">
      <c r="D288" s="174" t="n">
        <v>37632</v>
      </c>
      <c r="E288" s="0" t="n">
        <v>286</v>
      </c>
      <c r="F288" s="0" t="n">
        <f aca="false">$E$367-E288</f>
        <v>79</v>
      </c>
    </row>
    <row r="289" customFormat="false" ht="11.25" hidden="false" customHeight="false" outlineLevel="0" collapsed="false">
      <c r="D289" s="174" t="n">
        <v>37633</v>
      </c>
      <c r="E289" s="0" t="n">
        <v>287</v>
      </c>
      <c r="F289" s="0" t="n">
        <f aca="false">$E$367-E289</f>
        <v>78</v>
      </c>
    </row>
    <row r="290" customFormat="false" ht="11.25" hidden="false" customHeight="false" outlineLevel="0" collapsed="false">
      <c r="D290" s="174" t="n">
        <v>37634</v>
      </c>
      <c r="E290" s="0" t="n">
        <v>288</v>
      </c>
      <c r="F290" s="0" t="n">
        <f aca="false">$E$367-E290</f>
        <v>77</v>
      </c>
    </row>
    <row r="291" customFormat="false" ht="11.25" hidden="false" customHeight="false" outlineLevel="0" collapsed="false">
      <c r="D291" s="174" t="n">
        <v>37635</v>
      </c>
      <c r="E291" s="0" t="n">
        <v>289</v>
      </c>
      <c r="F291" s="0" t="n">
        <f aca="false">$E$367-E291</f>
        <v>76</v>
      </c>
    </row>
    <row r="292" customFormat="false" ht="11.25" hidden="false" customHeight="false" outlineLevel="0" collapsed="false">
      <c r="D292" s="174" t="n">
        <v>37636</v>
      </c>
      <c r="E292" s="0" t="n">
        <v>290</v>
      </c>
      <c r="F292" s="0" t="n">
        <f aca="false">$E$367-E292</f>
        <v>75</v>
      </c>
    </row>
    <row r="293" customFormat="false" ht="11.25" hidden="false" customHeight="false" outlineLevel="0" collapsed="false">
      <c r="D293" s="174" t="n">
        <v>37637</v>
      </c>
      <c r="E293" s="0" t="n">
        <v>291</v>
      </c>
      <c r="F293" s="0" t="n">
        <f aca="false">$E$367-E293</f>
        <v>74</v>
      </c>
    </row>
    <row r="294" customFormat="false" ht="11.25" hidden="false" customHeight="false" outlineLevel="0" collapsed="false">
      <c r="D294" s="174" t="n">
        <v>37638</v>
      </c>
      <c r="E294" s="0" t="n">
        <v>292</v>
      </c>
      <c r="F294" s="0" t="n">
        <f aca="false">$E$367-E294</f>
        <v>73</v>
      </c>
    </row>
    <row r="295" customFormat="false" ht="11.25" hidden="false" customHeight="false" outlineLevel="0" collapsed="false">
      <c r="D295" s="174" t="n">
        <v>37639</v>
      </c>
      <c r="E295" s="0" t="n">
        <v>293</v>
      </c>
      <c r="F295" s="0" t="n">
        <f aca="false">$E$367-E295</f>
        <v>72</v>
      </c>
    </row>
    <row r="296" customFormat="false" ht="11.25" hidden="false" customHeight="false" outlineLevel="0" collapsed="false">
      <c r="D296" s="174" t="n">
        <v>37640</v>
      </c>
      <c r="E296" s="0" t="n">
        <v>294</v>
      </c>
      <c r="F296" s="0" t="n">
        <f aca="false">$E$367-E296</f>
        <v>71</v>
      </c>
    </row>
    <row r="297" customFormat="false" ht="11.25" hidden="false" customHeight="false" outlineLevel="0" collapsed="false">
      <c r="D297" s="174" t="n">
        <v>37641</v>
      </c>
      <c r="E297" s="0" t="n">
        <v>295</v>
      </c>
      <c r="F297" s="0" t="n">
        <f aca="false">$E$367-E297</f>
        <v>70</v>
      </c>
    </row>
    <row r="298" customFormat="false" ht="11.25" hidden="false" customHeight="false" outlineLevel="0" collapsed="false">
      <c r="D298" s="174" t="n">
        <v>37642</v>
      </c>
      <c r="E298" s="0" t="n">
        <v>296</v>
      </c>
      <c r="F298" s="0" t="n">
        <f aca="false">$E$367-E298</f>
        <v>69</v>
      </c>
    </row>
    <row r="299" customFormat="false" ht="11.25" hidden="false" customHeight="false" outlineLevel="0" collapsed="false">
      <c r="D299" s="174" t="n">
        <v>37643</v>
      </c>
      <c r="E299" s="0" t="n">
        <v>297</v>
      </c>
      <c r="F299" s="0" t="n">
        <f aca="false">$E$367-E299</f>
        <v>68</v>
      </c>
    </row>
    <row r="300" customFormat="false" ht="11.25" hidden="false" customHeight="false" outlineLevel="0" collapsed="false">
      <c r="D300" s="174" t="n">
        <v>37644</v>
      </c>
      <c r="E300" s="0" t="n">
        <v>298</v>
      </c>
      <c r="F300" s="0" t="n">
        <f aca="false">$E$367-E300</f>
        <v>67</v>
      </c>
    </row>
    <row r="301" customFormat="false" ht="11.25" hidden="false" customHeight="false" outlineLevel="0" collapsed="false">
      <c r="D301" s="174" t="n">
        <v>37645</v>
      </c>
      <c r="E301" s="0" t="n">
        <v>299</v>
      </c>
      <c r="F301" s="0" t="n">
        <f aca="false">$E$367-E301</f>
        <v>66</v>
      </c>
    </row>
    <row r="302" customFormat="false" ht="11.25" hidden="false" customHeight="false" outlineLevel="0" collapsed="false">
      <c r="D302" s="174" t="n">
        <v>37646</v>
      </c>
      <c r="E302" s="0" t="n">
        <v>300</v>
      </c>
      <c r="F302" s="0" t="n">
        <f aca="false">$E$367-E302</f>
        <v>65</v>
      </c>
    </row>
    <row r="303" customFormat="false" ht="11.25" hidden="false" customHeight="false" outlineLevel="0" collapsed="false">
      <c r="D303" s="174" t="n">
        <v>37647</v>
      </c>
      <c r="E303" s="0" t="n">
        <v>301</v>
      </c>
      <c r="F303" s="0" t="n">
        <f aca="false">$E$367-E303</f>
        <v>64</v>
      </c>
    </row>
    <row r="304" customFormat="false" ht="11.25" hidden="false" customHeight="false" outlineLevel="0" collapsed="false">
      <c r="D304" s="174" t="n">
        <v>37648</v>
      </c>
      <c r="E304" s="0" t="n">
        <v>302</v>
      </c>
      <c r="F304" s="0" t="n">
        <f aca="false">$E$367-E304</f>
        <v>63</v>
      </c>
    </row>
    <row r="305" customFormat="false" ht="11.25" hidden="false" customHeight="false" outlineLevel="0" collapsed="false">
      <c r="D305" s="174" t="n">
        <v>37649</v>
      </c>
      <c r="E305" s="0" t="n">
        <v>303</v>
      </c>
      <c r="F305" s="0" t="n">
        <f aca="false">$E$367-E305</f>
        <v>62</v>
      </c>
    </row>
    <row r="306" customFormat="false" ht="11.25" hidden="false" customHeight="false" outlineLevel="0" collapsed="false">
      <c r="D306" s="174" t="n">
        <v>37650</v>
      </c>
      <c r="E306" s="0" t="n">
        <v>304</v>
      </c>
      <c r="F306" s="0" t="n">
        <f aca="false">$E$367-E306</f>
        <v>61</v>
      </c>
    </row>
    <row r="307" customFormat="false" ht="11.25" hidden="false" customHeight="false" outlineLevel="0" collapsed="false">
      <c r="D307" s="174" t="n">
        <v>37651</v>
      </c>
      <c r="E307" s="0" t="n">
        <v>305</v>
      </c>
      <c r="F307" s="0" t="n">
        <f aca="false">$E$367-E307</f>
        <v>60</v>
      </c>
    </row>
    <row r="308" customFormat="false" ht="11.25" hidden="false" customHeight="false" outlineLevel="0" collapsed="false">
      <c r="D308" s="174" t="n">
        <v>37652</v>
      </c>
      <c r="E308" s="0" t="n">
        <v>306</v>
      </c>
      <c r="F308" s="0" t="n">
        <f aca="false">$E$367-E308</f>
        <v>59</v>
      </c>
    </row>
    <row r="309" customFormat="false" ht="11.25" hidden="false" customHeight="false" outlineLevel="0" collapsed="false">
      <c r="D309" s="174" t="n">
        <v>37653</v>
      </c>
      <c r="E309" s="0" t="n">
        <v>307</v>
      </c>
      <c r="F309" s="0" t="n">
        <f aca="false">$E$367-E309</f>
        <v>58</v>
      </c>
    </row>
    <row r="310" customFormat="false" ht="11.25" hidden="false" customHeight="false" outlineLevel="0" collapsed="false">
      <c r="D310" s="174" t="n">
        <v>37654</v>
      </c>
      <c r="E310" s="0" t="n">
        <v>308</v>
      </c>
      <c r="F310" s="0" t="n">
        <f aca="false">$E$367-E310</f>
        <v>57</v>
      </c>
    </row>
    <row r="311" customFormat="false" ht="11.25" hidden="false" customHeight="false" outlineLevel="0" collapsed="false">
      <c r="D311" s="174" t="n">
        <v>37655</v>
      </c>
      <c r="E311" s="0" t="n">
        <v>309</v>
      </c>
      <c r="F311" s="0" t="n">
        <f aca="false">$E$367-E311</f>
        <v>56</v>
      </c>
    </row>
    <row r="312" customFormat="false" ht="11.25" hidden="false" customHeight="false" outlineLevel="0" collapsed="false">
      <c r="D312" s="174" t="n">
        <v>37656</v>
      </c>
      <c r="E312" s="0" t="n">
        <v>310</v>
      </c>
      <c r="F312" s="0" t="n">
        <f aca="false">$E$367-E312</f>
        <v>55</v>
      </c>
    </row>
    <row r="313" customFormat="false" ht="11.25" hidden="false" customHeight="false" outlineLevel="0" collapsed="false">
      <c r="D313" s="174" t="n">
        <v>37657</v>
      </c>
      <c r="E313" s="0" t="n">
        <v>311</v>
      </c>
      <c r="F313" s="0" t="n">
        <f aca="false">$E$367-E313</f>
        <v>54</v>
      </c>
    </row>
    <row r="314" customFormat="false" ht="11.25" hidden="false" customHeight="false" outlineLevel="0" collapsed="false">
      <c r="D314" s="174" t="n">
        <v>37658</v>
      </c>
      <c r="E314" s="0" t="n">
        <v>312</v>
      </c>
      <c r="F314" s="0" t="n">
        <f aca="false">$E$367-E314</f>
        <v>53</v>
      </c>
    </row>
    <row r="315" customFormat="false" ht="11.25" hidden="false" customHeight="false" outlineLevel="0" collapsed="false">
      <c r="D315" s="174" t="n">
        <v>37659</v>
      </c>
      <c r="E315" s="0" t="n">
        <v>313</v>
      </c>
      <c r="F315" s="0" t="n">
        <f aca="false">$E$367-E315</f>
        <v>52</v>
      </c>
    </row>
    <row r="316" customFormat="false" ht="11.25" hidden="false" customHeight="false" outlineLevel="0" collapsed="false">
      <c r="D316" s="174" t="n">
        <v>37660</v>
      </c>
      <c r="E316" s="0" t="n">
        <v>314</v>
      </c>
      <c r="F316" s="0" t="n">
        <f aca="false">$E$367-E316</f>
        <v>51</v>
      </c>
    </row>
    <row r="317" customFormat="false" ht="11.25" hidden="false" customHeight="false" outlineLevel="0" collapsed="false">
      <c r="D317" s="174" t="n">
        <v>37661</v>
      </c>
      <c r="E317" s="0" t="n">
        <v>315</v>
      </c>
      <c r="F317" s="0" t="n">
        <f aca="false">$E$367-E317</f>
        <v>50</v>
      </c>
    </row>
    <row r="318" customFormat="false" ht="11.25" hidden="false" customHeight="false" outlineLevel="0" collapsed="false">
      <c r="D318" s="174" t="n">
        <v>37662</v>
      </c>
      <c r="E318" s="0" t="n">
        <v>316</v>
      </c>
      <c r="F318" s="0" t="n">
        <f aca="false">$E$367-E318</f>
        <v>49</v>
      </c>
    </row>
    <row r="319" customFormat="false" ht="11.25" hidden="false" customHeight="false" outlineLevel="0" collapsed="false">
      <c r="D319" s="174" t="n">
        <v>37663</v>
      </c>
      <c r="E319" s="0" t="n">
        <v>317</v>
      </c>
      <c r="F319" s="0" t="n">
        <f aca="false">$E$367-E319</f>
        <v>48</v>
      </c>
    </row>
    <row r="320" customFormat="false" ht="11.25" hidden="false" customHeight="false" outlineLevel="0" collapsed="false">
      <c r="D320" s="174" t="n">
        <v>37664</v>
      </c>
      <c r="E320" s="0" t="n">
        <v>318</v>
      </c>
      <c r="F320" s="0" t="n">
        <f aca="false">$E$367-E320</f>
        <v>47</v>
      </c>
    </row>
    <row r="321" customFormat="false" ht="11.25" hidden="false" customHeight="false" outlineLevel="0" collapsed="false">
      <c r="D321" s="174" t="n">
        <v>37665</v>
      </c>
      <c r="E321" s="0" t="n">
        <v>319</v>
      </c>
      <c r="F321" s="0" t="n">
        <f aca="false">$E$367-E321</f>
        <v>46</v>
      </c>
    </row>
    <row r="322" customFormat="false" ht="11.25" hidden="false" customHeight="false" outlineLevel="0" collapsed="false">
      <c r="D322" s="174" t="n">
        <v>37666</v>
      </c>
      <c r="E322" s="0" t="n">
        <v>320</v>
      </c>
      <c r="F322" s="0" t="n">
        <f aca="false">$E$367-E322</f>
        <v>45</v>
      </c>
    </row>
    <row r="323" customFormat="false" ht="11.25" hidden="false" customHeight="false" outlineLevel="0" collapsed="false">
      <c r="D323" s="174" t="n">
        <v>37667</v>
      </c>
      <c r="E323" s="0" t="n">
        <v>321</v>
      </c>
      <c r="F323" s="0" t="n">
        <f aca="false">$E$367-E323</f>
        <v>44</v>
      </c>
    </row>
    <row r="324" customFormat="false" ht="11.25" hidden="false" customHeight="false" outlineLevel="0" collapsed="false">
      <c r="D324" s="174" t="n">
        <v>37668</v>
      </c>
      <c r="E324" s="0" t="n">
        <v>322</v>
      </c>
      <c r="F324" s="0" t="n">
        <f aca="false">$E$367-E324</f>
        <v>43</v>
      </c>
    </row>
    <row r="325" customFormat="false" ht="11.25" hidden="false" customHeight="false" outlineLevel="0" collapsed="false">
      <c r="D325" s="174" t="n">
        <v>37669</v>
      </c>
      <c r="E325" s="0" t="n">
        <v>323</v>
      </c>
      <c r="F325" s="0" t="n">
        <f aca="false">$E$367-E325</f>
        <v>42</v>
      </c>
    </row>
    <row r="326" customFormat="false" ht="11.25" hidden="false" customHeight="false" outlineLevel="0" collapsed="false">
      <c r="D326" s="174" t="n">
        <v>37670</v>
      </c>
      <c r="E326" s="0" t="n">
        <v>324</v>
      </c>
      <c r="F326" s="0" t="n">
        <f aca="false">$E$367-E326</f>
        <v>41</v>
      </c>
    </row>
    <row r="327" customFormat="false" ht="11.25" hidden="false" customHeight="false" outlineLevel="0" collapsed="false">
      <c r="D327" s="174" t="n">
        <v>37671</v>
      </c>
      <c r="E327" s="0" t="n">
        <v>325</v>
      </c>
      <c r="F327" s="0" t="n">
        <f aca="false">$E$367-E327</f>
        <v>40</v>
      </c>
    </row>
    <row r="328" customFormat="false" ht="11.25" hidden="false" customHeight="false" outlineLevel="0" collapsed="false">
      <c r="D328" s="174" t="n">
        <v>37672</v>
      </c>
      <c r="E328" s="0" t="n">
        <v>326</v>
      </c>
      <c r="F328" s="0" t="n">
        <f aca="false">$E$367-E328</f>
        <v>39</v>
      </c>
    </row>
    <row r="329" customFormat="false" ht="11.25" hidden="false" customHeight="false" outlineLevel="0" collapsed="false">
      <c r="D329" s="174" t="n">
        <v>37673</v>
      </c>
      <c r="E329" s="0" t="n">
        <v>327</v>
      </c>
      <c r="F329" s="0" t="n">
        <f aca="false">$E$367-E329</f>
        <v>38</v>
      </c>
    </row>
    <row r="330" customFormat="false" ht="11.25" hidden="false" customHeight="false" outlineLevel="0" collapsed="false">
      <c r="D330" s="174" t="n">
        <v>37674</v>
      </c>
      <c r="E330" s="0" t="n">
        <v>328</v>
      </c>
      <c r="F330" s="0" t="n">
        <f aca="false">$E$367-E330</f>
        <v>37</v>
      </c>
    </row>
    <row r="331" customFormat="false" ht="11.25" hidden="false" customHeight="false" outlineLevel="0" collapsed="false">
      <c r="D331" s="174" t="n">
        <v>37675</v>
      </c>
      <c r="E331" s="0" t="n">
        <v>329</v>
      </c>
      <c r="F331" s="0" t="n">
        <f aca="false">$E$367-E331</f>
        <v>36</v>
      </c>
    </row>
    <row r="332" customFormat="false" ht="11.25" hidden="false" customHeight="false" outlineLevel="0" collapsed="false">
      <c r="D332" s="174" t="n">
        <v>37676</v>
      </c>
      <c r="E332" s="0" t="n">
        <v>330</v>
      </c>
      <c r="F332" s="0" t="n">
        <f aca="false">$E$367-E332</f>
        <v>35</v>
      </c>
    </row>
    <row r="333" customFormat="false" ht="11.25" hidden="false" customHeight="false" outlineLevel="0" collapsed="false">
      <c r="D333" s="174" t="n">
        <v>37677</v>
      </c>
      <c r="E333" s="0" t="n">
        <v>331</v>
      </c>
      <c r="F333" s="0" t="n">
        <f aca="false">$E$367-E333</f>
        <v>34</v>
      </c>
    </row>
    <row r="334" customFormat="false" ht="11.25" hidden="false" customHeight="false" outlineLevel="0" collapsed="false">
      <c r="D334" s="174" t="n">
        <v>37678</v>
      </c>
      <c r="E334" s="0" t="n">
        <v>332</v>
      </c>
      <c r="F334" s="0" t="n">
        <f aca="false">$E$367-E334</f>
        <v>33</v>
      </c>
    </row>
    <row r="335" customFormat="false" ht="11.25" hidden="false" customHeight="false" outlineLevel="0" collapsed="false">
      <c r="D335" s="174" t="n">
        <v>37679</v>
      </c>
      <c r="E335" s="0" t="n">
        <v>333</v>
      </c>
      <c r="F335" s="0" t="n">
        <f aca="false">$E$367-E335</f>
        <v>32</v>
      </c>
    </row>
    <row r="336" customFormat="false" ht="11.25" hidden="false" customHeight="false" outlineLevel="0" collapsed="false">
      <c r="D336" s="174" t="n">
        <v>37680</v>
      </c>
      <c r="E336" s="0" t="n">
        <v>334</v>
      </c>
      <c r="F336" s="0" t="n">
        <f aca="false">$E$367-E336</f>
        <v>31</v>
      </c>
    </row>
    <row r="337" customFormat="false" ht="11.25" hidden="false" customHeight="false" outlineLevel="0" collapsed="false">
      <c r="D337" s="174" t="n">
        <v>37681</v>
      </c>
      <c r="E337" s="0" t="n">
        <v>335</v>
      </c>
      <c r="F337" s="0" t="n">
        <f aca="false">$E$367-E337</f>
        <v>30</v>
      </c>
    </row>
    <row r="338" customFormat="false" ht="11.25" hidden="false" customHeight="false" outlineLevel="0" collapsed="false">
      <c r="D338" s="174" t="n">
        <v>37682</v>
      </c>
      <c r="E338" s="0" t="n">
        <v>336</v>
      </c>
      <c r="F338" s="0" t="n">
        <f aca="false">$E$367-E338</f>
        <v>29</v>
      </c>
    </row>
    <row r="339" customFormat="false" ht="11.25" hidden="false" customHeight="false" outlineLevel="0" collapsed="false">
      <c r="D339" s="174" t="n">
        <v>37683</v>
      </c>
      <c r="E339" s="0" t="n">
        <v>337</v>
      </c>
      <c r="F339" s="0" t="n">
        <f aca="false">$E$367-E339</f>
        <v>28</v>
      </c>
    </row>
    <row r="340" customFormat="false" ht="11.25" hidden="false" customHeight="false" outlineLevel="0" collapsed="false">
      <c r="D340" s="174" t="n">
        <v>37684</v>
      </c>
      <c r="E340" s="0" t="n">
        <v>338</v>
      </c>
      <c r="F340" s="0" t="n">
        <f aca="false">$E$367-E340</f>
        <v>27</v>
      </c>
    </row>
    <row r="341" customFormat="false" ht="11.25" hidden="false" customHeight="false" outlineLevel="0" collapsed="false">
      <c r="D341" s="174" t="n">
        <v>37685</v>
      </c>
      <c r="E341" s="0" t="n">
        <v>339</v>
      </c>
      <c r="F341" s="0" t="n">
        <f aca="false">$E$367-E341</f>
        <v>26</v>
      </c>
    </row>
    <row r="342" customFormat="false" ht="11.25" hidden="false" customHeight="false" outlineLevel="0" collapsed="false">
      <c r="D342" s="174" t="n">
        <v>37686</v>
      </c>
      <c r="E342" s="0" t="n">
        <v>340</v>
      </c>
      <c r="F342" s="0" t="n">
        <f aca="false">$E$367-E342</f>
        <v>25</v>
      </c>
    </row>
    <row r="343" customFormat="false" ht="11.25" hidden="false" customHeight="false" outlineLevel="0" collapsed="false">
      <c r="D343" s="174" t="n">
        <v>37687</v>
      </c>
      <c r="E343" s="0" t="n">
        <v>341</v>
      </c>
      <c r="F343" s="0" t="n">
        <f aca="false">$E$367-E343</f>
        <v>24</v>
      </c>
    </row>
    <row r="344" customFormat="false" ht="11.25" hidden="false" customHeight="false" outlineLevel="0" collapsed="false">
      <c r="D344" s="174" t="n">
        <v>37688</v>
      </c>
      <c r="E344" s="0" t="n">
        <v>342</v>
      </c>
      <c r="F344" s="0" t="n">
        <f aca="false">$E$367-E344</f>
        <v>23</v>
      </c>
    </row>
    <row r="345" customFormat="false" ht="11.25" hidden="false" customHeight="false" outlineLevel="0" collapsed="false">
      <c r="D345" s="174" t="n">
        <v>37689</v>
      </c>
      <c r="E345" s="0" t="n">
        <v>343</v>
      </c>
      <c r="F345" s="0" t="n">
        <f aca="false">$E$367-E345</f>
        <v>22</v>
      </c>
    </row>
    <row r="346" customFormat="false" ht="11.25" hidden="false" customHeight="false" outlineLevel="0" collapsed="false">
      <c r="D346" s="174" t="n">
        <v>37690</v>
      </c>
      <c r="E346" s="0" t="n">
        <v>344</v>
      </c>
      <c r="F346" s="0" t="n">
        <f aca="false">$E$367-E346</f>
        <v>21</v>
      </c>
    </row>
    <row r="347" customFormat="false" ht="11.25" hidden="false" customHeight="false" outlineLevel="0" collapsed="false">
      <c r="D347" s="174" t="n">
        <v>37691</v>
      </c>
      <c r="E347" s="0" t="n">
        <v>345</v>
      </c>
      <c r="F347" s="0" t="n">
        <f aca="false">$E$367-E347</f>
        <v>20</v>
      </c>
    </row>
    <row r="348" customFormat="false" ht="11.25" hidden="false" customHeight="false" outlineLevel="0" collapsed="false">
      <c r="D348" s="174" t="n">
        <v>37692</v>
      </c>
      <c r="E348" s="0" t="n">
        <v>346</v>
      </c>
      <c r="F348" s="0" t="n">
        <f aca="false">$E$367-E348</f>
        <v>19</v>
      </c>
    </row>
    <row r="349" customFormat="false" ht="11.25" hidden="false" customHeight="false" outlineLevel="0" collapsed="false">
      <c r="D349" s="174" t="n">
        <v>37693</v>
      </c>
      <c r="E349" s="0" t="n">
        <v>347</v>
      </c>
      <c r="F349" s="0" t="n">
        <f aca="false">$E$367-E349</f>
        <v>18</v>
      </c>
    </row>
    <row r="350" customFormat="false" ht="11.25" hidden="false" customHeight="false" outlineLevel="0" collapsed="false">
      <c r="D350" s="174" t="n">
        <v>37694</v>
      </c>
      <c r="E350" s="0" t="n">
        <v>348</v>
      </c>
      <c r="F350" s="0" t="n">
        <f aca="false">$E$367-E350</f>
        <v>17</v>
      </c>
    </row>
    <row r="351" customFormat="false" ht="11.25" hidden="false" customHeight="false" outlineLevel="0" collapsed="false">
      <c r="D351" s="174" t="n">
        <v>37695</v>
      </c>
      <c r="E351" s="0" t="n">
        <v>349</v>
      </c>
      <c r="F351" s="0" t="n">
        <f aca="false">$E$367-E351</f>
        <v>16</v>
      </c>
    </row>
    <row r="352" customFormat="false" ht="11.25" hidden="false" customHeight="false" outlineLevel="0" collapsed="false">
      <c r="D352" s="174" t="n">
        <v>37696</v>
      </c>
      <c r="E352" s="0" t="n">
        <v>350</v>
      </c>
      <c r="F352" s="0" t="n">
        <f aca="false">$E$367-E352</f>
        <v>15</v>
      </c>
    </row>
    <row r="353" customFormat="false" ht="11.25" hidden="false" customHeight="false" outlineLevel="0" collapsed="false">
      <c r="D353" s="174" t="n">
        <v>37697</v>
      </c>
      <c r="E353" s="0" t="n">
        <v>351</v>
      </c>
      <c r="F353" s="0" t="n">
        <f aca="false">$E$367-E353</f>
        <v>14</v>
      </c>
    </row>
    <row r="354" customFormat="false" ht="11.25" hidden="false" customHeight="false" outlineLevel="0" collapsed="false">
      <c r="D354" s="174" t="n">
        <v>37698</v>
      </c>
      <c r="E354" s="0" t="n">
        <v>352</v>
      </c>
      <c r="F354" s="0" t="n">
        <f aca="false">$E$367-E354</f>
        <v>13</v>
      </c>
    </row>
    <row r="355" customFormat="false" ht="11.25" hidden="false" customHeight="false" outlineLevel="0" collapsed="false">
      <c r="D355" s="174" t="n">
        <v>37699</v>
      </c>
      <c r="E355" s="0" t="n">
        <v>353</v>
      </c>
      <c r="F355" s="0" t="n">
        <f aca="false">$E$367-E355</f>
        <v>12</v>
      </c>
    </row>
    <row r="356" customFormat="false" ht="11.25" hidden="false" customHeight="false" outlineLevel="0" collapsed="false">
      <c r="D356" s="174" t="n">
        <v>37700</v>
      </c>
      <c r="E356" s="0" t="n">
        <v>354</v>
      </c>
      <c r="F356" s="0" t="n">
        <f aca="false">$E$367-E356</f>
        <v>11</v>
      </c>
    </row>
    <row r="357" customFormat="false" ht="11.25" hidden="false" customHeight="false" outlineLevel="0" collapsed="false">
      <c r="D357" s="174" t="n">
        <v>37701</v>
      </c>
      <c r="E357" s="0" t="n">
        <v>355</v>
      </c>
      <c r="F357" s="0" t="n">
        <f aca="false">$E$367-E357</f>
        <v>10</v>
      </c>
    </row>
    <row r="358" customFormat="false" ht="11.25" hidden="false" customHeight="false" outlineLevel="0" collapsed="false">
      <c r="D358" s="174" t="n">
        <v>37702</v>
      </c>
      <c r="E358" s="0" t="n">
        <v>356</v>
      </c>
      <c r="F358" s="0" t="n">
        <f aca="false">$E$367-E358</f>
        <v>9</v>
      </c>
    </row>
    <row r="359" customFormat="false" ht="11.25" hidden="false" customHeight="false" outlineLevel="0" collapsed="false">
      <c r="D359" s="174" t="n">
        <v>37703</v>
      </c>
      <c r="E359" s="0" t="n">
        <v>357</v>
      </c>
      <c r="F359" s="0" t="n">
        <f aca="false">$E$367-E359</f>
        <v>8</v>
      </c>
    </row>
    <row r="360" customFormat="false" ht="11.25" hidden="false" customHeight="false" outlineLevel="0" collapsed="false">
      <c r="D360" s="174" t="n">
        <v>37704</v>
      </c>
      <c r="E360" s="0" t="n">
        <v>358</v>
      </c>
      <c r="F360" s="0" t="n">
        <f aca="false">$E$367-E360</f>
        <v>7</v>
      </c>
    </row>
    <row r="361" customFormat="false" ht="11.25" hidden="false" customHeight="false" outlineLevel="0" collapsed="false">
      <c r="D361" s="174" t="n">
        <v>37705</v>
      </c>
      <c r="E361" s="0" t="n">
        <v>359</v>
      </c>
    </row>
    <row r="362" customFormat="false" ht="11.25" hidden="false" customHeight="false" outlineLevel="0" collapsed="false">
      <c r="D362" s="174" t="n">
        <v>37706</v>
      </c>
      <c r="E362" s="0" t="n">
        <v>360</v>
      </c>
    </row>
    <row r="363" customFormat="false" ht="11.25" hidden="false" customHeight="false" outlineLevel="0" collapsed="false">
      <c r="D363" s="174" t="n">
        <v>37707</v>
      </c>
      <c r="E363" s="0" t="n">
        <v>361</v>
      </c>
    </row>
    <row r="364" customFormat="false" ht="11.25" hidden="false" customHeight="false" outlineLevel="0" collapsed="false">
      <c r="D364" s="174" t="n">
        <v>37708</v>
      </c>
      <c r="E364" s="0" t="n">
        <v>362</v>
      </c>
    </row>
    <row r="365" customFormat="false" ht="11.25" hidden="false" customHeight="false" outlineLevel="0" collapsed="false">
      <c r="D365" s="174" t="n">
        <v>37709</v>
      </c>
      <c r="E365" s="0" t="n">
        <v>363</v>
      </c>
    </row>
    <row r="366" customFormat="false" ht="11.25" hidden="false" customHeight="false" outlineLevel="0" collapsed="false">
      <c r="D366" s="174" t="n">
        <v>37710</v>
      </c>
      <c r="E366" s="0" t="n">
        <v>364</v>
      </c>
    </row>
    <row r="367" customFormat="false" ht="11.25" hidden="false" customHeight="false" outlineLevel="0" collapsed="false">
      <c r="D367" s="174" t="n">
        <v>37711</v>
      </c>
      <c r="E367" s="0" t="n">
        <v>365</v>
      </c>
    </row>
    <row r="368" customFormat="false" ht="11.25" hidden="false" customHeight="false" outlineLevel="0" collapsed="false">
      <c r="D368" s="17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5"/>
  <sheetViews>
    <sheetView showFormulas="false" showGridLines="true" showRowColHeaders="true" showZeros="true" rightToLeft="false" tabSelected="false" showOutlineSymbols="true" defaultGridColor="true" view="normal" topLeftCell="A4" colorId="64" zoomScale="180" zoomScaleNormal="180" zoomScalePageLayoutView="100" workbookViewId="0">
      <pane xSplit="1" ySplit="6" topLeftCell="B10" activePane="bottomRight" state="frozen"/>
      <selection pane="topLeft" activeCell="A4" activeCellId="0" sqref="A4"/>
      <selection pane="topRight" activeCell="B4" activeCellId="0" sqref="B4"/>
      <selection pane="bottomLeft" activeCell="A10" activeCellId="0" sqref="A10"/>
      <selection pane="bottomRight" activeCell="C14" activeCellId="0" sqref="C14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48" width="6.82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6.32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8" min="27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8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9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8"/>
      <c r="I2" s="53"/>
      <c r="J2" s="53"/>
      <c r="K2" s="62" t="s">
        <v>93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9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8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9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102" t="s">
        <v>8</v>
      </c>
      <c r="H4" s="103" t="s">
        <v>9</v>
      </c>
      <c r="I4" s="102" t="s">
        <v>10</v>
      </c>
      <c r="J4" s="102" t="s">
        <v>11</v>
      </c>
      <c r="K4" s="102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175" t="s">
        <v>20</v>
      </c>
      <c r="AB4" s="68" t="s">
        <v>21</v>
      </c>
      <c r="AC4" s="68" t="s">
        <v>22</v>
      </c>
      <c r="AD4" s="68" t="s">
        <v>3</v>
      </c>
      <c r="AE4" s="90"/>
      <c r="AF4" s="90"/>
    </row>
    <row r="5" customFormat="false" ht="11.1" hidden="false" customHeight="true" outlineLevel="0" collapsed="false">
      <c r="A5" s="69" t="s">
        <v>94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102" t="s">
        <v>28</v>
      </c>
      <c r="H5" s="103" t="s">
        <v>29</v>
      </c>
      <c r="I5" s="102" t="s">
        <v>30</v>
      </c>
      <c r="J5" s="102" t="s">
        <v>30</v>
      </c>
      <c r="K5" s="102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76"/>
      <c r="AB5" s="68" t="s">
        <v>43</v>
      </c>
      <c r="AC5" s="68" t="s">
        <v>43</v>
      </c>
      <c r="AD5" s="71" t="s">
        <v>94</v>
      </c>
      <c r="AE5" s="90"/>
      <c r="AF5" s="90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92"/>
      <c r="I6" s="72"/>
      <c r="J6" s="72"/>
      <c r="K6" s="72"/>
      <c r="L6" s="72"/>
      <c r="M6" s="72"/>
      <c r="N6" s="72"/>
      <c r="O6" s="72"/>
      <c r="P6" s="72"/>
      <c r="Q6" s="72"/>
      <c r="R6" s="177"/>
      <c r="S6" s="72"/>
      <c r="T6" s="121"/>
      <c r="U6" s="72"/>
      <c r="V6" s="72"/>
      <c r="W6" s="73"/>
      <c r="X6" s="72"/>
      <c r="Y6" s="72"/>
      <c r="Z6" s="72"/>
      <c r="AA6" s="57"/>
      <c r="AB6" s="60"/>
      <c r="AC6" s="60"/>
      <c r="AD6" s="60"/>
      <c r="AE6" s="94"/>
      <c r="AF6" s="94"/>
      <c r="AG6" s="95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JUN!F44</f>
        <v>-16815.2256112932</v>
      </c>
      <c r="G7" s="54" t="n">
        <f aca="false">JUN!G44</f>
        <v>19946</v>
      </c>
      <c r="H7" s="58" t="n">
        <f aca="false">JUN!H44</f>
        <v>27.82</v>
      </c>
      <c r="I7" s="54" t="n">
        <f aca="false">JUN!I44</f>
        <v>19973.82</v>
      </c>
      <c r="J7" s="54" t="n">
        <f aca="false">JUN!J44</f>
        <v>395.21194101336</v>
      </c>
      <c r="K7" s="54" t="n">
        <f aca="false">JUN!K44</f>
        <v>20369.0319410134</v>
      </c>
      <c r="L7" s="54" t="n">
        <f aca="false">JUN!L44</f>
        <v>-1894.86561129317</v>
      </c>
      <c r="M7" s="54" t="n">
        <f aca="false">JUN!M44</f>
        <v>15646</v>
      </c>
      <c r="N7" s="54" t="n">
        <f aca="false">JUN!N44</f>
        <v>25.6</v>
      </c>
      <c r="O7" s="54" t="n">
        <f aca="false">JUN!O44</f>
        <v>2499.525</v>
      </c>
      <c r="P7" s="54" t="n">
        <f aca="false">JUN!P44</f>
        <v>13120.875</v>
      </c>
      <c r="Q7" s="54" t="n">
        <f aca="false">JUN!Q44</f>
        <v>6362</v>
      </c>
      <c r="R7" s="54" t="n">
        <f aca="false">JUN!R44</f>
        <v>3623</v>
      </c>
      <c r="S7" s="54" t="n">
        <f aca="false">JUN!S44</f>
        <v>23105.875</v>
      </c>
      <c r="T7" s="54" t="n">
        <f aca="false">JUN!T44</f>
        <v>-3132.055</v>
      </c>
      <c r="U7" s="54" t="n">
        <f aca="false">JUN!U44</f>
        <v>7418.18</v>
      </c>
      <c r="V7" s="54" t="n">
        <f aca="false">JUN!V44</f>
        <v>1845</v>
      </c>
      <c r="W7" s="54"/>
      <c r="X7" s="54" t="n">
        <f aca="false">JUN!X44</f>
        <v>34894.18</v>
      </c>
      <c r="Y7" s="54" t="n">
        <f aca="false">JUN!Y44</f>
        <v>2290.07755230653</v>
      </c>
      <c r="Z7" s="54" t="n">
        <f aca="false">JUN!Z44</f>
        <v>37184.2575523065</v>
      </c>
      <c r="AA7" s="57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JUN!B39</f>
        <v>6864.7</v>
      </c>
      <c r="C8" s="54" t="n">
        <f aca="false">JUN!C39</f>
        <v>174213</v>
      </c>
      <c r="D8" s="54" t="n">
        <f aca="false">JUN!D48</f>
        <v>-31733</v>
      </c>
      <c r="E8" s="54" t="n">
        <f aca="false">JUN!E48</f>
        <v>22213</v>
      </c>
      <c r="F8" s="54" t="n">
        <f aca="false">JUN!F47</f>
        <v>-15998.487522057</v>
      </c>
      <c r="G8" s="54" t="n">
        <f aca="false">JUN!G47</f>
        <v>26488</v>
      </c>
      <c r="H8" s="58" t="n">
        <f aca="false">JUN!H47</f>
        <v>63.35</v>
      </c>
      <c r="I8" s="54" t="n">
        <f aca="false">JUN!I47</f>
        <v>26503.82</v>
      </c>
      <c r="J8" s="54" t="n">
        <f aca="false">JUN!J47</f>
        <v>1801.76254096294</v>
      </c>
      <c r="K8" s="54" t="n">
        <f aca="false">JUN!K47</f>
        <v>28305.582540963</v>
      </c>
      <c r="L8" s="54" t="n">
        <f aca="false">JUN!L47</f>
        <v>-1624.04752205697</v>
      </c>
      <c r="M8" s="54" t="n">
        <f aca="false">JUN!M47</f>
        <v>16841.58</v>
      </c>
      <c r="N8" s="54" t="n">
        <f aca="false">JUN!N47</f>
        <v>30.68</v>
      </c>
      <c r="O8" s="54" t="n">
        <f aca="false">JUN!O47</f>
        <v>3010.86</v>
      </c>
      <c r="P8" s="54" t="n">
        <f aca="false">JUN!P47</f>
        <v>14202.24</v>
      </c>
      <c r="Q8" s="54" t="n">
        <f aca="false">JUN!Q47</f>
        <v>6362</v>
      </c>
      <c r="R8" s="54" t="n">
        <f aca="false">JUN!R47</f>
        <v>3750.5</v>
      </c>
      <c r="S8" s="54" t="n">
        <f aca="false">JUN!S47</f>
        <v>24314.74</v>
      </c>
      <c r="T8" s="54" t="n">
        <f aca="false">JUN!T47</f>
        <v>-3132.055</v>
      </c>
      <c r="U8" s="54" t="n">
        <f aca="false">JUN!U47</f>
        <v>7418.18</v>
      </c>
      <c r="V8" s="54" t="n">
        <f aca="false">JUN!V47</f>
        <v>6506</v>
      </c>
      <c r="W8" s="54" t="n">
        <f aca="false">JUN!W44</f>
        <v>4188.778674061</v>
      </c>
      <c r="X8" s="54" t="n">
        <f aca="false">JUN!X47</f>
        <v>40878.26</v>
      </c>
      <c r="Y8" s="54" t="n">
        <f aca="false">JUN!Y47</f>
        <v>3425.81006301991</v>
      </c>
      <c r="Z8" s="54" t="n">
        <f aca="false">JUN!Z47</f>
        <v>44304.0700630199</v>
      </c>
      <c r="AA8" s="83" t="n">
        <f aca="false">JUN!AA47</f>
        <v>3.6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80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122"/>
      <c r="AB9" s="81"/>
      <c r="AC9" s="81"/>
      <c r="AD9" s="82"/>
      <c r="AE9" s="94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6864.3</v>
      </c>
      <c r="C10" s="54" t="n">
        <v>173230</v>
      </c>
      <c r="D10" s="59" t="n">
        <f aca="false">C10-C8</f>
        <v>-983</v>
      </c>
      <c r="E10" s="54" t="n">
        <f aca="false">C10-152000</f>
        <v>21230</v>
      </c>
      <c r="F10" s="53" t="n">
        <f aca="false">D10/$D$2</f>
        <v>-495.588605999496</v>
      </c>
      <c r="G10" s="53" t="n">
        <v>20</v>
      </c>
      <c r="H10" s="58" t="n">
        <v>0</v>
      </c>
      <c r="I10" s="53" t="n">
        <f aca="false">G10+H10</f>
        <v>20</v>
      </c>
      <c r="J10" s="83" t="n">
        <f aca="false">IF(L10&gt;0,L10,0)</f>
        <v>0</v>
      </c>
      <c r="K10" s="53" t="n">
        <f aca="false">I10+J10</f>
        <v>20</v>
      </c>
      <c r="L10" s="53" t="n">
        <f aca="false">F10-(I10-X10)</f>
        <v>-15.0686059994958</v>
      </c>
      <c r="M10" s="53" t="n">
        <v>218</v>
      </c>
      <c r="N10" s="53" t="n">
        <v>0</v>
      </c>
      <c r="O10" s="53" t="n">
        <v>0</v>
      </c>
      <c r="P10" s="6" t="n">
        <f aca="false">M10-(N10+O10)</f>
        <v>218</v>
      </c>
      <c r="Q10" s="53" t="n">
        <v>168</v>
      </c>
      <c r="R10" s="53" t="n">
        <v>81</v>
      </c>
      <c r="S10" s="53" t="n">
        <f aca="false">SUM(P10:R10)</f>
        <v>467</v>
      </c>
      <c r="T10" s="54" t="n">
        <f aca="false">(I10-S10)+T7</f>
        <v>-3579.055</v>
      </c>
      <c r="U10" s="53" t="n">
        <v>19.52</v>
      </c>
      <c r="V10" s="104" t="n">
        <v>14</v>
      </c>
      <c r="W10" s="105" t="n">
        <f aca="false">W8-V10</f>
        <v>4174.778674061</v>
      </c>
      <c r="X10" s="6" t="n">
        <f aca="false">N10+O10+S10+U10+V10</f>
        <v>500.52</v>
      </c>
      <c r="Y10" s="53" t="n">
        <f aca="false">IF(L10&lt;0,L10*-1,0)</f>
        <v>15.0686059994958</v>
      </c>
      <c r="Z10" s="53" t="n">
        <f aca="false">X10+Y10</f>
        <v>515.588605999496</v>
      </c>
      <c r="AA10" s="57" t="n">
        <v>0</v>
      </c>
      <c r="AB10" s="59" t="n">
        <v>95</v>
      </c>
      <c r="AC10" s="59" t="n">
        <v>54</v>
      </c>
      <c r="AD10" s="60" t="n">
        <v>1</v>
      </c>
      <c r="AE10" s="12" t="n">
        <f aca="false">IF(I10&gt;S10,I10-S10,I10-S10)</f>
        <v>-447</v>
      </c>
      <c r="AF10" s="12"/>
      <c r="AG10" s="143"/>
      <c r="AH10" s="6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60" t="n">
        <f aca="false">A10+1</f>
        <v>2</v>
      </c>
      <c r="B11" s="75" t="n">
        <v>6863.9</v>
      </c>
      <c r="C11" s="54" t="n">
        <v>172252</v>
      </c>
      <c r="D11" s="59" t="n">
        <f aca="false">C11-C10</f>
        <v>-978</v>
      </c>
      <c r="E11" s="54" t="n">
        <f aca="false">C11-152000</f>
        <v>20252</v>
      </c>
      <c r="F11" s="53" t="n">
        <f aca="false">D11/$D$2</f>
        <v>-493.067809427779</v>
      </c>
      <c r="G11" s="53" t="n">
        <v>19</v>
      </c>
      <c r="H11" s="58" t="n">
        <v>0</v>
      </c>
      <c r="I11" s="53" t="n">
        <f aca="false">G11+H11</f>
        <v>19</v>
      </c>
      <c r="J11" s="83" t="n">
        <f aca="false">IF(L11&gt;0,L11,0)</f>
        <v>0</v>
      </c>
      <c r="K11" s="53" t="n">
        <f aca="false">I11+J11</f>
        <v>19</v>
      </c>
      <c r="L11" s="53" t="n">
        <f aca="false">F11-(I11-X11)</f>
        <v>-21.6678094277792</v>
      </c>
      <c r="M11" s="53" t="n">
        <v>232</v>
      </c>
      <c r="N11" s="53" t="n">
        <v>0</v>
      </c>
      <c r="O11" s="53" t="n">
        <v>0</v>
      </c>
      <c r="P11" s="6" t="n">
        <f aca="false">M11-(N11+O11)</f>
        <v>232</v>
      </c>
      <c r="Q11" s="53" t="n">
        <v>137</v>
      </c>
      <c r="R11" s="53" t="n">
        <v>81</v>
      </c>
      <c r="S11" s="53" t="n">
        <f aca="false">SUM(P11:R11)</f>
        <v>450</v>
      </c>
      <c r="T11" s="54" t="n">
        <f aca="false">(I11-S11)+T10</f>
        <v>-4010.055</v>
      </c>
      <c r="U11" s="53" t="n">
        <v>26.4</v>
      </c>
      <c r="V11" s="104" t="n">
        <v>14</v>
      </c>
      <c r="W11" s="105" t="n">
        <f aca="false">W10-V11</f>
        <v>4160.778674061</v>
      </c>
      <c r="X11" s="6" t="n">
        <f aca="false">N11+O11+S11+U11+V11</f>
        <v>490.4</v>
      </c>
      <c r="Y11" s="53" t="n">
        <f aca="false">IF(L11&lt;0,L11*-1,0)</f>
        <v>21.6678094277792</v>
      </c>
      <c r="Z11" s="53" t="n">
        <f aca="false">X11+Y11</f>
        <v>512.067809427779</v>
      </c>
      <c r="AA11" s="57" t="n">
        <v>0</v>
      </c>
      <c r="AB11" s="59" t="n">
        <v>96</v>
      </c>
      <c r="AC11" s="59" t="n">
        <v>57</v>
      </c>
      <c r="AD11" s="60" t="n">
        <f aca="false">AD10+1</f>
        <v>2</v>
      </c>
      <c r="AE11" s="12" t="n">
        <f aca="false">IF(I11&gt;S11,I11-S11,I11-S11)</f>
        <v>-431</v>
      </c>
      <c r="AF11" s="12"/>
      <c r="AG11" s="0"/>
      <c r="AH11" s="6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60" t="n">
        <f aca="false">A11+1</f>
        <v>3</v>
      </c>
      <c r="B12" s="75" t="n">
        <v>6863.55</v>
      </c>
      <c r="C12" s="54" t="n">
        <v>171406</v>
      </c>
      <c r="D12" s="59" t="n">
        <f aca="false">C12-C11</f>
        <v>-846</v>
      </c>
      <c r="E12" s="54" t="n">
        <f aca="false">C12-152000</f>
        <v>19406</v>
      </c>
      <c r="F12" s="53" t="n">
        <f aca="false">D12/$D$2</f>
        <v>-426.518779934459</v>
      </c>
      <c r="G12" s="53" t="n">
        <v>22</v>
      </c>
      <c r="H12" s="58" t="n">
        <v>0</v>
      </c>
      <c r="I12" s="53" t="n">
        <f aca="false">G12+H12</f>
        <v>22</v>
      </c>
      <c r="J12" s="83" t="n">
        <f aca="false">IF(L12&gt;0,L12,0)</f>
        <v>0</v>
      </c>
      <c r="K12" s="53" t="n">
        <f aca="false">I12+J12</f>
        <v>22</v>
      </c>
      <c r="L12" s="53" t="n">
        <f aca="false">F12-(I12-X12)</f>
        <v>-2.34877993445929</v>
      </c>
      <c r="M12" s="53" t="n">
        <v>226</v>
      </c>
      <c r="N12" s="53" t="n">
        <v>0</v>
      </c>
      <c r="O12" s="53" t="n">
        <v>0</v>
      </c>
      <c r="P12" s="6" t="n">
        <f aca="false">M12-(N12+O12)</f>
        <v>226</v>
      </c>
      <c r="Q12" s="53" t="n">
        <v>99</v>
      </c>
      <c r="R12" s="53" t="n">
        <v>80</v>
      </c>
      <c r="S12" s="53" t="n">
        <f aca="false">SUM(P12:R12)</f>
        <v>405</v>
      </c>
      <c r="T12" s="54" t="n">
        <f aca="false">(I12-S12)+T11</f>
        <v>-4393.055</v>
      </c>
      <c r="U12" s="53" t="n">
        <v>27.17</v>
      </c>
      <c r="V12" s="104" t="n">
        <v>14</v>
      </c>
      <c r="W12" s="105" t="n">
        <f aca="false">W11-V12</f>
        <v>4146.778674061</v>
      </c>
      <c r="X12" s="6" t="n">
        <f aca="false">N12+O12+S12+U12+V12</f>
        <v>446.17</v>
      </c>
      <c r="Y12" s="53" t="n">
        <f aca="false">IF(L12&lt;0,L12*-1,0)</f>
        <v>2.34877993445929</v>
      </c>
      <c r="Z12" s="53" t="n">
        <f aca="false">X12+Y12</f>
        <v>448.518779934459</v>
      </c>
      <c r="AA12" s="57" t="n">
        <v>0</v>
      </c>
      <c r="AB12" s="59" t="n">
        <v>85</v>
      </c>
      <c r="AC12" s="59" t="n">
        <v>59</v>
      </c>
      <c r="AD12" s="60" t="n">
        <f aca="false">AD11+1</f>
        <v>3</v>
      </c>
      <c r="AE12" s="12" t="n">
        <f aca="false">IF(I12&gt;S12,I12-S12,I12-S12)</f>
        <v>-383</v>
      </c>
      <c r="AF12" s="12"/>
      <c r="AG12" s="0"/>
      <c r="AH12" s="6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60" t="n">
        <f aca="false">A12+1</f>
        <v>4</v>
      </c>
      <c r="B13" s="75" t="n">
        <v>6863.25</v>
      </c>
      <c r="C13" s="54" t="n">
        <v>170681</v>
      </c>
      <c r="D13" s="59" t="n">
        <f aca="false">C13-C12</f>
        <v>-725</v>
      </c>
      <c r="E13" s="54" t="n">
        <f aca="false">C13-152000</f>
        <v>18681</v>
      </c>
      <c r="F13" s="53" t="n">
        <f aca="false">D13/$D$2</f>
        <v>-365.515502898916</v>
      </c>
      <c r="G13" s="53" t="n">
        <v>26</v>
      </c>
      <c r="H13" s="58" t="n">
        <v>0</v>
      </c>
      <c r="I13" s="53" t="n">
        <f aca="false">G13+H13</f>
        <v>26</v>
      </c>
      <c r="J13" s="83" t="n">
        <f aca="false">IF(L13&gt;0,L13,0)</f>
        <v>24.5644971010839</v>
      </c>
      <c r="K13" s="53" t="n">
        <f aca="false">I13+J13</f>
        <v>50.5644971010839</v>
      </c>
      <c r="L13" s="53" t="n">
        <f aca="false">F13-(I13-X13)</f>
        <v>24.5644971010839</v>
      </c>
      <c r="M13" s="53" t="n">
        <v>202</v>
      </c>
      <c r="N13" s="53" t="n">
        <v>0</v>
      </c>
      <c r="O13" s="53" t="n">
        <v>0</v>
      </c>
      <c r="P13" s="6" t="n">
        <f aca="false">M13-(N13+O13)</f>
        <v>202</v>
      </c>
      <c r="Q13" s="53" t="n">
        <v>98</v>
      </c>
      <c r="R13" s="53" t="n">
        <v>80</v>
      </c>
      <c r="S13" s="53" t="n">
        <f aca="false">SUM(P13:R13)</f>
        <v>380</v>
      </c>
      <c r="T13" s="54" t="n">
        <f aca="false">(I13-S13)+T12</f>
        <v>-4747.055</v>
      </c>
      <c r="U13" s="53" t="n">
        <v>22.08</v>
      </c>
      <c r="V13" s="104" t="n">
        <v>14</v>
      </c>
      <c r="W13" s="105" t="n">
        <f aca="false">W12-V13</f>
        <v>4132.778674061</v>
      </c>
      <c r="X13" s="6" t="n">
        <f aca="false">N13+O13+S13+U13+V13</f>
        <v>416.08</v>
      </c>
      <c r="Y13" s="53" t="n">
        <f aca="false">IF(L13&lt;0,L13*-1,0)</f>
        <v>0</v>
      </c>
      <c r="Z13" s="53" t="n">
        <f aca="false">X13+Y13</f>
        <v>416.08</v>
      </c>
      <c r="AA13" s="57" t="n">
        <v>0</v>
      </c>
      <c r="AB13" s="59" t="n">
        <v>81</v>
      </c>
      <c r="AC13" s="59" t="n">
        <v>55</v>
      </c>
      <c r="AD13" s="60" t="n">
        <f aca="false">AD12+1</f>
        <v>4</v>
      </c>
      <c r="AE13" s="12" t="n">
        <f aca="false">IF(I13&gt;S13,I13-S13,I13-S13)</f>
        <v>-354</v>
      </c>
      <c r="AF13" s="12"/>
      <c r="AG13" s="0"/>
      <c r="AH13" s="6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60" t="n">
        <f aca="false">A13+1</f>
        <v>5</v>
      </c>
      <c r="B14" s="75" t="n">
        <v>6862.87</v>
      </c>
      <c r="C14" s="54" t="n">
        <v>169767</v>
      </c>
      <c r="D14" s="59" t="n">
        <f aca="false">C14-C13</f>
        <v>-914</v>
      </c>
      <c r="E14" s="54" t="n">
        <f aca="false">C14-152000</f>
        <v>17767</v>
      </c>
      <c r="F14" s="53" t="n">
        <f aca="false">D14/$D$2</f>
        <v>-460.801613309806</v>
      </c>
      <c r="G14" s="53" t="n">
        <v>28</v>
      </c>
      <c r="H14" s="58" t="n">
        <v>0</v>
      </c>
      <c r="I14" s="53" t="n">
        <f aca="false">G14+H14</f>
        <v>28</v>
      </c>
      <c r="J14" s="83" t="n">
        <f aca="false">IF(L14&gt;0,L14,0)</f>
        <v>0</v>
      </c>
      <c r="K14" s="53" t="n">
        <f aca="false">I14+J14</f>
        <v>28</v>
      </c>
      <c r="L14" s="53" t="n">
        <f aca="false">F14-(I14-X14)</f>
        <v>-60.1316133098059</v>
      </c>
      <c r="M14" s="53" t="n">
        <v>200</v>
      </c>
      <c r="N14" s="53" t="n">
        <v>0</v>
      </c>
      <c r="O14" s="53" t="n">
        <v>0</v>
      </c>
      <c r="P14" s="6" t="n">
        <f aca="false">M14-(N14+O14)</f>
        <v>200</v>
      </c>
      <c r="Q14" s="53" t="n">
        <v>98</v>
      </c>
      <c r="R14" s="53" t="n">
        <v>80</v>
      </c>
      <c r="S14" s="53" t="n">
        <f aca="false">SUM(P14:R14)</f>
        <v>378</v>
      </c>
      <c r="T14" s="54" t="n">
        <f aca="false">(I14-S14)+T13</f>
        <v>-5097.055</v>
      </c>
      <c r="U14" s="53" t="n">
        <v>36.67</v>
      </c>
      <c r="V14" s="104" t="n">
        <v>14</v>
      </c>
      <c r="W14" s="105" t="n">
        <f aca="false">W13-V14</f>
        <v>4118.778674061</v>
      </c>
      <c r="X14" s="6" t="n">
        <f aca="false">N14+O14+S14+U14+V14</f>
        <v>428.67</v>
      </c>
      <c r="Y14" s="53" t="n">
        <f aca="false">IF(L14&lt;0,L14*-1,0)</f>
        <v>60.1316133098059</v>
      </c>
      <c r="Z14" s="53" t="n">
        <f aca="false">X14+Y14</f>
        <v>488.801613309806</v>
      </c>
      <c r="AA14" s="57" t="n">
        <v>0</v>
      </c>
      <c r="AB14" s="59" t="n">
        <v>85</v>
      </c>
      <c r="AC14" s="59" t="n">
        <v>55</v>
      </c>
      <c r="AD14" s="60" t="n">
        <f aca="false">AD13+1</f>
        <v>5</v>
      </c>
      <c r="AE14" s="12" t="n">
        <f aca="false">IF(I14&gt;S14,I14-S14,I14-S14)</f>
        <v>-350</v>
      </c>
      <c r="AF14" s="12"/>
      <c r="AG14" s="0"/>
      <c r="AH14" s="6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60" t="n">
        <f aca="false">A14+1</f>
        <v>6</v>
      </c>
      <c r="B15" s="75" t="n">
        <v>6862.55</v>
      </c>
      <c r="C15" s="54" t="n">
        <v>169006</v>
      </c>
      <c r="D15" s="59" t="n">
        <f aca="false">C15-C14</f>
        <v>-761</v>
      </c>
      <c r="E15" s="54" t="n">
        <f aca="false">C15-152000</f>
        <v>17006</v>
      </c>
      <c r="F15" s="53" t="n">
        <f aca="false">D15/$D$2</f>
        <v>-383.665238215276</v>
      </c>
      <c r="G15" s="53" t="n">
        <v>30</v>
      </c>
      <c r="H15" s="58" t="n">
        <v>0</v>
      </c>
      <c r="I15" s="53" t="n">
        <f aca="false">G15+H15</f>
        <v>30</v>
      </c>
      <c r="J15" s="83" t="n">
        <f aca="false">IF(L15&gt;0,L15,0)</f>
        <v>0</v>
      </c>
      <c r="K15" s="53" t="n">
        <f aca="false">I15+J15</f>
        <v>30</v>
      </c>
      <c r="L15" s="53" t="n">
        <f aca="false">F15-(I15-X15)</f>
        <v>-27.165238215276</v>
      </c>
      <c r="M15" s="53" t="n">
        <v>179</v>
      </c>
      <c r="N15" s="53" t="n">
        <v>0</v>
      </c>
      <c r="O15" s="53" t="n">
        <v>0</v>
      </c>
      <c r="P15" s="6" t="n">
        <f aca="false">M15-(N15+O15)</f>
        <v>179</v>
      </c>
      <c r="Q15" s="53" t="n">
        <v>99</v>
      </c>
      <c r="R15" s="53" t="n">
        <v>80</v>
      </c>
      <c r="S15" s="53" t="n">
        <f aca="false">SUM(P15:R15)</f>
        <v>358</v>
      </c>
      <c r="T15" s="54" t="n">
        <f aca="false">(I15-S15)+T14</f>
        <v>-5425.055</v>
      </c>
      <c r="U15" s="53" t="n">
        <v>14.5</v>
      </c>
      <c r="V15" s="104" t="n">
        <v>14</v>
      </c>
      <c r="W15" s="105" t="n">
        <f aca="false">W14-V15</f>
        <v>4104.778674061</v>
      </c>
      <c r="X15" s="6" t="n">
        <f aca="false">N15+O15+S15+U15+V15</f>
        <v>386.5</v>
      </c>
      <c r="Y15" s="53" t="n">
        <f aca="false">IF(L15&lt;0,L15*-1,0)</f>
        <v>27.165238215276</v>
      </c>
      <c r="Z15" s="53" t="n">
        <f aca="false">X15+Y15</f>
        <v>413.665238215276</v>
      </c>
      <c r="AA15" s="57" t="n">
        <v>0</v>
      </c>
      <c r="AB15" s="59" t="n">
        <v>92</v>
      </c>
      <c r="AC15" s="59" t="n">
        <v>55</v>
      </c>
      <c r="AD15" s="60" t="n">
        <f aca="false">AD14+1</f>
        <v>6</v>
      </c>
      <c r="AE15" s="12" t="n">
        <f aca="false">IF(I15&gt;S15,I15-S15,I15-S15)</f>
        <v>-328</v>
      </c>
      <c r="AF15" s="12"/>
      <c r="AG15" s="0"/>
      <c r="AH15" s="6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60" t="n">
        <f aca="false">A15+1</f>
        <v>7</v>
      </c>
      <c r="B16" s="75" t="n">
        <v>6862.27</v>
      </c>
      <c r="C16" s="54" t="n">
        <v>168341</v>
      </c>
      <c r="D16" s="59" t="n">
        <f aca="false">C16-C15</f>
        <v>-665</v>
      </c>
      <c r="E16" s="54" t="n">
        <f aca="false">C16-152000</f>
        <v>16341</v>
      </c>
      <c r="F16" s="53" t="n">
        <f aca="false">D16/$D$2</f>
        <v>-335.265944038316</v>
      </c>
      <c r="G16" s="53" t="n">
        <v>30</v>
      </c>
      <c r="H16" s="58" t="n">
        <v>0</v>
      </c>
      <c r="I16" s="53" t="n">
        <f aca="false">G16+H16</f>
        <v>30</v>
      </c>
      <c r="J16" s="83" t="n">
        <f aca="false">IF(L16&gt;0,L16,0)</f>
        <v>0</v>
      </c>
      <c r="K16" s="53" t="n">
        <f aca="false">I16+J16</f>
        <v>30</v>
      </c>
      <c r="L16" s="53" t="n">
        <f aca="false">F16-(I16-X16)</f>
        <v>-4.24594403831611</v>
      </c>
      <c r="M16" s="53" t="n">
        <v>145</v>
      </c>
      <c r="N16" s="53" t="n">
        <v>0</v>
      </c>
      <c r="O16" s="53" t="n">
        <f aca="false">1.04*1.05</f>
        <v>1.092</v>
      </c>
      <c r="P16" s="6" t="n">
        <f aca="false">M16-(N16+O16)</f>
        <v>143.908</v>
      </c>
      <c r="Q16" s="53" t="n">
        <v>97</v>
      </c>
      <c r="R16" s="53" t="n">
        <v>79</v>
      </c>
      <c r="S16" s="53" t="n">
        <f aca="false">SUM(P16:R16)</f>
        <v>319.908</v>
      </c>
      <c r="T16" s="54" t="n">
        <f aca="false">(I16-S16)+T15</f>
        <v>-5714.963</v>
      </c>
      <c r="U16" s="53" t="n">
        <v>26.02</v>
      </c>
      <c r="V16" s="104" t="n">
        <v>14</v>
      </c>
      <c r="W16" s="105" t="n">
        <f aca="false">W15-V16</f>
        <v>4090.778674061</v>
      </c>
      <c r="X16" s="6" t="n">
        <f aca="false">N16+O16+S16+U16+V16</f>
        <v>361.02</v>
      </c>
      <c r="Y16" s="53" t="n">
        <f aca="false">IF(L16&lt;0,L16*-1,0)</f>
        <v>4.24594403831611</v>
      </c>
      <c r="Z16" s="53" t="n">
        <f aca="false">X16+Y16</f>
        <v>365.265944038316</v>
      </c>
      <c r="AA16" s="57" t="n">
        <v>0.02</v>
      </c>
      <c r="AB16" s="59" t="n">
        <v>94</v>
      </c>
      <c r="AC16" s="59" t="n">
        <v>56</v>
      </c>
      <c r="AD16" s="60" t="n">
        <f aca="false">AD15+1</f>
        <v>7</v>
      </c>
      <c r="AE16" s="12" t="n">
        <f aca="false">IF(I16&gt;S16,I16-S16,I16-S16)</f>
        <v>-289.908</v>
      </c>
      <c r="AF16" s="12"/>
      <c r="AG16" s="0"/>
      <c r="AH16" s="6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60" t="n">
        <f aca="false">A16+1</f>
        <v>8</v>
      </c>
      <c r="B17" s="75" t="n">
        <v>6861.95</v>
      </c>
      <c r="C17" s="54" t="n">
        <v>167582</v>
      </c>
      <c r="D17" s="59" t="n">
        <f aca="false">C17-C16</f>
        <v>-759</v>
      </c>
      <c r="E17" s="54" t="n">
        <f aca="false">C17-152000</f>
        <v>15582</v>
      </c>
      <c r="F17" s="53" t="n">
        <f aca="false">D17/$D$2</f>
        <v>-382.656919586589</v>
      </c>
      <c r="G17" s="53" t="n">
        <v>29</v>
      </c>
      <c r="H17" s="58" t="n">
        <v>0</v>
      </c>
      <c r="I17" s="53" t="n">
        <f aca="false">G17+H17</f>
        <v>29</v>
      </c>
      <c r="J17" s="83" t="n">
        <f aca="false">IF(L17&gt;0,L17,0)</f>
        <v>0</v>
      </c>
      <c r="K17" s="53" t="n">
        <f aca="false">I17+J17</f>
        <v>29</v>
      </c>
      <c r="L17" s="53" t="n">
        <f aca="false">F17-(I17-X17)</f>
        <v>-51.7569195865894</v>
      </c>
      <c r="M17" s="53" t="n">
        <v>143</v>
      </c>
      <c r="N17" s="53" t="n">
        <v>0</v>
      </c>
      <c r="O17" s="53" t="n">
        <v>0</v>
      </c>
      <c r="P17" s="6" t="n">
        <f aca="false">M17-(N17+O17)</f>
        <v>143</v>
      </c>
      <c r="Q17" s="53" t="n">
        <v>95</v>
      </c>
      <c r="R17" s="53" t="n">
        <v>78</v>
      </c>
      <c r="S17" s="53" t="n">
        <f aca="false">SUM(P17:R17)</f>
        <v>316</v>
      </c>
      <c r="T17" s="54" t="n">
        <f aca="false">(I17-S17)+T16</f>
        <v>-6001.963</v>
      </c>
      <c r="U17" s="53" t="n">
        <v>29.9</v>
      </c>
      <c r="V17" s="104" t="n">
        <v>14</v>
      </c>
      <c r="W17" s="105" t="n">
        <f aca="false">W16-V17</f>
        <v>4076.778674061</v>
      </c>
      <c r="X17" s="6" t="n">
        <f aca="false">N17+O17+S17+U17+V17</f>
        <v>359.9</v>
      </c>
      <c r="Y17" s="53" t="n">
        <f aca="false">IF(L17&lt;0,L17*-1,0)</f>
        <v>51.7569195865894</v>
      </c>
      <c r="Z17" s="53" t="n">
        <f aca="false">X17+Y17</f>
        <v>411.656919586589</v>
      </c>
      <c r="AA17" s="57" t="n">
        <v>0.4</v>
      </c>
      <c r="AB17" s="59" t="n">
        <v>91</v>
      </c>
      <c r="AC17" s="59" t="n">
        <v>56</v>
      </c>
      <c r="AD17" s="60" t="n">
        <f aca="false">AD16+1</f>
        <v>8</v>
      </c>
      <c r="AE17" s="12" t="n">
        <f aca="false">IF(I17&gt;S17,I17-S17,I17-S17)</f>
        <v>-287</v>
      </c>
      <c r="AF17" s="12"/>
      <c r="AG17" s="0"/>
      <c r="AH17" s="6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60" t="n">
        <f aca="false">A17+1</f>
        <v>9</v>
      </c>
      <c r="B18" s="75" t="n">
        <v>6861.8</v>
      </c>
      <c r="C18" s="54" t="n">
        <v>167232</v>
      </c>
      <c r="D18" s="59" t="n">
        <f aca="false">C18-C17</f>
        <v>-350</v>
      </c>
      <c r="E18" s="54" t="n">
        <f aca="false">C18-152000</f>
        <v>15232</v>
      </c>
      <c r="F18" s="53" t="n">
        <f aca="false">D18/$D$2</f>
        <v>-176.455760020166</v>
      </c>
      <c r="G18" s="53" t="n">
        <v>32</v>
      </c>
      <c r="H18" s="58" t="n">
        <v>0</v>
      </c>
      <c r="I18" s="53" t="n">
        <f aca="false">G18+H18</f>
        <v>32</v>
      </c>
      <c r="J18" s="83" t="n">
        <f aca="false">IF(L18&gt;0,L18,0)</f>
        <v>160.434239979834</v>
      </c>
      <c r="K18" s="53" t="n">
        <f aca="false">I18+J18</f>
        <v>192.434239979834</v>
      </c>
      <c r="L18" s="53" t="n">
        <f aca="false">F18-(I18-X18)</f>
        <v>160.434239979834</v>
      </c>
      <c r="M18" s="53" t="n">
        <v>150</v>
      </c>
      <c r="N18" s="53" t="n">
        <v>0</v>
      </c>
      <c r="O18" s="53" t="n">
        <v>0</v>
      </c>
      <c r="P18" s="6" t="n">
        <f aca="false">M18-(N18+O18)</f>
        <v>150</v>
      </c>
      <c r="Q18" s="53" t="n">
        <v>99</v>
      </c>
      <c r="R18" s="53" t="n">
        <v>77</v>
      </c>
      <c r="S18" s="53" t="n">
        <f aca="false">SUM(P18:R18)</f>
        <v>326</v>
      </c>
      <c r="T18" s="54" t="n">
        <f aca="false">(I18-S18)+T17</f>
        <v>-6295.963</v>
      </c>
      <c r="U18" s="53" t="n">
        <v>28.89</v>
      </c>
      <c r="V18" s="104" t="n">
        <v>14</v>
      </c>
      <c r="W18" s="105" t="n">
        <f aca="false">W17-V18</f>
        <v>4062.778674061</v>
      </c>
      <c r="X18" s="6" t="n">
        <f aca="false">N18+O18+S18+U18+V18</f>
        <v>368.89</v>
      </c>
      <c r="Y18" s="53" t="n">
        <f aca="false">IF(L18&lt;0,L18*-1,0)</f>
        <v>0</v>
      </c>
      <c r="Z18" s="53" t="n">
        <f aca="false">X18+Y18</f>
        <v>368.89</v>
      </c>
      <c r="AA18" s="57" t="n">
        <v>0.04</v>
      </c>
      <c r="AB18" s="84" t="n">
        <v>89</v>
      </c>
      <c r="AC18" s="59" t="n">
        <v>56</v>
      </c>
      <c r="AD18" s="60" t="n">
        <f aca="false">AD17+1</f>
        <v>9</v>
      </c>
      <c r="AE18" s="12" t="n">
        <f aca="false">IF(I18&gt;S18,I18-S18,I18-S18)</f>
        <v>-294</v>
      </c>
      <c r="AF18" s="12"/>
      <c r="AG18" s="0"/>
      <c r="AH18" s="6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60" t="n">
        <f aca="false">A18+1</f>
        <v>10</v>
      </c>
      <c r="B19" s="75" t="n">
        <v>6861.46</v>
      </c>
      <c r="C19" s="54" t="n">
        <v>166437</v>
      </c>
      <c r="D19" s="59" t="n">
        <f aca="false">C19-C18</f>
        <v>-795</v>
      </c>
      <c r="E19" s="54" t="n">
        <f aca="false">C19-152000</f>
        <v>14437</v>
      </c>
      <c r="F19" s="53" t="n">
        <f aca="false">D19/$D$2</f>
        <v>-400.806654902949</v>
      </c>
      <c r="G19" s="53" t="n">
        <v>34</v>
      </c>
      <c r="H19" s="58" t="n">
        <v>0</v>
      </c>
      <c r="I19" s="53" t="n">
        <f aca="false">G19+H19</f>
        <v>34</v>
      </c>
      <c r="J19" s="83" t="n">
        <f aca="false">IF(L19&gt;0,L19,0)</f>
        <v>0</v>
      </c>
      <c r="K19" s="53" t="n">
        <f aca="false">I19+J19</f>
        <v>34</v>
      </c>
      <c r="L19" s="53" t="n">
        <f aca="false">F19-(I19-X19)</f>
        <v>-68.4866549029493</v>
      </c>
      <c r="M19" s="53" t="n">
        <v>148</v>
      </c>
      <c r="N19" s="53" t="n">
        <v>0</v>
      </c>
      <c r="O19" s="53" t="n">
        <f aca="false">0.54*1.05</f>
        <v>0.567</v>
      </c>
      <c r="P19" s="6" t="n">
        <f aca="false">M19-(N19+O19)</f>
        <v>147.433</v>
      </c>
      <c r="Q19" s="53" t="n">
        <v>99</v>
      </c>
      <c r="R19" s="53" t="n">
        <v>78</v>
      </c>
      <c r="S19" s="53" t="n">
        <f aca="false">SUM(P19:R19)</f>
        <v>324.433</v>
      </c>
      <c r="T19" s="54" t="n">
        <f aca="false">(I19-S19)+T18</f>
        <v>-6586.396</v>
      </c>
      <c r="U19" s="53" t="n">
        <v>27.32</v>
      </c>
      <c r="V19" s="104" t="n">
        <v>14</v>
      </c>
      <c r="W19" s="105" t="n">
        <f aca="false">W18-V19</f>
        <v>4048.778674061</v>
      </c>
      <c r="X19" s="6" t="n">
        <f aca="false">N19+O19+S19+U19+V19</f>
        <v>366.32</v>
      </c>
      <c r="Y19" s="53" t="n">
        <f aca="false">IF(L19&lt;0,L19*-1,0)</f>
        <v>68.4866549029493</v>
      </c>
      <c r="Z19" s="53" t="n">
        <f aca="false">X19+Y19</f>
        <v>434.806654902949</v>
      </c>
      <c r="AA19" s="57" t="n">
        <v>0.04</v>
      </c>
      <c r="AB19" s="59" t="n">
        <v>90</v>
      </c>
      <c r="AC19" s="59" t="n">
        <v>55</v>
      </c>
      <c r="AD19" s="60" t="n">
        <f aca="false">AD18+1</f>
        <v>10</v>
      </c>
      <c r="AE19" s="12" t="n">
        <f aca="false">IF(I19&gt;S19,I19-S19,I19-S19)</f>
        <v>-290.433</v>
      </c>
      <c r="AF19" s="12"/>
      <c r="AG19" s="0"/>
      <c r="AH19" s="6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60" t="n">
        <f aca="false">A19+1</f>
        <v>11</v>
      </c>
      <c r="B20" s="75" t="n">
        <v>6861.19</v>
      </c>
      <c r="C20" s="54" t="n">
        <v>165806</v>
      </c>
      <c r="D20" s="59" t="n">
        <f aca="false">C20-C19</f>
        <v>-631</v>
      </c>
      <c r="E20" s="54" t="n">
        <f aca="false">C20-152000</f>
        <v>13806</v>
      </c>
      <c r="F20" s="53" t="n">
        <f aca="false">D20/$D$2</f>
        <v>-318.124527350643</v>
      </c>
      <c r="G20" s="53" t="n">
        <v>36</v>
      </c>
      <c r="H20" s="58" t="n">
        <v>0</v>
      </c>
      <c r="I20" s="53" t="n">
        <f aca="false">G20+H20</f>
        <v>36</v>
      </c>
      <c r="J20" s="83" t="n">
        <f aca="false">IF(L20&gt;0,L20,0)</f>
        <v>14.0654726493572</v>
      </c>
      <c r="K20" s="53" t="n">
        <f aca="false">I20+J20</f>
        <v>50.0654726493572</v>
      </c>
      <c r="L20" s="53" t="n">
        <f aca="false">F20-(I20-X20)</f>
        <v>14.0654726493572</v>
      </c>
      <c r="M20" s="53" t="n">
        <v>140</v>
      </c>
      <c r="N20" s="53" t="n">
        <v>0</v>
      </c>
      <c r="O20" s="53" t="n">
        <v>0</v>
      </c>
      <c r="P20" s="6" t="n">
        <f aca="false">M20-(N20+O20)</f>
        <v>140</v>
      </c>
      <c r="Q20" s="53" t="n">
        <v>112</v>
      </c>
      <c r="R20" s="53" t="n">
        <v>77</v>
      </c>
      <c r="S20" s="53" t="n">
        <f aca="false">SUM(P20:R20)</f>
        <v>329</v>
      </c>
      <c r="T20" s="54" t="n">
        <f aca="false">(I20-S20)+T19</f>
        <v>-6879.396</v>
      </c>
      <c r="U20" s="53" t="n">
        <v>25.19</v>
      </c>
      <c r="V20" s="104" t="n">
        <v>14</v>
      </c>
      <c r="W20" s="105" t="n">
        <f aca="false">W19-V20</f>
        <v>4034.778674061</v>
      </c>
      <c r="X20" s="6" t="n">
        <f aca="false">N20+O20+S20+U20+V20</f>
        <v>368.19</v>
      </c>
      <c r="Y20" s="53" t="n">
        <f aca="false">IF(L20&lt;0,L20*-1,0)</f>
        <v>0</v>
      </c>
      <c r="Z20" s="53" t="n">
        <f aca="false">X20+Y20</f>
        <v>368.19</v>
      </c>
      <c r="AA20" s="57" t="n">
        <v>0</v>
      </c>
      <c r="AB20" s="59" t="n">
        <v>88</v>
      </c>
      <c r="AC20" s="59" t="n">
        <v>54</v>
      </c>
      <c r="AD20" s="60" t="n">
        <f aca="false">AD19+1</f>
        <v>11</v>
      </c>
      <c r="AE20" s="12" t="n">
        <f aca="false">IF(I20&gt;S20,I20-S20,I20-S20)</f>
        <v>-293</v>
      </c>
      <c r="AF20" s="12"/>
      <c r="AG20" s="0"/>
      <c r="AH20" s="6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60" t="n">
        <f aca="false">A20+1</f>
        <v>12</v>
      </c>
      <c r="B21" s="75" t="n">
        <v>6860.88</v>
      </c>
      <c r="C21" s="54" t="n">
        <v>165087</v>
      </c>
      <c r="D21" s="59" t="n">
        <f aca="false">C21-C20</f>
        <v>-719</v>
      </c>
      <c r="E21" s="54" t="n">
        <f aca="false">C21-152000</f>
        <v>13087</v>
      </c>
      <c r="F21" s="53" t="n">
        <f aca="false">D21/$D$2</f>
        <v>-362.490547012856</v>
      </c>
      <c r="G21" s="53" t="n">
        <v>35</v>
      </c>
      <c r="H21" s="58" t="n">
        <v>0</v>
      </c>
      <c r="I21" s="53" t="n">
        <f aca="false">G21+H21</f>
        <v>35</v>
      </c>
      <c r="J21" s="83" t="n">
        <f aca="false">IF(L21&gt;0,L21,0)</f>
        <v>6.18945298714397</v>
      </c>
      <c r="K21" s="53" t="n">
        <f aca="false">I21+J21</f>
        <v>41.189452987144</v>
      </c>
      <c r="L21" s="53" t="n">
        <f aca="false">F21-(I21-X21)</f>
        <v>6.18945298714397</v>
      </c>
      <c r="M21" s="53" t="n">
        <v>135</v>
      </c>
      <c r="N21" s="53" t="n">
        <v>0</v>
      </c>
      <c r="O21" s="53" t="n">
        <v>0</v>
      </c>
      <c r="P21" s="6" t="n">
        <f aca="false">M21-(N21+O21)</f>
        <v>135</v>
      </c>
      <c r="Q21" s="53" t="n">
        <v>131</v>
      </c>
      <c r="R21" s="53" t="n">
        <v>75</v>
      </c>
      <c r="S21" s="53" t="n">
        <f aca="false">SUM(P21:R21)</f>
        <v>341</v>
      </c>
      <c r="T21" s="54" t="n">
        <f aca="false">(I21-S21)+T20</f>
        <v>-7185.396</v>
      </c>
      <c r="U21" s="53" t="n">
        <v>47.68</v>
      </c>
      <c r="V21" s="104" t="n">
        <v>15</v>
      </c>
      <c r="W21" s="105" t="n">
        <f aca="false">W20-V21</f>
        <v>4019.778674061</v>
      </c>
      <c r="X21" s="6" t="n">
        <f aca="false">N21+O21+S21+U21+V21</f>
        <v>403.68</v>
      </c>
      <c r="Y21" s="53" t="n">
        <f aca="false">IF(L21&lt;0,L21*-1,0)</f>
        <v>0</v>
      </c>
      <c r="Z21" s="53" t="n">
        <f aca="false">X21+Y21</f>
        <v>403.68</v>
      </c>
      <c r="AA21" s="57" t="n">
        <v>0</v>
      </c>
      <c r="AB21" s="59" t="n">
        <v>94</v>
      </c>
      <c r="AC21" s="59" t="n">
        <v>53</v>
      </c>
      <c r="AD21" s="60" t="n">
        <f aca="false">AD20+1</f>
        <v>12</v>
      </c>
      <c r="AE21" s="12" t="n">
        <f aca="false">IF(I21&gt;S21,I21-S21,I21-S21)</f>
        <v>-306</v>
      </c>
      <c r="AF21" s="12"/>
      <c r="AG21" s="0"/>
      <c r="AH21" s="6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60" t="n">
        <f aca="false">A21+1</f>
        <v>13</v>
      </c>
      <c r="B22" s="75" t="n">
        <v>6860.55</v>
      </c>
      <c r="C22" s="54" t="n">
        <v>164329</v>
      </c>
      <c r="D22" s="59" t="n">
        <f aca="false">C22-C21</f>
        <v>-758</v>
      </c>
      <c r="E22" s="54" t="n">
        <f aca="false">C22-152000</f>
        <v>12329</v>
      </c>
      <c r="F22" s="53" t="n">
        <f aca="false">D22/$D$2</f>
        <v>-382.152760272246</v>
      </c>
      <c r="G22" s="53" t="n">
        <v>30</v>
      </c>
      <c r="H22" s="58" t="n">
        <v>0</v>
      </c>
      <c r="I22" s="53" t="n">
        <f aca="false">G22+H22</f>
        <v>30</v>
      </c>
      <c r="J22" s="83" t="n">
        <f aca="false">IF(L22&gt;0,L22,0)</f>
        <v>0</v>
      </c>
      <c r="K22" s="53" t="n">
        <f aca="false">I22+J22</f>
        <v>30</v>
      </c>
      <c r="L22" s="53" t="n">
        <f aca="false">F22-(I22-X22)</f>
        <v>-34.492760272246</v>
      </c>
      <c r="M22" s="53" t="n">
        <v>140</v>
      </c>
      <c r="N22" s="53" t="n">
        <v>0</v>
      </c>
      <c r="O22" s="53" t="n">
        <v>0</v>
      </c>
      <c r="P22" s="6" t="n">
        <f aca="false">M22-(N22+O22)</f>
        <v>140</v>
      </c>
      <c r="Q22" s="53" t="n">
        <v>130</v>
      </c>
      <c r="R22" s="53" t="n">
        <v>75</v>
      </c>
      <c r="S22" s="53" t="n">
        <f aca="false">SUM(P22:R22)</f>
        <v>345</v>
      </c>
      <c r="T22" s="54" t="n">
        <f aca="false">(I22-S22)+T21</f>
        <v>-7500.396</v>
      </c>
      <c r="U22" s="53" t="n">
        <v>17.66</v>
      </c>
      <c r="V22" s="104" t="n">
        <v>15</v>
      </c>
      <c r="W22" s="105" t="n">
        <f aca="false">W21-V22</f>
        <v>4004.778674061</v>
      </c>
      <c r="X22" s="6" t="n">
        <f aca="false">N22+O22+S22+U22+V22</f>
        <v>377.66</v>
      </c>
      <c r="Y22" s="53" t="n">
        <f aca="false">IF(L22&lt;0,L22*-1,0)</f>
        <v>34.492760272246</v>
      </c>
      <c r="Z22" s="53" t="n">
        <f aca="false">X22+Y22</f>
        <v>412.152760272246</v>
      </c>
      <c r="AA22" s="57" t="n">
        <v>0</v>
      </c>
      <c r="AB22" s="59" t="n">
        <v>97</v>
      </c>
      <c r="AC22" s="59" t="n">
        <v>60</v>
      </c>
      <c r="AD22" s="60" t="n">
        <f aca="false">AD21+1</f>
        <v>13</v>
      </c>
      <c r="AE22" s="12" t="n">
        <f aca="false">IF(I22&gt;S22,I22-S22,I22-S22)</f>
        <v>-315</v>
      </c>
      <c r="AF22" s="12"/>
      <c r="AG22" s="0"/>
      <c r="AH22" s="6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60" t="n">
        <f aca="false">A22+1</f>
        <v>14</v>
      </c>
      <c r="B23" s="75" t="n">
        <v>6860.24</v>
      </c>
      <c r="C23" s="54" t="n">
        <v>163617</v>
      </c>
      <c r="D23" s="59" t="n">
        <f aca="false">C23-C22</f>
        <v>-712</v>
      </c>
      <c r="E23" s="54" t="n">
        <f aca="false">C23-152000</f>
        <v>11617</v>
      </c>
      <c r="F23" s="53" t="n">
        <f aca="false">D23/$D$2</f>
        <v>-358.961431812453</v>
      </c>
      <c r="G23" s="53" t="n">
        <v>26</v>
      </c>
      <c r="H23" s="58" t="n">
        <v>0</v>
      </c>
      <c r="I23" s="53" t="n">
        <f aca="false">G23+H23</f>
        <v>26</v>
      </c>
      <c r="J23" s="83" t="n">
        <f aca="false">IF(L23&gt;0,L23,0)</f>
        <v>0</v>
      </c>
      <c r="K23" s="53" t="n">
        <f aca="false">I23+J23</f>
        <v>26</v>
      </c>
      <c r="L23" s="53" t="n">
        <f aca="false">F23-(I23-X23)</f>
        <v>-1.61143181245268</v>
      </c>
      <c r="M23" s="53" t="n">
        <v>133</v>
      </c>
      <c r="N23" s="53" t="n">
        <v>0</v>
      </c>
      <c r="O23" s="53" t="n">
        <f aca="false">0.36*1.05</f>
        <v>0.378</v>
      </c>
      <c r="P23" s="6" t="n">
        <f aca="false">M23-(N23+O23)</f>
        <v>132.622</v>
      </c>
      <c r="Q23" s="53" t="n">
        <v>140</v>
      </c>
      <c r="R23" s="53" t="n">
        <v>72</v>
      </c>
      <c r="S23" s="53" t="n">
        <f aca="false">SUM(P23:R23)</f>
        <v>344.622</v>
      </c>
      <c r="T23" s="54" t="n">
        <f aca="false">(I23-S23)+T22</f>
        <v>-7819.018</v>
      </c>
      <c r="U23" s="53" t="n">
        <v>23.35</v>
      </c>
      <c r="V23" s="104" t="n">
        <v>15</v>
      </c>
      <c r="W23" s="105" t="n">
        <f aca="false">W22-V23</f>
        <v>3989.778674061</v>
      </c>
      <c r="X23" s="6" t="n">
        <f aca="false">N23+O23+S23+U23+V23</f>
        <v>383.35</v>
      </c>
      <c r="Y23" s="53" t="n">
        <f aca="false">IF(L23&lt;0,L23*-1,0)</f>
        <v>1.61143181245268</v>
      </c>
      <c r="Z23" s="53" t="n">
        <f aca="false">X23+Y23</f>
        <v>384.961431812453</v>
      </c>
      <c r="AA23" s="57" t="n">
        <v>0.1</v>
      </c>
      <c r="AB23" s="59" t="n">
        <v>92</v>
      </c>
      <c r="AC23" s="59" t="n">
        <v>61</v>
      </c>
      <c r="AD23" s="60" t="n">
        <f aca="false">AD22+1</f>
        <v>14</v>
      </c>
      <c r="AE23" s="12" t="n">
        <f aca="false">IF(I23&gt;S23,I23-S23,I23-S23)</f>
        <v>-318.622</v>
      </c>
      <c r="AF23" s="12"/>
      <c r="AG23" s="0"/>
      <c r="AH23" s="6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60" t="n">
        <f aca="false">A23+1</f>
        <v>15</v>
      </c>
      <c r="B24" s="75" t="n">
        <v>6859.93</v>
      </c>
      <c r="C24" s="54" t="n">
        <v>162908</v>
      </c>
      <c r="D24" s="59" t="n">
        <f aca="false">C24-C23</f>
        <v>-709</v>
      </c>
      <c r="E24" s="54" t="n">
        <f aca="false">C24-152000</f>
        <v>10908</v>
      </c>
      <c r="F24" s="53" t="n">
        <f aca="false">D24/$D$2</f>
        <v>-357.448953869423</v>
      </c>
      <c r="G24" s="53" t="n">
        <v>30</v>
      </c>
      <c r="H24" s="58" t="n">
        <v>0</v>
      </c>
      <c r="I24" s="53" t="n">
        <f aca="false">G24+H24</f>
        <v>30</v>
      </c>
      <c r="J24" s="83" t="n">
        <f aca="false">IF(L24&gt;0,L24,0)</f>
        <v>0</v>
      </c>
      <c r="K24" s="53" t="n">
        <f aca="false">I24+J24</f>
        <v>30</v>
      </c>
      <c r="L24" s="53" t="n">
        <f aca="false">F24-(I24-X24)</f>
        <v>-10.0189538694227</v>
      </c>
      <c r="M24" s="53" t="n">
        <v>124</v>
      </c>
      <c r="N24" s="53" t="n">
        <v>0</v>
      </c>
      <c r="O24" s="53" t="n">
        <v>0</v>
      </c>
      <c r="P24" s="6" t="n">
        <f aca="false">M24-(N24+O24)</f>
        <v>124</v>
      </c>
      <c r="Q24" s="53" t="n">
        <v>140</v>
      </c>
      <c r="R24" s="53" t="n">
        <v>78</v>
      </c>
      <c r="S24" s="53" t="n">
        <f aca="false">SUM(P24:R24)</f>
        <v>342</v>
      </c>
      <c r="T24" s="54" t="n">
        <f aca="false">(I24-S24)+T23</f>
        <v>-8131.018</v>
      </c>
      <c r="U24" s="53" t="n">
        <v>20.43</v>
      </c>
      <c r="V24" s="104" t="n">
        <v>15</v>
      </c>
      <c r="W24" s="105" t="n">
        <f aca="false">W23-V24</f>
        <v>3974.778674061</v>
      </c>
      <c r="X24" s="6" t="n">
        <f aca="false">N24+O24+S24+U24+V24</f>
        <v>377.43</v>
      </c>
      <c r="Y24" s="53" t="n">
        <f aca="false">IF(L24&lt;0,L24*-1,0)</f>
        <v>10.0189538694227</v>
      </c>
      <c r="Z24" s="53" t="n">
        <f aca="false">X24+Y24</f>
        <v>387.448953869423</v>
      </c>
      <c r="AA24" s="57" t="n">
        <v>0.05</v>
      </c>
      <c r="AB24" s="84" t="n">
        <v>90</v>
      </c>
      <c r="AC24" s="59" t="n">
        <v>58</v>
      </c>
      <c r="AD24" s="60" t="n">
        <f aca="false">AD23+1</f>
        <v>15</v>
      </c>
      <c r="AE24" s="12" t="n">
        <f aca="false">IF(I24&gt;S24,I24-S24,I24-S24)</f>
        <v>-312</v>
      </c>
      <c r="AF24" s="12"/>
      <c r="AG24" s="0"/>
      <c r="AH24" s="6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60" t="n">
        <f aca="false">A24+1</f>
        <v>16</v>
      </c>
      <c r="B25" s="75" t="n">
        <v>6859.67</v>
      </c>
      <c r="C25" s="54" t="n">
        <v>162319</v>
      </c>
      <c r="D25" s="59" t="n">
        <f aca="false">C25-C24</f>
        <v>-589</v>
      </c>
      <c r="E25" s="54" t="n">
        <f aca="false">C25-152000</f>
        <v>10319</v>
      </c>
      <c r="F25" s="53" t="n">
        <f aca="false">D25/$D$2</f>
        <v>-296.949836148223</v>
      </c>
      <c r="G25" s="53" t="n">
        <v>83</v>
      </c>
      <c r="H25" s="58" t="n">
        <v>0</v>
      </c>
      <c r="I25" s="53" t="n">
        <f aca="false">G25+H25</f>
        <v>83</v>
      </c>
      <c r="J25" s="83" t="n">
        <f aca="false">IF(L25&gt;0,L25,0)</f>
        <v>8.50016385177713</v>
      </c>
      <c r="K25" s="53" t="n">
        <f aca="false">I25+J25</f>
        <v>91.5001638517771</v>
      </c>
      <c r="L25" s="53" t="n">
        <f aca="false">F25-(I25-X25)</f>
        <v>8.50016385177713</v>
      </c>
      <c r="M25" s="53" t="n">
        <v>134</v>
      </c>
      <c r="N25" s="53" t="n">
        <v>0</v>
      </c>
      <c r="O25" s="53" t="n">
        <v>0</v>
      </c>
      <c r="P25" s="6" t="n">
        <f aca="false">M25-(N25+O25)</f>
        <v>134</v>
      </c>
      <c r="Q25" s="53" t="n">
        <v>139</v>
      </c>
      <c r="R25" s="53" t="n">
        <v>79</v>
      </c>
      <c r="S25" s="53" t="n">
        <f aca="false">SUM(P25:R25)</f>
        <v>352</v>
      </c>
      <c r="T25" s="54" t="n">
        <f aca="false">(I25-S25)+T24</f>
        <v>-8400.018</v>
      </c>
      <c r="U25" s="53" t="n">
        <v>21.45</v>
      </c>
      <c r="V25" s="104" t="n">
        <v>15</v>
      </c>
      <c r="W25" s="105" t="n">
        <f aca="false">W24-V25</f>
        <v>3959.778674061</v>
      </c>
      <c r="X25" s="6" t="n">
        <f aca="false">N25+O25+S25+U25+V25</f>
        <v>388.45</v>
      </c>
      <c r="Y25" s="53" t="n">
        <f aca="false">IF(L25&lt;0,L25*-1,0)</f>
        <v>0</v>
      </c>
      <c r="Z25" s="53" t="n">
        <f aca="false">X25+Y25</f>
        <v>388.45</v>
      </c>
      <c r="AA25" s="57" t="n">
        <v>0</v>
      </c>
      <c r="AB25" s="84" t="n">
        <v>86</v>
      </c>
      <c r="AC25" s="59" t="n">
        <v>53</v>
      </c>
      <c r="AD25" s="60" t="n">
        <f aca="false">AD24+1</f>
        <v>16</v>
      </c>
      <c r="AE25" s="12" t="n">
        <f aca="false">IF(I25&gt;S25,I25-S25,I25-S25)</f>
        <v>-269</v>
      </c>
      <c r="AF25" s="12"/>
      <c r="AG25" s="0"/>
      <c r="AH25" s="6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60" t="n">
        <f aca="false">A25+1</f>
        <v>17</v>
      </c>
      <c r="B26" s="75" t="n">
        <v>6859.44</v>
      </c>
      <c r="C26" s="54" t="n">
        <v>161799</v>
      </c>
      <c r="D26" s="59" t="n">
        <f aca="false">C26-C25</f>
        <v>-520</v>
      </c>
      <c r="E26" s="54" t="n">
        <f aca="false">C26-152000</f>
        <v>9799</v>
      </c>
      <c r="F26" s="53" t="n">
        <f aca="false">D26/$D$2</f>
        <v>-262.162843458533</v>
      </c>
      <c r="G26" s="53" t="n">
        <v>110</v>
      </c>
      <c r="H26" s="58" t="n">
        <v>0</v>
      </c>
      <c r="I26" s="53" t="n">
        <f aca="false">G26+H26</f>
        <v>110</v>
      </c>
      <c r="J26" s="83" t="n">
        <f aca="false">IF(L26&gt;0,L26,0)</f>
        <v>2.28715654146708</v>
      </c>
      <c r="K26" s="53" t="n">
        <f aca="false">I26+J26</f>
        <v>112.287156541467</v>
      </c>
      <c r="L26" s="53" t="n">
        <f aca="false">F26-(I26-X26)</f>
        <v>2.28715654146708</v>
      </c>
      <c r="M26" s="53" t="n">
        <v>122</v>
      </c>
      <c r="N26" s="53" t="n">
        <v>0</v>
      </c>
      <c r="O26" s="53" t="n">
        <v>0</v>
      </c>
      <c r="P26" s="6" t="n">
        <f aca="false">M26-(N26+O26)</f>
        <v>122</v>
      </c>
      <c r="Q26" s="53" t="n">
        <v>141</v>
      </c>
      <c r="R26" s="53" t="n">
        <v>80</v>
      </c>
      <c r="S26" s="53" t="n">
        <f aca="false">SUM(P26:R26)</f>
        <v>343</v>
      </c>
      <c r="T26" s="54" t="n">
        <f aca="false">(I26-S26)+T25</f>
        <v>-8633.018</v>
      </c>
      <c r="U26" s="53" t="n">
        <v>16.45</v>
      </c>
      <c r="V26" s="104" t="n">
        <v>15</v>
      </c>
      <c r="W26" s="105" t="n">
        <f aca="false">W25-V26</f>
        <v>3944.778674061</v>
      </c>
      <c r="X26" s="6" t="n">
        <f aca="false">N26+O26+S26+U26+V26</f>
        <v>374.45</v>
      </c>
      <c r="Y26" s="53" t="n">
        <f aca="false">IF(L26&lt;0,L26*-1,0)</f>
        <v>0</v>
      </c>
      <c r="Z26" s="53" t="n">
        <f aca="false">X26+Y26</f>
        <v>374.45</v>
      </c>
      <c r="AA26" s="57" t="n">
        <v>0</v>
      </c>
      <c r="AB26" s="84" t="n">
        <v>87</v>
      </c>
      <c r="AC26" s="59" t="n">
        <v>54</v>
      </c>
      <c r="AD26" s="60" t="n">
        <f aca="false">AD25+1</f>
        <v>17</v>
      </c>
      <c r="AE26" s="12" t="n">
        <f aca="false">IF(I26&gt;S26,I26-S26,I26-S26)</f>
        <v>-233</v>
      </c>
      <c r="AF26" s="12"/>
      <c r="AG26" s="0"/>
      <c r="AH26" s="6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60" t="n">
        <f aca="false">A26+1</f>
        <v>18</v>
      </c>
      <c r="B27" s="75" t="n">
        <v>6859.22</v>
      </c>
      <c r="C27" s="54" t="n">
        <v>161301</v>
      </c>
      <c r="D27" s="59" t="n">
        <f aca="false">C27-C26</f>
        <v>-498</v>
      </c>
      <c r="E27" s="54" t="n">
        <f aca="false">C27-152000</f>
        <v>9301</v>
      </c>
      <c r="F27" s="53" t="n">
        <f aca="false">D27/$D$2</f>
        <v>-251.07133854298</v>
      </c>
      <c r="G27" s="53" t="n">
        <v>116</v>
      </c>
      <c r="H27" s="58" t="n">
        <v>0</v>
      </c>
      <c r="I27" s="53" t="n">
        <f aca="false">G27+H27</f>
        <v>116</v>
      </c>
      <c r="J27" s="83" t="n">
        <f aca="false">IF(L27&gt;0,L27,0)</f>
        <v>11.3686614570204</v>
      </c>
      <c r="K27" s="53" t="n">
        <f aca="false">I27+J27</f>
        <v>127.36866145702</v>
      </c>
      <c r="L27" s="53" t="n">
        <f aca="false">F27-(I27-X27)</f>
        <v>11.3686614570204</v>
      </c>
      <c r="M27" s="53" t="n">
        <v>111</v>
      </c>
      <c r="N27" s="53" t="n">
        <v>0</v>
      </c>
      <c r="O27" s="53" t="n">
        <v>0</v>
      </c>
      <c r="P27" s="6" t="n">
        <f aca="false">M27-(N27+O27)</f>
        <v>111</v>
      </c>
      <c r="Q27" s="53" t="n">
        <v>142</v>
      </c>
      <c r="R27" s="53" t="n">
        <v>83</v>
      </c>
      <c r="S27" s="53" t="n">
        <f aca="false">SUM(P27:R27)</f>
        <v>336</v>
      </c>
      <c r="T27" s="54" t="n">
        <f aca="false">(I27-S27)+T26</f>
        <v>-8853.018</v>
      </c>
      <c r="U27" s="53" t="n">
        <v>27.44</v>
      </c>
      <c r="V27" s="104" t="n">
        <v>15</v>
      </c>
      <c r="W27" s="105" t="n">
        <f aca="false">W26-V27</f>
        <v>3929.778674061</v>
      </c>
      <c r="X27" s="6" t="n">
        <f aca="false">N27+O27+S27+U27+V27</f>
        <v>378.44</v>
      </c>
      <c r="Y27" s="53" t="n">
        <f aca="false">IF(L27&lt;0,L27*-1,0)</f>
        <v>0</v>
      </c>
      <c r="Z27" s="53" t="n">
        <f aca="false">X27+Y27</f>
        <v>378.44</v>
      </c>
      <c r="AA27" s="57" t="n">
        <v>0</v>
      </c>
      <c r="AB27" s="84" t="n">
        <v>88</v>
      </c>
      <c r="AC27" s="59" t="n">
        <v>52</v>
      </c>
      <c r="AD27" s="60" t="n">
        <f aca="false">AD26+1</f>
        <v>18</v>
      </c>
      <c r="AE27" s="12" t="n">
        <f aca="false">IF(I27&gt;S27,I27-S27,I27-S27)</f>
        <v>-220</v>
      </c>
      <c r="AF27" s="12"/>
      <c r="AG27" s="0"/>
      <c r="AH27" s="6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60" t="n">
        <f aca="false">A27+1</f>
        <v>19</v>
      </c>
      <c r="B28" s="75" t="n">
        <v>6859.01</v>
      </c>
      <c r="C28" s="54" t="n">
        <v>160826</v>
      </c>
      <c r="D28" s="59" t="n">
        <f aca="false">C28-C27</f>
        <v>-475</v>
      </c>
      <c r="E28" s="54" t="n">
        <f aca="false">C28-152000</f>
        <v>8826</v>
      </c>
      <c r="F28" s="53" t="n">
        <f aca="false">D28/$D$2</f>
        <v>-239.475674313083</v>
      </c>
      <c r="G28" s="53" t="n">
        <v>120</v>
      </c>
      <c r="H28" s="58" t="n">
        <v>0</v>
      </c>
      <c r="I28" s="53" t="n">
        <f aca="false">G28+H28</f>
        <v>120</v>
      </c>
      <c r="J28" s="83" t="n">
        <f aca="false">IF(L28&gt;0,L28,0)</f>
        <v>0</v>
      </c>
      <c r="K28" s="53" t="n">
        <f aca="false">I28+J28</f>
        <v>120</v>
      </c>
      <c r="L28" s="53" t="n">
        <f aca="false">F28-(I28-X28)</f>
        <v>-1.0556743130829</v>
      </c>
      <c r="M28" s="53" t="n">
        <v>111</v>
      </c>
      <c r="N28" s="53" t="n">
        <v>0</v>
      </c>
      <c r="O28" s="53" t="n">
        <f aca="false">0.5*1.05</f>
        <v>0.525</v>
      </c>
      <c r="P28" s="6" t="n">
        <f aca="false">M28-(N28+O28)</f>
        <v>110.475</v>
      </c>
      <c r="Q28" s="53" t="n">
        <v>142</v>
      </c>
      <c r="R28" s="53" t="n">
        <v>82</v>
      </c>
      <c r="S28" s="53" t="n">
        <f aca="false">SUM(P28:R28)</f>
        <v>334.475</v>
      </c>
      <c r="T28" s="54" t="n">
        <f aca="false">(I28-S28)+T27</f>
        <v>-9067.493</v>
      </c>
      <c r="U28" s="53" t="n">
        <v>9.42</v>
      </c>
      <c r="V28" s="104" t="n">
        <v>14</v>
      </c>
      <c r="W28" s="105" t="n">
        <f aca="false">W27-V28</f>
        <v>3915.778674061</v>
      </c>
      <c r="X28" s="6" t="n">
        <f aca="false">N28+O28+S28+U28+V28</f>
        <v>358.42</v>
      </c>
      <c r="Y28" s="53" t="n">
        <f aca="false">IF(L28&lt;0,L28*-1,0)</f>
        <v>1.0556743130829</v>
      </c>
      <c r="Z28" s="53" t="n">
        <f aca="false">X28+Y28</f>
        <v>359.475674313083</v>
      </c>
      <c r="AA28" s="57" t="n">
        <v>0</v>
      </c>
      <c r="AB28" s="84" t="n">
        <v>87</v>
      </c>
      <c r="AC28" s="59" t="n">
        <v>55</v>
      </c>
      <c r="AD28" s="60" t="n">
        <f aca="false">AD27+1</f>
        <v>19</v>
      </c>
      <c r="AE28" s="12" t="n">
        <f aca="false">IF(I28&gt;S28,I28-S28,I28-S28)</f>
        <v>-214.475</v>
      </c>
      <c r="AF28" s="12"/>
      <c r="AG28" s="0"/>
      <c r="AH28" s="6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60" t="n">
        <f aca="false">A28+1</f>
        <v>20</v>
      </c>
      <c r="B29" s="75" t="n">
        <v>6858.87</v>
      </c>
      <c r="C29" s="54" t="n">
        <v>160512</v>
      </c>
      <c r="D29" s="59" t="n">
        <f aca="false">C29-C28</f>
        <v>-314</v>
      </c>
      <c r="E29" s="54" t="n">
        <f aca="false">C29-152000</f>
        <v>8512</v>
      </c>
      <c r="F29" s="53" t="n">
        <f aca="false">D29/$D$2</f>
        <v>-158.306024703806</v>
      </c>
      <c r="G29" s="53" t="n">
        <v>201</v>
      </c>
      <c r="H29" s="58" t="n">
        <v>0</v>
      </c>
      <c r="I29" s="53" t="n">
        <f aca="false">G29+H29</f>
        <v>201</v>
      </c>
      <c r="J29" s="83" t="n">
        <f aca="false">IF(L29&gt;0,L29,0)</f>
        <v>9.66397529619363</v>
      </c>
      <c r="K29" s="53" t="n">
        <f aca="false">I29+J29</f>
        <v>210.663975296194</v>
      </c>
      <c r="L29" s="53" t="n">
        <f aca="false">F29-(I29-X29)</f>
        <v>9.66397529619363</v>
      </c>
      <c r="M29" s="53" t="n">
        <v>110</v>
      </c>
      <c r="N29" s="53" t="n">
        <v>0</v>
      </c>
      <c r="O29" s="53" t="n">
        <v>0</v>
      </c>
      <c r="P29" s="6" t="n">
        <f aca="false">M29-(N29+O29)</f>
        <v>110</v>
      </c>
      <c r="Q29" s="53" t="n">
        <v>141</v>
      </c>
      <c r="R29" s="53" t="n">
        <v>82</v>
      </c>
      <c r="S29" s="53" t="n">
        <f aca="false">SUM(P29:R29)</f>
        <v>333</v>
      </c>
      <c r="T29" s="54" t="n">
        <f aca="false">(I29-S29)+T28</f>
        <v>-9199.493</v>
      </c>
      <c r="U29" s="53" t="n">
        <v>21.97</v>
      </c>
      <c r="V29" s="104" t="n">
        <v>14</v>
      </c>
      <c r="W29" s="105" t="n">
        <f aca="false">W28-V29</f>
        <v>3901.778674061</v>
      </c>
      <c r="X29" s="6" t="n">
        <f aca="false">N29+O29+S29+U29+V29</f>
        <v>368.97</v>
      </c>
      <c r="Y29" s="53" t="n">
        <f aca="false">IF(L29&lt;0,L29*-1,0)</f>
        <v>0</v>
      </c>
      <c r="Z29" s="53" t="n">
        <f aca="false">X29+Y29</f>
        <v>368.97</v>
      </c>
      <c r="AA29" s="57" t="n">
        <v>0.02</v>
      </c>
      <c r="AB29" s="84" t="n">
        <v>80</v>
      </c>
      <c r="AC29" s="59" t="n">
        <v>58</v>
      </c>
      <c r="AD29" s="60" t="n">
        <f aca="false">AD28+1</f>
        <v>20</v>
      </c>
      <c r="AE29" s="12" t="n">
        <f aca="false">IF(I29&gt;S29,I29-S29,I29-S29)</f>
        <v>-132</v>
      </c>
      <c r="AF29" s="12"/>
      <c r="AG29" s="0"/>
      <c r="AH29" s="6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60" t="n">
        <f aca="false">A29+1</f>
        <v>21</v>
      </c>
      <c r="B30" s="75" t="n">
        <v>6858.79</v>
      </c>
      <c r="C30" s="54" t="n">
        <v>160333</v>
      </c>
      <c r="D30" s="59" t="n">
        <f aca="false">C30-C29</f>
        <v>-179</v>
      </c>
      <c r="E30" s="54" t="n">
        <f aca="false">C30-152000</f>
        <v>8333</v>
      </c>
      <c r="F30" s="53" t="n">
        <f aca="false">D30/$D$2</f>
        <v>-90.2445172674565</v>
      </c>
      <c r="G30" s="53" t="n">
        <v>274</v>
      </c>
      <c r="H30" s="58" t="n">
        <v>0</v>
      </c>
      <c r="I30" s="53" t="n">
        <f aca="false">G30+H30</f>
        <v>274</v>
      </c>
      <c r="J30" s="83" t="n">
        <f aca="false">IF(L30&gt;0,L30,0)</f>
        <v>1.50548273254348</v>
      </c>
      <c r="K30" s="53" t="n">
        <f aca="false">I30+J30</f>
        <v>275.505482732544</v>
      </c>
      <c r="L30" s="53" t="n">
        <f aca="false">F30-(I30-X30)</f>
        <v>1.50548273254348</v>
      </c>
      <c r="M30" s="53" t="n">
        <v>107</v>
      </c>
      <c r="N30" s="53" t="n">
        <v>0</v>
      </c>
      <c r="O30" s="53" t="n">
        <f aca="false">0.3*1.05</f>
        <v>0.315</v>
      </c>
      <c r="P30" s="6" t="n">
        <f aca="false">M30-(N30+O30)</f>
        <v>106.685</v>
      </c>
      <c r="Q30" s="53" t="n">
        <v>140</v>
      </c>
      <c r="R30" s="53" t="n">
        <v>82</v>
      </c>
      <c r="S30" s="53" t="n">
        <f aca="false">SUM(P30:R30)</f>
        <v>328.685</v>
      </c>
      <c r="T30" s="54" t="n">
        <f aca="false">(I30-S30)+T29</f>
        <v>-9254.178</v>
      </c>
      <c r="U30" s="53" t="n">
        <v>22.75</v>
      </c>
      <c r="V30" s="104" t="n">
        <v>14</v>
      </c>
      <c r="W30" s="105" t="n">
        <f aca="false">W29-V30</f>
        <v>3887.778674061</v>
      </c>
      <c r="X30" s="6" t="n">
        <f aca="false">N30+O30+S30+U30+V30</f>
        <v>365.75</v>
      </c>
      <c r="Y30" s="53" t="n">
        <f aca="false">IF(L30&lt;0,L30*-1,0)</f>
        <v>0</v>
      </c>
      <c r="Z30" s="53" t="n">
        <f aca="false">X30+Y30</f>
        <v>365.75</v>
      </c>
      <c r="AA30" s="57" t="n">
        <v>0</v>
      </c>
      <c r="AB30" s="59" t="n">
        <v>88</v>
      </c>
      <c r="AC30" s="59" t="n">
        <v>52</v>
      </c>
      <c r="AD30" s="60" t="n">
        <f aca="false">AD29+1</f>
        <v>21</v>
      </c>
      <c r="AE30" s="12" t="n">
        <f aca="false">IF(I30&gt;S30,I30-S30,I30-S30)</f>
        <v>-54.685</v>
      </c>
      <c r="AF30" s="12"/>
      <c r="AG30" s="0"/>
      <c r="AH30" s="6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60" t="n">
        <f aca="false">A30+1</f>
        <v>22</v>
      </c>
      <c r="B31" s="75" t="n">
        <v>6858.72</v>
      </c>
      <c r="C31" s="54" t="n">
        <v>160176</v>
      </c>
      <c r="D31" s="59" t="n">
        <f aca="false">C31-C30</f>
        <v>-157</v>
      </c>
      <c r="E31" s="54" t="n">
        <f aca="false">C31-152000</f>
        <v>8176</v>
      </c>
      <c r="F31" s="53" t="n">
        <f aca="false">D31/$D$2</f>
        <v>-79.1530123519032</v>
      </c>
      <c r="G31" s="53" t="n">
        <v>272</v>
      </c>
      <c r="H31" s="58" t="n">
        <v>0</v>
      </c>
      <c r="I31" s="53" t="n">
        <f aca="false">G31+H31</f>
        <v>272</v>
      </c>
      <c r="J31" s="83" t="n">
        <f aca="false">IF(L31&gt;0,L31,0)</f>
        <v>9.60698764809673</v>
      </c>
      <c r="K31" s="53" t="n">
        <f aca="false">I31+J31</f>
        <v>281.606987648097</v>
      </c>
      <c r="L31" s="53" t="n">
        <f aca="false">F31-(I31-X31)</f>
        <v>9.60698764809673</v>
      </c>
      <c r="M31" s="53" t="n">
        <v>107</v>
      </c>
      <c r="N31" s="53" t="n">
        <v>0</v>
      </c>
      <c r="O31" s="53" t="n">
        <f aca="false">0.8*1.05</f>
        <v>0.84</v>
      </c>
      <c r="P31" s="6" t="n">
        <f aca="false">M31-(N31+O31)</f>
        <v>106.16</v>
      </c>
      <c r="Q31" s="53" t="n">
        <v>140</v>
      </c>
      <c r="R31" s="53" t="n">
        <v>81</v>
      </c>
      <c r="S31" s="53" t="n">
        <f aca="false">SUM(P31:R31)</f>
        <v>327.16</v>
      </c>
      <c r="T31" s="54" t="n">
        <f aca="false">(I31-S31)+T30</f>
        <v>-9309.338</v>
      </c>
      <c r="U31" s="53" t="n">
        <v>17.76</v>
      </c>
      <c r="V31" s="104" t="n">
        <v>15</v>
      </c>
      <c r="W31" s="105" t="n">
        <f aca="false">W30-V31</f>
        <v>3872.778674061</v>
      </c>
      <c r="X31" s="6" t="n">
        <f aca="false">N31+O31+S31+U31+V31</f>
        <v>360.76</v>
      </c>
      <c r="Y31" s="53" t="n">
        <f aca="false">IF(L31&lt;0,L31*-1,0)</f>
        <v>0</v>
      </c>
      <c r="Z31" s="53" t="n">
        <f aca="false">X31+Y31</f>
        <v>360.76</v>
      </c>
      <c r="AA31" s="57" t="n">
        <v>0.01</v>
      </c>
      <c r="AB31" s="59" t="n">
        <v>86</v>
      </c>
      <c r="AC31" s="59" t="n">
        <v>55</v>
      </c>
      <c r="AD31" s="60" t="n">
        <f aca="false">AD30+1</f>
        <v>22</v>
      </c>
      <c r="AE31" s="12" t="n">
        <f aca="false">IF(I31&gt;S31,I31-S31,I31-S31)</f>
        <v>-55.16</v>
      </c>
      <c r="AF31" s="12"/>
      <c r="AG31" s="0"/>
      <c r="AH31" s="6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60" t="n">
        <f aca="false">A31+1</f>
        <v>23</v>
      </c>
      <c r="B32" s="75" t="n">
        <v>6858.65</v>
      </c>
      <c r="C32" s="54" t="n">
        <v>160019</v>
      </c>
      <c r="D32" s="59" t="n">
        <f aca="false">C32-C31</f>
        <v>-157</v>
      </c>
      <c r="E32" s="54" t="n">
        <f aca="false">C32-152000</f>
        <v>8019</v>
      </c>
      <c r="F32" s="53" t="n">
        <f aca="false">D32/$D$2</f>
        <v>-79.1530123519032</v>
      </c>
      <c r="G32" s="53" t="n">
        <v>280</v>
      </c>
      <c r="H32" s="58" t="n">
        <v>0</v>
      </c>
      <c r="I32" s="53" t="n">
        <f aca="false">G32+H32</f>
        <v>280</v>
      </c>
      <c r="J32" s="83" t="n">
        <f aca="false">IF(L32&gt;0,L32,0)</f>
        <v>0</v>
      </c>
      <c r="K32" s="53" t="n">
        <f aca="false">I32+J32</f>
        <v>280</v>
      </c>
      <c r="L32" s="53" t="n">
        <f aca="false">F32-(I32-X32)</f>
        <v>-5.70301235190321</v>
      </c>
      <c r="M32" s="53" t="n">
        <v>108</v>
      </c>
      <c r="N32" s="53" t="n">
        <v>0</v>
      </c>
      <c r="O32" s="53" t="n">
        <f aca="false">3.6*1.05</f>
        <v>3.78</v>
      </c>
      <c r="P32" s="6" t="n">
        <f aca="false">M32-(N32+O32)</f>
        <v>104.22</v>
      </c>
      <c r="Q32" s="53" t="n">
        <v>140</v>
      </c>
      <c r="R32" s="53" t="n">
        <v>81</v>
      </c>
      <c r="S32" s="53" t="n">
        <f aca="false">SUM(P32:R32)</f>
        <v>325.22</v>
      </c>
      <c r="T32" s="54" t="n">
        <f aca="false">(I32-S32)+T31</f>
        <v>-9354.558</v>
      </c>
      <c r="U32" s="53" t="n">
        <v>10.45</v>
      </c>
      <c r="V32" s="104" t="n">
        <v>14</v>
      </c>
      <c r="W32" s="105" t="n">
        <f aca="false">W31-V32</f>
        <v>3858.778674061</v>
      </c>
      <c r="X32" s="6" t="n">
        <f aca="false">N32+O32+S32+U32+V32</f>
        <v>353.45</v>
      </c>
      <c r="Y32" s="53" t="n">
        <f aca="false">IF(L32&lt;0,L32*-1,0)</f>
        <v>5.70301235190321</v>
      </c>
      <c r="Z32" s="53" t="n">
        <f aca="false">X32+Y32</f>
        <v>359.153012351903</v>
      </c>
      <c r="AA32" s="57" t="n">
        <v>0</v>
      </c>
      <c r="AB32" s="59" t="n">
        <v>86</v>
      </c>
      <c r="AC32" s="84" t="n">
        <v>51</v>
      </c>
      <c r="AD32" s="60" t="n">
        <f aca="false">AD31+1</f>
        <v>23</v>
      </c>
      <c r="AE32" s="12" t="n">
        <f aca="false">IF(I32&gt;S32,I32-S32,I32-S32)</f>
        <v>-45.22</v>
      </c>
      <c r="AF32" s="12"/>
      <c r="AG32" s="0"/>
      <c r="AH32" s="6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60" t="n">
        <f aca="false">A32+1</f>
        <v>24</v>
      </c>
      <c r="B33" s="75" t="n">
        <v>6858.57</v>
      </c>
      <c r="C33" s="54" t="n">
        <v>159840</v>
      </c>
      <c r="D33" s="59" t="n">
        <f aca="false">C33-C32</f>
        <v>-179</v>
      </c>
      <c r="E33" s="54" t="n">
        <f aca="false">C33-152000</f>
        <v>7840</v>
      </c>
      <c r="F33" s="53" t="n">
        <f aca="false">D33/$D$2</f>
        <v>-90.2445172674565</v>
      </c>
      <c r="G33" s="53" t="n">
        <v>281</v>
      </c>
      <c r="H33" s="58" t="n">
        <v>0</v>
      </c>
      <c r="I33" s="53" t="n">
        <f aca="false">G33+H33</f>
        <v>281</v>
      </c>
      <c r="J33" s="83" t="n">
        <f aca="false">IF(L33&gt;0,L33,0)</f>
        <v>14.7454827325435</v>
      </c>
      <c r="K33" s="53" t="n">
        <f aca="false">I33+J33</f>
        <v>295.745482732544</v>
      </c>
      <c r="L33" s="53" t="n">
        <f aca="false">F33-(I33-X33)</f>
        <v>14.7454827325435</v>
      </c>
      <c r="M33" s="53" t="n">
        <v>135</v>
      </c>
      <c r="N33" s="53" t="n">
        <v>0</v>
      </c>
      <c r="O33" s="53" t="n">
        <v>0</v>
      </c>
      <c r="P33" s="6" t="n">
        <f aca="false">M33-(N33+O33)</f>
        <v>135</v>
      </c>
      <c r="Q33" s="53" t="n">
        <v>141</v>
      </c>
      <c r="R33" s="53" t="n">
        <v>80</v>
      </c>
      <c r="S33" s="53" t="n">
        <f aca="false">SUM(P33:R33)</f>
        <v>356</v>
      </c>
      <c r="T33" s="54" t="n">
        <f aca="false">(I33-S33)+T32</f>
        <v>-9429.558</v>
      </c>
      <c r="U33" s="53" t="n">
        <v>14.99</v>
      </c>
      <c r="V33" s="104" t="n">
        <v>15</v>
      </c>
      <c r="W33" s="105" t="n">
        <f aca="false">W32-V33</f>
        <v>3843.778674061</v>
      </c>
      <c r="X33" s="6" t="n">
        <f aca="false">N33+O33+S33+U33+V33</f>
        <v>385.99</v>
      </c>
      <c r="Y33" s="53" t="n">
        <f aca="false">IF(L33&lt;0,L33*-1,0)</f>
        <v>0</v>
      </c>
      <c r="Z33" s="53" t="n">
        <f aca="false">X33+Y33</f>
        <v>385.99</v>
      </c>
      <c r="AA33" s="57" t="n">
        <v>0.23</v>
      </c>
      <c r="AB33" s="59" t="n">
        <v>88</v>
      </c>
      <c r="AC33" s="84" t="n">
        <v>53</v>
      </c>
      <c r="AD33" s="60" t="n">
        <f aca="false">AD32+1</f>
        <v>24</v>
      </c>
      <c r="AE33" s="12" t="n">
        <f aca="false">IF(I33&gt;S33,I33-S33,I33-S33)</f>
        <v>-75</v>
      </c>
      <c r="AF33" s="12"/>
      <c r="AG33" s="0"/>
      <c r="AH33" s="6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60" t="n">
        <f aca="false">A33+1</f>
        <v>25</v>
      </c>
      <c r="B34" s="75" t="n">
        <v>6858.49</v>
      </c>
      <c r="C34" s="54" t="n">
        <v>159660</v>
      </c>
      <c r="D34" s="59" t="n">
        <f aca="false">C34-C33</f>
        <v>-180</v>
      </c>
      <c r="E34" s="54" t="n">
        <f aca="false">C34-152000</f>
        <v>7660</v>
      </c>
      <c r="F34" s="53" t="n">
        <f aca="false">D34/$D$2</f>
        <v>-90.7486765817998</v>
      </c>
      <c r="G34" s="53" t="n">
        <v>280</v>
      </c>
      <c r="H34" s="58" t="n">
        <v>0</v>
      </c>
      <c r="I34" s="53" t="n">
        <f aca="false">G34+H34</f>
        <v>280</v>
      </c>
      <c r="J34" s="83" t="n">
        <f aca="false">IF(L34&gt;0,L34,0)</f>
        <v>8.57132341820015</v>
      </c>
      <c r="K34" s="53" t="n">
        <f aca="false">I34+J34</f>
        <v>288.5713234182</v>
      </c>
      <c r="L34" s="53" t="n">
        <f aca="false">F34-(I34-X34)</f>
        <v>8.57132341820015</v>
      </c>
      <c r="M34" s="53" t="n">
        <v>126</v>
      </c>
      <c r="N34" s="53" t="n">
        <v>0</v>
      </c>
      <c r="O34" s="53" t="n">
        <v>0</v>
      </c>
      <c r="P34" s="6" t="n">
        <f aca="false">M34-(N34+O34)</f>
        <v>126</v>
      </c>
      <c r="Q34" s="53" t="n">
        <v>141</v>
      </c>
      <c r="R34" s="53" t="n">
        <v>80</v>
      </c>
      <c r="S34" s="53" t="n">
        <f aca="false">SUM(P34:R34)</f>
        <v>347</v>
      </c>
      <c r="T34" s="54" t="n">
        <f aca="false">(I34-S34)+T33</f>
        <v>-9496.558</v>
      </c>
      <c r="U34" s="53" t="n">
        <v>17.32</v>
      </c>
      <c r="V34" s="104" t="n">
        <v>15</v>
      </c>
      <c r="W34" s="105" t="n">
        <f aca="false">W33-V34</f>
        <v>3828.778674061</v>
      </c>
      <c r="X34" s="6" t="n">
        <f aca="false">N34+O34+S34+U34+V34</f>
        <v>379.32</v>
      </c>
      <c r="Y34" s="53" t="n">
        <f aca="false">IF(L34&lt;0,L34*-1,0)</f>
        <v>0</v>
      </c>
      <c r="Z34" s="53" t="n">
        <f aca="false">X34+Y34</f>
        <v>379.32</v>
      </c>
      <c r="AA34" s="57" t="n">
        <v>0</v>
      </c>
      <c r="AB34" s="59" t="n">
        <v>84</v>
      </c>
      <c r="AC34" s="84" t="n">
        <v>59</v>
      </c>
      <c r="AD34" s="60" t="n">
        <f aca="false">AD33+1</f>
        <v>25</v>
      </c>
      <c r="AE34" s="12" t="n">
        <f aca="false">IF(I34&gt;S34,I34-S34,I34-S34)</f>
        <v>-67</v>
      </c>
      <c r="AF34" s="12"/>
      <c r="AG34" s="0"/>
      <c r="AH34" s="6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60" t="n">
        <f aca="false">A34+1</f>
        <v>26</v>
      </c>
      <c r="B35" s="75" t="n">
        <v>6858.42</v>
      </c>
      <c r="C35" s="54" t="n">
        <v>159504</v>
      </c>
      <c r="D35" s="59" t="n">
        <f aca="false">C35-C34</f>
        <v>-156</v>
      </c>
      <c r="E35" s="54" t="n">
        <f aca="false">C35-152000</f>
        <v>7504</v>
      </c>
      <c r="F35" s="53" t="n">
        <f aca="false">D35/$D$2</f>
        <v>-78.6488530375599</v>
      </c>
      <c r="G35" s="53" t="n">
        <v>268</v>
      </c>
      <c r="H35" s="58" t="n">
        <v>0</v>
      </c>
      <c r="I35" s="53" t="n">
        <f aca="false">G35+H35</f>
        <v>268</v>
      </c>
      <c r="J35" s="83" t="n">
        <f aca="false">IF(L35&gt;0,L35,0)</f>
        <v>11.8211469624402</v>
      </c>
      <c r="K35" s="53" t="n">
        <f aca="false">I35+J35</f>
        <v>279.82114696244</v>
      </c>
      <c r="L35" s="53" t="n">
        <f aca="false">F35-(I35-X35)</f>
        <v>11.8211469624402</v>
      </c>
      <c r="M35" s="53" t="n">
        <v>106</v>
      </c>
      <c r="N35" s="53" t="n">
        <v>0</v>
      </c>
      <c r="O35" s="53" t="n">
        <v>0</v>
      </c>
      <c r="P35" s="6" t="n">
        <f aca="false">M35-(N35+O35)</f>
        <v>106</v>
      </c>
      <c r="Q35" s="53" t="n">
        <v>143</v>
      </c>
      <c r="R35" s="53" t="n">
        <v>81</v>
      </c>
      <c r="S35" s="53" t="n">
        <f aca="false">SUM(P35:R35)</f>
        <v>330</v>
      </c>
      <c r="T35" s="54" t="n">
        <f aca="false">(I35-S35)+T34</f>
        <v>-9558.558</v>
      </c>
      <c r="U35" s="53" t="n">
        <v>13.47</v>
      </c>
      <c r="V35" s="104" t="n">
        <v>15</v>
      </c>
      <c r="W35" s="105" t="n">
        <f aca="false">W34-V35</f>
        <v>3813.778674061</v>
      </c>
      <c r="X35" s="6" t="n">
        <f aca="false">N35+O35+S35+U35+V35</f>
        <v>358.47</v>
      </c>
      <c r="Y35" s="53" t="n">
        <f aca="false">IF(L35&lt;0,L35*-1,0)</f>
        <v>0</v>
      </c>
      <c r="Z35" s="53" t="n">
        <f aca="false">X35+Y35</f>
        <v>358.47</v>
      </c>
      <c r="AA35" s="57" t="n">
        <v>0</v>
      </c>
      <c r="AB35" s="59" t="n">
        <v>86</v>
      </c>
      <c r="AC35" s="59" t="n">
        <v>59</v>
      </c>
      <c r="AD35" s="60" t="n">
        <f aca="false">AD34+1</f>
        <v>26</v>
      </c>
      <c r="AE35" s="12" t="n">
        <f aca="false">IF(I35&gt;S35,I35-S35,I35-S35)</f>
        <v>-62</v>
      </c>
      <c r="AF35" s="12"/>
      <c r="AG35" s="0"/>
      <c r="AH35" s="3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60" t="n">
        <f aca="false">A35+1</f>
        <v>27</v>
      </c>
      <c r="B36" s="75" t="n">
        <v>6858.33</v>
      </c>
      <c r="C36" s="54" t="n">
        <v>159302</v>
      </c>
      <c r="D36" s="59" t="n">
        <f aca="false">C36-C35</f>
        <v>-202</v>
      </c>
      <c r="E36" s="54" t="n">
        <f aca="false">C36-152000</f>
        <v>7302</v>
      </c>
      <c r="F36" s="53" t="n">
        <f aca="false">D36/$D$2</f>
        <v>-101.840181497353</v>
      </c>
      <c r="G36" s="53" t="n">
        <v>254</v>
      </c>
      <c r="H36" s="58" t="n">
        <v>0</v>
      </c>
      <c r="I36" s="53" t="n">
        <f aca="false">G36+H36</f>
        <v>254</v>
      </c>
      <c r="J36" s="83" t="n">
        <f aca="false">IF(L36&gt;0,L36,0)</f>
        <v>22.3298185026469</v>
      </c>
      <c r="K36" s="53" t="n">
        <f aca="false">I36+J36</f>
        <v>276.329818502647</v>
      </c>
      <c r="L36" s="53" t="n">
        <f aca="false">F36-(I36-X36)</f>
        <v>22.3298185026469</v>
      </c>
      <c r="M36" s="53" t="n">
        <v>122</v>
      </c>
      <c r="N36" s="53" t="n">
        <v>0</v>
      </c>
      <c r="O36" s="53" t="n">
        <v>0</v>
      </c>
      <c r="P36" s="6" t="n">
        <f aca="false">M36-(N36+O36)</f>
        <v>122</v>
      </c>
      <c r="Q36" s="53" t="n">
        <v>144</v>
      </c>
      <c r="R36" s="53" t="n">
        <v>81</v>
      </c>
      <c r="S36" s="53" t="n">
        <f aca="false">SUM(P36:R36)</f>
        <v>347</v>
      </c>
      <c r="T36" s="54" t="n">
        <f aca="false">(I36-S36)+T35</f>
        <v>-9651.558</v>
      </c>
      <c r="U36" s="53" t="n">
        <v>17.17</v>
      </c>
      <c r="V36" s="104" t="n">
        <v>14</v>
      </c>
      <c r="W36" s="105" t="n">
        <f aca="false">W35-V36</f>
        <v>3799.778674061</v>
      </c>
      <c r="X36" s="6" t="n">
        <f aca="false">N36+O36+S36+U36+V36</f>
        <v>378.17</v>
      </c>
      <c r="Y36" s="53" t="n">
        <f aca="false">IF(L36&lt;0,L36*-1,0)</f>
        <v>0</v>
      </c>
      <c r="Z36" s="53" t="n">
        <f aca="false">X36+Y36</f>
        <v>378.17</v>
      </c>
      <c r="AA36" s="57" t="n">
        <v>0.01</v>
      </c>
      <c r="AB36" s="59" t="n">
        <v>83</v>
      </c>
      <c r="AC36" s="59" t="n">
        <v>53</v>
      </c>
      <c r="AD36" s="60" t="n">
        <f aca="false">AD35+1</f>
        <v>27</v>
      </c>
      <c r="AE36" s="12" t="n">
        <f aca="false">IF(I36&gt;S36,I36-S36,I36-S36)</f>
        <v>-93</v>
      </c>
      <c r="AF36" s="12"/>
      <c r="AG36" s="0"/>
      <c r="AH36" s="6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60" t="n">
        <f aca="false">A36+1</f>
        <v>28</v>
      </c>
      <c r="B37" s="75" t="n">
        <v>6858.23</v>
      </c>
      <c r="C37" s="54" t="n">
        <v>159078</v>
      </c>
      <c r="D37" s="59" t="n">
        <f aca="false">C37-C36</f>
        <v>-224</v>
      </c>
      <c r="E37" s="54" t="n">
        <f aca="false">C37-152000</f>
        <v>7078</v>
      </c>
      <c r="F37" s="53" t="n">
        <f aca="false">D37/$D$2</f>
        <v>-112.931686412906</v>
      </c>
      <c r="G37" s="53" t="n">
        <v>242</v>
      </c>
      <c r="H37" s="58" t="n">
        <v>0</v>
      </c>
      <c r="I37" s="53" t="n">
        <f aca="false">G37+H37</f>
        <v>242</v>
      </c>
      <c r="J37" s="83" t="n">
        <f aca="false">IF(L37&gt;0,L37,0)</f>
        <v>14.4283135870935</v>
      </c>
      <c r="K37" s="53" t="n">
        <f aca="false">I37+J37</f>
        <v>256.428313587094</v>
      </c>
      <c r="L37" s="53" t="n">
        <f aca="false">F37-(I37-X37)</f>
        <v>14.4283135870935</v>
      </c>
      <c r="M37" s="53" t="n">
        <v>124</v>
      </c>
      <c r="N37" s="53" t="n">
        <v>0</v>
      </c>
      <c r="O37" s="53" t="n">
        <v>0</v>
      </c>
      <c r="P37" s="6" t="n">
        <f aca="false">M37-(N37+O37)</f>
        <v>124</v>
      </c>
      <c r="Q37" s="53" t="n">
        <v>143</v>
      </c>
      <c r="R37" s="53" t="n">
        <v>80</v>
      </c>
      <c r="S37" s="53" t="n">
        <f aca="false">SUM(P37:R37)</f>
        <v>347</v>
      </c>
      <c r="T37" s="54" t="n">
        <f aca="false">(I37-S37)+T36</f>
        <v>-9756.558</v>
      </c>
      <c r="U37" s="53" t="n">
        <v>8.36</v>
      </c>
      <c r="V37" s="104" t="n">
        <v>14</v>
      </c>
      <c r="W37" s="105" t="n">
        <f aca="false">W36-V37</f>
        <v>3785.778674061</v>
      </c>
      <c r="X37" s="6" t="n">
        <f aca="false">N37+O37+S37+U37+V37</f>
        <v>369.36</v>
      </c>
      <c r="Y37" s="53" t="n">
        <f aca="false">IF(L37&lt;0,L37*-1,0)</f>
        <v>0</v>
      </c>
      <c r="Z37" s="53" t="n">
        <f aca="false">X37+Y37</f>
        <v>369.36</v>
      </c>
      <c r="AA37" s="57" t="n">
        <v>0</v>
      </c>
      <c r="AB37" s="59" t="n">
        <v>86</v>
      </c>
      <c r="AC37" s="59" t="n">
        <v>53</v>
      </c>
      <c r="AD37" s="60" t="n">
        <f aca="false">AD36+1</f>
        <v>28</v>
      </c>
      <c r="AE37" s="12" t="n">
        <f aca="false">IF(I37&gt;S37,I37-S37,I37-S37)</f>
        <v>-105</v>
      </c>
      <c r="AF37" s="12"/>
      <c r="AG37" s="0"/>
      <c r="AH37" s="6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60" t="n">
        <f aca="false">A37+1</f>
        <v>29</v>
      </c>
      <c r="B38" s="75" t="n">
        <v>6858.1</v>
      </c>
      <c r="C38" s="54" t="n">
        <v>158787</v>
      </c>
      <c r="D38" s="59" t="n">
        <f aca="false">C38-C37</f>
        <v>-291</v>
      </c>
      <c r="E38" s="54" t="n">
        <f aca="false">C38-152000</f>
        <v>6787</v>
      </c>
      <c r="F38" s="53" t="n">
        <f aca="false">D38/$D$2</f>
        <v>-146.71036047391</v>
      </c>
      <c r="G38" s="53" t="n">
        <v>233</v>
      </c>
      <c r="H38" s="58" t="n">
        <v>0</v>
      </c>
      <c r="I38" s="53" t="n">
        <f aca="false">G38+H38</f>
        <v>233</v>
      </c>
      <c r="J38" s="83" t="n">
        <f aca="false">IF(L38&gt;0,L38,0)</f>
        <v>15.9196395260902</v>
      </c>
      <c r="K38" s="53" t="n">
        <f aca="false">I38+J38</f>
        <v>248.91963952609</v>
      </c>
      <c r="L38" s="53" t="n">
        <f aca="false">F38-(I38-X38)</f>
        <v>15.9196395260902</v>
      </c>
      <c r="M38" s="53" t="n">
        <v>139</v>
      </c>
      <c r="N38" s="53" t="n">
        <v>0</v>
      </c>
      <c r="O38" s="53" t="n">
        <v>0</v>
      </c>
      <c r="P38" s="6" t="n">
        <f aca="false">M38-(N38+O38)</f>
        <v>139</v>
      </c>
      <c r="Q38" s="53" t="n">
        <v>141</v>
      </c>
      <c r="R38" s="53" t="n">
        <v>79</v>
      </c>
      <c r="S38" s="53" t="n">
        <f aca="false">SUM(P38:R38)</f>
        <v>359</v>
      </c>
      <c r="T38" s="54" t="n">
        <f aca="false">(I38-S38)+T37</f>
        <v>-9882.558</v>
      </c>
      <c r="U38" s="53" t="n">
        <v>22.63</v>
      </c>
      <c r="V38" s="104" t="n">
        <v>14</v>
      </c>
      <c r="W38" s="105" t="n">
        <f aca="false">W37-V38</f>
        <v>3771.778674061</v>
      </c>
      <c r="X38" s="6" t="n">
        <f aca="false">N38+O38+S38+U38+V38</f>
        <v>395.63</v>
      </c>
      <c r="Y38" s="53" t="n">
        <f aca="false">IF(L38&lt;0,L38*-1,0)</f>
        <v>0</v>
      </c>
      <c r="Z38" s="53" t="n">
        <f aca="false">X38+Y38</f>
        <v>395.63</v>
      </c>
      <c r="AA38" s="57" t="n">
        <v>0</v>
      </c>
      <c r="AB38" s="84" t="n">
        <v>91</v>
      </c>
      <c r="AC38" s="59" t="n">
        <v>54</v>
      </c>
      <c r="AD38" s="60" t="n">
        <f aca="false">AD37+1</f>
        <v>29</v>
      </c>
      <c r="AE38" s="12" t="n">
        <f aca="false">IF(I38&gt;S38,I38-S38,I38-S38)</f>
        <v>-126</v>
      </c>
      <c r="AF38" s="12"/>
      <c r="AG38" s="0"/>
      <c r="AH38" s="6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60" t="n">
        <v>30</v>
      </c>
      <c r="B39" s="75" t="n">
        <v>6857.97</v>
      </c>
      <c r="C39" s="54" t="n">
        <v>158496</v>
      </c>
      <c r="D39" s="59" t="n">
        <f aca="false">C39-C38</f>
        <v>-291</v>
      </c>
      <c r="E39" s="54" t="n">
        <f aca="false">C39-152000</f>
        <v>6496</v>
      </c>
      <c r="F39" s="53" t="n">
        <f aca="false">D39/$D$2</f>
        <v>-146.71036047391</v>
      </c>
      <c r="G39" s="53" t="n">
        <v>224</v>
      </c>
      <c r="H39" s="58" t="n">
        <v>0</v>
      </c>
      <c r="I39" s="53" t="n">
        <f aca="false">G39+H39</f>
        <v>224</v>
      </c>
      <c r="J39" s="83" t="n">
        <f aca="false">IF(L39&gt;0,L39,0)</f>
        <v>23.7996395260902</v>
      </c>
      <c r="K39" s="53" t="n">
        <f aca="false">I39+J39</f>
        <v>247.79963952609</v>
      </c>
      <c r="L39" s="53" t="n">
        <f aca="false">F39-(I39-X39)</f>
        <v>23.7996395260902</v>
      </c>
      <c r="M39" s="53" t="n">
        <v>138</v>
      </c>
      <c r="N39" s="53" t="n">
        <v>0</v>
      </c>
      <c r="O39" s="53" t="n">
        <v>0</v>
      </c>
      <c r="P39" s="6" t="n">
        <f aca="false">M39-(N39+O39)</f>
        <v>138</v>
      </c>
      <c r="Q39" s="53" t="n">
        <v>139</v>
      </c>
      <c r="R39" s="53" t="n">
        <v>78</v>
      </c>
      <c r="S39" s="53" t="n">
        <f aca="false">SUM(P39:R39)</f>
        <v>355</v>
      </c>
      <c r="T39" s="54" t="n">
        <f aca="false">(I39-S39)+T38</f>
        <v>-10013.558</v>
      </c>
      <c r="U39" s="53" t="n">
        <v>25.51</v>
      </c>
      <c r="V39" s="104" t="n">
        <v>14</v>
      </c>
      <c r="W39" s="105" t="n">
        <f aca="false">W38-V39</f>
        <v>3757.778674061</v>
      </c>
      <c r="X39" s="6" t="n">
        <f aca="false">N39+O39+S39+U39+V39</f>
        <v>394.51</v>
      </c>
      <c r="Y39" s="53" t="n">
        <f aca="false">IF(L39&lt;0,L39*-1,0)</f>
        <v>0</v>
      </c>
      <c r="Z39" s="53" t="n">
        <f aca="false">X39+Y39</f>
        <v>394.51</v>
      </c>
      <c r="AA39" s="57" t="n">
        <v>0</v>
      </c>
      <c r="AB39" s="84" t="n">
        <v>90</v>
      </c>
      <c r="AC39" s="59" t="n">
        <v>55</v>
      </c>
      <c r="AD39" s="60" t="n">
        <v>30</v>
      </c>
      <c r="AE39" s="12" t="n">
        <f aca="false">IF(I39&gt;S39,I39-S39,I39-S39)</f>
        <v>-131</v>
      </c>
      <c r="AF39" s="12"/>
      <c r="AG39" s="0"/>
      <c r="AH39" s="6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60" t="n">
        <v>31</v>
      </c>
      <c r="B40" s="75" t="n">
        <v>6857.86</v>
      </c>
      <c r="C40" s="54" t="n">
        <v>158252</v>
      </c>
      <c r="D40" s="59" t="n">
        <f aca="false">C40-C39</f>
        <v>-244</v>
      </c>
      <c r="E40" s="54" t="n">
        <f aca="false">C40-152000</f>
        <v>6252</v>
      </c>
      <c r="F40" s="53" t="n">
        <f aca="false">D40/$D$2</f>
        <v>-123.014872699773</v>
      </c>
      <c r="G40" s="53" t="n">
        <v>221</v>
      </c>
      <c r="H40" s="58" t="n">
        <v>0</v>
      </c>
      <c r="I40" s="53" t="n">
        <f aca="false">G40+H40</f>
        <v>221</v>
      </c>
      <c r="J40" s="83" t="n">
        <f aca="false">IF(L40&gt;0,L40,0)</f>
        <v>18.9751273002269</v>
      </c>
      <c r="K40" s="53" t="n">
        <f aca="false">I40+J40</f>
        <v>239.975127300227</v>
      </c>
      <c r="L40" s="53" t="n">
        <f aca="false">F40-(I40-X40)</f>
        <v>18.9751273002269</v>
      </c>
      <c r="M40" s="53" t="n">
        <v>119</v>
      </c>
      <c r="N40" s="53" t="n">
        <v>3.38</v>
      </c>
      <c r="O40" s="53" t="n">
        <v>0</v>
      </c>
      <c r="P40" s="6" t="n">
        <f aca="false">M40-(N40+O40)</f>
        <v>115.62</v>
      </c>
      <c r="Q40" s="53" t="n">
        <v>138</v>
      </c>
      <c r="R40" s="53" t="n">
        <v>77</v>
      </c>
      <c r="S40" s="53" t="n">
        <f aca="false">SUM(P40:R40)</f>
        <v>330.62</v>
      </c>
      <c r="T40" s="54" t="n">
        <f aca="false">(I40-S40)+T39</f>
        <v>-10123.178</v>
      </c>
      <c r="U40" s="53" t="n">
        <v>14.99</v>
      </c>
      <c r="V40" s="104" t="n">
        <v>14</v>
      </c>
      <c r="W40" s="105" t="n">
        <f aca="false">W39-V40</f>
        <v>3743.778674061</v>
      </c>
      <c r="X40" s="6" t="n">
        <f aca="false">N40+O40+S40+U40+V40</f>
        <v>362.99</v>
      </c>
      <c r="Y40" s="53" t="n">
        <f aca="false">IF(L40&lt;0,L40*-1,0)</f>
        <v>0</v>
      </c>
      <c r="Z40" s="53" t="n">
        <f aca="false">X40+Y40</f>
        <v>362.99</v>
      </c>
      <c r="AA40" s="57" t="n">
        <v>0</v>
      </c>
      <c r="AB40" s="84" t="n">
        <v>93</v>
      </c>
      <c r="AC40" s="59" t="n">
        <v>55</v>
      </c>
      <c r="AD40" s="60" t="n">
        <v>31</v>
      </c>
      <c r="AE40" s="12" t="n">
        <f aca="false">IF(I40&gt;S40,I40-S40,I40-S40)</f>
        <v>-109.62</v>
      </c>
      <c r="AF40" s="108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80"/>
      <c r="I41" s="76"/>
      <c r="J41" s="76"/>
      <c r="K41" s="76"/>
      <c r="L41" s="76"/>
      <c r="M41" s="76"/>
      <c r="N41" s="76"/>
      <c r="O41" s="76" t="n">
        <v>0</v>
      </c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122" t="n">
        <v>0</v>
      </c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-8046.88681623393</v>
      </c>
      <c r="G42" s="54" t="n">
        <f aca="false">SUM(G10:G40)</f>
        <v>3886</v>
      </c>
      <c r="H42" s="58" t="n">
        <f aca="false">SUM(H10:H40)</f>
        <v>0</v>
      </c>
      <c r="I42" s="54" t="n">
        <f aca="false">SUM(I10:I40)</f>
        <v>3886</v>
      </c>
      <c r="J42" s="54" t="n">
        <f aca="false">SUM(J10:J40)</f>
        <v>378.776581799849</v>
      </c>
      <c r="K42" s="54" t="n">
        <f aca="false">SUM(K10:K40)</f>
        <v>4264.77658179985</v>
      </c>
      <c r="L42" s="54" t="n">
        <f aca="false">SUM(L10:L40)</f>
        <v>75.0231837660706</v>
      </c>
      <c r="M42" s="54" t="n">
        <f aca="false">SUM(M10:M40)</f>
        <v>4434</v>
      </c>
      <c r="N42" s="54" t="n">
        <f aca="false">SUM(N10:N40)</f>
        <v>3.38</v>
      </c>
      <c r="O42" s="54" t="n">
        <f aca="false">SUM(O10:O40)</f>
        <v>7.497</v>
      </c>
      <c r="P42" s="54" t="n">
        <f aca="false">SUM(P10:P40)</f>
        <v>4423.123</v>
      </c>
      <c r="Q42" s="54" t="n">
        <f aca="false">SUM(Q10:Q40)</f>
        <v>3997</v>
      </c>
      <c r="R42" s="54" t="n">
        <f aca="false">SUM(R10:R40)</f>
        <v>2457</v>
      </c>
      <c r="S42" s="54" t="n">
        <f aca="false">SUM(S10:S40)</f>
        <v>10877.123</v>
      </c>
      <c r="T42" s="54"/>
      <c r="U42" s="54" t="n">
        <f aca="false">SUM(U10:U40)</f>
        <v>674.91</v>
      </c>
      <c r="V42" s="54" t="n">
        <f aca="false">SUM(V10:V40)</f>
        <v>445</v>
      </c>
      <c r="W42" s="54"/>
      <c r="X42" s="54" t="n">
        <f aca="false">SUM(X10:X40)</f>
        <v>12007.91</v>
      </c>
      <c r="Y42" s="54" t="n">
        <f aca="false">SUM(Y10:Y40)</f>
        <v>303.753398033778</v>
      </c>
      <c r="Z42" s="54" t="n">
        <f aca="false">SUM(Z10:Z40)</f>
        <v>12311.6633980338</v>
      </c>
      <c r="AA42" s="57" t="n">
        <f aca="false">SUM(AA10:AA40)</f>
        <v>0.92</v>
      </c>
      <c r="AB42" s="59" t="n">
        <f aca="false">AVERAGE(AB10:AB40)</f>
        <v>88.6451612903226</v>
      </c>
      <c r="AC42" s="59" t="n">
        <f aca="false">AVERAGE(AC10:AC40)</f>
        <v>55.3225806451613</v>
      </c>
      <c r="AD42" s="60" t="s">
        <v>73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-15961</v>
      </c>
      <c r="E43" s="54"/>
      <c r="F43" s="54" t="n">
        <f aca="false">F42*$D$2</f>
        <v>-15961</v>
      </c>
      <c r="G43" s="54" t="n">
        <f aca="false">G42*$D$2</f>
        <v>7707.881</v>
      </c>
      <c r="H43" s="58" t="n">
        <f aca="false">H42*$D$2</f>
        <v>0</v>
      </c>
      <c r="I43" s="54" t="n">
        <f aca="false">I42*$D$2</f>
        <v>7707.881</v>
      </c>
      <c r="J43" s="54" t="n">
        <f aca="false">J42*$D$2</f>
        <v>751.303350000001</v>
      </c>
      <c r="K43" s="54" t="n">
        <f aca="false">K42*$D$2</f>
        <v>8459.18435</v>
      </c>
      <c r="L43" s="54" t="n">
        <f aca="false">L42*$D$2</f>
        <v>148.808485000001</v>
      </c>
      <c r="M43" s="54" t="n">
        <f aca="false">M42*$D$2</f>
        <v>8794.839</v>
      </c>
      <c r="N43" s="54" t="n">
        <f aca="false">N42*$D$2</f>
        <v>6.70423</v>
      </c>
      <c r="O43" s="54" t="n">
        <f aca="false">O42*$D$2</f>
        <v>14.8702995</v>
      </c>
      <c r="P43" s="54" t="n">
        <f aca="false">P42*$D$2</f>
        <v>8773.2644705</v>
      </c>
      <c r="Q43" s="54" t="n">
        <f aca="false">Q42*$D$2</f>
        <v>7928.0495</v>
      </c>
      <c r="R43" s="54" t="n">
        <f aca="false">R42*$D$2</f>
        <v>4873.4595</v>
      </c>
      <c r="S43" s="54" t="n">
        <f aca="false">S42*$D$2</f>
        <v>21574.7734705</v>
      </c>
      <c r="T43" s="54"/>
      <c r="U43" s="54" t="n">
        <f aca="false">U42*$D$2</f>
        <v>1338.683985</v>
      </c>
      <c r="V43" s="54" t="n">
        <f aca="false">V42*$D$2</f>
        <v>882.6575</v>
      </c>
      <c r="W43" s="54"/>
      <c r="X43" s="54" t="n">
        <f aca="false">X42*$D$2</f>
        <v>23817.689485</v>
      </c>
      <c r="Y43" s="54" t="n">
        <f aca="false">Y42*$D$2</f>
        <v>602.494865</v>
      </c>
      <c r="Z43" s="54" t="n">
        <f aca="false">Z42*$D$2</f>
        <v>24420.18435</v>
      </c>
      <c r="AA43" s="57"/>
      <c r="AB43" s="59" t="n">
        <f aca="false">MAX(AB10:AB40)</f>
        <v>97</v>
      </c>
      <c r="AC43" s="59" t="n">
        <f aca="false">MAX(AC10:AC40)</f>
        <v>61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0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7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-24862.1124275271</v>
      </c>
      <c r="G45" s="54" t="n">
        <f aca="false">G7+G42</f>
        <v>23832</v>
      </c>
      <c r="H45" s="58" t="n">
        <f aca="false">H7+H42</f>
        <v>27.82</v>
      </c>
      <c r="I45" s="54" t="n">
        <f aca="false">I7+I42</f>
        <v>23859.82</v>
      </c>
      <c r="J45" s="54" t="n">
        <f aca="false">J7+J42</f>
        <v>773.988522813209</v>
      </c>
      <c r="K45" s="54" t="n">
        <f aca="false">K7+K42</f>
        <v>24633.8085228132</v>
      </c>
      <c r="L45" s="54" t="n">
        <f aca="false">L7+L42</f>
        <v>-1819.8424275271</v>
      </c>
      <c r="M45" s="54" t="n">
        <f aca="false">M7+M42</f>
        <v>20080</v>
      </c>
      <c r="N45" s="54" t="n">
        <f aca="false">N7+N42</f>
        <v>28.98</v>
      </c>
      <c r="O45" s="54" t="n">
        <f aca="false">O7+O42</f>
        <v>2507.022</v>
      </c>
      <c r="P45" s="54" t="n">
        <f aca="false">P7+P42</f>
        <v>17543.998</v>
      </c>
      <c r="Q45" s="54" t="n">
        <f aca="false">Q7+Q42</f>
        <v>10359</v>
      </c>
      <c r="R45" s="54" t="n">
        <f aca="false">R7+R42</f>
        <v>6080</v>
      </c>
      <c r="S45" s="54" t="n">
        <f aca="false">S7+S42</f>
        <v>33982.998</v>
      </c>
      <c r="T45" s="178" t="n">
        <f aca="false">T40</f>
        <v>-10123.178</v>
      </c>
      <c r="U45" s="54" t="n">
        <f aca="false">U7+U42</f>
        <v>8093.09</v>
      </c>
      <c r="V45" s="54" t="n">
        <f aca="false">V7+V42</f>
        <v>2290</v>
      </c>
      <c r="W45" s="178" t="n">
        <f aca="false">W40</f>
        <v>3743.778674061</v>
      </c>
      <c r="X45" s="54" t="n">
        <f aca="false">X7+X42</f>
        <v>46902.09</v>
      </c>
      <c r="Y45" s="54" t="n">
        <f aca="false">Y7+Y42</f>
        <v>2593.83095034031</v>
      </c>
      <c r="Z45" s="54" t="n">
        <f aca="false">Z7+Z42</f>
        <v>49495.9209503403</v>
      </c>
      <c r="AA45" s="57"/>
      <c r="AB45" s="59" t="n">
        <f aca="false">MIN(AB10:AB40)</f>
        <v>80</v>
      </c>
      <c r="AC45" s="59" t="n">
        <f aca="false">MIN(AC10:AC40)</f>
        <v>51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-49314</v>
      </c>
      <c r="G46" s="54" t="n">
        <f aca="false">G45*$D$2</f>
        <v>47270.772</v>
      </c>
      <c r="H46" s="58" t="n">
        <f aca="false">H45*$D$2</f>
        <v>55.18097</v>
      </c>
      <c r="I46" s="54" t="n">
        <f aca="false">I45*$D$2</f>
        <v>47325.95297</v>
      </c>
      <c r="J46" s="54" t="n">
        <f aca="false">J45*$D$2</f>
        <v>1535.206235</v>
      </c>
      <c r="K46" s="54" t="n">
        <f aca="false">K45*$D$2</f>
        <v>48861.159205</v>
      </c>
      <c r="L46" s="54" t="n">
        <f aca="false">L45*$D$2</f>
        <v>-3609.657455</v>
      </c>
      <c r="M46" s="54" t="n">
        <f aca="false">M45*$D$2</f>
        <v>39828.68</v>
      </c>
      <c r="N46" s="54" t="n">
        <f aca="false">N45*$D$2</f>
        <v>57.48183</v>
      </c>
      <c r="O46" s="54" t="n">
        <f aca="false">O45*$D$2</f>
        <v>4972.678137</v>
      </c>
      <c r="P46" s="54" t="n">
        <f aca="false">P45*$D$2</f>
        <v>34798.520033</v>
      </c>
      <c r="Q46" s="54" t="n">
        <f aca="false">Q45*$D$2</f>
        <v>20547.0765</v>
      </c>
      <c r="R46" s="54" t="n">
        <f aca="false">R45*$D$2</f>
        <v>12059.68</v>
      </c>
      <c r="S46" s="54" t="n">
        <f aca="false">S45*$D$2</f>
        <v>67405.276533</v>
      </c>
      <c r="T46" s="54" t="n">
        <f aca="false">T45*$D$2</f>
        <v>-20079.323563</v>
      </c>
      <c r="U46" s="54" t="n">
        <f aca="false">U45*$D$2</f>
        <v>16052.644015</v>
      </c>
      <c r="V46" s="54" t="n">
        <f aca="false">V45*$D$2</f>
        <v>4542.215</v>
      </c>
      <c r="W46" s="54" t="n">
        <f aca="false">W45*$D$2</f>
        <v>7425.785</v>
      </c>
      <c r="X46" s="54" t="n">
        <f aca="false">X45*$D$2</f>
        <v>93030.295515</v>
      </c>
      <c r="Y46" s="54" t="n">
        <f aca="false">Y45*$D$2</f>
        <v>5144.86369</v>
      </c>
      <c r="Z46" s="54" t="n">
        <f aca="false">Z45*$D$2</f>
        <v>98175.159205</v>
      </c>
      <c r="AA46" s="57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0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122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-24045.3743382909</v>
      </c>
      <c r="G48" s="54" t="n">
        <f aca="false">G8+G42</f>
        <v>30374</v>
      </c>
      <c r="H48" s="58" t="n">
        <f aca="false">H8+H42</f>
        <v>63.35</v>
      </c>
      <c r="I48" s="54" t="n">
        <f aca="false">I8+I42</f>
        <v>30389.82</v>
      </c>
      <c r="J48" s="54" t="n">
        <f aca="false">J8+J42</f>
        <v>2180.53912276279</v>
      </c>
      <c r="K48" s="54" t="n">
        <f aca="false">K8+K42</f>
        <v>32570.3591227628</v>
      </c>
      <c r="L48" s="54" t="n">
        <f aca="false">L8+L42</f>
        <v>-1549.0243382909</v>
      </c>
      <c r="M48" s="54" t="n">
        <f aca="false">M8+M42</f>
        <v>21275.58</v>
      </c>
      <c r="N48" s="54" t="n">
        <f aca="false">N8+N42</f>
        <v>34.06</v>
      </c>
      <c r="O48" s="54" t="n">
        <f aca="false">O8+O42</f>
        <v>3018.357</v>
      </c>
      <c r="P48" s="54" t="n">
        <f aca="false">P8+P42</f>
        <v>18625.363</v>
      </c>
      <c r="Q48" s="54" t="n">
        <f aca="false">Q8+Q42</f>
        <v>10359</v>
      </c>
      <c r="R48" s="54" t="n">
        <f aca="false">R8+R42</f>
        <v>6207.5</v>
      </c>
      <c r="S48" s="54" t="n">
        <f aca="false">S8+S42</f>
        <v>35191.863</v>
      </c>
      <c r="T48" s="54" t="n">
        <f aca="false">T45</f>
        <v>-10123.178</v>
      </c>
      <c r="U48" s="54" t="n">
        <f aca="false">U8+U42</f>
        <v>8093.09</v>
      </c>
      <c r="V48" s="54" t="n">
        <f aca="false">V8+V42</f>
        <v>6951</v>
      </c>
      <c r="W48" s="54" t="n">
        <f aca="false">W40</f>
        <v>3743.778674061</v>
      </c>
      <c r="X48" s="54" t="n">
        <f aca="false">X8+X42</f>
        <v>52886.17</v>
      </c>
      <c r="Y48" s="54" t="n">
        <f aca="false">Y8+Y42</f>
        <v>3729.56346105369</v>
      </c>
      <c r="Z48" s="54" t="n">
        <f aca="false">Z8+Z42</f>
        <v>56615.7334610537</v>
      </c>
      <c r="AA48" s="57" t="n">
        <f aca="false">AA8+AA42</f>
        <v>4.52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-47694</v>
      </c>
      <c r="E49" s="54" t="n">
        <f aca="false">E40</f>
        <v>6252</v>
      </c>
      <c r="F49" s="54" t="n">
        <f aca="false">F48*$D$2</f>
        <v>-47694</v>
      </c>
      <c r="G49" s="54" t="n">
        <f aca="false">G48*$D$2</f>
        <v>60246.829</v>
      </c>
      <c r="H49" s="58" t="n">
        <f aca="false">H48*$D$2</f>
        <v>125.654725</v>
      </c>
      <c r="I49" s="54" t="n">
        <f aca="false">I48*$D$2</f>
        <v>60278.20797</v>
      </c>
      <c r="J49" s="54" t="n">
        <f aca="false">J48*$D$2</f>
        <v>4325.09935</v>
      </c>
      <c r="K49" s="54" t="n">
        <f aca="false">K48*$D$2</f>
        <v>64603.30732</v>
      </c>
      <c r="L49" s="54" t="n">
        <f aca="false">L48*$D$2</f>
        <v>-3072.489775</v>
      </c>
      <c r="M49" s="54" t="n">
        <f aca="false">M48*$D$2</f>
        <v>42200.11293</v>
      </c>
      <c r="N49" s="54" t="n">
        <f aca="false">N48*$D$2</f>
        <v>67.55801</v>
      </c>
      <c r="O49" s="54" t="n">
        <f aca="false">O48*$D$2</f>
        <v>5986.9111095</v>
      </c>
      <c r="P49" s="54" t="n">
        <f aca="false">P48*$D$2</f>
        <v>36943.4075105</v>
      </c>
      <c r="Q49" s="54" t="n">
        <f aca="false">Q48*$D$2</f>
        <v>20547.0765</v>
      </c>
      <c r="R49" s="54" t="n">
        <f aca="false">R48*$D$2</f>
        <v>12312.57625</v>
      </c>
      <c r="S49" s="54" t="n">
        <f aca="false">S48*$D$2</f>
        <v>69803.0602605</v>
      </c>
      <c r="T49" s="54" t="n">
        <f aca="false">T48*$D$2</f>
        <v>-20079.323563</v>
      </c>
      <c r="U49" s="54" t="n">
        <f aca="false">U48*$D$2</f>
        <v>16052.644015</v>
      </c>
      <c r="V49" s="54" t="n">
        <f aca="false">V48*$D$2</f>
        <v>13787.3085</v>
      </c>
      <c r="W49" s="54" t="n">
        <f aca="false">W40*$D$2</f>
        <v>7425.785</v>
      </c>
      <c r="X49" s="54" t="n">
        <f aca="false">X48*$D$2</f>
        <v>104899.718195</v>
      </c>
      <c r="Y49" s="54" t="n">
        <f aca="false">Y48*$D$2</f>
        <v>7397.589125</v>
      </c>
      <c r="Z49" s="54" t="n">
        <f aca="false">Z48*$D$2</f>
        <v>112297.30732</v>
      </c>
      <c r="AA49" s="57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80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7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53"/>
      <c r="B51" s="31" t="s">
        <v>83</v>
      </c>
      <c r="C51" s="7"/>
      <c r="D51" s="6"/>
      <c r="E51" s="145" t="n">
        <f aca="false">E40</f>
        <v>6252</v>
      </c>
      <c r="F51" s="0"/>
      <c r="G51" s="0"/>
      <c r="H51" s="11" t="s">
        <v>84</v>
      </c>
      <c r="I51" s="6"/>
      <c r="J51" s="6"/>
      <c r="K51" s="147"/>
      <c r="L51" s="54" t="n">
        <f aca="false">3500+2932</f>
        <v>6432</v>
      </c>
      <c r="M51" s="6"/>
      <c r="N51" s="6"/>
      <c r="O51" s="6"/>
      <c r="P51" s="6"/>
      <c r="Q51" s="6"/>
      <c r="R51" s="6"/>
      <c r="S51" s="6"/>
      <c r="T51" s="148"/>
      <c r="U51" s="6"/>
      <c r="V51" s="6" t="s">
        <v>95</v>
      </c>
      <c r="W51" s="145" t="n">
        <v>242</v>
      </c>
      <c r="X51" s="7" t="s">
        <v>96</v>
      </c>
      <c r="Y51" s="53"/>
      <c r="Z51" s="53"/>
      <c r="AA51" s="57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31" t="s">
        <v>85</v>
      </c>
      <c r="C52" s="7"/>
      <c r="D52" s="41"/>
      <c r="E52" s="127" t="n">
        <f aca="false">L54+O54+T54+U54+W54</f>
        <v>6302.32796736029</v>
      </c>
      <c r="F52" s="149"/>
      <c r="G52" s="0"/>
      <c r="H52" s="11" t="s">
        <v>86</v>
      </c>
      <c r="I52" s="8"/>
      <c r="J52" s="6"/>
      <c r="K52" s="44"/>
      <c r="L52" s="83" t="n">
        <f aca="false">L51/210</f>
        <v>30.6285714285714</v>
      </c>
      <c r="M52" s="6"/>
      <c r="N52" s="6"/>
      <c r="O52" s="6"/>
      <c r="P52" s="150" t="s">
        <v>87</v>
      </c>
      <c r="Q52" s="151"/>
      <c r="R52" s="152"/>
      <c r="S52" s="153" t="n">
        <v>122</v>
      </c>
      <c r="T52" s="154" t="n">
        <f aca="false">16268+1368+4</f>
        <v>17640</v>
      </c>
      <c r="U52" s="148"/>
      <c r="V52" s="6"/>
      <c r="W52" s="7" t="n">
        <f aca="false">W46/W51</f>
        <v>30.6850619834711</v>
      </c>
      <c r="X52" s="7"/>
      <c r="Y52" s="53"/>
      <c r="Z52" s="57"/>
      <c r="AA52" s="59"/>
      <c r="AB52" s="59"/>
      <c r="AC52" s="60"/>
      <c r="AD52" s="90"/>
      <c r="AE52" s="90"/>
    </row>
    <row r="53" customFormat="false" ht="11.1" hidden="false" customHeight="true" outlineLevel="0" collapsed="false">
      <c r="A53" s="84"/>
      <c r="B53" s="54"/>
      <c r="E53" s="127"/>
      <c r="F53" s="155"/>
      <c r="G53" s="0"/>
      <c r="H53" s="11" t="s">
        <v>88</v>
      </c>
      <c r="I53" s="41"/>
      <c r="J53" s="41"/>
      <c r="K53" s="156"/>
      <c r="L53" s="179" t="n">
        <f aca="false">214-S52</f>
        <v>92</v>
      </c>
      <c r="M53" s="39"/>
      <c r="N53" s="39"/>
      <c r="O53" s="158" t="n">
        <v>6289</v>
      </c>
      <c r="P53" s="159" t="s">
        <v>89</v>
      </c>
      <c r="Q53" s="160"/>
      <c r="R53" s="144"/>
      <c r="S53" s="161" t="n">
        <f aca="false">2932/210</f>
        <v>13.9619047619048</v>
      </c>
      <c r="T53" s="162" t="n">
        <f aca="false">S52*S53</f>
        <v>1703.35238095238</v>
      </c>
      <c r="U53" s="163" t="n">
        <f aca="false">14562+1946+600+15+25</f>
        <v>17148</v>
      </c>
      <c r="V53" s="7"/>
      <c r="W53" s="164"/>
      <c r="X53" s="160"/>
      <c r="Y53" s="84"/>
      <c r="Z53" s="57"/>
      <c r="AA53" s="59"/>
      <c r="AB53" s="59"/>
      <c r="AC53" s="60"/>
      <c r="AD53" s="100"/>
      <c r="AE53" s="100"/>
    </row>
    <row r="54" customFormat="false" ht="11.1" hidden="false" customHeight="true" outlineLevel="0" collapsed="false">
      <c r="A54" s="84"/>
      <c r="B54" s="165" t="s">
        <v>90</v>
      </c>
      <c r="C54" s="166"/>
      <c r="D54" s="166"/>
      <c r="E54" s="167" t="n">
        <f aca="false">E51-E52</f>
        <v>-50.3279673602874</v>
      </c>
      <c r="F54" s="0"/>
      <c r="G54" s="0"/>
      <c r="H54" s="54" t="s">
        <v>76</v>
      </c>
      <c r="I54" s="0"/>
      <c r="J54" s="41"/>
      <c r="K54" s="156"/>
      <c r="L54" s="59" t="n">
        <f aca="false">L53*L52</f>
        <v>2817.82857142857</v>
      </c>
      <c r="M54" s="39"/>
      <c r="N54" s="39"/>
      <c r="O54" s="59" t="n">
        <f aca="false">O53-O49</f>
        <v>302.0888905</v>
      </c>
      <c r="P54" s="168"/>
      <c r="Q54" s="169"/>
      <c r="R54" s="169"/>
      <c r="S54" s="170"/>
      <c r="T54" s="171" t="n">
        <f aca="false">(T52+T53)+T46</f>
        <v>-735.971182047622</v>
      </c>
      <c r="U54" s="54" t="n">
        <f aca="false">U53-U49</f>
        <v>1095.355985</v>
      </c>
      <c r="V54" s="7"/>
      <c r="W54" s="54" t="n">
        <f aca="false">L53*W52</f>
        <v>2823.02570247934</v>
      </c>
      <c r="X54" s="54"/>
      <c r="Y54" s="84"/>
      <c r="Z54" s="101" t="n">
        <f aca="false">DAYS360(7/24/2002,3/31/2003,FALSE())</f>
        <v>0</v>
      </c>
      <c r="AA54" s="59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8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54"/>
      <c r="T55" s="84"/>
      <c r="U55" s="84"/>
      <c r="V55" s="54"/>
      <c r="W55" s="84"/>
      <c r="X55" s="84"/>
      <c r="Y55" s="84"/>
      <c r="Z55" s="57"/>
      <c r="AA55" s="59"/>
      <c r="AB55" s="59"/>
      <c r="AC55" s="60"/>
      <c r="AD55" s="100"/>
      <c r="AE55" s="100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8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M23" activePane="bottomRight" state="frozen"/>
      <selection pane="topLeft" activeCell="A1" activeCellId="0" sqref="A1"/>
      <selection pane="topRight" activeCell="M1" activeCellId="0" sqref="M1"/>
      <selection pane="bottomLeft" activeCell="A23" activeCellId="0" sqref="A23"/>
      <selection pane="bottomRight" activeCell="S25" activeCellId="0" sqref="S25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80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16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4.67"/>
    <col collapsed="false" customWidth="true" hidden="false" outlineLevel="0" max="28" min="28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257" min="31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90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97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90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90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181" t="s">
        <v>80</v>
      </c>
      <c r="AF4" s="90"/>
    </row>
    <row r="5" customFormat="false" ht="11.1" hidden="false" customHeight="true" outlineLevel="0" collapsed="false">
      <c r="A5" s="69" t="s">
        <v>98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98</v>
      </c>
      <c r="AE5" s="181" t="s">
        <v>99</v>
      </c>
      <c r="AF5" s="90"/>
      <c r="AH5" s="182"/>
      <c r="AI5" s="182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94"/>
      <c r="AF6" s="94"/>
      <c r="AG6" s="95"/>
      <c r="AH6" s="182"/>
      <c r="AI6" s="182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JUL!F45</f>
        <v>-24862.1124275271</v>
      </c>
      <c r="G7" s="54" t="n">
        <f aca="false">JUL!G45</f>
        <v>23832</v>
      </c>
      <c r="H7" s="54" t="n">
        <f aca="false">JUL!H45</f>
        <v>27.82</v>
      </c>
      <c r="I7" s="54" t="n">
        <f aca="false">JUL!I45</f>
        <v>23859.82</v>
      </c>
      <c r="J7" s="54" t="n">
        <f aca="false">JUL!J45</f>
        <v>773.988522813209</v>
      </c>
      <c r="K7" s="54" t="n">
        <f aca="false">JUL!K45</f>
        <v>24633.8085228132</v>
      </c>
      <c r="L7" s="54" t="n">
        <f aca="false">JUL!L45</f>
        <v>-1819.8424275271</v>
      </c>
      <c r="M7" s="54" t="n">
        <f aca="false">JUL!M45</f>
        <v>20080</v>
      </c>
      <c r="N7" s="54" t="n">
        <f aca="false">JUL!N45</f>
        <v>28.98</v>
      </c>
      <c r="O7" s="54" t="n">
        <f aca="false">JUL!O45</f>
        <v>2507.022</v>
      </c>
      <c r="P7" s="54" t="n">
        <f aca="false">JUL!P45</f>
        <v>17543.998</v>
      </c>
      <c r="Q7" s="54" t="n">
        <f aca="false">JUL!Q45</f>
        <v>10359</v>
      </c>
      <c r="R7" s="54" t="n">
        <f aca="false">JUL!R45</f>
        <v>6080</v>
      </c>
      <c r="S7" s="54" t="n">
        <f aca="false">JUL!S45</f>
        <v>33982.998</v>
      </c>
      <c r="T7" s="54" t="n">
        <f aca="false">JUL!T45</f>
        <v>-10123.178</v>
      </c>
      <c r="U7" s="54" t="n">
        <f aca="false">JUL!U45</f>
        <v>8093.09</v>
      </c>
      <c r="V7" s="54" t="n">
        <f aca="false">JUL!V45</f>
        <v>2290</v>
      </c>
      <c r="W7" s="54"/>
      <c r="X7" s="54" t="n">
        <f aca="false">JUL!X45</f>
        <v>46902.09</v>
      </c>
      <c r="Y7" s="54" t="n">
        <f aca="false">JUL!Y45</f>
        <v>2593.83095034031</v>
      </c>
      <c r="Z7" s="54" t="n">
        <f aca="false">JUL!Z45</f>
        <v>49495.9209503403</v>
      </c>
      <c r="AA7" s="58"/>
      <c r="AB7" s="59"/>
      <c r="AC7" s="59"/>
      <c r="AD7" s="60"/>
      <c r="AE7" s="94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JUL!B40</f>
        <v>6857.86</v>
      </c>
      <c r="C8" s="54" t="n">
        <f aca="false">JUL!C40</f>
        <v>158252</v>
      </c>
      <c r="D8" s="54" t="n">
        <f aca="false">JUL!D49</f>
        <v>-47694</v>
      </c>
      <c r="E8" s="54" t="n">
        <f aca="false">JUL!E49</f>
        <v>6252</v>
      </c>
      <c r="F8" s="54" t="n">
        <f aca="false">JUL!F48</f>
        <v>-24045.3743382909</v>
      </c>
      <c r="G8" s="54" t="n">
        <f aca="false">JUL!G48</f>
        <v>30374</v>
      </c>
      <c r="H8" s="59" t="n">
        <f aca="false">JUL!H48</f>
        <v>63.35</v>
      </c>
      <c r="I8" s="54" t="n">
        <f aca="false">JUL!I48</f>
        <v>30389.82</v>
      </c>
      <c r="J8" s="54" t="n">
        <f aca="false">JUL!J48</f>
        <v>2180.53912276279</v>
      </c>
      <c r="K8" s="54" t="n">
        <f aca="false">JUL!K48</f>
        <v>32570.3591227628</v>
      </c>
      <c r="L8" s="54" t="n">
        <f aca="false">JUL!L48</f>
        <v>-1549.0243382909</v>
      </c>
      <c r="M8" s="54" t="n">
        <f aca="false">JUL!M48</f>
        <v>21275.58</v>
      </c>
      <c r="N8" s="54" t="n">
        <f aca="false">JUL!N48</f>
        <v>34.06</v>
      </c>
      <c r="O8" s="54" t="n">
        <f aca="false">JUL!O48</f>
        <v>3018.357</v>
      </c>
      <c r="P8" s="54" t="n">
        <f aca="false">JUL!P48</f>
        <v>18625.363</v>
      </c>
      <c r="Q8" s="54" t="n">
        <f aca="false">JUL!Q48</f>
        <v>10359</v>
      </c>
      <c r="R8" s="54" t="n">
        <f aca="false">JUL!R48</f>
        <v>6207.5</v>
      </c>
      <c r="S8" s="54" t="n">
        <f aca="false">JUL!S48</f>
        <v>35191.863</v>
      </c>
      <c r="T8" s="54" t="n">
        <f aca="false">JUL!T48</f>
        <v>-10123.178</v>
      </c>
      <c r="U8" s="54" t="n">
        <f aca="false">JUL!U48</f>
        <v>8093.09</v>
      </c>
      <c r="V8" s="54" t="n">
        <f aca="false">JUL!V48</f>
        <v>6951</v>
      </c>
      <c r="W8" s="54" t="n">
        <f aca="false">JUL!W48</f>
        <v>3743.778674061</v>
      </c>
      <c r="X8" s="54" t="n">
        <f aca="false">JUL!X48</f>
        <v>52886.17</v>
      </c>
      <c r="Y8" s="54" t="n">
        <f aca="false">JUL!Y48</f>
        <v>3729.56346105369</v>
      </c>
      <c r="Z8" s="54" t="n">
        <f aca="false">JUL!Z48</f>
        <v>56615.7334610537</v>
      </c>
      <c r="AA8" s="58" t="n">
        <f aca="false">JUL!AA48</f>
        <v>4.52</v>
      </c>
      <c r="AB8" s="59"/>
      <c r="AC8" s="59"/>
      <c r="AD8" s="60"/>
      <c r="AE8" s="96"/>
      <c r="AF8" s="94"/>
      <c r="AG8" s="9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/>
      <c r="AC9" s="81"/>
      <c r="AD9" s="82"/>
      <c r="AE9" s="82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6857.89</v>
      </c>
      <c r="C10" s="54" t="n">
        <v>158319</v>
      </c>
      <c r="D10" s="59" t="n">
        <f aca="false">C10-C8</f>
        <v>67</v>
      </c>
      <c r="E10" s="54" t="n">
        <f aca="false">C10-152000</f>
        <v>6319</v>
      </c>
      <c r="F10" s="53" t="n">
        <f aca="false">D10/$D$2</f>
        <v>33.7786740610033</v>
      </c>
      <c r="G10" s="53" t="n">
        <v>218</v>
      </c>
      <c r="H10" s="55" t="n">
        <v>0</v>
      </c>
      <c r="I10" s="53" t="n">
        <f aca="false">G10+H10</f>
        <v>218</v>
      </c>
      <c r="J10" s="83" t="n">
        <f aca="false">IF(L10&gt;0,L10,0)</f>
        <v>0</v>
      </c>
      <c r="K10" s="53" t="n">
        <f aca="false">I10+J10</f>
        <v>218</v>
      </c>
      <c r="L10" s="53" t="n">
        <f aca="false">F10-(I10-X10)</f>
        <v>-3.69132593899672</v>
      </c>
      <c r="M10" s="53" t="n">
        <v>64</v>
      </c>
      <c r="N10" s="89" t="n">
        <v>1</v>
      </c>
      <c r="O10" s="53" t="n">
        <v>0</v>
      </c>
      <c r="P10" s="6" t="n">
        <f aca="false">M10-(N10+O10)</f>
        <v>63</v>
      </c>
      <c r="Q10" s="53" t="n">
        <v>37</v>
      </c>
      <c r="R10" s="53" t="n">
        <v>40.44</v>
      </c>
      <c r="S10" s="53" t="n">
        <f aca="false">SUM(P10:R10)</f>
        <v>140.44</v>
      </c>
      <c r="T10" s="54" t="n">
        <f aca="false">(I10-S10)+T7</f>
        <v>-10045.618</v>
      </c>
      <c r="U10" s="53" t="n">
        <v>25.09</v>
      </c>
      <c r="V10" s="53" t="n">
        <v>14</v>
      </c>
      <c r="W10" s="54" t="n">
        <f aca="false">W8-V10</f>
        <v>3729.778674061</v>
      </c>
      <c r="X10" s="6" t="n">
        <f aca="false">N10+O10+S10+U10+V10</f>
        <v>180.53</v>
      </c>
      <c r="Y10" s="53" t="n">
        <f aca="false">IF(L10&lt;0,L10*-1,0)</f>
        <v>3.69132593899672</v>
      </c>
      <c r="Z10" s="53" t="n">
        <f aca="false">X10+Y10</f>
        <v>184.221325938997</v>
      </c>
      <c r="AA10" s="58" t="n">
        <v>0</v>
      </c>
      <c r="AB10" s="59" t="n">
        <v>90</v>
      </c>
      <c r="AC10" s="59" t="n">
        <v>59</v>
      </c>
      <c r="AD10" s="60" t="n">
        <v>1</v>
      </c>
      <c r="AE10" s="95" t="n">
        <f aca="false">IF(I10&gt;S10,I10-S10,I10-S10)</f>
        <v>77.56</v>
      </c>
      <c r="AF10" s="12"/>
      <c r="AG10" s="143"/>
      <c r="AH10" s="6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60" t="n">
        <f aca="false">A10+1</f>
        <v>2</v>
      </c>
      <c r="B11" s="75" t="n">
        <v>6858.02</v>
      </c>
      <c r="C11" s="54" t="n">
        <v>158608</v>
      </c>
      <c r="D11" s="59" t="n">
        <f aca="false">C11-C10</f>
        <v>289</v>
      </c>
      <c r="E11" s="54" t="n">
        <f aca="false">C11-152000</f>
        <v>6608</v>
      </c>
      <c r="F11" s="53" t="n">
        <f aca="false">D11/$D$2</f>
        <v>145.702041845223</v>
      </c>
      <c r="G11" s="53" t="n">
        <v>215</v>
      </c>
      <c r="H11" s="55" t="n">
        <v>0</v>
      </c>
      <c r="I11" s="53" t="n">
        <f aca="false">G11+H11</f>
        <v>215</v>
      </c>
      <c r="J11" s="83" t="n">
        <f aca="false">IF(L11&gt;0,L11,0)</f>
        <v>0</v>
      </c>
      <c r="K11" s="53" t="n">
        <f aca="false">I11+J11</f>
        <v>215</v>
      </c>
      <c r="L11" s="53" t="n">
        <f aca="false">F11-(I11-X11)</f>
        <v>-27.6479581547769</v>
      </c>
      <c r="M11" s="53" t="n">
        <v>13</v>
      </c>
      <c r="N11" s="89" t="n">
        <v>1</v>
      </c>
      <c r="O11" s="53" t="n">
        <v>0</v>
      </c>
      <c r="P11" s="6" t="n">
        <f aca="false">M11-(N11+O11)</f>
        <v>12</v>
      </c>
      <c r="Q11" s="53" t="n">
        <v>0</v>
      </c>
      <c r="R11" s="53" t="n">
        <v>0</v>
      </c>
      <c r="S11" s="53" t="n">
        <f aca="false">SUM(P11:R11)</f>
        <v>12</v>
      </c>
      <c r="T11" s="54" t="n">
        <f aca="false">(I11-S11)+T10</f>
        <v>-9842.618</v>
      </c>
      <c r="U11" s="53" t="n">
        <v>14.65</v>
      </c>
      <c r="V11" s="53" t="n">
        <v>14</v>
      </c>
      <c r="W11" s="54" t="n">
        <f aca="false">W10-V11</f>
        <v>3715.778674061</v>
      </c>
      <c r="X11" s="6" t="n">
        <f aca="false">N11+O11+S11+U11+V11</f>
        <v>41.65</v>
      </c>
      <c r="Y11" s="53" t="n">
        <f aca="false">IF(L11&lt;0,L11*-1,0)</f>
        <v>27.6479581547769</v>
      </c>
      <c r="Z11" s="53" t="n">
        <f aca="false">X11+Y11</f>
        <v>69.2979581547769</v>
      </c>
      <c r="AA11" s="58" t="n">
        <v>0</v>
      </c>
      <c r="AB11" s="59" t="n">
        <v>86</v>
      </c>
      <c r="AC11" s="59" t="n">
        <v>58</v>
      </c>
      <c r="AD11" s="60" t="n">
        <f aca="false">AD10+1</f>
        <v>2</v>
      </c>
      <c r="AE11" s="95" t="n">
        <f aca="false">IF(I11&gt;S11,I11-S11,I11-S11)</f>
        <v>203</v>
      </c>
      <c r="AF11" s="12"/>
      <c r="AG11" s="0"/>
      <c r="AH11" s="6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60" t="n">
        <f aca="false">A11+1</f>
        <v>3</v>
      </c>
      <c r="B12" s="75" t="n">
        <v>6858.13</v>
      </c>
      <c r="C12" s="54" t="n">
        <v>158854</v>
      </c>
      <c r="D12" s="59" t="n">
        <f aca="false">C12-C11</f>
        <v>246</v>
      </c>
      <c r="E12" s="54" t="n">
        <f aca="false">C12-152000</f>
        <v>6854</v>
      </c>
      <c r="F12" s="53" t="n">
        <f aca="false">D12/$D$2</f>
        <v>124.02319132846</v>
      </c>
      <c r="G12" s="53" t="n">
        <v>151</v>
      </c>
      <c r="H12" s="55" t="n">
        <v>0</v>
      </c>
      <c r="I12" s="53" t="n">
        <f aca="false">G12+H12</f>
        <v>151</v>
      </c>
      <c r="J12" s="83" t="n">
        <f aca="false">IF(L12&gt;0,L12,0)</f>
        <v>18.8631913284598</v>
      </c>
      <c r="K12" s="53" t="n">
        <f aca="false">I12+J12</f>
        <v>169.86319132846</v>
      </c>
      <c r="L12" s="53" t="n">
        <f aca="false">F12-(I12-X12)</f>
        <v>18.8631913284598</v>
      </c>
      <c r="M12" s="53" t="n">
        <v>16</v>
      </c>
      <c r="N12" s="89" t="n">
        <v>1</v>
      </c>
      <c r="O12" s="53" t="n">
        <v>0</v>
      </c>
      <c r="P12" s="6" t="n">
        <f aca="false">M12-(N12+O12)</f>
        <v>15</v>
      </c>
      <c r="Q12" s="53" t="n">
        <v>0</v>
      </c>
      <c r="R12" s="53" t="n">
        <v>0</v>
      </c>
      <c r="S12" s="53" t="n">
        <f aca="false">SUM(P12:R12)</f>
        <v>15</v>
      </c>
      <c r="T12" s="54" t="n">
        <f aca="false">(I12-S12)+T11</f>
        <v>-9706.618</v>
      </c>
      <c r="U12" s="53" t="n">
        <v>15.84</v>
      </c>
      <c r="V12" s="53" t="n">
        <v>14</v>
      </c>
      <c r="W12" s="54" t="n">
        <f aca="false">W11-V12</f>
        <v>3701.778674061</v>
      </c>
      <c r="X12" s="6" t="n">
        <f aca="false">N12+O12+S12+U12+V12</f>
        <v>45.84</v>
      </c>
      <c r="Y12" s="53" t="n">
        <f aca="false">IF(L12&lt;0,L12*-1,0)</f>
        <v>0</v>
      </c>
      <c r="Z12" s="53" t="n">
        <f aca="false">X12+Y12</f>
        <v>45.84</v>
      </c>
      <c r="AA12" s="58" t="n">
        <v>0.14</v>
      </c>
      <c r="AB12" s="59" t="n">
        <v>77</v>
      </c>
      <c r="AC12" s="59" t="n">
        <v>56</v>
      </c>
      <c r="AD12" s="60" t="n">
        <f aca="false">AD11+1</f>
        <v>3</v>
      </c>
      <c r="AE12" s="95" t="n">
        <f aca="false">IF(I12&gt;S12,I12-S12,I12-S12)</f>
        <v>136</v>
      </c>
      <c r="AF12" s="12"/>
      <c r="AG12" s="0"/>
      <c r="AH12" s="6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60" t="n">
        <f aca="false">A12+1</f>
        <v>4</v>
      </c>
      <c r="B13" s="75" t="n">
        <v>6858.14</v>
      </c>
      <c r="C13" s="54" t="n">
        <v>158876</v>
      </c>
      <c r="D13" s="59" t="n">
        <f aca="false">C13-C12</f>
        <v>22</v>
      </c>
      <c r="E13" s="54" t="n">
        <f aca="false">C13-152000</f>
        <v>6876</v>
      </c>
      <c r="F13" s="53" t="n">
        <f aca="false">D13/$D$2</f>
        <v>11.0915049155533</v>
      </c>
      <c r="G13" s="53" t="n">
        <v>61</v>
      </c>
      <c r="H13" s="55" t="n">
        <v>0</v>
      </c>
      <c r="I13" s="53" t="n">
        <f aca="false">G13+H13</f>
        <v>61</v>
      </c>
      <c r="J13" s="83" t="n">
        <f aca="false">IF(L13&gt;0,L13,0)</f>
        <v>0</v>
      </c>
      <c r="K13" s="53" t="n">
        <f aca="false">I13+J13</f>
        <v>61</v>
      </c>
      <c r="L13" s="53" t="n">
        <f aca="false">F13-(I13-X13)</f>
        <v>-4.01849508444668</v>
      </c>
      <c r="M13" s="53" t="n">
        <v>13</v>
      </c>
      <c r="N13" s="89" t="n">
        <v>1</v>
      </c>
      <c r="O13" s="53" t="n">
        <v>0</v>
      </c>
      <c r="P13" s="6" t="n">
        <f aca="false">M13-(N13+O13)</f>
        <v>12</v>
      </c>
      <c r="Q13" s="53" t="n">
        <v>0</v>
      </c>
      <c r="R13" s="53" t="n">
        <v>0</v>
      </c>
      <c r="S13" s="53" t="n">
        <f aca="false">SUM(P13:R13)</f>
        <v>12</v>
      </c>
      <c r="T13" s="54" t="n">
        <f aca="false">(I13-S13)+T12</f>
        <v>-9657.618</v>
      </c>
      <c r="U13" s="53" t="n">
        <v>18.89</v>
      </c>
      <c r="V13" s="53" t="n">
        <v>14</v>
      </c>
      <c r="W13" s="54" t="n">
        <f aca="false">W12-V13</f>
        <v>3687.778674061</v>
      </c>
      <c r="X13" s="6" t="n">
        <f aca="false">N13+O13+S13+U13+V13</f>
        <v>45.89</v>
      </c>
      <c r="Y13" s="53" t="n">
        <f aca="false">IF(L13&lt;0,L13*-1,0)</f>
        <v>4.01849508444668</v>
      </c>
      <c r="Z13" s="53" t="n">
        <f aca="false">X13+Y13</f>
        <v>49.9084950844467</v>
      </c>
      <c r="AA13" s="58" t="n">
        <v>0</v>
      </c>
      <c r="AB13" s="59" t="n">
        <v>80</v>
      </c>
      <c r="AC13" s="59" t="n">
        <v>53</v>
      </c>
      <c r="AD13" s="60" t="n">
        <f aca="false">AD12+1</f>
        <v>4</v>
      </c>
      <c r="AE13" s="95" t="n">
        <f aca="false">IF(I13&gt;S13,I13-S13,I13-S13)</f>
        <v>49</v>
      </c>
      <c r="AF13" s="12"/>
      <c r="AG13" s="0"/>
      <c r="AH13" s="6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60" t="n">
        <f aca="false">A13+1</f>
        <v>5</v>
      </c>
      <c r="B14" s="75" t="n">
        <v>6858.14</v>
      </c>
      <c r="C14" s="54" t="n">
        <v>158876</v>
      </c>
      <c r="D14" s="59" t="n">
        <f aca="false">C14-C13</f>
        <v>0</v>
      </c>
      <c r="E14" s="54" t="n">
        <f aca="false">C14-152000</f>
        <v>6876</v>
      </c>
      <c r="F14" s="53" t="n">
        <f aca="false">D14/$D$2</f>
        <v>0</v>
      </c>
      <c r="G14" s="53" t="n">
        <v>47</v>
      </c>
      <c r="H14" s="55" t="n">
        <v>0</v>
      </c>
      <c r="I14" s="53" t="n">
        <f aca="false">G14+H14</f>
        <v>47</v>
      </c>
      <c r="J14" s="83" t="n">
        <f aca="false">IF(L14&gt;0,L14,0)</f>
        <v>0</v>
      </c>
      <c r="K14" s="53" t="n">
        <f aca="false">I14+J14</f>
        <v>47</v>
      </c>
      <c r="L14" s="53" t="n">
        <f aca="false">F14-(I14-X14)</f>
        <v>-1.14</v>
      </c>
      <c r="M14" s="53" t="n">
        <v>13</v>
      </c>
      <c r="N14" s="89" t="n">
        <v>0</v>
      </c>
      <c r="O14" s="53" t="n">
        <v>0</v>
      </c>
      <c r="P14" s="6" t="n">
        <f aca="false">M14-(N14+O14)</f>
        <v>13</v>
      </c>
      <c r="Q14" s="53" t="n">
        <v>0</v>
      </c>
      <c r="R14" s="53" t="n">
        <v>0</v>
      </c>
      <c r="S14" s="53" t="n">
        <f aca="false">SUM(P14:R14)</f>
        <v>13</v>
      </c>
      <c r="T14" s="54" t="n">
        <f aca="false">(I14-S14)+T13</f>
        <v>-9623.618</v>
      </c>
      <c r="U14" s="53" t="n">
        <v>18.86</v>
      </c>
      <c r="V14" s="53" t="n">
        <v>14</v>
      </c>
      <c r="W14" s="54" t="n">
        <f aca="false">W13-V14</f>
        <v>3673.778674061</v>
      </c>
      <c r="X14" s="6" t="n">
        <f aca="false">N14+O14+S14+U14+V14</f>
        <v>45.86</v>
      </c>
      <c r="Y14" s="53" t="n">
        <f aca="false">IF(L14&lt;0,L14*-1,0)</f>
        <v>1.14</v>
      </c>
      <c r="Z14" s="53" t="n">
        <f aca="false">X14+Y14</f>
        <v>47</v>
      </c>
      <c r="AA14" s="58" t="n">
        <v>0</v>
      </c>
      <c r="AB14" s="59" t="n">
        <v>83</v>
      </c>
      <c r="AC14" s="59" t="n">
        <v>55</v>
      </c>
      <c r="AD14" s="60" t="n">
        <f aca="false">AD13+1</f>
        <v>5</v>
      </c>
      <c r="AE14" s="95" t="n">
        <f aca="false">IF(I14&gt;S14,I14-S14,I14-S14)</f>
        <v>34</v>
      </c>
      <c r="AF14" s="12"/>
      <c r="AG14" s="0"/>
      <c r="AH14" s="6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60" t="n">
        <f aca="false">A14+1</f>
        <v>6</v>
      </c>
      <c r="B15" s="75" t="n">
        <v>6858.15</v>
      </c>
      <c r="C15" s="54" t="n">
        <v>158899</v>
      </c>
      <c r="D15" s="59" t="n">
        <f aca="false">C15-C14</f>
        <v>23</v>
      </c>
      <c r="E15" s="54" t="n">
        <f aca="false">C15-152000</f>
        <v>6899</v>
      </c>
      <c r="F15" s="53" t="n">
        <f aca="false">D15/$D$2</f>
        <v>11.5956642298966</v>
      </c>
      <c r="G15" s="53" t="n">
        <v>41</v>
      </c>
      <c r="H15" s="55" t="n">
        <v>0</v>
      </c>
      <c r="I15" s="53" t="n">
        <f aca="false">G15+H15</f>
        <v>41</v>
      </c>
      <c r="J15" s="83" t="n">
        <f aca="false">IF(L15&gt;0,L15,0)</f>
        <v>0</v>
      </c>
      <c r="K15" s="53" t="n">
        <f aca="false">I15+J15</f>
        <v>41</v>
      </c>
      <c r="L15" s="53" t="n">
        <f aca="false">F15-(I15-X15)</f>
        <v>-1.40433577010335</v>
      </c>
      <c r="M15" s="53" t="n">
        <v>14</v>
      </c>
      <c r="N15" s="89" t="n">
        <v>0</v>
      </c>
      <c r="O15" s="53" t="n">
        <v>0</v>
      </c>
      <c r="P15" s="6" t="n">
        <f aca="false">M15-(N15+O15)</f>
        <v>14</v>
      </c>
      <c r="Q15" s="53" t="n">
        <v>0</v>
      </c>
      <c r="R15" s="53" t="n">
        <v>0</v>
      </c>
      <c r="S15" s="53" t="n">
        <f aca="false">SUM(P15:R15)</f>
        <v>14</v>
      </c>
      <c r="T15" s="54" t="n">
        <f aca="false">(I15-S15)+T14</f>
        <v>-9596.618</v>
      </c>
      <c r="U15" s="53" t="n">
        <v>0</v>
      </c>
      <c r="V15" s="53" t="n">
        <v>14</v>
      </c>
      <c r="W15" s="54" t="n">
        <f aca="false">W14-V15</f>
        <v>3659.778674061</v>
      </c>
      <c r="X15" s="6" t="n">
        <f aca="false">N15+O15+S15+U15+V15</f>
        <v>28</v>
      </c>
      <c r="Y15" s="53" t="n">
        <f aca="false">IF(L15&lt;0,L15*-1,0)</f>
        <v>1.40433577010335</v>
      </c>
      <c r="Z15" s="53" t="n">
        <f aca="false">X15+Y15</f>
        <v>29.4043357701034</v>
      </c>
      <c r="AA15" s="58" t="n">
        <v>0.12</v>
      </c>
      <c r="AB15" s="59" t="n">
        <v>80</v>
      </c>
      <c r="AC15" s="59" t="n">
        <v>53</v>
      </c>
      <c r="AD15" s="60" t="n">
        <f aca="false">AD14+1</f>
        <v>6</v>
      </c>
      <c r="AE15" s="95" t="n">
        <f aca="false">IF(I15&gt;S15,I15-S15,I15-S15)</f>
        <v>27</v>
      </c>
      <c r="AF15" s="12"/>
      <c r="AG15" s="0"/>
      <c r="AH15" s="6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60" t="n">
        <f aca="false">A15+1</f>
        <v>7</v>
      </c>
      <c r="B16" s="75" t="n">
        <v>6858.16</v>
      </c>
      <c r="C16" s="54" t="n">
        <v>158921</v>
      </c>
      <c r="D16" s="59" t="n">
        <f aca="false">C16-C15</f>
        <v>22</v>
      </c>
      <c r="E16" s="54" t="n">
        <f aca="false">C16-152000</f>
        <v>6921</v>
      </c>
      <c r="F16" s="53" t="n">
        <f aca="false">D16/$D$2</f>
        <v>11.0915049155533</v>
      </c>
      <c r="G16" s="53" t="n">
        <v>47</v>
      </c>
      <c r="H16" s="55" t="n">
        <v>0</v>
      </c>
      <c r="I16" s="53" t="n">
        <f aca="false">G16+H16</f>
        <v>47</v>
      </c>
      <c r="J16" s="83" t="n">
        <f aca="false">IF(L16&gt;0,L16,0)</f>
        <v>0</v>
      </c>
      <c r="K16" s="53" t="n">
        <f aca="false">I16+J16</f>
        <v>47</v>
      </c>
      <c r="L16" s="53" t="n">
        <f aca="false">F16-(I16-X16)</f>
        <v>-5.25849508444669</v>
      </c>
      <c r="M16" s="53" t="n">
        <v>13</v>
      </c>
      <c r="N16" s="89" t="n">
        <v>0</v>
      </c>
      <c r="O16" s="53" t="n">
        <v>0</v>
      </c>
      <c r="P16" s="6" t="n">
        <f aca="false">M16-(N16+O16)</f>
        <v>13</v>
      </c>
      <c r="Q16" s="53" t="n">
        <v>0</v>
      </c>
      <c r="R16" s="53" t="n">
        <v>0</v>
      </c>
      <c r="S16" s="53" t="n">
        <f aca="false">SUM(P16:R16)</f>
        <v>13</v>
      </c>
      <c r="T16" s="54" t="n">
        <f aca="false">(I16-S16)+T15</f>
        <v>-9562.618</v>
      </c>
      <c r="U16" s="53" t="n">
        <v>3.65</v>
      </c>
      <c r="V16" s="53" t="n">
        <v>14</v>
      </c>
      <c r="W16" s="54" t="n">
        <f aca="false">W15-V16</f>
        <v>3645.778674061</v>
      </c>
      <c r="X16" s="6" t="n">
        <f aca="false">N16+O16+S16+U16+V16</f>
        <v>30.65</v>
      </c>
      <c r="Y16" s="53" t="n">
        <f aca="false">IF(L16&lt;0,L16*-1,0)</f>
        <v>5.25849508444669</v>
      </c>
      <c r="Z16" s="53" t="n">
        <f aca="false">X16+Y16</f>
        <v>35.9084950844467</v>
      </c>
      <c r="AA16" s="58" t="n">
        <v>0.01</v>
      </c>
      <c r="AB16" s="59" t="n">
        <v>80</v>
      </c>
      <c r="AC16" s="59" t="n">
        <v>56</v>
      </c>
      <c r="AD16" s="60" t="n">
        <f aca="false">AD15+1</f>
        <v>7</v>
      </c>
      <c r="AE16" s="95" t="n">
        <f aca="false">IF(I16&gt;S16,I16-S16,I16-S16)</f>
        <v>34</v>
      </c>
      <c r="AF16" s="12"/>
      <c r="AG16" s="0"/>
      <c r="AH16" s="6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60" t="n">
        <f aca="false">A16+1</f>
        <v>8</v>
      </c>
      <c r="B17" s="75" t="n">
        <v>6858.18</v>
      </c>
      <c r="C17" s="54" t="n">
        <v>158966</v>
      </c>
      <c r="D17" s="59" t="n">
        <f aca="false">C17-C16</f>
        <v>45</v>
      </c>
      <c r="E17" s="54" t="n">
        <f aca="false">C17-152000</f>
        <v>6966</v>
      </c>
      <c r="F17" s="53" t="n">
        <f aca="false">D17/$D$2</f>
        <v>22.68716914545</v>
      </c>
      <c r="G17" s="53" t="n">
        <v>56</v>
      </c>
      <c r="H17" s="55" t="n">
        <v>0</v>
      </c>
      <c r="I17" s="53" t="n">
        <f aca="false">G17+H17</f>
        <v>56</v>
      </c>
      <c r="J17" s="83" t="n">
        <f aca="false">IF(L17&gt;0,L17,0)</f>
        <v>2.20716914544996</v>
      </c>
      <c r="K17" s="53" t="n">
        <f aca="false">I17+J17</f>
        <v>58.20716914545</v>
      </c>
      <c r="L17" s="53" t="n">
        <f aca="false">F17-(I17-X17)</f>
        <v>2.20716914544996</v>
      </c>
      <c r="M17" s="53" t="n">
        <v>13</v>
      </c>
      <c r="N17" s="89" t="n">
        <v>1.25</v>
      </c>
      <c r="O17" s="53" t="n">
        <v>0</v>
      </c>
      <c r="P17" s="6" t="n">
        <f aca="false">M17-(N17+O17)</f>
        <v>11.75</v>
      </c>
      <c r="Q17" s="53" t="n">
        <v>0</v>
      </c>
      <c r="R17" s="53" t="n">
        <v>0</v>
      </c>
      <c r="S17" s="53" t="n">
        <f aca="false">SUM(P17:R17)</f>
        <v>11.75</v>
      </c>
      <c r="T17" s="54" t="n">
        <f aca="false">(I17-S17)+T16</f>
        <v>-9518.368</v>
      </c>
      <c r="U17" s="53" t="n">
        <v>7.52</v>
      </c>
      <c r="V17" s="53" t="n">
        <v>15</v>
      </c>
      <c r="W17" s="54" t="n">
        <f aca="false">W16-V17</f>
        <v>3630.778674061</v>
      </c>
      <c r="X17" s="6" t="n">
        <f aca="false">N17+O17+S17+U17+V17</f>
        <v>35.52</v>
      </c>
      <c r="Y17" s="53" t="n">
        <f aca="false">IF(L17&lt;0,L17*-1,0)</f>
        <v>0</v>
      </c>
      <c r="Z17" s="53" t="n">
        <f aca="false">X17+Y17</f>
        <v>35.52</v>
      </c>
      <c r="AA17" s="58" t="n">
        <v>0</v>
      </c>
      <c r="AB17" s="59" t="n">
        <v>84</v>
      </c>
      <c r="AC17" s="59" t="n">
        <v>54</v>
      </c>
      <c r="AD17" s="60" t="n">
        <f aca="false">AD16+1</f>
        <v>8</v>
      </c>
      <c r="AE17" s="95" t="n">
        <f aca="false">IF(I17&gt;S17,I17-S17,I17-S17)</f>
        <v>44.25</v>
      </c>
      <c r="AF17" s="12"/>
      <c r="AG17" s="0"/>
      <c r="AH17" s="6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60" t="n">
        <f aca="false">A17+1</f>
        <v>9</v>
      </c>
      <c r="B18" s="75" t="n">
        <v>6858.18</v>
      </c>
      <c r="C18" s="54" t="n">
        <v>158966</v>
      </c>
      <c r="D18" s="59" t="n">
        <f aca="false">C18-C17</f>
        <v>0</v>
      </c>
      <c r="E18" s="54" t="n">
        <f aca="false">C18-152000</f>
        <v>6966</v>
      </c>
      <c r="F18" s="53" t="n">
        <f aca="false">D18/$D$2</f>
        <v>0</v>
      </c>
      <c r="G18" s="53" t="n">
        <v>48</v>
      </c>
      <c r="H18" s="55" t="n">
        <v>0</v>
      </c>
      <c r="I18" s="53" t="n">
        <f aca="false">G18+H18</f>
        <v>48</v>
      </c>
      <c r="J18" s="83" t="n">
        <f aca="false">IF(L18&gt;0,L18,0)</f>
        <v>0</v>
      </c>
      <c r="K18" s="53" t="n">
        <f aca="false">I18+J18</f>
        <v>48</v>
      </c>
      <c r="L18" s="53" t="n">
        <f aca="false">F18-(I18-X18)</f>
        <v>-9.98</v>
      </c>
      <c r="M18" s="53" t="n">
        <v>13</v>
      </c>
      <c r="N18" s="89" t="n">
        <v>1</v>
      </c>
      <c r="O18" s="53" t="n">
        <v>0</v>
      </c>
      <c r="P18" s="6" t="n">
        <f aca="false">M18-(N18+O18)</f>
        <v>12</v>
      </c>
      <c r="Q18" s="53" t="n">
        <v>0</v>
      </c>
      <c r="R18" s="53" t="n">
        <v>0</v>
      </c>
      <c r="S18" s="53" t="n">
        <f aca="false">SUM(P18:R18)</f>
        <v>12</v>
      </c>
      <c r="T18" s="54" t="n">
        <f aca="false">(I18-S18)+T17</f>
        <v>-9482.368</v>
      </c>
      <c r="U18" s="53" t="n">
        <v>10.02</v>
      </c>
      <c r="V18" s="53" t="n">
        <v>15</v>
      </c>
      <c r="W18" s="54" t="n">
        <f aca="false">W17-V18</f>
        <v>3615.778674061</v>
      </c>
      <c r="X18" s="6" t="n">
        <f aca="false">N18+O18+S18+U18+V18</f>
        <v>38.02</v>
      </c>
      <c r="Y18" s="53" t="n">
        <f aca="false">IF(L18&lt;0,L18*-1,0)</f>
        <v>9.98</v>
      </c>
      <c r="Z18" s="53" t="n">
        <f aca="false">X18+Y18</f>
        <v>48</v>
      </c>
      <c r="AA18" s="58" t="n">
        <v>0</v>
      </c>
      <c r="AB18" s="84" t="n">
        <v>88</v>
      </c>
      <c r="AC18" s="59" t="n">
        <v>51</v>
      </c>
      <c r="AD18" s="60" t="n">
        <f aca="false">AD17+1</f>
        <v>9</v>
      </c>
      <c r="AE18" s="95" t="n">
        <f aca="false">IF(I18&gt;S18,I18-S18,I18-S18)</f>
        <v>36</v>
      </c>
      <c r="AF18" s="12"/>
      <c r="AG18" s="0"/>
      <c r="AH18" s="6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60" t="n">
        <f aca="false">A18+1</f>
        <v>10</v>
      </c>
      <c r="B19" s="75" t="n">
        <v>6858.16</v>
      </c>
      <c r="C19" s="54" t="n">
        <v>158921</v>
      </c>
      <c r="D19" s="59" t="n">
        <f aca="false">C19-C18</f>
        <v>-45</v>
      </c>
      <c r="E19" s="54" t="n">
        <f aca="false">C19-152000</f>
        <v>6921</v>
      </c>
      <c r="F19" s="53" t="n">
        <f aca="false">D19/$D$2</f>
        <v>-22.68716914545</v>
      </c>
      <c r="G19" s="53" t="n">
        <v>44</v>
      </c>
      <c r="H19" s="55" t="n">
        <v>0</v>
      </c>
      <c r="I19" s="53" t="n">
        <f aca="false">G19+H19</f>
        <v>44</v>
      </c>
      <c r="J19" s="83" t="n">
        <v>0</v>
      </c>
      <c r="K19" s="53" t="n">
        <f aca="false">I19+J19</f>
        <v>44</v>
      </c>
      <c r="L19" s="53" t="n">
        <f aca="false">F19-(I19-X19)</f>
        <v>-2.15716914544996</v>
      </c>
      <c r="M19" s="53" t="n">
        <v>21</v>
      </c>
      <c r="N19" s="89" t="n">
        <v>1</v>
      </c>
      <c r="O19" s="53" t="n">
        <v>0</v>
      </c>
      <c r="P19" s="6" t="n">
        <f aca="false">M19-(N19+O19)</f>
        <v>20</v>
      </c>
      <c r="Q19" s="53" t="n">
        <v>0</v>
      </c>
      <c r="R19" s="53" t="n">
        <v>0</v>
      </c>
      <c r="S19" s="53" t="n">
        <f aca="false">SUM(P19:R19)</f>
        <v>20</v>
      </c>
      <c r="T19" s="54" t="n">
        <f aca="false">(I19-S19)+T18</f>
        <v>-9458.368</v>
      </c>
      <c r="U19" s="53" t="n">
        <v>28.53</v>
      </c>
      <c r="V19" s="53" t="n">
        <v>15</v>
      </c>
      <c r="W19" s="54" t="n">
        <f aca="false">W18-V19</f>
        <v>3600.778674061</v>
      </c>
      <c r="X19" s="6" t="n">
        <f aca="false">N19+O19+S19+U19+V19</f>
        <v>64.53</v>
      </c>
      <c r="Y19" s="53" t="n">
        <f aca="false">IF(L19&lt;0,L19*-1,0)</f>
        <v>2.15716914544996</v>
      </c>
      <c r="Z19" s="53" t="n">
        <f aca="false">X19+Y19</f>
        <v>66.68716914545</v>
      </c>
      <c r="AA19" s="58" t="n">
        <v>0</v>
      </c>
      <c r="AB19" s="59" t="n">
        <v>89</v>
      </c>
      <c r="AC19" s="59" t="n">
        <v>51</v>
      </c>
      <c r="AD19" s="60" t="n">
        <f aca="false">AD18+1</f>
        <v>10</v>
      </c>
      <c r="AE19" s="95" t="n">
        <f aca="false">IF(I19&gt;S19,I19-S19,I19-S19)</f>
        <v>24</v>
      </c>
      <c r="AF19" s="12"/>
      <c r="AG19" s="0"/>
      <c r="AH19" s="6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60" t="n">
        <v>11</v>
      </c>
      <c r="B20" s="75" t="n">
        <v>6858.14</v>
      </c>
      <c r="C20" s="54" t="n">
        <v>158876</v>
      </c>
      <c r="D20" s="59" t="n">
        <f aca="false">C20-C19</f>
        <v>-45</v>
      </c>
      <c r="E20" s="54" t="n">
        <f aca="false">C20-152000</f>
        <v>6876</v>
      </c>
      <c r="F20" s="53" t="n">
        <f aca="false">D20/$D$2</f>
        <v>-22.68716914545</v>
      </c>
      <c r="G20" s="53" t="n">
        <v>37</v>
      </c>
      <c r="H20" s="55" t="n">
        <v>0</v>
      </c>
      <c r="I20" s="53" t="n">
        <f aca="false">G20+H20</f>
        <v>37</v>
      </c>
      <c r="J20" s="83" t="n">
        <f aca="false">IF(L20&gt;0,L20,0)</f>
        <v>0</v>
      </c>
      <c r="K20" s="53" t="n">
        <f aca="false">I20+J20</f>
        <v>37</v>
      </c>
      <c r="L20" s="53" t="n">
        <f aca="false">F20-(I20-X20)</f>
        <v>-11.17716914545</v>
      </c>
      <c r="M20" s="53" t="n">
        <v>27</v>
      </c>
      <c r="N20" s="89" t="n">
        <v>1</v>
      </c>
      <c r="O20" s="53" t="n">
        <v>0</v>
      </c>
      <c r="P20" s="6" t="n">
        <f aca="false">M20-(N20+O20)</f>
        <v>26</v>
      </c>
      <c r="Q20" s="53" t="n">
        <v>0</v>
      </c>
      <c r="R20" s="53" t="n">
        <v>0</v>
      </c>
      <c r="S20" s="53" t="n">
        <f aca="false">SUM(P20:R20)</f>
        <v>26</v>
      </c>
      <c r="T20" s="54" t="n">
        <f aca="false">(I20-S20)+T19</f>
        <v>-9447.368</v>
      </c>
      <c r="U20" s="53" t="n">
        <v>6.51</v>
      </c>
      <c r="V20" s="53" t="n">
        <v>15</v>
      </c>
      <c r="W20" s="54" t="n">
        <f aca="false">W19-V20</f>
        <v>3585.778674061</v>
      </c>
      <c r="X20" s="6" t="n">
        <f aca="false">N20+O20+S20+U20+V20</f>
        <v>48.51</v>
      </c>
      <c r="Y20" s="53" t="n">
        <f aca="false">IF(L20&lt;0,L20*-1,0)</f>
        <v>11.17716914545</v>
      </c>
      <c r="Z20" s="53" t="n">
        <f aca="false">X20+Y20</f>
        <v>59.68716914545</v>
      </c>
      <c r="AA20" s="58" t="n">
        <v>0</v>
      </c>
      <c r="AB20" s="59" t="n">
        <v>90</v>
      </c>
      <c r="AC20" s="59" t="n">
        <v>52</v>
      </c>
      <c r="AD20" s="60" t="n">
        <v>11</v>
      </c>
      <c r="AE20" s="95" t="n">
        <f aca="false">IF(I20&gt;S20,I20-S20,I20-S20)</f>
        <v>11</v>
      </c>
      <c r="AF20" s="12"/>
      <c r="AG20" s="0"/>
      <c r="AH20" s="6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60" t="n">
        <v>12</v>
      </c>
      <c r="B21" s="75" t="n">
        <v>6858.11</v>
      </c>
      <c r="C21" s="54" t="n">
        <v>158809</v>
      </c>
      <c r="D21" s="59" t="n">
        <f aca="false">C21-C20</f>
        <v>-67</v>
      </c>
      <c r="E21" s="54" t="n">
        <f aca="false">C21-152000</f>
        <v>6809</v>
      </c>
      <c r="F21" s="53" t="n">
        <f aca="false">D21/$D$2</f>
        <v>-33.7786740610033</v>
      </c>
      <c r="G21" s="53" t="n">
        <v>33</v>
      </c>
      <c r="H21" s="55" t="n">
        <v>0</v>
      </c>
      <c r="I21" s="53" t="n">
        <f aca="false">G21+H21</f>
        <v>33</v>
      </c>
      <c r="J21" s="83" t="n">
        <f aca="false">IF(L21&gt;0,L21,0)</f>
        <v>0</v>
      </c>
      <c r="K21" s="53" t="n">
        <f aca="false">I21+J21</f>
        <v>33</v>
      </c>
      <c r="L21" s="53" t="n">
        <f aca="false">F21-(I21-X21)</f>
        <v>-12.5486740610033</v>
      </c>
      <c r="M21" s="53" t="n">
        <v>23</v>
      </c>
      <c r="N21" s="89" t="n">
        <v>0</v>
      </c>
      <c r="O21" s="53" t="n">
        <v>0</v>
      </c>
      <c r="P21" s="6" t="n">
        <f aca="false">M21-(N21+O21)</f>
        <v>23</v>
      </c>
      <c r="Q21" s="53" t="n">
        <v>0</v>
      </c>
      <c r="R21" s="53" t="n">
        <v>0</v>
      </c>
      <c r="S21" s="53" t="n">
        <f aca="false">SUM(P21:R21)</f>
        <v>23</v>
      </c>
      <c r="T21" s="54" t="n">
        <f aca="false">(I21-S21)+T20</f>
        <v>-9437.368</v>
      </c>
      <c r="U21" s="53" t="n">
        <v>16.23</v>
      </c>
      <c r="V21" s="53" t="n">
        <v>15</v>
      </c>
      <c r="W21" s="54" t="n">
        <f aca="false">W20-V21</f>
        <v>3570.778674061</v>
      </c>
      <c r="X21" s="6" t="n">
        <f aca="false">N21+O21+S21+U21+V21</f>
        <v>54.23</v>
      </c>
      <c r="Y21" s="53" t="n">
        <f aca="false">IF(L21&lt;0,L21*-1,0)</f>
        <v>12.5486740610033</v>
      </c>
      <c r="Z21" s="53" t="n">
        <f aca="false">X21+Y21</f>
        <v>66.7786740610033</v>
      </c>
      <c r="AA21" s="58" t="n">
        <v>0</v>
      </c>
      <c r="AB21" s="59" t="n">
        <v>92</v>
      </c>
      <c r="AC21" s="59" t="n">
        <v>53</v>
      </c>
      <c r="AD21" s="60" t="n">
        <v>12</v>
      </c>
      <c r="AE21" s="95" t="n">
        <f aca="false">IF(I21&gt;S21,I21-S21,I21-S21)</f>
        <v>10</v>
      </c>
      <c r="AF21" s="12"/>
      <c r="AG21" s="0"/>
      <c r="AH21" s="6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60" t="n">
        <v>13</v>
      </c>
      <c r="B22" s="75" t="n">
        <v>6858.07</v>
      </c>
      <c r="C22" s="54" t="n">
        <v>158720</v>
      </c>
      <c r="D22" s="59" t="n">
        <f aca="false">C22-C21</f>
        <v>-89</v>
      </c>
      <c r="E22" s="54" t="n">
        <f aca="false">C22-152000</f>
        <v>6720</v>
      </c>
      <c r="F22" s="53" t="n">
        <f aca="false">D22/$D$2</f>
        <v>-44.8701789765566</v>
      </c>
      <c r="G22" s="53" t="n">
        <v>28</v>
      </c>
      <c r="H22" s="55" t="n">
        <v>0</v>
      </c>
      <c r="I22" s="53" t="n">
        <f aca="false">G22+H22</f>
        <v>28</v>
      </c>
      <c r="J22" s="83" t="n">
        <f aca="false">IF(L22&gt;0,L22,0)</f>
        <v>0</v>
      </c>
      <c r="K22" s="53" t="n">
        <f aca="false">I22+J22</f>
        <v>28</v>
      </c>
      <c r="L22" s="53" t="n">
        <f aca="false">F22-(I22-X22)</f>
        <v>-14.9201789765566</v>
      </c>
      <c r="M22" s="53" t="n">
        <v>28</v>
      </c>
      <c r="N22" s="89" t="n">
        <v>0</v>
      </c>
      <c r="O22" s="53" t="n">
        <v>0</v>
      </c>
      <c r="P22" s="6" t="n">
        <f aca="false">M22-(N22+O22)</f>
        <v>28</v>
      </c>
      <c r="Q22" s="53" t="n">
        <v>0</v>
      </c>
      <c r="R22" s="53" t="n">
        <v>0</v>
      </c>
      <c r="S22" s="53" t="n">
        <f aca="false">SUM(P22:R22)</f>
        <v>28</v>
      </c>
      <c r="T22" s="54" t="n">
        <f aca="false">(I22-S22)+T21</f>
        <v>-9437.368</v>
      </c>
      <c r="U22" s="53" t="n">
        <v>14.95</v>
      </c>
      <c r="V22" s="53" t="n">
        <v>15</v>
      </c>
      <c r="W22" s="54" t="n">
        <f aca="false">W21-V22</f>
        <v>3555.778674061</v>
      </c>
      <c r="X22" s="6" t="n">
        <f aca="false">N22+O22+S22+U22+V22</f>
        <v>57.95</v>
      </c>
      <c r="Y22" s="53" t="n">
        <f aca="false">IF(L22&lt;0,L22*-1,0)</f>
        <v>14.9201789765566</v>
      </c>
      <c r="Z22" s="53" t="n">
        <f aca="false">X22+Y22</f>
        <v>72.8701789765566</v>
      </c>
      <c r="AA22" s="58" t="n">
        <v>0</v>
      </c>
      <c r="AB22" s="59" t="n">
        <v>85</v>
      </c>
      <c r="AC22" s="59" t="n">
        <v>54</v>
      </c>
      <c r="AD22" s="60" t="n">
        <v>13</v>
      </c>
      <c r="AE22" s="95" t="n">
        <f aca="false">IF(I22&gt;S22,I22-S22,I22-S22)</f>
        <v>0</v>
      </c>
      <c r="AF22" s="12"/>
      <c r="AG22" s="0"/>
      <c r="AH22" s="6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60" t="n">
        <v>14</v>
      </c>
      <c r="B23" s="75" t="n">
        <v>6858.04</v>
      </c>
      <c r="C23" s="54" t="n">
        <v>158652</v>
      </c>
      <c r="D23" s="59" t="n">
        <f aca="false">C23-C22</f>
        <v>-68</v>
      </c>
      <c r="E23" s="54" t="n">
        <f aca="false">C23-152000</f>
        <v>6652</v>
      </c>
      <c r="F23" s="53" t="n">
        <f aca="false">D23/$D$2</f>
        <v>-34.2828333753466</v>
      </c>
      <c r="G23" s="53" t="n">
        <v>25</v>
      </c>
      <c r="H23" s="55" t="n">
        <v>0</v>
      </c>
      <c r="I23" s="53" t="n">
        <f aca="false">G23+H23</f>
        <v>25</v>
      </c>
      <c r="J23" s="83" t="n">
        <f aca="false">IF(L23&gt;0,L23,0)</f>
        <v>0</v>
      </c>
      <c r="K23" s="53" t="n">
        <f aca="false">I23+J23</f>
        <v>25</v>
      </c>
      <c r="L23" s="53" t="n">
        <f aca="false">F23-(I23-X23)</f>
        <v>-7.01283337534661</v>
      </c>
      <c r="M23" s="53" t="n">
        <v>17</v>
      </c>
      <c r="N23" s="89" t="n">
        <v>0</v>
      </c>
      <c r="O23" s="53" t="n">
        <v>0</v>
      </c>
      <c r="P23" s="6" t="n">
        <f aca="false">M23-(N23+O23)</f>
        <v>17</v>
      </c>
      <c r="Q23" s="53" t="n">
        <v>0</v>
      </c>
      <c r="R23" s="53" t="n">
        <v>0</v>
      </c>
      <c r="S23" s="53" t="n">
        <f aca="false">SUM(P23:R23)</f>
        <v>17</v>
      </c>
      <c r="T23" s="54" t="n">
        <f aca="false">(I23-S23)+T22</f>
        <v>-9429.368</v>
      </c>
      <c r="U23" s="53" t="n">
        <v>21.27</v>
      </c>
      <c r="V23" s="53" t="n">
        <v>14</v>
      </c>
      <c r="W23" s="54" t="n">
        <f aca="false">W22-V23</f>
        <v>3541.778674061</v>
      </c>
      <c r="X23" s="6" t="n">
        <f aca="false">N23+O23+S23+U23+V23</f>
        <v>52.27</v>
      </c>
      <c r="Y23" s="53" t="n">
        <f aca="false">IF(L23&lt;0,L23*-1,0)</f>
        <v>7.01283337534661</v>
      </c>
      <c r="Z23" s="53" t="n">
        <f aca="false">X23+Y23</f>
        <v>59.2828333753466</v>
      </c>
      <c r="AA23" s="58" t="n">
        <v>0</v>
      </c>
      <c r="AB23" s="59" t="n">
        <v>88</v>
      </c>
      <c r="AC23" s="59" t="n">
        <v>50</v>
      </c>
      <c r="AD23" s="60" t="n">
        <v>14</v>
      </c>
      <c r="AE23" s="95" t="n">
        <f aca="false">IF(I23&gt;S23,I23-S23,I23-S23)</f>
        <v>8</v>
      </c>
      <c r="AF23" s="12"/>
      <c r="AG23" s="0"/>
      <c r="AH23" s="6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60" t="n">
        <v>15</v>
      </c>
      <c r="B24" s="75" t="n">
        <v>6858.02</v>
      </c>
      <c r="C24" s="54" t="n">
        <v>158608</v>
      </c>
      <c r="D24" s="59" t="n">
        <f aca="false">C24-C23</f>
        <v>-44</v>
      </c>
      <c r="E24" s="54" t="n">
        <f aca="false">C24-152000</f>
        <v>6608</v>
      </c>
      <c r="F24" s="53" t="n">
        <f aca="false">D24/$D$2</f>
        <v>-22.1830098311066</v>
      </c>
      <c r="G24" s="53" t="n">
        <v>23</v>
      </c>
      <c r="H24" s="55" t="n">
        <v>0</v>
      </c>
      <c r="I24" s="53" t="n">
        <f aca="false">G24+H24</f>
        <v>23</v>
      </c>
      <c r="J24" s="83" t="n">
        <f aca="false">IF(L24&gt;0,L24,0)</f>
        <v>0</v>
      </c>
      <c r="K24" s="53" t="n">
        <f aca="false">I24+J24</f>
        <v>23</v>
      </c>
      <c r="L24" s="53" t="n">
        <f aca="false">F24-(I24-X24)</f>
        <v>-12.3530098311066</v>
      </c>
      <c r="M24" s="53" t="n">
        <v>13</v>
      </c>
      <c r="N24" s="89" t="n">
        <v>1</v>
      </c>
      <c r="O24" s="53" t="n">
        <v>0</v>
      </c>
      <c r="P24" s="6" t="n">
        <f aca="false">M24-(N24+O24)</f>
        <v>12</v>
      </c>
      <c r="Q24" s="53" t="n">
        <v>0</v>
      </c>
      <c r="R24" s="53" t="n">
        <v>0</v>
      </c>
      <c r="S24" s="53" t="n">
        <f aca="false">SUM(P24:R24)</f>
        <v>12</v>
      </c>
      <c r="T24" s="54" t="n">
        <f aca="false">(I24-S24)+T23</f>
        <v>-9418.368</v>
      </c>
      <c r="U24" s="53" t="n">
        <v>4.83</v>
      </c>
      <c r="V24" s="53" t="n">
        <v>15</v>
      </c>
      <c r="W24" s="54" t="n">
        <f aca="false">W23-V24</f>
        <v>3526.778674061</v>
      </c>
      <c r="X24" s="6" t="n">
        <f aca="false">N24+O24+S24+U24+V24</f>
        <v>32.83</v>
      </c>
      <c r="Y24" s="53" t="n">
        <f aca="false">IF(L24&lt;0,L24*-1,0)</f>
        <v>12.3530098311066</v>
      </c>
      <c r="Z24" s="53" t="n">
        <f aca="false">X24+Y24</f>
        <v>45.1830098311066</v>
      </c>
      <c r="AA24" s="58" t="n">
        <v>0</v>
      </c>
      <c r="AB24" s="59" t="n">
        <v>90</v>
      </c>
      <c r="AC24" s="59" t="n">
        <v>52</v>
      </c>
      <c r="AD24" s="60" t="n">
        <v>15</v>
      </c>
      <c r="AE24" s="95" t="n">
        <f aca="false">IF(I24&gt;S24,I24-S24,I24-S24)</f>
        <v>11</v>
      </c>
      <c r="AF24" s="12"/>
      <c r="AG24" s="0"/>
      <c r="AH24" s="6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60" t="n">
        <v>16</v>
      </c>
      <c r="B25" s="75" t="n">
        <v>6858</v>
      </c>
      <c r="C25" s="54" t="n">
        <v>158563</v>
      </c>
      <c r="D25" s="59" t="n">
        <f aca="false">C25-C24</f>
        <v>-45</v>
      </c>
      <c r="E25" s="54" t="n">
        <f aca="false">C25-152000</f>
        <v>6563</v>
      </c>
      <c r="F25" s="53" t="n">
        <f aca="false">D25/$D$2</f>
        <v>-22.68716914545</v>
      </c>
      <c r="G25" s="53" t="n">
        <v>18</v>
      </c>
      <c r="H25" s="55" t="n">
        <v>0</v>
      </c>
      <c r="I25" s="53" t="n">
        <f aca="false">G25+H25</f>
        <v>18</v>
      </c>
      <c r="J25" s="83" t="n">
        <f aca="false">IF(L25&gt;0,L25,0)</f>
        <v>0.822830854549999</v>
      </c>
      <c r="K25" s="53" t="n">
        <f aca="false">I25+J25</f>
        <v>18.82283085455</v>
      </c>
      <c r="L25" s="53" t="n">
        <f aca="false">F25-(I25-X25)</f>
        <v>0.822830854549999</v>
      </c>
      <c r="M25" s="53" t="n">
        <v>12</v>
      </c>
      <c r="N25" s="89" t="n">
        <v>1</v>
      </c>
      <c r="O25" s="53" t="n">
        <v>0</v>
      </c>
      <c r="P25" s="6" t="n">
        <f aca="false">M25-(N25+O25)</f>
        <v>11</v>
      </c>
      <c r="Q25" s="53" t="n">
        <v>0</v>
      </c>
      <c r="R25" s="53" t="n">
        <v>0</v>
      </c>
      <c r="S25" s="53" t="n">
        <f aca="false">SUM(P25:R25)</f>
        <v>11</v>
      </c>
      <c r="T25" s="54" t="n">
        <f aca="false">(I25-S25)+T24</f>
        <v>-9411.368</v>
      </c>
      <c r="U25" s="53" t="n">
        <v>14.51</v>
      </c>
      <c r="V25" s="53" t="n">
        <v>15</v>
      </c>
      <c r="W25" s="54" t="n">
        <f aca="false">W24-V25</f>
        <v>3511.778674061</v>
      </c>
      <c r="X25" s="6" t="n">
        <f aca="false">N25+O25+S25+U25+V25</f>
        <v>41.51</v>
      </c>
      <c r="Y25" s="53" t="n">
        <f aca="false">IF(L25&lt;0,L25*-1,0)</f>
        <v>0</v>
      </c>
      <c r="Z25" s="53" t="n">
        <f aca="false">X25+Y25</f>
        <v>41.51</v>
      </c>
      <c r="AA25" s="58" t="n">
        <v>0</v>
      </c>
      <c r="AB25" s="59" t="n">
        <v>92</v>
      </c>
      <c r="AC25" s="59" t="n">
        <v>51</v>
      </c>
      <c r="AD25" s="60" t="n">
        <v>16</v>
      </c>
      <c r="AE25" s="95" t="n">
        <f aca="false">IF(I25&gt;S25,I25-S25,I25-S25)</f>
        <v>7</v>
      </c>
      <c r="AF25" s="12"/>
      <c r="AG25" s="0"/>
      <c r="AH25" s="6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60" t="n">
        <v>17</v>
      </c>
      <c r="B26" s="75" t="n">
        <v>6857.96</v>
      </c>
      <c r="C26" s="54" t="n">
        <v>158474</v>
      </c>
      <c r="D26" s="59" t="n">
        <f aca="false">C26-C25</f>
        <v>-89</v>
      </c>
      <c r="E26" s="54" t="n">
        <f aca="false">C26-152000</f>
        <v>6474</v>
      </c>
      <c r="F26" s="53" t="n">
        <f aca="false">D26/$D$2</f>
        <v>-44.8701789765566</v>
      </c>
      <c r="G26" s="53" t="n">
        <v>16</v>
      </c>
      <c r="H26" s="55" t="n">
        <v>0</v>
      </c>
      <c r="I26" s="53" t="n">
        <f aca="false">G26+H26</f>
        <v>16</v>
      </c>
      <c r="J26" s="83" t="n">
        <f aca="false">IF(L26&gt;0,L26,0)</f>
        <v>0</v>
      </c>
      <c r="K26" s="53" t="n">
        <f aca="false">I26+J26</f>
        <v>16</v>
      </c>
      <c r="L26" s="53" t="n">
        <f aca="false">F26-(I26-X26)</f>
        <v>-15.3601789765566</v>
      </c>
      <c r="M26" s="53" t="n">
        <v>16</v>
      </c>
      <c r="N26" s="89" t="n">
        <v>1</v>
      </c>
      <c r="O26" s="53" t="n">
        <v>0</v>
      </c>
      <c r="P26" s="6" t="n">
        <f aca="false">M26-(N26+O26)</f>
        <v>15</v>
      </c>
      <c r="Q26" s="53" t="n">
        <v>0</v>
      </c>
      <c r="R26" s="53" t="n">
        <v>0</v>
      </c>
      <c r="S26" s="53" t="n">
        <f aca="false">SUM(P26:R26)</f>
        <v>15</v>
      </c>
      <c r="T26" s="54" t="n">
        <f aca="false">(I26-S26)+T25</f>
        <v>-9410.368</v>
      </c>
      <c r="U26" s="53" t="n">
        <v>14.51</v>
      </c>
      <c r="V26" s="53" t="n">
        <v>15</v>
      </c>
      <c r="W26" s="54" t="n">
        <f aca="false">W25-V26</f>
        <v>3496.778674061</v>
      </c>
      <c r="X26" s="6" t="n">
        <f aca="false">N26+O26+S26+U26+V26</f>
        <v>45.51</v>
      </c>
      <c r="Y26" s="53" t="n">
        <f aca="false">IF(L26&lt;0,L26*-1,0)</f>
        <v>15.3601789765566</v>
      </c>
      <c r="Z26" s="53" t="n">
        <f aca="false">X26+Y26</f>
        <v>60.8701789765566</v>
      </c>
      <c r="AA26" s="58" t="n">
        <v>0</v>
      </c>
      <c r="AB26" s="59" t="n">
        <v>92</v>
      </c>
      <c r="AC26" s="59" t="n">
        <v>54</v>
      </c>
      <c r="AD26" s="60" t="n">
        <v>17</v>
      </c>
      <c r="AE26" s="95" t="n">
        <f aca="false">IF(I26&gt;S26,I26-S26,I26-S26)</f>
        <v>1</v>
      </c>
      <c r="AF26" s="12"/>
      <c r="AG26" s="0"/>
      <c r="AH26" s="6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60" t="n">
        <v>18</v>
      </c>
      <c r="B27" s="75" t="n">
        <v>6857.93</v>
      </c>
      <c r="C27" s="54" t="n">
        <v>158408</v>
      </c>
      <c r="D27" s="59" t="n">
        <f aca="false">C27-C26</f>
        <v>-66</v>
      </c>
      <c r="E27" s="54" t="n">
        <f aca="false">C27-152000</f>
        <v>6408</v>
      </c>
      <c r="F27" s="53" t="n">
        <f aca="false">D27/$D$2</f>
        <v>-33.2745147466599</v>
      </c>
      <c r="G27" s="53" t="n">
        <v>16</v>
      </c>
      <c r="H27" s="55" t="n">
        <v>0</v>
      </c>
      <c r="I27" s="53" t="n">
        <f aca="false">G27+H27</f>
        <v>16</v>
      </c>
      <c r="J27" s="83" t="n">
        <f aca="false">IF(L27&gt;0,L27,0)</f>
        <v>0</v>
      </c>
      <c r="K27" s="53" t="n">
        <f aca="false">I27+J27</f>
        <v>16</v>
      </c>
      <c r="L27" s="53" t="n">
        <f aca="false">F27-(I27-X27)</f>
        <v>-13.0545147466599</v>
      </c>
      <c r="M27" s="53" t="n">
        <v>15</v>
      </c>
      <c r="N27" s="89" t="n">
        <v>1</v>
      </c>
      <c r="O27" s="53" t="n">
        <v>0</v>
      </c>
      <c r="P27" s="6" t="n">
        <f aca="false">M27-(N27+O27)</f>
        <v>14</v>
      </c>
      <c r="Q27" s="53" t="n">
        <v>0</v>
      </c>
      <c r="R27" s="53" t="n">
        <v>0</v>
      </c>
      <c r="S27" s="53" t="n">
        <f aca="false">SUM(P27:R27)</f>
        <v>14</v>
      </c>
      <c r="T27" s="54" t="n">
        <f aca="false">(I27-S27)+T26</f>
        <v>-9408.368</v>
      </c>
      <c r="U27" s="53" t="n">
        <v>6.22</v>
      </c>
      <c r="V27" s="53" t="n">
        <v>15</v>
      </c>
      <c r="W27" s="54" t="n">
        <f aca="false">W26-V27</f>
        <v>3481.778674061</v>
      </c>
      <c r="X27" s="6" t="n">
        <f aca="false">N27+O27+S27+U27+V27</f>
        <v>36.22</v>
      </c>
      <c r="Y27" s="53" t="n">
        <f aca="false">IF(L27&lt;0,L27*-1,0)</f>
        <v>13.0545147466599</v>
      </c>
      <c r="Z27" s="53" t="n">
        <f aca="false">X27+Y27</f>
        <v>49.27451474666</v>
      </c>
      <c r="AA27" s="58" t="n">
        <v>0</v>
      </c>
      <c r="AB27" s="59" t="n">
        <v>91</v>
      </c>
      <c r="AC27" s="59" t="n">
        <v>56</v>
      </c>
      <c r="AD27" s="60" t="n">
        <v>18</v>
      </c>
      <c r="AE27" s="95" t="n">
        <f aca="false">IF(I27&gt;S27,I27-S27,I27-S27)</f>
        <v>2</v>
      </c>
      <c r="AF27" s="12"/>
      <c r="AG27" s="0"/>
      <c r="AH27" s="6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60" t="n">
        <v>19</v>
      </c>
      <c r="B28" s="75" t="n">
        <v>6857.88</v>
      </c>
      <c r="C28" s="54" t="n">
        <v>158297</v>
      </c>
      <c r="D28" s="59" t="n">
        <f aca="false">C28-C27</f>
        <v>-111</v>
      </c>
      <c r="E28" s="54" t="n">
        <f aca="false">C28-152000</f>
        <v>6297</v>
      </c>
      <c r="F28" s="53" t="n">
        <f aca="false">D28/$D$2</f>
        <v>-55.9616838921099</v>
      </c>
      <c r="G28" s="53" t="n">
        <v>14</v>
      </c>
      <c r="H28" s="55" t="n">
        <v>0</v>
      </c>
      <c r="I28" s="53" t="n">
        <f aca="false">G28+H28</f>
        <v>14</v>
      </c>
      <c r="J28" s="83" t="n">
        <f aca="false">IF(L28&gt;0,L28,0)</f>
        <v>0</v>
      </c>
      <c r="K28" s="53" t="n">
        <f aca="false">I28+J28</f>
        <v>14</v>
      </c>
      <c r="L28" s="53" t="n">
        <f aca="false">F28-(I28-X28)</f>
        <v>-19.2316838921099</v>
      </c>
      <c r="M28" s="53" t="n">
        <v>17</v>
      </c>
      <c r="N28" s="89" t="n">
        <v>0</v>
      </c>
      <c r="O28" s="53" t="n">
        <v>0</v>
      </c>
      <c r="P28" s="6" t="n">
        <f aca="false">M28-(N28+O28)</f>
        <v>17</v>
      </c>
      <c r="Q28" s="53" t="n">
        <v>0</v>
      </c>
      <c r="R28" s="53" t="n">
        <v>0</v>
      </c>
      <c r="S28" s="53" t="n">
        <f aca="false">SUM(P28:R28)</f>
        <v>17</v>
      </c>
      <c r="T28" s="54" t="n">
        <f aca="false">(I28-S28)+T27</f>
        <v>-9411.368</v>
      </c>
      <c r="U28" s="53" t="n">
        <v>18.73</v>
      </c>
      <c r="V28" s="53" t="n">
        <v>15</v>
      </c>
      <c r="W28" s="54" t="n">
        <f aca="false">W27-V28</f>
        <v>3466.778674061</v>
      </c>
      <c r="X28" s="6" t="n">
        <f aca="false">N28+O28+S28+U28+V28</f>
        <v>50.73</v>
      </c>
      <c r="Y28" s="53" t="n">
        <f aca="false">IF(L28&lt;0,L28*-1,0)</f>
        <v>19.2316838921099</v>
      </c>
      <c r="Z28" s="53" t="n">
        <f aca="false">X28+Y28</f>
        <v>69.9616838921099</v>
      </c>
      <c r="AA28" s="58" t="n">
        <v>0</v>
      </c>
      <c r="AB28" s="59" t="n">
        <v>91</v>
      </c>
      <c r="AC28" s="59" t="n">
        <v>56</v>
      </c>
      <c r="AD28" s="60" t="n">
        <v>19</v>
      </c>
      <c r="AE28" s="95" t="n">
        <f aca="false">IF(I28&gt;S28,I28-S28,I28-S28)</f>
        <v>-3</v>
      </c>
      <c r="AF28" s="12"/>
      <c r="AG28" s="0"/>
      <c r="AH28" s="6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60" t="n">
        <v>20</v>
      </c>
      <c r="B29" s="75" t="n">
        <v>6857.83</v>
      </c>
      <c r="C29" s="54" t="n">
        <v>158186</v>
      </c>
      <c r="D29" s="59" t="n">
        <f aca="false">C29-C28</f>
        <v>-111</v>
      </c>
      <c r="E29" s="54" t="n">
        <f aca="false">C29-152000</f>
        <v>6186</v>
      </c>
      <c r="F29" s="53" t="n">
        <f aca="false">D29/$D$2</f>
        <v>-55.9616838921099</v>
      </c>
      <c r="G29" s="53" t="n">
        <v>14</v>
      </c>
      <c r="H29" s="55" t="n">
        <v>0</v>
      </c>
      <c r="I29" s="53" t="n">
        <f aca="false">G29+H29</f>
        <v>14</v>
      </c>
      <c r="J29" s="83" t="n">
        <f aca="false">IF(L29&gt;0,L29,0)</f>
        <v>0</v>
      </c>
      <c r="K29" s="53" t="n">
        <f aca="false">I29+J29</f>
        <v>14</v>
      </c>
      <c r="L29" s="53" t="n">
        <f aca="false">F29-(I29-X29)</f>
        <v>-21.5416838921099</v>
      </c>
      <c r="M29" s="53" t="n">
        <v>13</v>
      </c>
      <c r="N29" s="89" t="n">
        <v>0</v>
      </c>
      <c r="O29" s="53" t="n">
        <f aca="false">3.2*1.05</f>
        <v>3.36</v>
      </c>
      <c r="P29" s="6" t="n">
        <f aca="false">M29-(N29+O29)</f>
        <v>9.64</v>
      </c>
      <c r="Q29" s="53" t="n">
        <v>0</v>
      </c>
      <c r="R29" s="53" t="n">
        <v>0</v>
      </c>
      <c r="S29" s="53" t="n">
        <f aca="false">SUM(P29:R29)</f>
        <v>9.64</v>
      </c>
      <c r="T29" s="54" t="n">
        <f aca="false">(I29-S29)+T28</f>
        <v>-9407.008</v>
      </c>
      <c r="U29" s="53" t="n">
        <v>21.42</v>
      </c>
      <c r="V29" s="53" t="n">
        <v>14</v>
      </c>
      <c r="W29" s="54" t="n">
        <f aca="false">W28-V29</f>
        <v>3452.778674061</v>
      </c>
      <c r="X29" s="6" t="n">
        <f aca="false">N29+O29+S29+U29+V29</f>
        <v>48.42</v>
      </c>
      <c r="Y29" s="53" t="n">
        <f aca="false">IF(L29&lt;0,L29*-1,0)</f>
        <v>21.5416838921099</v>
      </c>
      <c r="Z29" s="53" t="n">
        <f aca="false">X29+Y29</f>
        <v>69.9616838921099</v>
      </c>
      <c r="AA29" s="58" t="n">
        <v>0.12</v>
      </c>
      <c r="AB29" s="59" t="n">
        <v>75</v>
      </c>
      <c r="AC29" s="59" t="n">
        <v>54</v>
      </c>
      <c r="AD29" s="60" t="n">
        <v>20</v>
      </c>
      <c r="AE29" s="95" t="n">
        <f aca="false">IF(I29&gt;S29,I29-S29,I29-S29)</f>
        <v>4.36</v>
      </c>
      <c r="AF29" s="12"/>
      <c r="AG29" s="0"/>
      <c r="AH29" s="6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60" t="n">
        <v>21</v>
      </c>
      <c r="B30" s="75" t="n">
        <v>6857.78</v>
      </c>
      <c r="C30" s="54" t="n">
        <v>158075</v>
      </c>
      <c r="D30" s="59" t="n">
        <f aca="false">C30-C29</f>
        <v>-111</v>
      </c>
      <c r="E30" s="54" t="n">
        <f aca="false">C30-152000</f>
        <v>6075</v>
      </c>
      <c r="F30" s="53" t="n">
        <f aca="false">D30/$D$2</f>
        <v>-55.9616838921099</v>
      </c>
      <c r="G30" s="53" t="n">
        <v>18</v>
      </c>
      <c r="H30" s="55" t="n">
        <v>0</v>
      </c>
      <c r="I30" s="53" t="n">
        <f aca="false">G30+H30</f>
        <v>18</v>
      </c>
      <c r="J30" s="83" t="n">
        <f aca="false">IF(L30&gt;0,L30,0)</f>
        <v>0</v>
      </c>
      <c r="K30" s="53" t="n">
        <f aca="false">I30+J30</f>
        <v>18</v>
      </c>
      <c r="L30" s="53" t="n">
        <f aca="false">F30-(I30-X30)</f>
        <v>-34.8016838921099</v>
      </c>
      <c r="M30" s="53" t="n">
        <v>12</v>
      </c>
      <c r="N30" s="89" t="n">
        <v>0</v>
      </c>
      <c r="O30" s="53" t="n">
        <v>0</v>
      </c>
      <c r="P30" s="6" t="n">
        <f aca="false">M30-(N30+O30)</f>
        <v>12</v>
      </c>
      <c r="Q30" s="53" t="n">
        <v>0</v>
      </c>
      <c r="R30" s="53" t="n">
        <v>0</v>
      </c>
      <c r="S30" s="53" t="n">
        <f aca="false">SUM(P30:R30)</f>
        <v>12</v>
      </c>
      <c r="T30" s="54" t="n">
        <f aca="false">(I30-S30)+T29</f>
        <v>-9401.008</v>
      </c>
      <c r="U30" s="53" t="n">
        <v>13.16</v>
      </c>
      <c r="V30" s="53" t="n">
        <v>14</v>
      </c>
      <c r="W30" s="54" t="n">
        <f aca="false">W29-V30</f>
        <v>3438.778674061</v>
      </c>
      <c r="X30" s="6" t="n">
        <f aca="false">N30+O30+S30+U30+V30</f>
        <v>39.16</v>
      </c>
      <c r="Y30" s="53" t="n">
        <f aca="false">IF(L30&lt;0,L30*-1,0)</f>
        <v>34.8016838921099</v>
      </c>
      <c r="Z30" s="53" t="n">
        <f aca="false">X30+Y30</f>
        <v>73.9616838921099</v>
      </c>
      <c r="AA30" s="58" t="n">
        <v>0.04</v>
      </c>
      <c r="AB30" s="59" t="n">
        <v>78</v>
      </c>
      <c r="AC30" s="59" t="n">
        <v>51</v>
      </c>
      <c r="AD30" s="60" t="n">
        <v>21</v>
      </c>
      <c r="AE30" s="95" t="n">
        <f aca="false">IF(I30&gt;S30,I30-S30,I30-S30)</f>
        <v>6</v>
      </c>
      <c r="AF30" s="12"/>
      <c r="AG30" s="0"/>
      <c r="AH30" s="6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60" t="n">
        <v>22</v>
      </c>
      <c r="B31" s="75" t="n">
        <v>6857.73</v>
      </c>
      <c r="C31" s="54" t="n">
        <v>157964</v>
      </c>
      <c r="D31" s="59" t="n">
        <f aca="false">C31-C30</f>
        <v>-111</v>
      </c>
      <c r="E31" s="54" t="n">
        <f aca="false">C31-152000</f>
        <v>5964</v>
      </c>
      <c r="F31" s="53" t="n">
        <f aca="false">D31/$D$2</f>
        <v>-55.9616838921099</v>
      </c>
      <c r="G31" s="53" t="n">
        <v>22</v>
      </c>
      <c r="H31" s="55" t="n">
        <v>0</v>
      </c>
      <c r="I31" s="53" t="n">
        <f aca="false">G31+H31</f>
        <v>22</v>
      </c>
      <c r="J31" s="83" t="n">
        <f aca="false">IF(L31&gt;0,L31,0)</f>
        <v>0</v>
      </c>
      <c r="K31" s="53" t="n">
        <f aca="false">I31+J31</f>
        <v>22</v>
      </c>
      <c r="L31" s="53" t="n">
        <f aca="false">F31-(I31-X31)</f>
        <v>-47.7816838921099</v>
      </c>
      <c r="M31" s="53" t="n">
        <v>11</v>
      </c>
      <c r="N31" s="89" t="n">
        <v>0</v>
      </c>
      <c r="O31" s="53" t="n">
        <v>0</v>
      </c>
      <c r="P31" s="6" t="n">
        <f aca="false">M31-(N31+O31)</f>
        <v>11</v>
      </c>
      <c r="Q31" s="53" t="n">
        <v>0</v>
      </c>
      <c r="R31" s="53" t="n">
        <v>0</v>
      </c>
      <c r="S31" s="53" t="n">
        <f aca="false">SUM(P31:R31)</f>
        <v>11</v>
      </c>
      <c r="T31" s="54" t="n">
        <f aca="false">(I31-S31)+T30</f>
        <v>-9390.008</v>
      </c>
      <c r="U31" s="53" t="n">
        <v>5.18</v>
      </c>
      <c r="V31" s="53" t="n">
        <v>14</v>
      </c>
      <c r="W31" s="54" t="n">
        <f aca="false">W30-V31</f>
        <v>3424.778674061</v>
      </c>
      <c r="X31" s="6" t="n">
        <f aca="false">N31+O31+S31+U31+V31</f>
        <v>30.18</v>
      </c>
      <c r="Y31" s="53" t="n">
        <f aca="false">IF(L31&lt;0,L31*-1,0)</f>
        <v>47.7816838921099</v>
      </c>
      <c r="Z31" s="53" t="n">
        <f aca="false">X31+Y31</f>
        <v>77.9616838921099</v>
      </c>
      <c r="AA31" s="58" t="n">
        <v>0</v>
      </c>
      <c r="AB31" s="59" t="n">
        <v>80</v>
      </c>
      <c r="AC31" s="59" t="n">
        <v>51</v>
      </c>
      <c r="AD31" s="60" t="n">
        <v>22</v>
      </c>
      <c r="AE31" s="95" t="n">
        <f aca="false">IF(I31&gt;S31,I31-S31,I31-S31)</f>
        <v>11</v>
      </c>
      <c r="AF31" s="12"/>
      <c r="AG31" s="0"/>
      <c r="AH31" s="6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60" t="n">
        <v>23</v>
      </c>
      <c r="B32" s="75" t="n">
        <v>6857.7</v>
      </c>
      <c r="C32" s="54" t="n">
        <v>157898</v>
      </c>
      <c r="D32" s="59" t="n">
        <f aca="false">C32-C31</f>
        <v>-66</v>
      </c>
      <c r="E32" s="54" t="n">
        <f aca="false">C32-152000</f>
        <v>5898</v>
      </c>
      <c r="F32" s="53" t="n">
        <f aca="false">D32/$D$2</f>
        <v>-33.2745147466599</v>
      </c>
      <c r="G32" s="53" t="n">
        <v>20</v>
      </c>
      <c r="H32" s="55" t="n">
        <v>0</v>
      </c>
      <c r="I32" s="53" t="n">
        <f aca="false">G32+H32</f>
        <v>20</v>
      </c>
      <c r="J32" s="83" t="n">
        <f aca="false">IF(L32&gt;0,L32,0)</f>
        <v>0</v>
      </c>
      <c r="K32" s="53" t="n">
        <f aca="false">I32+J32</f>
        <v>20</v>
      </c>
      <c r="L32" s="53" t="n">
        <f aca="false">F32-(I32-X32)</f>
        <v>-26.7445147466599</v>
      </c>
      <c r="M32" s="53" t="n">
        <v>8.4</v>
      </c>
      <c r="N32" s="89" t="n">
        <v>0</v>
      </c>
      <c r="O32" s="53" t="n">
        <v>0</v>
      </c>
      <c r="P32" s="6" t="n">
        <f aca="false">M32-(N32+O32)</f>
        <v>8.4</v>
      </c>
      <c r="Q32" s="53" t="n">
        <v>0</v>
      </c>
      <c r="R32" s="53" t="n">
        <v>0</v>
      </c>
      <c r="S32" s="53" t="n">
        <f aca="false">SUM(P32:R32)</f>
        <v>8.4</v>
      </c>
      <c r="T32" s="54" t="n">
        <f aca="false">(I32-S32)+T31</f>
        <v>-9378.408</v>
      </c>
      <c r="U32" s="53" t="n">
        <v>4.13</v>
      </c>
      <c r="V32" s="53" t="n">
        <v>14</v>
      </c>
      <c r="W32" s="54" t="n">
        <f aca="false">W31-V32</f>
        <v>3410.778674061</v>
      </c>
      <c r="X32" s="6" t="n">
        <f aca="false">N32+O32+S32+U32+V32</f>
        <v>26.53</v>
      </c>
      <c r="Y32" s="53" t="n">
        <f aca="false">IF(L32&lt;0,L32*-1,0)</f>
        <v>26.7445147466599</v>
      </c>
      <c r="Z32" s="53" t="n">
        <f aca="false">X32+Y32</f>
        <v>53.2745147466599</v>
      </c>
      <c r="AA32" s="58" t="n">
        <v>0</v>
      </c>
      <c r="AB32" s="59" t="n">
        <v>81</v>
      </c>
      <c r="AC32" s="59" t="n">
        <v>51</v>
      </c>
      <c r="AD32" s="60" t="n">
        <v>23</v>
      </c>
      <c r="AE32" s="95" t="n">
        <f aca="false">IF(I32&gt;S32,I32-S32,I32-S32)</f>
        <v>11.6</v>
      </c>
      <c r="AF32" s="12"/>
      <c r="AG32" s="0"/>
      <c r="AH32" s="6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60" t="n">
        <v>24</v>
      </c>
      <c r="B33" s="75" t="n">
        <v>6857.67</v>
      </c>
      <c r="C33" s="54" t="n">
        <v>157831</v>
      </c>
      <c r="D33" s="59" t="n">
        <f aca="false">C33-C32</f>
        <v>-67</v>
      </c>
      <c r="E33" s="54" t="n">
        <f aca="false">C33-152000</f>
        <v>5831</v>
      </c>
      <c r="F33" s="53" t="n">
        <f aca="false">D33/$D$2</f>
        <v>-33.7786740610033</v>
      </c>
      <c r="G33" s="53" t="n">
        <v>18</v>
      </c>
      <c r="H33" s="55" t="n">
        <v>0</v>
      </c>
      <c r="I33" s="53" t="n">
        <f aca="false">G33+H33</f>
        <v>18</v>
      </c>
      <c r="J33" s="83" t="n">
        <f aca="false">IF(L33&gt;0,L33,0)</f>
        <v>0</v>
      </c>
      <c r="K33" s="53" t="n">
        <f aca="false">I33+J33</f>
        <v>18</v>
      </c>
      <c r="L33" s="53" t="n">
        <f aca="false">F33-(I33-X33)</f>
        <v>-29.1786740610033</v>
      </c>
      <c r="M33" s="53" t="n">
        <v>8.6</v>
      </c>
      <c r="N33" s="89" t="n">
        <v>0.35</v>
      </c>
      <c r="O33" s="53" t="n">
        <v>0</v>
      </c>
      <c r="P33" s="6" t="n">
        <f aca="false">M33-(N33+O33)</f>
        <v>8.25</v>
      </c>
      <c r="Q33" s="53" t="n">
        <v>0</v>
      </c>
      <c r="R33" s="53" t="n">
        <v>0</v>
      </c>
      <c r="S33" s="53" t="n">
        <f aca="false">SUM(P33:R33)</f>
        <v>8.25</v>
      </c>
      <c r="T33" s="54" t="n">
        <f aca="false">(I33-S33)+T32</f>
        <v>-9368.658</v>
      </c>
      <c r="U33" s="53" t="n">
        <v>0</v>
      </c>
      <c r="V33" s="53" t="n">
        <v>14</v>
      </c>
      <c r="W33" s="54" t="n">
        <f aca="false">W32-V33</f>
        <v>3396.778674061</v>
      </c>
      <c r="X33" s="6" t="n">
        <f aca="false">N33+O33+S33+U33+V33</f>
        <v>22.6</v>
      </c>
      <c r="Y33" s="53" t="n">
        <f aca="false">IF(L33&lt;0,L33*-1,0)</f>
        <v>29.1786740610033</v>
      </c>
      <c r="Z33" s="53" t="n">
        <f aca="false">X33+Y33</f>
        <v>51.7786740610033</v>
      </c>
      <c r="AA33" s="58" t="n">
        <v>0</v>
      </c>
      <c r="AB33" s="59" t="n">
        <v>82</v>
      </c>
      <c r="AC33" s="59" t="n">
        <v>46</v>
      </c>
      <c r="AD33" s="60" t="n">
        <v>24</v>
      </c>
      <c r="AE33" s="95" t="n">
        <f aca="false">IF(I33&gt;S33,I33-S33,I33-S33)</f>
        <v>9.75</v>
      </c>
      <c r="AF33" s="12"/>
      <c r="AG33" s="0"/>
      <c r="AH33" s="6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60" t="n">
        <v>25</v>
      </c>
      <c r="B34" s="75" t="n">
        <v>6857.64</v>
      </c>
      <c r="C34" s="54" t="n">
        <v>157764</v>
      </c>
      <c r="D34" s="59" t="n">
        <f aca="false">C34-C33</f>
        <v>-67</v>
      </c>
      <c r="E34" s="54" t="n">
        <f aca="false">C34-152000</f>
        <v>5764</v>
      </c>
      <c r="F34" s="53" t="n">
        <f aca="false">D34/$D$2</f>
        <v>-33.7786740610033</v>
      </c>
      <c r="G34" s="53" t="n">
        <v>15</v>
      </c>
      <c r="H34" s="55" t="n">
        <v>0</v>
      </c>
      <c r="I34" s="53" t="n">
        <f aca="false">G34+H34</f>
        <v>15</v>
      </c>
      <c r="J34" s="83" t="n">
        <f aca="false">IF(L34&gt;0,L34,0)</f>
        <v>0</v>
      </c>
      <c r="K34" s="53" t="n">
        <f aca="false">I34+J34</f>
        <v>15</v>
      </c>
      <c r="L34" s="53" t="n">
        <f aca="false">F34-(I34-X34)</f>
        <v>-19.1586740610033</v>
      </c>
      <c r="M34" s="53" t="n">
        <v>8.9</v>
      </c>
      <c r="N34" s="89" t="n">
        <v>0.35</v>
      </c>
      <c r="O34" s="53" t="n">
        <v>0</v>
      </c>
      <c r="P34" s="6" t="n">
        <f aca="false">M34-(N34+O34)</f>
        <v>8.55</v>
      </c>
      <c r="Q34" s="53" t="n">
        <v>0</v>
      </c>
      <c r="R34" s="53" t="n">
        <v>0</v>
      </c>
      <c r="S34" s="53" t="n">
        <f aca="false">SUM(P34:R34)</f>
        <v>8.55</v>
      </c>
      <c r="T34" s="54" t="n">
        <f aca="false">(I34-S34)+T33</f>
        <v>-9362.208</v>
      </c>
      <c r="U34" s="53" t="n">
        <v>5.72</v>
      </c>
      <c r="V34" s="53" t="n">
        <v>15</v>
      </c>
      <c r="W34" s="54" t="n">
        <f aca="false">W33-V34</f>
        <v>3381.778674061</v>
      </c>
      <c r="X34" s="6" t="n">
        <f aca="false">N34+O34+S34+U34+V34</f>
        <v>29.62</v>
      </c>
      <c r="Y34" s="53" t="n">
        <f aca="false">IF(L34&lt;0,L34*-1,0)</f>
        <v>19.1586740610033</v>
      </c>
      <c r="Z34" s="53" t="n">
        <f aca="false">X34+Y34</f>
        <v>48.7786740610033</v>
      </c>
      <c r="AA34" s="58" t="n">
        <v>0</v>
      </c>
      <c r="AB34" s="59" t="n">
        <v>86</v>
      </c>
      <c r="AC34" s="59" t="n">
        <v>48</v>
      </c>
      <c r="AD34" s="60" t="n">
        <v>25</v>
      </c>
      <c r="AE34" s="95" t="n">
        <f aca="false">IF(I34&gt;S34,I34-S34,I34-S34)</f>
        <v>6.45</v>
      </c>
      <c r="AF34" s="12"/>
      <c r="AG34" s="0"/>
      <c r="AH34" s="6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60" t="n">
        <v>26</v>
      </c>
      <c r="B35" s="75" t="n">
        <v>6857.61</v>
      </c>
      <c r="C35" s="54" t="n">
        <v>157698</v>
      </c>
      <c r="D35" s="59" t="n">
        <f aca="false">C35-C34</f>
        <v>-66</v>
      </c>
      <c r="E35" s="54" t="n">
        <f aca="false">C35-152000</f>
        <v>5698</v>
      </c>
      <c r="F35" s="53" t="n">
        <f aca="false">D35/$D$2</f>
        <v>-33.2745147466599</v>
      </c>
      <c r="G35" s="53" t="n">
        <v>14</v>
      </c>
      <c r="H35" s="55" t="n">
        <v>0</v>
      </c>
      <c r="I35" s="53" t="n">
        <f aca="false">G35+H35</f>
        <v>14</v>
      </c>
      <c r="J35" s="83" t="n">
        <f aca="false">IF(L35&gt;0,L35,0)</f>
        <v>0</v>
      </c>
      <c r="K35" s="53" t="n">
        <f aca="false">I35+J35</f>
        <v>14</v>
      </c>
      <c r="L35" s="53" t="n">
        <f aca="false">F35-(I35-X35)</f>
        <v>-2.10451474665994</v>
      </c>
      <c r="M35" s="53" t="n">
        <v>8.9</v>
      </c>
      <c r="N35" s="89" t="n">
        <v>0.41</v>
      </c>
      <c r="O35" s="53" t="n">
        <v>0</v>
      </c>
      <c r="P35" s="6" t="n">
        <f aca="false">M35-(N35+O35)</f>
        <v>8.49</v>
      </c>
      <c r="Q35" s="53" t="n">
        <v>0</v>
      </c>
      <c r="R35" s="53" t="n">
        <v>0</v>
      </c>
      <c r="S35" s="53" t="n">
        <f aca="false">SUM(P35:R35)</f>
        <v>8.49</v>
      </c>
      <c r="T35" s="54" t="n">
        <f aca="false">(I35-S35)+T34</f>
        <v>-9356.698</v>
      </c>
      <c r="U35" s="53" t="n">
        <v>21.27</v>
      </c>
      <c r="V35" s="53" t="n">
        <v>15</v>
      </c>
      <c r="W35" s="54" t="n">
        <f aca="false">W34-V35</f>
        <v>3366.778674061</v>
      </c>
      <c r="X35" s="6" t="n">
        <f aca="false">N35+O35+S35+U35+V35</f>
        <v>45.17</v>
      </c>
      <c r="Y35" s="53" t="n">
        <f aca="false">IF(L35&lt;0,L35*-1,0)</f>
        <v>2.10451474665994</v>
      </c>
      <c r="Z35" s="53" t="n">
        <f aca="false">X35+Y35</f>
        <v>47.27451474666</v>
      </c>
      <c r="AA35" s="58" t="n">
        <v>0</v>
      </c>
      <c r="AB35" s="59" t="n">
        <v>87</v>
      </c>
      <c r="AC35" s="59" t="n">
        <v>49</v>
      </c>
      <c r="AD35" s="60" t="n">
        <v>26</v>
      </c>
      <c r="AE35" s="95" t="n">
        <f aca="false">IF(I35&gt;S35,I35-S35,I35-S35)</f>
        <v>5.51</v>
      </c>
      <c r="AF35" s="12"/>
      <c r="AG35" s="0"/>
      <c r="AH35" s="3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60" t="n">
        <v>27</v>
      </c>
      <c r="B36" s="75" t="n">
        <v>6857.58</v>
      </c>
      <c r="C36" s="54" t="n">
        <v>157631</v>
      </c>
      <c r="D36" s="59" t="n">
        <f aca="false">C36-C35</f>
        <v>-67</v>
      </c>
      <c r="E36" s="54" t="n">
        <f aca="false">C36-152000</f>
        <v>5631</v>
      </c>
      <c r="F36" s="53" t="n">
        <f aca="false">D36/$D$2</f>
        <v>-33.7786740610033</v>
      </c>
      <c r="G36" s="53" t="n">
        <v>13</v>
      </c>
      <c r="H36" s="55" t="n">
        <v>0</v>
      </c>
      <c r="I36" s="53" t="n">
        <f aca="false">G36+H36</f>
        <v>13</v>
      </c>
      <c r="J36" s="83" t="n">
        <f aca="false">IF(L36&gt;0,L36,0)</f>
        <v>7.92132593899672</v>
      </c>
      <c r="K36" s="53" t="n">
        <f aca="false">I36+J36</f>
        <v>20.9213259389967</v>
      </c>
      <c r="L36" s="53" t="n">
        <f aca="false">F36-(I36-X36)</f>
        <v>7.92132593899672</v>
      </c>
      <c r="M36" s="53" t="n">
        <v>8.5</v>
      </c>
      <c r="N36" s="89" t="n">
        <v>0</v>
      </c>
      <c r="O36" s="53" t="n">
        <v>0</v>
      </c>
      <c r="P36" s="6" t="n">
        <f aca="false">M36-(N36+O36)</f>
        <v>8.5</v>
      </c>
      <c r="Q36" s="53" t="n">
        <v>0</v>
      </c>
      <c r="R36" s="53" t="n">
        <v>0</v>
      </c>
      <c r="S36" s="53" t="n">
        <f aca="false">SUM(P36:R36)</f>
        <v>8.5</v>
      </c>
      <c r="T36" s="54" t="n">
        <f aca="false">(I36-S36)+T35</f>
        <v>-9352.198</v>
      </c>
      <c r="U36" s="53" t="n">
        <v>31.2</v>
      </c>
      <c r="V36" s="53" t="n">
        <v>15</v>
      </c>
      <c r="W36" s="54" t="n">
        <f aca="false">W35-V36</f>
        <v>3351.778674061</v>
      </c>
      <c r="X36" s="6" t="n">
        <f aca="false">N36+O36+S36+U36+V36</f>
        <v>54.7</v>
      </c>
      <c r="Y36" s="53" t="n">
        <f aca="false">IF(L36&lt;0,L36*-1,0)</f>
        <v>0</v>
      </c>
      <c r="Z36" s="53" t="n">
        <f aca="false">X36+Y36</f>
        <v>54.7</v>
      </c>
      <c r="AA36" s="58" t="n">
        <v>0</v>
      </c>
      <c r="AB36" s="59" t="n">
        <v>85</v>
      </c>
      <c r="AC36" s="59" t="n">
        <v>49</v>
      </c>
      <c r="AD36" s="60" t="n">
        <v>27</v>
      </c>
      <c r="AE36" s="95" t="n">
        <f aca="false">IF(I36&gt;S36,I36-S36,I36-S36)</f>
        <v>4.5</v>
      </c>
      <c r="AF36" s="12"/>
      <c r="AG36" s="0"/>
      <c r="AH36" s="6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60" t="n">
        <v>28</v>
      </c>
      <c r="B37" s="75" t="n">
        <v>6857.61</v>
      </c>
      <c r="C37" s="54" t="n">
        <v>157698</v>
      </c>
      <c r="D37" s="59" t="n">
        <f aca="false">C37-C36</f>
        <v>67</v>
      </c>
      <c r="E37" s="54" t="n">
        <f aca="false">C37-152000</f>
        <v>5698</v>
      </c>
      <c r="F37" s="53" t="n">
        <f aca="false">D37/$D$2</f>
        <v>33.7786740610033</v>
      </c>
      <c r="G37" s="53" t="n">
        <v>12</v>
      </c>
      <c r="H37" s="55" t="n">
        <v>0</v>
      </c>
      <c r="I37" s="53" t="n">
        <f aca="false">G37+H37</f>
        <v>12</v>
      </c>
      <c r="J37" s="83" t="n">
        <f aca="false">IF(L37&gt;0,L37,0)</f>
        <v>69.6186740610033</v>
      </c>
      <c r="K37" s="53" t="n">
        <f aca="false">I37+J37</f>
        <v>81.6186740610033</v>
      </c>
      <c r="L37" s="53" t="n">
        <f aca="false">F37-(I37-X37)</f>
        <v>69.6186740610033</v>
      </c>
      <c r="M37" s="53" t="n">
        <v>8.4</v>
      </c>
      <c r="N37" s="89" t="n">
        <v>0</v>
      </c>
      <c r="O37" s="53" t="n">
        <v>0</v>
      </c>
      <c r="P37" s="6" t="n">
        <f aca="false">M37-(N37+O37)</f>
        <v>8.4</v>
      </c>
      <c r="Q37" s="53" t="n">
        <v>0</v>
      </c>
      <c r="R37" s="53" t="n">
        <v>0</v>
      </c>
      <c r="S37" s="53" t="n">
        <f aca="false">SUM(P37:R37)</f>
        <v>8.4</v>
      </c>
      <c r="T37" s="54" t="n">
        <f aca="false">(I37-S37)+T36</f>
        <v>-9348.598</v>
      </c>
      <c r="U37" s="53" t="n">
        <v>24.44</v>
      </c>
      <c r="V37" s="53" t="n">
        <v>15</v>
      </c>
      <c r="W37" s="54" t="n">
        <f aca="false">W36-V37</f>
        <v>3336.778674061</v>
      </c>
      <c r="X37" s="6" t="n">
        <f aca="false">N37+O37+S37+U37+V37</f>
        <v>47.84</v>
      </c>
      <c r="Y37" s="53" t="n">
        <f aca="false">IF(L37&lt;0,L37*-1,0)</f>
        <v>0</v>
      </c>
      <c r="Z37" s="53" t="n">
        <f aca="false">X37+Y37</f>
        <v>47.84</v>
      </c>
      <c r="AA37" s="58" t="n">
        <v>0.03</v>
      </c>
      <c r="AB37" s="59" t="n">
        <v>85</v>
      </c>
      <c r="AC37" s="59" t="n">
        <v>52</v>
      </c>
      <c r="AD37" s="60" t="n">
        <v>28</v>
      </c>
      <c r="AE37" s="95" t="n">
        <f aca="false">IF(I37&gt;S37,I37-S37,I37-S37)</f>
        <v>3.6</v>
      </c>
      <c r="AF37" s="12"/>
      <c r="AG37" s="0"/>
      <c r="AH37" s="6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60" t="n">
        <v>29</v>
      </c>
      <c r="B38" s="75" t="n">
        <v>6857.66</v>
      </c>
      <c r="C38" s="54" t="n">
        <v>157809</v>
      </c>
      <c r="D38" s="59" t="n">
        <f aca="false">C38-C37</f>
        <v>111</v>
      </c>
      <c r="E38" s="54" t="n">
        <f aca="false">C38-152000</f>
        <v>5809</v>
      </c>
      <c r="F38" s="53" t="n">
        <f aca="false">D38/$D$2</f>
        <v>55.9616838921099</v>
      </c>
      <c r="G38" s="53" t="n">
        <v>17</v>
      </c>
      <c r="H38" s="55" t="n">
        <v>0</v>
      </c>
      <c r="I38" s="53" t="n">
        <f aca="false">G38+H38</f>
        <v>17</v>
      </c>
      <c r="J38" s="83" t="n">
        <f aca="false">IF(L38&gt;0,L38,0)</f>
        <v>66.5816838921099</v>
      </c>
      <c r="K38" s="53" t="n">
        <f aca="false">I38+J38</f>
        <v>83.5816838921099</v>
      </c>
      <c r="L38" s="53" t="n">
        <f aca="false">F38-(I38-X38)</f>
        <v>66.5816838921099</v>
      </c>
      <c r="M38" s="53" t="n">
        <v>8.4</v>
      </c>
      <c r="N38" s="89" t="n">
        <v>0</v>
      </c>
      <c r="O38" s="53" t="n">
        <v>0</v>
      </c>
      <c r="P38" s="6" t="n">
        <f aca="false">M38-(N38+O38)</f>
        <v>8.4</v>
      </c>
      <c r="Q38" s="53" t="n">
        <v>0</v>
      </c>
      <c r="R38" s="53" t="n">
        <v>0</v>
      </c>
      <c r="S38" s="53" t="n">
        <f aca="false">SUM(P38:R38)</f>
        <v>8.4</v>
      </c>
      <c r="T38" s="54" t="n">
        <f aca="false">(I38-S38)+T37</f>
        <v>-9339.998</v>
      </c>
      <c r="U38" s="53" t="n">
        <v>4.22</v>
      </c>
      <c r="V38" s="53" t="n">
        <v>15</v>
      </c>
      <c r="W38" s="54" t="n">
        <f aca="false">W37-V38</f>
        <v>3321.778674061</v>
      </c>
      <c r="X38" s="6" t="n">
        <f aca="false">N38+O38+S38+U38+V38</f>
        <v>27.62</v>
      </c>
      <c r="Y38" s="53" t="n">
        <f aca="false">IF(L38&lt;0,L38*-1,0)</f>
        <v>0</v>
      </c>
      <c r="Z38" s="53" t="n">
        <f aca="false">X38+Y38</f>
        <v>27.62</v>
      </c>
      <c r="AA38" s="58" t="n">
        <v>0.81</v>
      </c>
      <c r="AB38" s="59" t="n">
        <v>62</v>
      </c>
      <c r="AC38" s="59" t="n">
        <v>48</v>
      </c>
      <c r="AD38" s="60" t="n">
        <v>29</v>
      </c>
      <c r="AE38" s="95" t="n">
        <f aca="false">IF(I38&gt;S38,I38-S38,I38-S38)</f>
        <v>8.6</v>
      </c>
      <c r="AF38" s="12"/>
      <c r="AG38" s="0"/>
      <c r="AH38" s="6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60" t="n">
        <v>30</v>
      </c>
      <c r="B39" s="75" t="n">
        <v>6857.63</v>
      </c>
      <c r="C39" s="54" t="n">
        <v>157742</v>
      </c>
      <c r="D39" s="59" t="n">
        <f aca="false">C39-C38</f>
        <v>-67</v>
      </c>
      <c r="E39" s="54" t="n">
        <f aca="false">C39-152000</f>
        <v>5742</v>
      </c>
      <c r="F39" s="53" t="n">
        <f aca="false">D39/$D$2</f>
        <v>-33.7786740610033</v>
      </c>
      <c r="G39" s="53" t="n">
        <v>28</v>
      </c>
      <c r="H39" s="55" t="n">
        <v>0</v>
      </c>
      <c r="I39" s="53" t="n">
        <f aca="false">G39+H39</f>
        <v>28</v>
      </c>
      <c r="J39" s="83" t="n">
        <f aca="false">IF(L39&gt;0,L39,0)</f>
        <v>0</v>
      </c>
      <c r="K39" s="53" t="n">
        <f aca="false">I39+J39</f>
        <v>28</v>
      </c>
      <c r="L39" s="53" t="n">
        <f aca="false">F39-(I39-X39)</f>
        <v>-37.6786740610033</v>
      </c>
      <c r="M39" s="53" t="n">
        <v>9.1</v>
      </c>
      <c r="N39" s="89" t="n">
        <v>0</v>
      </c>
      <c r="O39" s="53" t="n">
        <v>0</v>
      </c>
      <c r="P39" s="6" t="n">
        <f aca="false">M39-(N39+O39)</f>
        <v>9.1</v>
      </c>
      <c r="Q39" s="53" t="n">
        <v>0</v>
      </c>
      <c r="R39" s="53" t="n">
        <v>0</v>
      </c>
      <c r="S39" s="53" t="n">
        <f aca="false">SUM(P39:R39)</f>
        <v>9.1</v>
      </c>
      <c r="T39" s="54" t="n">
        <f aca="false">(I39-S39)+T38</f>
        <v>-9321.098</v>
      </c>
      <c r="U39" s="53" t="n">
        <v>0</v>
      </c>
      <c r="V39" s="53" t="n">
        <v>15</v>
      </c>
      <c r="W39" s="54" t="n">
        <f aca="false">W38-V39</f>
        <v>3306.778674061</v>
      </c>
      <c r="X39" s="6" t="n">
        <f aca="false">N39+O39+S39+U39+V39</f>
        <v>24.1</v>
      </c>
      <c r="Y39" s="53" t="n">
        <f aca="false">IF(L39&lt;0,L39*-1,0)</f>
        <v>37.6786740610033</v>
      </c>
      <c r="Z39" s="53" t="n">
        <f aca="false">X39+Y39</f>
        <v>61.7786740610033</v>
      </c>
      <c r="AA39" s="58" t="n">
        <v>0</v>
      </c>
      <c r="AB39" s="59" t="n">
        <v>78</v>
      </c>
      <c r="AC39" s="59" t="n">
        <v>47</v>
      </c>
      <c r="AD39" s="60" t="n">
        <v>30</v>
      </c>
      <c r="AE39" s="95" t="n">
        <f aca="false">IF(I39&gt;S39,I39-S39,I39-S39)</f>
        <v>18.9</v>
      </c>
      <c r="AF39" s="12"/>
      <c r="AG39" s="0"/>
      <c r="AH39" s="6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60" t="n">
        <v>31</v>
      </c>
      <c r="B40" s="75" t="n">
        <v>6857.61</v>
      </c>
      <c r="C40" s="54" t="n">
        <v>157698</v>
      </c>
      <c r="D40" s="59" t="n">
        <f aca="false">C40-C39</f>
        <v>-44</v>
      </c>
      <c r="E40" s="54" t="n">
        <f aca="false">C40-152000</f>
        <v>5698</v>
      </c>
      <c r="F40" s="53" t="n">
        <f aca="false">D40/$D$2</f>
        <v>-22.1830098311066</v>
      </c>
      <c r="G40" s="53" t="n">
        <v>32</v>
      </c>
      <c r="H40" s="55" t="n">
        <v>0</v>
      </c>
      <c r="I40" s="53" t="n">
        <f aca="false">G40+H40</f>
        <v>32</v>
      </c>
      <c r="J40" s="83" t="n">
        <f aca="false">IF(L40&gt;0,L40,0)</f>
        <v>0</v>
      </c>
      <c r="K40" s="53" t="n">
        <f aca="false">I40+J40</f>
        <v>32</v>
      </c>
      <c r="L40" s="53" t="n">
        <f aca="false">F40-(I40-X40)</f>
        <v>-28.1830098311066</v>
      </c>
      <c r="M40" s="53" t="n">
        <v>11</v>
      </c>
      <c r="N40" s="89" t="n">
        <v>0</v>
      </c>
      <c r="O40" s="53" t="n">
        <v>0</v>
      </c>
      <c r="P40" s="6" t="n">
        <f aca="false">M40-(N40+O40)</f>
        <v>11</v>
      </c>
      <c r="Q40" s="53" t="n">
        <v>0</v>
      </c>
      <c r="R40" s="53" t="n">
        <v>0</v>
      </c>
      <c r="S40" s="53" t="n">
        <f aca="false">SUM(P40:R40)</f>
        <v>11</v>
      </c>
      <c r="T40" s="54" t="n">
        <f aca="false">(I40-S40)+T39</f>
        <v>-9300.098</v>
      </c>
      <c r="U40" s="53" t="n">
        <v>0</v>
      </c>
      <c r="V40" s="53" t="n">
        <v>15</v>
      </c>
      <c r="W40" s="54" t="n">
        <f aca="false">W39-V40</f>
        <v>3291.778674061</v>
      </c>
      <c r="X40" s="6" t="n">
        <f aca="false">N40+O40+S40+U40+V40</f>
        <v>26</v>
      </c>
      <c r="Y40" s="53" t="n">
        <f aca="false">IF(L40&lt;0,L40*-1,0)</f>
        <v>28.1830098311066</v>
      </c>
      <c r="Z40" s="53" t="n">
        <f aca="false">X40+Y40</f>
        <v>54.1830098311066</v>
      </c>
      <c r="AA40" s="58" t="n">
        <v>0</v>
      </c>
      <c r="AB40" s="59" t="n">
        <v>81</v>
      </c>
      <c r="AC40" s="59" t="n">
        <v>51</v>
      </c>
      <c r="AD40" s="60" t="n">
        <v>31</v>
      </c>
      <c r="AE40" s="95" t="n">
        <f aca="false">IF(I40&gt;S40,I40-S40,I40-S40)</f>
        <v>21</v>
      </c>
      <c r="AF40" s="108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8"/>
      <c r="U41" s="76"/>
      <c r="V41" s="76"/>
      <c r="W41" s="76"/>
      <c r="X41" s="76"/>
      <c r="Y41" s="76"/>
      <c r="Z41" s="76"/>
      <c r="AA41" s="80"/>
      <c r="AB41" s="81"/>
      <c r="AC41" s="81"/>
      <c r="AD41" s="82"/>
      <c r="AE41" s="94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-279.304260146206</v>
      </c>
      <c r="G42" s="54" t="n">
        <f aca="false">SUM(G10:G40)</f>
        <v>1361</v>
      </c>
      <c r="H42" s="54" t="n">
        <f aca="false">SUM(H10:H40)</f>
        <v>0</v>
      </c>
      <c r="I42" s="54" t="n">
        <f aca="false">SUM(I10:I40)</f>
        <v>1361</v>
      </c>
      <c r="J42" s="54" t="n">
        <f aca="false">SUM(J10:J40)</f>
        <v>166.01487522057</v>
      </c>
      <c r="K42" s="54" t="n">
        <f aca="false">SUM(K10:K40)</f>
        <v>1527.01487522057</v>
      </c>
      <c r="L42" s="54" t="n">
        <f aca="false">SUM(L10:L40)</f>
        <v>-242.114260146206</v>
      </c>
      <c r="M42" s="54" t="n">
        <f aca="false">SUM(M10:M40)</f>
        <v>477.2</v>
      </c>
      <c r="N42" s="54" t="n">
        <f aca="false">SUM(N10:N40)</f>
        <v>13.36</v>
      </c>
      <c r="O42" s="54" t="n">
        <f aca="false">SUM(O10:O40)</f>
        <v>3.36</v>
      </c>
      <c r="P42" s="54" t="n">
        <f aca="false">SUM(P10:P40)</f>
        <v>460.48</v>
      </c>
      <c r="Q42" s="54" t="n">
        <f aca="false">SUM(Q10:Q40)</f>
        <v>37</v>
      </c>
      <c r="R42" s="54" t="n">
        <f aca="false">SUM(R10:R40)</f>
        <v>40.44</v>
      </c>
      <c r="S42" s="54" t="n">
        <f aca="false">SUM(S10:S40)</f>
        <v>537.92</v>
      </c>
      <c r="T42" s="54"/>
      <c r="U42" s="54" t="n">
        <f aca="false">SUM(U10:U40)</f>
        <v>391.55</v>
      </c>
      <c r="V42" s="54" t="n">
        <f aca="false">SUM(V10:V40)</f>
        <v>452</v>
      </c>
      <c r="W42" s="54"/>
      <c r="X42" s="54" t="n">
        <f aca="false">SUM(X10:X40)</f>
        <v>1398.19</v>
      </c>
      <c r="Y42" s="54" t="n">
        <f aca="false">SUM(Y10:Y40)</f>
        <v>408.129135366776</v>
      </c>
      <c r="Z42" s="54" t="n">
        <f aca="false">SUM(Z10:Z40)</f>
        <v>1806.31913536678</v>
      </c>
      <c r="AA42" s="58" t="n">
        <f aca="false">SUM(AA10:AA40)</f>
        <v>1.27</v>
      </c>
      <c r="AB42" s="59" t="n">
        <f aca="false">AVERAGE(AB10:AB40)</f>
        <v>84.1290322580645</v>
      </c>
      <c r="AC42" s="59" t="n">
        <f aca="false">AVERAGE(AC10:AC40)</f>
        <v>52.2903225806452</v>
      </c>
      <c r="AD42" s="60" t="s">
        <v>73</v>
      </c>
      <c r="AE42" s="94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-554</v>
      </c>
      <c r="E43" s="54"/>
      <c r="F43" s="54" t="n">
        <f aca="false">F42*$D$2</f>
        <v>-554</v>
      </c>
      <c r="G43" s="54" t="n">
        <f aca="false">G42*$D$2</f>
        <v>2699.5435</v>
      </c>
      <c r="H43" s="54" t="n">
        <f aca="false">H42*$D$2</f>
        <v>0</v>
      </c>
      <c r="I43" s="54" t="n">
        <f aca="false">I42*$D$2</f>
        <v>2699.5435</v>
      </c>
      <c r="J43" s="54" t="n">
        <f aca="false">J42*$D$2</f>
        <v>329.290505</v>
      </c>
      <c r="K43" s="54" t="n">
        <f aca="false">K42*$D$2</f>
        <v>3028.834005</v>
      </c>
      <c r="L43" s="54" t="n">
        <f aca="false">L42*$D$2</f>
        <v>-480.233635</v>
      </c>
      <c r="M43" s="54" t="n">
        <f aca="false">M42*$D$2</f>
        <v>946.5262</v>
      </c>
      <c r="N43" s="54" t="n">
        <f aca="false">N42*$D$2</f>
        <v>26.49956</v>
      </c>
      <c r="O43" s="54" t="n">
        <f aca="false">O42*$D$2</f>
        <v>6.66456</v>
      </c>
      <c r="P43" s="54" t="n">
        <f aca="false">P42*$D$2</f>
        <v>913.36208</v>
      </c>
      <c r="Q43" s="54" t="n">
        <f aca="false">Q42*$D$2</f>
        <v>73.3895</v>
      </c>
      <c r="R43" s="54" t="n">
        <f aca="false">R42*$D$2</f>
        <v>80.21274</v>
      </c>
      <c r="S43" s="54" t="n">
        <f aca="false">S42*$D$2</f>
        <v>1066.96432</v>
      </c>
      <c r="T43" s="54"/>
      <c r="U43" s="54" t="n">
        <f aca="false">U42*$D$2</f>
        <v>776.639425</v>
      </c>
      <c r="V43" s="54" t="n">
        <f aca="false">V42*$D$2</f>
        <v>896.542</v>
      </c>
      <c r="W43" s="54"/>
      <c r="X43" s="54" t="n">
        <f aca="false">X42*$D$2</f>
        <v>2773.309865</v>
      </c>
      <c r="Y43" s="54" t="n">
        <f aca="false">Y42*$D$2</f>
        <v>809.52414</v>
      </c>
      <c r="Z43" s="54" t="n">
        <f aca="false">Z42*$D$2</f>
        <v>3582.834005</v>
      </c>
      <c r="AA43" s="58"/>
      <c r="AB43" s="59" t="n">
        <f aca="false">MAX(AB10:AB40)</f>
        <v>92</v>
      </c>
      <c r="AC43" s="59" t="n">
        <f aca="false">MAX(AC10:AC40)</f>
        <v>59</v>
      </c>
      <c r="AD43" s="60" t="s">
        <v>49</v>
      </c>
      <c r="AE43" s="94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58"/>
      <c r="AB44" s="59"/>
      <c r="AC44" s="59"/>
      <c r="AD44" s="60"/>
      <c r="AE44" s="94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-25141.4166876733</v>
      </c>
      <c r="G45" s="54" t="n">
        <f aca="false">G7+G42</f>
        <v>25193</v>
      </c>
      <c r="H45" s="54" t="n">
        <f aca="false">H7+H42</f>
        <v>27.82</v>
      </c>
      <c r="I45" s="54" t="n">
        <f aca="false">I7+I42</f>
        <v>25220.82</v>
      </c>
      <c r="J45" s="54" t="n">
        <f aca="false">J7+J42</f>
        <v>940.003398033779</v>
      </c>
      <c r="K45" s="54" t="n">
        <f aca="false">K7+K42</f>
        <v>26160.8233980338</v>
      </c>
      <c r="L45" s="54" t="n">
        <f aca="false">L7+L42</f>
        <v>-2061.9566876733</v>
      </c>
      <c r="M45" s="54" t="n">
        <f aca="false">M7+M42</f>
        <v>20557.2</v>
      </c>
      <c r="N45" s="54" t="n">
        <f aca="false">N7+N42</f>
        <v>42.34</v>
      </c>
      <c r="O45" s="54" t="n">
        <f aca="false">O7+O42</f>
        <v>2510.382</v>
      </c>
      <c r="P45" s="54" t="n">
        <f aca="false">P7+P42</f>
        <v>18004.478</v>
      </c>
      <c r="Q45" s="54" t="n">
        <f aca="false">Q7+Q42</f>
        <v>10396</v>
      </c>
      <c r="R45" s="54" t="n">
        <f aca="false">R7+R42</f>
        <v>6120.44</v>
      </c>
      <c r="S45" s="54" t="n">
        <f aca="false">S7+S42</f>
        <v>34520.918</v>
      </c>
      <c r="T45" s="178" t="n">
        <f aca="false">T40</f>
        <v>-9300.098</v>
      </c>
      <c r="U45" s="54" t="n">
        <f aca="false">U7+U42</f>
        <v>8484.64</v>
      </c>
      <c r="V45" s="54" t="n">
        <f aca="false">V7+V42</f>
        <v>2742</v>
      </c>
      <c r="W45" s="178" t="n">
        <f aca="false">W40</f>
        <v>3291.778674061</v>
      </c>
      <c r="X45" s="54" t="n">
        <f aca="false">X7+X42</f>
        <v>48300.28</v>
      </c>
      <c r="Y45" s="54" t="n">
        <f aca="false">Y7+Y42</f>
        <v>3001.96008570708</v>
      </c>
      <c r="Z45" s="54" t="n">
        <f aca="false">Z7+Z42</f>
        <v>51302.2400857071</v>
      </c>
      <c r="AA45" s="58"/>
      <c r="AB45" s="59" t="n">
        <f aca="false">MIN(AB10:AB40)</f>
        <v>62</v>
      </c>
      <c r="AC45" s="59" t="n">
        <f aca="false">MIN(AC10:AC40)</f>
        <v>46</v>
      </c>
      <c r="AD45" s="60" t="s">
        <v>51</v>
      </c>
      <c r="AE45" s="94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-49868</v>
      </c>
      <c r="G46" s="54" t="n">
        <f aca="false">G45*$D$2</f>
        <v>49970.3155</v>
      </c>
      <c r="H46" s="54" t="n">
        <f aca="false">H45*$D$2</f>
        <v>55.18097</v>
      </c>
      <c r="I46" s="54" t="n">
        <f aca="false">I45*$D$2</f>
        <v>50025.49647</v>
      </c>
      <c r="J46" s="54" t="n">
        <f aca="false">J45*$D$2</f>
        <v>1864.49674</v>
      </c>
      <c r="K46" s="54" t="n">
        <f aca="false">K45*$D$2</f>
        <v>51889.99321</v>
      </c>
      <c r="L46" s="54" t="n">
        <f aca="false">L45*$D$2</f>
        <v>-4089.89109</v>
      </c>
      <c r="M46" s="54" t="n">
        <f aca="false">M45*$D$2</f>
        <v>40775.2062</v>
      </c>
      <c r="N46" s="54" t="n">
        <f aca="false">N45*$D$2</f>
        <v>83.98139</v>
      </c>
      <c r="O46" s="54" t="n">
        <f aca="false">O45*$D$2</f>
        <v>4979.342697</v>
      </c>
      <c r="P46" s="54" t="n">
        <f aca="false">P45*$D$2</f>
        <v>35711.882113</v>
      </c>
      <c r="Q46" s="54" t="n">
        <f aca="false">Q45*$D$2</f>
        <v>20620.466</v>
      </c>
      <c r="R46" s="54" t="n">
        <f aca="false">R45*$D$2</f>
        <v>12139.89274</v>
      </c>
      <c r="S46" s="54" t="n">
        <f aca="false">S45*$D$2</f>
        <v>68472.240853</v>
      </c>
      <c r="T46" s="54" t="n">
        <f aca="false">T45*$D$2</f>
        <v>-18446.744383</v>
      </c>
      <c r="U46" s="54" t="n">
        <f aca="false">U45*$D$2</f>
        <v>16829.28344</v>
      </c>
      <c r="V46" s="54" t="n">
        <f aca="false">V45*$D$2</f>
        <v>5438.757</v>
      </c>
      <c r="W46" s="54" t="n">
        <f aca="false">W45*$D$2</f>
        <v>6529.243</v>
      </c>
      <c r="X46" s="54" t="n">
        <f aca="false">X45*$D$2</f>
        <v>95803.60538</v>
      </c>
      <c r="Y46" s="54" t="n">
        <f aca="false">Y45*$D$2</f>
        <v>5954.38783</v>
      </c>
      <c r="Z46" s="54" t="n">
        <f aca="false">Z45*$D$2</f>
        <v>101757.99321</v>
      </c>
      <c r="AA46" s="58"/>
      <c r="AB46" s="59"/>
      <c r="AC46" s="59"/>
      <c r="AD46" s="60"/>
      <c r="AE46" s="94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80"/>
      <c r="AB47" s="59"/>
      <c r="AC47" s="59"/>
      <c r="AD47" s="60"/>
      <c r="AE47" s="94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-24324.6785984371</v>
      </c>
      <c r="G48" s="54" t="n">
        <f aca="false">G8+G42</f>
        <v>31735</v>
      </c>
      <c r="H48" s="59" t="n">
        <f aca="false">H8+H42</f>
        <v>63.35</v>
      </c>
      <c r="I48" s="54" t="n">
        <f aca="false">I8+I42</f>
        <v>31750.82</v>
      </c>
      <c r="J48" s="54" t="n">
        <f aca="false">J8+J42</f>
        <v>2346.55399798336</v>
      </c>
      <c r="K48" s="54" t="n">
        <f aca="false">K8+K42</f>
        <v>34097.3739979834</v>
      </c>
      <c r="L48" s="54" t="n">
        <f aca="false">L8+L42</f>
        <v>-1791.13859843711</v>
      </c>
      <c r="M48" s="54" t="n">
        <f aca="false">M8+M42</f>
        <v>21752.78</v>
      </c>
      <c r="N48" s="54" t="n">
        <f aca="false">N8+N42</f>
        <v>47.42</v>
      </c>
      <c r="O48" s="54" t="n">
        <f aca="false">O8+O42</f>
        <v>3021.717</v>
      </c>
      <c r="P48" s="54" t="n">
        <f aca="false">P8+P42</f>
        <v>19085.843</v>
      </c>
      <c r="Q48" s="54" t="n">
        <f aca="false">Q8+Q42</f>
        <v>10396</v>
      </c>
      <c r="R48" s="54" t="n">
        <f aca="false">R8+R42</f>
        <v>6247.94</v>
      </c>
      <c r="S48" s="54" t="n">
        <f aca="false">S8+S42</f>
        <v>35729.783</v>
      </c>
      <c r="T48" s="54" t="n">
        <f aca="false">T45</f>
        <v>-9300.098</v>
      </c>
      <c r="U48" s="54" t="n">
        <f aca="false">U8+U42</f>
        <v>8484.64</v>
      </c>
      <c r="V48" s="54" t="n">
        <f aca="false">V8+V42</f>
        <v>7403</v>
      </c>
      <c r="W48" s="54" t="n">
        <f aca="false">W40</f>
        <v>3291.778674061</v>
      </c>
      <c r="X48" s="54" t="n">
        <f aca="false">X8+X42</f>
        <v>54284.36</v>
      </c>
      <c r="Y48" s="54" t="n">
        <f aca="false">Y8+Y42</f>
        <v>4137.69259642047</v>
      </c>
      <c r="Z48" s="54" t="n">
        <f aca="false">Z8+Z42</f>
        <v>58422.0525964205</v>
      </c>
      <c r="AA48" s="58" t="n">
        <f aca="false">AA8+AA42</f>
        <v>5.79</v>
      </c>
      <c r="AB48" s="59"/>
      <c r="AC48" s="59"/>
      <c r="AD48" s="60"/>
      <c r="AE48" s="94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-48248</v>
      </c>
      <c r="E49" s="54" t="n">
        <f aca="false">E40</f>
        <v>5698</v>
      </c>
      <c r="F49" s="54" t="n">
        <f aca="false">F48*$D$2</f>
        <v>-48248</v>
      </c>
      <c r="G49" s="54" t="n">
        <f aca="false">G48*$D$2</f>
        <v>62946.3725</v>
      </c>
      <c r="H49" s="59" t="n">
        <f aca="false">H48*$D$2</f>
        <v>125.654725</v>
      </c>
      <c r="I49" s="54" t="n">
        <f aca="false">I48*$D$2</f>
        <v>62977.75147</v>
      </c>
      <c r="J49" s="54" t="n">
        <f aca="false">J48*$D$2</f>
        <v>4654.389855</v>
      </c>
      <c r="K49" s="54" t="n">
        <f aca="false">K48*$D$2</f>
        <v>67632.141325</v>
      </c>
      <c r="L49" s="54" t="n">
        <f aca="false">L48*$D$2</f>
        <v>-3552.72341</v>
      </c>
      <c r="M49" s="54" t="n">
        <f aca="false">M48*$D$2</f>
        <v>43146.63913</v>
      </c>
      <c r="N49" s="54" t="n">
        <f aca="false">N48*$D$2</f>
        <v>94.05757</v>
      </c>
      <c r="O49" s="54" t="n">
        <f aca="false">O48*$D$2</f>
        <v>5993.5756695</v>
      </c>
      <c r="P49" s="54" t="n">
        <f aca="false">P48*$D$2</f>
        <v>37856.7695905</v>
      </c>
      <c r="Q49" s="54" t="n">
        <f aca="false">Q48*$D$2</f>
        <v>20620.466</v>
      </c>
      <c r="R49" s="54" t="n">
        <f aca="false">R48*$D$2</f>
        <v>12392.78899</v>
      </c>
      <c r="S49" s="54" t="n">
        <f aca="false">S48*$D$2</f>
        <v>70870.0245805</v>
      </c>
      <c r="T49" s="54" t="n">
        <f aca="false">T48*$D$2</f>
        <v>-18446.744383</v>
      </c>
      <c r="U49" s="54" t="n">
        <f aca="false">U48*$D$2</f>
        <v>16829.28344</v>
      </c>
      <c r="V49" s="54" t="n">
        <f aca="false">V48*$D$2</f>
        <v>14683.8505</v>
      </c>
      <c r="W49" s="54" t="n">
        <f aca="false">W48*$D$2</f>
        <v>6529.243</v>
      </c>
      <c r="X49" s="54" t="n">
        <f aca="false">X48*$D$2</f>
        <v>107673.02806</v>
      </c>
      <c r="Y49" s="54" t="n">
        <f aca="false">Y48*$D$2</f>
        <v>8207.113265</v>
      </c>
      <c r="Z49" s="54" t="n">
        <f aca="false">Z48*$D$2</f>
        <v>115880.141325</v>
      </c>
      <c r="AA49" s="58"/>
      <c r="AB49" s="59"/>
      <c r="AC49" s="59"/>
      <c r="AD49" s="60"/>
      <c r="AE49" s="94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123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58"/>
      <c r="AB50" s="59"/>
      <c r="AC50" s="59"/>
      <c r="AD50" s="60"/>
      <c r="AE50" s="94"/>
      <c r="AF50" s="94"/>
      <c r="AG50" s="95"/>
    </row>
    <row r="51" customFormat="false" ht="11.1" hidden="false" customHeight="true" outlineLevel="0" collapsed="false">
      <c r="A51" s="183"/>
      <c r="B51" s="31" t="s">
        <v>83</v>
      </c>
      <c r="C51" s="7"/>
      <c r="D51" s="6"/>
      <c r="E51" s="145" t="n">
        <v>5698</v>
      </c>
      <c r="F51" s="0"/>
      <c r="G51" s="0"/>
      <c r="H51" s="11" t="s">
        <v>84</v>
      </c>
      <c r="I51" s="6"/>
      <c r="J51" s="6"/>
      <c r="K51" s="147"/>
      <c r="L51" s="54" t="n">
        <f aca="false">3500+2932</f>
        <v>6432</v>
      </c>
      <c r="M51" s="6"/>
      <c r="N51" s="6"/>
      <c r="O51" s="6"/>
      <c r="P51" s="6"/>
      <c r="Q51" s="6"/>
      <c r="R51" s="6"/>
      <c r="S51" s="6"/>
      <c r="T51" s="148"/>
      <c r="U51" s="6"/>
      <c r="V51" s="6" t="s">
        <v>95</v>
      </c>
      <c r="W51" s="145" t="n">
        <v>217</v>
      </c>
      <c r="X51" s="7" t="s">
        <v>96</v>
      </c>
      <c r="Y51" s="53"/>
      <c r="Z51" s="53"/>
      <c r="AA51" s="57"/>
      <c r="AB51" s="59"/>
      <c r="AC51" s="59"/>
      <c r="AD51" s="60"/>
      <c r="AE51" s="90"/>
      <c r="AF51" s="90"/>
    </row>
    <row r="52" customFormat="false" ht="11.1" hidden="false" customHeight="true" outlineLevel="0" collapsed="false">
      <c r="A52" s="53"/>
      <c r="B52" s="31" t="s">
        <v>85</v>
      </c>
      <c r="C52" s="7"/>
      <c r="D52" s="41"/>
      <c r="E52" s="127" t="n">
        <f aca="false">L54+O54+T54+U54+W54</f>
        <v>5881.09683622503</v>
      </c>
      <c r="F52" s="149"/>
      <c r="G52" s="0"/>
      <c r="H52" s="11" t="s">
        <v>86</v>
      </c>
      <c r="I52" s="8"/>
      <c r="J52" s="6"/>
      <c r="K52" s="44"/>
      <c r="L52" s="83" t="n">
        <f aca="false">L51/210</f>
        <v>30.6285714285714</v>
      </c>
      <c r="M52" s="6"/>
      <c r="N52" s="6"/>
      <c r="O52" s="6"/>
      <c r="P52" s="150" t="s">
        <v>87</v>
      </c>
      <c r="Q52" s="151"/>
      <c r="R52" s="152"/>
      <c r="S52" s="153" t="n">
        <v>148</v>
      </c>
      <c r="T52" s="154" t="n">
        <f aca="false">16268+1368+4</f>
        <v>17640</v>
      </c>
      <c r="U52" s="148"/>
      <c r="V52" s="6"/>
      <c r="W52" s="7" t="n">
        <f aca="false">W46/W51</f>
        <v>30.0886774193548</v>
      </c>
      <c r="X52" s="7"/>
      <c r="Y52" s="53"/>
      <c r="Z52" s="57"/>
      <c r="AA52" s="59"/>
      <c r="AB52" s="59"/>
      <c r="AC52" s="59"/>
      <c r="AD52" s="60"/>
      <c r="AE52" s="90"/>
      <c r="AF52" s="90"/>
    </row>
    <row r="53" customFormat="false" ht="11.1" hidden="false" customHeight="true" outlineLevel="0" collapsed="false">
      <c r="A53" s="84"/>
      <c r="B53" s="54"/>
      <c r="E53" s="127"/>
      <c r="F53" s="155"/>
      <c r="G53" s="0"/>
      <c r="H53" s="11" t="s">
        <v>88</v>
      </c>
      <c r="I53" s="41"/>
      <c r="J53" s="41"/>
      <c r="K53" s="156"/>
      <c r="L53" s="179" t="n">
        <f aca="false">214-S52</f>
        <v>66</v>
      </c>
      <c r="M53" s="39"/>
      <c r="N53" s="39"/>
      <c r="O53" s="158" t="n">
        <v>6289</v>
      </c>
      <c r="P53" s="159" t="s">
        <v>89</v>
      </c>
      <c r="Q53" s="160"/>
      <c r="R53" s="144"/>
      <c r="S53" s="161" t="n">
        <f aca="false">2932/210</f>
        <v>13.9619047619048</v>
      </c>
      <c r="T53" s="162" t="n">
        <f aca="false">S52*S53</f>
        <v>2066.3619047619</v>
      </c>
      <c r="U53" s="163" t="n">
        <f aca="false">14562+1946+600+15+25</f>
        <v>17148</v>
      </c>
      <c r="V53" s="7"/>
      <c r="W53" s="164"/>
      <c r="X53" s="160"/>
      <c r="Y53" s="84"/>
      <c r="Z53" s="57"/>
      <c r="AA53" s="59"/>
      <c r="AB53" s="59"/>
      <c r="AC53" s="60"/>
      <c r="AD53" s="100"/>
      <c r="AE53" s="100"/>
    </row>
    <row r="54" customFormat="false" ht="11.1" hidden="false" customHeight="true" outlineLevel="0" collapsed="false">
      <c r="A54" s="84"/>
      <c r="B54" s="165" t="s">
        <v>90</v>
      </c>
      <c r="C54" s="166"/>
      <c r="D54" s="166"/>
      <c r="E54" s="167" t="n">
        <f aca="false">E51-E52</f>
        <v>-183.096836225033</v>
      </c>
      <c r="F54" s="0"/>
      <c r="G54" s="0"/>
      <c r="H54" s="54" t="s">
        <v>76</v>
      </c>
      <c r="I54" s="0"/>
      <c r="J54" s="41"/>
      <c r="K54" s="156"/>
      <c r="L54" s="59" t="n">
        <f aca="false">L53*L52</f>
        <v>2021.48571428571</v>
      </c>
      <c r="M54" s="39"/>
      <c r="N54" s="39"/>
      <c r="O54" s="59" t="n">
        <f aca="false">O53-O49</f>
        <v>295.4243305</v>
      </c>
      <c r="P54" s="168"/>
      <c r="Q54" s="169"/>
      <c r="R54" s="169"/>
      <c r="S54" s="170"/>
      <c r="T54" s="171" t="n">
        <f aca="false">(T52+T53)+T46</f>
        <v>1259.6175217619</v>
      </c>
      <c r="U54" s="54" t="n">
        <f aca="false">U53-U49</f>
        <v>318.716560000001</v>
      </c>
      <c r="V54" s="7"/>
      <c r="W54" s="54" t="n">
        <f aca="false">L53*W52</f>
        <v>1985.85270967742</v>
      </c>
      <c r="X54" s="54"/>
      <c r="Y54" s="84"/>
      <c r="Z54" s="101" t="n">
        <f aca="false">DAYS360(7/24/2002,3/31/2003,FALSE())</f>
        <v>0</v>
      </c>
      <c r="AA54" s="59"/>
      <c r="AB54" s="59"/>
      <c r="AC54" s="60"/>
      <c r="AD54" s="100"/>
      <c r="AE54" s="100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87"/>
      <c r="H55" s="55"/>
      <c r="I55" s="84"/>
      <c r="J55" s="84"/>
      <c r="K55" s="84"/>
      <c r="L55" s="84"/>
      <c r="M55" s="83"/>
      <c r="N55" s="83"/>
      <c r="O55" s="83"/>
      <c r="P55" s="84"/>
      <c r="Q55" s="84"/>
      <c r="R55" s="84"/>
      <c r="S55" s="0"/>
      <c r="T55" s="54"/>
      <c r="V55" s="54"/>
      <c r="W55" s="84"/>
      <c r="X55" s="84"/>
      <c r="Y55" s="84"/>
      <c r="Z55" s="57"/>
      <c r="AA55" s="58"/>
      <c r="AB55" s="59"/>
      <c r="AC55" s="60"/>
      <c r="AD55" s="100"/>
      <c r="AE55" s="100"/>
    </row>
    <row r="56" customFormat="false" ht="11.1" hidden="false" customHeight="true" outlineLevel="0" collapsed="false">
      <c r="Q56" s="184"/>
      <c r="S56" s="54"/>
      <c r="T56" s="54"/>
    </row>
    <row r="57" customFormat="false" ht="11.1" hidden="false" customHeight="true" outlineLevel="0" collapsed="false">
      <c r="Q57" s="184"/>
      <c r="S57" s="54"/>
      <c r="T57" s="54"/>
    </row>
    <row r="58" customFormat="false" ht="11.1" hidden="false" customHeight="true" outlineLevel="0" collapsed="false">
      <c r="S58" s="54"/>
      <c r="T58" s="54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8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1" ySplit="9" topLeftCell="L23" activePane="bottomRight" state="frozen"/>
      <selection pane="topLeft" activeCell="A1" activeCellId="0" sqref="A1"/>
      <selection pane="topRight" activeCell="L1" activeCellId="0" sqref="L1"/>
      <selection pane="bottomLeft" activeCell="A23" activeCellId="0" sqref="A23"/>
      <selection pane="bottomRight" activeCell="P36" activeCellId="0" sqref="P36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80" width="6.66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82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16"/>
    <col collapsed="false" customWidth="true" hidden="false" outlineLevel="0" max="17" min="17" style="46" width="6.16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7" min="27" style="48" width="5.32"/>
    <col collapsed="false" customWidth="true" hidden="false" outlineLevel="0" max="28" min="28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31" min="31" style="50" width="9.32"/>
    <col collapsed="false" customWidth="false" hidden="false" outlineLevel="0" max="257" min="32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9"/>
      <c r="AC1" s="60"/>
      <c r="AD1" s="90"/>
      <c r="AE1" s="185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55"/>
      <c r="I2" s="53"/>
      <c r="J2" s="53"/>
      <c r="K2" s="62" t="s">
        <v>100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8"/>
      <c r="AB2" s="59"/>
      <c r="AC2" s="60"/>
      <c r="AD2" s="90"/>
      <c r="AE2" s="185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9"/>
      <c r="AC3" s="60"/>
      <c r="AD3" s="90"/>
      <c r="AE3" s="185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66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67" t="s">
        <v>20</v>
      </c>
      <c r="AB4" s="68" t="s">
        <v>21</v>
      </c>
      <c r="AC4" s="68" t="s">
        <v>22</v>
      </c>
      <c r="AD4" s="68" t="s">
        <v>3</v>
      </c>
      <c r="AE4" s="186" t="s">
        <v>65</v>
      </c>
      <c r="AF4" s="90"/>
    </row>
    <row r="5" customFormat="false" ht="11.1" hidden="false" customHeight="true" outlineLevel="0" collapsed="false">
      <c r="A5" s="69" t="s">
        <v>101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66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70"/>
      <c r="AB5" s="68" t="s">
        <v>43</v>
      </c>
      <c r="AC5" s="68" t="s">
        <v>43</v>
      </c>
      <c r="AD5" s="71" t="s">
        <v>101</v>
      </c>
      <c r="AE5" s="186" t="s">
        <v>102</v>
      </c>
      <c r="AF5" s="90"/>
      <c r="AH5" s="182"/>
      <c r="AI5" s="182"/>
    </row>
    <row r="6" customFormat="false" ht="11.1" hidden="false" customHeight="true" outlineLevel="0" collapsed="false">
      <c r="A6" s="72"/>
      <c r="B6" s="72"/>
      <c r="C6" s="187"/>
      <c r="D6" s="72"/>
      <c r="E6" s="73"/>
      <c r="F6" s="72"/>
      <c r="G6" s="72"/>
      <c r="H6" s="74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8"/>
      <c r="AB6" s="60"/>
      <c r="AC6" s="60"/>
      <c r="AD6" s="60"/>
      <c r="AE6" s="188"/>
      <c r="AF6" s="94"/>
      <c r="AG6" s="95"/>
      <c r="AH6" s="182"/>
      <c r="AI6" s="182"/>
    </row>
    <row r="7" customFormat="false" ht="11.1" hidden="false" customHeight="true" outlineLevel="0" collapsed="false">
      <c r="A7" s="53" t="s">
        <v>44</v>
      </c>
      <c r="B7" s="53"/>
      <c r="C7" s="189"/>
      <c r="D7" s="54"/>
      <c r="E7" s="54"/>
      <c r="F7" s="54" t="n">
        <f aca="false">AUG!F45</f>
        <v>-25141.4166876733</v>
      </c>
      <c r="G7" s="54" t="n">
        <f aca="false">AUG!G45</f>
        <v>25193</v>
      </c>
      <c r="H7" s="54" t="n">
        <f aca="false">AUG!H45</f>
        <v>27.82</v>
      </c>
      <c r="I7" s="54" t="n">
        <f aca="false">AUG!I45</f>
        <v>25220.82</v>
      </c>
      <c r="J7" s="54" t="n">
        <f aca="false">AUG!J45</f>
        <v>940.003398033779</v>
      </c>
      <c r="K7" s="54" t="n">
        <f aca="false">AUG!K45</f>
        <v>26160.8233980338</v>
      </c>
      <c r="L7" s="54" t="n">
        <f aca="false">AUG!L45</f>
        <v>-2061.9566876733</v>
      </c>
      <c r="M7" s="54" t="n">
        <f aca="false">AUG!M45</f>
        <v>20557.2</v>
      </c>
      <c r="N7" s="54" t="n">
        <f aca="false">AUG!N45</f>
        <v>42.34</v>
      </c>
      <c r="O7" s="54" t="n">
        <f aca="false">AUG!O45</f>
        <v>2510.382</v>
      </c>
      <c r="P7" s="54" t="n">
        <f aca="false">AUG!P45</f>
        <v>18004.478</v>
      </c>
      <c r="Q7" s="54" t="n">
        <f aca="false">AUG!Q45</f>
        <v>10396</v>
      </c>
      <c r="R7" s="54" t="n">
        <f aca="false">AUG!R45</f>
        <v>6120.44</v>
      </c>
      <c r="S7" s="54" t="n">
        <f aca="false">AUG!S45</f>
        <v>34520.918</v>
      </c>
      <c r="T7" s="54" t="n">
        <f aca="false">AUG!T45</f>
        <v>-9300.098</v>
      </c>
      <c r="U7" s="54" t="n">
        <f aca="false">AUG!U45</f>
        <v>8484.64</v>
      </c>
      <c r="V7" s="54" t="n">
        <f aca="false">AUG!V45</f>
        <v>2742</v>
      </c>
      <c r="W7" s="54"/>
      <c r="X7" s="54" t="n">
        <f aca="false">AUG!X45</f>
        <v>48300.28</v>
      </c>
      <c r="Y7" s="54" t="n">
        <f aca="false">AUG!Y45</f>
        <v>3001.96008570708</v>
      </c>
      <c r="Z7" s="54" t="n">
        <f aca="false">AUG!Z45</f>
        <v>51302.2400857071</v>
      </c>
      <c r="AA7" s="58"/>
      <c r="AB7" s="59"/>
      <c r="AC7" s="59"/>
      <c r="AD7" s="60"/>
      <c r="AE7" s="188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AUG!B40</f>
        <v>6857.61</v>
      </c>
      <c r="C8" s="54" t="n">
        <f aca="false">AUG!C40</f>
        <v>157698</v>
      </c>
      <c r="D8" s="54" t="n">
        <f aca="false">AUG!D49</f>
        <v>-48248</v>
      </c>
      <c r="E8" s="54" t="n">
        <f aca="false">AUG!E49</f>
        <v>5698</v>
      </c>
      <c r="F8" s="54" t="n">
        <f aca="false">AUG!F48</f>
        <v>-24324.6785984371</v>
      </c>
      <c r="G8" s="54" t="n">
        <f aca="false">AUG!G48</f>
        <v>31735</v>
      </c>
      <c r="H8" s="54" t="n">
        <f aca="false">AUG!H48</f>
        <v>63.35</v>
      </c>
      <c r="I8" s="54" t="n">
        <f aca="false">AUG!I48</f>
        <v>31750.82</v>
      </c>
      <c r="J8" s="54" t="n">
        <f aca="false">AUG!J48</f>
        <v>2346.55399798336</v>
      </c>
      <c r="K8" s="54" t="n">
        <f aca="false">AUG!K48</f>
        <v>34097.3739979834</v>
      </c>
      <c r="L8" s="54" t="n">
        <f aca="false">AUG!L48</f>
        <v>-1791.13859843711</v>
      </c>
      <c r="M8" s="54" t="n">
        <f aca="false">AUG!M48</f>
        <v>21752.78</v>
      </c>
      <c r="N8" s="54" t="n">
        <f aca="false">AUG!N48</f>
        <v>47.42</v>
      </c>
      <c r="O8" s="54" t="n">
        <f aca="false">AUG!O48</f>
        <v>3021.717</v>
      </c>
      <c r="P8" s="54" t="n">
        <f aca="false">AUG!P48</f>
        <v>19085.843</v>
      </c>
      <c r="Q8" s="54" t="n">
        <f aca="false">AUG!Q48</f>
        <v>10396</v>
      </c>
      <c r="R8" s="54" t="n">
        <f aca="false">AUG!R48</f>
        <v>6247.94</v>
      </c>
      <c r="S8" s="54" t="n">
        <f aca="false">AUG!S48</f>
        <v>35729.783</v>
      </c>
      <c r="T8" s="54" t="n">
        <f aca="false">AUG!T48</f>
        <v>-9300.098</v>
      </c>
      <c r="U8" s="54" t="n">
        <f aca="false">AUG!U48</f>
        <v>8484.64</v>
      </c>
      <c r="V8" s="54" t="n">
        <f aca="false">AUG!V48</f>
        <v>7403</v>
      </c>
      <c r="W8" s="54" t="n">
        <f aca="false">AUG!W48</f>
        <v>3291.778674061</v>
      </c>
      <c r="X8" s="54" t="n">
        <f aca="false">AUG!X48</f>
        <v>54284.36</v>
      </c>
      <c r="Y8" s="54" t="n">
        <f aca="false">AUG!Y48</f>
        <v>4137.69259642047</v>
      </c>
      <c r="Z8" s="54" t="n">
        <f aca="false">AUG!Z48</f>
        <v>58422.0525964205</v>
      </c>
      <c r="AA8" s="58" t="n">
        <f aca="false">AUG!AA48</f>
        <v>5.79</v>
      </c>
      <c r="AB8" s="59"/>
      <c r="AC8" s="59"/>
      <c r="AD8" s="60"/>
      <c r="AE8" s="188"/>
      <c r="AF8" s="94"/>
      <c r="AG8" s="96"/>
      <c r="AH8" s="46"/>
      <c r="AI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80"/>
      <c r="AB9" s="81" t="n">
        <v>0</v>
      </c>
      <c r="AC9" s="81"/>
      <c r="AD9" s="82"/>
      <c r="AE9" s="190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6857.58</v>
      </c>
      <c r="C10" s="54" t="n">
        <v>157631</v>
      </c>
      <c r="D10" s="59" t="n">
        <f aca="false">C10-C8</f>
        <v>-67</v>
      </c>
      <c r="E10" s="54" t="n">
        <f aca="false">C10-152000</f>
        <v>5631</v>
      </c>
      <c r="F10" s="53" t="n">
        <f aca="false">D10/$D$2</f>
        <v>-33.7786740610033</v>
      </c>
      <c r="G10" s="53" t="n">
        <v>28</v>
      </c>
      <c r="H10" s="55" t="n">
        <v>0</v>
      </c>
      <c r="I10" s="53" t="n">
        <f aca="false">G10+H10</f>
        <v>28</v>
      </c>
      <c r="J10" s="83" t="n">
        <f aca="false">IF(L10&gt;0,L10,0)</f>
        <v>0</v>
      </c>
      <c r="K10" s="53" t="n">
        <f aca="false">I10+J10</f>
        <v>28</v>
      </c>
      <c r="L10" s="53" t="n">
        <f aca="false">F10-(I10-X10)</f>
        <v>-20.6186740610033</v>
      </c>
      <c r="M10" s="53" t="n">
        <v>10</v>
      </c>
      <c r="N10" s="6" t="n">
        <v>1.21</v>
      </c>
      <c r="O10" s="53" t="n">
        <v>0</v>
      </c>
      <c r="P10" s="6" t="n">
        <f aca="false">M10-(N10+O10)</f>
        <v>8.79</v>
      </c>
      <c r="Q10" s="53" t="n">
        <v>0</v>
      </c>
      <c r="R10" s="53" t="n">
        <v>0</v>
      </c>
      <c r="S10" s="53" t="n">
        <f aca="false">SUM(P10:R10)</f>
        <v>8.79</v>
      </c>
      <c r="T10" s="54" t="n">
        <f aca="false">(I10-S10)+T7</f>
        <v>-9280.888</v>
      </c>
      <c r="U10" s="53" t="n">
        <v>16.16</v>
      </c>
      <c r="V10" s="53" t="n">
        <v>15</v>
      </c>
      <c r="W10" s="54" t="n">
        <f aca="false">W8-V10</f>
        <v>3276.778674061</v>
      </c>
      <c r="X10" s="6" t="n">
        <f aca="false">N10+O10+S10+U10+V10</f>
        <v>41.16</v>
      </c>
      <c r="Y10" s="53" t="n">
        <f aca="false">IF(L10&lt;0,L10*-1,0)</f>
        <v>20.6186740610033</v>
      </c>
      <c r="Z10" s="53" t="n">
        <f aca="false">X10+Y10</f>
        <v>61.7786740610033</v>
      </c>
      <c r="AA10" s="58" t="n">
        <v>0</v>
      </c>
      <c r="AB10" s="59" t="n">
        <v>85</v>
      </c>
      <c r="AC10" s="59" t="n">
        <v>52</v>
      </c>
      <c r="AD10" s="60" t="n">
        <v>1</v>
      </c>
      <c r="AE10" s="188" t="n">
        <f aca="false">IF(I10&gt;S10,I10-S10,I10-S10)</f>
        <v>19.21</v>
      </c>
      <c r="AF10" s="96"/>
      <c r="AG10" s="96"/>
    </row>
    <row r="11" customFormat="false" ht="11.1" hidden="false" customHeight="true" outlineLevel="0" collapsed="false">
      <c r="A11" s="60" t="n">
        <v>2</v>
      </c>
      <c r="B11" s="75" t="n">
        <v>6857.55</v>
      </c>
      <c r="C11" s="54" t="n">
        <v>157565</v>
      </c>
      <c r="D11" s="59" t="n">
        <f aca="false">C11-C10</f>
        <v>-66</v>
      </c>
      <c r="E11" s="54" t="n">
        <f aca="false">C11-152000</f>
        <v>5565</v>
      </c>
      <c r="F11" s="53" t="n">
        <f aca="false">D11/$D$2</f>
        <v>-33.2745147466599</v>
      </c>
      <c r="G11" s="53" t="n">
        <v>25</v>
      </c>
      <c r="H11" s="55" t="n">
        <v>0</v>
      </c>
      <c r="I11" s="53" t="n">
        <f aca="false">G11+H11</f>
        <v>25</v>
      </c>
      <c r="J11" s="83" t="n">
        <f aca="false">IF(L11&gt;0,L11,0)</f>
        <v>0</v>
      </c>
      <c r="K11" s="53" t="n">
        <f aca="false">I11+J11</f>
        <v>25</v>
      </c>
      <c r="L11" s="53" t="n">
        <f aca="false">F11-(I11-X11)</f>
        <v>-12.5145147466599</v>
      </c>
      <c r="M11" s="53" t="n">
        <v>9.4</v>
      </c>
      <c r="N11" s="6" t="n">
        <v>1.21</v>
      </c>
      <c r="O11" s="53" t="n">
        <v>0</v>
      </c>
      <c r="P11" s="6" t="n">
        <f aca="false">M11-(N11+O11)</f>
        <v>8.19</v>
      </c>
      <c r="Q11" s="53" t="n">
        <v>0</v>
      </c>
      <c r="R11" s="53" t="n">
        <v>0</v>
      </c>
      <c r="S11" s="53" t="n">
        <f aca="false">SUM(P11:R11)</f>
        <v>8.19</v>
      </c>
      <c r="T11" s="54" t="n">
        <f aca="false">(I11-S11)+T10</f>
        <v>-9264.078</v>
      </c>
      <c r="U11" s="53" t="n">
        <v>21.36</v>
      </c>
      <c r="V11" s="53" t="n">
        <v>15</v>
      </c>
      <c r="W11" s="54" t="n">
        <f aca="false">W10-V11</f>
        <v>3261.778674061</v>
      </c>
      <c r="X11" s="6" t="n">
        <f aca="false">N11+O11+S11+U11+V11</f>
        <v>45.76</v>
      </c>
      <c r="Y11" s="53" t="n">
        <f aca="false">IF(L11&lt;0,L11*-1,0)</f>
        <v>12.5145147466599</v>
      </c>
      <c r="Z11" s="53" t="n">
        <f aca="false">X11+Y11</f>
        <v>58.2745147466599</v>
      </c>
      <c r="AA11" s="58" t="n">
        <v>0</v>
      </c>
      <c r="AB11" s="59" t="n">
        <v>85</v>
      </c>
      <c r="AC11" s="59" t="n">
        <v>50</v>
      </c>
      <c r="AD11" s="60" t="n">
        <v>2</v>
      </c>
      <c r="AE11" s="188" t="n">
        <f aca="false">IF(I11&gt;S11,I11-S11,I11-S11)</f>
        <v>16.81</v>
      </c>
      <c r="AF11" s="96"/>
      <c r="AG11" s="96"/>
    </row>
    <row r="12" customFormat="false" ht="11.1" hidden="false" customHeight="true" outlineLevel="0" collapsed="false">
      <c r="A12" s="60" t="n">
        <v>3</v>
      </c>
      <c r="B12" s="75" t="n">
        <v>6857.54</v>
      </c>
      <c r="C12" s="54" t="n">
        <v>157543</v>
      </c>
      <c r="D12" s="59" t="n">
        <f aca="false">C12-C11</f>
        <v>-22</v>
      </c>
      <c r="E12" s="54" t="n">
        <f aca="false">C12-152000</f>
        <v>5543</v>
      </c>
      <c r="F12" s="53" t="n">
        <f aca="false">D12/$D$2</f>
        <v>-11.0915049155533</v>
      </c>
      <c r="G12" s="53" t="n">
        <v>25</v>
      </c>
      <c r="H12" s="55" t="n">
        <v>0</v>
      </c>
      <c r="I12" s="53" t="n">
        <f aca="false">G12+H12</f>
        <v>25</v>
      </c>
      <c r="J12" s="83" t="n">
        <f aca="false">IF(L12&gt;0,L12,0)</f>
        <v>2.73849508444668</v>
      </c>
      <c r="K12" s="53" t="n">
        <f aca="false">I12+J12</f>
        <v>27.7384950844467</v>
      </c>
      <c r="L12" s="53" t="n">
        <f aca="false">F12-(I12-X12)</f>
        <v>2.73849508444668</v>
      </c>
      <c r="M12" s="53" t="n">
        <v>9.7</v>
      </c>
      <c r="N12" s="6" t="n">
        <v>1.21</v>
      </c>
      <c r="O12" s="53" t="n">
        <v>0</v>
      </c>
      <c r="P12" s="6" t="n">
        <f aca="false">M12-(N12+O12)</f>
        <v>8.49</v>
      </c>
      <c r="Q12" s="53" t="n">
        <v>0</v>
      </c>
      <c r="R12" s="53" t="n">
        <v>0</v>
      </c>
      <c r="S12" s="53" t="n">
        <f aca="false">SUM(P12:R12)</f>
        <v>8.49</v>
      </c>
      <c r="T12" s="54" t="n">
        <f aca="false">(I12-S12)+T11</f>
        <v>-9247.568</v>
      </c>
      <c r="U12" s="53" t="n">
        <v>14.13</v>
      </c>
      <c r="V12" s="53" t="n">
        <v>15</v>
      </c>
      <c r="W12" s="54" t="n">
        <f aca="false">W11-V12</f>
        <v>3246.778674061</v>
      </c>
      <c r="X12" s="6" t="n">
        <f aca="false">N12+O12+S12+U12+V12</f>
        <v>38.83</v>
      </c>
      <c r="Y12" s="53" t="n">
        <f aca="false">IF(L12&lt;0,L12*-1,0)</f>
        <v>0</v>
      </c>
      <c r="Z12" s="53" t="n">
        <f aca="false">X12+Y12</f>
        <v>38.83</v>
      </c>
      <c r="AA12" s="58" t="n">
        <v>0</v>
      </c>
      <c r="AB12" s="59" t="n">
        <v>77</v>
      </c>
      <c r="AC12" s="59" t="n">
        <v>55</v>
      </c>
      <c r="AD12" s="60" t="n">
        <v>3</v>
      </c>
      <c r="AE12" s="188" t="n">
        <f aca="false">IF(I12&gt;S12,I12-S12,I12-S12)</f>
        <v>16.51</v>
      </c>
      <c r="AF12" s="96"/>
      <c r="AG12" s="96"/>
    </row>
    <row r="13" customFormat="false" ht="11.1" hidden="false" customHeight="true" outlineLevel="0" collapsed="false">
      <c r="A13" s="60" t="n">
        <v>4</v>
      </c>
      <c r="B13" s="75" t="n">
        <v>6857.55</v>
      </c>
      <c r="C13" s="54" t="n">
        <v>157565</v>
      </c>
      <c r="D13" s="59" t="n">
        <f aca="false">C13-C12</f>
        <v>22</v>
      </c>
      <c r="E13" s="54" t="n">
        <f aca="false">C13-152000</f>
        <v>5565</v>
      </c>
      <c r="F13" s="53" t="n">
        <f aca="false">D13/$D$2</f>
        <v>11.0915049155533</v>
      </c>
      <c r="G13" s="53" t="n">
        <v>26</v>
      </c>
      <c r="H13" s="55" t="n">
        <v>0</v>
      </c>
      <c r="I13" s="53" t="n">
        <f aca="false">G13+H13</f>
        <v>26</v>
      </c>
      <c r="J13" s="83" t="n">
        <f aca="false">IF(L13&gt;0,L13,0)</f>
        <v>10.3915049155533</v>
      </c>
      <c r="K13" s="53" t="n">
        <f aca="false">I13+J13</f>
        <v>36.3915049155533</v>
      </c>
      <c r="L13" s="53" t="n">
        <f aca="false">F13-(I13-X13)</f>
        <v>10.3915049155533</v>
      </c>
      <c r="M13" s="53" t="n">
        <v>9.3</v>
      </c>
      <c r="N13" s="6" t="n">
        <v>1.21</v>
      </c>
      <c r="O13" s="53" t="n">
        <v>0</v>
      </c>
      <c r="P13" s="6" t="n">
        <f aca="false">M13-(N13+O13)</f>
        <v>8.09</v>
      </c>
      <c r="Q13" s="53" t="n">
        <v>0</v>
      </c>
      <c r="R13" s="53" t="n">
        <v>0</v>
      </c>
      <c r="S13" s="53" t="n">
        <f aca="false">SUM(P13:R13)</f>
        <v>8.09</v>
      </c>
      <c r="T13" s="54" t="n">
        <f aca="false">(I13-S13)+T12</f>
        <v>-9229.658</v>
      </c>
      <c r="U13" s="53" t="n">
        <v>0</v>
      </c>
      <c r="V13" s="53" t="n">
        <v>16</v>
      </c>
      <c r="W13" s="54" t="n">
        <f aca="false">W12-V13</f>
        <v>3230.778674061</v>
      </c>
      <c r="X13" s="6" t="n">
        <f aca="false">N13+O13+S13+U13+V13</f>
        <v>25.3</v>
      </c>
      <c r="Y13" s="53" t="n">
        <f aca="false">IF(L13&lt;0,L13*-1,0)</f>
        <v>0</v>
      </c>
      <c r="Z13" s="53" t="n">
        <f aca="false">X13+Y13</f>
        <v>25.3</v>
      </c>
      <c r="AA13" s="58" t="n">
        <v>0</v>
      </c>
      <c r="AB13" s="59" t="n">
        <v>84</v>
      </c>
      <c r="AC13" s="59" t="n">
        <v>51</v>
      </c>
      <c r="AD13" s="60" t="n">
        <v>4</v>
      </c>
      <c r="AE13" s="188" t="n">
        <f aca="false">IF(I13&gt;S13,I13-S13,I13-S13)</f>
        <v>17.91</v>
      </c>
      <c r="AF13" s="96"/>
      <c r="AG13" s="96"/>
    </row>
    <row r="14" customFormat="false" ht="11.1" hidden="false" customHeight="true" outlineLevel="0" collapsed="false">
      <c r="A14" s="60" t="n">
        <v>5</v>
      </c>
      <c r="B14" s="75" t="n">
        <v>6857.55</v>
      </c>
      <c r="C14" s="54" t="n">
        <v>157565</v>
      </c>
      <c r="D14" s="59" t="n">
        <f aca="false">C14-C13</f>
        <v>0</v>
      </c>
      <c r="E14" s="54" t="n">
        <f aca="false">C14-152000</f>
        <v>5565</v>
      </c>
      <c r="F14" s="53" t="n">
        <f aca="false">D14/$D$2</f>
        <v>0</v>
      </c>
      <c r="G14" s="53" t="n">
        <v>24</v>
      </c>
      <c r="H14" s="55" t="n">
        <v>0</v>
      </c>
      <c r="I14" s="53" t="n">
        <f aca="false">G14+H14</f>
        <v>24</v>
      </c>
      <c r="J14" s="83" t="n">
        <f aca="false">IF(L14&gt;0,L14,0)</f>
        <v>1.3</v>
      </c>
      <c r="K14" s="53" t="n">
        <f aca="false">I14+J14</f>
        <v>25.3</v>
      </c>
      <c r="L14" s="53" t="n">
        <f aca="false">F14-(I14-X14)</f>
        <v>1.3</v>
      </c>
      <c r="M14" s="53" t="n">
        <v>9.3</v>
      </c>
      <c r="N14" s="6" t="n">
        <v>1.21</v>
      </c>
      <c r="O14" s="53" t="n">
        <v>0</v>
      </c>
      <c r="P14" s="6" t="n">
        <f aca="false">M14-(N14+O14)</f>
        <v>8.09</v>
      </c>
      <c r="Q14" s="53" t="n">
        <v>0</v>
      </c>
      <c r="R14" s="53" t="n">
        <v>0</v>
      </c>
      <c r="S14" s="53" t="n">
        <f aca="false">SUM(P14:R14)</f>
        <v>8.09</v>
      </c>
      <c r="T14" s="54" t="n">
        <f aca="false">(I14-S14)+T13</f>
        <v>-9213.748</v>
      </c>
      <c r="U14" s="53" t="n">
        <v>0</v>
      </c>
      <c r="V14" s="53" t="n">
        <v>16</v>
      </c>
      <c r="W14" s="54" t="n">
        <f aca="false">W13-V14</f>
        <v>3214.778674061</v>
      </c>
      <c r="X14" s="6" t="n">
        <f aca="false">N14+O14+S14+U14+V14</f>
        <v>25.3</v>
      </c>
      <c r="Y14" s="53" t="n">
        <f aca="false">IF(L14&lt;0,L14*-1,0)</f>
        <v>0</v>
      </c>
      <c r="Z14" s="53" t="n">
        <f aca="false">X14+Y14</f>
        <v>25.3</v>
      </c>
      <c r="AA14" s="58" t="n">
        <v>0</v>
      </c>
      <c r="AB14" s="59" t="n">
        <v>86</v>
      </c>
      <c r="AC14" s="59" t="n">
        <v>53</v>
      </c>
      <c r="AD14" s="60" t="n">
        <v>5</v>
      </c>
      <c r="AE14" s="188" t="n">
        <f aca="false">IF(I14&gt;S14,I14-S14,I14-S14)</f>
        <v>15.91</v>
      </c>
      <c r="AF14" s="96"/>
      <c r="AG14" s="96"/>
    </row>
    <row r="15" customFormat="false" ht="11.1" hidden="false" customHeight="true" outlineLevel="0" collapsed="false">
      <c r="A15" s="60" t="n">
        <v>6</v>
      </c>
      <c r="B15" s="75" t="n">
        <v>6857.55</v>
      </c>
      <c r="C15" s="54" t="n">
        <v>157565</v>
      </c>
      <c r="D15" s="59" t="n">
        <f aca="false">C15-C14</f>
        <v>0</v>
      </c>
      <c r="E15" s="54" t="n">
        <f aca="false">C15-152000</f>
        <v>5565</v>
      </c>
      <c r="F15" s="53" t="n">
        <f aca="false">D15/$D$2</f>
        <v>0</v>
      </c>
      <c r="G15" s="53" t="n">
        <v>21</v>
      </c>
      <c r="H15" s="55" t="n">
        <v>0</v>
      </c>
      <c r="I15" s="53" t="n">
        <f aca="false">G15+H15</f>
        <v>21</v>
      </c>
      <c r="J15" s="83" t="n">
        <f aca="false">IF(L15&gt;0,L15,0)</f>
        <v>4.1</v>
      </c>
      <c r="K15" s="53" t="n">
        <f aca="false">I15+J15</f>
        <v>25.1</v>
      </c>
      <c r="L15" s="53" t="n">
        <f aca="false">F15-(I15-X15)</f>
        <v>4.1</v>
      </c>
      <c r="M15" s="53" t="n">
        <v>9.1</v>
      </c>
      <c r="N15" s="6" t="n">
        <v>1.21</v>
      </c>
      <c r="O15" s="53" t="n">
        <f aca="false">3.43*1.05</f>
        <v>3.6015</v>
      </c>
      <c r="P15" s="6" t="n">
        <f aca="false">M15-(N15+O15)</f>
        <v>4.2885</v>
      </c>
      <c r="Q15" s="53" t="n">
        <v>0</v>
      </c>
      <c r="R15" s="53" t="n">
        <v>0</v>
      </c>
      <c r="S15" s="53" t="n">
        <f aca="false">SUM(P15:R15)</f>
        <v>4.2885</v>
      </c>
      <c r="T15" s="54" t="n">
        <f aca="false">(I15-S15)+T14</f>
        <v>-9197.0365</v>
      </c>
      <c r="U15" s="53" t="n">
        <v>0</v>
      </c>
      <c r="V15" s="53" t="n">
        <v>16</v>
      </c>
      <c r="W15" s="54" t="n">
        <f aca="false">W14-V15</f>
        <v>3198.778674061</v>
      </c>
      <c r="X15" s="6" t="n">
        <f aca="false">N15+O15+S15+U15+V15</f>
        <v>25.1</v>
      </c>
      <c r="Y15" s="53" t="n">
        <f aca="false">IF(L15&lt;0,L15*-1,0)</f>
        <v>0</v>
      </c>
      <c r="Z15" s="53" t="n">
        <f aca="false">X15+Y15</f>
        <v>25.1</v>
      </c>
      <c r="AA15" s="58" t="n">
        <v>0.03</v>
      </c>
      <c r="AB15" s="59" t="n">
        <v>76</v>
      </c>
      <c r="AC15" s="59" t="n">
        <v>56</v>
      </c>
      <c r="AD15" s="60" t="n">
        <v>6</v>
      </c>
      <c r="AE15" s="188" t="n">
        <f aca="false">IF(I15&gt;S15,I15-S15,I15-S15)</f>
        <v>16.7115</v>
      </c>
      <c r="AF15" s="96"/>
      <c r="AG15" s="96"/>
    </row>
    <row r="16" customFormat="false" ht="11.1" hidden="false" customHeight="true" outlineLevel="0" collapsed="false">
      <c r="A16" s="60" t="n">
        <v>7</v>
      </c>
      <c r="B16" s="75" t="n">
        <v>6857.56</v>
      </c>
      <c r="C16" s="54" t="n">
        <v>157587</v>
      </c>
      <c r="D16" s="59" t="n">
        <f aca="false">C16-C15</f>
        <v>22</v>
      </c>
      <c r="E16" s="54" t="n">
        <f aca="false">C16-152000</f>
        <v>5587</v>
      </c>
      <c r="F16" s="53" t="n">
        <f aca="false">D16/$D$2</f>
        <v>11.0915049155533</v>
      </c>
      <c r="G16" s="53" t="n">
        <v>29</v>
      </c>
      <c r="H16" s="55" t="n">
        <v>0</v>
      </c>
      <c r="I16" s="53" t="n">
        <f aca="false">G16+H16</f>
        <v>29</v>
      </c>
      <c r="J16" s="83" t="n">
        <f aca="false">IF(L16&gt;0,L16,0)</f>
        <v>5.49150491555331</v>
      </c>
      <c r="K16" s="53" t="n">
        <f aca="false">I16+J16</f>
        <v>34.4915049155533</v>
      </c>
      <c r="L16" s="53" t="n">
        <f aca="false">F16-(I16-X16)</f>
        <v>5.49150491555331</v>
      </c>
      <c r="M16" s="53" t="n">
        <v>8.4</v>
      </c>
      <c r="N16" s="6" t="n">
        <v>1.21</v>
      </c>
      <c r="O16" s="53" t="n">
        <f aca="false">5.07*1.05</f>
        <v>5.3235</v>
      </c>
      <c r="P16" s="6" t="n">
        <f aca="false">M16-(N16+O16)</f>
        <v>1.8665</v>
      </c>
      <c r="Q16" s="53" t="n">
        <v>0</v>
      </c>
      <c r="R16" s="53" t="n">
        <v>0</v>
      </c>
      <c r="S16" s="53" t="n">
        <f aca="false">SUM(P16:R16)</f>
        <v>1.8665</v>
      </c>
      <c r="T16" s="54" t="n">
        <f aca="false">(I16-S16)+T15</f>
        <v>-9169.903</v>
      </c>
      <c r="U16" s="53" t="n">
        <v>0</v>
      </c>
      <c r="V16" s="53" t="n">
        <v>15</v>
      </c>
      <c r="W16" s="54" t="n">
        <f aca="false">W15-V16</f>
        <v>3183.778674061</v>
      </c>
      <c r="X16" s="6" t="n">
        <f aca="false">N16+O16+S16+U16+V16</f>
        <v>23.4</v>
      </c>
      <c r="Y16" s="53" t="n">
        <f aca="false">IF(L16&lt;0,L16*-1,0)</f>
        <v>0</v>
      </c>
      <c r="Z16" s="53" t="n">
        <f aca="false">X16+Y16</f>
        <v>23.4</v>
      </c>
      <c r="AA16" s="58" t="n">
        <v>0.56</v>
      </c>
      <c r="AB16" s="59" t="n">
        <v>74</v>
      </c>
      <c r="AC16" s="59" t="n">
        <v>50</v>
      </c>
      <c r="AD16" s="60" t="n">
        <v>7</v>
      </c>
      <c r="AE16" s="188" t="n">
        <f aca="false">IF(I16&gt;S16,I16-S16,I16-S16)</f>
        <v>27.1335</v>
      </c>
      <c r="AF16" s="96"/>
      <c r="AG16" s="96"/>
    </row>
    <row r="17" customFormat="false" ht="11.1" hidden="false" customHeight="true" outlineLevel="0" collapsed="false">
      <c r="A17" s="60" t="n">
        <v>8</v>
      </c>
      <c r="B17" s="75" t="n">
        <v>6857.63</v>
      </c>
      <c r="C17" s="54" t="n">
        <v>157742</v>
      </c>
      <c r="D17" s="59" t="n">
        <f aca="false">C17-C16</f>
        <v>155</v>
      </c>
      <c r="E17" s="54" t="n">
        <f aca="false">C17-152000</f>
        <v>5742</v>
      </c>
      <c r="F17" s="53" t="n">
        <f aca="false">D17/$D$2</f>
        <v>78.1446937232165</v>
      </c>
      <c r="G17" s="53" t="n">
        <v>107</v>
      </c>
      <c r="H17" s="55" t="n">
        <v>0</v>
      </c>
      <c r="I17" s="53" t="n">
        <f aca="false">G17+H17</f>
        <v>107</v>
      </c>
      <c r="J17" s="83" t="n">
        <f aca="false">IF(L17&gt;0,L17,0)</f>
        <v>0</v>
      </c>
      <c r="K17" s="53" t="n">
        <f aca="false">I17+J17</f>
        <v>107</v>
      </c>
      <c r="L17" s="53" t="n">
        <f aca="false">F17-(I17-X17)</f>
        <v>-5.45530627678346</v>
      </c>
      <c r="M17" s="53" t="n">
        <v>8.4</v>
      </c>
      <c r="N17" s="6" t="n">
        <v>1.21</v>
      </c>
      <c r="O17" s="53" t="n">
        <f aca="false">4.74*1.05</f>
        <v>4.977</v>
      </c>
      <c r="P17" s="6" t="n">
        <f aca="false">M17-(N17+O17)</f>
        <v>2.213</v>
      </c>
      <c r="Q17" s="53" t="n">
        <v>0</v>
      </c>
      <c r="R17" s="53" t="n">
        <v>0</v>
      </c>
      <c r="S17" s="53" t="n">
        <f aca="false">SUM(P17:R17)</f>
        <v>2.213</v>
      </c>
      <c r="T17" s="54" t="n">
        <f aca="false">(I17-S17)+T16</f>
        <v>-9065.116</v>
      </c>
      <c r="U17" s="53" t="n">
        <v>0</v>
      </c>
      <c r="V17" s="53" t="n">
        <v>15</v>
      </c>
      <c r="W17" s="54" t="n">
        <f aca="false">W16-V17</f>
        <v>3168.778674061</v>
      </c>
      <c r="X17" s="6" t="n">
        <f aca="false">N17+O17+S17+U17+V17</f>
        <v>23.4</v>
      </c>
      <c r="Y17" s="53" t="n">
        <f aca="false">IF(L17&lt;0,L17*-1,0)</f>
        <v>5.45530627678346</v>
      </c>
      <c r="Z17" s="53" t="n">
        <f aca="false">X17+Y17</f>
        <v>28.8553062767835</v>
      </c>
      <c r="AA17" s="58" t="n">
        <v>0.26</v>
      </c>
      <c r="AB17" s="59" t="n">
        <v>69</v>
      </c>
      <c r="AC17" s="59" t="n">
        <v>51</v>
      </c>
      <c r="AD17" s="60" t="n">
        <v>8</v>
      </c>
      <c r="AE17" s="188" t="n">
        <f aca="false">IF(I17&gt;S17,I17-S17,I17-S17)</f>
        <v>104.787</v>
      </c>
      <c r="AF17" s="96"/>
      <c r="AG17" s="96"/>
    </row>
    <row r="18" customFormat="false" ht="11.1" hidden="false" customHeight="true" outlineLevel="0" collapsed="false">
      <c r="A18" s="60" t="n">
        <v>9</v>
      </c>
      <c r="B18" s="75" t="n">
        <v>6857.74</v>
      </c>
      <c r="C18" s="54" t="n">
        <v>157986</v>
      </c>
      <c r="D18" s="59" t="n">
        <f aca="false">C18-C17</f>
        <v>244</v>
      </c>
      <c r="E18" s="54" t="n">
        <f aca="false">C18-152000</f>
        <v>5986</v>
      </c>
      <c r="F18" s="53" t="n">
        <f aca="false">D18/$D$2</f>
        <v>123.014872699773</v>
      </c>
      <c r="G18" s="53" t="n">
        <v>152</v>
      </c>
      <c r="H18" s="55" t="n">
        <v>0</v>
      </c>
      <c r="I18" s="53" t="n">
        <f aca="false">G18+H18</f>
        <v>152</v>
      </c>
      <c r="J18" s="83" t="n">
        <f aca="false">IF(L18&gt;0,L18,0)</f>
        <v>0</v>
      </c>
      <c r="K18" s="53" t="n">
        <f aca="false">I18+J18</f>
        <v>152</v>
      </c>
      <c r="L18" s="53" t="n">
        <f aca="false">F18-(I18-X18)</f>
        <v>-2.58512730022687</v>
      </c>
      <c r="M18" s="53" t="n">
        <v>8.4</v>
      </c>
      <c r="N18" s="53" t="n">
        <v>0.8</v>
      </c>
      <c r="O18" s="53" t="n">
        <f aca="false">4.39*1.05</f>
        <v>4.6095</v>
      </c>
      <c r="P18" s="6" t="n">
        <f aca="false">M18-(N18+O18)</f>
        <v>2.9905</v>
      </c>
      <c r="Q18" s="53" t="n">
        <v>0</v>
      </c>
      <c r="R18" s="53" t="n">
        <v>0</v>
      </c>
      <c r="S18" s="53" t="n">
        <f aca="false">SUM(P18:R18)</f>
        <v>2.9905</v>
      </c>
      <c r="T18" s="54" t="n">
        <f aca="false">(I18-S18)+T17</f>
        <v>-8916.1065</v>
      </c>
      <c r="U18" s="53" t="n">
        <v>0</v>
      </c>
      <c r="V18" s="53" t="n">
        <v>18</v>
      </c>
      <c r="W18" s="54" t="n">
        <f aca="false">W17-V18</f>
        <v>3150.778674061</v>
      </c>
      <c r="X18" s="6" t="n">
        <f aca="false">N18+O18+S18+U18+V18</f>
        <v>26.4</v>
      </c>
      <c r="Y18" s="53" t="n">
        <f aca="false">IF(L18&lt;0,L18*-1,0)</f>
        <v>2.58512730022687</v>
      </c>
      <c r="Z18" s="53" t="n">
        <f aca="false">X18+Y18</f>
        <v>28.9851273002269</v>
      </c>
      <c r="AA18" s="58" t="n">
        <v>0</v>
      </c>
      <c r="AB18" s="59" t="n">
        <v>75</v>
      </c>
      <c r="AC18" s="59" t="n">
        <v>51</v>
      </c>
      <c r="AD18" s="60" t="n">
        <v>9</v>
      </c>
      <c r="AE18" s="188" t="n">
        <f aca="false">IF(I18&gt;S18,I18-S18,I18-S18)</f>
        <v>149.0095</v>
      </c>
      <c r="AF18" s="96"/>
      <c r="AG18" s="96"/>
    </row>
    <row r="19" customFormat="false" ht="11.1" hidden="false" customHeight="true" outlineLevel="0" collapsed="false">
      <c r="A19" s="60" t="n">
        <v>10</v>
      </c>
      <c r="B19" s="75" t="n">
        <v>6858.21</v>
      </c>
      <c r="C19" s="54" t="n">
        <v>159033</v>
      </c>
      <c r="D19" s="59" t="n">
        <f aca="false">C19-C18</f>
        <v>1047</v>
      </c>
      <c r="E19" s="54" t="n">
        <f aca="false">C19-152000</f>
        <v>7033</v>
      </c>
      <c r="F19" s="53" t="n">
        <f aca="false">D19/$D$2</f>
        <v>527.854802117469</v>
      </c>
      <c r="G19" s="53" t="n">
        <v>103</v>
      </c>
      <c r="H19" s="55" t="n">
        <v>0.01</v>
      </c>
      <c r="I19" s="53" t="n">
        <f aca="false">G19+H19</f>
        <v>103.01</v>
      </c>
      <c r="J19" s="83" t="n">
        <f aca="false">IF(L19&gt;0,L19,0)</f>
        <v>450.744802117469</v>
      </c>
      <c r="K19" s="53" t="n">
        <f aca="false">I19+J19</f>
        <v>553.754802117469</v>
      </c>
      <c r="L19" s="53" t="n">
        <f aca="false">F19-(I19-X19)</f>
        <v>450.744802117469</v>
      </c>
      <c r="M19" s="53" t="n">
        <v>8.3</v>
      </c>
      <c r="N19" s="53" t="n">
        <v>0.8</v>
      </c>
      <c r="O19" s="53" t="n">
        <f aca="false">3.66*1.05</f>
        <v>3.843</v>
      </c>
      <c r="P19" s="6" t="n">
        <f aca="false">M19-(N19+O19)</f>
        <v>3.657</v>
      </c>
      <c r="Q19" s="53" t="n">
        <v>1.6</v>
      </c>
      <c r="R19" s="53" t="n">
        <v>0</v>
      </c>
      <c r="S19" s="53" t="n">
        <f aca="false">SUM(P19:R19)</f>
        <v>5.257</v>
      </c>
      <c r="T19" s="54" t="n">
        <f aca="false">(I19-S19)+T18</f>
        <v>-8818.3535</v>
      </c>
      <c r="U19" s="53" t="n">
        <v>0</v>
      </c>
      <c r="V19" s="53" t="n">
        <v>16</v>
      </c>
      <c r="W19" s="54" t="n">
        <f aca="false">W18-V19</f>
        <v>3134.778674061</v>
      </c>
      <c r="X19" s="6" t="n">
        <f aca="false">N19+O19+S19+U19+V19</f>
        <v>25.9</v>
      </c>
      <c r="Y19" s="53" t="n">
        <f aca="false">IF(L19&lt;0,L19*-1,0)</f>
        <v>0</v>
      </c>
      <c r="Z19" s="53" t="n">
        <f aca="false">X19+Y19</f>
        <v>25.9</v>
      </c>
      <c r="AA19" s="58" t="n">
        <v>3.2</v>
      </c>
      <c r="AB19" s="59" t="n">
        <v>71</v>
      </c>
      <c r="AC19" s="59" t="n">
        <v>52</v>
      </c>
      <c r="AD19" s="60" t="n">
        <v>10</v>
      </c>
      <c r="AE19" s="188" t="n">
        <f aca="false">IF(I19&gt;S19,I19-S19,I19-S19)</f>
        <v>97.753</v>
      </c>
      <c r="AF19" s="96"/>
      <c r="AG19" s="96"/>
    </row>
    <row r="20" customFormat="false" ht="11.1" hidden="false" customHeight="true" outlineLevel="0" collapsed="false">
      <c r="A20" s="60" t="n">
        <v>11</v>
      </c>
      <c r="B20" s="75" t="n">
        <v>6858.47</v>
      </c>
      <c r="C20" s="54" t="n">
        <v>159616</v>
      </c>
      <c r="D20" s="59" t="n">
        <f aca="false">C20-C19</f>
        <v>583</v>
      </c>
      <c r="E20" s="54" t="n">
        <f aca="false">C20-152000</f>
        <v>7616</v>
      </c>
      <c r="F20" s="53" t="n">
        <f aca="false">D20/$D$2</f>
        <v>293.924880262163</v>
      </c>
      <c r="G20" s="53" t="n">
        <v>217</v>
      </c>
      <c r="H20" s="55" t="n">
        <v>0.16</v>
      </c>
      <c r="I20" s="53" t="n">
        <f aca="false">G20+H20</f>
        <v>217.16</v>
      </c>
      <c r="J20" s="83" t="n">
        <f aca="false">IF(L20&gt;0,L20,0)</f>
        <v>100.764880262163</v>
      </c>
      <c r="K20" s="53" t="n">
        <f aca="false">I20+J20</f>
        <v>317.924880262163</v>
      </c>
      <c r="L20" s="53" t="n">
        <f aca="false">F20-(I20-X20)</f>
        <v>100.764880262163</v>
      </c>
      <c r="M20" s="53" t="n">
        <v>8</v>
      </c>
      <c r="N20" s="53" t="n">
        <v>0.8</v>
      </c>
      <c r="O20" s="53" t="n">
        <f aca="false">1.82*1.05</f>
        <v>1.911</v>
      </c>
      <c r="P20" s="6" t="n">
        <f aca="false">M20-(N20+O20)</f>
        <v>5.289</v>
      </c>
      <c r="Q20" s="53" t="n">
        <v>0</v>
      </c>
      <c r="R20" s="53" t="n">
        <v>0</v>
      </c>
      <c r="S20" s="53" t="n">
        <f aca="false">SUM(P20:R20)</f>
        <v>5.289</v>
      </c>
      <c r="T20" s="54" t="n">
        <f aca="false">(I20-S20)+T19</f>
        <v>-8606.4825</v>
      </c>
      <c r="U20" s="53" t="n">
        <v>0</v>
      </c>
      <c r="V20" s="53" t="n">
        <v>16</v>
      </c>
      <c r="W20" s="54" t="n">
        <f aca="false">W19-V20</f>
        <v>3118.778674061</v>
      </c>
      <c r="X20" s="6" t="n">
        <f aca="false">N20+O20+S20+U20+V20</f>
        <v>24</v>
      </c>
      <c r="Y20" s="53" t="n">
        <f aca="false">IF(L20&lt;0,L20*-1,0)</f>
        <v>0</v>
      </c>
      <c r="Z20" s="53" t="n">
        <f aca="false">X20+Y20</f>
        <v>24</v>
      </c>
      <c r="AA20" s="58" t="n">
        <v>0.03</v>
      </c>
      <c r="AB20" s="59" t="n">
        <v>66</v>
      </c>
      <c r="AC20" s="59" t="n">
        <v>54</v>
      </c>
      <c r="AD20" s="60" t="n">
        <v>11</v>
      </c>
      <c r="AE20" s="188" t="n">
        <f aca="false">IF(I20&gt;S20,I20-S20,I20-S20)</f>
        <v>211.871</v>
      </c>
      <c r="AF20" s="96"/>
      <c r="AG20" s="96"/>
    </row>
    <row r="21" customFormat="false" ht="11.1" hidden="false" customHeight="true" outlineLevel="0" collapsed="false">
      <c r="A21" s="60" t="n">
        <v>12</v>
      </c>
      <c r="B21" s="75" t="n">
        <v>6858.71</v>
      </c>
      <c r="C21" s="54" t="n">
        <v>160153</v>
      </c>
      <c r="D21" s="59" t="n">
        <f aca="false">C21-C20</f>
        <v>537</v>
      </c>
      <c r="E21" s="54" t="n">
        <f aca="false">C21-152000</f>
        <v>8153</v>
      </c>
      <c r="F21" s="53" t="n">
        <f aca="false">D21/$D$2</f>
        <v>270.73355180237</v>
      </c>
      <c r="G21" s="53" t="n">
        <v>311</v>
      </c>
      <c r="H21" s="55" t="n">
        <v>0.39</v>
      </c>
      <c r="I21" s="53" t="n">
        <f aca="false">G21+H21</f>
        <v>311.39</v>
      </c>
      <c r="J21" s="83" t="n">
        <f aca="false">IF(L21&gt;0,L21,0)</f>
        <v>0</v>
      </c>
      <c r="K21" s="53" t="n">
        <f aca="false">I21+J21</f>
        <v>311.39</v>
      </c>
      <c r="L21" s="53" t="n">
        <f aca="false">F21-(I21-X21)</f>
        <v>-16.6564481976304</v>
      </c>
      <c r="M21" s="53" t="n">
        <v>8</v>
      </c>
      <c r="N21" s="53" t="n">
        <v>0.8</v>
      </c>
      <c r="O21" s="53" t="n">
        <f aca="false">3.93*1.05</f>
        <v>4.1265</v>
      </c>
      <c r="P21" s="6" t="n">
        <f aca="false">M21-(N21+O21)</f>
        <v>3.0735</v>
      </c>
      <c r="Q21" s="53" t="n">
        <v>0</v>
      </c>
      <c r="R21" s="53" t="n">
        <v>0</v>
      </c>
      <c r="S21" s="53" t="n">
        <f aca="false">SUM(P21:R21)</f>
        <v>3.0735</v>
      </c>
      <c r="T21" s="54" t="n">
        <f aca="false">(I21-S21)+T20</f>
        <v>-8298.166</v>
      </c>
      <c r="U21" s="53" t="n">
        <v>0</v>
      </c>
      <c r="V21" s="53" t="n">
        <v>16</v>
      </c>
      <c r="W21" s="54" t="n">
        <f aca="false">W20-V21</f>
        <v>3102.778674061</v>
      </c>
      <c r="X21" s="6" t="n">
        <f aca="false">N21+O21+S21+U21+V21</f>
        <v>24</v>
      </c>
      <c r="Y21" s="53" t="n">
        <f aca="false">IF(L21&lt;0,L21*-1,0)</f>
        <v>16.6564481976304</v>
      </c>
      <c r="Z21" s="53" t="n">
        <f aca="false">X21+Y21</f>
        <v>40.6564481976304</v>
      </c>
      <c r="AA21" s="58" t="n">
        <v>0.04</v>
      </c>
      <c r="AB21" s="59" t="n">
        <v>69</v>
      </c>
      <c r="AC21" s="59" t="n">
        <v>50</v>
      </c>
      <c r="AD21" s="60" t="n">
        <v>12</v>
      </c>
      <c r="AE21" s="188" t="n">
        <f aca="false">IF(I21&gt;S21,I21-S21,I21-S21)</f>
        <v>308.3165</v>
      </c>
      <c r="AF21" s="96"/>
      <c r="AG21" s="96"/>
    </row>
    <row r="22" customFormat="false" ht="11.1" hidden="false" customHeight="true" outlineLevel="0" collapsed="false">
      <c r="A22" s="60" t="n">
        <v>13</v>
      </c>
      <c r="B22" s="75" t="n">
        <v>6858.86</v>
      </c>
      <c r="C22" s="54" t="n">
        <v>160489</v>
      </c>
      <c r="D22" s="59" t="n">
        <f aca="false">C22-C21</f>
        <v>336</v>
      </c>
      <c r="E22" s="54" t="n">
        <f aca="false">C22-152000</f>
        <v>8489</v>
      </c>
      <c r="F22" s="53" t="n">
        <f aca="false">D22/$D$2</f>
        <v>169.39752961936</v>
      </c>
      <c r="G22" s="53" t="n">
        <v>215</v>
      </c>
      <c r="H22" s="55" t="n">
        <v>0.01</v>
      </c>
      <c r="I22" s="53" t="n">
        <f aca="false">G22+H22</f>
        <v>215.01</v>
      </c>
      <c r="J22" s="83" t="n">
        <f aca="false">IF(L22&gt;0,L22,0)</f>
        <v>0</v>
      </c>
      <c r="K22" s="53" t="n">
        <f aca="false">I22+J22</f>
        <v>215.01</v>
      </c>
      <c r="L22" s="53" t="n">
        <f aca="false">F22-(I22-X22)</f>
        <v>-22.9124703806403</v>
      </c>
      <c r="M22" s="53" t="n">
        <v>7.7</v>
      </c>
      <c r="N22" s="53" t="n">
        <v>0.43</v>
      </c>
      <c r="O22" s="53" t="n">
        <v>0</v>
      </c>
      <c r="P22" s="6" t="n">
        <f aca="false">M22-(N22+O22)</f>
        <v>7.27</v>
      </c>
      <c r="Q22" s="53" t="n">
        <v>0</v>
      </c>
      <c r="R22" s="53" t="n">
        <v>0</v>
      </c>
      <c r="S22" s="53" t="n">
        <f aca="false">SUM(P22:R22)</f>
        <v>7.27</v>
      </c>
      <c r="T22" s="54" t="n">
        <f aca="false">(I22-S22)+T21</f>
        <v>-8090.426</v>
      </c>
      <c r="U22" s="53" t="n">
        <v>0</v>
      </c>
      <c r="V22" s="53" t="n">
        <v>15</v>
      </c>
      <c r="W22" s="54" t="n">
        <f aca="false">W21-V22</f>
        <v>3087.778674061</v>
      </c>
      <c r="X22" s="6" t="n">
        <f aca="false">N22+O22+S22+U22+V22</f>
        <v>22.7</v>
      </c>
      <c r="Y22" s="53" t="n">
        <f aca="false">IF(L22&lt;0,L22*-1,0)</f>
        <v>22.9124703806403</v>
      </c>
      <c r="Z22" s="53" t="n">
        <f aca="false">X22+Y22</f>
        <v>45.6124703806403</v>
      </c>
      <c r="AA22" s="58" t="n">
        <v>0.01</v>
      </c>
      <c r="AB22" s="59" t="n">
        <v>67</v>
      </c>
      <c r="AC22" s="59" t="n">
        <v>50</v>
      </c>
      <c r="AD22" s="60" t="n">
        <v>13</v>
      </c>
      <c r="AE22" s="188" t="n">
        <f aca="false">IF(I22&gt;S22,I22-S22,I22-S22)</f>
        <v>207.74</v>
      </c>
      <c r="AF22" s="96"/>
      <c r="AG22" s="96"/>
    </row>
    <row r="23" customFormat="false" ht="11.1" hidden="false" customHeight="true" outlineLevel="0" collapsed="false">
      <c r="A23" s="60" t="n">
        <v>14</v>
      </c>
      <c r="B23" s="75" t="n">
        <v>6858.99</v>
      </c>
      <c r="C23" s="54" t="n">
        <v>160781</v>
      </c>
      <c r="D23" s="59" t="n">
        <f aca="false">C23-C22</f>
        <v>292</v>
      </c>
      <c r="E23" s="54" t="n">
        <f aca="false">C23-152000</f>
        <v>8781</v>
      </c>
      <c r="F23" s="53" t="n">
        <f aca="false">D23/$D$2</f>
        <v>147.214519788253</v>
      </c>
      <c r="G23" s="53" t="n">
        <v>187</v>
      </c>
      <c r="H23" s="55" t="n">
        <v>0.01</v>
      </c>
      <c r="I23" s="53" t="n">
        <f aca="false">G23+H23</f>
        <v>187.01</v>
      </c>
      <c r="J23" s="83" t="n">
        <f aca="false">IF(L23&gt;0,L23,0)</f>
        <v>0</v>
      </c>
      <c r="K23" s="53" t="n">
        <f aca="false">I23+J23</f>
        <v>187.01</v>
      </c>
      <c r="L23" s="53" t="n">
        <f aca="false">F23-(I23-X23)</f>
        <v>-17.6954802117469</v>
      </c>
      <c r="M23" s="53" t="n">
        <v>7.1</v>
      </c>
      <c r="N23" s="53" t="n">
        <v>0.43</v>
      </c>
      <c r="O23" s="53" t="n">
        <f aca="false">0.79*1.05</f>
        <v>0.8295</v>
      </c>
      <c r="P23" s="6" t="n">
        <f aca="false">M23-(N23+O23)</f>
        <v>5.8405</v>
      </c>
      <c r="Q23" s="53" t="n">
        <v>0</v>
      </c>
      <c r="R23" s="53" t="n">
        <v>0</v>
      </c>
      <c r="S23" s="53" t="n">
        <f aca="false">SUM(P23:R23)</f>
        <v>5.8405</v>
      </c>
      <c r="T23" s="54" t="n">
        <f aca="false">(I23-S23)+T22</f>
        <v>-7909.2565</v>
      </c>
      <c r="U23" s="53" t="n">
        <v>0</v>
      </c>
      <c r="V23" s="53" t="n">
        <v>15</v>
      </c>
      <c r="W23" s="54" t="n">
        <f aca="false">W22-V23</f>
        <v>3072.778674061</v>
      </c>
      <c r="X23" s="6" t="n">
        <f aca="false">N23+O23+S23+U23+V23</f>
        <v>22.1</v>
      </c>
      <c r="Y23" s="53" t="n">
        <f aca="false">IF(L23&lt;0,L23*-1,0)</f>
        <v>17.6954802117469</v>
      </c>
      <c r="Z23" s="53" t="n">
        <f aca="false">X23+Y23</f>
        <v>39.7954802117469</v>
      </c>
      <c r="AA23" s="58" t="n">
        <v>0</v>
      </c>
      <c r="AB23" s="59" t="n">
        <v>76</v>
      </c>
      <c r="AC23" s="59" t="n">
        <v>45</v>
      </c>
      <c r="AD23" s="60" t="n">
        <v>14</v>
      </c>
      <c r="AE23" s="188" t="n">
        <f aca="false">IF(I23&gt;S23,I23-S23,I23-S23)</f>
        <v>181.1695</v>
      </c>
      <c r="AF23" s="96"/>
      <c r="AG23" s="96"/>
    </row>
    <row r="24" customFormat="false" ht="11.1" hidden="false" customHeight="true" outlineLevel="0" collapsed="false">
      <c r="A24" s="60" t="n">
        <v>15</v>
      </c>
      <c r="B24" s="75" t="n">
        <v>6859.08</v>
      </c>
      <c r="C24" s="54" t="n">
        <v>160984</v>
      </c>
      <c r="D24" s="59" t="n">
        <f aca="false">C24-C23</f>
        <v>203</v>
      </c>
      <c r="E24" s="54" t="n">
        <f aca="false">C24-152000</f>
        <v>8984</v>
      </c>
      <c r="F24" s="53" t="n">
        <f aca="false">D24/$D$2</f>
        <v>102.344340811697</v>
      </c>
      <c r="G24" s="53" t="n">
        <v>142</v>
      </c>
      <c r="H24" s="55" t="n">
        <v>0</v>
      </c>
      <c r="I24" s="53" t="n">
        <f aca="false">G24+H24</f>
        <v>142</v>
      </c>
      <c r="J24" s="83" t="n">
        <f aca="false">IF(L24&gt;0,L24,0)</f>
        <v>0</v>
      </c>
      <c r="K24" s="53" t="n">
        <f aca="false">I24+J24</f>
        <v>142</v>
      </c>
      <c r="L24" s="53" t="n">
        <f aca="false">F24-(I24-X24)</f>
        <v>-18.4556591883035</v>
      </c>
      <c r="M24" s="53" t="n">
        <v>6.2</v>
      </c>
      <c r="N24" s="53" t="n">
        <v>0.43</v>
      </c>
      <c r="O24" s="53" t="n">
        <f aca="false">1.68*1.05</f>
        <v>1.764</v>
      </c>
      <c r="P24" s="6" t="n">
        <f aca="false">M24-(N24+O24)</f>
        <v>4.006</v>
      </c>
      <c r="Q24" s="53" t="n">
        <v>0</v>
      </c>
      <c r="R24" s="53" t="n">
        <v>0</v>
      </c>
      <c r="S24" s="53" t="n">
        <f aca="false">SUM(P24:R24)</f>
        <v>4.006</v>
      </c>
      <c r="T24" s="54" t="n">
        <f aca="false">(I24-S24)+T23</f>
        <v>-7771.2625</v>
      </c>
      <c r="U24" s="53" t="n">
        <v>0</v>
      </c>
      <c r="V24" s="53" t="n">
        <v>15</v>
      </c>
      <c r="W24" s="54" t="n">
        <f aca="false">W23-V24</f>
        <v>3057.778674061</v>
      </c>
      <c r="X24" s="6" t="n">
        <f aca="false">N24+O24+S24+U24+V24</f>
        <v>21.2</v>
      </c>
      <c r="Y24" s="53" t="n">
        <f aca="false">IF(L24&lt;0,L24*-1,0)</f>
        <v>18.4556591883035</v>
      </c>
      <c r="Z24" s="53" t="n">
        <f aca="false">X24+Y24</f>
        <v>39.6556591883035</v>
      </c>
      <c r="AA24" s="58" t="n">
        <v>0</v>
      </c>
      <c r="AB24" s="59" t="n">
        <v>75</v>
      </c>
      <c r="AC24" s="59" t="n">
        <v>47</v>
      </c>
      <c r="AD24" s="60" t="n">
        <v>15</v>
      </c>
      <c r="AE24" s="188" t="n">
        <f aca="false">IF(I24&gt;S24,I24-S24,I24-S24)</f>
        <v>137.994</v>
      </c>
      <c r="AF24" s="96"/>
      <c r="AG24" s="96"/>
    </row>
    <row r="25" customFormat="false" ht="11.1" hidden="false" customHeight="true" outlineLevel="0" collapsed="false">
      <c r="A25" s="60" t="n">
        <v>16</v>
      </c>
      <c r="B25" s="75" t="n">
        <v>6859.15</v>
      </c>
      <c r="C25" s="54" t="n">
        <v>161143</v>
      </c>
      <c r="D25" s="59" t="n">
        <f aca="false">C25-C24</f>
        <v>159</v>
      </c>
      <c r="E25" s="54" t="n">
        <f aca="false">C25-152000</f>
        <v>9143</v>
      </c>
      <c r="F25" s="53" t="n">
        <f aca="false">D25/$D$2</f>
        <v>80.1613309805899</v>
      </c>
      <c r="G25" s="53" t="n">
        <v>113</v>
      </c>
      <c r="H25" s="55" t="n">
        <v>0</v>
      </c>
      <c r="I25" s="53" t="n">
        <f aca="false">G25+H25</f>
        <v>113</v>
      </c>
      <c r="J25" s="83" t="n">
        <f aca="false">IF(L25&gt;0,L25,0)</f>
        <v>0</v>
      </c>
      <c r="K25" s="53" t="n">
        <f aca="false">I25+J25</f>
        <v>113</v>
      </c>
      <c r="L25" s="53" t="n">
        <f aca="false">F25-(I25-X25)</f>
        <v>-12.7386690194101</v>
      </c>
      <c r="M25" s="53" t="n">
        <v>5.1</v>
      </c>
      <c r="N25" s="53" t="n">
        <v>0.43</v>
      </c>
      <c r="O25" s="53" t="n">
        <f aca="false">1.18*1.05</f>
        <v>1.239</v>
      </c>
      <c r="P25" s="6" t="n">
        <f aca="false">M25-(N25+O25)</f>
        <v>3.431</v>
      </c>
      <c r="Q25" s="53" t="n">
        <v>0</v>
      </c>
      <c r="R25" s="53" t="n">
        <v>0</v>
      </c>
      <c r="S25" s="53" t="n">
        <f aca="false">SUM(P25:R25)</f>
        <v>3.431</v>
      </c>
      <c r="T25" s="54" t="n">
        <f aca="false">(I25-S25)+T24</f>
        <v>-7661.6935</v>
      </c>
      <c r="U25" s="53" t="n">
        <v>0</v>
      </c>
      <c r="V25" s="53" t="n">
        <v>15</v>
      </c>
      <c r="W25" s="54" t="n">
        <f aca="false">W24-V25</f>
        <v>3042.778674061</v>
      </c>
      <c r="X25" s="6" t="n">
        <f aca="false">N25+O25+S25+U25+V25</f>
        <v>20.1</v>
      </c>
      <c r="Y25" s="53" t="n">
        <f aca="false">IF(L25&lt;0,L25*-1,0)</f>
        <v>12.7386690194101</v>
      </c>
      <c r="Z25" s="53" t="n">
        <f aca="false">X25+Y25</f>
        <v>32.8386690194101</v>
      </c>
      <c r="AA25" s="58" t="n">
        <v>0.01</v>
      </c>
      <c r="AB25" s="59" t="n">
        <v>74</v>
      </c>
      <c r="AC25" s="59" t="n">
        <v>47</v>
      </c>
      <c r="AD25" s="60" t="n">
        <v>16</v>
      </c>
      <c r="AE25" s="188" t="n">
        <f aca="false">IF(I25&gt;S25,I25-S25,I25-S25)</f>
        <v>109.569</v>
      </c>
      <c r="AF25" s="96"/>
      <c r="AG25" s="96"/>
    </row>
    <row r="26" customFormat="false" ht="11.1" hidden="false" customHeight="true" outlineLevel="0" collapsed="false">
      <c r="A26" s="60" t="n">
        <v>17</v>
      </c>
      <c r="B26" s="75" t="n">
        <v>6859.3</v>
      </c>
      <c r="C26" s="54" t="n">
        <v>161482</v>
      </c>
      <c r="D26" s="59" t="n">
        <f aca="false">C26-C25</f>
        <v>339</v>
      </c>
      <c r="E26" s="54" t="n">
        <f aca="false">C26-152000</f>
        <v>9482</v>
      </c>
      <c r="F26" s="53" t="n">
        <f aca="false">D26/$D$2</f>
        <v>170.91000756239</v>
      </c>
      <c r="G26" s="53" t="n">
        <v>97</v>
      </c>
      <c r="H26" s="55" t="n">
        <v>0</v>
      </c>
      <c r="I26" s="53" t="n">
        <f aca="false">G26+H26</f>
        <v>97</v>
      </c>
      <c r="J26" s="83" t="n">
        <f aca="false">IF(L26&gt;0,L26,0)</f>
        <v>94.0100075623897</v>
      </c>
      <c r="K26" s="53" t="n">
        <f aca="false">I26+J26</f>
        <v>191.01000756239</v>
      </c>
      <c r="L26" s="53" t="n">
        <f aca="false">F26-(I26-X26)</f>
        <v>94.0100075623897</v>
      </c>
      <c r="M26" s="53" t="n">
        <v>5.1</v>
      </c>
      <c r="N26" s="53" t="n">
        <v>0.43</v>
      </c>
      <c r="O26" s="53" t="n">
        <f aca="false">0.7*1.05</f>
        <v>0.735</v>
      </c>
      <c r="P26" s="6" t="n">
        <f aca="false">M26-(N26+O26)</f>
        <v>3.935</v>
      </c>
      <c r="Q26" s="53" t="n">
        <v>0</v>
      </c>
      <c r="R26" s="53" t="n">
        <v>0</v>
      </c>
      <c r="S26" s="53" t="n">
        <f aca="false">SUM(P26:R26)</f>
        <v>3.935</v>
      </c>
      <c r="T26" s="54" t="n">
        <f aca="false">(I26-S26)+T25</f>
        <v>-7568.6285</v>
      </c>
      <c r="U26" s="53" t="n">
        <v>0</v>
      </c>
      <c r="V26" s="53" t="n">
        <v>15</v>
      </c>
      <c r="W26" s="54" t="n">
        <f aca="false">W25-V26</f>
        <v>3027.778674061</v>
      </c>
      <c r="X26" s="6" t="n">
        <f aca="false">N26+O26+S26+U26+V26</f>
        <v>20.1</v>
      </c>
      <c r="Y26" s="53" t="n">
        <f aca="false">IF(L26&lt;0,L26*-1,0)</f>
        <v>0</v>
      </c>
      <c r="Z26" s="53" t="n">
        <f aca="false">X26+Y26</f>
        <v>20.1</v>
      </c>
      <c r="AA26" s="58" t="n">
        <v>0.08</v>
      </c>
      <c r="AB26" s="59" t="n">
        <v>74</v>
      </c>
      <c r="AC26" s="59" t="n">
        <v>49</v>
      </c>
      <c r="AD26" s="60" t="n">
        <v>17</v>
      </c>
      <c r="AE26" s="188" t="n">
        <f aca="false">IF(I26&gt;S26,I26-S26,I26-S26)</f>
        <v>93.065</v>
      </c>
      <c r="AF26" s="96"/>
      <c r="AG26" s="96"/>
    </row>
    <row r="27" customFormat="false" ht="11.1" hidden="false" customHeight="true" outlineLevel="0" collapsed="false">
      <c r="A27" s="60" t="n">
        <v>18</v>
      </c>
      <c r="B27" s="75" t="n">
        <v>6859.31</v>
      </c>
      <c r="C27" s="54" t="n">
        <v>161505</v>
      </c>
      <c r="D27" s="59" t="n">
        <f aca="false">C27-C26</f>
        <v>23</v>
      </c>
      <c r="E27" s="54" t="n">
        <f aca="false">C27-152000</f>
        <v>9505</v>
      </c>
      <c r="F27" s="53" t="n">
        <f aca="false">D27/$D$2</f>
        <v>11.5956642298966</v>
      </c>
      <c r="G27" s="53" t="n">
        <v>89</v>
      </c>
      <c r="H27" s="55" t="n">
        <v>0</v>
      </c>
      <c r="I27" s="53" t="n">
        <f aca="false">G27+H27</f>
        <v>89</v>
      </c>
      <c r="J27" s="83" t="n">
        <f aca="false">IF(L27&gt;0,L27,0)</f>
        <v>0</v>
      </c>
      <c r="K27" s="53" t="n">
        <f aca="false">I27+J27</f>
        <v>89</v>
      </c>
      <c r="L27" s="53" t="n">
        <f aca="false">F27-(I27-X27)</f>
        <v>-25.5043357701033</v>
      </c>
      <c r="M27" s="53" t="n">
        <v>17</v>
      </c>
      <c r="N27" s="53" t="n">
        <v>0.38</v>
      </c>
      <c r="O27" s="53" t="n">
        <f aca="false">3.74*1.05</f>
        <v>3.927</v>
      </c>
      <c r="P27" s="6" t="n">
        <f aca="false">M27-(N27+O27)</f>
        <v>12.693</v>
      </c>
      <c r="Q27" s="53" t="n">
        <v>14</v>
      </c>
      <c r="R27" s="53" t="n">
        <v>5.9</v>
      </c>
      <c r="S27" s="53" t="n">
        <f aca="false">SUM(P27:R27)</f>
        <v>32.593</v>
      </c>
      <c r="T27" s="54" t="n">
        <f aca="false">(I27-S27)+T26</f>
        <v>-7512.2215</v>
      </c>
      <c r="U27" s="53" t="n">
        <v>0</v>
      </c>
      <c r="V27" s="53" t="n">
        <v>15</v>
      </c>
      <c r="W27" s="54" t="n">
        <f aca="false">W26-V27</f>
        <v>3012.778674061</v>
      </c>
      <c r="X27" s="6" t="n">
        <f aca="false">N27+O27+S27+U27+V27</f>
        <v>51.9</v>
      </c>
      <c r="Y27" s="53" t="n">
        <f aca="false">IF(L27&lt;0,L27*-1,0)</f>
        <v>25.5043357701033</v>
      </c>
      <c r="Z27" s="53" t="n">
        <f aca="false">X27+Y27</f>
        <v>77.4043357701034</v>
      </c>
      <c r="AA27" s="58" t="n">
        <v>0.13</v>
      </c>
      <c r="AB27" s="59" t="n">
        <v>56</v>
      </c>
      <c r="AC27" s="59" t="n">
        <v>44</v>
      </c>
      <c r="AD27" s="60" t="n">
        <v>18</v>
      </c>
      <c r="AE27" s="188" t="n">
        <f aca="false">IF(I27&gt;S27,I27-S27,I27-S27)</f>
        <v>56.407</v>
      </c>
      <c r="AF27" s="96"/>
      <c r="AG27" s="96"/>
    </row>
    <row r="28" customFormat="false" ht="11.1" hidden="false" customHeight="true" outlineLevel="0" collapsed="false">
      <c r="A28" s="60" t="n">
        <v>19</v>
      </c>
      <c r="B28" s="75" t="n">
        <v>6859.28</v>
      </c>
      <c r="C28" s="54" t="n">
        <v>161437</v>
      </c>
      <c r="D28" s="59" t="n">
        <f aca="false">C28-C27</f>
        <v>-68</v>
      </c>
      <c r="E28" s="54" t="n">
        <f aca="false">C28-152000</f>
        <v>9437</v>
      </c>
      <c r="F28" s="53" t="n">
        <f aca="false">D28/$D$2</f>
        <v>-34.2828333753466</v>
      </c>
      <c r="G28" s="53" t="n">
        <v>89</v>
      </c>
      <c r="H28" s="55" t="n">
        <v>0</v>
      </c>
      <c r="I28" s="53" t="n">
        <f aca="false">G28+H28</f>
        <v>89</v>
      </c>
      <c r="J28" s="83" t="n">
        <f aca="false">IF(L28&gt;0,L28,0)</f>
        <v>0</v>
      </c>
      <c r="K28" s="53" t="n">
        <f aca="false">I28+J28</f>
        <v>89</v>
      </c>
      <c r="L28" s="53" t="n">
        <f aca="false">F28-(I28-X28)</f>
        <v>-43.2828333753466</v>
      </c>
      <c r="M28" s="53" t="n">
        <v>25</v>
      </c>
      <c r="N28" s="53" t="n">
        <v>0.38</v>
      </c>
      <c r="O28" s="53" t="n">
        <f aca="false">8.71*1.05</f>
        <v>9.1455</v>
      </c>
      <c r="P28" s="6" t="n">
        <f aca="false">M28-(N28+O28)</f>
        <v>15.4745</v>
      </c>
      <c r="Q28" s="53" t="n">
        <v>25</v>
      </c>
      <c r="R28" s="53" t="n">
        <v>16</v>
      </c>
      <c r="S28" s="53" t="n">
        <f aca="false">SUM(P28:R28)</f>
        <v>56.4745</v>
      </c>
      <c r="T28" s="54" t="n">
        <f aca="false">(I28-S28)+T27</f>
        <v>-7479.696</v>
      </c>
      <c r="U28" s="53" t="n">
        <v>0</v>
      </c>
      <c r="V28" s="53" t="n">
        <v>14</v>
      </c>
      <c r="W28" s="54" t="n">
        <f aca="false">W27-V28</f>
        <v>2998.778674061</v>
      </c>
      <c r="X28" s="6" t="n">
        <f aca="false">N28+O28+S28+U28+V28</f>
        <v>80</v>
      </c>
      <c r="Y28" s="53" t="n">
        <f aca="false">IF(L28&lt;0,L28*-1,0)</f>
        <v>43.2828333753466</v>
      </c>
      <c r="Z28" s="53" t="n">
        <f aca="false">X28+Y28</f>
        <v>123.282833375347</v>
      </c>
      <c r="AA28" s="58" t="n">
        <v>0</v>
      </c>
      <c r="AB28" s="59" t="n">
        <v>63</v>
      </c>
      <c r="AC28" s="59" t="n">
        <v>43</v>
      </c>
      <c r="AD28" s="60" t="n">
        <v>19</v>
      </c>
      <c r="AE28" s="188" t="n">
        <f aca="false">IF(I28&gt;S28,I28-S28,I28-S28)</f>
        <v>32.5255</v>
      </c>
      <c r="AF28" s="96"/>
      <c r="AG28" s="96"/>
    </row>
    <row r="29" customFormat="false" ht="11.1" hidden="false" customHeight="true" outlineLevel="0" collapsed="false">
      <c r="A29" s="60" t="n">
        <v>20</v>
      </c>
      <c r="B29" s="75" t="n">
        <v>6859.21</v>
      </c>
      <c r="C29" s="54" t="n">
        <v>161278</v>
      </c>
      <c r="D29" s="59" t="n">
        <f aca="false">C29-C28</f>
        <v>-159</v>
      </c>
      <c r="E29" s="54" t="n">
        <f aca="false">C29-152000</f>
        <v>9278</v>
      </c>
      <c r="F29" s="53" t="n">
        <f aca="false">D29/$D$2</f>
        <v>-80.1613309805899</v>
      </c>
      <c r="G29" s="53" t="n">
        <v>80</v>
      </c>
      <c r="H29" s="55" t="n">
        <v>0</v>
      </c>
      <c r="I29" s="53" t="n">
        <f aca="false">G29+H29</f>
        <v>80</v>
      </c>
      <c r="J29" s="83" t="n">
        <f aca="false">IF(L29&gt;0,L29,0)</f>
        <v>0</v>
      </c>
      <c r="K29" s="53" t="n">
        <f aca="false">I29+J29</f>
        <v>80</v>
      </c>
      <c r="L29" s="53" t="n">
        <f aca="false">F29-(I29-X29)</f>
        <v>-35.1613309805899</v>
      </c>
      <c r="M29" s="53" t="n">
        <v>40</v>
      </c>
      <c r="N29" s="53" t="n">
        <v>0.38</v>
      </c>
      <c r="O29" s="53" t="n">
        <f aca="false">9.96*1.05</f>
        <v>10.458</v>
      </c>
      <c r="P29" s="6" t="n">
        <f aca="false">M29-(N29+O29)</f>
        <v>29.162</v>
      </c>
      <c r="Q29" s="53" t="n">
        <v>45</v>
      </c>
      <c r="R29" s="53" t="n">
        <v>26</v>
      </c>
      <c r="S29" s="53" t="n">
        <f aca="false">SUM(P29:R29)</f>
        <v>100.162</v>
      </c>
      <c r="T29" s="54" t="n">
        <f aca="false">(I29-S29)+T28</f>
        <v>-7499.858</v>
      </c>
      <c r="U29" s="53" t="n">
        <v>0</v>
      </c>
      <c r="V29" s="53" t="n">
        <v>14</v>
      </c>
      <c r="W29" s="54" t="n">
        <f aca="false">W28-V29</f>
        <v>2984.778674061</v>
      </c>
      <c r="X29" s="6" t="n">
        <f aca="false">N29+O29+S29+U29+V29</f>
        <v>125</v>
      </c>
      <c r="Y29" s="53" t="n">
        <f aca="false">IF(L29&lt;0,L29*-1,0)</f>
        <v>35.1613309805899</v>
      </c>
      <c r="Z29" s="53" t="n">
        <f aca="false">X29+Y29</f>
        <v>160.16133098059</v>
      </c>
      <c r="AA29" s="58" t="n">
        <v>0</v>
      </c>
      <c r="AB29" s="59" t="n">
        <v>72</v>
      </c>
      <c r="AC29" s="59" t="n">
        <v>37</v>
      </c>
      <c r="AD29" s="60" t="n">
        <v>20</v>
      </c>
      <c r="AE29" s="188" t="n">
        <f aca="false">IF(I29&gt;S29,I29-S29,I29-S29)</f>
        <v>-20.162</v>
      </c>
      <c r="AF29" s="96"/>
      <c r="AG29" s="96"/>
    </row>
    <row r="30" customFormat="false" ht="11.1" hidden="false" customHeight="true" outlineLevel="0" collapsed="false">
      <c r="A30" s="60" t="n">
        <v>21</v>
      </c>
      <c r="B30" s="75" t="n">
        <v>6859.13</v>
      </c>
      <c r="C30" s="54" t="n">
        <v>161097</v>
      </c>
      <c r="D30" s="59" t="n">
        <f aca="false">C30-C29</f>
        <v>-181</v>
      </c>
      <c r="E30" s="54" t="n">
        <f aca="false">C30-152000</f>
        <v>9097</v>
      </c>
      <c r="F30" s="53" t="n">
        <f aca="false">D30/$D$2</f>
        <v>-91.2528358961432</v>
      </c>
      <c r="G30" s="53" t="n">
        <v>72</v>
      </c>
      <c r="H30" s="55" t="n">
        <v>0</v>
      </c>
      <c r="I30" s="53" t="n">
        <f aca="false">G30+H30</f>
        <v>72</v>
      </c>
      <c r="J30" s="83" t="n">
        <f aca="false">IF(L30&gt;0,L30,0)</f>
        <v>0</v>
      </c>
      <c r="K30" s="53" t="n">
        <f aca="false">I30+J30</f>
        <v>72</v>
      </c>
      <c r="L30" s="53" t="n">
        <f aca="false">F30-(I30-X30)</f>
        <v>-32.2528358961432</v>
      </c>
      <c r="M30" s="53" t="n">
        <v>42</v>
      </c>
      <c r="N30" s="53" t="n">
        <v>0.38</v>
      </c>
      <c r="O30" s="53" t="n">
        <f aca="false">9.84*1.05</f>
        <v>10.332</v>
      </c>
      <c r="P30" s="6" t="n">
        <f aca="false">M30-(N30+O30)</f>
        <v>31.288</v>
      </c>
      <c r="Q30" s="53" t="n">
        <v>49</v>
      </c>
      <c r="R30" s="53" t="n">
        <v>26</v>
      </c>
      <c r="S30" s="53" t="n">
        <f aca="false">SUM(P30:R30)</f>
        <v>106.288</v>
      </c>
      <c r="T30" s="54" t="n">
        <f aca="false">(I30-S30)+T29</f>
        <v>-7534.146</v>
      </c>
      <c r="U30" s="53" t="n">
        <v>0</v>
      </c>
      <c r="V30" s="53" t="n">
        <v>14</v>
      </c>
      <c r="W30" s="54" t="n">
        <f aca="false">W29-V30</f>
        <v>2970.778674061</v>
      </c>
      <c r="X30" s="6" t="n">
        <f aca="false">N30+O30+S30+U30+V30</f>
        <v>131</v>
      </c>
      <c r="Y30" s="53" t="n">
        <f aca="false">IF(L30&lt;0,L30*-1,0)</f>
        <v>32.2528358961432</v>
      </c>
      <c r="Z30" s="53" t="n">
        <f aca="false">X30+Y30</f>
        <v>163.252835896143</v>
      </c>
      <c r="AA30" s="58" t="n">
        <v>0</v>
      </c>
      <c r="AB30" s="59" t="n">
        <v>76</v>
      </c>
      <c r="AC30" s="59" t="n">
        <v>41</v>
      </c>
      <c r="AD30" s="60" t="n">
        <v>21</v>
      </c>
      <c r="AE30" s="188" t="n">
        <f aca="false">IF(I30&gt;S30,I30-S30,I30-S30)</f>
        <v>-34.288</v>
      </c>
      <c r="AF30" s="96"/>
      <c r="AG30" s="96"/>
    </row>
    <row r="31" customFormat="false" ht="11.1" hidden="false" customHeight="true" outlineLevel="0" collapsed="false">
      <c r="A31" s="60" t="n">
        <v>22</v>
      </c>
      <c r="B31" s="75" t="n">
        <v>6859.03</v>
      </c>
      <c r="C31" s="54" t="n">
        <v>160871</v>
      </c>
      <c r="D31" s="59" t="n">
        <f aca="false">C31-C30</f>
        <v>-226</v>
      </c>
      <c r="E31" s="54" t="n">
        <f aca="false">C31-152000</f>
        <v>8871</v>
      </c>
      <c r="F31" s="53" t="n">
        <f aca="false">D31/$D$2</f>
        <v>-113.940005041593</v>
      </c>
      <c r="G31" s="53" t="n">
        <v>63</v>
      </c>
      <c r="H31" s="55" t="n">
        <v>0</v>
      </c>
      <c r="I31" s="53" t="n">
        <f aca="false">G31+H31</f>
        <v>63</v>
      </c>
      <c r="J31" s="83" t="n">
        <f aca="false">IF(L31&gt;0,L31,0)</f>
        <v>0</v>
      </c>
      <c r="K31" s="53" t="n">
        <f aca="false">I31+J31</f>
        <v>63</v>
      </c>
      <c r="L31" s="53" t="n">
        <f aca="false">F31-(I31-X31)</f>
        <v>-45.9400050415931</v>
      </c>
      <c r="M31" s="53" t="n">
        <v>43</v>
      </c>
      <c r="N31" s="53" t="n">
        <v>0.38</v>
      </c>
      <c r="O31" s="53" t="n">
        <f aca="false">9.8*1.05</f>
        <v>10.29</v>
      </c>
      <c r="P31" s="6" t="n">
        <f aca="false">M31-(N31+O31)</f>
        <v>32.33</v>
      </c>
      <c r="Q31" s="53" t="n">
        <v>48</v>
      </c>
      <c r="R31" s="53" t="n">
        <v>26</v>
      </c>
      <c r="S31" s="53" t="n">
        <f aca="false">SUM(P31:R31)</f>
        <v>106.33</v>
      </c>
      <c r="T31" s="54" t="n">
        <f aca="false">(I31-S31)+T30</f>
        <v>-7577.476</v>
      </c>
      <c r="U31" s="53" t="n">
        <v>0</v>
      </c>
      <c r="V31" s="53" t="n">
        <v>14</v>
      </c>
      <c r="W31" s="54" t="n">
        <f aca="false">W30-V31</f>
        <v>2956.778674061</v>
      </c>
      <c r="X31" s="6" t="n">
        <f aca="false">N31+O31+S31+U31+V31</f>
        <v>131</v>
      </c>
      <c r="Y31" s="53" t="n">
        <f aca="false">IF(L31&lt;0,L31*-1,0)</f>
        <v>45.9400050415931</v>
      </c>
      <c r="Z31" s="53" t="n">
        <f aca="false">X31+Y31</f>
        <v>176.940005041593</v>
      </c>
      <c r="AA31" s="58" t="n">
        <v>0</v>
      </c>
      <c r="AB31" s="59" t="n">
        <v>75</v>
      </c>
      <c r="AC31" s="59" t="n">
        <v>45</v>
      </c>
      <c r="AD31" s="60" t="n">
        <v>22</v>
      </c>
      <c r="AE31" s="188" t="n">
        <f aca="false">IF(I31&gt;S31,I31-S31,I31-S31)</f>
        <v>-43.33</v>
      </c>
      <c r="AF31" s="96"/>
      <c r="AG31" s="96"/>
    </row>
    <row r="32" customFormat="false" ht="11.1" hidden="false" customHeight="true" outlineLevel="0" collapsed="false">
      <c r="A32" s="60" t="n">
        <v>23</v>
      </c>
      <c r="B32" s="75" t="n">
        <v>6858.9</v>
      </c>
      <c r="C32" s="54" t="n">
        <v>160579</v>
      </c>
      <c r="D32" s="59" t="n">
        <f aca="false">C32-C31</f>
        <v>-292</v>
      </c>
      <c r="E32" s="54" t="n">
        <f aca="false">C32-152000</f>
        <v>8579</v>
      </c>
      <c r="F32" s="53" t="n">
        <f aca="false">D32/$D$2</f>
        <v>-147.214519788253</v>
      </c>
      <c r="G32" s="53" t="n">
        <v>59</v>
      </c>
      <c r="H32" s="55" t="n">
        <v>0</v>
      </c>
      <c r="I32" s="53" t="n">
        <f aca="false">G32+H32</f>
        <v>59</v>
      </c>
      <c r="J32" s="83" t="n">
        <f aca="false">IF(L32&gt;0,L32,0)</f>
        <v>0</v>
      </c>
      <c r="K32" s="53" t="n">
        <f aca="false">I32+J32</f>
        <v>59</v>
      </c>
      <c r="L32" s="53" t="n">
        <f aca="false">F32-(I32-X32)</f>
        <v>-72.2145197882531</v>
      </c>
      <c r="M32" s="53" t="n">
        <v>43</v>
      </c>
      <c r="N32" s="53" t="n">
        <v>0.56</v>
      </c>
      <c r="O32" s="53" t="n">
        <f aca="false">4.31*1.05</f>
        <v>4.5255</v>
      </c>
      <c r="P32" s="6" t="n">
        <f aca="false">M32-(N32+O32)</f>
        <v>37.9145</v>
      </c>
      <c r="Q32" s="53" t="n">
        <v>51</v>
      </c>
      <c r="R32" s="53" t="n">
        <v>26</v>
      </c>
      <c r="S32" s="53" t="n">
        <f aca="false">SUM(P32:R32)</f>
        <v>114.9145</v>
      </c>
      <c r="T32" s="54" t="n">
        <f aca="false">(I32-S32)+T31</f>
        <v>-7633.3905</v>
      </c>
      <c r="U32" s="53" t="n">
        <v>0</v>
      </c>
      <c r="V32" s="53" t="n">
        <v>14</v>
      </c>
      <c r="W32" s="54" t="n">
        <f aca="false">W31-V32</f>
        <v>2942.778674061</v>
      </c>
      <c r="X32" s="6" t="n">
        <f aca="false">N32+O32+S32+U32+V32</f>
        <v>134</v>
      </c>
      <c r="Y32" s="53" t="n">
        <f aca="false">IF(L32&lt;0,L32*-1,0)</f>
        <v>72.2145197882531</v>
      </c>
      <c r="Z32" s="53" t="n">
        <f aca="false">X32+Y32</f>
        <v>206.214519788253</v>
      </c>
      <c r="AA32" s="58" t="n">
        <v>0</v>
      </c>
      <c r="AB32" s="59" t="n">
        <v>76</v>
      </c>
      <c r="AC32" s="59" t="n">
        <v>42</v>
      </c>
      <c r="AD32" s="60" t="n">
        <v>23</v>
      </c>
      <c r="AE32" s="188" t="n">
        <f aca="false">IF(I32&gt;S32,I32-S32,I32-S32)</f>
        <v>-55.9145</v>
      </c>
      <c r="AF32" s="96"/>
      <c r="AG32" s="96"/>
    </row>
    <row r="33" customFormat="false" ht="11.1" hidden="false" customHeight="true" outlineLevel="0" collapsed="false">
      <c r="A33" s="60" t="n">
        <v>24</v>
      </c>
      <c r="B33" s="75" t="n">
        <v>6858.79</v>
      </c>
      <c r="C33" s="54" t="n">
        <v>160333</v>
      </c>
      <c r="D33" s="59" t="n">
        <f aca="false">C33-C32</f>
        <v>-246</v>
      </c>
      <c r="E33" s="54" t="n">
        <f aca="false">C33-152000</f>
        <v>8333</v>
      </c>
      <c r="F33" s="53" t="n">
        <f aca="false">D33/$D$2</f>
        <v>-124.02319132846</v>
      </c>
      <c r="G33" s="53" t="n">
        <v>56</v>
      </c>
      <c r="H33" s="55" t="n">
        <v>0</v>
      </c>
      <c r="I33" s="53" t="n">
        <f aca="false">G33+H33</f>
        <v>56</v>
      </c>
      <c r="J33" s="83" t="n">
        <f aca="false">IF(L33&gt;0,L33,0)</f>
        <v>0</v>
      </c>
      <c r="K33" s="53" t="n">
        <f aca="false">I33+J33</f>
        <v>56</v>
      </c>
      <c r="L33" s="53" t="n">
        <f aca="false">F33-(I33-X33)</f>
        <v>-45.0231913284598</v>
      </c>
      <c r="M33" s="53" t="n">
        <v>42</v>
      </c>
      <c r="N33" s="53" t="n">
        <v>0.56</v>
      </c>
      <c r="O33" s="53" t="n">
        <f aca="false">1.2*1.05</f>
        <v>1.26</v>
      </c>
      <c r="P33" s="6" t="n">
        <f aca="false">M33-(N33+O33)</f>
        <v>40.18</v>
      </c>
      <c r="Q33" s="53" t="n">
        <v>53</v>
      </c>
      <c r="R33" s="53" t="n">
        <v>26</v>
      </c>
      <c r="S33" s="53" t="n">
        <f aca="false">SUM(P33:R33)</f>
        <v>119.18</v>
      </c>
      <c r="T33" s="54" t="n">
        <f aca="false">(I33-S33)+T32</f>
        <v>-7696.5705</v>
      </c>
      <c r="U33" s="53" t="n">
        <v>0</v>
      </c>
      <c r="V33" s="53" t="n">
        <v>14</v>
      </c>
      <c r="W33" s="54" t="n">
        <f aca="false">W32-V33</f>
        <v>2928.778674061</v>
      </c>
      <c r="X33" s="6" t="n">
        <f aca="false">N33+O33+S33+U33+V33</f>
        <v>135</v>
      </c>
      <c r="Y33" s="53" t="n">
        <f aca="false">IF(L33&lt;0,L33*-1,0)</f>
        <v>45.0231913284598</v>
      </c>
      <c r="Z33" s="53" t="n">
        <f aca="false">X33+Y33</f>
        <v>180.02319132846</v>
      </c>
      <c r="AA33" s="58" t="n">
        <v>0</v>
      </c>
      <c r="AB33" s="59" t="n">
        <v>77</v>
      </c>
      <c r="AC33" s="59" t="n">
        <v>44</v>
      </c>
      <c r="AD33" s="60" t="n">
        <v>24</v>
      </c>
      <c r="AE33" s="188" t="n">
        <f aca="false">IF(I33&gt;S33,I33-S33,I33-S33)</f>
        <v>-63.18</v>
      </c>
      <c r="AF33" s="96"/>
      <c r="AG33" s="96"/>
    </row>
    <row r="34" customFormat="false" ht="11.1" hidden="false" customHeight="true" outlineLevel="0" collapsed="false">
      <c r="A34" s="60" t="n">
        <v>25</v>
      </c>
      <c r="B34" s="75" t="n">
        <v>6858.72</v>
      </c>
      <c r="C34" s="54" t="n">
        <v>160176</v>
      </c>
      <c r="D34" s="59" t="n">
        <f aca="false">C34-C33</f>
        <v>-157</v>
      </c>
      <c r="E34" s="54" t="n">
        <f aca="false">C34-152000</f>
        <v>8176</v>
      </c>
      <c r="F34" s="53" t="n">
        <f aca="false">D34/$D$2</f>
        <v>-79.1530123519032</v>
      </c>
      <c r="G34" s="53" t="n">
        <v>55</v>
      </c>
      <c r="H34" s="55" t="n">
        <v>0</v>
      </c>
      <c r="I34" s="53" t="n">
        <f aca="false">G34+H34</f>
        <v>55</v>
      </c>
      <c r="J34" s="83" t="n">
        <f aca="false">IF(L34&gt;0,L34,0)</f>
        <v>0</v>
      </c>
      <c r="K34" s="53" t="n">
        <f aca="false">I34+J34</f>
        <v>55</v>
      </c>
      <c r="L34" s="53" t="n">
        <f aca="false">F34-(I34-X34)</f>
        <v>-4.1530123519032</v>
      </c>
      <c r="M34" s="53" t="n">
        <v>42</v>
      </c>
      <c r="N34" s="53" t="n">
        <v>0.56</v>
      </c>
      <c r="O34" s="53" t="n">
        <f aca="false">0.25*1.05</f>
        <v>0.2625</v>
      </c>
      <c r="P34" s="6" t="n">
        <f aca="false">M34-(N34+O34)</f>
        <v>41.1775</v>
      </c>
      <c r="Q34" s="53" t="n">
        <v>48</v>
      </c>
      <c r="R34" s="53" t="n">
        <v>26</v>
      </c>
      <c r="S34" s="53" t="n">
        <f aca="false">SUM(P34:R34)</f>
        <v>115.1775</v>
      </c>
      <c r="T34" s="54" t="n">
        <f aca="false">(I34-S34)+T33</f>
        <v>-7756.748</v>
      </c>
      <c r="U34" s="53" t="n">
        <v>0</v>
      </c>
      <c r="V34" s="53" t="n">
        <v>14</v>
      </c>
      <c r="W34" s="54" t="n">
        <f aca="false">W33-V34</f>
        <v>2914.778674061</v>
      </c>
      <c r="X34" s="6" t="n">
        <f aca="false">N34+O34+S34+U34+V34</f>
        <v>130</v>
      </c>
      <c r="Y34" s="53" t="n">
        <f aca="false">IF(L34&lt;0,L34*-1,0)</f>
        <v>4.1530123519032</v>
      </c>
      <c r="Z34" s="53" t="n">
        <f aca="false">X34+Y34</f>
        <v>134.153012351903</v>
      </c>
      <c r="AA34" s="58" t="n">
        <v>0.01</v>
      </c>
      <c r="AB34" s="59" t="n">
        <v>73</v>
      </c>
      <c r="AC34" s="59" t="n">
        <v>48</v>
      </c>
      <c r="AD34" s="60" t="n">
        <v>25</v>
      </c>
      <c r="AE34" s="188" t="n">
        <f aca="false">IF(I34&gt;S34,I34-S34,I34-S34)</f>
        <v>-60.1775</v>
      </c>
      <c r="AF34" s="96"/>
      <c r="AG34" s="96"/>
    </row>
    <row r="35" customFormat="false" ht="11.1" hidden="false" customHeight="true" outlineLevel="0" collapsed="false">
      <c r="A35" s="60" t="n">
        <v>26</v>
      </c>
      <c r="B35" s="75" t="n">
        <v>6858.67</v>
      </c>
      <c r="C35" s="54" t="n">
        <v>160064</v>
      </c>
      <c r="D35" s="59" t="n">
        <f aca="false">C35-C34</f>
        <v>-112</v>
      </c>
      <c r="E35" s="54" t="n">
        <f aca="false">C35-152000</f>
        <v>8064</v>
      </c>
      <c r="F35" s="53" t="n">
        <f aca="false">D35/$D$2</f>
        <v>-56.4658432064532</v>
      </c>
      <c r="G35" s="53" t="n">
        <v>53</v>
      </c>
      <c r="H35" s="55" t="n">
        <v>0</v>
      </c>
      <c r="I35" s="53" t="n">
        <f aca="false">G35+H35</f>
        <v>53</v>
      </c>
      <c r="J35" s="83" t="n">
        <f aca="false">IF(L35&gt;0,L35,0)</f>
        <v>18.5341567935468</v>
      </c>
      <c r="K35" s="53" t="n">
        <f aca="false">I35+J35</f>
        <v>71.5341567935468</v>
      </c>
      <c r="L35" s="53" t="n">
        <f aca="false">F35-(I35-X35)</f>
        <v>18.5341567935468</v>
      </c>
      <c r="M35" s="53" t="n">
        <v>43</v>
      </c>
      <c r="N35" s="53" t="n">
        <v>0.56</v>
      </c>
      <c r="O35" s="53" t="n">
        <v>0</v>
      </c>
      <c r="P35" s="6" t="n">
        <f aca="false">M35-(N35+O35)</f>
        <v>42.44</v>
      </c>
      <c r="Q35" s="53" t="n">
        <v>45</v>
      </c>
      <c r="R35" s="53" t="n">
        <v>26</v>
      </c>
      <c r="S35" s="53" t="n">
        <f aca="false">SUM(P35:R35)</f>
        <v>113.44</v>
      </c>
      <c r="T35" s="54" t="n">
        <f aca="false">(I35-S35)+T34</f>
        <v>-7817.188</v>
      </c>
      <c r="U35" s="53" t="n">
        <v>0</v>
      </c>
      <c r="V35" s="53" t="n">
        <v>14</v>
      </c>
      <c r="W35" s="54" t="n">
        <f aca="false">W34-V35</f>
        <v>2900.778674061</v>
      </c>
      <c r="X35" s="6" t="n">
        <f aca="false">N35+O35+S35+U35+V35</f>
        <v>128</v>
      </c>
      <c r="Y35" s="53" t="n">
        <f aca="false">IF(L35&lt;0,L35*-1,0)</f>
        <v>0</v>
      </c>
      <c r="Z35" s="53" t="n">
        <f aca="false">X35+Y35</f>
        <v>128</v>
      </c>
      <c r="AA35" s="58" t="n">
        <v>0.01</v>
      </c>
      <c r="AB35" s="59" t="n">
        <v>72</v>
      </c>
      <c r="AC35" s="59" t="n">
        <v>48</v>
      </c>
      <c r="AD35" s="60" t="n">
        <v>26</v>
      </c>
      <c r="AE35" s="188" t="n">
        <f aca="false">IF(I35&gt;S35,I35-S35,I35-S35)</f>
        <v>-60.44</v>
      </c>
      <c r="AF35" s="96"/>
      <c r="AG35" s="96"/>
    </row>
    <row r="36" customFormat="false" ht="11.1" hidden="false" customHeight="true" outlineLevel="0" collapsed="false">
      <c r="A36" s="60" t="n">
        <v>27</v>
      </c>
      <c r="B36" s="75" t="n">
        <v>6858.62</v>
      </c>
      <c r="C36" s="54" t="n">
        <v>159952</v>
      </c>
      <c r="D36" s="59" t="n">
        <f aca="false">C36-C35</f>
        <v>-112</v>
      </c>
      <c r="E36" s="54" t="n">
        <f aca="false">C36-152000</f>
        <v>7952</v>
      </c>
      <c r="F36" s="53" t="n">
        <f aca="false">D36/$D$2</f>
        <v>-56.4658432064532</v>
      </c>
      <c r="G36" s="53" t="n">
        <v>51</v>
      </c>
      <c r="H36" s="55" t="n">
        <v>0</v>
      </c>
      <c r="I36" s="53" t="n">
        <f aca="false">G36+H36</f>
        <v>51</v>
      </c>
      <c r="J36" s="83" t="n">
        <f aca="false">IF(L36&gt;0,L36,0)</f>
        <v>19.5341567935468</v>
      </c>
      <c r="K36" s="53" t="n">
        <f aca="false">I36+J36</f>
        <v>70.5341567935468</v>
      </c>
      <c r="L36" s="53" t="n">
        <f aca="false">F36-(I36-X36)</f>
        <v>19.5341567935468</v>
      </c>
      <c r="M36" s="53" t="n">
        <v>45</v>
      </c>
      <c r="N36" s="53" t="n">
        <v>0.56</v>
      </c>
      <c r="O36" s="53" t="n">
        <v>0</v>
      </c>
      <c r="P36" s="6" t="n">
        <f aca="false">M36-(N36+O36)</f>
        <v>44.44</v>
      </c>
      <c r="Q36" s="53" t="n">
        <v>41</v>
      </c>
      <c r="R36" s="53" t="n">
        <v>27</v>
      </c>
      <c r="S36" s="53" t="n">
        <f aca="false">SUM(P36:R36)</f>
        <v>112.44</v>
      </c>
      <c r="T36" s="54" t="n">
        <f aca="false">(I36-S36)+T35</f>
        <v>-7878.628</v>
      </c>
      <c r="U36" s="53" t="n">
        <v>0</v>
      </c>
      <c r="V36" s="53" t="n">
        <v>14</v>
      </c>
      <c r="W36" s="54" t="n">
        <f aca="false">W35-V36</f>
        <v>2886.778674061</v>
      </c>
      <c r="X36" s="6" t="n">
        <f aca="false">N36+O36+S36+U36+V36</f>
        <v>127</v>
      </c>
      <c r="Y36" s="53" t="n">
        <f aca="false">IF(L36&lt;0,L36*-1,0)</f>
        <v>0</v>
      </c>
      <c r="Z36" s="53" t="n">
        <f aca="false">X36+Y36</f>
        <v>127</v>
      </c>
      <c r="AA36" s="58" t="n">
        <v>0</v>
      </c>
      <c r="AB36" s="59" t="n">
        <v>68</v>
      </c>
      <c r="AC36" s="59" t="n">
        <v>49</v>
      </c>
      <c r="AD36" s="60" t="n">
        <v>27</v>
      </c>
      <c r="AE36" s="188" t="n">
        <f aca="false">IF(I36&gt;S36,I36-S36,I36-S36)</f>
        <v>-61.44</v>
      </c>
      <c r="AF36" s="96"/>
      <c r="AG36" s="96"/>
    </row>
    <row r="37" customFormat="false" ht="11.1" hidden="false" customHeight="true" outlineLevel="0" collapsed="false">
      <c r="A37" s="60" t="n">
        <v>28</v>
      </c>
      <c r="B37" s="75" t="n">
        <v>6858.57</v>
      </c>
      <c r="C37" s="54" t="n">
        <v>159840</v>
      </c>
      <c r="D37" s="59" t="n">
        <f aca="false">C37-C36</f>
        <v>-112</v>
      </c>
      <c r="E37" s="54" t="n">
        <f aca="false">C37-152000</f>
        <v>7840</v>
      </c>
      <c r="F37" s="53" t="n">
        <f aca="false">D37/$D$2</f>
        <v>-56.4658432064532</v>
      </c>
      <c r="G37" s="53" t="n">
        <v>54</v>
      </c>
      <c r="H37" s="55" t="n">
        <v>0</v>
      </c>
      <c r="I37" s="53" t="n">
        <f aca="false">G37+H37</f>
        <v>54</v>
      </c>
      <c r="J37" s="83" t="n">
        <f aca="false">IF(L37&gt;0,L37,0)</f>
        <v>13.5341567935468</v>
      </c>
      <c r="K37" s="53" t="n">
        <f aca="false">I37+J37</f>
        <v>67.5341567935468</v>
      </c>
      <c r="L37" s="53" t="n">
        <f aca="false">F37-(I37-X37)</f>
        <v>13.5341567935468</v>
      </c>
      <c r="M37" s="53" t="n">
        <v>45</v>
      </c>
      <c r="N37" s="53" t="n">
        <v>0.56</v>
      </c>
      <c r="O37" s="53" t="n">
        <f aca="false">1.59*1.05</f>
        <v>1.6695</v>
      </c>
      <c r="P37" s="6" t="n">
        <f aca="false">M37-(N37+O37)</f>
        <v>42.7705</v>
      </c>
      <c r="Q37" s="53" t="n">
        <v>39</v>
      </c>
      <c r="R37" s="53" t="n">
        <v>26</v>
      </c>
      <c r="S37" s="53" t="n">
        <f aca="false">SUM(P37:R37)</f>
        <v>107.7705</v>
      </c>
      <c r="T37" s="54" t="n">
        <f aca="false">(I37-S37)+T36</f>
        <v>-7932.3985</v>
      </c>
      <c r="U37" s="53" t="n">
        <v>0</v>
      </c>
      <c r="V37" s="53" t="n">
        <v>14</v>
      </c>
      <c r="W37" s="54" t="n">
        <f aca="false">W36-V37</f>
        <v>2872.778674061</v>
      </c>
      <c r="X37" s="6" t="n">
        <f aca="false">N37+O37+S37+U37+V37</f>
        <v>124</v>
      </c>
      <c r="Y37" s="53" t="n">
        <f aca="false">IF(L37&lt;0,L37*-1,0)</f>
        <v>0</v>
      </c>
      <c r="Z37" s="53" t="n">
        <f aca="false">X37+Y37</f>
        <v>124</v>
      </c>
      <c r="AA37" s="58" t="n">
        <v>0.14</v>
      </c>
      <c r="AB37" s="59" t="n">
        <v>66</v>
      </c>
      <c r="AC37" s="59" t="n">
        <v>47</v>
      </c>
      <c r="AD37" s="60" t="n">
        <v>28</v>
      </c>
      <c r="AE37" s="188" t="n">
        <f aca="false">IF(I37&gt;S37,I37-S37,I37-S37)</f>
        <v>-53.7705</v>
      </c>
      <c r="AF37" s="96"/>
      <c r="AG37" s="96"/>
    </row>
    <row r="38" customFormat="false" ht="11.1" hidden="false" customHeight="true" outlineLevel="0" collapsed="false">
      <c r="A38" s="60" t="n">
        <v>29</v>
      </c>
      <c r="B38" s="75" t="n">
        <v>6858.52</v>
      </c>
      <c r="C38" s="54" t="n">
        <v>159728</v>
      </c>
      <c r="D38" s="59" t="n">
        <f aca="false">C38-C37</f>
        <v>-112</v>
      </c>
      <c r="E38" s="54" t="n">
        <f aca="false">C38-152000</f>
        <v>7728</v>
      </c>
      <c r="F38" s="53" t="n">
        <f aca="false">D38/$D$2</f>
        <v>-56.4658432064532</v>
      </c>
      <c r="G38" s="53" t="n">
        <v>61</v>
      </c>
      <c r="H38" s="55" t="n">
        <v>0</v>
      </c>
      <c r="I38" s="53" t="n">
        <f aca="false">G38+H38</f>
        <v>61</v>
      </c>
      <c r="J38" s="83" t="n">
        <f aca="false">IF(L38&gt;0,L38,0)</f>
        <v>13.5341567935468</v>
      </c>
      <c r="K38" s="53" t="n">
        <f aca="false">I38+J38</f>
        <v>74.5341567935468</v>
      </c>
      <c r="L38" s="53" t="n">
        <f aca="false">F38-(I38-X38)</f>
        <v>13.5341567935468</v>
      </c>
      <c r="M38" s="53" t="n">
        <v>44</v>
      </c>
      <c r="N38" s="53" t="n">
        <v>0.56</v>
      </c>
      <c r="O38" s="53" t="n">
        <f aca="false">3.04*1.05</f>
        <v>3.192</v>
      </c>
      <c r="P38" s="6" t="n">
        <f aca="false">M38-(N38+O38)</f>
        <v>40.248</v>
      </c>
      <c r="Q38" s="53" t="n">
        <v>46</v>
      </c>
      <c r="R38" s="53" t="n">
        <v>26</v>
      </c>
      <c r="S38" s="53" t="n">
        <f aca="false">SUM(P38:R38)</f>
        <v>112.248</v>
      </c>
      <c r="T38" s="54" t="n">
        <f aca="false">(I38-S38)+T37</f>
        <v>-7983.6465</v>
      </c>
      <c r="U38" s="53" t="n">
        <v>0</v>
      </c>
      <c r="V38" s="53" t="n">
        <v>15</v>
      </c>
      <c r="W38" s="54" t="n">
        <f aca="false">W37-V38</f>
        <v>2857.778674061</v>
      </c>
      <c r="X38" s="6" t="n">
        <f aca="false">N38+O38+S38+U38+V38</f>
        <v>131</v>
      </c>
      <c r="Y38" s="53" t="n">
        <f aca="false">IF(L38&lt;0,L38*-1,0)</f>
        <v>0</v>
      </c>
      <c r="Z38" s="53" t="n">
        <f aca="false">X38+Y38</f>
        <v>131</v>
      </c>
      <c r="AA38" s="58" t="n">
        <v>0.15</v>
      </c>
      <c r="AB38" s="59" t="n">
        <v>59</v>
      </c>
      <c r="AC38" s="59" t="n">
        <v>46</v>
      </c>
      <c r="AD38" s="60" t="n">
        <v>29</v>
      </c>
      <c r="AE38" s="188" t="n">
        <f aca="false">IF(I38&gt;S38,I38-S38,I38-S38)</f>
        <v>-51.248</v>
      </c>
      <c r="AF38" s="96"/>
      <c r="AG38" s="96"/>
    </row>
    <row r="39" customFormat="false" ht="11.1" hidden="false" customHeight="true" outlineLevel="0" collapsed="false">
      <c r="A39" s="60" t="n">
        <v>30</v>
      </c>
      <c r="B39" s="75" t="n">
        <v>6858.36</v>
      </c>
      <c r="C39" s="54" t="n">
        <v>159369</v>
      </c>
      <c r="D39" s="59" t="n">
        <f aca="false">C39-C38</f>
        <v>-359</v>
      </c>
      <c r="E39" s="54" t="n">
        <f aca="false">C39-152000</f>
        <v>7369</v>
      </c>
      <c r="F39" s="53" t="n">
        <f aca="false">D39/$D$2</f>
        <v>-180.993193849256</v>
      </c>
      <c r="G39" s="53" t="n">
        <v>75</v>
      </c>
      <c r="H39" s="55" t="n">
        <v>0</v>
      </c>
      <c r="I39" s="53" t="n">
        <f aca="false">G39+H39</f>
        <v>75</v>
      </c>
      <c r="J39" s="83" t="n">
        <f aca="false">IF(L39&gt;0,L39,0)</f>
        <v>0</v>
      </c>
      <c r="K39" s="53" t="n">
        <f aca="false">I39+J39</f>
        <v>75</v>
      </c>
      <c r="L39" s="53" t="n">
        <f aca="false">F39-(I39-X39)</f>
        <v>-25.993193849256</v>
      </c>
      <c r="M39" s="53" t="n">
        <v>44</v>
      </c>
      <c r="N39" s="53" t="n">
        <v>0.7</v>
      </c>
      <c r="O39" s="53" t="n">
        <f aca="false">5.51*1.05</f>
        <v>5.7855</v>
      </c>
      <c r="P39" s="6" t="n">
        <f aca="false">M39-(N39+O39)</f>
        <v>37.5145</v>
      </c>
      <c r="Q39" s="53" t="n">
        <v>145</v>
      </c>
      <c r="R39" s="53" t="n">
        <v>26</v>
      </c>
      <c r="S39" s="53" t="n">
        <f aca="false">SUM(P39:R39)</f>
        <v>208.5145</v>
      </c>
      <c r="T39" s="54" t="n">
        <f aca="false">(I39-S39)+T38</f>
        <v>-8117.161</v>
      </c>
      <c r="U39" s="53" t="n">
        <v>0</v>
      </c>
      <c r="V39" s="53" t="n">
        <v>15</v>
      </c>
      <c r="W39" s="54" t="n">
        <f aca="false">W38-V39</f>
        <v>2842.778674061</v>
      </c>
      <c r="X39" s="6" t="n">
        <f aca="false">N39+O39+S39+U39+V39</f>
        <v>230</v>
      </c>
      <c r="Y39" s="53" t="n">
        <f aca="false">IF(L39&lt;0,L39*-1,0)</f>
        <v>25.993193849256</v>
      </c>
      <c r="Z39" s="53" t="n">
        <f aca="false">X39+Y39</f>
        <v>255.993193849256</v>
      </c>
      <c r="AA39" s="58" t="n">
        <v>0.01</v>
      </c>
      <c r="AB39" s="59" t="n">
        <v>65</v>
      </c>
      <c r="AC39" s="59" t="n">
        <v>41</v>
      </c>
      <c r="AD39" s="60" t="n">
        <v>30</v>
      </c>
      <c r="AE39" s="188" t="n">
        <f aca="false">IF(I39&gt;S39,I39-S39,I39-S39)</f>
        <v>-133.5145</v>
      </c>
      <c r="AF39" s="96"/>
      <c r="AG39" s="96"/>
    </row>
    <row r="40" customFormat="false" ht="3" hidden="false" customHeight="true" outlineLevel="0" collapsed="false">
      <c r="A40" s="76"/>
      <c r="B40" s="76"/>
      <c r="C40" s="78"/>
      <c r="D40" s="76"/>
      <c r="E40" s="78"/>
      <c r="F40" s="76"/>
      <c r="G40" s="76"/>
      <c r="H40" s="79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8"/>
      <c r="U40" s="76"/>
      <c r="V40" s="76"/>
      <c r="W40" s="76"/>
      <c r="X40" s="76"/>
      <c r="Y40" s="76"/>
      <c r="Z40" s="76"/>
      <c r="AA40" s="80"/>
      <c r="AB40" s="81"/>
      <c r="AC40" s="81"/>
      <c r="AD40" s="82"/>
      <c r="AE40" s="190"/>
      <c r="AF40" s="94"/>
      <c r="AG40" s="95"/>
    </row>
    <row r="41" customFormat="false" ht="11.1" hidden="false" customHeight="true" outlineLevel="0" collapsed="false">
      <c r="A41" s="53" t="s">
        <v>46</v>
      </c>
      <c r="B41" s="53"/>
      <c r="C41" s="54"/>
      <c r="D41" s="54"/>
      <c r="E41" s="54"/>
      <c r="F41" s="54" t="n">
        <f aca="false">SUM(F10:F39)</f>
        <v>842.450214267709</v>
      </c>
      <c r="G41" s="54" t="n">
        <f aca="false">SUM(G10:G39)</f>
        <v>2679</v>
      </c>
      <c r="H41" s="54" t="n">
        <f aca="false">SUM(H10:H39)</f>
        <v>0.58</v>
      </c>
      <c r="I41" s="54" t="n">
        <f aca="false">SUM(I10:I39)</f>
        <v>2679.58</v>
      </c>
      <c r="J41" s="54" t="n">
        <f aca="false">SUM(J10:J39)</f>
        <v>734.677822031762</v>
      </c>
      <c r="K41" s="54" t="n">
        <f aca="false">SUM(K10:K39)</f>
        <v>3414.25782203176</v>
      </c>
      <c r="L41" s="54" t="n">
        <f aca="false">SUM(L10:L39)</f>
        <v>275.520214267709</v>
      </c>
      <c r="M41" s="54" t="n">
        <f aca="false">SUM(M10:M39)</f>
        <v>652.5</v>
      </c>
      <c r="N41" s="54" t="n">
        <f aca="false">SUM(N10:N39)</f>
        <v>21.55</v>
      </c>
      <c r="O41" s="54" t="n">
        <f aca="false">SUM(O10:O39)</f>
        <v>93.807</v>
      </c>
      <c r="P41" s="54" t="n">
        <f aca="false">SUM(P10:P39)</f>
        <v>537.143</v>
      </c>
      <c r="Q41" s="54" t="n">
        <f aca="false">SUM(Q10:Q39)</f>
        <v>650.6</v>
      </c>
      <c r="R41" s="54" t="n">
        <f aca="false">SUM(R10:R39)</f>
        <v>308.9</v>
      </c>
      <c r="S41" s="54" t="n">
        <f aca="false">SUM(S10:S39)</f>
        <v>1496.643</v>
      </c>
      <c r="T41" s="54"/>
      <c r="U41" s="54" t="n">
        <f aca="false">SUM(U10:U39)</f>
        <v>51.65</v>
      </c>
      <c r="V41" s="54" t="n">
        <f aca="false">SUM(V10:V40)</f>
        <v>449</v>
      </c>
      <c r="W41" s="54"/>
      <c r="X41" s="54" t="n">
        <f aca="false">SUM(X10:X39)</f>
        <v>2112.65</v>
      </c>
      <c r="Y41" s="54" t="n">
        <f aca="false">SUM(Y10:Y39)</f>
        <v>459.157607764053</v>
      </c>
      <c r="Z41" s="54" t="n">
        <f aca="false">SUM(Z10:Z39)</f>
        <v>2571.80760776405</v>
      </c>
      <c r="AA41" s="58" t="n">
        <f aca="false">SUM(AA10:AA39)</f>
        <v>4.67</v>
      </c>
      <c r="AB41" s="59" t="n">
        <f aca="false">AVERAGE(AB10:AB39)</f>
        <v>72.7</v>
      </c>
      <c r="AC41" s="59" t="n">
        <f aca="false">AVERAGE(AC10:AC39)</f>
        <v>47.9333333333333</v>
      </c>
      <c r="AD41" s="60" t="s">
        <v>73</v>
      </c>
      <c r="AE41" s="188"/>
      <c r="AF41" s="94"/>
      <c r="AG41" s="95"/>
    </row>
    <row r="42" customFormat="false" ht="11.1" hidden="false" customHeight="true" outlineLevel="0" collapsed="false">
      <c r="A42" s="53" t="s">
        <v>48</v>
      </c>
      <c r="B42" s="53"/>
      <c r="C42" s="54"/>
      <c r="D42" s="54" t="n">
        <f aca="false">SUM(D10:D40)</f>
        <v>1671</v>
      </c>
      <c r="E42" s="54"/>
      <c r="F42" s="54" t="n">
        <f aca="false">F41*$D$2</f>
        <v>1671</v>
      </c>
      <c r="G42" s="54" t="n">
        <f aca="false">G41*$D$2</f>
        <v>5313.7965</v>
      </c>
      <c r="H42" s="54" t="n">
        <f aca="false">H41*$D$2</f>
        <v>1.15043</v>
      </c>
      <c r="I42" s="54" t="n">
        <f aca="false">I41*$D$2</f>
        <v>5314.94693</v>
      </c>
      <c r="J42" s="54" t="n">
        <f aca="false">J41*$D$2</f>
        <v>1457.23346</v>
      </c>
      <c r="K42" s="54" t="n">
        <f aca="false">K41*$D$2</f>
        <v>6772.18039</v>
      </c>
      <c r="L42" s="54" t="n">
        <f aca="false">L41*$D$2</f>
        <v>546.494345000001</v>
      </c>
      <c r="M42" s="54" t="n">
        <f aca="false">M41*$D$2</f>
        <v>1294.23375</v>
      </c>
      <c r="N42" s="54" t="n">
        <f aca="false">N41*$D$2</f>
        <v>42.744425</v>
      </c>
      <c r="O42" s="54" t="n">
        <f aca="false">O41*$D$2</f>
        <v>186.0661845</v>
      </c>
      <c r="P42" s="54" t="n">
        <f aca="false">P41*$D$2</f>
        <v>1065.4231405</v>
      </c>
      <c r="Q42" s="54" t="n">
        <f aca="false">Q41*$D$2</f>
        <v>1290.4651</v>
      </c>
      <c r="R42" s="54" t="n">
        <f aca="false">R41*$D$2</f>
        <v>612.70315</v>
      </c>
      <c r="S42" s="54" t="n">
        <f aca="false">S41*$D$2</f>
        <v>2968.5913905</v>
      </c>
      <c r="T42" s="54"/>
      <c r="U42" s="54" t="n">
        <f aca="false">U41*$D$2</f>
        <v>102.447775</v>
      </c>
      <c r="V42" s="54" t="n">
        <f aca="false">V41*$D$2</f>
        <v>890.5915</v>
      </c>
      <c r="W42" s="54"/>
      <c r="X42" s="54" t="n">
        <f aca="false">X41*$D$2</f>
        <v>4190.441275</v>
      </c>
      <c r="Y42" s="54" t="n">
        <f aca="false">Y41*$D$2</f>
        <v>910.739114999999</v>
      </c>
      <c r="Z42" s="54" t="n">
        <f aca="false">Z41*$D$2</f>
        <v>5101.18039</v>
      </c>
      <c r="AA42" s="58"/>
      <c r="AB42" s="59" t="n">
        <f aca="false">MAX(AB10:AB39)</f>
        <v>86</v>
      </c>
      <c r="AC42" s="59" t="n">
        <f aca="false">MAX(AC10:AC39)</f>
        <v>56</v>
      </c>
      <c r="AD42" s="60" t="s">
        <v>49</v>
      </c>
      <c r="AE42" s="188"/>
      <c r="AF42" s="94"/>
      <c r="AG42" s="95"/>
    </row>
    <row r="43" customFormat="false" ht="3" hidden="false" customHeight="true" outlineLevel="0" collapsed="false">
      <c r="A43" s="76"/>
      <c r="B43" s="76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6"/>
      <c r="X43" s="78"/>
      <c r="Y43" s="78"/>
      <c r="Z43" s="78"/>
      <c r="AA43" s="78"/>
      <c r="AB43" s="78"/>
      <c r="AC43" s="78"/>
      <c r="AD43" s="78"/>
      <c r="AE43" s="122"/>
      <c r="AF43" s="94"/>
      <c r="AG43" s="95"/>
    </row>
    <row r="44" customFormat="false" ht="11.1" hidden="false" customHeight="true" outlineLevel="0" collapsed="false">
      <c r="A44" s="53" t="s">
        <v>50</v>
      </c>
      <c r="B44" s="53"/>
      <c r="C44" s="54"/>
      <c r="D44" s="54"/>
      <c r="E44" s="54"/>
      <c r="F44" s="54" t="n">
        <f aca="false">F7+F41</f>
        <v>-24298.9664734056</v>
      </c>
      <c r="G44" s="54" t="n">
        <f aca="false">G7+G41</f>
        <v>27872</v>
      </c>
      <c r="H44" s="54" t="n">
        <f aca="false">H7+H41</f>
        <v>28.4</v>
      </c>
      <c r="I44" s="54" t="n">
        <f aca="false">I7+I41</f>
        <v>27900.4</v>
      </c>
      <c r="J44" s="54" t="n">
        <f aca="false">J7+J41</f>
        <v>1674.68122006554</v>
      </c>
      <c r="K44" s="54" t="n">
        <f aca="false">K7+K41</f>
        <v>29575.0812200655</v>
      </c>
      <c r="L44" s="54" t="n">
        <f aca="false">L7+L41</f>
        <v>-1786.4364734056</v>
      </c>
      <c r="M44" s="54" t="n">
        <f aca="false">M7+M41</f>
        <v>21209.7</v>
      </c>
      <c r="N44" s="54" t="n">
        <f aca="false">N7+N41</f>
        <v>63.89</v>
      </c>
      <c r="O44" s="54" t="n">
        <f aca="false">O7+O41</f>
        <v>2604.189</v>
      </c>
      <c r="P44" s="54" t="n">
        <f aca="false">P7+P41</f>
        <v>18541.621</v>
      </c>
      <c r="Q44" s="54" t="n">
        <f aca="false">Q7+Q41</f>
        <v>11046.6</v>
      </c>
      <c r="R44" s="54" t="n">
        <f aca="false">R7+R41</f>
        <v>6429.34</v>
      </c>
      <c r="S44" s="54" t="n">
        <f aca="false">S7+S41</f>
        <v>36017.561</v>
      </c>
      <c r="T44" s="54" t="n">
        <f aca="false">T39</f>
        <v>-8117.161</v>
      </c>
      <c r="U44" s="54" t="n">
        <f aca="false">U7+U41</f>
        <v>8536.29</v>
      </c>
      <c r="V44" s="54" t="n">
        <f aca="false">V7+V41</f>
        <v>3191</v>
      </c>
      <c r="W44" s="54" t="n">
        <f aca="false">W39</f>
        <v>2842.778674061</v>
      </c>
      <c r="X44" s="54" t="n">
        <f aca="false">X7+X41</f>
        <v>50412.93</v>
      </c>
      <c r="Y44" s="54" t="n">
        <f aca="false">Y7+Y41</f>
        <v>3461.11769347114</v>
      </c>
      <c r="Z44" s="54" t="n">
        <f aca="false">Z7+Z41</f>
        <v>53874.0476934711</v>
      </c>
      <c r="AA44" s="58"/>
      <c r="AB44" s="59" t="n">
        <f aca="false">MIN(AB10:AB39)</f>
        <v>56</v>
      </c>
      <c r="AC44" s="59" t="n">
        <f aca="false">MIN(AC10:AC39)</f>
        <v>37</v>
      </c>
      <c r="AD44" s="60" t="s">
        <v>51</v>
      </c>
      <c r="AE44" s="188"/>
      <c r="AF44" s="94"/>
      <c r="AG44" s="95"/>
    </row>
    <row r="45" customFormat="false" ht="11.1" hidden="false" customHeight="true" outlineLevel="0" collapsed="false">
      <c r="A45" s="53" t="s">
        <v>52</v>
      </c>
      <c r="B45" s="53"/>
      <c r="C45" s="54"/>
      <c r="D45" s="54"/>
      <c r="E45" s="54"/>
      <c r="F45" s="54" t="n">
        <f aca="false">F44*$D$2</f>
        <v>-48197</v>
      </c>
      <c r="G45" s="54" t="n">
        <f aca="false">G44*$D$2</f>
        <v>55284.112</v>
      </c>
      <c r="H45" s="54" t="n">
        <f aca="false">H44*$D$2</f>
        <v>56.3314</v>
      </c>
      <c r="I45" s="54" t="n">
        <f aca="false">I44*$D$2</f>
        <v>55340.4434</v>
      </c>
      <c r="J45" s="54" t="n">
        <f aca="false">J44*$D$2</f>
        <v>3321.7302</v>
      </c>
      <c r="K45" s="54" t="n">
        <f aca="false">K44*$D$2</f>
        <v>58662.1736</v>
      </c>
      <c r="L45" s="54" t="n">
        <f aca="false">L44*$D$2</f>
        <v>-3543.396745</v>
      </c>
      <c r="M45" s="54" t="n">
        <f aca="false">M44*$D$2</f>
        <v>42069.43995</v>
      </c>
      <c r="N45" s="54" t="n">
        <f aca="false">N44*$D$2</f>
        <v>126.725815</v>
      </c>
      <c r="O45" s="54" t="n">
        <f aca="false">O44*$D$2</f>
        <v>5165.4088815</v>
      </c>
      <c r="P45" s="54" t="n">
        <f aca="false">P44*$D$2</f>
        <v>36777.3052535</v>
      </c>
      <c r="Q45" s="54" t="n">
        <f aca="false">Q44*$D$2</f>
        <v>21910.9311</v>
      </c>
      <c r="R45" s="54" t="n">
        <f aca="false">R44*$D$2</f>
        <v>12752.59589</v>
      </c>
      <c r="S45" s="54" t="n">
        <f aca="false">S44*$D$2</f>
        <v>71440.8322435</v>
      </c>
      <c r="T45" s="54" t="n">
        <f aca="false">T44*$D$2</f>
        <v>-16100.3888435</v>
      </c>
      <c r="U45" s="54" t="n">
        <f aca="false">U44*$D$2</f>
        <v>16931.731215</v>
      </c>
      <c r="V45" s="54" t="n">
        <f aca="false">V44*$D$2</f>
        <v>6329.3485</v>
      </c>
      <c r="W45" s="54" t="n">
        <f aca="false">W44*$D$2</f>
        <v>5638.6515</v>
      </c>
      <c r="X45" s="54" t="n">
        <f aca="false">X44*$D$2</f>
        <v>99994.046655</v>
      </c>
      <c r="Y45" s="54" t="n">
        <f aca="false">Y44*$D$2</f>
        <v>6865.126945</v>
      </c>
      <c r="Z45" s="54" t="n">
        <f aca="false">Z44*$D$2</f>
        <v>106859.1736</v>
      </c>
      <c r="AA45" s="58"/>
      <c r="AB45" s="59"/>
      <c r="AC45" s="59"/>
      <c r="AD45" s="60"/>
      <c r="AE45" s="188"/>
      <c r="AF45" s="94"/>
      <c r="AG45" s="95"/>
    </row>
    <row r="46" customFormat="false" ht="3" hidden="false" customHeight="true" outlineLevel="0" collapsed="false">
      <c r="A46" s="76"/>
      <c r="B46" s="76"/>
      <c r="C46" s="78"/>
      <c r="D46" s="78"/>
      <c r="E46" s="78"/>
      <c r="F46" s="78"/>
      <c r="G46" s="78"/>
      <c r="H46" s="81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80"/>
      <c r="AB46" s="80"/>
      <c r="AC46" s="80"/>
      <c r="AD46" s="80"/>
      <c r="AE46" s="122"/>
      <c r="AF46" s="94"/>
      <c r="AG46" s="95"/>
    </row>
    <row r="47" customFormat="false" ht="11.1" hidden="false" customHeight="true" outlineLevel="0" collapsed="false">
      <c r="A47" s="53" t="s">
        <v>53</v>
      </c>
      <c r="B47" s="53"/>
      <c r="C47" s="54"/>
      <c r="D47" s="54"/>
      <c r="E47" s="54"/>
      <c r="F47" s="54" t="n">
        <f aca="false">F8+F41</f>
        <v>-23482.2283841694</v>
      </c>
      <c r="G47" s="54" t="n">
        <f aca="false">G8+G41</f>
        <v>34414</v>
      </c>
      <c r="H47" s="59" t="n">
        <f aca="false">H8+H41</f>
        <v>63.93</v>
      </c>
      <c r="I47" s="54" t="n">
        <f aca="false">I8+I41</f>
        <v>34430.4</v>
      </c>
      <c r="J47" s="54" t="n">
        <f aca="false">J8+J41</f>
        <v>3081.23182001513</v>
      </c>
      <c r="K47" s="54" t="n">
        <f aca="false">K8+K41</f>
        <v>37511.6318200151</v>
      </c>
      <c r="L47" s="54" t="n">
        <f aca="false">L8+L41</f>
        <v>-1515.6183841694</v>
      </c>
      <c r="M47" s="54" t="n">
        <f aca="false">M8+M41</f>
        <v>22405.28</v>
      </c>
      <c r="N47" s="54" t="n">
        <f aca="false">N8+N41</f>
        <v>68.97</v>
      </c>
      <c r="O47" s="54" t="n">
        <f aca="false">O8+O41</f>
        <v>3115.524</v>
      </c>
      <c r="P47" s="54" t="n">
        <f aca="false">P8+P41</f>
        <v>19622.986</v>
      </c>
      <c r="Q47" s="54" t="n">
        <f aca="false">Q8+Q41</f>
        <v>11046.6</v>
      </c>
      <c r="R47" s="54" t="n">
        <f aca="false">R8+R41</f>
        <v>6556.84</v>
      </c>
      <c r="S47" s="54" t="n">
        <f aca="false">S8+S41</f>
        <v>37226.426</v>
      </c>
      <c r="T47" s="54" t="n">
        <f aca="false">T44</f>
        <v>-8117.161</v>
      </c>
      <c r="U47" s="54" t="n">
        <f aca="false">U8+U41</f>
        <v>8536.29</v>
      </c>
      <c r="V47" s="54" t="n">
        <f aca="false">V8+V41</f>
        <v>7852</v>
      </c>
      <c r="W47" s="54" t="n">
        <f aca="false">W39</f>
        <v>2842.778674061</v>
      </c>
      <c r="X47" s="54" t="n">
        <f aca="false">X8+X41</f>
        <v>56397.01</v>
      </c>
      <c r="Y47" s="54" t="n">
        <f aca="false">Y8+Y41</f>
        <v>4596.85020418452</v>
      </c>
      <c r="Z47" s="54" t="n">
        <f aca="false">Z8+Z41</f>
        <v>60993.8602041845</v>
      </c>
      <c r="AA47" s="58" t="n">
        <f aca="false">AA8+AA41</f>
        <v>10.46</v>
      </c>
      <c r="AB47" s="59"/>
      <c r="AC47" s="59"/>
      <c r="AD47" s="60"/>
      <c r="AE47" s="188"/>
      <c r="AF47" s="94"/>
      <c r="AG47" s="95"/>
    </row>
    <row r="48" customFormat="false" ht="11.1" hidden="false" customHeight="true" outlineLevel="0" collapsed="false">
      <c r="A48" s="53" t="s">
        <v>54</v>
      </c>
      <c r="B48" s="53"/>
      <c r="C48" s="54"/>
      <c r="D48" s="54" t="n">
        <f aca="false">D8+D42</f>
        <v>-46577</v>
      </c>
      <c r="E48" s="54" t="n">
        <f aca="false">E39</f>
        <v>7369</v>
      </c>
      <c r="F48" s="54" t="n">
        <f aca="false">F47*$D$2</f>
        <v>-46577</v>
      </c>
      <c r="G48" s="54" t="n">
        <f aca="false">G47*$D$2</f>
        <v>68260.169</v>
      </c>
      <c r="H48" s="59" t="n">
        <f aca="false">H47*$D$2</f>
        <v>126.805155</v>
      </c>
      <c r="I48" s="54" t="n">
        <f aca="false">I47*$D$2</f>
        <v>68292.6984</v>
      </c>
      <c r="J48" s="54" t="n">
        <f aca="false">J47*$D$2</f>
        <v>6111.623315</v>
      </c>
      <c r="K48" s="54" t="n">
        <f aca="false">K47*$D$2</f>
        <v>74404.321715</v>
      </c>
      <c r="L48" s="54" t="n">
        <f aca="false">L47*$D$2</f>
        <v>-3006.229065</v>
      </c>
      <c r="M48" s="54" t="n">
        <f aca="false">M47*$D$2</f>
        <v>44440.87288</v>
      </c>
      <c r="N48" s="54" t="n">
        <f aca="false">N47*$D$2</f>
        <v>136.801995</v>
      </c>
      <c r="O48" s="54" t="n">
        <f aca="false">O47*$D$2</f>
        <v>6179.641854</v>
      </c>
      <c r="P48" s="54" t="n">
        <f aca="false">P47*$D$2</f>
        <v>38922.192731</v>
      </c>
      <c r="Q48" s="54" t="n">
        <f aca="false">Q47*$D$2</f>
        <v>21910.9311</v>
      </c>
      <c r="R48" s="54" t="n">
        <f aca="false">R47*$D$2</f>
        <v>13005.49214</v>
      </c>
      <c r="S48" s="54" t="n">
        <f aca="false">S47*$D$2</f>
        <v>73838.615971</v>
      </c>
      <c r="T48" s="54" t="n">
        <f aca="false">T47*$D$2</f>
        <v>-16100.3888435</v>
      </c>
      <c r="U48" s="54" t="n">
        <f aca="false">U47*$D$2</f>
        <v>16931.731215</v>
      </c>
      <c r="V48" s="54" t="n">
        <f aca="false">V47*$D$2</f>
        <v>15574.442</v>
      </c>
      <c r="W48" s="54" t="n">
        <f aca="false">W47*$D$2</f>
        <v>5638.6515</v>
      </c>
      <c r="X48" s="54" t="n">
        <f aca="false">X47*$D$2</f>
        <v>111863.469335</v>
      </c>
      <c r="Y48" s="54" t="n">
        <f aca="false">Y47*$D$2</f>
        <v>9117.85238</v>
      </c>
      <c r="Z48" s="54" t="n">
        <f aca="false">Z47*$D$2</f>
        <v>120981.321715</v>
      </c>
      <c r="AA48" s="58"/>
      <c r="AB48" s="59"/>
      <c r="AC48" s="59"/>
      <c r="AD48" s="60"/>
      <c r="AE48" s="188"/>
      <c r="AF48" s="94"/>
      <c r="AG48" s="95"/>
    </row>
    <row r="49" customFormat="false" ht="3" hidden="false" customHeight="true" outlineLevel="0" collapsed="false">
      <c r="A49" s="76"/>
      <c r="B49" s="76"/>
      <c r="C49" s="78"/>
      <c r="D49" s="76"/>
      <c r="E49" s="78"/>
      <c r="F49" s="76"/>
      <c r="G49" s="76"/>
      <c r="H49" s="79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8"/>
      <c r="U49" s="76"/>
      <c r="V49" s="76"/>
      <c r="W49" s="78"/>
      <c r="X49" s="76"/>
      <c r="Y49" s="76"/>
      <c r="Z49" s="76"/>
      <c r="AA49" s="76"/>
      <c r="AB49" s="76"/>
      <c r="AC49" s="76"/>
      <c r="AD49" s="76"/>
      <c r="AE49" s="122"/>
      <c r="AF49" s="94"/>
      <c r="AG49" s="95"/>
    </row>
    <row r="50" customFormat="false" ht="11.1" hidden="false" customHeight="true" outlineLevel="0" collapsed="false">
      <c r="A50" s="183"/>
      <c r="B50" s="31" t="s">
        <v>83</v>
      </c>
      <c r="C50" s="7"/>
      <c r="D50" s="6"/>
      <c r="E50" s="145" t="n">
        <v>7391</v>
      </c>
      <c r="F50" s="0"/>
      <c r="G50" s="0"/>
      <c r="H50" s="11" t="s">
        <v>84</v>
      </c>
      <c r="I50" s="6"/>
      <c r="J50" s="6"/>
      <c r="K50" s="147"/>
      <c r="L50" s="54" t="n">
        <v>10240</v>
      </c>
      <c r="M50" s="6"/>
      <c r="N50" s="6"/>
      <c r="O50" s="6"/>
      <c r="P50" s="6"/>
      <c r="Q50" s="6"/>
      <c r="R50" s="6"/>
      <c r="S50" s="6"/>
      <c r="T50" s="148"/>
      <c r="U50" s="6"/>
      <c r="V50" s="6" t="s">
        <v>95</v>
      </c>
      <c r="W50" s="145" t="n">
        <v>182</v>
      </c>
      <c r="X50" s="7" t="s">
        <v>96</v>
      </c>
      <c r="Y50" s="53"/>
      <c r="Z50" s="53"/>
      <c r="AA50" s="58"/>
      <c r="AB50" s="59"/>
      <c r="AC50" s="59"/>
      <c r="AD50" s="60"/>
      <c r="AE50" s="185"/>
      <c r="AF50" s="90"/>
    </row>
    <row r="51" customFormat="false" ht="11.1" hidden="false" customHeight="true" outlineLevel="0" collapsed="false">
      <c r="A51" s="53"/>
      <c r="B51" s="31" t="s">
        <v>85</v>
      </c>
      <c r="C51" s="7"/>
      <c r="D51" s="41"/>
      <c r="E51" s="127" t="n">
        <f aca="false">L53+O53+T53+U53+W53</f>
        <v>11522.8857065476</v>
      </c>
      <c r="F51" s="149"/>
      <c r="G51" s="0"/>
      <c r="H51" s="11" t="s">
        <v>86</v>
      </c>
      <c r="I51" s="8"/>
      <c r="J51" s="6"/>
      <c r="K51" s="44"/>
      <c r="L51" s="83" t="n">
        <f aca="false">L50/210</f>
        <v>48.7619047619048</v>
      </c>
      <c r="M51" s="6"/>
      <c r="N51" s="6"/>
      <c r="O51" s="6"/>
      <c r="P51" s="150" t="s">
        <v>87</v>
      </c>
      <c r="Q51" s="151"/>
      <c r="R51" s="152"/>
      <c r="S51" s="153" t="n">
        <v>183</v>
      </c>
      <c r="T51" s="154" t="n">
        <f aca="false">16268+1368+4</f>
        <v>17640</v>
      </c>
      <c r="U51" s="148"/>
      <c r="V51" s="6"/>
      <c r="W51" s="7" t="n">
        <f aca="false">W45/W50</f>
        <v>30.9816016483516</v>
      </c>
      <c r="X51" s="7"/>
      <c r="Y51" s="53"/>
      <c r="Z51" s="57"/>
      <c r="AA51" s="58"/>
      <c r="AB51" s="59"/>
      <c r="AC51" s="60"/>
      <c r="AD51" s="90"/>
      <c r="AE51" s="185"/>
    </row>
    <row r="52" customFormat="false" ht="11.1" hidden="false" customHeight="true" outlineLevel="0" collapsed="false">
      <c r="A52" s="84"/>
      <c r="B52" s="54"/>
      <c r="E52" s="127"/>
      <c r="F52" s="155"/>
      <c r="G52" s="0"/>
      <c r="H52" s="11" t="s">
        <v>88</v>
      </c>
      <c r="I52" s="41"/>
      <c r="J52" s="41"/>
      <c r="K52" s="156"/>
      <c r="L52" s="179" t="n">
        <f aca="false">214-S51</f>
        <v>31</v>
      </c>
      <c r="M52" s="39"/>
      <c r="N52" s="191" t="s">
        <v>103</v>
      </c>
      <c r="O52" s="158" t="n">
        <v>6289</v>
      </c>
      <c r="P52" s="159" t="s">
        <v>89</v>
      </c>
      <c r="Q52" s="160"/>
      <c r="R52" s="144"/>
      <c r="S52" s="161" t="n">
        <f aca="false">2932/210</f>
        <v>13.9619047619048</v>
      </c>
      <c r="T52" s="162" t="n">
        <f aca="false">S51*S52</f>
        <v>2555.02857142857</v>
      </c>
      <c r="U52" s="163" t="n">
        <f aca="false">14562+1946+600+15+25+3</f>
        <v>17151</v>
      </c>
      <c r="V52" s="7"/>
      <c r="W52" s="164"/>
      <c r="X52" s="160"/>
      <c r="Y52" s="84"/>
      <c r="Z52" s="57"/>
      <c r="AA52" s="58"/>
      <c r="AB52" s="59"/>
      <c r="AC52" s="60"/>
      <c r="AD52" s="100"/>
      <c r="AE52" s="185"/>
    </row>
    <row r="53" customFormat="false" ht="11.1" hidden="false" customHeight="true" outlineLevel="0" collapsed="false">
      <c r="A53" s="84"/>
      <c r="B53" s="165" t="s">
        <v>90</v>
      </c>
      <c r="C53" s="166"/>
      <c r="D53" s="166"/>
      <c r="E53" s="167" t="n">
        <f aca="false">E50-E51</f>
        <v>-4131.88570654762</v>
      </c>
      <c r="F53" s="0"/>
      <c r="G53" s="0"/>
      <c r="H53" s="54" t="s">
        <v>76</v>
      </c>
      <c r="I53" s="0"/>
      <c r="J53" s="41"/>
      <c r="K53" s="156"/>
      <c r="L53" s="59" t="n">
        <f aca="false">L52*L51</f>
        <v>1511.61904761905</v>
      </c>
      <c r="M53" s="39"/>
      <c r="N53" s="191" t="s">
        <v>104</v>
      </c>
      <c r="O53" s="59" t="n">
        <f aca="false">O52-O48</f>
        <v>109.358146</v>
      </c>
      <c r="P53" s="168"/>
      <c r="Q53" s="169"/>
      <c r="R53" s="169"/>
      <c r="S53" s="170"/>
      <c r="T53" s="171" t="n">
        <f aca="false">(T51+T52)+T45</f>
        <v>4094.63972792857</v>
      </c>
      <c r="U53" s="54" t="n">
        <f aca="false">U52-U48</f>
        <v>219.268785</v>
      </c>
      <c r="V53" s="7"/>
      <c r="W53" s="54" t="n">
        <v>5588</v>
      </c>
      <c r="X53" s="54"/>
      <c r="Y53" s="84"/>
      <c r="Z53" s="101" t="n">
        <f aca="false">DAYS360(7/24/2002,3/31/2003,FALSE())</f>
        <v>0</v>
      </c>
      <c r="AA53" s="58"/>
      <c r="AB53" s="59"/>
      <c r="AC53" s="60"/>
      <c r="AD53" s="100"/>
      <c r="AE53" s="185"/>
    </row>
    <row r="54" customFormat="false" ht="11.1" hidden="false" customHeight="true" outlineLevel="0" collapsed="false">
      <c r="A54" s="84"/>
      <c r="B54" s="84"/>
      <c r="C54" s="54"/>
      <c r="D54" s="84"/>
      <c r="E54" s="54"/>
      <c r="F54" s="84"/>
      <c r="G54" s="55"/>
      <c r="I54" s="44"/>
      <c r="J54" s="84"/>
      <c r="K54" s="84"/>
      <c r="L54" s="84"/>
      <c r="M54" s="83"/>
      <c r="N54" s="7"/>
      <c r="O54" s="83"/>
      <c r="P54" s="84"/>
      <c r="Q54" s="84"/>
      <c r="R54" s="84"/>
      <c r="S54" s="0"/>
      <c r="T54" s="54"/>
      <c r="U54" s="49"/>
      <c r="V54" s="54"/>
      <c r="W54" s="84"/>
      <c r="X54" s="84"/>
      <c r="Y54" s="84"/>
      <c r="Z54" s="57"/>
      <c r="AA54" s="58"/>
      <c r="AB54" s="59"/>
      <c r="AC54" s="60"/>
      <c r="AD54" s="100"/>
      <c r="AE54" s="185"/>
    </row>
    <row r="55" customFormat="false" ht="11.1" hidden="false" customHeight="true" outlineLevel="0" collapsed="false">
      <c r="Q55" s="184"/>
      <c r="S55" s="54"/>
      <c r="T55" s="53"/>
      <c r="U55" s="49"/>
    </row>
    <row r="56" customFormat="false" ht="11.1" hidden="false" customHeight="true" outlineLevel="0" collapsed="false">
      <c r="Q56" s="184"/>
      <c r="S56" s="54"/>
      <c r="T56" s="53"/>
      <c r="U56" s="49"/>
    </row>
    <row r="57" customFormat="false" ht="11.1" hidden="false" customHeight="true" outlineLevel="0" collapsed="false">
      <c r="Q57" s="184"/>
    </row>
    <row r="58" customFormat="false" ht="11.1" hidden="false" customHeight="true" outlineLevel="0" collapsed="false">
      <c r="Q58" s="184"/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5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1" ySplit="9" topLeftCell="G25" activePane="bottomRight" state="frozen"/>
      <selection pane="topLeft" activeCell="A1" activeCellId="0" sqref="A1"/>
      <selection pane="topRight" activeCell="G1" activeCellId="0" sqref="G1"/>
      <selection pane="bottomLeft" activeCell="A25" activeCellId="0" sqref="A25"/>
      <selection pane="bottomRight" activeCell="O40" activeCellId="0" sqref="O40"/>
    </sheetView>
  </sheetViews>
  <sheetFormatPr defaultColWidth="9.3359375" defaultRowHeight="11.1" zeroHeight="false" outlineLevelRow="0" outlineLevelCol="0"/>
  <cols>
    <col collapsed="false" customWidth="true" hidden="false" outlineLevel="0" max="1" min="1" style="46" width="5.67"/>
    <col collapsed="false" customWidth="true" hidden="false" outlineLevel="0" max="2" min="2" style="46" width="7.82"/>
    <col collapsed="false" customWidth="true" hidden="false" outlineLevel="0" max="3" min="3" style="47" width="7.66"/>
    <col collapsed="false" customWidth="true" hidden="false" outlineLevel="0" max="4" min="4" style="46" width="6.99"/>
    <col collapsed="false" customWidth="true" hidden="false" outlineLevel="0" max="5" min="5" style="47" width="7.66"/>
    <col collapsed="false" customWidth="true" hidden="false" outlineLevel="0" max="6" min="6" style="46" width="7.66"/>
    <col collapsed="false" customWidth="true" hidden="false" outlineLevel="0" max="7" min="7" style="46" width="7.16"/>
    <col collapsed="false" customWidth="true" hidden="false" outlineLevel="0" max="8" min="8" style="192" width="6.82"/>
    <col collapsed="false" customWidth="true" hidden="false" outlineLevel="0" max="9" min="9" style="46" width="7.99"/>
    <col collapsed="false" customWidth="true" hidden="false" outlineLevel="0" max="10" min="10" style="46" width="6.66"/>
    <col collapsed="false" customWidth="true" hidden="false" outlineLevel="0" max="12" min="11" style="46" width="7.16"/>
    <col collapsed="false" customWidth="true" hidden="false" outlineLevel="0" max="13" min="13" style="49" width="6.32"/>
    <col collapsed="false" customWidth="true" hidden="false" outlineLevel="0" max="14" min="14" style="49" width="7.32"/>
    <col collapsed="false" customWidth="true" hidden="false" outlineLevel="0" max="15" min="15" style="49" width="6.49"/>
    <col collapsed="false" customWidth="true" hidden="false" outlineLevel="0" max="16" min="16" style="46" width="7.99"/>
    <col collapsed="false" customWidth="true" hidden="false" outlineLevel="0" max="17" min="17" style="46" width="6.32"/>
    <col collapsed="false" customWidth="true" hidden="false" outlineLevel="0" max="18" min="18" style="46" width="5.82"/>
    <col collapsed="false" customWidth="true" hidden="false" outlineLevel="0" max="19" min="19" style="47" width="6.82"/>
    <col collapsed="false" customWidth="true" hidden="false" outlineLevel="0" max="20" min="20" style="46" width="7.66"/>
    <col collapsed="false" customWidth="true" hidden="false" outlineLevel="0" max="21" min="21" style="46" width="5.99"/>
    <col collapsed="false" customWidth="true" hidden="false" outlineLevel="0" max="22" min="22" style="47" width="6.66"/>
    <col collapsed="false" customWidth="true" hidden="false" outlineLevel="0" max="23" min="23" style="46" width="6.82"/>
    <col collapsed="false" customWidth="true" hidden="false" outlineLevel="0" max="25" min="24" style="46" width="7.82"/>
    <col collapsed="false" customWidth="true" hidden="false" outlineLevel="0" max="26" min="26" style="50" width="8.16"/>
    <col collapsed="false" customWidth="true" hidden="false" outlineLevel="0" max="28" min="27" style="51" width="4.67"/>
    <col collapsed="false" customWidth="true" hidden="false" outlineLevel="0" max="29" min="29" style="52" width="4.67"/>
    <col collapsed="false" customWidth="true" hidden="false" outlineLevel="0" max="30" min="30" style="46" width="5.67"/>
    <col collapsed="false" customWidth="false" hidden="false" outlineLevel="0" max="31" min="31" style="50" width="9.32"/>
    <col collapsed="false" customWidth="false" hidden="false" outlineLevel="0" max="257" min="32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193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9"/>
      <c r="AB1" s="59"/>
      <c r="AC1" s="60"/>
      <c r="AD1" s="90"/>
      <c r="AE1" s="185"/>
    </row>
    <row r="2" customFormat="false" ht="14.1" hidden="false" customHeight="true" outlineLevel="0" collapsed="false">
      <c r="A2" s="53" t="s">
        <v>1</v>
      </c>
      <c r="B2" s="53"/>
      <c r="C2" s="54"/>
      <c r="D2" s="61" t="n">
        <v>1.9835</v>
      </c>
      <c r="E2" s="54"/>
      <c r="F2" s="53"/>
      <c r="G2" s="53"/>
      <c r="H2" s="193"/>
      <c r="I2" s="53"/>
      <c r="J2" s="53"/>
      <c r="K2" s="62" t="s">
        <v>105</v>
      </c>
      <c r="L2" s="62"/>
      <c r="M2" s="62"/>
      <c r="N2" s="62"/>
      <c r="O2" s="62"/>
      <c r="P2" s="62"/>
      <c r="Q2" s="62"/>
      <c r="R2" s="62"/>
      <c r="S2" s="62"/>
      <c r="T2" s="62"/>
      <c r="U2" s="53"/>
      <c r="V2" s="54"/>
      <c r="W2" s="53"/>
      <c r="X2" s="53"/>
      <c r="Y2" s="53"/>
      <c r="Z2" s="57"/>
      <c r="AA2" s="59"/>
      <c r="AB2" s="59"/>
      <c r="AC2" s="60"/>
      <c r="AD2" s="90"/>
      <c r="AE2" s="185"/>
    </row>
    <row r="3" customFormat="false" ht="11.1" hidden="false" customHeight="true" outlineLevel="0" collapsed="false">
      <c r="A3" s="53"/>
      <c r="B3" s="53"/>
      <c r="C3" s="54"/>
      <c r="D3" s="63"/>
      <c r="E3" s="54"/>
      <c r="F3" s="53"/>
      <c r="G3" s="53"/>
      <c r="H3" s="193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9"/>
      <c r="AB3" s="59"/>
      <c r="AC3" s="60"/>
      <c r="AD3" s="90"/>
      <c r="AE3" s="185"/>
    </row>
    <row r="4" customFormat="false" ht="11.1" hidden="false" customHeight="true" outlineLevel="0" collapsed="false">
      <c r="A4" s="64" t="s">
        <v>3</v>
      </c>
      <c r="B4" s="64" t="s">
        <v>4</v>
      </c>
      <c r="C4" s="65" t="s">
        <v>4</v>
      </c>
      <c r="D4" s="64" t="s">
        <v>5</v>
      </c>
      <c r="E4" s="65" t="s">
        <v>6</v>
      </c>
      <c r="F4" s="64" t="s">
        <v>7</v>
      </c>
      <c r="G4" s="64" t="s">
        <v>8</v>
      </c>
      <c r="H4" s="194" t="s">
        <v>9</v>
      </c>
      <c r="I4" s="64" t="s">
        <v>10</v>
      </c>
      <c r="J4" s="64" t="s">
        <v>11</v>
      </c>
      <c r="K4" s="64" t="s">
        <v>12</v>
      </c>
      <c r="L4" s="64" t="s">
        <v>11</v>
      </c>
      <c r="M4" s="64" t="s">
        <v>13</v>
      </c>
      <c r="N4" s="64"/>
      <c r="O4" s="64"/>
      <c r="P4" s="64"/>
      <c r="Q4" s="64" t="s">
        <v>14</v>
      </c>
      <c r="R4" s="64" t="s">
        <v>15</v>
      </c>
      <c r="S4" s="64" t="s">
        <v>12</v>
      </c>
      <c r="T4" s="65" t="s">
        <v>16</v>
      </c>
      <c r="U4" s="64" t="s">
        <v>17</v>
      </c>
      <c r="V4" s="64" t="s">
        <v>18</v>
      </c>
      <c r="W4" s="65" t="s">
        <v>19</v>
      </c>
      <c r="X4" s="64" t="s">
        <v>10</v>
      </c>
      <c r="Y4" s="64" t="s">
        <v>11</v>
      </c>
      <c r="Z4" s="64" t="s">
        <v>12</v>
      </c>
      <c r="AA4" s="175" t="s">
        <v>20</v>
      </c>
      <c r="AB4" s="68" t="s">
        <v>21</v>
      </c>
      <c r="AC4" s="68" t="s">
        <v>22</v>
      </c>
      <c r="AD4" s="68" t="s">
        <v>3</v>
      </c>
      <c r="AE4" s="186" t="s">
        <v>65</v>
      </c>
      <c r="AF4" s="90"/>
    </row>
    <row r="5" customFormat="false" ht="11.1" hidden="false" customHeight="true" outlineLevel="0" collapsed="false">
      <c r="A5" s="69" t="s">
        <v>106</v>
      </c>
      <c r="B5" s="64" t="s">
        <v>24</v>
      </c>
      <c r="C5" s="65" t="s">
        <v>5</v>
      </c>
      <c r="D5" s="64" t="s">
        <v>25</v>
      </c>
      <c r="E5" s="65" t="s">
        <v>26</v>
      </c>
      <c r="F5" s="64" t="s">
        <v>27</v>
      </c>
      <c r="G5" s="64" t="s">
        <v>28</v>
      </c>
      <c r="H5" s="194" t="s">
        <v>29</v>
      </c>
      <c r="I5" s="64" t="s">
        <v>30</v>
      </c>
      <c r="J5" s="64" t="s">
        <v>30</v>
      </c>
      <c r="K5" s="64" t="s">
        <v>30</v>
      </c>
      <c r="L5" s="64" t="s">
        <v>31</v>
      </c>
      <c r="M5" s="64" t="s">
        <v>32</v>
      </c>
      <c r="N5" s="64" t="s">
        <v>33</v>
      </c>
      <c r="O5" s="64" t="s">
        <v>34</v>
      </c>
      <c r="P5" s="64" t="s">
        <v>35</v>
      </c>
      <c r="Q5" s="64" t="s">
        <v>36</v>
      </c>
      <c r="R5" s="64" t="s">
        <v>37</v>
      </c>
      <c r="S5" s="64" t="s">
        <v>16</v>
      </c>
      <c r="T5" s="65" t="s">
        <v>38</v>
      </c>
      <c r="U5" s="64" t="s">
        <v>39</v>
      </c>
      <c r="V5" s="64" t="s">
        <v>40</v>
      </c>
      <c r="W5" s="65" t="s">
        <v>41</v>
      </c>
      <c r="X5" s="64" t="s">
        <v>42</v>
      </c>
      <c r="Y5" s="64" t="s">
        <v>42</v>
      </c>
      <c r="Z5" s="64" t="s">
        <v>42</v>
      </c>
      <c r="AA5" s="176"/>
      <c r="AB5" s="68" t="s">
        <v>43</v>
      </c>
      <c r="AC5" s="68" t="s">
        <v>43</v>
      </c>
      <c r="AD5" s="71" t="s">
        <v>106</v>
      </c>
      <c r="AE5" s="186" t="s">
        <v>102</v>
      </c>
      <c r="AF5" s="90"/>
      <c r="AH5" s="182"/>
      <c r="AI5" s="182"/>
    </row>
    <row r="6" customFormat="false" ht="11.1" hidden="false" customHeight="true" outlineLevel="0" collapsed="false">
      <c r="A6" s="72"/>
      <c r="B6" s="72"/>
      <c r="C6" s="73"/>
      <c r="D6" s="72"/>
      <c r="E6" s="73"/>
      <c r="F6" s="72"/>
      <c r="G6" s="72"/>
      <c r="H6" s="193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3"/>
      <c r="U6" s="72"/>
      <c r="V6" s="72"/>
      <c r="W6" s="73"/>
      <c r="X6" s="72"/>
      <c r="Y6" s="72"/>
      <c r="Z6" s="72"/>
      <c r="AA6" s="57"/>
      <c r="AB6" s="60"/>
      <c r="AC6" s="60"/>
      <c r="AD6" s="60"/>
      <c r="AE6" s="188"/>
      <c r="AF6" s="94"/>
      <c r="AG6" s="95"/>
      <c r="AH6" s="182"/>
      <c r="AI6" s="182"/>
    </row>
    <row r="7" customFormat="false" ht="11.1" hidden="false" customHeight="true" outlineLevel="0" collapsed="false">
      <c r="A7" s="53" t="s">
        <v>44</v>
      </c>
      <c r="B7" s="53"/>
      <c r="C7" s="54"/>
      <c r="D7" s="54"/>
      <c r="E7" s="54"/>
      <c r="F7" s="54" t="n">
        <f aca="false">SEP!F44</f>
        <v>-24298.9664734056</v>
      </c>
      <c r="G7" s="54" t="n">
        <f aca="false">SEP!G44</f>
        <v>27872</v>
      </c>
      <c r="H7" s="195" t="n">
        <f aca="false">SEP!H44</f>
        <v>28.4</v>
      </c>
      <c r="I7" s="54" t="n">
        <f aca="false">SEP!I44</f>
        <v>27900.4</v>
      </c>
      <c r="J7" s="54" t="n">
        <f aca="false">SEP!J44</f>
        <v>1674.68122006554</v>
      </c>
      <c r="K7" s="54" t="n">
        <f aca="false">SEP!K44</f>
        <v>29575.0812200655</v>
      </c>
      <c r="L7" s="54" t="n">
        <f aca="false">SEP!L44</f>
        <v>-1786.4364734056</v>
      </c>
      <c r="M7" s="54" t="n">
        <f aca="false">SEP!M44</f>
        <v>21209.7</v>
      </c>
      <c r="N7" s="54" t="n">
        <f aca="false">SEP!N44</f>
        <v>63.89</v>
      </c>
      <c r="O7" s="54" t="n">
        <f aca="false">SEP!O44</f>
        <v>2604.189</v>
      </c>
      <c r="P7" s="54" t="n">
        <f aca="false">SEP!P44</f>
        <v>18541.621</v>
      </c>
      <c r="Q7" s="54" t="n">
        <f aca="false">SEP!Q44</f>
        <v>11046.6</v>
      </c>
      <c r="R7" s="54" t="n">
        <f aca="false">SEP!R44</f>
        <v>6429.34</v>
      </c>
      <c r="S7" s="54" t="n">
        <f aca="false">SEP!S44</f>
        <v>36017.561</v>
      </c>
      <c r="T7" s="54" t="n">
        <f aca="false">SEP!T44</f>
        <v>-8117.161</v>
      </c>
      <c r="U7" s="54" t="n">
        <f aca="false">SEP!U44</f>
        <v>8536.29</v>
      </c>
      <c r="V7" s="54" t="n">
        <f aca="false">SEP!V44</f>
        <v>3191</v>
      </c>
      <c r="W7" s="54"/>
      <c r="X7" s="54" t="n">
        <f aca="false">SEP!X44</f>
        <v>50412.93</v>
      </c>
      <c r="Y7" s="54" t="n">
        <f aca="false">SEP!Y44</f>
        <v>3461.11769347114</v>
      </c>
      <c r="Z7" s="54" t="n">
        <f aca="false">SEP!Z44</f>
        <v>53874.0476934711</v>
      </c>
      <c r="AA7" s="57"/>
      <c r="AB7" s="59"/>
      <c r="AC7" s="59"/>
      <c r="AD7" s="60"/>
      <c r="AE7" s="188"/>
      <c r="AF7" s="95"/>
      <c r="AG7" s="95"/>
    </row>
    <row r="8" s="47" customFormat="true" ht="11.1" hidden="false" customHeight="true" outlineLevel="0" collapsed="false">
      <c r="A8" s="54" t="s">
        <v>45</v>
      </c>
      <c r="B8" s="75" t="n">
        <f aca="false">SEP!B39</f>
        <v>6858.36</v>
      </c>
      <c r="C8" s="54" t="n">
        <f aca="false">SEP!C39</f>
        <v>159369</v>
      </c>
      <c r="D8" s="54" t="n">
        <f aca="false">SEP!D48</f>
        <v>-46577</v>
      </c>
      <c r="E8" s="54" t="n">
        <f aca="false">SEP!E48</f>
        <v>7369</v>
      </c>
      <c r="F8" s="54" t="n">
        <f aca="false">SEP!F47</f>
        <v>-23482.2283841694</v>
      </c>
      <c r="G8" s="54" t="n">
        <f aca="false">SEP!G47</f>
        <v>34414</v>
      </c>
      <c r="H8" s="193" t="n">
        <f aca="false">SEP!H47</f>
        <v>63.93</v>
      </c>
      <c r="I8" s="54" t="n">
        <f aca="false">SEP!I47</f>
        <v>34430.4</v>
      </c>
      <c r="J8" s="54" t="n">
        <f aca="false">SEP!J47</f>
        <v>3081.23182001513</v>
      </c>
      <c r="K8" s="54" t="n">
        <f aca="false">SEP!K47</f>
        <v>37511.6318200151</v>
      </c>
      <c r="L8" s="54" t="n">
        <f aca="false">SEP!L47</f>
        <v>-1515.6183841694</v>
      </c>
      <c r="M8" s="54" t="n">
        <f aca="false">SEP!M47</f>
        <v>22405.28</v>
      </c>
      <c r="N8" s="54" t="n">
        <f aca="false">SEP!N47</f>
        <v>68.97</v>
      </c>
      <c r="O8" s="54" t="n">
        <f aca="false">SEP!O47</f>
        <v>3115.524</v>
      </c>
      <c r="P8" s="54" t="n">
        <f aca="false">SEP!P47</f>
        <v>19622.986</v>
      </c>
      <c r="Q8" s="54" t="n">
        <f aca="false">SEP!Q47</f>
        <v>11046.6</v>
      </c>
      <c r="R8" s="54" t="n">
        <f aca="false">SEP!R47</f>
        <v>6556.84</v>
      </c>
      <c r="S8" s="54" t="n">
        <f aca="false">SEP!S47</f>
        <v>37226.426</v>
      </c>
      <c r="T8" s="54" t="n">
        <f aca="false">SEP!T47</f>
        <v>-8117.161</v>
      </c>
      <c r="U8" s="54" t="n">
        <f aca="false">SEP!U47</f>
        <v>8536.29</v>
      </c>
      <c r="V8" s="54" t="n">
        <f aca="false">SEP!V47</f>
        <v>7852</v>
      </c>
      <c r="W8" s="54" t="n">
        <f aca="false">SEP!W47</f>
        <v>2842.778674061</v>
      </c>
      <c r="X8" s="54" t="n">
        <f aca="false">SEP!X47</f>
        <v>56397.01</v>
      </c>
      <c r="Y8" s="54" t="n">
        <f aca="false">SEP!Y47</f>
        <v>4596.85020418452</v>
      </c>
      <c r="Z8" s="54" t="n">
        <f aca="false">SEP!Z47</f>
        <v>60993.8602041845</v>
      </c>
      <c r="AA8" s="83" t="n">
        <f aca="false">SEP!AA47</f>
        <v>10.46</v>
      </c>
      <c r="AB8" s="59"/>
      <c r="AC8" s="59"/>
      <c r="AD8" s="60"/>
      <c r="AE8" s="188"/>
      <c r="AF8" s="94"/>
      <c r="AG8" s="95"/>
      <c r="AH8" s="46"/>
      <c r="AI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19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8"/>
      <c r="U9" s="76"/>
      <c r="V9" s="76"/>
      <c r="W9" s="78"/>
      <c r="X9" s="76"/>
      <c r="Y9" s="76"/>
      <c r="Z9" s="76"/>
      <c r="AA9" s="122"/>
      <c r="AB9" s="81"/>
      <c r="AC9" s="81"/>
      <c r="AD9" s="82"/>
      <c r="AE9" s="190"/>
      <c r="AF9" s="94"/>
      <c r="AG9" s="95"/>
    </row>
    <row r="10" customFormat="false" ht="11.1" hidden="false" customHeight="true" outlineLevel="0" collapsed="false">
      <c r="A10" s="60" t="n">
        <v>1</v>
      </c>
      <c r="B10" s="75" t="n">
        <v>6858.16</v>
      </c>
      <c r="C10" s="54" t="n">
        <v>158921</v>
      </c>
      <c r="D10" s="59" t="n">
        <f aca="false">C10-C8</f>
        <v>-448</v>
      </c>
      <c r="E10" s="54" t="n">
        <f aca="false">C10-152000</f>
        <v>6921</v>
      </c>
      <c r="F10" s="53" t="n">
        <f aca="false">D10/$D$2</f>
        <v>-225.863372825813</v>
      </c>
      <c r="G10" s="53" t="n">
        <v>71</v>
      </c>
      <c r="H10" s="193" t="n">
        <v>0</v>
      </c>
      <c r="I10" s="53" t="n">
        <f aca="false">G10+H10</f>
        <v>71</v>
      </c>
      <c r="J10" s="83" t="n">
        <f aca="false">IF(L10&gt;0,L10,0)</f>
        <v>0</v>
      </c>
      <c r="K10" s="53" t="n">
        <f aca="false">I10+J10</f>
        <v>71</v>
      </c>
      <c r="L10" s="53" t="n">
        <f aca="false">F10-(I10-X10)</f>
        <v>-41.463372825813</v>
      </c>
      <c r="M10" s="53" t="n">
        <v>20</v>
      </c>
      <c r="N10" s="53" t="n">
        <v>0.36</v>
      </c>
      <c r="O10" s="53" t="n">
        <f aca="false">5.31*1.05</f>
        <v>5.5755</v>
      </c>
      <c r="P10" s="6" t="n">
        <f aca="false">M10-(N10+O10)</f>
        <v>14.0645</v>
      </c>
      <c r="Q10" s="53" t="n">
        <v>213</v>
      </c>
      <c r="R10" s="53" t="n">
        <v>8.4</v>
      </c>
      <c r="S10" s="53" t="n">
        <f aca="false">SUM(P10:R10)</f>
        <v>235.4645</v>
      </c>
      <c r="T10" s="54" t="n">
        <f aca="false">(I10-S10)+T7</f>
        <v>-8281.6255</v>
      </c>
      <c r="U10" s="53" t="n">
        <v>0</v>
      </c>
      <c r="V10" s="53" t="n">
        <v>14</v>
      </c>
      <c r="W10" s="54" t="n">
        <f aca="false">W8-V10</f>
        <v>2828.778674061</v>
      </c>
      <c r="X10" s="6" t="n">
        <f aca="false">N10+O10+S10+U10+V10</f>
        <v>255.4</v>
      </c>
      <c r="Y10" s="53" t="n">
        <f aca="false">IF(L10&lt;0,L10*-1,0)</f>
        <v>41.463372825813</v>
      </c>
      <c r="Z10" s="53" t="n">
        <f aca="false">X10+Y10</f>
        <v>296.863372825813</v>
      </c>
      <c r="AA10" s="57" t="n">
        <v>0.05</v>
      </c>
      <c r="AB10" s="59" t="n">
        <v>61</v>
      </c>
      <c r="AC10" s="59" t="n">
        <v>38</v>
      </c>
      <c r="AD10" s="60" t="n">
        <v>1</v>
      </c>
      <c r="AE10" s="188" t="n">
        <f aca="false">IF(I10&gt;S10,I10-S10,I10-S10)</f>
        <v>-164.4645</v>
      </c>
      <c r="AF10" s="96"/>
      <c r="AG10" s="96"/>
    </row>
    <row r="11" customFormat="false" ht="11.1" hidden="false" customHeight="true" outlineLevel="0" collapsed="false">
      <c r="A11" s="60" t="n">
        <f aca="false">A10+1</f>
        <v>2</v>
      </c>
      <c r="B11" s="75" t="n">
        <v>6858.13</v>
      </c>
      <c r="C11" s="54" t="n">
        <v>158854</v>
      </c>
      <c r="D11" s="59" t="n">
        <f aca="false">C11-C10</f>
        <v>-67</v>
      </c>
      <c r="E11" s="54" t="n">
        <f aca="false">C11-152000</f>
        <v>6854</v>
      </c>
      <c r="F11" s="53" t="n">
        <f aca="false">D11/$D$2</f>
        <v>-33.7786740610033</v>
      </c>
      <c r="G11" s="53" t="n">
        <v>74</v>
      </c>
      <c r="H11" s="193" t="n">
        <v>0</v>
      </c>
      <c r="I11" s="53" t="n">
        <f aca="false">G11+H11</f>
        <v>74</v>
      </c>
      <c r="J11" s="83" t="n">
        <f aca="false">IF(L11&gt;0,L11,0)</f>
        <v>132.921325938997</v>
      </c>
      <c r="K11" s="53" t="n">
        <f aca="false">I11+J11</f>
        <v>206.921325938997</v>
      </c>
      <c r="L11" s="53" t="n">
        <f aca="false">F11-(I11-X11)</f>
        <v>132.921325938997</v>
      </c>
      <c r="M11" s="53" t="n">
        <v>6.7</v>
      </c>
      <c r="N11" s="53" t="n">
        <v>0.36</v>
      </c>
      <c r="O11" s="53" t="n">
        <f aca="false">0.1*1.05</f>
        <v>0.105</v>
      </c>
      <c r="P11" s="6" t="n">
        <f aca="false">M11-(N11+O11)</f>
        <v>6.235</v>
      </c>
      <c r="Q11" s="53" t="n">
        <v>219</v>
      </c>
      <c r="R11" s="53" t="n">
        <v>0</v>
      </c>
      <c r="S11" s="53" t="n">
        <f aca="false">SUM(P11:R11)</f>
        <v>225.235</v>
      </c>
      <c r="T11" s="54" t="n">
        <f aca="false">(I11-S11)+T10</f>
        <v>-8432.8605</v>
      </c>
      <c r="U11" s="53" t="n">
        <v>0</v>
      </c>
      <c r="V11" s="53" t="n">
        <v>15</v>
      </c>
      <c r="W11" s="54" t="n">
        <f aca="false">W10-V11</f>
        <v>2813.778674061</v>
      </c>
      <c r="X11" s="6" t="n">
        <f aca="false">N11+O11+S11+U11+V11</f>
        <v>240.7</v>
      </c>
      <c r="Y11" s="53" t="n">
        <f aca="false">IF(L11&lt;0,L11*-1,0)</f>
        <v>0</v>
      </c>
      <c r="Z11" s="53" t="n">
        <f aca="false">X11+Y11</f>
        <v>240.7</v>
      </c>
      <c r="AA11" s="57" t="n">
        <v>0.56</v>
      </c>
      <c r="AB11" s="59" t="n">
        <v>57</v>
      </c>
      <c r="AC11" s="59" t="n">
        <v>42</v>
      </c>
      <c r="AD11" s="60" t="n">
        <f aca="false">AD10+1</f>
        <v>2</v>
      </c>
      <c r="AE11" s="188" t="n">
        <f aca="false">IF(I11&gt;S11,I11-S11,I11-S11)</f>
        <v>-151.235</v>
      </c>
      <c r="AF11" s="96"/>
      <c r="AG11" s="96"/>
    </row>
    <row r="12" customFormat="false" ht="11.1" hidden="false" customHeight="true" outlineLevel="0" collapsed="false">
      <c r="A12" s="60" t="n">
        <f aca="false">A11+1</f>
        <v>3</v>
      </c>
      <c r="B12" s="75" t="n">
        <v>6858.02</v>
      </c>
      <c r="C12" s="54" t="n">
        <v>158608</v>
      </c>
      <c r="D12" s="59" t="n">
        <f aca="false">C12-C11</f>
        <v>-246</v>
      </c>
      <c r="E12" s="54" t="n">
        <f aca="false">C12-152000</f>
        <v>6608</v>
      </c>
      <c r="F12" s="53" t="n">
        <f aca="false">D12/$D$2</f>
        <v>-124.02319132846</v>
      </c>
      <c r="G12" s="53" t="n">
        <v>117</v>
      </c>
      <c r="H12" s="193" t="n">
        <v>0</v>
      </c>
      <c r="I12" s="53" t="n">
        <f aca="false">G12+H12</f>
        <v>117</v>
      </c>
      <c r="J12" s="83" t="n">
        <f aca="false">IF(L12&gt;0,L12,0)</f>
        <v>1.6768086715402</v>
      </c>
      <c r="K12" s="53" t="n">
        <f aca="false">I12+J12</f>
        <v>118.67680867154</v>
      </c>
      <c r="L12" s="53" t="n">
        <f aca="false">F12-(I12-X12)</f>
        <v>1.6768086715402</v>
      </c>
      <c r="M12" s="53" t="n">
        <v>6.7</v>
      </c>
      <c r="N12" s="53" t="n">
        <v>0.36</v>
      </c>
      <c r="O12" s="53" t="n">
        <f aca="false">0.74*1.05</f>
        <v>0.777</v>
      </c>
      <c r="P12" s="6" t="n">
        <f aca="false">M12-(N12+O12)</f>
        <v>5.563</v>
      </c>
      <c r="Q12" s="53" t="n">
        <v>218</v>
      </c>
      <c r="R12" s="53" t="n">
        <v>0</v>
      </c>
      <c r="S12" s="53" t="n">
        <f aca="false">SUM(P12:R12)</f>
        <v>223.563</v>
      </c>
      <c r="T12" s="54" t="n">
        <f aca="false">(I12-S12)+T11</f>
        <v>-8539.4235</v>
      </c>
      <c r="U12" s="53" t="n">
        <v>0</v>
      </c>
      <c r="V12" s="53" t="n">
        <v>18</v>
      </c>
      <c r="W12" s="54" t="n">
        <f aca="false">W11-V12</f>
        <v>2795.778674061</v>
      </c>
      <c r="X12" s="6" t="n">
        <f aca="false">N12+O12+S12+U12+V12</f>
        <v>242.7</v>
      </c>
      <c r="Y12" s="53" t="n">
        <f aca="false">IF(L12&lt;0,L12*-1,0)</f>
        <v>0</v>
      </c>
      <c r="Z12" s="53" t="n">
        <f aca="false">X12+Y12</f>
        <v>242.7</v>
      </c>
      <c r="AA12" s="57" t="n">
        <v>0.37</v>
      </c>
      <c r="AB12" s="59" t="n">
        <v>43</v>
      </c>
      <c r="AC12" s="59" t="n">
        <v>32</v>
      </c>
      <c r="AD12" s="60" t="n">
        <f aca="false">AD11+1</f>
        <v>3</v>
      </c>
      <c r="AE12" s="188" t="n">
        <f aca="false">IF(I12&gt;S12,I12-S12,I12-S12)</f>
        <v>-106.563</v>
      </c>
      <c r="AF12" s="96"/>
      <c r="AG12" s="96"/>
    </row>
    <row r="13" customFormat="false" ht="11.1" hidden="false" customHeight="true" outlineLevel="0" collapsed="false">
      <c r="A13" s="60" t="n">
        <f aca="false">A12+1</f>
        <v>4</v>
      </c>
      <c r="B13" s="75" t="n">
        <v>6857.9</v>
      </c>
      <c r="C13" s="54" t="n">
        <v>158341</v>
      </c>
      <c r="D13" s="59" t="n">
        <f aca="false">C13-C12</f>
        <v>-267</v>
      </c>
      <c r="E13" s="54" t="n">
        <f aca="false">C13-152000</f>
        <v>6341</v>
      </c>
      <c r="F13" s="53" t="n">
        <f aca="false">D13/$D$2</f>
        <v>-134.61053692967</v>
      </c>
      <c r="G13" s="53" t="n">
        <v>111</v>
      </c>
      <c r="H13" s="193" t="n">
        <v>0.04</v>
      </c>
      <c r="I13" s="53" t="n">
        <f aca="false">G13+H13</f>
        <v>111.04</v>
      </c>
      <c r="J13" s="83" t="n">
        <f aca="false">IF(L13&gt;0,L13,0)</f>
        <v>0</v>
      </c>
      <c r="K13" s="53" t="n">
        <f aca="false">I13+J13</f>
        <v>111.04</v>
      </c>
      <c r="L13" s="53" t="n">
        <f aca="false">F13-(I13-X13)</f>
        <v>-8.95053692966978</v>
      </c>
      <c r="M13" s="53" t="n">
        <v>6.7</v>
      </c>
      <c r="N13" s="53" t="n">
        <v>0.36</v>
      </c>
      <c r="O13" s="53" t="n">
        <f aca="false">0.09*1.05</f>
        <v>0.0945</v>
      </c>
      <c r="P13" s="6" t="n">
        <f aca="false">M13-(N13+O13)</f>
        <v>6.2455</v>
      </c>
      <c r="Q13" s="53" t="n">
        <v>215</v>
      </c>
      <c r="R13" s="53" t="n">
        <v>0</v>
      </c>
      <c r="S13" s="53" t="n">
        <f aca="false">SUM(P13:R13)</f>
        <v>221.2455</v>
      </c>
      <c r="T13" s="54" t="n">
        <f aca="false">(I13-S13)+T12</f>
        <v>-8649.629</v>
      </c>
      <c r="U13" s="53" t="n">
        <v>0</v>
      </c>
      <c r="V13" s="53" t="n">
        <v>15</v>
      </c>
      <c r="W13" s="54" t="n">
        <f aca="false">W12-V13</f>
        <v>2780.778674061</v>
      </c>
      <c r="X13" s="6" t="n">
        <f aca="false">N13+O13+S13+U13+V13</f>
        <v>236.7</v>
      </c>
      <c r="Y13" s="53" t="n">
        <f aca="false">IF(L13&lt;0,L13*-1,0)</f>
        <v>8.95053692966978</v>
      </c>
      <c r="Z13" s="53" t="n">
        <f aca="false">X13+Y13</f>
        <v>245.65053692967</v>
      </c>
      <c r="AA13" s="57" t="n">
        <v>0</v>
      </c>
      <c r="AB13" s="59" t="n">
        <v>56</v>
      </c>
      <c r="AC13" s="59" t="n">
        <v>32</v>
      </c>
      <c r="AD13" s="60" t="n">
        <f aca="false">AD12+1</f>
        <v>4</v>
      </c>
      <c r="AE13" s="188" t="n">
        <f aca="false">IF(I13&gt;S13,I13-S13,I13-S13)</f>
        <v>-110.2055</v>
      </c>
      <c r="AF13" s="96"/>
      <c r="AG13" s="96"/>
    </row>
    <row r="14" customFormat="false" ht="11.1" hidden="false" customHeight="true" outlineLevel="0" collapsed="false">
      <c r="A14" s="60" t="n">
        <f aca="false">A13+1</f>
        <v>5</v>
      </c>
      <c r="B14" s="75" t="n">
        <v>6857.78</v>
      </c>
      <c r="C14" s="54" t="n">
        <v>158075</v>
      </c>
      <c r="D14" s="59" t="n">
        <f aca="false">C14-C13</f>
        <v>-266</v>
      </c>
      <c r="E14" s="54" t="n">
        <f aca="false">C14-152000</f>
        <v>6075</v>
      </c>
      <c r="F14" s="53" t="n">
        <f aca="false">D14/$D$2</f>
        <v>-134.106377615326</v>
      </c>
      <c r="G14" s="53" t="n">
        <v>97</v>
      </c>
      <c r="H14" s="193" t="n">
        <v>0</v>
      </c>
      <c r="I14" s="53" t="n">
        <f aca="false">G14+H14</f>
        <v>97</v>
      </c>
      <c r="J14" s="83" t="n">
        <f aca="false">IF(L14&gt;0,L14,0)</f>
        <v>2.59362238467358</v>
      </c>
      <c r="K14" s="53" t="n">
        <f aca="false">I14+J14</f>
        <v>99.5936223846736</v>
      </c>
      <c r="L14" s="53" t="n">
        <f aca="false">F14-(I14-X14)</f>
        <v>2.59362238467358</v>
      </c>
      <c r="M14" s="53" t="n">
        <v>6.7</v>
      </c>
      <c r="N14" s="53" t="n">
        <v>0.36</v>
      </c>
      <c r="O14" s="53" t="n">
        <v>0</v>
      </c>
      <c r="P14" s="6" t="n">
        <f aca="false">M14-(N14+O14)</f>
        <v>6.34</v>
      </c>
      <c r="Q14" s="53" t="n">
        <v>213</v>
      </c>
      <c r="R14" s="53" t="n">
        <v>0</v>
      </c>
      <c r="S14" s="53" t="n">
        <f aca="false">SUM(P14:R14)</f>
        <v>219.34</v>
      </c>
      <c r="T14" s="54" t="n">
        <f aca="false">(I14-S14)+T13</f>
        <v>-8771.969</v>
      </c>
      <c r="U14" s="53" t="n">
        <v>0</v>
      </c>
      <c r="V14" s="53" t="n">
        <v>14</v>
      </c>
      <c r="W14" s="54" t="n">
        <f aca="false">W13-V14</f>
        <v>2766.778674061</v>
      </c>
      <c r="X14" s="6" t="n">
        <f aca="false">N14+O14+S14+U14+V14</f>
        <v>233.7</v>
      </c>
      <c r="Y14" s="53" t="n">
        <f aca="false">IF(L14&lt;0,L14*-1,0)</f>
        <v>0</v>
      </c>
      <c r="Z14" s="53" t="n">
        <f aca="false">X14+Y14</f>
        <v>233.7</v>
      </c>
      <c r="AA14" s="57" t="n">
        <v>0</v>
      </c>
      <c r="AB14" s="59" t="n">
        <v>62</v>
      </c>
      <c r="AC14" s="59" t="n">
        <v>38</v>
      </c>
      <c r="AD14" s="60" t="n">
        <f aca="false">AD13+1</f>
        <v>5</v>
      </c>
      <c r="AE14" s="188" t="n">
        <f aca="false">IF(I14&gt;S14,I14-S14,I14-S14)</f>
        <v>-122.34</v>
      </c>
      <c r="AF14" s="96"/>
      <c r="AG14" s="96"/>
    </row>
    <row r="15" customFormat="false" ht="11.1" hidden="false" customHeight="true" outlineLevel="0" collapsed="false">
      <c r="A15" s="60" t="n">
        <f aca="false">A14+1</f>
        <v>6</v>
      </c>
      <c r="B15" s="75" t="n">
        <v>6857.66</v>
      </c>
      <c r="C15" s="54" t="n">
        <v>157809</v>
      </c>
      <c r="D15" s="59" t="n">
        <f aca="false">C15-C14</f>
        <v>-266</v>
      </c>
      <c r="E15" s="54" t="n">
        <f aca="false">C15-152000</f>
        <v>5809</v>
      </c>
      <c r="F15" s="53" t="n">
        <f aca="false">D15/$D$2</f>
        <v>-134.106377615326</v>
      </c>
      <c r="G15" s="53" t="n">
        <v>98</v>
      </c>
      <c r="H15" s="193" t="n">
        <v>0</v>
      </c>
      <c r="I15" s="53" t="n">
        <f aca="false">G15+H15</f>
        <v>98</v>
      </c>
      <c r="J15" s="83" t="n">
        <f aca="false">IF(L15&gt;0,L15,0)</f>
        <v>0</v>
      </c>
      <c r="K15" s="53" t="n">
        <f aca="false">I15+J15</f>
        <v>98</v>
      </c>
      <c r="L15" s="53" t="n">
        <f aca="false">F15-(I15-X15)</f>
        <v>-0.40637761532642</v>
      </c>
      <c r="M15" s="53" t="n">
        <v>6.7</v>
      </c>
      <c r="N15" s="53" t="n">
        <v>0.36</v>
      </c>
      <c r="O15" s="53" t="n">
        <f aca="false">0.03*1.05</f>
        <v>0.0315</v>
      </c>
      <c r="P15" s="6" t="n">
        <f aca="false">M15-(N15+O15)</f>
        <v>6.3085</v>
      </c>
      <c r="Q15" s="53" t="n">
        <v>211</v>
      </c>
      <c r="R15" s="53" t="n">
        <v>0</v>
      </c>
      <c r="S15" s="53" t="n">
        <f aca="false">SUM(P15:R15)</f>
        <v>217.3085</v>
      </c>
      <c r="T15" s="54" t="n">
        <f aca="false">(I15-S15)+T14</f>
        <v>-8891.2775</v>
      </c>
      <c r="U15" s="53" t="n">
        <v>0</v>
      </c>
      <c r="V15" s="53" t="n">
        <v>14</v>
      </c>
      <c r="W15" s="54" t="n">
        <f aca="false">W14-V15</f>
        <v>2752.778674061</v>
      </c>
      <c r="X15" s="6" t="n">
        <f aca="false">N15+O15+S15+U15+V15</f>
        <v>231.7</v>
      </c>
      <c r="Y15" s="53" t="n">
        <f aca="false">IF(L15&lt;0,L15*-1,0)</f>
        <v>0.40637761532642</v>
      </c>
      <c r="Z15" s="53" t="n">
        <f aca="false">X15+Y15</f>
        <v>232.106377615326</v>
      </c>
      <c r="AA15" s="57" t="n">
        <v>0</v>
      </c>
      <c r="AB15" s="59" t="n">
        <v>66</v>
      </c>
      <c r="AC15" s="59" t="n">
        <v>36</v>
      </c>
      <c r="AD15" s="60" t="n">
        <f aca="false">AD14+1</f>
        <v>6</v>
      </c>
      <c r="AE15" s="188" t="n">
        <f aca="false">IF(I15&gt;S15,I15-S15,I15-S15)</f>
        <v>-119.3085</v>
      </c>
      <c r="AF15" s="96"/>
      <c r="AG15" s="96"/>
    </row>
    <row r="16" customFormat="false" ht="11.1" hidden="false" customHeight="true" outlineLevel="0" collapsed="false">
      <c r="A16" s="60" t="n">
        <f aca="false">A15+1</f>
        <v>7</v>
      </c>
      <c r="B16" s="75" t="n">
        <v>6857.54</v>
      </c>
      <c r="C16" s="54" t="n">
        <v>157543</v>
      </c>
      <c r="D16" s="59" t="n">
        <f aca="false">C16-C15</f>
        <v>-266</v>
      </c>
      <c r="E16" s="54" t="n">
        <f aca="false">C16-152000</f>
        <v>5543</v>
      </c>
      <c r="F16" s="53" t="n">
        <f aca="false">D16/$D$2</f>
        <v>-134.106377615326</v>
      </c>
      <c r="G16" s="53" t="n">
        <v>94</v>
      </c>
      <c r="H16" s="193" t="n">
        <v>0</v>
      </c>
      <c r="I16" s="53" t="n">
        <f aca="false">G16+H16</f>
        <v>94</v>
      </c>
      <c r="J16" s="83" t="n">
        <f aca="false">IF(L16&gt;0,L16,0)</f>
        <v>5.59362238467355</v>
      </c>
      <c r="K16" s="53" t="n">
        <f aca="false">I16+J16</f>
        <v>99.5936223846736</v>
      </c>
      <c r="L16" s="53" t="n">
        <f aca="false">F16-(I16-X16)</f>
        <v>5.59362238467355</v>
      </c>
      <c r="M16" s="53" t="n">
        <v>6.7</v>
      </c>
      <c r="N16" s="53" t="n">
        <v>9</v>
      </c>
      <c r="O16" s="53" t="n">
        <v>0</v>
      </c>
      <c r="P16" s="6" t="n">
        <f aca="false">M16-(N16+O16)</f>
        <v>-2.3</v>
      </c>
      <c r="Q16" s="53" t="n">
        <v>213</v>
      </c>
      <c r="R16" s="53" t="n">
        <v>0</v>
      </c>
      <c r="S16" s="53" t="n">
        <f aca="false">SUM(P16:R16)</f>
        <v>210.7</v>
      </c>
      <c r="T16" s="54" t="n">
        <f aca="false">(I16-S16)+T15</f>
        <v>-9007.9775</v>
      </c>
      <c r="U16" s="53" t="n">
        <v>0</v>
      </c>
      <c r="V16" s="53" t="n">
        <v>14</v>
      </c>
      <c r="W16" s="54" t="n">
        <f aca="false">W15-V16</f>
        <v>2738.778674061</v>
      </c>
      <c r="X16" s="6" t="n">
        <f aca="false">N16+O16+S16+U16+V16</f>
        <v>233.7</v>
      </c>
      <c r="Y16" s="53" t="n">
        <f aca="false">IF(L16&lt;0,L16*-1,0)</f>
        <v>0</v>
      </c>
      <c r="Z16" s="53" t="n">
        <f aca="false">X16+Y16</f>
        <v>233.7</v>
      </c>
      <c r="AA16" s="57" t="n">
        <v>0</v>
      </c>
      <c r="AB16" s="59" t="n">
        <v>68</v>
      </c>
      <c r="AC16" s="59" t="n">
        <v>39</v>
      </c>
      <c r="AD16" s="60" t="n">
        <f aca="false">AD15+1</f>
        <v>7</v>
      </c>
      <c r="AE16" s="188" t="n">
        <f aca="false">IF(I16&gt;S16,I16-S16,I16-S16)</f>
        <v>-116.7</v>
      </c>
      <c r="AF16" s="96"/>
      <c r="AG16" s="96"/>
    </row>
    <row r="17" customFormat="false" ht="11.1" hidden="false" customHeight="true" outlineLevel="0" collapsed="false">
      <c r="A17" s="60" t="n">
        <f aca="false">A16+1</f>
        <v>8</v>
      </c>
      <c r="B17" s="75" t="n">
        <v>6857.36</v>
      </c>
      <c r="C17" s="54" t="n">
        <v>157144</v>
      </c>
      <c r="D17" s="59" t="n">
        <f aca="false">C17-C16</f>
        <v>-399</v>
      </c>
      <c r="E17" s="54" t="n">
        <f aca="false">C17-152000</f>
        <v>5144</v>
      </c>
      <c r="F17" s="53" t="n">
        <f aca="false">D17/$D$2</f>
        <v>-201.15956642299</v>
      </c>
      <c r="G17" s="53" t="n">
        <v>90</v>
      </c>
      <c r="H17" s="193" t="n">
        <v>0</v>
      </c>
      <c r="I17" s="53" t="n">
        <f aca="false">G17+H17</f>
        <v>90</v>
      </c>
      <c r="J17" s="83" t="n">
        <f aca="false">IF(L17&gt;0,L17,0)</f>
        <v>0</v>
      </c>
      <c r="K17" s="53" t="n">
        <f aca="false">I17+J17</f>
        <v>90</v>
      </c>
      <c r="L17" s="53" t="n">
        <f aca="false">F17-(I17-X17)</f>
        <v>-52.4595664229897</v>
      </c>
      <c r="M17" s="53" t="n">
        <v>6.7</v>
      </c>
      <c r="N17" s="53" t="n">
        <v>9</v>
      </c>
      <c r="O17" s="53" t="n">
        <f aca="false">1.79*1.05</f>
        <v>1.8795</v>
      </c>
      <c r="P17" s="6" t="n">
        <f aca="false">M17-(N17+O17)</f>
        <v>-4.1795</v>
      </c>
      <c r="Q17" s="53" t="n">
        <v>219</v>
      </c>
      <c r="R17" s="53" t="n">
        <v>0</v>
      </c>
      <c r="S17" s="53" t="n">
        <f aca="false">SUM(P17:R17)</f>
        <v>214.8205</v>
      </c>
      <c r="T17" s="54" t="n">
        <f aca="false">(I17-S17)+T16</f>
        <v>-9132.798</v>
      </c>
      <c r="U17" s="53" t="n">
        <v>0</v>
      </c>
      <c r="V17" s="53" t="n">
        <v>13</v>
      </c>
      <c r="W17" s="54" t="n">
        <f aca="false">W16-V17</f>
        <v>2725.778674061</v>
      </c>
      <c r="X17" s="6" t="n">
        <f aca="false">N17+O17+S17+U17+V17</f>
        <v>238.7</v>
      </c>
      <c r="Y17" s="53" t="n">
        <f aca="false">IF(L17&lt;0,L17*-1,0)</f>
        <v>52.4595664229897</v>
      </c>
      <c r="Z17" s="53" t="n">
        <f aca="false">X17+Y17</f>
        <v>291.15956642299</v>
      </c>
      <c r="AA17" s="57" t="n">
        <v>0</v>
      </c>
      <c r="AB17" s="59" t="n">
        <v>69</v>
      </c>
      <c r="AC17" s="59" t="n">
        <v>37</v>
      </c>
      <c r="AD17" s="60" t="n">
        <f aca="false">AD16+1</f>
        <v>8</v>
      </c>
      <c r="AE17" s="188" t="n">
        <f aca="false">IF(I17&gt;S17,I17-S17,I17-S17)</f>
        <v>-124.8205</v>
      </c>
      <c r="AF17" s="96"/>
      <c r="AG17" s="96"/>
    </row>
    <row r="18" customFormat="false" ht="11.1" hidden="false" customHeight="true" outlineLevel="0" collapsed="false">
      <c r="A18" s="60" t="n">
        <f aca="false">A17+1</f>
        <v>9</v>
      </c>
      <c r="B18" s="75" t="n">
        <v>6857.25</v>
      </c>
      <c r="C18" s="54" t="n">
        <v>156900</v>
      </c>
      <c r="D18" s="59" t="n">
        <f aca="false">C18-C17</f>
        <v>-244</v>
      </c>
      <c r="E18" s="54" t="n">
        <f aca="false">C18-152000</f>
        <v>4900</v>
      </c>
      <c r="F18" s="53" t="n">
        <f aca="false">D18/$D$2</f>
        <v>-123.014872699773</v>
      </c>
      <c r="G18" s="53" t="n">
        <v>85</v>
      </c>
      <c r="H18" s="193" t="n">
        <v>0</v>
      </c>
      <c r="I18" s="53" t="n">
        <f aca="false">G18+H18</f>
        <v>85</v>
      </c>
      <c r="J18" s="83" t="n">
        <f aca="false">IF(L18&gt;0,L18,0)</f>
        <v>24.9851273002269</v>
      </c>
      <c r="K18" s="53" t="n">
        <f aca="false">I18+J18</f>
        <v>109.985127300227</v>
      </c>
      <c r="L18" s="53" t="n">
        <f aca="false">F18-(I18-X18)</f>
        <v>24.9851273002269</v>
      </c>
      <c r="M18" s="53" t="n">
        <v>12</v>
      </c>
      <c r="N18" s="53" t="n">
        <v>10</v>
      </c>
      <c r="O18" s="53" t="n">
        <f aca="false">3.8*1.05</f>
        <v>3.99</v>
      </c>
      <c r="P18" s="6" t="n">
        <f aca="false">M18-(N18+O18)</f>
        <v>-1.99</v>
      </c>
      <c r="Q18" s="53" t="n">
        <v>208</v>
      </c>
      <c r="R18" s="53" t="n">
        <v>0</v>
      </c>
      <c r="S18" s="53" t="n">
        <f aca="false">SUM(P18:R18)</f>
        <v>206.01</v>
      </c>
      <c r="T18" s="54" t="n">
        <f aca="false">(I18-S18)+T17</f>
        <v>-9253.808</v>
      </c>
      <c r="U18" s="53" t="n">
        <v>0</v>
      </c>
      <c r="V18" s="53" t="n">
        <v>13</v>
      </c>
      <c r="W18" s="54" t="n">
        <f aca="false">W17-V18</f>
        <v>2712.778674061</v>
      </c>
      <c r="X18" s="6" t="n">
        <f aca="false">N18+O18+S18+U18+V18</f>
        <v>233</v>
      </c>
      <c r="Y18" s="53" t="n">
        <f aca="false">IF(L18&lt;0,L18*-1,0)</f>
        <v>0</v>
      </c>
      <c r="Z18" s="53" t="n">
        <f aca="false">X18+Y18</f>
        <v>233</v>
      </c>
      <c r="AA18" s="57" t="n">
        <v>0</v>
      </c>
      <c r="AB18" s="84" t="n">
        <v>68</v>
      </c>
      <c r="AC18" s="59" t="n">
        <v>37</v>
      </c>
      <c r="AD18" s="60" t="n">
        <f aca="false">AD17+1</f>
        <v>9</v>
      </c>
      <c r="AE18" s="188" t="n">
        <f aca="false">IF(I18&gt;S18,I18-S18,I18-S18)</f>
        <v>-121.01</v>
      </c>
      <c r="AF18" s="96"/>
      <c r="AG18" s="96"/>
    </row>
    <row r="19" customFormat="false" ht="11.1" hidden="false" customHeight="true" outlineLevel="0" collapsed="false">
      <c r="A19" s="60" t="n">
        <f aca="false">A18+1</f>
        <v>10</v>
      </c>
      <c r="B19" s="75" t="n">
        <v>6857.15</v>
      </c>
      <c r="C19" s="54" t="n">
        <v>156678</v>
      </c>
      <c r="D19" s="59" t="n">
        <f aca="false">C19-C18</f>
        <v>-222</v>
      </c>
      <c r="E19" s="54" t="n">
        <f aca="false">C19-152000</f>
        <v>4678</v>
      </c>
      <c r="F19" s="53" t="n">
        <f aca="false">D19/$D$2</f>
        <v>-111.92336778422</v>
      </c>
      <c r="G19" s="53" t="n">
        <v>81</v>
      </c>
      <c r="H19" s="193" t="n">
        <v>0</v>
      </c>
      <c r="I19" s="53" t="n">
        <f aca="false">G19+H19</f>
        <v>81</v>
      </c>
      <c r="J19" s="83" t="n">
        <f aca="false">IF(L19&gt;0,L19,0)</f>
        <v>21.9366322157802</v>
      </c>
      <c r="K19" s="53" t="n">
        <f aca="false">I19+J19</f>
        <v>102.93663221578</v>
      </c>
      <c r="L19" s="53" t="n">
        <f aca="false">F19-(I19-X19)</f>
        <v>21.9366322157802</v>
      </c>
      <c r="M19" s="53" t="n">
        <v>12</v>
      </c>
      <c r="N19" s="53" t="n">
        <v>10</v>
      </c>
      <c r="O19" s="53" t="n">
        <f aca="false">6.5*1.05</f>
        <v>6.825</v>
      </c>
      <c r="P19" s="6" t="n">
        <f aca="false">M19-(N19+O19)</f>
        <v>-4.825</v>
      </c>
      <c r="Q19" s="53" t="n">
        <v>175</v>
      </c>
      <c r="R19" s="53" t="n">
        <v>0</v>
      </c>
      <c r="S19" s="53" t="n">
        <f aca="false">SUM(P19:R19)</f>
        <v>170.175</v>
      </c>
      <c r="T19" s="54" t="n">
        <f aca="false">(I19-S19)+T18</f>
        <v>-9342.983</v>
      </c>
      <c r="U19" s="53" t="n">
        <v>14.86</v>
      </c>
      <c r="V19" s="53" t="n">
        <v>13</v>
      </c>
      <c r="W19" s="54" t="n">
        <f aca="false">W18-V19</f>
        <v>2699.778674061</v>
      </c>
      <c r="X19" s="6" t="n">
        <f aca="false">N19+O19+S19+U19+V19</f>
        <v>214.86</v>
      </c>
      <c r="Y19" s="53" t="n">
        <f aca="false">IF(L19&lt;0,L19*-1,0)</f>
        <v>0</v>
      </c>
      <c r="Z19" s="53" t="n">
        <f aca="false">X19+Y19</f>
        <v>214.86</v>
      </c>
      <c r="AA19" s="57" t="n">
        <v>0</v>
      </c>
      <c r="AB19" s="59" t="n">
        <v>70</v>
      </c>
      <c r="AC19" s="59" t="n">
        <v>38</v>
      </c>
      <c r="AD19" s="60" t="n">
        <f aca="false">AD18+1</f>
        <v>10</v>
      </c>
      <c r="AE19" s="188" t="n">
        <f aca="false">IF(I19&gt;S19,I19-S19,I19-S19)</f>
        <v>-89.175</v>
      </c>
      <c r="AF19" s="96"/>
      <c r="AG19" s="96"/>
    </row>
    <row r="20" customFormat="false" ht="11.1" hidden="false" customHeight="true" outlineLevel="0" collapsed="false">
      <c r="A20" s="60" t="n">
        <f aca="false">A19+1</f>
        <v>11</v>
      </c>
      <c r="B20" s="75" t="n">
        <v>6857.05</v>
      </c>
      <c r="C20" s="54" t="n">
        <v>156456</v>
      </c>
      <c r="D20" s="59" t="n">
        <f aca="false">C20-C19</f>
        <v>-222</v>
      </c>
      <c r="E20" s="54" t="n">
        <f aca="false">C20-152000</f>
        <v>4456</v>
      </c>
      <c r="F20" s="53" t="n">
        <f aca="false">D20/$D$2</f>
        <v>-111.92336778422</v>
      </c>
      <c r="G20" s="53" t="n">
        <v>77</v>
      </c>
      <c r="H20" s="193" t="n">
        <v>0</v>
      </c>
      <c r="I20" s="53" t="n">
        <f aca="false">G20+H20</f>
        <v>77</v>
      </c>
      <c r="J20" s="83" t="n">
        <f aca="false">IF(L20&gt;0,L20,0)</f>
        <v>0.256632215780201</v>
      </c>
      <c r="K20" s="53" t="n">
        <f aca="false">I20+J20</f>
        <v>77.2566322157802</v>
      </c>
      <c r="L20" s="53" t="n">
        <f aca="false">F20-(I20-X20)</f>
        <v>0.256632215780201</v>
      </c>
      <c r="M20" s="53" t="n">
        <v>4.8</v>
      </c>
      <c r="N20" s="53" t="n">
        <v>0</v>
      </c>
      <c r="O20" s="53" t="n">
        <f aca="false">5.05*1.05</f>
        <v>5.3025</v>
      </c>
      <c r="P20" s="6" t="n">
        <f aca="false">M20-(N20+O20)</f>
        <v>-0.5025</v>
      </c>
      <c r="Q20" s="53" t="n">
        <v>163</v>
      </c>
      <c r="R20" s="53" t="n">
        <v>0</v>
      </c>
      <c r="S20" s="53" t="n">
        <f aca="false">SUM(P20:R20)</f>
        <v>162.4975</v>
      </c>
      <c r="T20" s="54" t="n">
        <f aca="false">(I20-S20)+T19</f>
        <v>-9428.4805</v>
      </c>
      <c r="U20" s="53" t="n">
        <v>8.38</v>
      </c>
      <c r="V20" s="53" t="n">
        <v>13</v>
      </c>
      <c r="W20" s="54" t="n">
        <f aca="false">W19-V20</f>
        <v>2686.778674061</v>
      </c>
      <c r="X20" s="6" t="n">
        <f aca="false">N20+O20+S20+U20+V20</f>
        <v>189.18</v>
      </c>
      <c r="Y20" s="53" t="n">
        <f aca="false">IF(L20&lt;0,L20*-1,0)</f>
        <v>0</v>
      </c>
      <c r="Z20" s="53" t="n">
        <f aca="false">X20+Y20</f>
        <v>189.18</v>
      </c>
      <c r="AA20" s="57" t="n">
        <v>0</v>
      </c>
      <c r="AB20" s="59" t="n">
        <v>67</v>
      </c>
      <c r="AC20" s="59" t="n">
        <v>41</v>
      </c>
      <c r="AD20" s="60" t="n">
        <f aca="false">AD19+1</f>
        <v>11</v>
      </c>
      <c r="AE20" s="188" t="n">
        <f aca="false">IF(I20&gt;S20,I20-S20,I20-S20)</f>
        <v>-85.4975</v>
      </c>
      <c r="AF20" s="96"/>
      <c r="AG20" s="96"/>
      <c r="AH20" s="197"/>
      <c r="AI20" s="197"/>
      <c r="AJ20" s="197"/>
    </row>
    <row r="21" customFormat="false" ht="11.1" hidden="false" customHeight="true" outlineLevel="0" collapsed="false">
      <c r="A21" s="60" t="n">
        <f aca="false">A20+1</f>
        <v>12</v>
      </c>
      <c r="B21" s="75" t="n">
        <v>6856.95</v>
      </c>
      <c r="C21" s="54" t="n">
        <v>156236</v>
      </c>
      <c r="D21" s="59" t="n">
        <f aca="false">C21-C20</f>
        <v>-220</v>
      </c>
      <c r="E21" s="54" t="n">
        <f aca="false">C21-152000</f>
        <v>4236</v>
      </c>
      <c r="F21" s="53" t="n">
        <f aca="false">D21/$D$2</f>
        <v>-110.915049155533</v>
      </c>
      <c r="G21" s="53" t="n">
        <v>71</v>
      </c>
      <c r="H21" s="193" t="n">
        <v>0</v>
      </c>
      <c r="I21" s="53" t="n">
        <f aca="false">G21+H21</f>
        <v>71</v>
      </c>
      <c r="J21" s="83" t="n">
        <f aca="false">IF(L21&gt;0,L21,0)</f>
        <v>0</v>
      </c>
      <c r="K21" s="53" t="n">
        <f aca="false">I21+J21</f>
        <v>71</v>
      </c>
      <c r="L21" s="53" t="n">
        <f aca="false">F21-(I21-X21)</f>
        <v>-8.51504915553313</v>
      </c>
      <c r="M21" s="53" t="n">
        <v>4.4</v>
      </c>
      <c r="N21" s="53" t="n">
        <v>0</v>
      </c>
      <c r="O21" s="53" t="n">
        <f aca="false">1.7*1.05</f>
        <v>1.785</v>
      </c>
      <c r="P21" s="6" t="n">
        <f aca="false">M21-(N21+O21)</f>
        <v>2.615</v>
      </c>
      <c r="Q21" s="53" t="n">
        <v>156</v>
      </c>
      <c r="R21" s="53" t="n">
        <v>0</v>
      </c>
      <c r="S21" s="53" t="n">
        <f aca="false">SUM(P21:R21)</f>
        <v>158.615</v>
      </c>
      <c r="T21" s="54" t="n">
        <f aca="false">(I21-S21)+T20</f>
        <v>-9516.0955</v>
      </c>
      <c r="U21" s="53" t="n">
        <v>0</v>
      </c>
      <c r="V21" s="53" t="n">
        <v>13</v>
      </c>
      <c r="W21" s="54" t="n">
        <f aca="false">W20-V21</f>
        <v>2673.778674061</v>
      </c>
      <c r="X21" s="6" t="n">
        <f aca="false">N21+O21+S21+U21+V21</f>
        <v>173.4</v>
      </c>
      <c r="Y21" s="53" t="n">
        <f aca="false">IF(L21&lt;0,L21*-1,0)</f>
        <v>8.51504915553313</v>
      </c>
      <c r="Z21" s="53" t="n">
        <f aca="false">X21+Y21</f>
        <v>181.915049155533</v>
      </c>
      <c r="AA21" s="57" t="n">
        <v>0</v>
      </c>
      <c r="AB21" s="59" t="n">
        <v>68</v>
      </c>
      <c r="AC21" s="59" t="n">
        <v>42</v>
      </c>
      <c r="AD21" s="60" t="n">
        <f aca="false">AD20+1</f>
        <v>12</v>
      </c>
      <c r="AE21" s="188" t="n">
        <f aca="false">IF(I21&gt;S21,I21-S21,I21-S21)</f>
        <v>-87.615</v>
      </c>
      <c r="AF21" s="94"/>
      <c r="AG21" s="96"/>
    </row>
    <row r="22" customFormat="false" ht="11.1" hidden="false" customHeight="true" outlineLevel="0" collapsed="false">
      <c r="A22" s="60" t="n">
        <f aca="false">A21+1</f>
        <v>13</v>
      </c>
      <c r="B22" s="75" t="n">
        <v>6856.85</v>
      </c>
      <c r="C22" s="54" t="n">
        <v>156016</v>
      </c>
      <c r="D22" s="59" t="n">
        <f aca="false">C22-C21</f>
        <v>-220</v>
      </c>
      <c r="E22" s="54" t="n">
        <f aca="false">C22-152000</f>
        <v>4016</v>
      </c>
      <c r="F22" s="53" t="n">
        <f aca="false">D22/$D$2</f>
        <v>-110.915049155533</v>
      </c>
      <c r="G22" s="53" t="n">
        <v>70</v>
      </c>
      <c r="H22" s="193" t="n">
        <v>0</v>
      </c>
      <c r="I22" s="53" t="n">
        <f aca="false">G22+H22</f>
        <v>70</v>
      </c>
      <c r="J22" s="83" t="n">
        <f aca="false">IF(L22&gt;0,L22,0)</f>
        <v>0</v>
      </c>
      <c r="K22" s="53" t="n">
        <f aca="false">I22+J22</f>
        <v>70</v>
      </c>
      <c r="L22" s="53" t="n">
        <f aca="false">F22-(I22-X22)</f>
        <v>-17.5150491555331</v>
      </c>
      <c r="M22" s="53" t="n">
        <v>4.4</v>
      </c>
      <c r="N22" s="53" t="n">
        <v>0</v>
      </c>
      <c r="O22" s="53" t="n">
        <v>0</v>
      </c>
      <c r="P22" s="6" t="n">
        <f aca="false">M22-(N22+O22)</f>
        <v>4.4</v>
      </c>
      <c r="Q22" s="53" t="n">
        <v>146</v>
      </c>
      <c r="R22" s="53" t="n">
        <v>0</v>
      </c>
      <c r="S22" s="53" t="n">
        <f aca="false">SUM(P22:R22)</f>
        <v>150.4</v>
      </c>
      <c r="T22" s="54" t="n">
        <f aca="false">(I22-S22)+T21</f>
        <v>-9596.4955</v>
      </c>
      <c r="U22" s="53" t="n">
        <v>0</v>
      </c>
      <c r="V22" s="53" t="n">
        <v>13</v>
      </c>
      <c r="W22" s="54" t="n">
        <f aca="false">W21-V22</f>
        <v>2660.778674061</v>
      </c>
      <c r="X22" s="6" t="n">
        <f aca="false">N22+O22+S22+U22+V22</f>
        <v>163.4</v>
      </c>
      <c r="Y22" s="53" t="n">
        <f aca="false">IF(L22&lt;0,L22*-1,0)</f>
        <v>17.5150491555331</v>
      </c>
      <c r="Z22" s="53" t="n">
        <f aca="false">X22+Y22</f>
        <v>180.915049155533</v>
      </c>
      <c r="AA22" s="57" t="n">
        <v>0</v>
      </c>
      <c r="AB22" s="59" t="n">
        <v>64</v>
      </c>
      <c r="AC22" s="59" t="n">
        <v>37</v>
      </c>
      <c r="AD22" s="60" t="n">
        <f aca="false">AD21+1</f>
        <v>13</v>
      </c>
      <c r="AE22" s="188" t="n">
        <f aca="false">IF(I22&gt;S22,I22-S22,I22-S22)</f>
        <v>-80.4</v>
      </c>
      <c r="AF22" s="94"/>
      <c r="AG22" s="96"/>
    </row>
    <row r="23" customFormat="false" ht="11.1" hidden="false" customHeight="true" outlineLevel="0" collapsed="false">
      <c r="A23" s="60" t="n">
        <f aca="false">A22+1</f>
        <v>14</v>
      </c>
      <c r="B23" s="75" t="n">
        <v>6856.74</v>
      </c>
      <c r="C23" s="54" t="n">
        <v>155775</v>
      </c>
      <c r="D23" s="59" t="n">
        <f aca="false">C23-C22</f>
        <v>-241</v>
      </c>
      <c r="E23" s="54" t="n">
        <f aca="false">C23-152000</f>
        <v>3775</v>
      </c>
      <c r="F23" s="53" t="n">
        <f aca="false">D23/$D$2</f>
        <v>-121.502394756743</v>
      </c>
      <c r="G23" s="53" t="n">
        <v>68</v>
      </c>
      <c r="H23" s="193" t="n">
        <v>0</v>
      </c>
      <c r="I23" s="53" t="n">
        <f aca="false">G23+H23</f>
        <v>68</v>
      </c>
      <c r="J23" s="83" t="n">
        <f aca="false">IF(L23&gt;0,L23,0)</f>
        <v>0</v>
      </c>
      <c r="K23" s="53" t="n">
        <f aca="false">I23+J23</f>
        <v>68</v>
      </c>
      <c r="L23" s="53" t="n">
        <f aca="false">F23-(I23-X23)</f>
        <v>-35.1023947567431</v>
      </c>
      <c r="M23" s="53" t="n">
        <v>4.4</v>
      </c>
      <c r="N23" s="53" t="n">
        <v>0</v>
      </c>
      <c r="O23" s="53" t="n">
        <f aca="false">2.35*1.05</f>
        <v>2.4675</v>
      </c>
      <c r="P23" s="6" t="n">
        <f aca="false">M23-(N23+O23)</f>
        <v>1.9325</v>
      </c>
      <c r="Q23" s="53" t="n">
        <v>136</v>
      </c>
      <c r="R23" s="53" t="n">
        <v>0</v>
      </c>
      <c r="S23" s="53" t="n">
        <f aca="false">SUM(P23:R23)</f>
        <v>137.9325</v>
      </c>
      <c r="T23" s="54" t="n">
        <f aca="false">(I23-S23)+T22</f>
        <v>-9666.428</v>
      </c>
      <c r="U23" s="53" t="n">
        <v>0</v>
      </c>
      <c r="V23" s="53" t="n">
        <v>14</v>
      </c>
      <c r="W23" s="54" t="n">
        <f aca="false">W22-V23</f>
        <v>2646.778674061</v>
      </c>
      <c r="X23" s="6" t="n">
        <f aca="false">N23+O23+S23+U23+V23</f>
        <v>154.4</v>
      </c>
      <c r="Y23" s="53" t="n">
        <f aca="false">IF(L23&lt;0,L23*-1,0)</f>
        <v>35.1023947567431</v>
      </c>
      <c r="Z23" s="53" t="n">
        <f aca="false">X23+Y23</f>
        <v>189.502394756743</v>
      </c>
      <c r="AA23" s="57" t="n">
        <v>0</v>
      </c>
      <c r="AB23" s="84" t="n">
        <v>67</v>
      </c>
      <c r="AC23" s="59" t="n">
        <v>35</v>
      </c>
      <c r="AD23" s="60" t="n">
        <f aca="false">AD22+1</f>
        <v>14</v>
      </c>
      <c r="AE23" s="188" t="n">
        <f aca="false">IF(I23&gt;S23,I23-S23,I23-S23)</f>
        <v>-69.9325</v>
      </c>
      <c r="AF23" s="94"/>
      <c r="AG23" s="96"/>
    </row>
    <row r="24" customFormat="false" ht="11.1" hidden="false" customHeight="true" outlineLevel="0" collapsed="false">
      <c r="A24" s="60" t="n">
        <f aca="false">A23+1</f>
        <v>15</v>
      </c>
      <c r="B24" s="75" t="n">
        <v>6856.65</v>
      </c>
      <c r="C24" s="54" t="n">
        <v>155577</v>
      </c>
      <c r="D24" s="59" t="n">
        <f aca="false">C24-C23</f>
        <v>-198</v>
      </c>
      <c r="E24" s="54" t="n">
        <f aca="false">C24-152000</f>
        <v>3577</v>
      </c>
      <c r="F24" s="53" t="n">
        <f aca="false">D24/$D$2</f>
        <v>-99.8235442399798</v>
      </c>
      <c r="G24" s="53" t="n">
        <v>65</v>
      </c>
      <c r="H24" s="193" t="n">
        <v>0</v>
      </c>
      <c r="I24" s="53" t="n">
        <f aca="false">G24+H24</f>
        <v>65</v>
      </c>
      <c r="J24" s="83" t="n">
        <f aca="false">IF(L24&gt;0,L24,0)</f>
        <v>0</v>
      </c>
      <c r="K24" s="53" t="n">
        <f aca="false">I24+J24</f>
        <v>65</v>
      </c>
      <c r="L24" s="53" t="n">
        <f aca="false">F24-(I24-X24)</f>
        <v>-18.5235442399798</v>
      </c>
      <c r="M24" s="53" t="n">
        <v>4.3</v>
      </c>
      <c r="N24" s="53" t="n">
        <v>0</v>
      </c>
      <c r="O24" s="53" t="n">
        <f aca="false">2.47*1.05</f>
        <v>2.5935</v>
      </c>
      <c r="P24" s="6" t="n">
        <f aca="false">M24-(N24+O24)</f>
        <v>1.7065</v>
      </c>
      <c r="Q24" s="53" t="n">
        <v>128</v>
      </c>
      <c r="R24" s="53" t="n">
        <v>0</v>
      </c>
      <c r="S24" s="53" t="n">
        <f aca="false">SUM(P24:R24)</f>
        <v>129.7065</v>
      </c>
      <c r="T24" s="54" t="n">
        <f aca="false">(I24-S24)+T23</f>
        <v>-9731.1345</v>
      </c>
      <c r="U24" s="53" t="n">
        <v>0</v>
      </c>
      <c r="V24" s="53" t="n">
        <v>14</v>
      </c>
      <c r="W24" s="54" t="n">
        <f aca="false">W23-V24</f>
        <v>2632.778674061</v>
      </c>
      <c r="X24" s="6" t="n">
        <f aca="false">N24+O24+S24+U24+V24</f>
        <v>146.3</v>
      </c>
      <c r="Y24" s="53" t="n">
        <f aca="false">IF(L24&lt;0,L24*-1,0)</f>
        <v>18.5235442399798</v>
      </c>
      <c r="Z24" s="53" t="n">
        <f aca="false">X24+Y24</f>
        <v>164.82354423998</v>
      </c>
      <c r="AA24" s="57" t="n">
        <v>0</v>
      </c>
      <c r="AB24" s="84" t="n">
        <v>66</v>
      </c>
      <c r="AC24" s="59" t="n">
        <v>33</v>
      </c>
      <c r="AD24" s="60" t="n">
        <f aca="false">AD23+1</f>
        <v>15</v>
      </c>
      <c r="AE24" s="188" t="n">
        <f aca="false">IF(I24&gt;S24,I24-S24,I24-S24)</f>
        <v>-64.7065</v>
      </c>
      <c r="AF24" s="94"/>
      <c r="AG24" s="96"/>
    </row>
    <row r="25" customFormat="false" ht="11.1" hidden="false" customHeight="true" outlineLevel="0" collapsed="false">
      <c r="A25" s="60" t="n">
        <f aca="false">A24+1</f>
        <v>16</v>
      </c>
      <c r="B25" s="75" t="n">
        <v>6856.63</v>
      </c>
      <c r="C25" s="54" t="n">
        <v>155533</v>
      </c>
      <c r="D25" s="59" t="n">
        <f aca="false">C25-C24</f>
        <v>-44</v>
      </c>
      <c r="E25" s="54" t="n">
        <f aca="false">C25-152000</f>
        <v>3533</v>
      </c>
      <c r="F25" s="53" t="n">
        <f aca="false">D25/$D$2</f>
        <v>-22.1830098311066</v>
      </c>
      <c r="G25" s="53" t="n">
        <v>58</v>
      </c>
      <c r="H25" s="193" t="n">
        <v>0</v>
      </c>
      <c r="I25" s="53" t="n">
        <f aca="false">G25+H25</f>
        <v>58</v>
      </c>
      <c r="J25" s="83" t="n">
        <f aca="false">IF(L25&gt;0,L25,0)</f>
        <v>16.9169901688934</v>
      </c>
      <c r="K25" s="53" t="n">
        <f aca="false">I25+J25</f>
        <v>74.9169901688934</v>
      </c>
      <c r="L25" s="53" t="n">
        <f aca="false">F25-(I25-X25)</f>
        <v>16.9169901688934</v>
      </c>
      <c r="M25" s="53" t="n">
        <v>4.1</v>
      </c>
      <c r="N25" s="53" t="n">
        <v>0</v>
      </c>
      <c r="O25" s="53" t="n">
        <f aca="false">3.68*1.05</f>
        <v>3.864</v>
      </c>
      <c r="P25" s="6" t="n">
        <f aca="false">M25-(N25+O25)</f>
        <v>0.235999999999999</v>
      </c>
      <c r="Q25" s="53" t="n">
        <v>79</v>
      </c>
      <c r="R25" s="53" t="n">
        <v>0</v>
      </c>
      <c r="S25" s="53" t="n">
        <f aca="false">SUM(P25:R25)</f>
        <v>79.236</v>
      </c>
      <c r="T25" s="54" t="n">
        <f aca="false">(I25-S25)+T24</f>
        <v>-9752.3705</v>
      </c>
      <c r="U25" s="53" t="n">
        <v>0</v>
      </c>
      <c r="V25" s="53" t="n">
        <v>14</v>
      </c>
      <c r="W25" s="54" t="n">
        <f aca="false">W24-V25</f>
        <v>2618.778674061</v>
      </c>
      <c r="X25" s="6" t="n">
        <f aca="false">N25+O25+S25+U25+V25</f>
        <v>97.1</v>
      </c>
      <c r="Y25" s="53" t="n">
        <f aca="false">IF(L25&lt;0,L25*-1,0)</f>
        <v>0</v>
      </c>
      <c r="Z25" s="53" t="n">
        <f aca="false">X25+Y25</f>
        <v>97.1</v>
      </c>
      <c r="AA25" s="57" t="n">
        <v>0</v>
      </c>
      <c r="AB25" s="84" t="n">
        <v>68</v>
      </c>
      <c r="AC25" s="59" t="n">
        <v>32</v>
      </c>
      <c r="AD25" s="60" t="n">
        <f aca="false">AD24+1</f>
        <v>16</v>
      </c>
      <c r="AE25" s="188" t="n">
        <f aca="false">IF(I25&gt;S25,I25-S25,I25-S25)</f>
        <v>-21.236</v>
      </c>
      <c r="AF25" s="94"/>
      <c r="AG25" s="96"/>
    </row>
    <row r="26" customFormat="false" ht="11.1" hidden="false" customHeight="true" outlineLevel="0" collapsed="false">
      <c r="A26" s="60" t="n">
        <f aca="false">A25+1</f>
        <v>17</v>
      </c>
      <c r="B26" s="75" t="n">
        <v>6856.61</v>
      </c>
      <c r="C26" s="54" t="n">
        <v>155489</v>
      </c>
      <c r="D26" s="59" t="n">
        <f aca="false">C26-C25</f>
        <v>-44</v>
      </c>
      <c r="E26" s="54" t="n">
        <f aca="false">C26-152000</f>
        <v>3489</v>
      </c>
      <c r="F26" s="53" t="n">
        <f aca="false">D26/$D$2</f>
        <v>-22.1830098311066</v>
      </c>
      <c r="G26" s="53" t="n">
        <v>58</v>
      </c>
      <c r="H26" s="193" t="n">
        <v>0</v>
      </c>
      <c r="I26" s="53" t="n">
        <f aca="false">G26+H26</f>
        <v>58</v>
      </c>
      <c r="J26" s="83" t="n">
        <f aca="false">IF(L26&gt;0,L26,0)</f>
        <v>0</v>
      </c>
      <c r="K26" s="53" t="n">
        <f aca="false">I26+J26</f>
        <v>58</v>
      </c>
      <c r="L26" s="53" t="n">
        <f aca="false">F26-(I26-X26)</f>
        <v>-7.08300983110664</v>
      </c>
      <c r="M26" s="53" t="n">
        <v>4.1</v>
      </c>
      <c r="N26" s="53" t="n">
        <v>0</v>
      </c>
      <c r="O26" s="53" t="n">
        <v>0</v>
      </c>
      <c r="P26" s="6" t="n">
        <f aca="false">M26-(N26+O26)</f>
        <v>4.1</v>
      </c>
      <c r="Q26" s="53" t="n">
        <v>55</v>
      </c>
      <c r="R26" s="53" t="n">
        <v>0</v>
      </c>
      <c r="S26" s="53" t="n">
        <f aca="false">SUM(P26:R26)</f>
        <v>59.1</v>
      </c>
      <c r="T26" s="54" t="n">
        <f aca="false">(I26-S26)+T25</f>
        <v>-9753.4705</v>
      </c>
      <c r="U26" s="53" t="n">
        <v>0</v>
      </c>
      <c r="V26" s="53" t="n">
        <v>14</v>
      </c>
      <c r="W26" s="54" t="n">
        <f aca="false">W25-V26</f>
        <v>2604.778674061</v>
      </c>
      <c r="X26" s="6" t="n">
        <f aca="false">N26+O26+S26+U26+V26</f>
        <v>73.1</v>
      </c>
      <c r="Y26" s="53" t="n">
        <f aca="false">IF(L26&lt;0,L26*-1,0)</f>
        <v>7.08300983110664</v>
      </c>
      <c r="Z26" s="53" t="n">
        <f aca="false">X26+Y26</f>
        <v>80.1830098311066</v>
      </c>
      <c r="AA26" s="57" t="n">
        <v>0</v>
      </c>
      <c r="AB26" s="84" t="n">
        <v>64</v>
      </c>
      <c r="AC26" s="59" t="n">
        <v>35</v>
      </c>
      <c r="AD26" s="60" t="n">
        <f aca="false">AD25+1</f>
        <v>17</v>
      </c>
      <c r="AE26" s="188" t="n">
        <v>0</v>
      </c>
      <c r="AF26" s="94"/>
      <c r="AG26" s="96"/>
    </row>
    <row r="27" customFormat="false" ht="11.1" hidden="false" customHeight="true" outlineLevel="0" collapsed="false">
      <c r="A27" s="60" t="n">
        <f aca="false">A26+1</f>
        <v>18</v>
      </c>
      <c r="B27" s="75" t="n">
        <v>6856.59</v>
      </c>
      <c r="C27" s="54" t="n">
        <v>155446</v>
      </c>
      <c r="D27" s="59" t="n">
        <f aca="false">C27-C26</f>
        <v>-43</v>
      </c>
      <c r="E27" s="54" t="n">
        <f aca="false">C27-152000</f>
        <v>3446</v>
      </c>
      <c r="F27" s="53" t="n">
        <f aca="false">D27/$D$2</f>
        <v>-21.6788505167633</v>
      </c>
      <c r="G27" s="53" t="n">
        <v>59</v>
      </c>
      <c r="H27" s="193" t="n">
        <v>0</v>
      </c>
      <c r="I27" s="53" t="n">
        <f aca="false">G27+H27</f>
        <v>59</v>
      </c>
      <c r="J27" s="83" t="n">
        <f aca="false">IF(L27&gt;0,L27,0)</f>
        <v>0</v>
      </c>
      <c r="K27" s="53" t="n">
        <f aca="false">I27+J27</f>
        <v>59</v>
      </c>
      <c r="L27" s="53" t="n">
        <f aca="false">F27-(I27-X27)</f>
        <v>-9.5788505167633</v>
      </c>
      <c r="M27" s="53" t="n">
        <v>4.1</v>
      </c>
      <c r="N27" s="53" t="n">
        <v>0</v>
      </c>
      <c r="O27" s="53" t="n">
        <v>0</v>
      </c>
      <c r="P27" s="6" t="n">
        <f aca="false">M27-(N27+O27)</f>
        <v>4.1</v>
      </c>
      <c r="Q27" s="53" t="n">
        <v>53</v>
      </c>
      <c r="R27" s="53" t="n">
        <v>0</v>
      </c>
      <c r="S27" s="53" t="n">
        <f aca="false">SUM(P27:R27)</f>
        <v>57.1</v>
      </c>
      <c r="T27" s="54" t="n">
        <f aca="false">(I27-S27)+T26</f>
        <v>-9751.5705</v>
      </c>
      <c r="U27" s="53" t="n">
        <v>0</v>
      </c>
      <c r="V27" s="53" t="n">
        <v>14</v>
      </c>
      <c r="W27" s="54" t="n">
        <f aca="false">W26-V27</f>
        <v>2590.778674061</v>
      </c>
      <c r="X27" s="6" t="n">
        <f aca="false">N27+O27+S27+U27+V27</f>
        <v>71.1</v>
      </c>
      <c r="Y27" s="53" t="n">
        <f aca="false">IF(L27&lt;0,L27*-1,0)</f>
        <v>9.5788505167633</v>
      </c>
      <c r="Z27" s="53" t="n">
        <f aca="false">X27+Y27</f>
        <v>80.6788505167633</v>
      </c>
      <c r="AA27" s="57" t="n">
        <v>0</v>
      </c>
      <c r="AB27" s="84" t="n">
        <v>64</v>
      </c>
      <c r="AC27" s="59" t="n">
        <v>37</v>
      </c>
      <c r="AD27" s="60" t="n">
        <f aca="false">AD26+1</f>
        <v>18</v>
      </c>
      <c r="AE27" s="188" t="n">
        <v>0</v>
      </c>
      <c r="AF27" s="94"/>
      <c r="AG27" s="96"/>
    </row>
    <row r="28" customFormat="false" ht="11.1" hidden="false" customHeight="true" outlineLevel="0" collapsed="false">
      <c r="A28" s="60" t="n">
        <f aca="false">A27+1</f>
        <v>19</v>
      </c>
      <c r="B28" s="75" t="n">
        <v>6856.57</v>
      </c>
      <c r="C28" s="101" t="n">
        <v>155402</v>
      </c>
      <c r="D28" s="59" t="n">
        <f aca="false">C28-C27</f>
        <v>-44</v>
      </c>
      <c r="E28" s="54" t="n">
        <f aca="false">C28-152000</f>
        <v>3402</v>
      </c>
      <c r="F28" s="53" t="n">
        <f aca="false">D28/$D$2</f>
        <v>-22.1830098311066</v>
      </c>
      <c r="G28" s="53" t="n">
        <v>57</v>
      </c>
      <c r="H28" s="193" t="n">
        <v>0</v>
      </c>
      <c r="I28" s="53" t="n">
        <f aca="false">G28+H28</f>
        <v>57</v>
      </c>
      <c r="J28" s="83" t="n">
        <f aca="false">IF(L28&gt;0,L28,0)</f>
        <v>0</v>
      </c>
      <c r="K28" s="53" t="n">
        <f aca="false">I28+J28</f>
        <v>57</v>
      </c>
      <c r="L28" s="53" t="n">
        <f aca="false">F28-(I28-X28)</f>
        <v>-7.08300983110664</v>
      </c>
      <c r="M28" s="53" t="n">
        <v>4.1</v>
      </c>
      <c r="N28" s="53" t="n">
        <v>0</v>
      </c>
      <c r="O28" s="53" t="n">
        <v>0</v>
      </c>
      <c r="P28" s="6" t="n">
        <f aca="false">M28-(N28+O28)</f>
        <v>4.1</v>
      </c>
      <c r="Q28" s="53" t="n">
        <v>54</v>
      </c>
      <c r="R28" s="53" t="n">
        <v>0</v>
      </c>
      <c r="S28" s="53" t="n">
        <f aca="false">SUM(P28:R28)</f>
        <v>58.1</v>
      </c>
      <c r="T28" s="54" t="n">
        <f aca="false">(I28-S28)+T27</f>
        <v>-9752.6705</v>
      </c>
      <c r="U28" s="53" t="n">
        <v>0</v>
      </c>
      <c r="V28" s="53" t="n">
        <v>14</v>
      </c>
      <c r="W28" s="54" t="n">
        <f aca="false">W27-V28</f>
        <v>2576.778674061</v>
      </c>
      <c r="X28" s="6" t="n">
        <f aca="false">N28+O28+S28+U28+V28</f>
        <v>72.1</v>
      </c>
      <c r="Y28" s="53" t="n">
        <f aca="false">IF(L28&lt;0,L28*-1,0)</f>
        <v>7.08300983110664</v>
      </c>
      <c r="Z28" s="53" t="n">
        <f aca="false">X28+Y28</f>
        <v>79.1830098311066</v>
      </c>
      <c r="AA28" s="57" t="n">
        <v>0</v>
      </c>
      <c r="AB28" s="84" t="n">
        <v>64</v>
      </c>
      <c r="AC28" s="59" t="n">
        <v>35</v>
      </c>
      <c r="AD28" s="60" t="n">
        <f aca="false">AD27+1</f>
        <v>19</v>
      </c>
      <c r="AE28" s="188" t="n">
        <v>0</v>
      </c>
      <c r="AF28" s="94"/>
      <c r="AG28" s="96"/>
    </row>
    <row r="29" customFormat="false" ht="11.1" hidden="false" customHeight="true" outlineLevel="0" collapsed="false">
      <c r="A29" s="60" t="n">
        <f aca="false">A28+1</f>
        <v>20</v>
      </c>
      <c r="B29" s="75" t="n">
        <v>6856.55</v>
      </c>
      <c r="C29" s="54" t="n">
        <v>155358</v>
      </c>
      <c r="D29" s="59" t="n">
        <f aca="false">C29-C28</f>
        <v>-44</v>
      </c>
      <c r="E29" s="54" t="n">
        <f aca="false">C29-152000</f>
        <v>3358</v>
      </c>
      <c r="F29" s="53" t="n">
        <f aca="false">D29/$D$2</f>
        <v>-22.1830098311066</v>
      </c>
      <c r="G29" s="53" t="n">
        <v>54</v>
      </c>
      <c r="H29" s="193" t="n">
        <v>0</v>
      </c>
      <c r="I29" s="53" t="n">
        <f aca="false">G29+H29</f>
        <v>54</v>
      </c>
      <c r="J29" s="83" t="n">
        <f aca="false">IF(L29&gt;0,L29,0)</f>
        <v>0</v>
      </c>
      <c r="K29" s="53" t="n">
        <f aca="false">I29+J29</f>
        <v>54</v>
      </c>
      <c r="L29" s="53" t="n">
        <f aca="false">F29-(I29-X29)</f>
        <v>-4.08300983110664</v>
      </c>
      <c r="M29" s="53" t="n">
        <v>4.1</v>
      </c>
      <c r="N29" s="53" t="n">
        <v>0</v>
      </c>
      <c r="O29" s="53" t="n">
        <v>0</v>
      </c>
      <c r="P29" s="6" t="n">
        <f aca="false">M29-(N29+O29)</f>
        <v>4.1</v>
      </c>
      <c r="Q29" s="53" t="n">
        <v>54</v>
      </c>
      <c r="R29" s="53" t="n">
        <v>0</v>
      </c>
      <c r="S29" s="53" t="n">
        <f aca="false">SUM(P29:R29)</f>
        <v>58.1</v>
      </c>
      <c r="T29" s="54" t="n">
        <f aca="false">(I29-S29)+T28</f>
        <v>-9756.7705</v>
      </c>
      <c r="U29" s="53" t="n">
        <v>0</v>
      </c>
      <c r="V29" s="53" t="n">
        <v>14</v>
      </c>
      <c r="W29" s="54" t="n">
        <f aca="false">W28-V29</f>
        <v>2562.778674061</v>
      </c>
      <c r="X29" s="6" t="n">
        <f aca="false">N29+O29+S29+U29+V29</f>
        <v>72.1</v>
      </c>
      <c r="Y29" s="53" t="n">
        <f aca="false">IF(L29&lt;0,L29*-1,0)</f>
        <v>4.08300983110664</v>
      </c>
      <c r="Z29" s="53" t="n">
        <f aca="false">X29+Y29</f>
        <v>76.1830098311066</v>
      </c>
      <c r="AA29" s="57" t="n">
        <v>0</v>
      </c>
      <c r="AB29" s="84" t="n">
        <v>63</v>
      </c>
      <c r="AC29" s="59" t="n">
        <v>34</v>
      </c>
      <c r="AD29" s="60" t="n">
        <f aca="false">AD28+1</f>
        <v>20</v>
      </c>
      <c r="AE29" s="188" t="n">
        <v>0</v>
      </c>
      <c r="AF29" s="94"/>
      <c r="AG29" s="96"/>
    </row>
    <row r="30" customFormat="false" ht="11.1" hidden="false" customHeight="true" outlineLevel="0" collapsed="false">
      <c r="A30" s="60" t="n">
        <f aca="false">A29+1</f>
        <v>21</v>
      </c>
      <c r="B30" s="75" t="n">
        <v>6856.57</v>
      </c>
      <c r="C30" s="54" t="n">
        <v>155402</v>
      </c>
      <c r="D30" s="59" t="n">
        <f aca="false">C30-C29</f>
        <v>44</v>
      </c>
      <c r="E30" s="54" t="n">
        <f aca="false">C30-152000</f>
        <v>3402</v>
      </c>
      <c r="F30" s="53" t="n">
        <f aca="false">D30/$D$2</f>
        <v>22.1830098311066</v>
      </c>
      <c r="G30" s="53" t="n">
        <v>52</v>
      </c>
      <c r="H30" s="193" t="n">
        <v>0</v>
      </c>
      <c r="I30" s="53" t="n">
        <f aca="false">G30+H30</f>
        <v>52</v>
      </c>
      <c r="J30" s="83" t="n">
        <f aca="false">IF(L30&gt;0,L30,0)</f>
        <v>5.28300983110663</v>
      </c>
      <c r="K30" s="53" t="n">
        <f aca="false">I30+J30</f>
        <v>57.2830098311066</v>
      </c>
      <c r="L30" s="53" t="n">
        <f aca="false">F30-(I30-X30)</f>
        <v>5.28300983110663</v>
      </c>
      <c r="M30" s="53" t="n">
        <v>4.1</v>
      </c>
      <c r="N30" s="53" t="n">
        <v>0</v>
      </c>
      <c r="O30" s="53" t="n">
        <v>0</v>
      </c>
      <c r="P30" s="6" t="n">
        <f aca="false">M30-(N30+O30)</f>
        <v>4.1</v>
      </c>
      <c r="Q30" s="53" t="n">
        <v>17</v>
      </c>
      <c r="R30" s="53" t="n">
        <v>0</v>
      </c>
      <c r="S30" s="53" t="n">
        <f aca="false">SUM(P30:R30)</f>
        <v>21.1</v>
      </c>
      <c r="T30" s="54" t="n">
        <f aca="false">(I30-S30)+T29</f>
        <v>-9725.8705</v>
      </c>
      <c r="U30" s="53" t="n">
        <v>0</v>
      </c>
      <c r="V30" s="53" t="n">
        <v>14</v>
      </c>
      <c r="W30" s="54" t="n">
        <f aca="false">W29-V30</f>
        <v>2548.778674061</v>
      </c>
      <c r="X30" s="6" t="n">
        <f aca="false">N30+O30+S30+U30+V30</f>
        <v>35.1</v>
      </c>
      <c r="Y30" s="53" t="n">
        <f aca="false">IF(L30&lt;0,L30*-1,0)</f>
        <v>0</v>
      </c>
      <c r="Z30" s="53" t="n">
        <f aca="false">X30+Y30</f>
        <v>35.1</v>
      </c>
      <c r="AA30" s="57" t="n">
        <v>0</v>
      </c>
      <c r="AB30" s="59" t="n">
        <v>62</v>
      </c>
      <c r="AC30" s="59" t="n">
        <v>33</v>
      </c>
      <c r="AD30" s="60" t="n">
        <f aca="false">AD29+1</f>
        <v>21</v>
      </c>
      <c r="AE30" s="188" t="n">
        <v>0</v>
      </c>
      <c r="AF30" s="94"/>
      <c r="AG30" s="96"/>
    </row>
    <row r="31" customFormat="false" ht="11.1" hidden="false" customHeight="true" outlineLevel="0" collapsed="false">
      <c r="A31" s="60" t="n">
        <f aca="false">A30+1</f>
        <v>22</v>
      </c>
      <c r="B31" s="75" t="n">
        <v>6856.6</v>
      </c>
      <c r="C31" s="54" t="n">
        <v>155467</v>
      </c>
      <c r="D31" s="59" t="n">
        <f aca="false">C31-C30</f>
        <v>65</v>
      </c>
      <c r="E31" s="54" t="n">
        <f aca="false">C31-152000</f>
        <v>3467</v>
      </c>
      <c r="F31" s="53" t="n">
        <f aca="false">D31/$D$2</f>
        <v>32.7703554323166</v>
      </c>
      <c r="G31" s="53" t="n">
        <v>52</v>
      </c>
      <c r="H31" s="193" t="n">
        <v>0</v>
      </c>
      <c r="I31" s="53" t="n">
        <f aca="false">G31+H31</f>
        <v>52</v>
      </c>
      <c r="J31" s="83" t="n">
        <f aca="false">IF(L31&gt;0,L31,0)</f>
        <v>0</v>
      </c>
      <c r="K31" s="53" t="n">
        <f aca="false">I31+J31</f>
        <v>52</v>
      </c>
      <c r="L31" s="53" t="n">
        <f aca="false">F31-(I31-X31)</f>
        <v>-1.02964456768338</v>
      </c>
      <c r="M31" s="53" t="n">
        <v>4.2</v>
      </c>
      <c r="N31" s="53" t="n">
        <v>0</v>
      </c>
      <c r="O31" s="53" t="n">
        <f aca="false">0.16*1.05</f>
        <v>0.168</v>
      </c>
      <c r="P31" s="6" t="n">
        <f aca="false">M31-(N31+O31)</f>
        <v>4.032</v>
      </c>
      <c r="Q31" s="53" t="n">
        <v>0</v>
      </c>
      <c r="R31" s="53" t="n">
        <v>0</v>
      </c>
      <c r="S31" s="53" t="n">
        <f aca="false">SUM(P31:R31)</f>
        <v>4.032</v>
      </c>
      <c r="T31" s="54" t="n">
        <f aca="false">(I31-S31)+T30</f>
        <v>-9677.9025</v>
      </c>
      <c r="U31" s="53" t="n">
        <v>0</v>
      </c>
      <c r="V31" s="53" t="n">
        <v>14</v>
      </c>
      <c r="W31" s="54" t="n">
        <f aca="false">W30-V31</f>
        <v>2534.778674061</v>
      </c>
      <c r="X31" s="6" t="n">
        <f aca="false">N31+O31+S31+U31+V31</f>
        <v>18.2</v>
      </c>
      <c r="Y31" s="53" t="n">
        <f aca="false">IF(L31&lt;0,L31*-1,0)</f>
        <v>1.02964456768338</v>
      </c>
      <c r="Z31" s="53" t="n">
        <f aca="false">X31+Y31</f>
        <v>19.2296445676834</v>
      </c>
      <c r="AA31" s="57" t="n">
        <v>0.03</v>
      </c>
      <c r="AB31" s="59" t="n">
        <v>59</v>
      </c>
      <c r="AC31" s="59" t="n">
        <v>39</v>
      </c>
      <c r="AD31" s="60" t="n">
        <f aca="false">AD30+1</f>
        <v>22</v>
      </c>
      <c r="AE31" s="188" t="n">
        <v>0</v>
      </c>
      <c r="AF31" s="94"/>
      <c r="AG31" s="96"/>
      <c r="AH31" s="197"/>
      <c r="AI31" s="197"/>
      <c r="AJ31" s="197"/>
    </row>
    <row r="32" customFormat="false" ht="11.1" hidden="false" customHeight="true" outlineLevel="0" collapsed="false">
      <c r="A32" s="60" t="n">
        <f aca="false">A31+1</f>
        <v>23</v>
      </c>
      <c r="B32" s="75" t="n">
        <v>6856.7</v>
      </c>
      <c r="C32" s="54" t="n">
        <v>155687</v>
      </c>
      <c r="D32" s="59" t="n">
        <f aca="false">C32-C31</f>
        <v>220</v>
      </c>
      <c r="E32" s="54" t="n">
        <f aca="false">C32-152000</f>
        <v>3687</v>
      </c>
      <c r="F32" s="53" t="n">
        <f aca="false">D32/$D$2</f>
        <v>110.915049155533</v>
      </c>
      <c r="G32" s="53" t="n">
        <v>63</v>
      </c>
      <c r="H32" s="193" t="n">
        <v>0</v>
      </c>
      <c r="I32" s="53" t="n">
        <f aca="false">G32+H32</f>
        <v>63</v>
      </c>
      <c r="J32" s="83" t="n">
        <f aca="false">IF(L32&gt;0,L32,0)</f>
        <v>66.3150491555331</v>
      </c>
      <c r="K32" s="53" t="n">
        <f aca="false">I32+J32</f>
        <v>129.315049155533</v>
      </c>
      <c r="L32" s="53" t="n">
        <f aca="false">F32-(I32-X32)</f>
        <v>66.3150491555331</v>
      </c>
      <c r="M32" s="53" t="n">
        <v>4.4</v>
      </c>
      <c r="N32" s="53" t="n">
        <v>0</v>
      </c>
      <c r="O32" s="53" t="n">
        <f aca="false">4.14*1.05</f>
        <v>4.347</v>
      </c>
      <c r="P32" s="6" t="n">
        <f aca="false">M32-(N32+O32)</f>
        <v>0.0530000000000008</v>
      </c>
      <c r="Q32" s="53" t="n">
        <v>0</v>
      </c>
      <c r="R32" s="53" t="n">
        <v>0</v>
      </c>
      <c r="S32" s="53" t="n">
        <f aca="false">SUM(P32:R32)</f>
        <v>0.0530000000000008</v>
      </c>
      <c r="T32" s="54" t="n">
        <f aca="false">(I32-S32)+T31</f>
        <v>-9614.9555</v>
      </c>
      <c r="U32" s="53" t="n">
        <v>0</v>
      </c>
      <c r="V32" s="53" t="n">
        <v>14</v>
      </c>
      <c r="W32" s="54" t="n">
        <f aca="false">W31-V32</f>
        <v>2520.778674061</v>
      </c>
      <c r="X32" s="6" t="n">
        <f aca="false">N32+O32+S32+U32+V32</f>
        <v>18.4</v>
      </c>
      <c r="Y32" s="53" t="n">
        <f aca="false">IF(L32&lt;0,L32*-1,0)</f>
        <v>0</v>
      </c>
      <c r="Z32" s="53" t="n">
        <f aca="false">X32+Y32</f>
        <v>18.4</v>
      </c>
      <c r="AA32" s="57" t="n">
        <v>0.3</v>
      </c>
      <c r="AB32" s="59" t="n">
        <v>53</v>
      </c>
      <c r="AC32" s="84" t="n">
        <v>37</v>
      </c>
      <c r="AD32" s="60" t="n">
        <f aca="false">AD31+1</f>
        <v>23</v>
      </c>
      <c r="AE32" s="188" t="n">
        <v>0</v>
      </c>
      <c r="AF32" s="94"/>
      <c r="AG32" s="96"/>
    </row>
    <row r="33" customFormat="false" ht="11.1" hidden="false" customHeight="true" outlineLevel="0" collapsed="false">
      <c r="A33" s="60" t="n">
        <f aca="false">A32+1</f>
        <v>24</v>
      </c>
      <c r="B33" s="75" t="n">
        <v>6856.81</v>
      </c>
      <c r="C33" s="54" t="n">
        <v>155928</v>
      </c>
      <c r="D33" s="59" t="n">
        <f aca="false">C33-C32</f>
        <v>241</v>
      </c>
      <c r="E33" s="54" t="n">
        <f aca="false">C33-152000</f>
        <v>3928</v>
      </c>
      <c r="F33" s="53" t="n">
        <f aca="false">D33/$D$2</f>
        <v>121.502394756743</v>
      </c>
      <c r="G33" s="53" t="n">
        <v>73</v>
      </c>
      <c r="H33" s="193" t="n">
        <v>0</v>
      </c>
      <c r="I33" s="53" t="n">
        <f aca="false">G33+H33</f>
        <v>73</v>
      </c>
      <c r="J33" s="83" t="n">
        <f aca="false">IF(L33&gt;0,L33,0)</f>
        <v>66.7023947567431</v>
      </c>
      <c r="K33" s="53" t="n">
        <f aca="false">I33+J33</f>
        <v>139.702394756743</v>
      </c>
      <c r="L33" s="53" t="n">
        <f aca="false">F33-(I33-X33)</f>
        <v>66.7023947567431</v>
      </c>
      <c r="M33" s="53" t="n">
        <v>4.2</v>
      </c>
      <c r="N33" s="53" t="n">
        <v>0</v>
      </c>
      <c r="O33" s="53" t="n">
        <v>0</v>
      </c>
      <c r="P33" s="6" t="n">
        <f aca="false">M33-(N33+O33)</f>
        <v>4.2</v>
      </c>
      <c r="Q33" s="53" t="n">
        <v>0</v>
      </c>
      <c r="R33" s="53" t="n">
        <v>0</v>
      </c>
      <c r="S33" s="53" t="n">
        <f aca="false">SUM(P33:R33)</f>
        <v>4.2</v>
      </c>
      <c r="T33" s="54" t="n">
        <f aca="false">(I33-S33)+T32</f>
        <v>-9546.1555</v>
      </c>
      <c r="U33" s="53" t="n">
        <v>0</v>
      </c>
      <c r="V33" s="53" t="n">
        <v>14</v>
      </c>
      <c r="W33" s="54" t="n">
        <f aca="false">W32-V33</f>
        <v>2506.778674061</v>
      </c>
      <c r="X33" s="6" t="n">
        <f aca="false">N33+O33+S33+U33+V33</f>
        <v>18.2</v>
      </c>
      <c r="Y33" s="53" t="n">
        <f aca="false">IF(L33&lt;0,L33*-1,0)</f>
        <v>0</v>
      </c>
      <c r="Z33" s="53" t="n">
        <f aca="false">X33+Y33</f>
        <v>18.2</v>
      </c>
      <c r="AA33" s="57" t="n">
        <v>0.74</v>
      </c>
      <c r="AB33" s="59" t="n">
        <v>49</v>
      </c>
      <c r="AC33" s="84" t="n">
        <v>33</v>
      </c>
      <c r="AD33" s="60" t="n">
        <f aca="false">AD32+1</f>
        <v>24</v>
      </c>
      <c r="AE33" s="188" t="n">
        <v>0</v>
      </c>
      <c r="AF33" s="94"/>
      <c r="AG33" s="96"/>
    </row>
    <row r="34" customFormat="false" ht="11.1" hidden="false" customHeight="true" outlineLevel="0" collapsed="false">
      <c r="A34" s="60" t="n">
        <v>25</v>
      </c>
      <c r="B34" s="75" t="n">
        <v>6856.84</v>
      </c>
      <c r="C34" s="54" t="n">
        <v>155994</v>
      </c>
      <c r="D34" s="59" t="n">
        <f aca="false">C34-C33</f>
        <v>66</v>
      </c>
      <c r="E34" s="54" t="n">
        <f aca="false">C34-152000</f>
        <v>3994</v>
      </c>
      <c r="F34" s="53" t="n">
        <f aca="false">D34/$D$2</f>
        <v>33.2745147466599</v>
      </c>
      <c r="G34" s="53" t="n">
        <v>70</v>
      </c>
      <c r="H34" s="193" t="n">
        <v>0</v>
      </c>
      <c r="I34" s="53" t="n">
        <f aca="false">G34+H34</f>
        <v>70</v>
      </c>
      <c r="J34" s="83" t="n">
        <f aca="false">IF(L34&gt;0,L34,0)</f>
        <v>0</v>
      </c>
      <c r="K34" s="53" t="n">
        <f aca="false">I34+J34</f>
        <v>70</v>
      </c>
      <c r="L34" s="53" t="n">
        <f aca="false">F34-(I34-X34)</f>
        <v>-18.6254852533401</v>
      </c>
      <c r="M34" s="53" t="n">
        <v>4.1</v>
      </c>
      <c r="N34" s="53" t="n">
        <v>0</v>
      </c>
      <c r="O34" s="53" t="n">
        <v>0</v>
      </c>
      <c r="P34" s="6" t="n">
        <f aca="false">M34-(N34+O34)</f>
        <v>4.1</v>
      </c>
      <c r="Q34" s="53" t="n">
        <v>0</v>
      </c>
      <c r="R34" s="53" t="n">
        <v>0</v>
      </c>
      <c r="S34" s="53" t="n">
        <f aca="false">SUM(P34:R34)</f>
        <v>4.1</v>
      </c>
      <c r="T34" s="54" t="n">
        <f aca="false">(I34-S34)+T33</f>
        <v>-9480.2555</v>
      </c>
      <c r="U34" s="53" t="n">
        <v>0</v>
      </c>
      <c r="V34" s="53" t="n">
        <v>14</v>
      </c>
      <c r="W34" s="54" t="n">
        <f aca="false">W33-V34</f>
        <v>2492.778674061</v>
      </c>
      <c r="X34" s="6" t="n">
        <f aca="false">N34+O34+S34+U34+V34</f>
        <v>18.1</v>
      </c>
      <c r="Y34" s="53" t="n">
        <f aca="false">IF(L34&lt;0,L34*-1,0)</f>
        <v>18.6254852533401</v>
      </c>
      <c r="Z34" s="53" t="n">
        <f aca="false">X34+Y34</f>
        <v>36.7254852533401</v>
      </c>
      <c r="AA34" s="57" t="n">
        <v>0</v>
      </c>
      <c r="AB34" s="59" t="n">
        <v>55</v>
      </c>
      <c r="AC34" s="84" t="n">
        <v>33</v>
      </c>
      <c r="AD34" s="60" t="n">
        <v>25</v>
      </c>
      <c r="AE34" s="188" t="n">
        <v>0</v>
      </c>
      <c r="AF34" s="94"/>
      <c r="AG34" s="96"/>
    </row>
    <row r="35" customFormat="false" ht="11.1" hidden="false" customHeight="true" outlineLevel="0" collapsed="false">
      <c r="A35" s="60" t="n">
        <v>26</v>
      </c>
      <c r="B35" s="75" t="n">
        <v>6856.9</v>
      </c>
      <c r="C35" s="54" t="n">
        <v>156126</v>
      </c>
      <c r="D35" s="59" t="n">
        <f aca="false">C35-C34</f>
        <v>132</v>
      </c>
      <c r="E35" s="54" t="n">
        <f aca="false">C35-152000</f>
        <v>4126</v>
      </c>
      <c r="F35" s="53" t="n">
        <f aca="false">D35/$D$2</f>
        <v>66.5490294933199</v>
      </c>
      <c r="G35" s="53" t="n">
        <v>65</v>
      </c>
      <c r="H35" s="193" t="n">
        <v>0</v>
      </c>
      <c r="I35" s="53" t="n">
        <f aca="false">G35+H35</f>
        <v>65</v>
      </c>
      <c r="J35" s="83" t="n">
        <f aca="false">IF(L35&gt;0,L35,0)</f>
        <v>19.8490294933199</v>
      </c>
      <c r="K35" s="53" t="n">
        <f aca="false">I35+J35</f>
        <v>84.8490294933199</v>
      </c>
      <c r="L35" s="53" t="n">
        <f aca="false">F35-(I35-X35)</f>
        <v>19.8490294933199</v>
      </c>
      <c r="M35" s="53" t="n">
        <v>4.3</v>
      </c>
      <c r="N35" s="53" t="n">
        <v>0</v>
      </c>
      <c r="O35" s="53" t="n">
        <v>0</v>
      </c>
      <c r="P35" s="6" t="n">
        <f aca="false">M35-(N35+O35)</f>
        <v>4.3</v>
      </c>
      <c r="Q35" s="53" t="n">
        <v>0</v>
      </c>
      <c r="R35" s="53" t="n">
        <v>0</v>
      </c>
      <c r="S35" s="53" t="n">
        <f aca="false">SUM(P35:R35)</f>
        <v>4.3</v>
      </c>
      <c r="T35" s="54" t="n">
        <f aca="false">(I35-S35)+T34</f>
        <v>-9419.5555</v>
      </c>
      <c r="U35" s="53" t="n">
        <v>0</v>
      </c>
      <c r="V35" s="53" t="n">
        <v>14</v>
      </c>
      <c r="W35" s="54" t="n">
        <f aca="false">W34-V35</f>
        <v>2478.778674061</v>
      </c>
      <c r="X35" s="6" t="n">
        <f aca="false">N35+O35+S35+U35+V35</f>
        <v>18.3</v>
      </c>
      <c r="Y35" s="53" t="n">
        <f aca="false">IF(L35&lt;0,L35*-1,0)</f>
        <v>0</v>
      </c>
      <c r="Z35" s="53" t="n">
        <f aca="false">X35+Y35</f>
        <v>18.3</v>
      </c>
      <c r="AA35" s="57" t="n">
        <v>0.37</v>
      </c>
      <c r="AB35" s="59" t="n">
        <v>51</v>
      </c>
      <c r="AC35" s="84" t="n">
        <v>35</v>
      </c>
      <c r="AD35" s="60" t="n">
        <v>26</v>
      </c>
      <c r="AE35" s="188" t="n">
        <v>0</v>
      </c>
      <c r="AF35" s="94"/>
      <c r="AG35" s="96"/>
    </row>
    <row r="36" customFormat="false" ht="11.1" hidden="false" customHeight="true" outlineLevel="0" collapsed="false">
      <c r="A36" s="60" t="n">
        <v>27</v>
      </c>
      <c r="B36" s="75" t="n">
        <v>6856.93</v>
      </c>
      <c r="C36" s="54" t="n">
        <v>156192</v>
      </c>
      <c r="D36" s="59" t="n">
        <f aca="false">C36-C35</f>
        <v>66</v>
      </c>
      <c r="E36" s="54" t="n">
        <f aca="false">C36-152000</f>
        <v>4192</v>
      </c>
      <c r="F36" s="53" t="n">
        <f aca="false">D36/$D$2</f>
        <v>33.2745147466599</v>
      </c>
      <c r="G36" s="53" t="n">
        <v>74</v>
      </c>
      <c r="H36" s="193" t="n">
        <v>0.01</v>
      </c>
      <c r="I36" s="53" t="n">
        <f aca="false">G36+H36</f>
        <v>74.01</v>
      </c>
      <c r="J36" s="83" t="n">
        <f aca="false">IF(L36&gt;0,L36,0)</f>
        <v>0</v>
      </c>
      <c r="K36" s="53" t="n">
        <f aca="false">I36+J36</f>
        <v>74.01</v>
      </c>
      <c r="L36" s="53" t="n">
        <f aca="false">F36-(I36-X36)</f>
        <v>-22.3354852533401</v>
      </c>
      <c r="M36" s="53" t="n">
        <v>4.4</v>
      </c>
      <c r="N36" s="53" t="n">
        <v>0</v>
      </c>
      <c r="O36" s="53" t="n">
        <v>0</v>
      </c>
      <c r="P36" s="6" t="n">
        <f aca="false">M36-(N36+O36)</f>
        <v>4.4</v>
      </c>
      <c r="Q36" s="53" t="n">
        <v>0</v>
      </c>
      <c r="R36" s="53" t="n">
        <v>0</v>
      </c>
      <c r="S36" s="53" t="n">
        <f aca="false">SUM(P36:R36)</f>
        <v>4.4</v>
      </c>
      <c r="T36" s="54" t="n">
        <f aca="false">(I36-S36)+T35</f>
        <v>-9349.9455</v>
      </c>
      <c r="U36" s="53" t="n">
        <v>0</v>
      </c>
      <c r="V36" s="53" t="n">
        <v>14</v>
      </c>
      <c r="W36" s="54" t="n">
        <f aca="false">W35-V36</f>
        <v>2464.778674061</v>
      </c>
      <c r="X36" s="6" t="n">
        <f aca="false">N36+O36+S36+U36+V36</f>
        <v>18.4</v>
      </c>
      <c r="Y36" s="53" t="n">
        <f aca="false">IF(L36&lt;0,L36*-1,0)</f>
        <v>22.3354852533401</v>
      </c>
      <c r="Z36" s="53" t="n">
        <f aca="false">X36+Y36</f>
        <v>40.7354852533401</v>
      </c>
      <c r="AA36" s="57" t="n">
        <v>0.08</v>
      </c>
      <c r="AB36" s="59" t="n">
        <v>47</v>
      </c>
      <c r="AC36" s="84" t="n">
        <v>32</v>
      </c>
      <c r="AD36" s="60" t="n">
        <v>27</v>
      </c>
      <c r="AE36" s="188" t="n">
        <v>0</v>
      </c>
      <c r="AF36" s="94"/>
      <c r="AG36" s="96"/>
    </row>
    <row r="37" customFormat="false" ht="11.1" hidden="false" customHeight="true" outlineLevel="0" collapsed="false">
      <c r="A37" s="60" t="n">
        <v>28</v>
      </c>
      <c r="B37" s="75" t="n">
        <v>6856.99</v>
      </c>
      <c r="C37" s="54" t="n">
        <v>156323</v>
      </c>
      <c r="D37" s="59" t="n">
        <f aca="false">C37-C36</f>
        <v>131</v>
      </c>
      <c r="E37" s="54" t="n">
        <f aca="false">C37-152000</f>
        <v>4323</v>
      </c>
      <c r="F37" s="53" t="n">
        <f aca="false">D37/$D$2</f>
        <v>66.0448701789766</v>
      </c>
      <c r="G37" s="53" t="n">
        <v>70</v>
      </c>
      <c r="H37" s="193" t="n">
        <v>0</v>
      </c>
      <c r="I37" s="53" t="n">
        <f aca="false">G37+H37</f>
        <v>70</v>
      </c>
      <c r="J37" s="83" t="n">
        <f aca="false">IF(L37&gt;0,L37,0)</f>
        <v>27.0448701789766</v>
      </c>
      <c r="K37" s="53" t="n">
        <f aca="false">I37+J37</f>
        <v>97.0448701789766</v>
      </c>
      <c r="L37" s="53" t="n">
        <f aca="false">F37-(I37-X37)</f>
        <v>27.0448701789766</v>
      </c>
      <c r="M37" s="53" t="n">
        <v>17</v>
      </c>
      <c r="N37" s="53" t="n">
        <v>0</v>
      </c>
      <c r="O37" s="53" t="n">
        <v>0</v>
      </c>
      <c r="P37" s="6" t="n">
        <f aca="false">M37-(N37+O37)</f>
        <v>17</v>
      </c>
      <c r="Q37" s="53" t="n">
        <v>0</v>
      </c>
      <c r="R37" s="53" t="n">
        <v>0</v>
      </c>
      <c r="S37" s="53" t="n">
        <f aca="false">SUM(P37:R37)</f>
        <v>17</v>
      </c>
      <c r="T37" s="54" t="n">
        <f aca="false">(I37-S37)+T36</f>
        <v>-9296.9455</v>
      </c>
      <c r="U37" s="53" t="n">
        <v>0</v>
      </c>
      <c r="V37" s="53" t="n">
        <v>14</v>
      </c>
      <c r="W37" s="54" t="n">
        <f aca="false">W36-V37</f>
        <v>2450.778674061</v>
      </c>
      <c r="X37" s="6" t="n">
        <f aca="false">N37+O37+S37+U37+V37</f>
        <v>31</v>
      </c>
      <c r="Y37" s="53" t="n">
        <f aca="false">IF(L37&lt;0,L37*-1,0)</f>
        <v>0</v>
      </c>
      <c r="Z37" s="53" t="n">
        <f aca="false">X37+Y37</f>
        <v>31</v>
      </c>
      <c r="AA37" s="57" t="n">
        <v>0.05</v>
      </c>
      <c r="AB37" s="59" t="n">
        <v>49</v>
      </c>
      <c r="AC37" s="84" t="n">
        <v>30</v>
      </c>
      <c r="AD37" s="60" t="n">
        <v>28</v>
      </c>
      <c r="AE37" s="188" t="n">
        <v>0</v>
      </c>
      <c r="AF37" s="94"/>
      <c r="AG37" s="96"/>
    </row>
    <row r="38" customFormat="false" ht="11.1" hidden="false" customHeight="true" outlineLevel="0" collapsed="false">
      <c r="A38" s="60" t="n">
        <v>29</v>
      </c>
      <c r="B38" s="75" t="n">
        <v>6857.05</v>
      </c>
      <c r="C38" s="54" t="n">
        <v>156456</v>
      </c>
      <c r="D38" s="59" t="n">
        <f aca="false">C38-C37</f>
        <v>133</v>
      </c>
      <c r="E38" s="54" t="n">
        <f aca="false">C38-152000</f>
        <v>4456</v>
      </c>
      <c r="F38" s="53" t="n">
        <f aca="false">D38/$D$2</f>
        <v>67.0531888076632</v>
      </c>
      <c r="G38" s="53" t="n">
        <v>70</v>
      </c>
      <c r="H38" s="193" t="n">
        <v>0</v>
      </c>
      <c r="I38" s="53" t="n">
        <f aca="false">G38+H38</f>
        <v>70</v>
      </c>
      <c r="J38" s="83" t="n">
        <f aca="false">IF(L38&gt;0,L38,0)</f>
        <v>23.0531888076632</v>
      </c>
      <c r="K38" s="53" t="n">
        <f aca="false">I38+J38</f>
        <v>93.0531888076632</v>
      </c>
      <c r="L38" s="53" t="n">
        <f aca="false">F38-(I38-X38)</f>
        <v>23.0531888076632</v>
      </c>
      <c r="M38" s="53" t="n">
        <v>12</v>
      </c>
      <c r="N38" s="53" t="n">
        <v>0</v>
      </c>
      <c r="O38" s="53" t="n">
        <f aca="false">6.42*1.05</f>
        <v>6.741</v>
      </c>
      <c r="P38" s="6" t="n">
        <f aca="false">M38-(N38+O38)</f>
        <v>5.259</v>
      </c>
      <c r="Q38" s="53" t="n">
        <v>0</v>
      </c>
      <c r="R38" s="53" t="n">
        <v>0</v>
      </c>
      <c r="S38" s="53" t="n">
        <f aca="false">SUM(P38:R38)</f>
        <v>5.259</v>
      </c>
      <c r="T38" s="54" t="n">
        <f aca="false">(I38-S38)+T37</f>
        <v>-9232.2045</v>
      </c>
      <c r="U38" s="53" t="n">
        <v>0</v>
      </c>
      <c r="V38" s="53" t="n">
        <v>14</v>
      </c>
      <c r="W38" s="54" t="n">
        <f aca="false">W37-V38</f>
        <v>2436.778674061</v>
      </c>
      <c r="X38" s="6" t="n">
        <f aca="false">N38+O38+S38+U38+V38</f>
        <v>26</v>
      </c>
      <c r="Y38" s="53" t="n">
        <f aca="false">IF(L38&lt;0,L38*-1,0)</f>
        <v>0</v>
      </c>
      <c r="Z38" s="53" t="n">
        <f aca="false">X38+Y38</f>
        <v>26</v>
      </c>
      <c r="AA38" s="57" t="n">
        <v>0.18</v>
      </c>
      <c r="AB38" s="59" t="n">
        <v>42</v>
      </c>
      <c r="AC38" s="84" t="n">
        <v>28</v>
      </c>
      <c r="AD38" s="60" t="n">
        <v>29</v>
      </c>
      <c r="AE38" s="188" t="n">
        <v>0</v>
      </c>
      <c r="AF38" s="94"/>
      <c r="AG38" s="96"/>
    </row>
    <row r="39" customFormat="false" ht="11.1" hidden="false" customHeight="true" outlineLevel="0" collapsed="false">
      <c r="A39" s="60" t="n">
        <v>30</v>
      </c>
      <c r="B39" s="75" t="n">
        <v>6857.08</v>
      </c>
      <c r="C39" s="54" t="n">
        <v>156523</v>
      </c>
      <c r="D39" s="59" t="n">
        <f aca="false">C39-C38</f>
        <v>67</v>
      </c>
      <c r="E39" s="54" t="n">
        <f aca="false">C39-152000</f>
        <v>4523</v>
      </c>
      <c r="F39" s="53" t="n">
        <f aca="false">D39/$D$2</f>
        <v>33.7786740610033</v>
      </c>
      <c r="G39" s="53" t="n">
        <v>68</v>
      </c>
      <c r="H39" s="193" t="n">
        <v>0</v>
      </c>
      <c r="I39" s="53" t="n">
        <f aca="false">G39+H39</f>
        <v>68</v>
      </c>
      <c r="J39" s="83" t="n">
        <f aca="false">IF(L39&gt;0,L39,0)</f>
        <v>0</v>
      </c>
      <c r="K39" s="53" t="n">
        <f aca="false">I39+J39</f>
        <v>68</v>
      </c>
      <c r="L39" s="53" t="n">
        <f aca="false">F39-(I39-X39)</f>
        <v>-10.7213259389967</v>
      </c>
      <c r="M39" s="53" t="n">
        <v>9.5</v>
      </c>
      <c r="N39" s="53" t="n">
        <v>0</v>
      </c>
      <c r="O39" s="53" t="n">
        <f aca="false">(3.55+3.22)*1.05</f>
        <v>7.1085</v>
      </c>
      <c r="P39" s="6" t="n">
        <f aca="false">M39-(N39+O39)</f>
        <v>2.3915</v>
      </c>
      <c r="Q39" s="53" t="n">
        <v>0</v>
      </c>
      <c r="R39" s="53" t="n">
        <v>0</v>
      </c>
      <c r="S39" s="53" t="n">
        <f aca="false">SUM(P39:R39)</f>
        <v>2.3915</v>
      </c>
      <c r="T39" s="54" t="n">
        <f aca="false">(I39-S39)+T38</f>
        <v>-9166.596</v>
      </c>
      <c r="U39" s="53" t="n">
        <v>0</v>
      </c>
      <c r="V39" s="53" t="n">
        <v>14</v>
      </c>
      <c r="W39" s="54" t="n">
        <f aca="false">W38-V39</f>
        <v>2422.778674061</v>
      </c>
      <c r="X39" s="6" t="n">
        <f aca="false">N39+O39+S39+U39+V39</f>
        <v>23.5</v>
      </c>
      <c r="Y39" s="53" t="n">
        <f aca="false">IF(L39&lt;0,L39*-1,0)</f>
        <v>10.7213259389967</v>
      </c>
      <c r="Z39" s="53" t="n">
        <f aca="false">X39+Y39</f>
        <v>34.2213259389967</v>
      </c>
      <c r="AA39" s="57" t="n">
        <v>0</v>
      </c>
      <c r="AB39" s="59" t="n">
        <v>47</v>
      </c>
      <c r="AC39" s="84" t="n">
        <v>28</v>
      </c>
      <c r="AD39" s="60" t="n">
        <v>30</v>
      </c>
      <c r="AE39" s="188" t="n">
        <v>0</v>
      </c>
      <c r="AF39" s="94"/>
      <c r="AG39" s="96"/>
    </row>
    <row r="40" customFormat="false" ht="11.1" hidden="false" customHeight="true" outlineLevel="0" collapsed="false">
      <c r="A40" s="60" t="n">
        <v>31</v>
      </c>
      <c r="B40" s="75" t="n">
        <v>6857.1</v>
      </c>
      <c r="C40" s="54" t="n">
        <v>156567</v>
      </c>
      <c r="D40" s="59" t="n">
        <f aca="false">C40-C39</f>
        <v>44</v>
      </c>
      <c r="E40" s="54" t="n">
        <f aca="false">C40-152000</f>
        <v>4567</v>
      </c>
      <c r="F40" s="53" t="n">
        <f aca="false">D40/$D$2</f>
        <v>22.1830098311066</v>
      </c>
      <c r="G40" s="53" t="n">
        <v>65</v>
      </c>
      <c r="H40" s="193" t="n">
        <v>0</v>
      </c>
      <c r="I40" s="53" t="n">
        <f aca="false">G40+H40</f>
        <v>65</v>
      </c>
      <c r="J40" s="83" t="n">
        <f aca="false">IF(L40&gt;0,L40,0)</f>
        <v>0</v>
      </c>
      <c r="K40" s="53" t="n">
        <f aca="false">I40+J40</f>
        <v>65</v>
      </c>
      <c r="L40" s="53" t="n">
        <f aca="false">F40-(I40-X40)</f>
        <v>-25.0169901688934</v>
      </c>
      <c r="M40" s="53" t="n">
        <v>4.8</v>
      </c>
      <c r="N40" s="53" t="n">
        <v>0</v>
      </c>
      <c r="O40" s="53" t="n">
        <v>2.7</v>
      </c>
      <c r="P40" s="6" t="n">
        <f aca="false">M40-(N40+O40)</f>
        <v>2.1</v>
      </c>
      <c r="Q40" s="53" t="n">
        <v>0</v>
      </c>
      <c r="R40" s="53" t="n">
        <v>0</v>
      </c>
      <c r="S40" s="53" t="n">
        <f aca="false">SUM(P40:R40)</f>
        <v>2.1</v>
      </c>
      <c r="T40" s="54" t="n">
        <f aca="false">(I40-S40)+T39</f>
        <v>-9103.696</v>
      </c>
      <c r="U40" s="53" t="n">
        <v>0</v>
      </c>
      <c r="V40" s="53" t="n">
        <v>13</v>
      </c>
      <c r="W40" s="54" t="n">
        <f aca="false">W39-V40</f>
        <v>2409.778674061</v>
      </c>
      <c r="X40" s="6" t="n">
        <f aca="false">N40+O40+S40+U40+V40</f>
        <v>17.8</v>
      </c>
      <c r="Y40" s="53" t="n">
        <f aca="false">IF(L40&lt;0,L40*-1,0)</f>
        <v>25.0169901688934</v>
      </c>
      <c r="Z40" s="53" t="n">
        <f aca="false">X40+Y40</f>
        <v>42.8169901688934</v>
      </c>
      <c r="AA40" s="57" t="n">
        <v>0</v>
      </c>
      <c r="AB40" s="59" t="n">
        <v>51</v>
      </c>
      <c r="AC40" s="84" t="n">
        <v>32</v>
      </c>
      <c r="AD40" s="60" t="n">
        <v>31</v>
      </c>
      <c r="AE40" s="96" t="n">
        <v>0</v>
      </c>
      <c r="AF40" s="94"/>
      <c r="AG40" s="96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196" t="n">
        <v>0</v>
      </c>
      <c r="I41" s="76"/>
      <c r="J41" s="76"/>
      <c r="K41" s="76"/>
      <c r="L41" s="76"/>
      <c r="M41" s="76" t="n">
        <v>0</v>
      </c>
      <c r="N41" s="76"/>
      <c r="O41" s="76"/>
      <c r="P41" s="76"/>
      <c r="Q41" s="76"/>
      <c r="R41" s="76" t="n">
        <v>0</v>
      </c>
      <c r="S41" s="76"/>
      <c r="T41" s="78"/>
      <c r="U41" s="76"/>
      <c r="V41" s="76" t="n">
        <v>0</v>
      </c>
      <c r="W41" s="76"/>
      <c r="X41" s="76"/>
      <c r="Y41" s="76"/>
      <c r="Z41" s="76"/>
      <c r="AA41" s="122"/>
      <c r="AB41" s="81"/>
      <c r="AC41" s="81"/>
      <c r="AD41" s="82"/>
      <c r="AE41" s="82"/>
      <c r="AF41" s="94"/>
      <c r="AG41" s="95"/>
    </row>
    <row r="42" customFormat="false" ht="11.1" hidden="false" customHeight="true" outlineLevel="0" collapsed="false">
      <c r="A42" s="53" t="s">
        <v>46</v>
      </c>
      <c r="B42" s="53"/>
      <c r="C42" s="54"/>
      <c r="D42" s="54"/>
      <c r="E42" s="54"/>
      <c r="F42" s="54" t="n">
        <f aca="false">SUM(F10:F40)</f>
        <v>-1412.65439879002</v>
      </c>
      <c r="G42" s="54" t="n">
        <f aca="false">SUM(G10:G40)</f>
        <v>2277</v>
      </c>
      <c r="H42" s="193" t="n">
        <f aca="false">SUM(H10:H40)</f>
        <v>0.05</v>
      </c>
      <c r="I42" s="54" t="n">
        <f aca="false">SUM(I10:I40)</f>
        <v>2277.05</v>
      </c>
      <c r="J42" s="54" t="n">
        <f aca="false">SUM(J10:J40)</f>
        <v>415.128303503908</v>
      </c>
      <c r="K42" s="54" t="n">
        <f aca="false">SUM(K10:K40)</f>
        <v>2692.17830350391</v>
      </c>
      <c r="L42" s="54" t="n">
        <f aca="false">SUM(L10:L40)</f>
        <v>126.635601209983</v>
      </c>
      <c r="M42" s="54" t="n">
        <f aca="false">SUM(M10:M40)</f>
        <v>206.7</v>
      </c>
      <c r="N42" s="54" t="n">
        <f aca="false">SUM(N10:N40)</f>
        <v>40.16</v>
      </c>
      <c r="O42" s="54" t="n">
        <f aca="false">SUM(O10:O40)</f>
        <v>56.355</v>
      </c>
      <c r="P42" s="54" t="n">
        <f aca="false">SUM(P10:P40)</f>
        <v>110.185</v>
      </c>
      <c r="Q42" s="54" t="n">
        <f aca="false">SUM(Q10:Q40)</f>
        <v>3145</v>
      </c>
      <c r="R42" s="54" t="n">
        <f aca="false">SUM(R10:R40)</f>
        <v>8.4</v>
      </c>
      <c r="S42" s="54" t="n">
        <f aca="false">SUM(S10:S40)</f>
        <v>3263.585</v>
      </c>
      <c r="T42" s="54"/>
      <c r="U42" s="54" t="n">
        <f aca="false">SUM(U10:U40)</f>
        <v>23.24</v>
      </c>
      <c r="V42" s="54" t="n">
        <f aca="false">SUM(V10:V40)</f>
        <v>433</v>
      </c>
      <c r="W42" s="54"/>
      <c r="X42" s="54" t="n">
        <f aca="false">SUM(X10:X40)</f>
        <v>3816.34</v>
      </c>
      <c r="Y42" s="54" t="n">
        <f aca="false">SUM(Y10:Y40)</f>
        <v>288.492702293925</v>
      </c>
      <c r="Z42" s="54" t="n">
        <f aca="false">SUM(Z10:Z40)</f>
        <v>4104.83270229392</v>
      </c>
      <c r="AA42" s="57" t="n">
        <f aca="false">SUM(AA10:AA40)</f>
        <v>2.73</v>
      </c>
      <c r="AB42" s="59" t="n">
        <f aca="false">AVERAGE(AB10:AB40)</f>
        <v>59.3548387096774</v>
      </c>
      <c r="AC42" s="59" t="n">
        <f aca="false">AVERAGE(AC10:AC40)</f>
        <v>35.1612903225806</v>
      </c>
      <c r="AD42" s="60" t="s">
        <v>73</v>
      </c>
      <c r="AE42" s="96"/>
      <c r="AF42" s="94"/>
      <c r="AG42" s="95"/>
    </row>
    <row r="43" customFormat="false" ht="11.1" hidden="false" customHeight="true" outlineLevel="0" collapsed="false">
      <c r="A43" s="53" t="s">
        <v>48</v>
      </c>
      <c r="B43" s="53"/>
      <c r="C43" s="54"/>
      <c r="D43" s="54" t="n">
        <f aca="false">SUM(D10:D40)</f>
        <v>-2802</v>
      </c>
      <c r="E43" s="54"/>
      <c r="F43" s="54" t="n">
        <f aca="false">F42*$D$2</f>
        <v>-2802</v>
      </c>
      <c r="G43" s="54" t="n">
        <f aca="false">G42*$D$2</f>
        <v>4516.4295</v>
      </c>
      <c r="H43" s="193" t="n">
        <f aca="false">H42*$D$2</f>
        <v>0.099175</v>
      </c>
      <c r="I43" s="54" t="n">
        <f aca="false">I42*$D$2</f>
        <v>4516.528675</v>
      </c>
      <c r="J43" s="54" t="n">
        <f aca="false">J42*$D$2</f>
        <v>823.406990000001</v>
      </c>
      <c r="K43" s="54" t="n">
        <f aca="false">K42*$D$2</f>
        <v>5339.935665</v>
      </c>
      <c r="L43" s="54" t="n">
        <f aca="false">L42*$D$2</f>
        <v>251.181715000001</v>
      </c>
      <c r="M43" s="54" t="n">
        <f aca="false">M42*$D$2</f>
        <v>409.98945</v>
      </c>
      <c r="N43" s="54" t="n">
        <f aca="false">N42*$D$2</f>
        <v>79.65736</v>
      </c>
      <c r="O43" s="54" t="n">
        <f aca="false">O42*$D$2</f>
        <v>111.7801425</v>
      </c>
      <c r="P43" s="54" t="n">
        <f aca="false">P42*$D$2</f>
        <v>218.5519475</v>
      </c>
      <c r="Q43" s="54" t="n">
        <f aca="false">Q42*$D$2</f>
        <v>6238.1075</v>
      </c>
      <c r="R43" s="54" t="n">
        <f aca="false">R42*$D$2</f>
        <v>16.6614</v>
      </c>
      <c r="S43" s="54" t="n">
        <f aca="false">S42*$D$2</f>
        <v>6473.3208475</v>
      </c>
      <c r="T43" s="54"/>
      <c r="U43" s="54" t="n">
        <f aca="false">U42*$D$2</f>
        <v>46.09654</v>
      </c>
      <c r="V43" s="54" t="n">
        <f aca="false">V42*$D$2</f>
        <v>858.8555</v>
      </c>
      <c r="W43" s="54"/>
      <c r="X43" s="54" t="n">
        <f aca="false">X42*$D$2</f>
        <v>7569.71039</v>
      </c>
      <c r="Y43" s="54" t="n">
        <f aca="false">Y42*$D$2</f>
        <v>572.225275</v>
      </c>
      <c r="Z43" s="54" t="n">
        <f aca="false">Z42*$D$2</f>
        <v>8141.935665</v>
      </c>
      <c r="AA43" s="57"/>
      <c r="AB43" s="59" t="n">
        <f aca="false">MAX(AB10:AB40)</f>
        <v>70</v>
      </c>
      <c r="AC43" s="59" t="n">
        <f aca="false">MAX(AC10:AC40)</f>
        <v>42</v>
      </c>
      <c r="AD43" s="60" t="s">
        <v>49</v>
      </c>
      <c r="AE43" s="96"/>
      <c r="AF43" s="94"/>
      <c r="AG43" s="95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1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6"/>
      <c r="X44" s="78"/>
      <c r="Y44" s="78"/>
      <c r="Z44" s="78"/>
      <c r="AA44" s="78"/>
      <c r="AB44" s="78"/>
      <c r="AC44" s="78"/>
      <c r="AD44" s="78"/>
      <c r="AE44" s="78"/>
      <c r="AF44" s="94"/>
      <c r="AG44" s="95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F7+F42</f>
        <v>-25711.6208721956</v>
      </c>
      <c r="G45" s="54" t="n">
        <f aca="false">G7+G42</f>
        <v>30149</v>
      </c>
      <c r="H45" s="193" t="n">
        <f aca="false">H7+H42</f>
        <v>28.45</v>
      </c>
      <c r="I45" s="54" t="n">
        <f aca="false">I7+I42</f>
        <v>30177.45</v>
      </c>
      <c r="J45" s="54" t="n">
        <f aca="false">J7+J42</f>
        <v>2089.80952356945</v>
      </c>
      <c r="K45" s="54" t="n">
        <f aca="false">K7+K42</f>
        <v>32267.2595235695</v>
      </c>
      <c r="L45" s="54" t="n">
        <f aca="false">L7+L42</f>
        <v>-1659.80087219561</v>
      </c>
      <c r="M45" s="54" t="n">
        <f aca="false">M7+M42</f>
        <v>21416.4</v>
      </c>
      <c r="N45" s="54" t="n">
        <f aca="false">N7+N42</f>
        <v>104.05</v>
      </c>
      <c r="O45" s="54" t="n">
        <f aca="false">O7+O42</f>
        <v>2660.544</v>
      </c>
      <c r="P45" s="54" t="n">
        <f aca="false">P7+P42</f>
        <v>18651.806</v>
      </c>
      <c r="Q45" s="54" t="n">
        <f aca="false">Q7+Q42</f>
        <v>14191.6</v>
      </c>
      <c r="R45" s="54" t="n">
        <f aca="false">R7+R42</f>
        <v>6437.74</v>
      </c>
      <c r="S45" s="54" t="n">
        <f aca="false">S7+S42</f>
        <v>39281.146</v>
      </c>
      <c r="T45" s="54" t="n">
        <f aca="false">T40</f>
        <v>-9103.696</v>
      </c>
      <c r="U45" s="54" t="n">
        <f aca="false">U7+U42</f>
        <v>8559.53</v>
      </c>
      <c r="V45" s="54" t="n">
        <f aca="false">V7+V42</f>
        <v>3624</v>
      </c>
      <c r="W45" s="54" t="n">
        <f aca="false">W40</f>
        <v>2409.778674061</v>
      </c>
      <c r="X45" s="54" t="n">
        <f aca="false">X7+X42</f>
        <v>54229.27</v>
      </c>
      <c r="Y45" s="54" t="n">
        <f aca="false">Y7+Y42</f>
        <v>3749.61039576506</v>
      </c>
      <c r="Z45" s="54" t="n">
        <f aca="false">Z7+Z42</f>
        <v>57978.8803957651</v>
      </c>
      <c r="AA45" s="57"/>
      <c r="AB45" s="59" t="n">
        <f aca="false">MIN(AB10:AB40)</f>
        <v>42</v>
      </c>
      <c r="AC45" s="59" t="n">
        <f aca="false">MIN(AC10:AC40)</f>
        <v>28</v>
      </c>
      <c r="AD45" s="60" t="s">
        <v>51</v>
      </c>
      <c r="AE45" s="188"/>
      <c r="AF45" s="94"/>
      <c r="AG45" s="95"/>
    </row>
    <row r="46" customFormat="false" ht="11.1" hidden="false" customHeight="true" outlineLevel="0" collapsed="false">
      <c r="A46" s="53" t="s">
        <v>52</v>
      </c>
      <c r="B46" s="53"/>
      <c r="C46" s="54"/>
      <c r="D46" s="54"/>
      <c r="E46" s="54"/>
      <c r="F46" s="54" t="n">
        <f aca="false">F45*$D$2</f>
        <v>-50999</v>
      </c>
      <c r="G46" s="54" t="n">
        <f aca="false">G45*$D$2</f>
        <v>59800.5415</v>
      </c>
      <c r="H46" s="193" t="n">
        <f aca="false">H45*$D$2</f>
        <v>56.430575</v>
      </c>
      <c r="I46" s="54" t="n">
        <f aca="false">I45*$D$2</f>
        <v>59856.972075</v>
      </c>
      <c r="J46" s="54" t="n">
        <f aca="false">J45*$D$2</f>
        <v>4145.13719</v>
      </c>
      <c r="K46" s="54" t="n">
        <f aca="false">K45*$D$2</f>
        <v>64002.109265</v>
      </c>
      <c r="L46" s="54" t="n">
        <f aca="false">L45*$D$2</f>
        <v>-3292.21503</v>
      </c>
      <c r="M46" s="54" t="n">
        <f aca="false">M45*$D$2</f>
        <v>42479.4294</v>
      </c>
      <c r="N46" s="54" t="n">
        <f aca="false">N45*$D$2</f>
        <v>206.383175</v>
      </c>
      <c r="O46" s="54" t="n">
        <f aca="false">O45*$D$2</f>
        <v>5277.189024</v>
      </c>
      <c r="P46" s="54" t="n">
        <f aca="false">P45*$D$2</f>
        <v>36995.857201</v>
      </c>
      <c r="Q46" s="54" t="n">
        <f aca="false">Q45*$D$2</f>
        <v>28149.0386</v>
      </c>
      <c r="R46" s="54" t="n">
        <f aca="false">R45*$D$2</f>
        <v>12769.25729</v>
      </c>
      <c r="S46" s="54" t="n">
        <f aca="false">S45*$D$2</f>
        <v>77914.153091</v>
      </c>
      <c r="T46" s="54" t="n">
        <f aca="false">T45*$D$2</f>
        <v>-18057.181016</v>
      </c>
      <c r="U46" s="54" t="n">
        <f aca="false">U45*$D$2</f>
        <v>16977.827755</v>
      </c>
      <c r="V46" s="54" t="n">
        <f aca="false">V45*$D$2</f>
        <v>7188.204</v>
      </c>
      <c r="W46" s="54" t="n">
        <f aca="false">W45*$D$2</f>
        <v>4779.796</v>
      </c>
      <c r="X46" s="54" t="n">
        <f aca="false">X45*$D$2</f>
        <v>107563.757045</v>
      </c>
      <c r="Y46" s="54" t="n">
        <f aca="false">Y45*$D$2</f>
        <v>7437.35222</v>
      </c>
      <c r="Z46" s="54" t="n">
        <f aca="false">Z45*$D$2</f>
        <v>115001.109265</v>
      </c>
      <c r="AA46" s="57"/>
      <c r="AB46" s="59"/>
      <c r="AC46" s="59"/>
      <c r="AD46" s="60"/>
      <c r="AE46" s="46"/>
      <c r="AF46" s="94"/>
      <c r="AG46" s="95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1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122"/>
      <c r="AB47" s="122"/>
      <c r="AC47" s="122"/>
      <c r="AD47" s="122"/>
      <c r="AE47" s="122"/>
      <c r="AF47" s="94"/>
      <c r="AG47" s="95"/>
    </row>
    <row r="48" customFormat="false" ht="11.1" hidden="false" customHeight="true" outlineLevel="0" collapsed="false">
      <c r="A48" s="53" t="s">
        <v>53</v>
      </c>
      <c r="B48" s="53"/>
      <c r="C48" s="54"/>
      <c r="D48" s="54"/>
      <c r="E48" s="54"/>
      <c r="F48" s="54" t="n">
        <f aca="false">F8+F42</f>
        <v>-24894.8827829594</v>
      </c>
      <c r="G48" s="54" t="n">
        <f aca="false">G8+G42</f>
        <v>36691</v>
      </c>
      <c r="H48" s="193" t="n">
        <f aca="false">H8+H42</f>
        <v>63.98</v>
      </c>
      <c r="I48" s="54" t="n">
        <f aca="false">I8+I42</f>
        <v>36707.45</v>
      </c>
      <c r="J48" s="54" t="n">
        <f aca="false">J8+J42</f>
        <v>3496.36012351903</v>
      </c>
      <c r="K48" s="54" t="n">
        <f aca="false">K8+K42</f>
        <v>40203.810123519</v>
      </c>
      <c r="L48" s="54" t="n">
        <f aca="false">L8+L42</f>
        <v>-1388.98278295941</v>
      </c>
      <c r="M48" s="54" t="n">
        <f aca="false">M8+M42</f>
        <v>22611.98</v>
      </c>
      <c r="N48" s="54" t="n">
        <f aca="false">N8+N42</f>
        <v>109.13</v>
      </c>
      <c r="O48" s="54" t="n">
        <f aca="false">O8+O42</f>
        <v>3171.879</v>
      </c>
      <c r="P48" s="54" t="n">
        <f aca="false">P8+P42</f>
        <v>19733.171</v>
      </c>
      <c r="Q48" s="54" t="n">
        <f aca="false">Q8+Q42</f>
        <v>14191.6</v>
      </c>
      <c r="R48" s="54" t="n">
        <f aca="false">R8+R42</f>
        <v>6565.24</v>
      </c>
      <c r="S48" s="54" t="n">
        <f aca="false">S8+S42</f>
        <v>40490.011</v>
      </c>
      <c r="T48" s="54" t="n">
        <f aca="false">T45</f>
        <v>-9103.696</v>
      </c>
      <c r="U48" s="54" t="n">
        <f aca="false">U8+U42</f>
        <v>8559.53</v>
      </c>
      <c r="V48" s="54" t="n">
        <f aca="false">V8+V42</f>
        <v>8285</v>
      </c>
      <c r="W48" s="54" t="n">
        <f aca="false">W40</f>
        <v>2409.778674061</v>
      </c>
      <c r="X48" s="54" t="n">
        <f aca="false">X8+X42</f>
        <v>60213.35</v>
      </c>
      <c r="Y48" s="54" t="n">
        <f aca="false">Y8+Y42</f>
        <v>4885.34290647845</v>
      </c>
      <c r="Z48" s="54" t="n">
        <f aca="false">Z8+Z42</f>
        <v>65098.6929064784</v>
      </c>
      <c r="AA48" s="83" t="n">
        <f aca="false">AA8+AA42</f>
        <v>13.19</v>
      </c>
      <c r="AB48" s="59"/>
      <c r="AC48" s="59"/>
      <c r="AD48" s="60"/>
      <c r="AE48" s="188"/>
      <c r="AF48" s="94"/>
      <c r="AG48" s="95"/>
    </row>
    <row r="49" customFormat="false" ht="11.1" hidden="false" customHeight="true" outlineLevel="0" collapsed="false">
      <c r="A49" s="53" t="s">
        <v>54</v>
      </c>
      <c r="B49" s="53"/>
      <c r="C49" s="54"/>
      <c r="D49" s="54" t="n">
        <f aca="false">D8+D43</f>
        <v>-49379</v>
      </c>
      <c r="E49" s="54" t="n">
        <f aca="false">E40</f>
        <v>4567</v>
      </c>
      <c r="F49" s="54" t="n">
        <f aca="false">F48*$D$2</f>
        <v>-49379</v>
      </c>
      <c r="G49" s="54" t="n">
        <f aca="false">G48*$D$2</f>
        <v>72776.5985</v>
      </c>
      <c r="H49" s="193" t="n">
        <f aca="false">H48*$D$2</f>
        <v>126.90433</v>
      </c>
      <c r="I49" s="54" t="n">
        <f aca="false">I48*$D$2</f>
        <v>72809.227075</v>
      </c>
      <c r="J49" s="54" t="n">
        <f aca="false">J48*$D$2</f>
        <v>6935.030305</v>
      </c>
      <c r="K49" s="54" t="n">
        <f aca="false">K48*$D$2</f>
        <v>79744.25738</v>
      </c>
      <c r="L49" s="54" t="n">
        <f aca="false">L48*$D$2</f>
        <v>-2755.04735</v>
      </c>
      <c r="M49" s="54" t="n">
        <f aca="false">M48*$D$2</f>
        <v>44850.86233</v>
      </c>
      <c r="N49" s="54" t="n">
        <f aca="false">N48*$D$2</f>
        <v>216.459355</v>
      </c>
      <c r="O49" s="54" t="n">
        <f aca="false">O48*$D$2</f>
        <v>6291.4219965</v>
      </c>
      <c r="P49" s="54" t="n">
        <f aca="false">P48*$D$2</f>
        <v>39140.7446785</v>
      </c>
      <c r="Q49" s="54" t="n">
        <f aca="false">Q48*$D$2</f>
        <v>28149.0386</v>
      </c>
      <c r="R49" s="54" t="n">
        <f aca="false">R48*$D$2</f>
        <v>13022.15354</v>
      </c>
      <c r="S49" s="54" t="n">
        <f aca="false">S48*$D$2</f>
        <v>80311.9368185</v>
      </c>
      <c r="T49" s="54" t="n">
        <f aca="false">T48*$D$2</f>
        <v>-18057.181016</v>
      </c>
      <c r="U49" s="54" t="n">
        <f aca="false">U48*$D$2</f>
        <v>16977.827755</v>
      </c>
      <c r="V49" s="54" t="n">
        <f aca="false">V48*$D$2</f>
        <v>16433.2975</v>
      </c>
      <c r="W49" s="54" t="n">
        <f aca="false">W48*$D$2</f>
        <v>4779.796</v>
      </c>
      <c r="X49" s="54" t="n">
        <f aca="false">X48*$D$2</f>
        <v>119433.179725</v>
      </c>
      <c r="Y49" s="54" t="n">
        <f aca="false">Y48*$D$2</f>
        <v>9690.077655</v>
      </c>
      <c r="Z49" s="54" t="n">
        <f aca="false">Z48*$D$2</f>
        <v>129123.25738</v>
      </c>
      <c r="AA49" s="57"/>
      <c r="AB49" s="59"/>
      <c r="AC49" s="59"/>
      <c r="AD49" s="60"/>
      <c r="AE49" s="46"/>
      <c r="AF49" s="94"/>
      <c r="AG49" s="95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19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8"/>
      <c r="U50" s="76"/>
      <c r="V50" s="76"/>
      <c r="W50" s="78"/>
      <c r="X50" s="76"/>
      <c r="Y50" s="76"/>
      <c r="Z50" s="76"/>
      <c r="AA50" s="76"/>
      <c r="AB50" s="76"/>
      <c r="AC50" s="76"/>
      <c r="AD50" s="76"/>
      <c r="AE50" s="76"/>
      <c r="AF50" s="94"/>
      <c r="AG50" s="95"/>
    </row>
    <row r="51" customFormat="false" ht="11.1" hidden="false" customHeight="true" outlineLevel="0" collapsed="false">
      <c r="A51" s="183"/>
      <c r="B51" s="31" t="s">
        <v>83</v>
      </c>
      <c r="C51" s="7"/>
      <c r="D51" s="6"/>
      <c r="E51" s="145" t="n">
        <v>4567</v>
      </c>
      <c r="F51" s="0"/>
      <c r="G51" s="0"/>
      <c r="H51" s="11" t="s">
        <v>84</v>
      </c>
      <c r="I51" s="6"/>
      <c r="J51" s="6"/>
      <c r="K51" s="147"/>
      <c r="L51" s="54" t="n">
        <v>10240</v>
      </c>
      <c r="M51" s="6"/>
      <c r="N51" s="6"/>
      <c r="O51" s="6"/>
      <c r="P51" s="6"/>
      <c r="Q51" s="6"/>
      <c r="R51" s="6"/>
      <c r="S51" s="6"/>
      <c r="T51" s="148"/>
      <c r="U51" s="6"/>
      <c r="V51" s="6" t="s">
        <v>95</v>
      </c>
      <c r="W51" s="145" t="n">
        <v>151</v>
      </c>
      <c r="X51" s="7" t="s">
        <v>96</v>
      </c>
      <c r="Y51" s="53"/>
      <c r="Z51" s="53"/>
      <c r="AA51" s="58"/>
      <c r="AB51" s="59"/>
      <c r="AC51" s="59"/>
      <c r="AD51" s="60"/>
      <c r="AE51" s="185"/>
      <c r="AF51" s="90"/>
    </row>
    <row r="52" customFormat="false" ht="11.1" hidden="false" customHeight="true" outlineLevel="0" collapsed="false">
      <c r="A52" s="53"/>
      <c r="B52" s="31" t="s">
        <v>85</v>
      </c>
      <c r="C52" s="7"/>
      <c r="D52" s="41"/>
      <c r="E52" s="127" t="n">
        <f aca="false">L54+O54+W54</f>
        <v>4777.3740035</v>
      </c>
      <c r="F52" s="149"/>
      <c r="G52" s="0"/>
      <c r="H52" s="11" t="s">
        <v>86</v>
      </c>
      <c r="I52" s="8"/>
      <c r="J52" s="6"/>
      <c r="K52" s="44"/>
      <c r="L52" s="83" t="n">
        <f aca="false">L51/210</f>
        <v>48.7619047619048</v>
      </c>
      <c r="M52" s="6"/>
      <c r="N52" s="6"/>
      <c r="O52" s="6"/>
      <c r="P52" s="150" t="s">
        <v>87</v>
      </c>
      <c r="Q52" s="151"/>
      <c r="R52" s="152"/>
      <c r="S52" s="153" t="n">
        <v>214</v>
      </c>
      <c r="T52" s="154" t="n">
        <f aca="false">16268+1368+4</f>
        <v>17640</v>
      </c>
      <c r="U52" s="148"/>
      <c r="V52" s="6"/>
      <c r="W52" s="7" t="n">
        <f aca="false">W46/W51</f>
        <v>31.6542781456954</v>
      </c>
      <c r="X52" s="7"/>
      <c r="Y52" s="53"/>
      <c r="Z52" s="57"/>
      <c r="AA52" s="58"/>
      <c r="AB52" s="59"/>
      <c r="AC52" s="60"/>
      <c r="AD52" s="90"/>
      <c r="AE52" s="185"/>
    </row>
    <row r="53" customFormat="false" ht="11.1" hidden="false" customHeight="true" outlineLevel="0" collapsed="false">
      <c r="A53" s="84"/>
      <c r="B53" s="54"/>
      <c r="E53" s="127"/>
      <c r="F53" s="155"/>
      <c r="G53" s="0"/>
      <c r="H53" s="11" t="s">
        <v>88</v>
      </c>
      <c r="I53" s="41"/>
      <c r="J53" s="41"/>
      <c r="K53" s="156"/>
      <c r="L53" s="179" t="n">
        <f aca="false">214-S52</f>
        <v>0</v>
      </c>
      <c r="M53" s="39"/>
      <c r="N53" s="191" t="s">
        <v>103</v>
      </c>
      <c r="O53" s="158" t="n">
        <v>6289</v>
      </c>
      <c r="P53" s="159" t="s">
        <v>89</v>
      </c>
      <c r="Q53" s="160"/>
      <c r="R53" s="144"/>
      <c r="S53" s="161" t="n">
        <f aca="false">2932/210</f>
        <v>13.9619047619048</v>
      </c>
      <c r="T53" s="162" t="n">
        <f aca="false">S52*S53</f>
        <v>2987.84761904762</v>
      </c>
      <c r="U53" s="163" t="n">
        <f aca="false">14562+1946+600+15+25+3</f>
        <v>17151</v>
      </c>
      <c r="V53" s="7"/>
      <c r="W53" s="164"/>
      <c r="X53" s="160"/>
      <c r="Y53" s="84"/>
      <c r="Z53" s="57"/>
      <c r="AA53" s="58"/>
      <c r="AB53" s="59"/>
      <c r="AC53" s="60"/>
      <c r="AD53" s="100"/>
      <c r="AE53" s="185"/>
    </row>
    <row r="54" customFormat="false" ht="11.1" hidden="false" customHeight="true" outlineLevel="0" collapsed="false">
      <c r="A54" s="84"/>
      <c r="B54" s="165" t="s">
        <v>90</v>
      </c>
      <c r="C54" s="166"/>
      <c r="D54" s="166"/>
      <c r="E54" s="167" t="n">
        <f aca="false">E51-E52</f>
        <v>-210.3740035</v>
      </c>
      <c r="F54" s="0"/>
      <c r="G54" s="0"/>
      <c r="H54" s="54" t="s">
        <v>76</v>
      </c>
      <c r="I54" s="0"/>
      <c r="J54" s="41"/>
      <c r="K54" s="156"/>
      <c r="L54" s="59" t="n">
        <f aca="false">L53*L52</f>
        <v>0</v>
      </c>
      <c r="M54" s="39"/>
      <c r="N54" s="191" t="s">
        <v>104</v>
      </c>
      <c r="O54" s="59" t="n">
        <f aca="false">O53-O49</f>
        <v>-2.4219965000002</v>
      </c>
      <c r="P54" s="168"/>
      <c r="Q54" s="169"/>
      <c r="R54" s="169"/>
      <c r="S54" s="170"/>
      <c r="T54" s="171" t="n">
        <f aca="false">(T52+T53)+T46-1393</f>
        <v>1177.66660304762</v>
      </c>
      <c r="U54" s="54" t="n">
        <f aca="false">U53-U49</f>
        <v>173.172245000002</v>
      </c>
      <c r="V54" s="7"/>
      <c r="W54" s="54" t="n">
        <f aca="false">W46</f>
        <v>4779.796</v>
      </c>
      <c r="X54" s="54"/>
      <c r="Y54" s="84"/>
      <c r="Z54" s="101" t="n">
        <f aca="false">DAYS360(7/24/2002,3/31/2003,FALSE())</f>
        <v>0</v>
      </c>
      <c r="AA54" s="58"/>
      <c r="AB54" s="59"/>
      <c r="AC54" s="60"/>
      <c r="AD54" s="100"/>
      <c r="AE54" s="185"/>
    </row>
    <row r="55" customFormat="false" ht="11.1" hidden="false" customHeight="true" outlineLevel="0" collapsed="false">
      <c r="A55" s="84"/>
      <c r="B55" s="84"/>
      <c r="C55" s="54"/>
      <c r="D55" s="84"/>
      <c r="E55" s="54"/>
      <c r="F55" s="84"/>
      <c r="G55" s="55"/>
      <c r="H55" s="180"/>
      <c r="I55" s="44"/>
      <c r="J55" s="84"/>
      <c r="K55" s="84"/>
      <c r="L55" s="84"/>
      <c r="M55" s="83"/>
      <c r="N55" s="7"/>
      <c r="O55" s="83"/>
      <c r="P55" s="84"/>
      <c r="Q55" s="84"/>
      <c r="R55" s="84"/>
      <c r="S55" s="0"/>
      <c r="T55" s="54"/>
      <c r="U55" s="49"/>
      <c r="V55" s="54"/>
      <c r="W55" s="84"/>
      <c r="X55" s="84"/>
      <c r="Y55" s="84"/>
      <c r="Z55" s="57"/>
      <c r="AA55" s="58"/>
      <c r="AB55" s="59"/>
      <c r="AC55" s="60"/>
      <c r="AD55" s="100"/>
      <c r="AE55" s="185"/>
    </row>
    <row r="56" customFormat="false" ht="11.1" hidden="false" customHeight="true" outlineLevel="0" collapsed="false">
      <c r="P56" s="184" t="s">
        <v>107</v>
      </c>
      <c r="S56" s="47" t="n">
        <v>2842</v>
      </c>
    </row>
    <row r="57" customFormat="false" ht="11.1" hidden="false" customHeight="true" outlineLevel="0" collapsed="false">
      <c r="P57" s="184" t="s">
        <v>108</v>
      </c>
      <c r="S57" s="47" t="n">
        <v>706</v>
      </c>
    </row>
    <row r="58" customFormat="false" ht="11.1" hidden="false" customHeight="true" outlineLevel="0" collapsed="false">
      <c r="P58" s="184" t="s">
        <v>109</v>
      </c>
      <c r="S58" s="47" t="n">
        <v>1254</v>
      </c>
    </row>
    <row r="59" customFormat="false" ht="11.1" hidden="false" customHeight="true" outlineLevel="0" collapsed="false">
      <c r="P59" s="184" t="s">
        <v>110</v>
      </c>
      <c r="S59" s="198" t="n">
        <f aca="false">S49-(S56+S57+S58)</f>
        <v>75509.9368185</v>
      </c>
    </row>
  </sheetData>
  <mergeCells count="2">
    <mergeCell ref="K2:T2"/>
    <mergeCell ref="M4:P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/>
  <cp:lastPrinted>2012-12-02T13:19:05Z</cp:lastPrinted>
  <dcterms:modified xsi:type="dcterms:W3CDTF">2025-11-30T19:35:09Z</dcterms:modified>
  <cp:revision>11</cp:revision>
  <dc:subject>MCPHEE IN/OUT FLOW</dc:subject>
  <dc:title>RIVER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