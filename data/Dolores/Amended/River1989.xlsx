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NOV" sheetId="1" state="visible" r:id="rId2"/>
    <sheet name="DEC" sheetId="2" state="visible" r:id="rId3"/>
    <sheet name="JAN" sheetId="3" state="visible" r:id="rId4"/>
    <sheet name="FEB" sheetId="4" state="visible" r:id="rId5"/>
    <sheet name="MAR" sheetId="5" state="visible" r:id="rId6"/>
    <sheet name="APR" sheetId="6" state="visible" r:id="rId7"/>
    <sheet name="MAY" sheetId="7" state="visible" r:id="rId8"/>
    <sheet name="JUN" sheetId="8" state="visible" r:id="rId9"/>
    <sheet name="JUL" sheetId="9" state="visible" r:id="rId10"/>
    <sheet name="AUG" sheetId="10" state="visible" r:id="rId11"/>
    <sheet name="SEP" sheetId="11" state="visible" r:id="rId12"/>
    <sheet name="OCT" sheetId="12" state="visible" r:id="rId13"/>
  </sheets>
  <definedNames>
    <definedName function="false" hidden="false" localSheetId="5" name="_xlnm.Print_Area" vbProcedure="false">APR!$A$1:$AC$49</definedName>
    <definedName function="false" hidden="false" localSheetId="9" name="_xlnm.Print_Area" vbProcedure="false">AUG!$A$1:$AD$53</definedName>
    <definedName function="false" hidden="false" localSheetId="1" name="_xlnm.Print_Area" vbProcedure="false">DEC!$A$1:$AC$52</definedName>
    <definedName function="false" hidden="false" localSheetId="3" name="_xlnm.Print_Area" vbProcedure="false">FEB!$A$1:$AC$52</definedName>
    <definedName function="false" hidden="false" localSheetId="2" name="_xlnm.Print_Area" vbProcedure="false">JAN!$A$1:$AC$55</definedName>
    <definedName function="false" hidden="false" localSheetId="8" name="_xlnm.Print_Area" vbProcedure="false">JUL!$A$1:$AD$51</definedName>
    <definedName function="false" hidden="false" localSheetId="7" name="_xlnm.Print_Area" vbProcedure="false">JUN!$A$1:$AD$51</definedName>
    <definedName function="false" hidden="false" localSheetId="4" name="_xlnm.Print_Area" vbProcedure="false">MAR!$A$1:$AC$55</definedName>
    <definedName function="false" hidden="false" localSheetId="6" name="_xlnm.Print_Area" vbProcedure="false">MAY!$A$1:$AD$52</definedName>
    <definedName function="false" hidden="false" localSheetId="0" name="_xlnm.Print_Area" vbProcedure="false">NOV!$A$1:$AC$54</definedName>
    <definedName function="false" hidden="false" localSheetId="11" name="_xlnm.Print_Area" vbProcedure="false">OCT!$A$1:$AD$50</definedName>
    <definedName function="false" hidden="false" localSheetId="10" name="_xlnm.Print_Area" vbProcedure="false">SEP!$A$1:$AD$53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<sst xmlns="http://schemas.openxmlformats.org/spreadsheetml/2006/main" count="831" uniqueCount="88">
  <si>
    <t xml:space="preserve">MC  PHEE  RESERVOIR  IN/OUT  FLOW  TABULATION</t>
  </si>
  <si>
    <t xml:space="preserve">AF/cfs  CONVERT FACTOR</t>
  </si>
  <si>
    <t xml:space="preserve">           NOVEMBER  "1988"</t>
  </si>
  <si>
    <t xml:space="preserve">DATE</t>
  </si>
  <si>
    <t xml:space="preserve">RESERV</t>
  </si>
  <si>
    <t xml:space="preserve">AC  FT</t>
  </si>
  <si>
    <t xml:space="preserve">ACTIVE</t>
  </si>
  <si>
    <t xml:space="preserve">CONV  TO</t>
  </si>
  <si>
    <t xml:space="preserve">DOLORES</t>
  </si>
  <si>
    <t xml:space="preserve">LOST</t>
  </si>
  <si>
    <t xml:space="preserve">RECORDED</t>
  </si>
  <si>
    <t xml:space="preserve">CALC</t>
  </si>
  <si>
    <t xml:space="preserve">TOTAL</t>
  </si>
  <si>
    <t xml:space="preserve">TUNNEL</t>
  </si>
  <si>
    <t xml:space="preserve">LONE</t>
  </si>
  <si>
    <t xml:space="preserve">U</t>
  </si>
  <si>
    <t xml:space="preserve">MVI</t>
  </si>
  <si>
    <t xml:space="preserve">DV  CR</t>
  </si>
  <si>
    <t xml:space="preserve">BELOW</t>
  </si>
  <si>
    <t xml:space="preserve">RAIN</t>
  </si>
  <si>
    <t xml:space="preserve">MAX</t>
  </si>
  <si>
    <t xml:space="preserve">MIN</t>
  </si>
  <si>
    <t xml:space="preserve">"NOV"</t>
  </si>
  <si>
    <t xml:space="preserve">ELEV</t>
  </si>
  <si>
    <t xml:space="preserve">CHANGE</t>
  </si>
  <si>
    <t xml:space="preserve">CAP</t>
  </si>
  <si>
    <t xml:space="preserve">CFS</t>
  </si>
  <si>
    <t xml:space="preserve">RIVER</t>
  </si>
  <si>
    <t xml:space="preserve">CANYON</t>
  </si>
  <si>
    <t xml:space="preserve">INFLOW</t>
  </si>
  <si>
    <t xml:space="preserve">INF/OTF</t>
  </si>
  <si>
    <t xml:space="preserve">TOT DIV</t>
  </si>
  <si>
    <t xml:space="preserve">WETLAND</t>
  </si>
  <si>
    <t xml:space="preserve">UTE F&amp;R</t>
  </si>
  <si>
    <t xml:space="preserve">MVI,CTZ</t>
  </si>
  <si>
    <t xml:space="preserve">PINE</t>
  </si>
  <si>
    <t xml:space="preserve">LAT</t>
  </si>
  <si>
    <t xml:space="preserve">CALL</t>
  </si>
  <si>
    <t xml:space="preserve">CANAL</t>
  </si>
  <si>
    <t xml:space="preserve">MC  PHEE</t>
  </si>
  <si>
    <t xml:space="preserve">OUTFLOW</t>
  </si>
  <si>
    <t xml:space="preserve">TMP</t>
  </si>
  <si>
    <t xml:space="preserve">SEASON BAL</t>
  </si>
  <si>
    <t xml:space="preserve">YTD</t>
  </si>
  <si>
    <t xml:space="preserve">MONTH / CFS</t>
  </si>
  <si>
    <t xml:space="preserve">Avg</t>
  </si>
  <si>
    <t xml:space="preserve">MONTH / AF</t>
  </si>
  <si>
    <t xml:space="preserve">HI</t>
  </si>
  <si>
    <t xml:space="preserve">SEASON / CFS</t>
  </si>
  <si>
    <t xml:space="preserve">LO</t>
  </si>
  <si>
    <t xml:space="preserve">SEASON / AF</t>
  </si>
  <si>
    <t xml:space="preserve">YTD / CFS</t>
  </si>
  <si>
    <t xml:space="preserve">YTD / AF</t>
  </si>
  <si>
    <t xml:space="preserve">DECEMBER  "1988"</t>
  </si>
  <si>
    <t xml:space="preserve">"DEC"</t>
  </si>
  <si>
    <t xml:space="preserve">JANUARY  "1989"</t>
  </si>
  <si>
    <t xml:space="preserve">"JAN"</t>
  </si>
  <si>
    <t xml:space="preserve">AVE</t>
  </si>
  <si>
    <t xml:space="preserve">FEBRUARY  "1989"</t>
  </si>
  <si>
    <t xml:space="preserve">FEB</t>
  </si>
  <si>
    <t xml:space="preserve">MARCH  "1989"</t>
  </si>
  <si>
    <t xml:space="preserve">MAR</t>
  </si>
  <si>
    <t xml:space="preserve">APRIL  "1989"</t>
  </si>
  <si>
    <t xml:space="preserve">"APR"</t>
  </si>
  <si>
    <t xml:space="preserve">MVI/CTZ/MWC</t>
  </si>
  <si>
    <t xml:space="preserve">MAY  "1989"</t>
  </si>
  <si>
    <t xml:space="preserve">MVI CALL</t>
  </si>
  <si>
    <t xml:space="preserve">"MAY"</t>
  </si>
  <si>
    <t xml:space="preserve">APR/OCT</t>
  </si>
  <si>
    <t xml:space="preserve">AVG</t>
  </si>
  <si>
    <t xml:space="preserve">Diff</t>
  </si>
  <si>
    <t xml:space="preserve">Daily M&amp;I &amp; Evap</t>
  </si>
  <si>
    <t xml:space="preserve">JUNE  "1989"</t>
  </si>
  <si>
    <t xml:space="preserve">MVIC</t>
  </si>
  <si>
    <t xml:space="preserve">"JUN"</t>
  </si>
  <si>
    <t xml:space="preserve">Daily Call</t>
  </si>
  <si>
    <t xml:space="preserve">JULY  "1889"</t>
  </si>
  <si>
    <t xml:space="preserve">"JUL"</t>
  </si>
  <si>
    <t xml:space="preserve">AUGUST  "1889"</t>
  </si>
  <si>
    <t xml:space="preserve">"AUG"</t>
  </si>
  <si>
    <t xml:space="preserve">DAILY</t>
  </si>
  <si>
    <t xml:space="preserve">SEPTEMBER  "1889"</t>
  </si>
  <si>
    <t xml:space="preserve">"SEP"</t>
  </si>
  <si>
    <t xml:space="preserve">OCTOBER  "1889"</t>
  </si>
  <si>
    <t xml:space="preserve">"OCT"</t>
  </si>
  <si>
    <t xml:space="preserve">Cortez</t>
  </si>
  <si>
    <t xml:space="preserve">m wat</t>
  </si>
  <si>
    <t xml:space="preserve">Tot MVI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</si>
</sst>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#,##0"/>
    <numFmt numFmtId="166" formatCode="0.00_);\(0.00\)"/>
    <numFmt numFmtId="167" formatCode="0.0"/>
    <numFmt numFmtId="168" formatCode="0"/>
    <numFmt numFmtId="169" formatCode="#,##0.0"/>
    <numFmt numFmtId="170" formatCode="##0.0"/>
    <numFmt numFmtId="171" formatCode="0.00"/>
    <numFmt numFmtId="172" formatCode="0.0000"/>
    <numFmt numFmtId="173" formatCode="0.000"/>
    <numFmt numFmtId="174" formatCode="#,##0.00"/>
    <numFmt numFmtId="175" formatCode="[$-409]d\-mmm"/>
    <numFmt numFmtId="176" formatCode="0%"/>
    <numFmt numFmtId="177" formatCode="0.0_);\(0.0\)"/>
    <numFmt numFmtId="178" formatCode="#,##0.00000"/>
    <numFmt numFmtId="179" formatCode="#,##0.0000"/>
    <numFmt numFmtId="180" formatCode="0.00_);[RED]\(0.00\)"/>
  </numFmts>
  <fonts count="17">
    <font>
      <sz val="8"/>
      <name val="LinePrinter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 Narrow"/>
      <family val="0"/>
    </font>
    <font>
      <b val="true"/>
      <i val="true"/>
      <sz val="12"/>
      <name val="Arial Narrow"/>
      <family val="0"/>
    </font>
    <font>
      <sz val="6"/>
      <name val="Arial Narrow"/>
      <family val="0"/>
    </font>
    <font>
      <b val="true"/>
      <sz val="6"/>
      <name val="Arial Narrow"/>
      <family val="0"/>
    </font>
    <font>
      <sz val="6"/>
      <name val="Arial Narrow"/>
      <family val="2"/>
    </font>
    <font>
      <b val="true"/>
      <sz val="9"/>
      <name val="Arial Narrow"/>
      <family val="0"/>
    </font>
    <font>
      <sz val="6"/>
      <name val="Arial"/>
      <family val="0"/>
    </font>
    <font>
      <sz val="8"/>
      <name val="Arial"/>
      <family val="0"/>
    </font>
    <font>
      <b val="true"/>
      <sz val="12"/>
      <name val="Arial Narrow"/>
      <family val="0"/>
    </font>
    <font>
      <sz val="4"/>
      <name val="LinePrinter"/>
      <family val="3"/>
    </font>
    <font>
      <b val="true"/>
      <sz val="8"/>
      <name val="Arial Narrow"/>
      <family val="0"/>
    </font>
    <font>
      <sz val="8"/>
      <name val="Arial Narrow"/>
      <family val="2"/>
    </font>
    <font>
      <sz val="6"/>
      <name val="LinePrinter"/>
      <family val="3"/>
    </font>
  </fonts>
  <fills count="5">
    <fill>
      <patternFill patternType="none"/>
    </fill>
    <fill>
      <patternFill patternType="gray125"/>
    </fill>
    <fill>
      <patternFill patternType="solid">
        <fgColor rgb="FF464648"/>
        <bgColor rgb="FF333300"/>
      </patternFill>
    </fill>
    <fill>
      <patternFill patternType="solid">
        <fgColor rgb="FF1EFC1E"/>
        <bgColor rgb="FF33CCCC"/>
      </patternFill>
    </fill>
    <fill>
      <patternFill patternType="solid">
        <fgColor rgb="FFCC9CCC"/>
        <bgColor rgb="FFFF99CC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thin">
        <color rgb="FFEEEEEC"/>
      </top>
      <bottom style="thin">
        <color rgb="FFEEEEEC"/>
      </bottom>
      <diagonal/>
    </border>
    <border diagonalUp="false" diagonalDown="false">
      <left/>
      <right/>
      <top style="thin">
        <color rgb="FFEEEEEC"/>
      </top>
      <bottom/>
      <diagonal/>
    </border>
    <border diagonalUp="false" diagonalDown="false">
      <left style="thin">
        <color rgb="FFEEEEEC"/>
      </left>
      <right/>
      <top/>
      <bottom style="thin">
        <color rgb="FFEEEEEC"/>
      </bottom>
      <diagonal/>
    </border>
    <border diagonalUp="false" diagonalDown="false">
      <left/>
      <right style="thin">
        <color rgb="FFEEEEEC"/>
      </right>
      <top/>
      <bottom style="thin">
        <color rgb="FFEEEEE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4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6" fontId="0" fillId="0" borderId="0" applyFont="true" applyBorder="false" applyAlignment="false" applyProtection="false"/>
    <xf numFmtId="164" fontId="0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StyleXfs>
  <cellXfs count="1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4" fillId="0" borderId="0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0" fontId="4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RIVER054" xfId="20"/>
  </cellStyles>
  <colors>
    <indexedColors>
      <rgbColor rgb="FF000000"/>
      <rgbColor rgb="FFEEEEEC"/>
      <rgbColor rgb="FFFF0000"/>
      <rgbColor rgb="FF1EFC1E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CCC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646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485280</xdr:colOff>
      <xdr:row>28</xdr:row>
      <xdr:rowOff>0</xdr:rowOff>
    </xdr:from>
    <xdr:to>
      <xdr:col>7</xdr:col>
      <xdr:colOff>22320</xdr:colOff>
      <xdr:row>29</xdr:row>
      <xdr:rowOff>28440</xdr:rowOff>
    </xdr:to>
    <xdr:sp>
      <xdr:nvSpPr>
        <xdr:cNvPr id="0" name="Text 1"/>
        <xdr:cNvSpPr/>
      </xdr:nvSpPr>
      <xdr:spPr>
        <a:xfrm>
          <a:off x="2802960" y="3920400"/>
          <a:ext cx="496440" cy="16956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pc="-1" strike="noStrike">
              <a:latin typeface="LinePrinter"/>
            </a:rPr>
            <a:t>thawed</a:t>
          </a:r>
          <a:endParaRPr b="0" lang="en-US" sz="800" spc="-1" strike="noStrike">
            <a:latin typeface="Times New Roman"/>
          </a:endParaRPr>
        </a:p>
        <a:p>
          <a:endParaRPr b="0" lang="en-US" sz="800" spc="-1" strike="noStrike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22</xdr:col>
      <xdr:colOff>0</xdr:colOff>
      <xdr:row>9</xdr:row>
      <xdr:rowOff>57240</xdr:rowOff>
    </xdr:from>
    <xdr:to>
      <xdr:col>22</xdr:col>
      <xdr:colOff>216000</xdr:colOff>
      <xdr:row>11</xdr:row>
      <xdr:rowOff>19440</xdr:rowOff>
    </xdr:to>
    <xdr:sp>
      <xdr:nvSpPr>
        <xdr:cNvPr id="1" name="Text 2"/>
        <xdr:cNvSpPr/>
      </xdr:nvSpPr>
      <xdr:spPr>
        <a:xfrm>
          <a:off x="8494560" y="1299240"/>
          <a:ext cx="216000" cy="24408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400" spc="-1" strike="noStrike">
              <a:latin typeface="LinePrinter"/>
            </a:rPr>
            <a:t>SPILL STARTED</a:t>
          </a:r>
          <a:endParaRPr b="0" lang="en-US" sz="400" spc="-1" strike="noStrike">
            <a:latin typeface="Times New Roman"/>
          </a:endParaRPr>
        </a:p>
        <a:p>
          <a:r>
            <a:rPr b="0" lang="en-US" sz="400" spc="-1" strike="noStrike">
              <a:latin typeface="LinePrinter"/>
            </a:rPr>
            <a:t>NO DEBIT</a:t>
          </a:r>
          <a:endParaRPr b="0" lang="en-US" sz="400" spc="-1" strike="noStrike">
            <a:latin typeface="Times New Roman"/>
          </a:endParaRPr>
        </a:p>
      </xdr:txBody>
    </xdr:sp>
    <xdr:clientData/>
  </xdr:twoCellAnchor>
</xdr:wsDr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J34" activePane="bottomRight" state="frozen"/>
      <selection pane="topLeft" activeCell="A1" activeCellId="0" sqref="A1"/>
      <selection pane="topRight" activeCell="J1" activeCellId="0" sqref="J1"/>
      <selection pane="bottomLeft" activeCell="A34" activeCellId="0" sqref="A34"/>
      <selection pane="bottomRight" activeCell="L2" activeCellId="0" sqref="L2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5.66"/>
    <col collapsed="false" customWidth="true" hidden="false" outlineLevel="0" max="2" min="2" style="0" width="7.82"/>
    <col collapsed="false" customWidth="true" hidden="false" outlineLevel="0" max="3" min="3" style="1" width="7.49"/>
    <col collapsed="false" customWidth="true" hidden="false" outlineLevel="0" max="4" min="4" style="0" width="6.99"/>
    <col collapsed="false" customWidth="true" hidden="false" outlineLevel="0" max="5" min="5" style="1" width="7.66"/>
    <col collapsed="false" customWidth="true" hidden="false" outlineLevel="0" max="6" min="6" style="0" width="7.66"/>
    <col collapsed="false" customWidth="true" hidden="false" outlineLevel="0" max="7" min="7" style="0" width="7.16"/>
    <col collapsed="false" customWidth="true" hidden="false" outlineLevel="0" max="8" min="8" style="2" width="6.66"/>
    <col collapsed="false" customWidth="true" hidden="false" outlineLevel="0" max="9" min="9" style="0" width="7.99"/>
    <col collapsed="false" customWidth="true" hidden="false" outlineLevel="0" max="10" min="10" style="0" width="6.66"/>
    <col collapsed="false" customWidth="true" hidden="false" outlineLevel="0" max="12" min="11" style="0" width="7.16"/>
    <col collapsed="false" customWidth="true" hidden="false" outlineLevel="0" max="13" min="13" style="3" width="6.16"/>
    <col collapsed="false" customWidth="true" hidden="true" outlineLevel="0" max="14" min="14" style="3" width="7.32"/>
    <col collapsed="false" customWidth="true" hidden="true" outlineLevel="0" max="15" min="15" style="3" width="6.49"/>
    <col collapsed="false" customWidth="true" hidden="true" outlineLevel="0" max="16" min="16" style="0" width="7.16"/>
    <col collapsed="false" customWidth="true" hidden="false" outlineLevel="0" max="17" min="17" style="0" width="6.32"/>
    <col collapsed="false" customWidth="true" hidden="false" outlineLevel="0" max="18" min="18" style="0" width="5.82"/>
    <col collapsed="false" customWidth="true" hidden="false" outlineLevel="0" max="19" min="19" style="1" width="6.82"/>
    <col collapsed="false" customWidth="true" hidden="false" outlineLevel="0" max="20" min="20" style="0" width="7.66"/>
    <col collapsed="false" customWidth="true" hidden="false" outlineLevel="0" max="21" min="21" style="0" width="5.99"/>
    <col collapsed="false" customWidth="true" hidden="false" outlineLevel="0" max="22" min="22" style="1" width="6.66"/>
    <col collapsed="false" customWidth="true" hidden="false" outlineLevel="0" max="24" min="23" style="0" width="7.82"/>
    <col collapsed="false" customWidth="true" hidden="false" outlineLevel="0" max="25" min="25" style="2" width="8.16"/>
    <col collapsed="false" customWidth="true" hidden="false" outlineLevel="0" max="26" min="26" style="2" width="4.66"/>
    <col collapsed="false" customWidth="true" hidden="false" outlineLevel="0" max="27" min="27" style="4" width="4.66"/>
    <col collapsed="false" customWidth="true" hidden="false" outlineLevel="0" max="28" min="28" style="5" width="4.66"/>
    <col collapsed="false" customWidth="true" hidden="false" outlineLevel="0" max="29" min="29" style="0" width="5.66"/>
  </cols>
  <sheetData>
    <row r="1" customFormat="false" ht="14.1" hidden="false" customHeight="true" outlineLevel="0" collapsed="false">
      <c r="A1" s="6"/>
      <c r="B1" s="6"/>
      <c r="C1" s="7"/>
      <c r="D1" s="6"/>
      <c r="E1" s="7"/>
      <c r="F1" s="6"/>
      <c r="G1" s="6"/>
      <c r="H1" s="8"/>
      <c r="I1" s="6"/>
      <c r="J1" s="6"/>
      <c r="K1" s="9" t="s">
        <v>0</v>
      </c>
      <c r="L1" s="6"/>
      <c r="M1" s="6"/>
      <c r="N1" s="6"/>
      <c r="O1" s="6"/>
      <c r="P1" s="6"/>
      <c r="Q1" s="6"/>
      <c r="R1" s="6"/>
      <c r="S1" s="7"/>
      <c r="T1" s="6"/>
      <c r="U1" s="6"/>
      <c r="V1" s="7"/>
      <c r="W1" s="6"/>
      <c r="X1" s="6"/>
      <c r="Y1" s="10"/>
      <c r="Z1" s="11"/>
      <c r="AA1" s="12"/>
      <c r="AB1" s="13"/>
    </row>
    <row r="2" customFormat="false" ht="14.1" hidden="false" customHeight="true" outlineLevel="0" collapsed="false">
      <c r="A2" s="6" t="s">
        <v>1</v>
      </c>
      <c r="B2" s="6"/>
      <c r="C2" s="7"/>
      <c r="D2" s="14" t="n">
        <v>1.9835</v>
      </c>
      <c r="E2" s="7"/>
      <c r="F2" s="6"/>
      <c r="G2" s="6"/>
      <c r="H2" s="8"/>
      <c r="I2" s="6"/>
      <c r="J2" s="6"/>
      <c r="K2" s="6"/>
      <c r="L2" s="9" t="s">
        <v>2</v>
      </c>
      <c r="M2" s="6"/>
      <c r="N2" s="6"/>
      <c r="O2" s="6"/>
      <c r="P2" s="6"/>
      <c r="Q2" s="6"/>
      <c r="R2" s="6"/>
      <c r="S2" s="7"/>
      <c r="T2" s="6"/>
      <c r="U2" s="6"/>
      <c r="V2" s="7"/>
      <c r="W2" s="6"/>
      <c r="X2" s="6"/>
      <c r="Y2" s="10"/>
      <c r="Z2" s="11"/>
      <c r="AA2" s="12"/>
      <c r="AB2" s="13"/>
    </row>
    <row r="3" customFormat="false" ht="11.1" hidden="false" customHeight="true" outlineLevel="0" collapsed="false">
      <c r="A3" s="6"/>
      <c r="B3" s="6"/>
      <c r="C3" s="7"/>
      <c r="D3" s="15"/>
      <c r="E3" s="7"/>
      <c r="F3" s="6"/>
      <c r="G3" s="6"/>
      <c r="H3" s="8"/>
      <c r="I3" s="6"/>
      <c r="J3" s="6"/>
      <c r="K3" s="6"/>
      <c r="L3" s="6"/>
      <c r="M3" s="6"/>
      <c r="N3" s="6"/>
      <c r="O3" s="6"/>
      <c r="P3" s="6"/>
      <c r="Q3" s="6"/>
      <c r="R3" s="6"/>
      <c r="S3" s="7"/>
      <c r="T3" s="6"/>
      <c r="U3" s="6"/>
      <c r="V3" s="7"/>
      <c r="W3" s="6"/>
      <c r="X3" s="6"/>
      <c r="Y3" s="10"/>
      <c r="Z3" s="11"/>
      <c r="AA3" s="12"/>
      <c r="AB3" s="13"/>
    </row>
    <row r="4" customFormat="false" ht="11.1" hidden="false" customHeight="true" outlineLevel="0" collapsed="false">
      <c r="A4" s="16" t="s">
        <v>3</v>
      </c>
      <c r="B4" s="16" t="s">
        <v>4</v>
      </c>
      <c r="C4" s="17" t="s">
        <v>4</v>
      </c>
      <c r="D4" s="16" t="s">
        <v>5</v>
      </c>
      <c r="E4" s="17" t="s">
        <v>6</v>
      </c>
      <c r="F4" s="16" t="s">
        <v>7</v>
      </c>
      <c r="G4" s="16" t="s">
        <v>8</v>
      </c>
      <c r="H4" s="18" t="s">
        <v>9</v>
      </c>
      <c r="I4" s="16" t="s">
        <v>10</v>
      </c>
      <c r="J4" s="16" t="s">
        <v>11</v>
      </c>
      <c r="K4" s="16" t="s">
        <v>12</v>
      </c>
      <c r="L4" s="16" t="s">
        <v>11</v>
      </c>
      <c r="M4" s="19" t="s">
        <v>13</v>
      </c>
      <c r="N4" s="19"/>
      <c r="O4" s="19"/>
      <c r="P4" s="19"/>
      <c r="Q4" s="16" t="s">
        <v>14</v>
      </c>
      <c r="R4" s="16" t="s">
        <v>15</v>
      </c>
      <c r="S4" s="16" t="s">
        <v>12</v>
      </c>
      <c r="T4" s="17" t="s">
        <v>16</v>
      </c>
      <c r="U4" s="16" t="s">
        <v>17</v>
      </c>
      <c r="V4" s="16" t="s">
        <v>18</v>
      </c>
      <c r="W4" s="16" t="s">
        <v>10</v>
      </c>
      <c r="X4" s="16" t="s">
        <v>11</v>
      </c>
      <c r="Y4" s="16" t="s">
        <v>12</v>
      </c>
      <c r="Z4" s="20" t="s">
        <v>19</v>
      </c>
      <c r="AA4" s="21" t="s">
        <v>20</v>
      </c>
      <c r="AB4" s="21" t="s">
        <v>21</v>
      </c>
      <c r="AC4" s="21" t="s">
        <v>3</v>
      </c>
    </row>
    <row r="5" customFormat="false" ht="11.1" hidden="false" customHeight="true" outlineLevel="0" collapsed="false">
      <c r="A5" s="22" t="s">
        <v>22</v>
      </c>
      <c r="B5" s="16" t="s">
        <v>23</v>
      </c>
      <c r="C5" s="17" t="s">
        <v>5</v>
      </c>
      <c r="D5" s="16" t="s">
        <v>24</v>
      </c>
      <c r="E5" s="17" t="s">
        <v>25</v>
      </c>
      <c r="F5" s="16" t="s">
        <v>26</v>
      </c>
      <c r="G5" s="16" t="s">
        <v>27</v>
      </c>
      <c r="H5" s="18" t="s">
        <v>28</v>
      </c>
      <c r="I5" s="16" t="s">
        <v>29</v>
      </c>
      <c r="J5" s="16" t="s">
        <v>29</v>
      </c>
      <c r="K5" s="16" t="s">
        <v>29</v>
      </c>
      <c r="L5" s="16" t="s">
        <v>30</v>
      </c>
      <c r="M5" s="16" t="s">
        <v>31</v>
      </c>
      <c r="N5" s="16" t="s">
        <v>32</v>
      </c>
      <c r="O5" s="16" t="s">
        <v>33</v>
      </c>
      <c r="P5" s="23" t="s">
        <v>34</v>
      </c>
      <c r="Q5" s="16" t="s">
        <v>35</v>
      </c>
      <c r="R5" s="16" t="s">
        <v>36</v>
      </c>
      <c r="S5" s="16" t="s">
        <v>16</v>
      </c>
      <c r="T5" s="17" t="s">
        <v>37</v>
      </c>
      <c r="U5" s="16" t="s">
        <v>38</v>
      </c>
      <c r="V5" s="16" t="s">
        <v>39</v>
      </c>
      <c r="W5" s="16" t="s">
        <v>40</v>
      </c>
      <c r="X5" s="16" t="s">
        <v>40</v>
      </c>
      <c r="Y5" s="16" t="s">
        <v>40</v>
      </c>
      <c r="Z5" s="24"/>
      <c r="AA5" s="21" t="s">
        <v>41</v>
      </c>
      <c r="AB5" s="21" t="s">
        <v>41</v>
      </c>
      <c r="AC5" s="25" t="s">
        <v>22</v>
      </c>
    </row>
    <row r="6" customFormat="false" ht="11.1" hidden="false" customHeight="true" outlineLevel="0" collapsed="false">
      <c r="A6" s="26"/>
      <c r="B6" s="26"/>
      <c r="C6" s="27"/>
      <c r="D6" s="26"/>
      <c r="E6" s="27"/>
      <c r="F6" s="26"/>
      <c r="G6" s="26"/>
      <c r="H6" s="28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7"/>
      <c r="U6" s="26"/>
      <c r="V6" s="26"/>
      <c r="W6" s="26"/>
      <c r="X6" s="26"/>
      <c r="Y6" s="26"/>
      <c r="Z6" s="11"/>
      <c r="AA6" s="13"/>
      <c r="AB6" s="13"/>
      <c r="AC6" s="13"/>
    </row>
    <row r="7" customFormat="false" ht="11.1" hidden="false" customHeight="true" outlineLevel="0" collapsed="false">
      <c r="A7" s="6" t="s">
        <v>42</v>
      </c>
      <c r="B7" s="6"/>
      <c r="C7" s="7"/>
      <c r="D7" s="7"/>
      <c r="E7" s="7"/>
      <c r="F7" s="7"/>
      <c r="G7" s="7"/>
      <c r="H7" s="12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11"/>
      <c r="AA7" s="12"/>
      <c r="AB7" s="12"/>
      <c r="AC7" s="13"/>
    </row>
    <row r="8" s="1" customFormat="true" ht="11.1" hidden="false" customHeight="true" outlineLevel="0" collapsed="false">
      <c r="A8" s="7" t="s">
        <v>43</v>
      </c>
      <c r="B8" s="29" t="n">
        <v>6910.74</v>
      </c>
      <c r="C8" s="7" t="n">
        <v>324956</v>
      </c>
      <c r="D8" s="7"/>
      <c r="E8" s="7"/>
      <c r="F8" s="7"/>
      <c r="G8" s="7"/>
      <c r="H8" s="12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11"/>
      <c r="AA8" s="12"/>
      <c r="AB8" s="12"/>
      <c r="AC8" s="13"/>
    </row>
    <row r="9" customFormat="false" ht="3" hidden="false" customHeight="true" outlineLevel="0" collapsed="false">
      <c r="A9" s="30"/>
      <c r="B9" s="31"/>
      <c r="C9" s="32"/>
      <c r="D9" s="30"/>
      <c r="E9" s="32"/>
      <c r="F9" s="30"/>
      <c r="G9" s="30"/>
      <c r="H9" s="33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2"/>
      <c r="U9" s="30"/>
      <c r="V9" s="30"/>
      <c r="W9" s="30"/>
      <c r="X9" s="30"/>
      <c r="Y9" s="30"/>
      <c r="Z9" s="34"/>
      <c r="AA9" s="35"/>
      <c r="AB9" s="35"/>
      <c r="AC9" s="36"/>
    </row>
    <row r="10" customFormat="false" ht="11.1" hidden="false" customHeight="true" outlineLevel="0" collapsed="false">
      <c r="A10" s="13" t="n">
        <v>1</v>
      </c>
      <c r="B10" s="29" t="n">
        <v>6910.69</v>
      </c>
      <c r="C10" s="7" t="n">
        <v>324755</v>
      </c>
      <c r="D10" s="12" t="n">
        <f aca="false">C10-C8</f>
        <v>-201</v>
      </c>
      <c r="E10" s="7" t="n">
        <f aca="false">C10-152000</f>
        <v>172755</v>
      </c>
      <c r="F10" s="6" t="n">
        <f aca="false">D10/$D$2</f>
        <v>-101.33602218301</v>
      </c>
      <c r="G10" s="6" t="n">
        <v>77.22</v>
      </c>
      <c r="H10" s="8" t="n">
        <v>0</v>
      </c>
      <c r="I10" s="6" t="n">
        <f aca="false">G10+H10</f>
        <v>77.22</v>
      </c>
      <c r="J10" s="37" t="n">
        <f aca="false">IF(L10&gt;0,L10,0)</f>
        <v>0</v>
      </c>
      <c r="K10" s="6" t="n">
        <f aca="false">I10+J10</f>
        <v>77.22</v>
      </c>
      <c r="L10" s="6" t="n">
        <f aca="false">F10-(I10-W10)</f>
        <v>-11.0660221830098</v>
      </c>
      <c r="M10" s="6" t="n">
        <v>58.74</v>
      </c>
      <c r="N10" s="6" t="n">
        <v>0</v>
      </c>
      <c r="O10" s="6" t="n">
        <v>0</v>
      </c>
      <c r="P10" s="6" t="n">
        <f aca="false">M10-(N10+O10)</f>
        <v>58.74</v>
      </c>
      <c r="Q10" s="6" t="n">
        <v>0</v>
      </c>
      <c r="R10" s="6" t="n">
        <v>30.26</v>
      </c>
      <c r="S10" s="6" t="n">
        <f aca="false">SUM(P10:R10)</f>
        <v>89</v>
      </c>
      <c r="T10" s="7"/>
      <c r="U10" s="6" t="n">
        <v>0</v>
      </c>
      <c r="V10" s="6" t="n">
        <v>78.49</v>
      </c>
      <c r="W10" s="6" t="n">
        <f aca="false">N10+O10+S10+U10+V10</f>
        <v>167.49</v>
      </c>
      <c r="X10" s="6" t="n">
        <f aca="false">IF(L10&lt;0,L10*-1,0)</f>
        <v>11.0660221830098</v>
      </c>
      <c r="Y10" s="6" t="n">
        <f aca="false">W10+X10</f>
        <v>178.55602218301</v>
      </c>
      <c r="Z10" s="11" t="n">
        <v>0</v>
      </c>
      <c r="AA10" s="12" t="n">
        <v>61</v>
      </c>
      <c r="AB10" s="12" t="n">
        <v>34</v>
      </c>
      <c r="AC10" s="13" t="n">
        <v>1</v>
      </c>
    </row>
    <row r="11" customFormat="false" ht="11.1" hidden="false" customHeight="true" outlineLevel="0" collapsed="false">
      <c r="A11" s="13" t="n">
        <f aca="false">A10+1</f>
        <v>2</v>
      </c>
      <c r="B11" s="38" t="n">
        <v>6910.65</v>
      </c>
      <c r="C11" s="7" t="n">
        <v>324595</v>
      </c>
      <c r="D11" s="12" t="n">
        <f aca="false">C11-C10</f>
        <v>-160</v>
      </c>
      <c r="E11" s="7" t="n">
        <f aca="false">C11-152000</f>
        <v>172595</v>
      </c>
      <c r="F11" s="6" t="n">
        <f aca="false">D11/$D$2</f>
        <v>-80.6654902949332</v>
      </c>
      <c r="G11" s="6" t="n">
        <v>73.43</v>
      </c>
      <c r="H11" s="8" t="n">
        <v>0</v>
      </c>
      <c r="I11" s="6" t="n">
        <f aca="false">G11+H11</f>
        <v>73.43</v>
      </c>
      <c r="J11" s="37" t="n">
        <f aca="false">IF(L11&gt;0,L11,0)</f>
        <v>13.4245097050668</v>
      </c>
      <c r="K11" s="6" t="n">
        <f aca="false">I11+J11</f>
        <v>86.8545097050668</v>
      </c>
      <c r="L11" s="6" t="n">
        <f aca="false">F11-(I11-W11)</f>
        <v>13.4245097050668</v>
      </c>
      <c r="M11" s="6" t="n">
        <v>58.74</v>
      </c>
      <c r="N11" s="6" t="n">
        <v>0</v>
      </c>
      <c r="O11" s="6" t="n">
        <v>0</v>
      </c>
      <c r="P11" s="6" t="n">
        <f aca="false">M11-(N11+O11)</f>
        <v>58.74</v>
      </c>
      <c r="Q11" s="6" t="n">
        <v>0</v>
      </c>
      <c r="R11" s="6" t="n">
        <v>30.26</v>
      </c>
      <c r="S11" s="6" t="n">
        <f aca="false">SUM(P11:R11)</f>
        <v>89</v>
      </c>
      <c r="T11" s="7"/>
      <c r="U11" s="6" t="n">
        <v>0</v>
      </c>
      <c r="V11" s="6" t="n">
        <v>78.52</v>
      </c>
      <c r="W11" s="6" t="n">
        <f aca="false">N11+O11+S11+U11+V11</f>
        <v>167.52</v>
      </c>
      <c r="X11" s="6" t="n">
        <f aca="false">IF(L11&lt;0,L11*-1,0)</f>
        <v>0</v>
      </c>
      <c r="Y11" s="6" t="n">
        <f aca="false">W11+X11</f>
        <v>167.52</v>
      </c>
      <c r="Z11" s="11" t="n">
        <v>0</v>
      </c>
      <c r="AA11" s="12" t="n">
        <v>61</v>
      </c>
      <c r="AB11" s="12" t="n">
        <v>33</v>
      </c>
      <c r="AC11" s="13" t="n">
        <f aca="false">AC10+1</f>
        <v>2</v>
      </c>
    </row>
    <row r="12" customFormat="false" ht="11.1" hidden="false" customHeight="true" outlineLevel="0" collapsed="false">
      <c r="A12" s="13" t="n">
        <f aca="false">A11+1</f>
        <v>3</v>
      </c>
      <c r="B12" s="29" t="n">
        <v>6910.61</v>
      </c>
      <c r="C12" s="7" t="n">
        <v>324434</v>
      </c>
      <c r="D12" s="12" t="n">
        <f aca="false">C12-C11</f>
        <v>-161</v>
      </c>
      <c r="E12" s="7" t="n">
        <f aca="false">C12-152000</f>
        <v>172434</v>
      </c>
      <c r="F12" s="6" t="n">
        <f aca="false">D12/$D$2</f>
        <v>-81.1696496092765</v>
      </c>
      <c r="G12" s="6" t="n">
        <v>73.43</v>
      </c>
      <c r="H12" s="8" t="n">
        <v>0</v>
      </c>
      <c r="I12" s="6" t="n">
        <f aca="false">G12+H12</f>
        <v>73.43</v>
      </c>
      <c r="J12" s="37" t="n">
        <f aca="false">IF(L12&gt;0,L12,0)</f>
        <v>11.8903503907235</v>
      </c>
      <c r="K12" s="6" t="n">
        <f aca="false">I12+J12</f>
        <v>85.3203503907235</v>
      </c>
      <c r="L12" s="6" t="n">
        <f aca="false">F12-(I12-W12)</f>
        <v>11.8903503907235</v>
      </c>
      <c r="M12" s="6" t="n">
        <v>58.74</v>
      </c>
      <c r="N12" s="6" t="n">
        <v>0</v>
      </c>
      <c r="O12" s="6" t="n">
        <v>0</v>
      </c>
      <c r="P12" s="6" t="n">
        <f aca="false">M12-(N12+O12)</f>
        <v>58.74</v>
      </c>
      <c r="Q12" s="6" t="n">
        <v>0</v>
      </c>
      <c r="R12" s="6" t="n">
        <v>29.26</v>
      </c>
      <c r="S12" s="6" t="n">
        <f aca="false">SUM(P12:R12)</f>
        <v>88</v>
      </c>
      <c r="T12" s="7"/>
      <c r="U12" s="6" t="n">
        <v>0</v>
      </c>
      <c r="V12" s="6" t="n">
        <v>78.49</v>
      </c>
      <c r="W12" s="6" t="n">
        <f aca="false">N12+O12+S12+U12+V12</f>
        <v>166.49</v>
      </c>
      <c r="X12" s="6" t="n">
        <f aca="false">IF(L12&lt;0,L12*-1,0)</f>
        <v>0</v>
      </c>
      <c r="Y12" s="6" t="n">
        <f aca="false">W12+X12</f>
        <v>166.49</v>
      </c>
      <c r="Z12" s="11" t="n">
        <v>0</v>
      </c>
      <c r="AA12" s="12" t="n">
        <v>60</v>
      </c>
      <c r="AB12" s="12" t="n">
        <v>31</v>
      </c>
      <c r="AC12" s="13" t="n">
        <f aca="false">AC11+1</f>
        <v>3</v>
      </c>
    </row>
    <row r="13" customFormat="false" ht="11.1" hidden="false" customHeight="true" outlineLevel="0" collapsed="false">
      <c r="A13" s="13" t="n">
        <f aca="false">A12+1</f>
        <v>4</v>
      </c>
      <c r="B13" s="29" t="n">
        <v>6910.56</v>
      </c>
      <c r="C13" s="7" t="n">
        <v>324234</v>
      </c>
      <c r="D13" s="12" t="n">
        <f aca="false">C13-C12</f>
        <v>-200</v>
      </c>
      <c r="E13" s="7" t="n">
        <f aca="false">C13-152000</f>
        <v>172234</v>
      </c>
      <c r="F13" s="6" t="n">
        <f aca="false">D13/$D$2</f>
        <v>-100.831862868667</v>
      </c>
      <c r="G13" s="6" t="n">
        <v>71.81</v>
      </c>
      <c r="H13" s="8" t="n">
        <v>0</v>
      </c>
      <c r="I13" s="6" t="n">
        <f aca="false">G13+H13</f>
        <v>71.81</v>
      </c>
      <c r="J13" s="37" t="n">
        <f aca="false">IF(L13&gt;0,L13,0)</f>
        <v>0</v>
      </c>
      <c r="K13" s="6" t="n">
        <f aca="false">I13+J13</f>
        <v>71.81</v>
      </c>
      <c r="L13" s="6" t="n">
        <f aca="false">F13-(I13-W13)</f>
        <v>-12.1018628686665</v>
      </c>
      <c r="M13" s="6" t="n">
        <v>53.91</v>
      </c>
      <c r="N13" s="6" t="n">
        <v>0</v>
      </c>
      <c r="O13" s="6" t="n">
        <v>0</v>
      </c>
      <c r="P13" s="6" t="n">
        <f aca="false">M13-(N13+O13)</f>
        <v>53.91</v>
      </c>
      <c r="Q13" s="6" t="n">
        <v>0</v>
      </c>
      <c r="R13" s="6" t="n">
        <v>28.09</v>
      </c>
      <c r="S13" s="6" t="n">
        <f aca="false">SUM(P13:R13)</f>
        <v>82</v>
      </c>
      <c r="T13" s="7"/>
      <c r="U13" s="6" t="n">
        <v>0</v>
      </c>
      <c r="V13" s="6" t="n">
        <v>78.54</v>
      </c>
      <c r="W13" s="6" t="n">
        <f aca="false">N13+O13+S13+U13+V13</f>
        <v>160.54</v>
      </c>
      <c r="X13" s="6" t="n">
        <f aca="false">IF(L13&lt;0,L13*-1,0)</f>
        <v>12.1018628686665</v>
      </c>
      <c r="Y13" s="6" t="n">
        <f aca="false">W13+X13</f>
        <v>172.641862868667</v>
      </c>
      <c r="Z13" s="11" t="n">
        <v>0</v>
      </c>
      <c r="AA13" s="12" t="n">
        <v>57</v>
      </c>
      <c r="AB13" s="12" t="n">
        <v>32</v>
      </c>
      <c r="AC13" s="13" t="n">
        <f aca="false">AC12+1</f>
        <v>4</v>
      </c>
    </row>
    <row r="14" customFormat="false" ht="11.1" hidden="false" customHeight="true" outlineLevel="0" collapsed="false">
      <c r="A14" s="13" t="n">
        <f aca="false">A13+1</f>
        <v>5</v>
      </c>
      <c r="B14" s="29" t="n">
        <v>6910.51</v>
      </c>
      <c r="C14" s="7" t="n">
        <v>324033</v>
      </c>
      <c r="D14" s="12" t="n">
        <f aca="false">C14-C13</f>
        <v>-201</v>
      </c>
      <c r="E14" s="7" t="n">
        <f aca="false">C14-152000</f>
        <v>172033</v>
      </c>
      <c r="F14" s="6" t="n">
        <f aca="false">D14/$D$2</f>
        <v>-101.33602218301</v>
      </c>
      <c r="G14" s="6" t="n">
        <v>71.51</v>
      </c>
      <c r="H14" s="8" t="n">
        <v>0</v>
      </c>
      <c r="I14" s="6" t="n">
        <f aca="false">G14+H14</f>
        <v>71.51</v>
      </c>
      <c r="J14" s="37" t="n">
        <f aca="false">IF(L14&gt;0,L14,0)</f>
        <v>0</v>
      </c>
      <c r="K14" s="6" t="n">
        <f aca="false">I14+J14</f>
        <v>71.51</v>
      </c>
      <c r="L14" s="6" t="n">
        <f aca="false">F14-(I14-W14)</f>
        <v>-16.3060221830098</v>
      </c>
      <c r="M14" s="6" t="n">
        <v>49.7</v>
      </c>
      <c r="N14" s="6" t="n">
        <v>0</v>
      </c>
      <c r="O14" s="6" t="n">
        <v>0</v>
      </c>
      <c r="P14" s="6" t="n">
        <f aca="false">M14-(N14+O14)</f>
        <v>49.7</v>
      </c>
      <c r="Q14" s="6" t="n">
        <v>0</v>
      </c>
      <c r="R14" s="6" t="n">
        <v>28.3</v>
      </c>
      <c r="S14" s="6" t="n">
        <f aca="false">SUM(P14:R14)</f>
        <v>78</v>
      </c>
      <c r="T14" s="7"/>
      <c r="U14" s="6" t="n">
        <v>0</v>
      </c>
      <c r="V14" s="6" t="n">
        <v>78.54</v>
      </c>
      <c r="W14" s="6" t="n">
        <f aca="false">N14+O14+S14+U14+V14</f>
        <v>156.54</v>
      </c>
      <c r="X14" s="6" t="n">
        <f aca="false">IF(L14&lt;0,L14*-1,0)</f>
        <v>16.3060221830098</v>
      </c>
      <c r="Y14" s="6" t="n">
        <f aca="false">W14+X14</f>
        <v>172.84602218301</v>
      </c>
      <c r="Z14" s="11" t="n">
        <v>0</v>
      </c>
      <c r="AA14" s="12" t="n">
        <v>57</v>
      </c>
      <c r="AB14" s="12" t="n">
        <v>31</v>
      </c>
      <c r="AC14" s="13" t="n">
        <f aca="false">AC13+1</f>
        <v>5</v>
      </c>
    </row>
    <row r="15" customFormat="false" ht="11.1" hidden="false" customHeight="true" outlineLevel="0" collapsed="false">
      <c r="A15" s="13" t="n">
        <f aca="false">A14+1</f>
        <v>6</v>
      </c>
      <c r="B15" s="29" t="n">
        <v>6910.46</v>
      </c>
      <c r="C15" s="7" t="n">
        <v>323832</v>
      </c>
      <c r="D15" s="12" t="n">
        <f aca="false">C15-C14</f>
        <v>-201</v>
      </c>
      <c r="E15" s="7" t="n">
        <f aca="false">C15-152000</f>
        <v>171832</v>
      </c>
      <c r="F15" s="6" t="n">
        <f aca="false">D15/$D$2</f>
        <v>-101.33602218301</v>
      </c>
      <c r="G15" s="6" t="n">
        <v>63.38</v>
      </c>
      <c r="H15" s="8" t="n">
        <v>0</v>
      </c>
      <c r="I15" s="6" t="n">
        <f aca="false">G15+H15</f>
        <v>63.38</v>
      </c>
      <c r="J15" s="37" t="n">
        <f aca="false">IF(L15&gt;0,L15,0)</f>
        <v>0</v>
      </c>
      <c r="K15" s="6" t="n">
        <f aca="false">I15+J15</f>
        <v>63.38</v>
      </c>
      <c r="L15" s="6" t="n">
        <f aca="false">F15-(I15-W15)</f>
        <v>-8.22602218300982</v>
      </c>
      <c r="M15" s="6" t="n">
        <v>49.7</v>
      </c>
      <c r="N15" s="6" t="n">
        <v>0</v>
      </c>
      <c r="O15" s="6" t="n">
        <v>0</v>
      </c>
      <c r="P15" s="6" t="n">
        <f aca="false">M15-(N15+O15)</f>
        <v>49.7</v>
      </c>
      <c r="Q15" s="6" t="n">
        <v>0</v>
      </c>
      <c r="R15" s="6" t="n">
        <v>28.3</v>
      </c>
      <c r="S15" s="6" t="n">
        <f aca="false">SUM(P15:R15)</f>
        <v>78</v>
      </c>
      <c r="T15" s="7"/>
      <c r="U15" s="6" t="n">
        <v>0</v>
      </c>
      <c r="V15" s="6" t="n">
        <v>78.49</v>
      </c>
      <c r="W15" s="6" t="n">
        <f aca="false">N15+O15+S15+U15+V15</f>
        <v>156.49</v>
      </c>
      <c r="X15" s="6" t="n">
        <f aca="false">IF(L15&lt;0,L15*-1,0)</f>
        <v>8.22602218300982</v>
      </c>
      <c r="Y15" s="6" t="n">
        <f aca="false">W15+X15</f>
        <v>164.71602218301</v>
      </c>
      <c r="Z15" s="11" t="n">
        <v>0</v>
      </c>
      <c r="AA15" s="12" t="n">
        <v>56</v>
      </c>
      <c r="AB15" s="12" t="n">
        <v>29</v>
      </c>
      <c r="AC15" s="13" t="n">
        <f aca="false">AC14+1</f>
        <v>6</v>
      </c>
    </row>
    <row r="16" customFormat="false" ht="11.1" hidden="false" customHeight="true" outlineLevel="0" collapsed="false">
      <c r="A16" s="13" t="n">
        <f aca="false">A15+1</f>
        <v>7</v>
      </c>
      <c r="B16" s="29" t="n">
        <v>6910.41</v>
      </c>
      <c r="C16" s="7" t="n">
        <v>323632</v>
      </c>
      <c r="D16" s="12" t="n">
        <f aca="false">C16-C15</f>
        <v>-200</v>
      </c>
      <c r="E16" s="7" t="n">
        <f aca="false">C16-152000</f>
        <v>171632</v>
      </c>
      <c r="F16" s="6" t="n">
        <f aca="false">D16/$D$2</f>
        <v>-100.831862868667</v>
      </c>
      <c r="G16" s="6" t="n">
        <v>66.06</v>
      </c>
      <c r="H16" s="8" t="n">
        <v>0</v>
      </c>
      <c r="I16" s="6" t="n">
        <f aca="false">G16+H16</f>
        <v>66.06</v>
      </c>
      <c r="J16" s="37" t="n">
        <f aca="false">IF(L16&gt;0,L16,0)</f>
        <v>0</v>
      </c>
      <c r="K16" s="6" t="n">
        <f aca="false">I16+J16</f>
        <v>66.06</v>
      </c>
      <c r="L16" s="6" t="n">
        <f aca="false">F16-(I16-W16)</f>
        <v>-13.4018628686665</v>
      </c>
      <c r="M16" s="6" t="n">
        <v>49.7</v>
      </c>
      <c r="N16" s="6" t="n">
        <v>0</v>
      </c>
      <c r="O16" s="6" t="n">
        <v>0</v>
      </c>
      <c r="P16" s="6" t="n">
        <f aca="false">M16-(N16+O16)</f>
        <v>49.7</v>
      </c>
      <c r="Q16" s="6" t="n">
        <v>0</v>
      </c>
      <c r="R16" s="6" t="n">
        <v>25.3</v>
      </c>
      <c r="S16" s="6" t="n">
        <f aca="false">SUM(P16:R16)</f>
        <v>75</v>
      </c>
      <c r="T16" s="7"/>
      <c r="U16" s="6" t="n">
        <v>0</v>
      </c>
      <c r="V16" s="6" t="n">
        <v>78.49</v>
      </c>
      <c r="W16" s="6" t="n">
        <f aca="false">N16+O16+S16+U16+V16</f>
        <v>153.49</v>
      </c>
      <c r="X16" s="6" t="n">
        <f aca="false">IF(L16&lt;0,L16*-1,0)</f>
        <v>13.4018628686665</v>
      </c>
      <c r="Y16" s="6" t="n">
        <f aca="false">W16+X16</f>
        <v>166.891862868666</v>
      </c>
      <c r="Z16" s="11" t="n">
        <v>0</v>
      </c>
      <c r="AA16" s="12" t="n">
        <v>55</v>
      </c>
      <c r="AB16" s="12" t="n">
        <v>36</v>
      </c>
      <c r="AC16" s="13" t="n">
        <f aca="false">AC15+1</f>
        <v>7</v>
      </c>
    </row>
    <row r="17" customFormat="false" ht="11.1" hidden="false" customHeight="true" outlineLevel="0" collapsed="false">
      <c r="A17" s="13" t="n">
        <f aca="false">A16+1</f>
        <v>8</v>
      </c>
      <c r="B17" s="29" t="n">
        <v>6910.37</v>
      </c>
      <c r="C17" s="7" t="n">
        <v>323471</v>
      </c>
      <c r="D17" s="12" t="n">
        <f aca="false">C17-C16</f>
        <v>-161</v>
      </c>
      <c r="E17" s="7" t="n">
        <f aca="false">C17-152000</f>
        <v>171471</v>
      </c>
      <c r="F17" s="6" t="n">
        <f aca="false">D17/$D$2</f>
        <v>-81.1696496092765</v>
      </c>
      <c r="G17" s="6" t="n">
        <v>67.19</v>
      </c>
      <c r="H17" s="8" t="n">
        <v>0</v>
      </c>
      <c r="I17" s="6" t="n">
        <f aca="false">G17+H17</f>
        <v>67.19</v>
      </c>
      <c r="J17" s="37" t="n">
        <f aca="false">IF(L17&gt;0,L17,0)</f>
        <v>5.22035039072345</v>
      </c>
      <c r="K17" s="6" t="n">
        <f aca="false">I17+J17</f>
        <v>72.4103503907235</v>
      </c>
      <c r="L17" s="6" t="n">
        <f aca="false">F17-(I17-W17)</f>
        <v>5.22035039072345</v>
      </c>
      <c r="M17" s="6" t="n">
        <v>49.7</v>
      </c>
      <c r="N17" s="6" t="n">
        <v>0</v>
      </c>
      <c r="O17" s="6" t="n">
        <v>0</v>
      </c>
      <c r="P17" s="6" t="n">
        <f aca="false">M17-(N17+O17)</f>
        <v>49.7</v>
      </c>
      <c r="Q17" s="6" t="n">
        <v>0</v>
      </c>
      <c r="R17" s="6" t="n">
        <v>25.3</v>
      </c>
      <c r="S17" s="6" t="n">
        <f aca="false">SUM(P17:R17)</f>
        <v>75</v>
      </c>
      <c r="T17" s="7"/>
      <c r="U17" s="6" t="n">
        <v>0</v>
      </c>
      <c r="V17" s="6" t="n">
        <v>78.58</v>
      </c>
      <c r="W17" s="6" t="n">
        <f aca="false">N17+O17+S17+U17+V17</f>
        <v>153.58</v>
      </c>
      <c r="X17" s="6" t="n">
        <f aca="false">IF(L17&lt;0,L17*-1,0)</f>
        <v>0</v>
      </c>
      <c r="Y17" s="6" t="n">
        <f aca="false">W17+X17</f>
        <v>153.58</v>
      </c>
      <c r="Z17" s="11" t="n">
        <v>0.19</v>
      </c>
      <c r="AA17" s="12" t="n">
        <v>42</v>
      </c>
      <c r="AB17" s="12" t="n">
        <v>36</v>
      </c>
      <c r="AC17" s="13" t="n">
        <f aca="false">AC16+1</f>
        <v>8</v>
      </c>
    </row>
    <row r="18" customFormat="false" ht="11.1" hidden="false" customHeight="true" outlineLevel="0" collapsed="false">
      <c r="A18" s="13" t="n">
        <f aca="false">A17+1</f>
        <v>9</v>
      </c>
      <c r="B18" s="29" t="n">
        <v>6910.33</v>
      </c>
      <c r="C18" s="7" t="n">
        <v>323311</v>
      </c>
      <c r="D18" s="12" t="n">
        <f aca="false">C18-C17</f>
        <v>-160</v>
      </c>
      <c r="E18" s="7" t="n">
        <f aca="false">C18-152000</f>
        <v>171311</v>
      </c>
      <c r="F18" s="6" t="n">
        <f aca="false">D18/$D$2</f>
        <v>-80.6654902949332</v>
      </c>
      <c r="G18" s="6" t="n">
        <v>82.12</v>
      </c>
      <c r="H18" s="8" t="n">
        <v>0</v>
      </c>
      <c r="I18" s="6" t="n">
        <f aca="false">G18+H18</f>
        <v>82.12</v>
      </c>
      <c r="J18" s="37" t="n">
        <f aca="false">IF(L18&gt;0,L18,0)</f>
        <v>0</v>
      </c>
      <c r="K18" s="6" t="n">
        <f aca="false">I18+J18</f>
        <v>82.12</v>
      </c>
      <c r="L18" s="6" t="n">
        <f aca="false">F18-(I18-W18)</f>
        <v>-8.66549029493319</v>
      </c>
      <c r="M18" s="6" t="n">
        <v>49.7</v>
      </c>
      <c r="N18" s="6" t="n">
        <v>0</v>
      </c>
      <c r="O18" s="6" t="n">
        <v>0</v>
      </c>
      <c r="P18" s="6" t="n">
        <f aca="false">M18-(N18+O18)</f>
        <v>49.7</v>
      </c>
      <c r="Q18" s="6" t="n">
        <v>0</v>
      </c>
      <c r="R18" s="6" t="n">
        <v>25.3</v>
      </c>
      <c r="S18" s="6" t="n">
        <f aca="false">SUM(P18:R18)</f>
        <v>75</v>
      </c>
      <c r="T18" s="7"/>
      <c r="U18" s="6" t="n">
        <v>0</v>
      </c>
      <c r="V18" s="6" t="n">
        <v>79.12</v>
      </c>
      <c r="W18" s="6" t="n">
        <f aca="false">N18+O18+S18+U18+V18</f>
        <v>154.12</v>
      </c>
      <c r="X18" s="6" t="n">
        <f aca="false">IF(L18&lt;0,L18*-1,0)</f>
        <v>8.66549029493319</v>
      </c>
      <c r="Y18" s="6" t="n">
        <f aca="false">W18+X18</f>
        <v>162.785490294933</v>
      </c>
      <c r="Z18" s="11" t="n">
        <v>0</v>
      </c>
      <c r="AA18" s="39" t="n">
        <v>52</v>
      </c>
      <c r="AB18" s="12" t="n">
        <v>32</v>
      </c>
      <c r="AC18" s="13" t="n">
        <f aca="false">AC17+1</f>
        <v>9</v>
      </c>
    </row>
    <row r="19" customFormat="false" ht="11.1" hidden="false" customHeight="true" outlineLevel="0" collapsed="false">
      <c r="A19" s="13" t="n">
        <f aca="false">A18+1</f>
        <v>10</v>
      </c>
      <c r="B19" s="29" t="n">
        <v>6910.31</v>
      </c>
      <c r="C19" s="7" t="n">
        <v>323230</v>
      </c>
      <c r="D19" s="12" t="n">
        <f aca="false">C19-C18</f>
        <v>-81</v>
      </c>
      <c r="E19" s="7" t="n">
        <f aca="false">C19-152000</f>
        <v>171230</v>
      </c>
      <c r="F19" s="6" t="n">
        <f aca="false">D19/$D$2</f>
        <v>-40.8369044618099</v>
      </c>
      <c r="G19" s="6" t="n">
        <v>80.58</v>
      </c>
      <c r="H19" s="8" t="n">
        <v>0</v>
      </c>
      <c r="I19" s="6" t="n">
        <f aca="false">G19+H19</f>
        <v>80.58</v>
      </c>
      <c r="J19" s="37" t="n">
        <f aca="false">IF(L19&gt;0,L19,0)</f>
        <v>30.6230955381901</v>
      </c>
      <c r="K19" s="6" t="n">
        <f aca="false">I19+J19</f>
        <v>111.20309553819</v>
      </c>
      <c r="L19" s="6" t="n">
        <f aca="false">F19-(I19-W19)</f>
        <v>30.6230955381901</v>
      </c>
      <c r="M19" s="6" t="n">
        <v>48.11</v>
      </c>
      <c r="N19" s="6" t="n">
        <v>0</v>
      </c>
      <c r="O19" s="6" t="n">
        <v>0</v>
      </c>
      <c r="P19" s="6" t="n">
        <f aca="false">M19-(N19+O19)</f>
        <v>48.11</v>
      </c>
      <c r="Q19" s="6" t="n">
        <v>0</v>
      </c>
      <c r="R19" s="6" t="n">
        <v>24.89</v>
      </c>
      <c r="S19" s="6" t="n">
        <f aca="false">SUM(P19:R19)</f>
        <v>73</v>
      </c>
      <c r="T19" s="7"/>
      <c r="U19" s="6" t="n">
        <v>0</v>
      </c>
      <c r="V19" s="6" t="n">
        <v>79.04</v>
      </c>
      <c r="W19" s="6" t="n">
        <f aca="false">N19+O19+S19+U19+V19</f>
        <v>152.04</v>
      </c>
      <c r="X19" s="6" t="n">
        <f aca="false">IF(L19&lt;0,L19*-1,0)</f>
        <v>0</v>
      </c>
      <c r="Y19" s="6" t="n">
        <f aca="false">W19+X19</f>
        <v>152.04</v>
      </c>
      <c r="Z19" s="11" t="n">
        <v>0.7</v>
      </c>
      <c r="AA19" s="12" t="n">
        <v>50</v>
      </c>
      <c r="AB19" s="12" t="n">
        <v>29</v>
      </c>
      <c r="AC19" s="13" t="n">
        <f aca="false">AC18+1</f>
        <v>10</v>
      </c>
    </row>
    <row r="20" customFormat="false" ht="11.1" hidden="false" customHeight="true" outlineLevel="0" collapsed="false">
      <c r="A20" s="13" t="n">
        <f aca="false">A19+1</f>
        <v>11</v>
      </c>
      <c r="B20" s="29" t="n">
        <v>6910.29</v>
      </c>
      <c r="C20" s="7" t="n">
        <v>323150</v>
      </c>
      <c r="D20" s="12" t="n">
        <f aca="false">C20-C19</f>
        <v>-80</v>
      </c>
      <c r="E20" s="7" t="n">
        <f aca="false">C20-152000</f>
        <v>171150</v>
      </c>
      <c r="F20" s="6" t="n">
        <f aca="false">D20/$D$2</f>
        <v>-40.3327451474666</v>
      </c>
      <c r="G20" s="6" t="n">
        <v>94.33</v>
      </c>
      <c r="H20" s="8" t="n">
        <v>0</v>
      </c>
      <c r="I20" s="6" t="n">
        <f aca="false">G20+H20</f>
        <v>94.33</v>
      </c>
      <c r="J20" s="37" t="n">
        <f aca="false">IF(L20&gt;0,L20,0)</f>
        <v>11.1572548525334</v>
      </c>
      <c r="K20" s="6" t="n">
        <f aca="false">I20+J20</f>
        <v>105.487254852533</v>
      </c>
      <c r="L20" s="6" t="n">
        <f aca="false">F20-(I20-W20)</f>
        <v>11.1572548525334</v>
      </c>
      <c r="M20" s="6" t="n">
        <v>45.31</v>
      </c>
      <c r="N20" s="6" t="n">
        <v>0</v>
      </c>
      <c r="O20" s="6" t="n">
        <v>0</v>
      </c>
      <c r="P20" s="6" t="n">
        <f aca="false">M20-(N20+O20)</f>
        <v>45.31</v>
      </c>
      <c r="Q20" s="6" t="n">
        <v>0</v>
      </c>
      <c r="R20" s="6" t="n">
        <v>20.69</v>
      </c>
      <c r="S20" s="6" t="n">
        <f aca="false">SUM(P20:R20)</f>
        <v>66</v>
      </c>
      <c r="T20" s="7"/>
      <c r="U20" s="6" t="n">
        <v>0</v>
      </c>
      <c r="V20" s="6" t="n">
        <v>79.82</v>
      </c>
      <c r="W20" s="6" t="n">
        <f aca="false">N20+O20+S20+U20+V20</f>
        <v>145.82</v>
      </c>
      <c r="X20" s="6" t="n">
        <f aca="false">IF(L20&lt;0,L20*-1,0)</f>
        <v>0</v>
      </c>
      <c r="Y20" s="6" t="n">
        <f aca="false">W20+X20</f>
        <v>145.82</v>
      </c>
      <c r="Z20" s="11" t="n">
        <v>0.11</v>
      </c>
      <c r="AA20" s="12" t="n">
        <v>45</v>
      </c>
      <c r="AB20" s="12" t="n">
        <v>29</v>
      </c>
      <c r="AC20" s="13" t="n">
        <f aca="false">AC19+1</f>
        <v>11</v>
      </c>
    </row>
    <row r="21" customFormat="false" ht="11.1" hidden="false" customHeight="true" outlineLevel="0" collapsed="false">
      <c r="A21" s="13" t="n">
        <f aca="false">A20+1</f>
        <v>12</v>
      </c>
      <c r="B21" s="29" t="n">
        <v>6910.27</v>
      </c>
      <c r="C21" s="7" t="n">
        <v>323070</v>
      </c>
      <c r="D21" s="12" t="n">
        <f aca="false">C21-C20</f>
        <v>-80</v>
      </c>
      <c r="E21" s="7" t="n">
        <f aca="false">C21-152000</f>
        <v>171070</v>
      </c>
      <c r="F21" s="6" t="n">
        <f aca="false">D21/$D$2</f>
        <v>-40.3327451474666</v>
      </c>
      <c r="G21" s="6" t="n">
        <v>82.31</v>
      </c>
      <c r="H21" s="8" t="n">
        <v>0</v>
      </c>
      <c r="I21" s="6" t="n">
        <f aca="false">G21+H21</f>
        <v>82.31</v>
      </c>
      <c r="J21" s="37" t="n">
        <f aca="false">IF(L21&gt;0,L21,0)</f>
        <v>22.7872548525334</v>
      </c>
      <c r="K21" s="6" t="n">
        <f aca="false">I21+J21</f>
        <v>105.097254852533</v>
      </c>
      <c r="L21" s="6" t="n">
        <f aca="false">F21-(I21-W21)</f>
        <v>22.7872548525334</v>
      </c>
      <c r="M21" s="6" t="n">
        <v>45.27</v>
      </c>
      <c r="N21" s="6" t="n">
        <v>0</v>
      </c>
      <c r="O21" s="6" t="n">
        <v>0</v>
      </c>
      <c r="P21" s="6" t="n">
        <f aca="false">M21-(N21+O21)</f>
        <v>45.27</v>
      </c>
      <c r="Q21" s="6" t="n">
        <v>0</v>
      </c>
      <c r="R21" s="6" t="n">
        <v>20.73</v>
      </c>
      <c r="S21" s="6" t="n">
        <f aca="false">SUM(P21:R21)</f>
        <v>66</v>
      </c>
      <c r="T21" s="7"/>
      <c r="U21" s="6" t="n">
        <v>0</v>
      </c>
      <c r="V21" s="6" t="n">
        <v>79.43</v>
      </c>
      <c r="W21" s="6" t="n">
        <f aca="false">N21+O21+S21+U21+V21</f>
        <v>145.43</v>
      </c>
      <c r="X21" s="6" t="n">
        <f aca="false">IF(L21&lt;0,L21*-1,0)</f>
        <v>0</v>
      </c>
      <c r="Y21" s="6" t="n">
        <f aca="false">W21+X21</f>
        <v>145.43</v>
      </c>
      <c r="Z21" s="11" t="n">
        <v>0</v>
      </c>
      <c r="AA21" s="12" t="n">
        <v>50</v>
      </c>
      <c r="AB21" s="12" t="n">
        <v>22</v>
      </c>
      <c r="AC21" s="13" t="n">
        <f aca="false">AC20+1</f>
        <v>12</v>
      </c>
    </row>
    <row r="22" customFormat="false" ht="11.1" hidden="false" customHeight="true" outlineLevel="0" collapsed="false">
      <c r="A22" s="13" t="n">
        <f aca="false">A21+1</f>
        <v>13</v>
      </c>
      <c r="B22" s="29" t="n">
        <v>6910.25</v>
      </c>
      <c r="C22" s="7" t="n">
        <v>322990</v>
      </c>
      <c r="D22" s="12" t="n">
        <f aca="false">C22-C21</f>
        <v>-80</v>
      </c>
      <c r="E22" s="7" t="n">
        <f aca="false">C22-152000</f>
        <v>170990</v>
      </c>
      <c r="F22" s="6" t="n">
        <f aca="false">D22/$D$2</f>
        <v>-40.3327451474666</v>
      </c>
      <c r="G22" s="6" t="n">
        <v>77.67</v>
      </c>
      <c r="H22" s="8" t="n">
        <v>0</v>
      </c>
      <c r="I22" s="6" t="n">
        <f aca="false">G22+H22</f>
        <v>77.67</v>
      </c>
      <c r="J22" s="37" t="n">
        <f aca="false">IF(L22&gt;0,L22,0)</f>
        <v>27.2972548525334</v>
      </c>
      <c r="K22" s="6" t="n">
        <f aca="false">I22+J22</f>
        <v>104.967254852533</v>
      </c>
      <c r="L22" s="6" t="n">
        <f aca="false">F22-(I22-W22)</f>
        <v>27.2972548525334</v>
      </c>
      <c r="M22" s="6" t="n">
        <v>45.33</v>
      </c>
      <c r="N22" s="6" t="n">
        <v>0</v>
      </c>
      <c r="O22" s="6" t="n">
        <v>0</v>
      </c>
      <c r="P22" s="6" t="n">
        <f aca="false">M22-(N22+O22)</f>
        <v>45.33</v>
      </c>
      <c r="Q22" s="6" t="n">
        <v>0</v>
      </c>
      <c r="R22" s="6" t="n">
        <v>20.67</v>
      </c>
      <c r="S22" s="6" t="n">
        <f aca="false">SUM(P22:R22)</f>
        <v>66</v>
      </c>
      <c r="T22" s="7"/>
      <c r="U22" s="6" t="n">
        <v>0</v>
      </c>
      <c r="V22" s="6" t="n">
        <v>79.3</v>
      </c>
      <c r="W22" s="6" t="n">
        <f aca="false">N22+O22+S22+U22+V22</f>
        <v>145.3</v>
      </c>
      <c r="X22" s="6" t="n">
        <f aca="false">IF(L22&lt;0,L22*-1,0)</f>
        <v>0</v>
      </c>
      <c r="Y22" s="6" t="n">
        <f aca="false">W22+X22</f>
        <v>145.3</v>
      </c>
      <c r="Z22" s="11" t="n">
        <v>0</v>
      </c>
      <c r="AA22" s="12" t="n">
        <v>54</v>
      </c>
      <c r="AB22" s="12" t="n">
        <v>32</v>
      </c>
      <c r="AC22" s="13" t="n">
        <f aca="false">AC21+1</f>
        <v>13</v>
      </c>
    </row>
    <row r="23" customFormat="false" ht="11.1" hidden="false" customHeight="true" outlineLevel="0" collapsed="false">
      <c r="A23" s="13" t="n">
        <f aca="false">A22+1</f>
        <v>14</v>
      </c>
      <c r="B23" s="29" t="n">
        <v>6910.25</v>
      </c>
      <c r="C23" s="7" t="n">
        <v>322990</v>
      </c>
      <c r="D23" s="12" t="n">
        <f aca="false">C23-C22</f>
        <v>0</v>
      </c>
      <c r="E23" s="7" t="n">
        <f aca="false">C23-152000</f>
        <v>170990</v>
      </c>
      <c r="F23" s="6" t="n">
        <f aca="false">D23/$D$2</f>
        <v>0</v>
      </c>
      <c r="G23" s="6" t="n">
        <v>88.47</v>
      </c>
      <c r="H23" s="8" t="n">
        <v>0</v>
      </c>
      <c r="I23" s="6" t="n">
        <f aca="false">G23+H23</f>
        <v>88.47</v>
      </c>
      <c r="J23" s="37" t="n">
        <f aca="false">IF(L23&gt;0,L23,0)</f>
        <v>54.06</v>
      </c>
      <c r="K23" s="6" t="n">
        <f aca="false">I23+J23</f>
        <v>142.53</v>
      </c>
      <c r="L23" s="6" t="n">
        <f aca="false">F23-(I23-W23)</f>
        <v>54.06</v>
      </c>
      <c r="M23" s="6" t="n">
        <v>45.37</v>
      </c>
      <c r="N23" s="6" t="n">
        <v>0</v>
      </c>
      <c r="O23" s="6" t="n">
        <v>0</v>
      </c>
      <c r="P23" s="6" t="n">
        <f aca="false">M23-(N23+O23)</f>
        <v>45.37</v>
      </c>
      <c r="Q23" s="6" t="n">
        <v>0</v>
      </c>
      <c r="R23" s="6" t="n">
        <v>17.63</v>
      </c>
      <c r="S23" s="6" t="n">
        <f aca="false">SUM(P23:R23)</f>
        <v>63</v>
      </c>
      <c r="T23" s="7"/>
      <c r="U23" s="6" t="n">
        <v>0</v>
      </c>
      <c r="V23" s="6" t="n">
        <v>79.53</v>
      </c>
      <c r="W23" s="6" t="n">
        <f aca="false">N23+O23+S23+U23+V23</f>
        <v>142.53</v>
      </c>
      <c r="X23" s="6" t="n">
        <f aca="false">IF(L23&lt;0,L23*-1,0)</f>
        <v>0</v>
      </c>
      <c r="Y23" s="6" t="n">
        <f aca="false">W23+X23</f>
        <v>142.53</v>
      </c>
      <c r="Z23" s="11" t="n">
        <v>0.61</v>
      </c>
      <c r="AA23" s="39" t="n">
        <v>35</v>
      </c>
      <c r="AB23" s="12" t="n">
        <v>36</v>
      </c>
      <c r="AC23" s="13" t="n">
        <f aca="false">AC22+1</f>
        <v>14</v>
      </c>
    </row>
    <row r="24" customFormat="false" ht="11.1" hidden="false" customHeight="true" outlineLevel="0" collapsed="false">
      <c r="A24" s="13" t="n">
        <f aca="false">A23+1</f>
        <v>15</v>
      </c>
      <c r="B24" s="29" t="n">
        <v>6910.24</v>
      </c>
      <c r="C24" s="7" t="n">
        <v>322950</v>
      </c>
      <c r="D24" s="12" t="n">
        <f aca="false">C24-C23</f>
        <v>-40</v>
      </c>
      <c r="E24" s="7" t="n">
        <f aca="false">C24-152000</f>
        <v>170950</v>
      </c>
      <c r="F24" s="6" t="n">
        <f aca="false">D24/$D$2</f>
        <v>-20.1663725737333</v>
      </c>
      <c r="G24" s="6" t="n">
        <v>111.8</v>
      </c>
      <c r="H24" s="8" t="n">
        <v>0</v>
      </c>
      <c r="I24" s="6" t="n">
        <f aca="false">G24+H24</f>
        <v>111.8</v>
      </c>
      <c r="J24" s="37" t="n">
        <f aca="false">IF(L24&gt;0,L24,0)</f>
        <v>0</v>
      </c>
      <c r="K24" s="6" t="n">
        <f aca="false">I24+J24</f>
        <v>111.8</v>
      </c>
      <c r="L24" s="6" t="n">
        <f aca="false">F24-(I24-W24)</f>
        <v>-3.47637257373329</v>
      </c>
      <c r="M24" s="6" t="n">
        <v>45.16</v>
      </c>
      <c r="N24" s="6" t="n">
        <v>0</v>
      </c>
      <c r="O24" s="6" t="n">
        <v>0</v>
      </c>
      <c r="P24" s="6" t="n">
        <f aca="false">M24-(N24+O24)</f>
        <v>45.16</v>
      </c>
      <c r="Q24" s="6" t="n">
        <v>0</v>
      </c>
      <c r="R24" s="6" t="n">
        <v>3.8</v>
      </c>
      <c r="S24" s="6" t="n">
        <f aca="false">SUM(P24:R24)</f>
        <v>48.96</v>
      </c>
      <c r="T24" s="7"/>
      <c r="U24" s="6" t="n">
        <v>0</v>
      </c>
      <c r="V24" s="6" t="n">
        <v>79.53</v>
      </c>
      <c r="W24" s="6" t="n">
        <f aca="false">N24+O24+S24+U24+V24</f>
        <v>128.49</v>
      </c>
      <c r="X24" s="6" t="n">
        <f aca="false">IF(L24&lt;0,L24*-1,0)</f>
        <v>3.47637257373329</v>
      </c>
      <c r="Y24" s="6" t="n">
        <f aca="false">W24+X24</f>
        <v>131.966372573733</v>
      </c>
      <c r="Z24" s="11" t="n">
        <v>0</v>
      </c>
      <c r="AA24" s="39" t="n">
        <v>27</v>
      </c>
      <c r="AB24" s="12" t="n">
        <v>23</v>
      </c>
      <c r="AC24" s="13" t="n">
        <f aca="false">AC23+1</f>
        <v>15</v>
      </c>
    </row>
    <row r="25" customFormat="false" ht="11.1" hidden="false" customHeight="true" outlineLevel="0" collapsed="false">
      <c r="A25" s="13" t="n">
        <f aca="false">A24+1</f>
        <v>16</v>
      </c>
      <c r="B25" s="29" t="n">
        <v>6910.23</v>
      </c>
      <c r="C25" s="7" t="n">
        <v>322909</v>
      </c>
      <c r="D25" s="12" t="n">
        <f aca="false">C25-C24</f>
        <v>-41</v>
      </c>
      <c r="E25" s="7" t="n">
        <f aca="false">C25-152000</f>
        <v>170909</v>
      </c>
      <c r="F25" s="6" t="n">
        <f aca="false">D25/$D$2</f>
        <v>-20.6705318880766</v>
      </c>
      <c r="G25" s="6" t="n">
        <v>80</v>
      </c>
      <c r="H25" s="8" t="n">
        <v>0</v>
      </c>
      <c r="I25" s="6" t="n">
        <f aca="false">G25+H25</f>
        <v>80</v>
      </c>
      <c r="J25" s="37" t="n">
        <f aca="false">IF(L25&gt;0,L25,0)</f>
        <v>12.9894681119234</v>
      </c>
      <c r="K25" s="6" t="n">
        <f aca="false">I25+J25</f>
        <v>92.9894681119234</v>
      </c>
      <c r="L25" s="6" t="n">
        <f aca="false">F25-(I25-W25)</f>
        <v>12.9894681119234</v>
      </c>
      <c r="M25" s="6" t="n">
        <v>34.2</v>
      </c>
      <c r="N25" s="6" t="n">
        <v>0</v>
      </c>
      <c r="O25" s="6" t="n">
        <v>0</v>
      </c>
      <c r="P25" s="6" t="n">
        <f aca="false">M25-(N25+O25)</f>
        <v>34.2</v>
      </c>
      <c r="Q25" s="6" t="n">
        <v>0</v>
      </c>
      <c r="R25" s="6" t="n">
        <v>0</v>
      </c>
      <c r="S25" s="6" t="n">
        <f aca="false">SUM(P25:R25)</f>
        <v>34.2</v>
      </c>
      <c r="T25" s="7"/>
      <c r="U25" s="6" t="n">
        <v>0</v>
      </c>
      <c r="V25" s="6" t="n">
        <v>79.46</v>
      </c>
      <c r="W25" s="6" t="n">
        <f aca="false">N25+O25+S25+U25+V25</f>
        <v>113.66</v>
      </c>
      <c r="X25" s="6" t="n">
        <f aca="false">IF(L25&lt;0,L25*-1,0)</f>
        <v>0</v>
      </c>
      <c r="Y25" s="6" t="n">
        <f aca="false">W25+X25</f>
        <v>113.66</v>
      </c>
      <c r="Z25" s="11" t="n">
        <v>0</v>
      </c>
      <c r="AA25" s="39" t="n">
        <v>37</v>
      </c>
      <c r="AB25" s="12" t="n">
        <v>10</v>
      </c>
      <c r="AC25" s="13" t="n">
        <f aca="false">AC24+1</f>
        <v>16</v>
      </c>
    </row>
    <row r="26" customFormat="false" ht="11.1" hidden="false" customHeight="true" outlineLevel="0" collapsed="false">
      <c r="A26" s="13" t="n">
        <f aca="false">A25+1</f>
        <v>17</v>
      </c>
      <c r="B26" s="29" t="n">
        <v>6910.22</v>
      </c>
      <c r="C26" s="7" t="n">
        <v>322869</v>
      </c>
      <c r="D26" s="12" t="n">
        <f aca="false">C26-C25</f>
        <v>-40</v>
      </c>
      <c r="E26" s="7" t="n">
        <f aca="false">C26-152000</f>
        <v>170869</v>
      </c>
      <c r="F26" s="6" t="n">
        <f aca="false">D26/$D$2</f>
        <v>-20.1663725737333</v>
      </c>
      <c r="G26" s="6" t="n">
        <v>76.06</v>
      </c>
      <c r="H26" s="8" t="n">
        <v>0</v>
      </c>
      <c r="I26" s="6" t="n">
        <f aca="false">G26+H26</f>
        <v>76.06</v>
      </c>
      <c r="J26" s="37" t="n">
        <f aca="false">IF(L26&gt;0,L26,0)</f>
        <v>17.4336274262667</v>
      </c>
      <c r="K26" s="6" t="n">
        <f aca="false">I26+J26</f>
        <v>93.4936274262667</v>
      </c>
      <c r="L26" s="6" t="n">
        <f aca="false">F26-(I26-W26)</f>
        <v>17.4336274262667</v>
      </c>
      <c r="M26" s="6" t="n">
        <v>34.2</v>
      </c>
      <c r="N26" s="6" t="n">
        <v>0</v>
      </c>
      <c r="O26" s="6" t="n">
        <v>0</v>
      </c>
      <c r="P26" s="6" t="n">
        <f aca="false">M26-(N26+O26)</f>
        <v>34.2</v>
      </c>
      <c r="Q26" s="6" t="n">
        <v>0</v>
      </c>
      <c r="R26" s="6" t="n">
        <v>0</v>
      </c>
      <c r="S26" s="6" t="n">
        <f aca="false">SUM(P26:R26)</f>
        <v>34.2</v>
      </c>
      <c r="T26" s="7"/>
      <c r="U26" s="6" t="n">
        <v>0</v>
      </c>
      <c r="V26" s="6" t="n">
        <v>79.46</v>
      </c>
      <c r="W26" s="6" t="n">
        <f aca="false">N26+O26+S26+U26+V26</f>
        <v>113.66</v>
      </c>
      <c r="X26" s="6" t="n">
        <f aca="false">IF(L26&lt;0,L26*-1,0)</f>
        <v>0</v>
      </c>
      <c r="Y26" s="6" t="n">
        <f aca="false">W26+X26</f>
        <v>113.66</v>
      </c>
      <c r="Z26" s="11" t="n">
        <v>0.04</v>
      </c>
      <c r="AA26" s="39" t="n">
        <v>31</v>
      </c>
      <c r="AB26" s="12" t="n">
        <v>28</v>
      </c>
      <c r="AC26" s="13" t="n">
        <f aca="false">AC25+1</f>
        <v>17</v>
      </c>
    </row>
    <row r="27" customFormat="false" ht="11.1" hidden="false" customHeight="true" outlineLevel="0" collapsed="false">
      <c r="A27" s="13" t="n">
        <f aca="false">A26+1</f>
        <v>18</v>
      </c>
      <c r="B27" s="29" t="n">
        <v>6910.18</v>
      </c>
      <c r="C27" s="7" t="n">
        <v>322709</v>
      </c>
      <c r="D27" s="12" t="n">
        <f aca="false">C27-C26</f>
        <v>-160</v>
      </c>
      <c r="E27" s="7" t="n">
        <f aca="false">C27-152000</f>
        <v>170709</v>
      </c>
      <c r="F27" s="6" t="n">
        <f aca="false">D27/$D$2</f>
        <v>-80.6654902949332</v>
      </c>
      <c r="G27" s="6" t="n">
        <v>78.26</v>
      </c>
      <c r="H27" s="8" t="n">
        <v>0</v>
      </c>
      <c r="I27" s="6" t="n">
        <f aca="false">G27+H27</f>
        <v>78.26</v>
      </c>
      <c r="J27" s="37" t="n">
        <f aca="false">IF(L27&gt;0,L27,0)</f>
        <v>0</v>
      </c>
      <c r="K27" s="6" t="n">
        <f aca="false">I27+J27</f>
        <v>78.26</v>
      </c>
      <c r="L27" s="6" t="n">
        <f aca="false">F27-(I27-W27)</f>
        <v>-45.2154902949332</v>
      </c>
      <c r="M27" s="6" t="n">
        <v>34.2</v>
      </c>
      <c r="N27" s="6" t="n">
        <v>0</v>
      </c>
      <c r="O27" s="6" t="n">
        <v>0</v>
      </c>
      <c r="P27" s="6" t="n">
        <f aca="false">M27-(N27+O27)</f>
        <v>34.2</v>
      </c>
      <c r="Q27" s="6" t="n">
        <v>0</v>
      </c>
      <c r="R27" s="6" t="n">
        <v>0</v>
      </c>
      <c r="S27" s="6" t="n">
        <f aca="false">SUM(P27:R27)</f>
        <v>34.2</v>
      </c>
      <c r="T27" s="7"/>
      <c r="U27" s="6" t="n">
        <v>0</v>
      </c>
      <c r="V27" s="6" t="n">
        <v>79.51</v>
      </c>
      <c r="W27" s="6" t="n">
        <f aca="false">N27+O27+S27+U27+V27</f>
        <v>113.71</v>
      </c>
      <c r="X27" s="6" t="n">
        <f aca="false">IF(L27&lt;0,L27*-1,0)</f>
        <v>45.2154902949332</v>
      </c>
      <c r="Y27" s="6" t="n">
        <f aca="false">W27+X27</f>
        <v>158.925490294933</v>
      </c>
      <c r="Z27" s="11" t="n">
        <v>0</v>
      </c>
      <c r="AA27" s="39" t="n">
        <v>33</v>
      </c>
      <c r="AB27" s="12" t="n">
        <v>13</v>
      </c>
      <c r="AC27" s="13" t="n">
        <f aca="false">AC26+1</f>
        <v>18</v>
      </c>
    </row>
    <row r="28" customFormat="false" ht="11.1" hidden="false" customHeight="true" outlineLevel="0" collapsed="false">
      <c r="A28" s="13" t="n">
        <f aca="false">A27+1</f>
        <v>19</v>
      </c>
      <c r="B28" s="29" t="n">
        <v>6910.14</v>
      </c>
      <c r="C28" s="7" t="n">
        <v>322548</v>
      </c>
      <c r="D28" s="12" t="n">
        <f aca="false">C28-C27</f>
        <v>-161</v>
      </c>
      <c r="E28" s="7" t="n">
        <f aca="false">C28-152000</f>
        <v>170548</v>
      </c>
      <c r="F28" s="6" t="n">
        <f aca="false">D28/$D$2</f>
        <v>-81.1696496092765</v>
      </c>
      <c r="G28" s="6" t="n">
        <v>74.68</v>
      </c>
      <c r="H28" s="8" t="n">
        <v>0</v>
      </c>
      <c r="I28" s="6" t="n">
        <f aca="false">G28+H28</f>
        <v>74.68</v>
      </c>
      <c r="J28" s="37" t="n">
        <f aca="false">IF(L28&gt;0,L28,0)</f>
        <v>0</v>
      </c>
      <c r="K28" s="6" t="n">
        <f aca="false">I28+J28</f>
        <v>74.68</v>
      </c>
      <c r="L28" s="6" t="n">
        <f aca="false">F28-(I28-W28)</f>
        <v>-42.1496496092765</v>
      </c>
      <c r="M28" s="6" t="n">
        <v>34.2</v>
      </c>
      <c r="N28" s="6" t="n">
        <v>0</v>
      </c>
      <c r="O28" s="6" t="n">
        <v>0</v>
      </c>
      <c r="P28" s="6" t="n">
        <f aca="false">M28-(N28+O28)</f>
        <v>34.2</v>
      </c>
      <c r="Q28" s="6" t="n">
        <v>0</v>
      </c>
      <c r="R28" s="6" t="n">
        <v>0</v>
      </c>
      <c r="S28" s="6" t="n">
        <f aca="false">SUM(P28:R28)</f>
        <v>34.2</v>
      </c>
      <c r="T28" s="7"/>
      <c r="U28" s="6" t="n">
        <v>0</v>
      </c>
      <c r="V28" s="6" t="n">
        <v>79.5</v>
      </c>
      <c r="W28" s="6" t="n">
        <f aca="false">N28+O28+S28+U28+V28</f>
        <v>113.7</v>
      </c>
      <c r="X28" s="6" t="n">
        <f aca="false">IF(L28&lt;0,L28*-1,0)</f>
        <v>42.1496496092765</v>
      </c>
      <c r="Y28" s="6" t="n">
        <f aca="false">W28+X28</f>
        <v>155.849649609277</v>
      </c>
      <c r="Z28" s="11" t="n">
        <v>0</v>
      </c>
      <c r="AA28" s="39" t="n">
        <v>35</v>
      </c>
      <c r="AB28" s="12" t="n">
        <v>14</v>
      </c>
      <c r="AC28" s="13" t="n">
        <f aca="false">AC27+1</f>
        <v>19</v>
      </c>
    </row>
    <row r="29" customFormat="false" ht="11.1" hidden="false" customHeight="true" outlineLevel="0" collapsed="false">
      <c r="A29" s="13" t="n">
        <f aca="false">A28+1</f>
        <v>20</v>
      </c>
      <c r="B29" s="29" t="n">
        <v>6910.1</v>
      </c>
      <c r="C29" s="7" t="n">
        <v>322388</v>
      </c>
      <c r="D29" s="12" t="n">
        <f aca="false">C29-C28</f>
        <v>-160</v>
      </c>
      <c r="E29" s="7" t="n">
        <f aca="false">C29-152000</f>
        <v>170388</v>
      </c>
      <c r="F29" s="6" t="n">
        <f aca="false">D29/$D$2</f>
        <v>-80.6654902949332</v>
      </c>
      <c r="G29" s="6" t="n">
        <v>77.71</v>
      </c>
      <c r="H29" s="8" t="n">
        <v>0</v>
      </c>
      <c r="I29" s="6" t="n">
        <f aca="false">G29+H29</f>
        <v>77.71</v>
      </c>
      <c r="J29" s="37" t="n">
        <f aca="false">IF(L29&gt;0,L29,0)</f>
        <v>0</v>
      </c>
      <c r="K29" s="6" t="n">
        <f aca="false">I29+J29</f>
        <v>77.71</v>
      </c>
      <c r="L29" s="6" t="n">
        <f aca="false">F29-(I29-W29)</f>
        <v>-44.6554902949332</v>
      </c>
      <c r="M29" s="6" t="n">
        <v>34.2</v>
      </c>
      <c r="N29" s="6" t="n">
        <v>0</v>
      </c>
      <c r="O29" s="6" t="n">
        <v>0</v>
      </c>
      <c r="P29" s="6" t="n">
        <f aca="false">M29-(N29+O29)</f>
        <v>34.2</v>
      </c>
      <c r="Q29" s="6" t="n">
        <v>0</v>
      </c>
      <c r="R29" s="6" t="n">
        <v>0</v>
      </c>
      <c r="S29" s="6" t="n">
        <f aca="false">SUM(P29:R29)</f>
        <v>34.2</v>
      </c>
      <c r="T29" s="7"/>
      <c r="U29" s="6" t="n">
        <v>0</v>
      </c>
      <c r="V29" s="6" t="n">
        <v>79.52</v>
      </c>
      <c r="W29" s="6" t="n">
        <f aca="false">N29+O29+S29+U29+V29</f>
        <v>113.72</v>
      </c>
      <c r="X29" s="6" t="n">
        <f aca="false">IF(L29&lt;0,L29*-1,0)</f>
        <v>44.6554902949332</v>
      </c>
      <c r="Y29" s="6" t="n">
        <f aca="false">W29+X29</f>
        <v>158.375490294933</v>
      </c>
      <c r="Z29" s="11" t="n">
        <v>0</v>
      </c>
      <c r="AA29" s="39" t="n">
        <v>35</v>
      </c>
      <c r="AB29" s="12" t="n">
        <v>13</v>
      </c>
      <c r="AC29" s="13" t="n">
        <f aca="false">AC28+1</f>
        <v>20</v>
      </c>
    </row>
    <row r="30" customFormat="false" ht="11.1" hidden="false" customHeight="true" outlineLevel="0" collapsed="false">
      <c r="A30" s="13" t="n">
        <f aca="false">A29+1</f>
        <v>21</v>
      </c>
      <c r="B30" s="29" t="n">
        <v>6910.05</v>
      </c>
      <c r="C30" s="7" t="n">
        <v>322187</v>
      </c>
      <c r="D30" s="12" t="n">
        <f aca="false">C30-C29</f>
        <v>-201</v>
      </c>
      <c r="E30" s="7" t="n">
        <f aca="false">C30-152000</f>
        <v>170187</v>
      </c>
      <c r="F30" s="6" t="n">
        <f aca="false">D30/$D$2</f>
        <v>-101.33602218301</v>
      </c>
      <c r="G30" s="6" t="n">
        <v>98.92</v>
      </c>
      <c r="H30" s="8" t="n">
        <v>0</v>
      </c>
      <c r="I30" s="6" t="n">
        <f aca="false">G30+H30</f>
        <v>98.92</v>
      </c>
      <c r="J30" s="37" t="n">
        <f aca="false">IF(L30&gt;0,L30,0)</f>
        <v>0</v>
      </c>
      <c r="K30" s="6" t="n">
        <f aca="false">I30+J30</f>
        <v>98.92</v>
      </c>
      <c r="L30" s="6" t="n">
        <f aca="false">F30-(I30-W30)</f>
        <v>-70.7360221830099</v>
      </c>
      <c r="M30" s="6" t="n">
        <v>34.2</v>
      </c>
      <c r="N30" s="6" t="n">
        <v>0</v>
      </c>
      <c r="O30" s="6" t="n">
        <v>0</v>
      </c>
      <c r="P30" s="6" t="n">
        <f aca="false">M30-(N30+O30)</f>
        <v>34.2</v>
      </c>
      <c r="Q30" s="6" t="n">
        <v>0</v>
      </c>
      <c r="R30" s="6" t="n">
        <v>15.8</v>
      </c>
      <c r="S30" s="6" t="n">
        <f aca="false">SUM(P30:R30)</f>
        <v>50</v>
      </c>
      <c r="T30" s="7"/>
      <c r="U30" s="6" t="n">
        <v>0</v>
      </c>
      <c r="V30" s="6" t="n">
        <v>79.52</v>
      </c>
      <c r="W30" s="6" t="n">
        <f aca="false">N30+O30+S30+U30+V30</f>
        <v>129.52</v>
      </c>
      <c r="X30" s="6" t="n">
        <f aca="false">IF(L30&lt;0,L30*-1,0)</f>
        <v>70.7360221830099</v>
      </c>
      <c r="Y30" s="6" t="n">
        <f aca="false">W30+X30</f>
        <v>200.25602218301</v>
      </c>
      <c r="Z30" s="11" t="n">
        <v>0</v>
      </c>
      <c r="AA30" s="12" t="n">
        <v>40</v>
      </c>
      <c r="AB30" s="12" t="n">
        <v>12</v>
      </c>
      <c r="AC30" s="13" t="n">
        <f aca="false">AC29+1</f>
        <v>21</v>
      </c>
    </row>
    <row r="31" customFormat="false" ht="11.1" hidden="false" customHeight="true" outlineLevel="0" collapsed="false">
      <c r="A31" s="13" t="n">
        <f aca="false">A30+1</f>
        <v>22</v>
      </c>
      <c r="B31" s="29" t="n">
        <v>6910.01</v>
      </c>
      <c r="C31" s="7" t="n">
        <v>322027</v>
      </c>
      <c r="D31" s="12" t="n">
        <f aca="false">C31-C30</f>
        <v>-160</v>
      </c>
      <c r="E31" s="7" t="n">
        <f aca="false">C31-152000</f>
        <v>170027</v>
      </c>
      <c r="F31" s="6" t="n">
        <f aca="false">D31/$D$2</f>
        <v>-80.6654902949332</v>
      </c>
      <c r="G31" s="6" t="n">
        <v>102.91</v>
      </c>
      <c r="H31" s="8" t="n">
        <v>0</v>
      </c>
      <c r="I31" s="6" t="n">
        <f aca="false">G31+H31</f>
        <v>102.91</v>
      </c>
      <c r="J31" s="37" t="n">
        <f aca="false">IF(L31&gt;0,L31,0)</f>
        <v>0</v>
      </c>
      <c r="K31" s="6" t="n">
        <f aca="false">I31+J31</f>
        <v>102.91</v>
      </c>
      <c r="L31" s="6" t="n">
        <f aca="false">F31-(I31-W31)</f>
        <v>-57.0554902949332</v>
      </c>
      <c r="M31" s="6" t="n">
        <v>34.2</v>
      </c>
      <c r="N31" s="6" t="n">
        <v>0</v>
      </c>
      <c r="O31" s="6" t="n">
        <v>0</v>
      </c>
      <c r="P31" s="6" t="n">
        <f aca="false">M31-(N31+O31)</f>
        <v>34.2</v>
      </c>
      <c r="Q31" s="6" t="n">
        <v>0</v>
      </c>
      <c r="R31" s="6" t="n">
        <v>12.8</v>
      </c>
      <c r="S31" s="6" t="n">
        <f aca="false">SUM(P31:R31)</f>
        <v>47</v>
      </c>
      <c r="T31" s="7"/>
      <c r="U31" s="6" t="n">
        <v>0</v>
      </c>
      <c r="V31" s="6" t="n">
        <v>79.52</v>
      </c>
      <c r="W31" s="6" t="n">
        <f aca="false">N31+O31+S31+U31+V31</f>
        <v>126.52</v>
      </c>
      <c r="X31" s="6" t="n">
        <f aca="false">IF(L31&lt;0,L31*-1,0)</f>
        <v>57.0554902949332</v>
      </c>
      <c r="Y31" s="6" t="n">
        <f aca="false">W31+X31</f>
        <v>183.575490294933</v>
      </c>
      <c r="Z31" s="11" t="n">
        <v>0</v>
      </c>
      <c r="AA31" s="12" t="n">
        <v>46</v>
      </c>
      <c r="AB31" s="12" t="n">
        <v>14</v>
      </c>
      <c r="AC31" s="13" t="n">
        <f aca="false">AC30+1</f>
        <v>22</v>
      </c>
    </row>
    <row r="32" customFormat="false" ht="11.1" hidden="false" customHeight="true" outlineLevel="0" collapsed="false">
      <c r="A32" s="13" t="n">
        <f aca="false">A31+1</f>
        <v>23</v>
      </c>
      <c r="B32" s="29" t="n">
        <v>6910.02</v>
      </c>
      <c r="C32" s="7" t="n">
        <v>322067</v>
      </c>
      <c r="D32" s="12" t="n">
        <f aca="false">C32-C31</f>
        <v>40</v>
      </c>
      <c r="E32" s="7" t="n">
        <f aca="false">C32-152000</f>
        <v>170067</v>
      </c>
      <c r="F32" s="6" t="n">
        <f aca="false">D32/$D$2</f>
        <v>20.1663725737333</v>
      </c>
      <c r="G32" s="6" t="n">
        <v>107.87</v>
      </c>
      <c r="H32" s="8" t="n">
        <v>0</v>
      </c>
      <c r="I32" s="6" t="n">
        <f aca="false">G32+H32</f>
        <v>107.87</v>
      </c>
      <c r="J32" s="37" t="n">
        <f aca="false">IF(L32&gt;0,L32,0)</f>
        <v>35.8163725737333</v>
      </c>
      <c r="K32" s="6" t="n">
        <f aca="false">I32+J32</f>
        <v>143.686372573733</v>
      </c>
      <c r="L32" s="6" t="n">
        <f aca="false">F32-(I32-W32)</f>
        <v>35.8163725737333</v>
      </c>
      <c r="M32" s="6" t="n">
        <v>34.2</v>
      </c>
      <c r="N32" s="6" t="n">
        <v>0</v>
      </c>
      <c r="O32" s="6" t="n">
        <v>0</v>
      </c>
      <c r="P32" s="6" t="n">
        <f aca="false">M32-(N32+O32)</f>
        <v>34.2</v>
      </c>
      <c r="Q32" s="6" t="n">
        <v>0</v>
      </c>
      <c r="R32" s="6" t="n">
        <v>9.8</v>
      </c>
      <c r="S32" s="6" t="n">
        <f aca="false">SUM(P32:R32)</f>
        <v>44</v>
      </c>
      <c r="T32" s="7"/>
      <c r="U32" s="6" t="n">
        <v>0</v>
      </c>
      <c r="V32" s="6" t="n">
        <v>79.52</v>
      </c>
      <c r="W32" s="6" t="n">
        <f aca="false">N32+O32+S32+U32+V32</f>
        <v>123.52</v>
      </c>
      <c r="X32" s="6" t="n">
        <f aca="false">IF(L32&lt;0,L32*-1,0)</f>
        <v>0</v>
      </c>
      <c r="Y32" s="6" t="n">
        <f aca="false">W32+X32</f>
        <v>123.52</v>
      </c>
      <c r="Z32" s="11" t="n">
        <v>0</v>
      </c>
      <c r="AA32" s="12" t="n">
        <v>48</v>
      </c>
      <c r="AB32" s="39" t="n">
        <v>19</v>
      </c>
      <c r="AC32" s="13" t="n">
        <f aca="false">AC31+1</f>
        <v>23</v>
      </c>
    </row>
    <row r="33" customFormat="false" ht="11.1" hidden="false" customHeight="true" outlineLevel="0" collapsed="false">
      <c r="A33" s="13" t="n">
        <f aca="false">A32+1</f>
        <v>24</v>
      </c>
      <c r="B33" s="29" t="n">
        <v>6910.03</v>
      </c>
      <c r="C33" s="7" t="n">
        <v>322107</v>
      </c>
      <c r="D33" s="12" t="n">
        <f aca="false">C33-C32</f>
        <v>40</v>
      </c>
      <c r="E33" s="7" t="n">
        <f aca="false">C33-152000</f>
        <v>170107</v>
      </c>
      <c r="F33" s="6" t="n">
        <f aca="false">D33/$D$2</f>
        <v>20.1663725737333</v>
      </c>
      <c r="G33" s="6" t="n">
        <v>94.69</v>
      </c>
      <c r="H33" s="8" t="n">
        <v>0</v>
      </c>
      <c r="I33" s="6" t="n">
        <f aca="false">G33+H33</f>
        <v>94.69</v>
      </c>
      <c r="J33" s="37" t="n">
        <f aca="false">IF(L33&gt;0,L33,0)</f>
        <v>48.9963725737333</v>
      </c>
      <c r="K33" s="6" t="n">
        <f aca="false">I33+J33</f>
        <v>143.686372573733</v>
      </c>
      <c r="L33" s="6" t="n">
        <f aca="false">F33-(I33-W33)</f>
        <v>48.9963725737333</v>
      </c>
      <c r="M33" s="6" t="n">
        <v>34.2</v>
      </c>
      <c r="N33" s="6" t="n">
        <v>0</v>
      </c>
      <c r="O33" s="6" t="n">
        <v>0</v>
      </c>
      <c r="P33" s="6" t="n">
        <f aca="false">M33-(N33+O33)</f>
        <v>34.2</v>
      </c>
      <c r="Q33" s="6" t="n">
        <v>0</v>
      </c>
      <c r="R33" s="6" t="n">
        <v>9.8</v>
      </c>
      <c r="S33" s="6" t="n">
        <f aca="false">SUM(P33:R33)</f>
        <v>44</v>
      </c>
      <c r="T33" s="7"/>
      <c r="U33" s="6" t="n">
        <v>0</v>
      </c>
      <c r="V33" s="6" t="n">
        <v>79.52</v>
      </c>
      <c r="W33" s="6" t="n">
        <f aca="false">N33+O33+S33+U33+V33</f>
        <v>123.52</v>
      </c>
      <c r="X33" s="6" t="n">
        <f aca="false">IF(L33&lt;0,L33*-1,0)</f>
        <v>0</v>
      </c>
      <c r="Y33" s="6" t="n">
        <f aca="false">W33+X33</f>
        <v>123.52</v>
      </c>
      <c r="Z33" s="11" t="n">
        <v>0.49</v>
      </c>
      <c r="AA33" s="12" t="n">
        <v>40</v>
      </c>
      <c r="AB33" s="39" t="n">
        <v>17</v>
      </c>
      <c r="AC33" s="13" t="n">
        <f aca="false">AC32+1</f>
        <v>24</v>
      </c>
    </row>
    <row r="34" customFormat="false" ht="11.1" hidden="false" customHeight="true" outlineLevel="0" collapsed="false">
      <c r="A34" s="13" t="n">
        <f aca="false">A33+1</f>
        <v>25</v>
      </c>
      <c r="B34" s="29" t="n">
        <v>6910.01</v>
      </c>
      <c r="C34" s="7" t="n">
        <v>322027</v>
      </c>
      <c r="D34" s="12" t="n">
        <f aca="false">C34-C33</f>
        <v>-80</v>
      </c>
      <c r="E34" s="7" t="n">
        <f aca="false">C34-152000</f>
        <v>170027</v>
      </c>
      <c r="F34" s="6" t="n">
        <f aca="false">D34/$D$2</f>
        <v>-40.3327451474666</v>
      </c>
      <c r="G34" s="6" t="n">
        <v>89.12</v>
      </c>
      <c r="H34" s="8" t="n">
        <v>0</v>
      </c>
      <c r="I34" s="6" t="n">
        <f aca="false">G34+H34</f>
        <v>89.12</v>
      </c>
      <c r="J34" s="37" t="n">
        <f aca="false">IF(L34&gt;0,L34,0)</f>
        <v>0</v>
      </c>
      <c r="K34" s="6" t="n">
        <f aca="false">I34+J34</f>
        <v>89.12</v>
      </c>
      <c r="L34" s="6" t="n">
        <f aca="false">F34-(I34-W34)</f>
        <v>-28.9327451474666</v>
      </c>
      <c r="M34" s="6" t="n">
        <v>17.79</v>
      </c>
      <c r="N34" s="6" t="n">
        <v>0</v>
      </c>
      <c r="O34" s="6" t="n">
        <v>0</v>
      </c>
      <c r="P34" s="6" t="n">
        <f aca="false">M34-(N34+O34)</f>
        <v>17.79</v>
      </c>
      <c r="Q34" s="6" t="n">
        <v>0</v>
      </c>
      <c r="R34" s="6" t="n">
        <v>3.21</v>
      </c>
      <c r="S34" s="6" t="n">
        <f aca="false">SUM(P34:R34)</f>
        <v>21</v>
      </c>
      <c r="T34" s="7"/>
      <c r="U34" s="6" t="n">
        <v>0</v>
      </c>
      <c r="V34" s="6" t="n">
        <v>79.52</v>
      </c>
      <c r="W34" s="6" t="n">
        <f aca="false">N34+O34+S34+U34+V34</f>
        <v>100.52</v>
      </c>
      <c r="X34" s="6" t="n">
        <f aca="false">IF(L34&lt;0,L34*-1,0)</f>
        <v>28.9327451474666</v>
      </c>
      <c r="Y34" s="6" t="n">
        <f aca="false">W34+X34</f>
        <v>129.452745147467</v>
      </c>
      <c r="Z34" s="11" t="n">
        <v>0.14</v>
      </c>
      <c r="AA34" s="12" t="n">
        <v>30</v>
      </c>
      <c r="AB34" s="39" t="n">
        <v>13</v>
      </c>
      <c r="AC34" s="13" t="n">
        <f aca="false">AC33+1</f>
        <v>25</v>
      </c>
    </row>
    <row r="35" customFormat="false" ht="11.1" hidden="false" customHeight="true" outlineLevel="0" collapsed="false">
      <c r="A35" s="13" t="n">
        <f aca="false">A34+1</f>
        <v>26</v>
      </c>
      <c r="B35" s="29" t="n">
        <v>6909.99</v>
      </c>
      <c r="C35" s="7" t="n">
        <v>321947</v>
      </c>
      <c r="D35" s="12" t="n">
        <f aca="false">C35-C34</f>
        <v>-80</v>
      </c>
      <c r="E35" s="7" t="n">
        <f aca="false">C35-152000</f>
        <v>169947</v>
      </c>
      <c r="F35" s="6" t="n">
        <f aca="false">D35/$D$2</f>
        <v>-40.3327451474666</v>
      </c>
      <c r="G35" s="6" t="n">
        <v>89.53</v>
      </c>
      <c r="H35" s="8" t="n">
        <v>0</v>
      </c>
      <c r="I35" s="6" t="n">
        <f aca="false">G35+H35</f>
        <v>89.53</v>
      </c>
      <c r="J35" s="37" t="n">
        <f aca="false">IF(L35&gt;0,L35,0)</f>
        <v>0</v>
      </c>
      <c r="K35" s="6" t="n">
        <f aca="false">I35+J35</f>
        <v>89.53</v>
      </c>
      <c r="L35" s="6" t="n">
        <f aca="false">F35-(I35-W35)</f>
        <v>-46.3427451474666</v>
      </c>
      <c r="M35" s="6" t="n">
        <v>4</v>
      </c>
      <c r="N35" s="6" t="n">
        <v>0</v>
      </c>
      <c r="O35" s="6" t="n">
        <v>0</v>
      </c>
      <c r="P35" s="6" t="n">
        <f aca="false">M35-(N35+O35)</f>
        <v>4</v>
      </c>
      <c r="Q35" s="6" t="n">
        <v>0</v>
      </c>
      <c r="R35" s="6" t="n">
        <v>0</v>
      </c>
      <c r="S35" s="6" t="n">
        <f aca="false">SUM(P35:R35)</f>
        <v>4</v>
      </c>
      <c r="T35" s="7"/>
      <c r="U35" s="6" t="n">
        <v>0</v>
      </c>
      <c r="V35" s="6" t="n">
        <v>79.52</v>
      </c>
      <c r="W35" s="6" t="n">
        <f aca="false">N35+O35+S35+U35+V35</f>
        <v>83.52</v>
      </c>
      <c r="X35" s="6" t="n">
        <f aca="false">IF(L35&lt;0,L35*-1,0)</f>
        <v>46.3427451474666</v>
      </c>
      <c r="Y35" s="6" t="n">
        <f aca="false">W35+X35</f>
        <v>129.862745147467</v>
      </c>
      <c r="Z35" s="11" t="n">
        <v>0</v>
      </c>
      <c r="AA35" s="12" t="n">
        <v>31</v>
      </c>
      <c r="AB35" s="12" t="n">
        <v>7</v>
      </c>
      <c r="AC35" s="13" t="n">
        <f aca="false">AC34+1</f>
        <v>26</v>
      </c>
    </row>
    <row r="36" customFormat="false" ht="11.1" hidden="false" customHeight="true" outlineLevel="0" collapsed="false">
      <c r="A36" s="13" t="n">
        <f aca="false">A35+1</f>
        <v>27</v>
      </c>
      <c r="B36" s="29" t="n">
        <v>6909.97</v>
      </c>
      <c r="C36" s="7" t="n">
        <v>321867</v>
      </c>
      <c r="D36" s="12" t="n">
        <f aca="false">C36-C35</f>
        <v>-80</v>
      </c>
      <c r="E36" s="7" t="n">
        <f aca="false">C36-152000</f>
        <v>169867</v>
      </c>
      <c r="F36" s="6" t="n">
        <f aca="false">D36/$D$2</f>
        <v>-40.3327451474666</v>
      </c>
      <c r="G36" s="6" t="n">
        <v>80</v>
      </c>
      <c r="H36" s="8" t="n">
        <v>0</v>
      </c>
      <c r="I36" s="6" t="n">
        <f aca="false">G36+H36</f>
        <v>80</v>
      </c>
      <c r="J36" s="37" t="n">
        <f aca="false">IF(L36&gt;0,L36,0)</f>
        <v>0</v>
      </c>
      <c r="K36" s="6" t="n">
        <f aca="false">I36+J36</f>
        <v>80</v>
      </c>
      <c r="L36" s="6" t="n">
        <f aca="false">F36-(I36-W36)</f>
        <v>-36.7727451474666</v>
      </c>
      <c r="M36" s="6" t="n">
        <v>4</v>
      </c>
      <c r="N36" s="6" t="n">
        <v>0</v>
      </c>
      <c r="O36" s="6" t="n">
        <v>0</v>
      </c>
      <c r="P36" s="6" t="n">
        <f aca="false">M36-(N36+O36)</f>
        <v>4</v>
      </c>
      <c r="Q36" s="6" t="n">
        <v>0</v>
      </c>
      <c r="R36" s="6" t="n">
        <v>0</v>
      </c>
      <c r="S36" s="6" t="n">
        <f aca="false">SUM(P36:R36)</f>
        <v>4</v>
      </c>
      <c r="T36" s="7"/>
      <c r="U36" s="6" t="n">
        <v>0</v>
      </c>
      <c r="V36" s="6" t="n">
        <v>79.56</v>
      </c>
      <c r="W36" s="6" t="n">
        <f aca="false">N36+O36+S36+U36+V36</f>
        <v>83.56</v>
      </c>
      <c r="X36" s="6" t="n">
        <f aca="false">IF(L36&lt;0,L36*-1,0)</f>
        <v>36.7727451474666</v>
      </c>
      <c r="Y36" s="6" t="n">
        <f aca="false">W36+X36</f>
        <v>120.332745147467</v>
      </c>
      <c r="Z36" s="11" t="n">
        <v>0</v>
      </c>
      <c r="AA36" s="12" t="n">
        <v>29</v>
      </c>
      <c r="AB36" s="12" t="n">
        <v>4</v>
      </c>
      <c r="AC36" s="13" t="n">
        <f aca="false">AC35+1</f>
        <v>27</v>
      </c>
    </row>
    <row r="37" customFormat="false" ht="11.1" hidden="false" customHeight="true" outlineLevel="0" collapsed="false">
      <c r="A37" s="13" t="n">
        <f aca="false">A36+1</f>
        <v>28</v>
      </c>
      <c r="B37" s="29" t="n">
        <v>6909.95</v>
      </c>
      <c r="C37" s="7" t="n">
        <v>321787</v>
      </c>
      <c r="D37" s="12" t="n">
        <f aca="false">C37-C36</f>
        <v>-80</v>
      </c>
      <c r="E37" s="7" t="n">
        <f aca="false">C37-152000</f>
        <v>169787</v>
      </c>
      <c r="F37" s="6" t="n">
        <f aca="false">D37/$D$2</f>
        <v>-40.3327451474666</v>
      </c>
      <c r="G37" s="6" t="n">
        <v>80</v>
      </c>
      <c r="H37" s="8" t="n">
        <v>0</v>
      </c>
      <c r="I37" s="6" t="n">
        <f aca="false">G37+H37</f>
        <v>80</v>
      </c>
      <c r="J37" s="37" t="n">
        <f aca="false">IF(L37&gt;0,L37,0)</f>
        <v>0</v>
      </c>
      <c r="K37" s="6" t="n">
        <f aca="false">I37+J37</f>
        <v>80</v>
      </c>
      <c r="L37" s="6" t="n">
        <f aca="false">F37-(I37-W37)</f>
        <v>-36.8127451474666</v>
      </c>
      <c r="M37" s="6" t="n">
        <v>4</v>
      </c>
      <c r="N37" s="6" t="n">
        <v>0</v>
      </c>
      <c r="O37" s="6" t="n">
        <v>0</v>
      </c>
      <c r="P37" s="6" t="n">
        <f aca="false">M37-(N37+O37)</f>
        <v>4</v>
      </c>
      <c r="Q37" s="6" t="n">
        <v>0</v>
      </c>
      <c r="R37" s="6" t="n">
        <v>0</v>
      </c>
      <c r="S37" s="6" t="n">
        <f aca="false">SUM(P37:R37)</f>
        <v>4</v>
      </c>
      <c r="T37" s="7"/>
      <c r="U37" s="6" t="n">
        <v>0</v>
      </c>
      <c r="V37" s="6" t="n">
        <v>79.52</v>
      </c>
      <c r="W37" s="6" t="n">
        <f aca="false">N37+O37+S37+U37+V37</f>
        <v>83.52</v>
      </c>
      <c r="X37" s="6" t="n">
        <f aca="false">IF(L37&lt;0,L37*-1,0)</f>
        <v>36.8127451474666</v>
      </c>
      <c r="Y37" s="6" t="n">
        <f aca="false">W37+X37</f>
        <v>120.332745147467</v>
      </c>
      <c r="Z37" s="11" t="n">
        <v>0</v>
      </c>
      <c r="AA37" s="12" t="n">
        <v>35</v>
      </c>
      <c r="AB37" s="12" t="n">
        <v>2</v>
      </c>
      <c r="AC37" s="13" t="n">
        <f aca="false">AC36+1</f>
        <v>28</v>
      </c>
    </row>
    <row r="38" customFormat="false" ht="11.1" hidden="false" customHeight="true" outlineLevel="0" collapsed="false">
      <c r="A38" s="13" t="n">
        <f aca="false">A37+1</f>
        <v>29</v>
      </c>
      <c r="B38" s="29" t="n">
        <v>6909.93</v>
      </c>
      <c r="C38" s="7" t="n">
        <v>321708</v>
      </c>
      <c r="D38" s="12" t="n">
        <f aca="false">C38-C37</f>
        <v>-79</v>
      </c>
      <c r="E38" s="7" t="n">
        <f aca="false">C38-152000</f>
        <v>169708</v>
      </c>
      <c r="F38" s="6" t="n">
        <f aca="false">D38/$D$2</f>
        <v>-39.8285858331233</v>
      </c>
      <c r="G38" s="6" t="n">
        <v>80</v>
      </c>
      <c r="H38" s="8" t="n">
        <v>0</v>
      </c>
      <c r="I38" s="6" t="n">
        <f aca="false">G38+H38</f>
        <v>80</v>
      </c>
      <c r="J38" s="37" t="n">
        <f aca="false">IF(L38&gt;0,L38,0)</f>
        <v>0</v>
      </c>
      <c r="K38" s="6" t="n">
        <f aca="false">I38+J38</f>
        <v>80</v>
      </c>
      <c r="L38" s="6" t="n">
        <f aca="false">F38-(I38-W38)</f>
        <v>-36.2185858331233</v>
      </c>
      <c r="M38" s="6" t="n">
        <v>4</v>
      </c>
      <c r="N38" s="6" t="n">
        <v>0</v>
      </c>
      <c r="O38" s="6" t="n">
        <v>0</v>
      </c>
      <c r="P38" s="6" t="n">
        <f aca="false">M38-(N38+O38)</f>
        <v>4</v>
      </c>
      <c r="Q38" s="6" t="n">
        <v>0</v>
      </c>
      <c r="R38" s="6" t="n">
        <v>0</v>
      </c>
      <c r="S38" s="6" t="n">
        <f aca="false">SUM(P38:R38)</f>
        <v>4</v>
      </c>
      <c r="T38" s="7"/>
      <c r="U38" s="6" t="n">
        <v>0</v>
      </c>
      <c r="V38" s="6" t="n">
        <v>79.61</v>
      </c>
      <c r="W38" s="6" t="n">
        <f aca="false">N38+O38+S38+U38+V38</f>
        <v>83.61</v>
      </c>
      <c r="X38" s="6" t="n">
        <f aca="false">IF(L38&lt;0,L38*-1,0)</f>
        <v>36.2185858331233</v>
      </c>
      <c r="Y38" s="6" t="n">
        <f aca="false">W38+X38</f>
        <v>119.828585833123</v>
      </c>
      <c r="Z38" s="11" t="n">
        <v>0</v>
      </c>
      <c r="AA38" s="39" t="n">
        <v>38</v>
      </c>
      <c r="AB38" s="12" t="n">
        <v>1</v>
      </c>
      <c r="AC38" s="13" t="n">
        <f aca="false">AC37+1</f>
        <v>29</v>
      </c>
    </row>
    <row r="39" customFormat="false" ht="11.1" hidden="false" customHeight="true" outlineLevel="0" collapsed="false">
      <c r="A39" s="13" t="n">
        <v>30</v>
      </c>
      <c r="B39" s="29" t="n">
        <v>6909.93</v>
      </c>
      <c r="C39" s="7" t="n">
        <v>321708</v>
      </c>
      <c r="D39" s="12" t="n">
        <f aca="false">C39-C38</f>
        <v>0</v>
      </c>
      <c r="E39" s="7" t="n">
        <f aca="false">C39-152000</f>
        <v>169708</v>
      </c>
      <c r="F39" s="6" t="n">
        <f aca="false">D39/$D$2</f>
        <v>0</v>
      </c>
      <c r="G39" s="6" t="n">
        <v>80</v>
      </c>
      <c r="H39" s="8" t="n">
        <v>0</v>
      </c>
      <c r="I39" s="6" t="n">
        <f aca="false">G39+H39</f>
        <v>80</v>
      </c>
      <c r="J39" s="37" t="n">
        <f aca="false">IF(L39&gt;0,L39,0)</f>
        <v>3.53</v>
      </c>
      <c r="K39" s="6" t="n">
        <f aca="false">I39+J39</f>
        <v>83.53</v>
      </c>
      <c r="L39" s="6" t="n">
        <f aca="false">F39-(I39-W39)</f>
        <v>3.53</v>
      </c>
      <c r="M39" s="6" t="n">
        <v>4</v>
      </c>
      <c r="N39" s="6" t="n">
        <v>0</v>
      </c>
      <c r="O39" s="6" t="n">
        <v>0</v>
      </c>
      <c r="P39" s="6" t="n">
        <f aca="false">M39-(N39+O39)</f>
        <v>4</v>
      </c>
      <c r="Q39" s="6" t="n">
        <v>0</v>
      </c>
      <c r="R39" s="6" t="n">
        <v>0</v>
      </c>
      <c r="S39" s="6" t="n">
        <f aca="false">SUM(P39:R39)</f>
        <v>4</v>
      </c>
      <c r="T39" s="7"/>
      <c r="U39" s="6" t="n">
        <v>0</v>
      </c>
      <c r="V39" s="6" t="n">
        <v>79.53</v>
      </c>
      <c r="W39" s="6" t="n">
        <f aca="false">N39+O39+S39+U39+V39</f>
        <v>83.53</v>
      </c>
      <c r="X39" s="6" t="n">
        <f aca="false">IF(L39&lt;0,L39*-1,0)</f>
        <v>0</v>
      </c>
      <c r="Y39" s="6" t="n">
        <f aca="false">W39+X39</f>
        <v>83.53</v>
      </c>
      <c r="Z39" s="11" t="n">
        <v>0</v>
      </c>
      <c r="AA39" s="39" t="n">
        <v>45</v>
      </c>
      <c r="AB39" s="12" t="n">
        <v>10</v>
      </c>
      <c r="AC39" s="13" t="n">
        <v>30</v>
      </c>
    </row>
    <row r="40" customFormat="false" ht="3" hidden="false" customHeight="true" outlineLevel="0" collapsed="false">
      <c r="A40" s="30"/>
      <c r="B40" s="30"/>
      <c r="C40" s="32"/>
      <c r="D40" s="30"/>
      <c r="E40" s="32"/>
      <c r="F40" s="30"/>
      <c r="G40" s="30"/>
      <c r="H40" s="33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2"/>
      <c r="U40" s="30"/>
      <c r="V40" s="30"/>
      <c r="W40" s="30"/>
      <c r="X40" s="30"/>
      <c r="Y40" s="30"/>
      <c r="Z40" s="34"/>
      <c r="AA40" s="35"/>
      <c r="AB40" s="35"/>
      <c r="AC40" s="36"/>
    </row>
    <row r="41" customFormat="false" ht="11.1" hidden="false" customHeight="true" outlineLevel="0" collapsed="false">
      <c r="A41" s="6" t="s">
        <v>44</v>
      </c>
      <c r="B41" s="6"/>
      <c r="C41" s="7"/>
      <c r="D41" s="7"/>
      <c r="E41" s="7"/>
      <c r="F41" s="7" t="n">
        <f aca="false">SUM(F10:F39)</f>
        <v>-1637.50945298714</v>
      </c>
      <c r="G41" s="7" t="n">
        <f aca="false">SUM(G10:G39)</f>
        <v>2471.06</v>
      </c>
      <c r="H41" s="7" t="n">
        <f aca="false">SUM(H10:H39)</f>
        <v>0</v>
      </c>
      <c r="I41" s="7" t="n">
        <f aca="false">SUM(I10:I39)</f>
        <v>2471.06</v>
      </c>
      <c r="J41" s="7" t="n">
        <f aca="false">SUM(J10:J39)</f>
        <v>295.225911267961</v>
      </c>
      <c r="K41" s="7" t="n">
        <f aca="false">SUM(K10:K39)</f>
        <v>2766.28591126796</v>
      </c>
      <c r="L41" s="7" t="n">
        <f aca="false">SUM(L10:L39)</f>
        <v>-222.909452987144</v>
      </c>
      <c r="M41" s="7" t="n">
        <f aca="false">SUM(M10:M39)</f>
        <v>1098.77</v>
      </c>
      <c r="N41" s="7" t="n">
        <f aca="false">SUM(N10:N39)</f>
        <v>0</v>
      </c>
      <c r="O41" s="7" t="n">
        <f aca="false">SUM(O10:O39)</f>
        <v>0</v>
      </c>
      <c r="P41" s="7" t="n">
        <f aca="false">SUM(P10:P39)</f>
        <v>1098.77</v>
      </c>
      <c r="Q41" s="7" t="n">
        <f aca="false">SUM(Q10:Q39)</f>
        <v>0</v>
      </c>
      <c r="R41" s="7" t="n">
        <f aca="false">SUM(R10:R39)</f>
        <v>410.19</v>
      </c>
      <c r="S41" s="7" t="n">
        <f aca="false">SUM(S10:S39)</f>
        <v>1508.96</v>
      </c>
      <c r="T41" s="7"/>
      <c r="U41" s="7" t="n">
        <f aca="false">SUM(U10:U39)</f>
        <v>0</v>
      </c>
      <c r="V41" s="7" t="n">
        <f aca="false">SUM(V10:V39)</f>
        <v>2376.7</v>
      </c>
      <c r="W41" s="7" t="n">
        <f aca="false">SUM(W10:W39)</f>
        <v>3885.66</v>
      </c>
      <c r="X41" s="7" t="n">
        <f aca="false">SUM(X10:X39)</f>
        <v>518.135364255105</v>
      </c>
      <c r="Y41" s="7" t="n">
        <f aca="false">SUM(Y10:Y39)</f>
        <v>4403.79536425511</v>
      </c>
      <c r="Z41" s="11" t="n">
        <f aca="false">SUM(Z10:Z39)</f>
        <v>2.28</v>
      </c>
      <c r="AA41" s="12" t="n">
        <f aca="false">AVERAGE(AA10:AA39)</f>
        <v>43.8333333333333</v>
      </c>
      <c r="AB41" s="12" t="n">
        <f aca="false">AVERAGE(AB10:AB39)</f>
        <v>21.4</v>
      </c>
      <c r="AC41" s="13" t="s">
        <v>45</v>
      </c>
    </row>
    <row r="42" customFormat="false" ht="11.1" hidden="false" customHeight="true" outlineLevel="0" collapsed="false">
      <c r="A42" s="6" t="s">
        <v>46</v>
      </c>
      <c r="B42" s="6"/>
      <c r="C42" s="7"/>
      <c r="D42" s="7" t="n">
        <f aca="false">SUM(D10:D39)</f>
        <v>-3248</v>
      </c>
      <c r="E42" s="7"/>
      <c r="F42" s="7" t="n">
        <f aca="false">F41*$D$2</f>
        <v>-3248</v>
      </c>
      <c r="G42" s="7" t="n">
        <f aca="false">G41*$D$2</f>
        <v>4901.34751</v>
      </c>
      <c r="H42" s="7" t="n">
        <f aca="false">H41*$D$2</f>
        <v>0</v>
      </c>
      <c r="I42" s="7" t="n">
        <f aca="false">I41*$D$2</f>
        <v>4901.34751</v>
      </c>
      <c r="J42" s="7" t="n">
        <f aca="false">J41*$D$2</f>
        <v>585.580595</v>
      </c>
      <c r="K42" s="7" t="n">
        <f aca="false">K41*$D$2</f>
        <v>5486.928105</v>
      </c>
      <c r="L42" s="7" t="n">
        <f aca="false">L41*$D$2</f>
        <v>-442.1409</v>
      </c>
      <c r="M42" s="7" t="n">
        <f aca="false">M41*$D$2</f>
        <v>2179.410295</v>
      </c>
      <c r="N42" s="7" t="n">
        <f aca="false">N41*$D$2</f>
        <v>0</v>
      </c>
      <c r="O42" s="7" t="n">
        <f aca="false">O41*$D$2</f>
        <v>0</v>
      </c>
      <c r="P42" s="7" t="n">
        <f aca="false">P41*$D$2</f>
        <v>2179.410295</v>
      </c>
      <c r="Q42" s="7" t="n">
        <f aca="false">Q41*$D$2</f>
        <v>0</v>
      </c>
      <c r="R42" s="7" t="n">
        <f aca="false">R41*$D$2</f>
        <v>813.611865</v>
      </c>
      <c r="S42" s="7" t="n">
        <f aca="false">S41*$D$2</f>
        <v>2993.02216</v>
      </c>
      <c r="T42" s="7"/>
      <c r="U42" s="7" t="n">
        <f aca="false">U41*$D$2</f>
        <v>0</v>
      </c>
      <c r="V42" s="7" t="n">
        <f aca="false">V41*$D$2</f>
        <v>4714.18445</v>
      </c>
      <c r="W42" s="7" t="n">
        <f aca="false">W41*$D$2</f>
        <v>7707.20661</v>
      </c>
      <c r="X42" s="7" t="n">
        <f aca="false">X41*$D$2</f>
        <v>1027.721495</v>
      </c>
      <c r="Y42" s="7" t="n">
        <f aca="false">Y41*$D$2</f>
        <v>8734.928105</v>
      </c>
      <c r="Z42" s="11"/>
      <c r="AA42" s="12" t="n">
        <f aca="false">MAX(AA10:AA39)</f>
        <v>61</v>
      </c>
      <c r="AB42" s="12" t="n">
        <f aca="false">MAX(AB10:AB39)</f>
        <v>36</v>
      </c>
      <c r="AC42" s="13" t="s">
        <v>47</v>
      </c>
    </row>
    <row r="43" customFormat="false" ht="3" hidden="false" customHeight="true" outlineLevel="0" collapsed="false">
      <c r="A43" s="30"/>
      <c r="B43" s="30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11"/>
      <c r="AA43" s="12"/>
      <c r="AB43" s="12"/>
      <c r="AC43" s="13"/>
    </row>
    <row r="44" customFormat="false" ht="11.1" hidden="false" customHeight="true" outlineLevel="0" collapsed="false">
      <c r="A44" s="6" t="s">
        <v>48</v>
      </c>
      <c r="B44" s="6"/>
      <c r="C44" s="7"/>
      <c r="D44" s="7"/>
      <c r="E44" s="7"/>
      <c r="F44" s="7"/>
      <c r="G44" s="7"/>
      <c r="H44" s="12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11"/>
      <c r="AA44" s="12" t="n">
        <f aca="false">MIN(AA10:AA39)</f>
        <v>27</v>
      </c>
      <c r="AB44" s="12" t="n">
        <f aca="false">MIN(AB10:AB39)</f>
        <v>1</v>
      </c>
      <c r="AC44" s="13" t="s">
        <v>49</v>
      </c>
    </row>
    <row r="45" customFormat="false" ht="11.1" hidden="false" customHeight="true" outlineLevel="0" collapsed="false">
      <c r="A45" s="6" t="s">
        <v>50</v>
      </c>
      <c r="B45" s="6"/>
      <c r="C45" s="7"/>
      <c r="D45" s="7"/>
      <c r="E45" s="7"/>
      <c r="F45" s="7"/>
      <c r="G45" s="7"/>
      <c r="H45" s="12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11"/>
      <c r="AA45" s="12"/>
      <c r="AB45" s="12"/>
      <c r="AC45" s="13"/>
    </row>
    <row r="46" customFormat="false" ht="3" hidden="false" customHeight="true" outlineLevel="0" collapsed="false">
      <c r="A46" s="30"/>
      <c r="B46" s="30"/>
      <c r="C46" s="32"/>
      <c r="D46" s="32"/>
      <c r="E46" s="32"/>
      <c r="F46" s="32"/>
      <c r="G46" s="32"/>
      <c r="H46" s="35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4"/>
      <c r="AA46" s="12"/>
      <c r="AB46" s="12"/>
      <c r="AC46" s="13"/>
    </row>
    <row r="47" customFormat="false" ht="11.1" hidden="false" customHeight="true" outlineLevel="0" collapsed="false">
      <c r="A47" s="6" t="s">
        <v>51</v>
      </c>
      <c r="B47" s="6"/>
      <c r="C47" s="7"/>
      <c r="D47" s="7"/>
      <c r="E47" s="7"/>
      <c r="F47" s="7" t="n">
        <f aca="false">F8+F41</f>
        <v>-1637.50945298714</v>
      </c>
      <c r="G47" s="7" t="n">
        <f aca="false">G8+G41</f>
        <v>2471.06</v>
      </c>
      <c r="H47" s="12" t="n">
        <f aca="false">H8+H41</f>
        <v>0</v>
      </c>
      <c r="I47" s="7" t="n">
        <f aca="false">I8+I41</f>
        <v>2471.06</v>
      </c>
      <c r="J47" s="7" t="n">
        <f aca="false">J8+J41</f>
        <v>295.225911267961</v>
      </c>
      <c r="K47" s="7" t="n">
        <f aca="false">K8+K41</f>
        <v>2766.28591126796</v>
      </c>
      <c r="L47" s="7" t="n">
        <f aca="false">L8+L41</f>
        <v>-222.909452987144</v>
      </c>
      <c r="M47" s="7" t="n">
        <f aca="false">M8+M41</f>
        <v>1098.77</v>
      </c>
      <c r="N47" s="7" t="n">
        <f aca="false">N8+N41</f>
        <v>0</v>
      </c>
      <c r="O47" s="7" t="n">
        <f aca="false">O8+O41</f>
        <v>0</v>
      </c>
      <c r="P47" s="7" t="n">
        <f aca="false">P8+P41</f>
        <v>1098.77</v>
      </c>
      <c r="Q47" s="7" t="n">
        <f aca="false">Q8+Q41</f>
        <v>0</v>
      </c>
      <c r="R47" s="7" t="n">
        <f aca="false">R8+R41</f>
        <v>410.19</v>
      </c>
      <c r="S47" s="7" t="n">
        <f aca="false">S8+S41</f>
        <v>1508.96</v>
      </c>
      <c r="T47" s="7"/>
      <c r="U47" s="7" t="n">
        <f aca="false">U8+U41</f>
        <v>0</v>
      </c>
      <c r="V47" s="7" t="n">
        <f aca="false">V8+V41</f>
        <v>2376.7</v>
      </c>
      <c r="W47" s="7" t="n">
        <f aca="false">W8+W41</f>
        <v>3885.66</v>
      </c>
      <c r="X47" s="7" t="n">
        <f aca="false">X8+X41</f>
        <v>518.135364255105</v>
      </c>
      <c r="Y47" s="7" t="n">
        <f aca="false">Y8+Y41</f>
        <v>4403.79536425511</v>
      </c>
      <c r="Z47" s="11" t="n">
        <f aca="false">Z8+Z41</f>
        <v>2.28</v>
      </c>
      <c r="AA47" s="12"/>
      <c r="AB47" s="12"/>
      <c r="AC47" s="13"/>
    </row>
    <row r="48" customFormat="false" ht="11.1" hidden="false" customHeight="true" outlineLevel="0" collapsed="false">
      <c r="A48" s="6" t="s">
        <v>52</v>
      </c>
      <c r="B48" s="6"/>
      <c r="C48" s="7"/>
      <c r="D48" s="7" t="n">
        <f aca="false">D8+D42</f>
        <v>-3248</v>
      </c>
      <c r="E48" s="7" t="n">
        <f aca="false">E39</f>
        <v>169708</v>
      </c>
      <c r="F48" s="7" t="n">
        <f aca="false">F47*$D$2</f>
        <v>-3248</v>
      </c>
      <c r="G48" s="7" t="n">
        <f aca="false">G47*$D$2</f>
        <v>4901.34751</v>
      </c>
      <c r="H48" s="12" t="n">
        <f aca="false">H47*$D$2</f>
        <v>0</v>
      </c>
      <c r="I48" s="7" t="n">
        <f aca="false">I47*$D$2</f>
        <v>4901.34751</v>
      </c>
      <c r="J48" s="7" t="n">
        <f aca="false">J47*$D$2</f>
        <v>585.580595</v>
      </c>
      <c r="K48" s="7" t="n">
        <f aca="false">K47*$D$2</f>
        <v>5486.928105</v>
      </c>
      <c r="L48" s="7" t="n">
        <f aca="false">L47*$D$2</f>
        <v>-442.1409</v>
      </c>
      <c r="M48" s="7" t="n">
        <f aca="false">M47*$D$2</f>
        <v>2179.410295</v>
      </c>
      <c r="N48" s="7" t="n">
        <f aca="false">N47*$D$2</f>
        <v>0</v>
      </c>
      <c r="O48" s="7" t="n">
        <f aca="false">O47*$D$2</f>
        <v>0</v>
      </c>
      <c r="P48" s="7" t="n">
        <f aca="false">P47*$D$2</f>
        <v>2179.410295</v>
      </c>
      <c r="Q48" s="7" t="n">
        <f aca="false">Q47*$D$2</f>
        <v>0</v>
      </c>
      <c r="R48" s="7" t="n">
        <f aca="false">R47*$D$2</f>
        <v>813.611865</v>
      </c>
      <c r="S48" s="7" t="n">
        <f aca="false">S47*$D$2</f>
        <v>2993.02216</v>
      </c>
      <c r="T48" s="7" t="n">
        <f aca="false">T47*$D$2</f>
        <v>0</v>
      </c>
      <c r="U48" s="7" t="n">
        <f aca="false">U47*$D$2</f>
        <v>0</v>
      </c>
      <c r="V48" s="7" t="n">
        <f aca="false">V47*$D$2</f>
        <v>4714.18445</v>
      </c>
      <c r="W48" s="7" t="n">
        <f aca="false">W47*$D$2</f>
        <v>7707.20661</v>
      </c>
      <c r="X48" s="7" t="n">
        <f aca="false">X47*$D$2</f>
        <v>1027.721495</v>
      </c>
      <c r="Y48" s="7" t="n">
        <f aca="false">Y47*$D$2</f>
        <v>8734.928105</v>
      </c>
      <c r="Z48" s="11"/>
      <c r="AA48" s="12"/>
      <c r="AB48" s="12"/>
      <c r="AC48" s="13"/>
    </row>
    <row r="49" customFormat="false" ht="3" hidden="false" customHeight="true" outlineLevel="0" collapsed="false">
      <c r="A49" s="30"/>
      <c r="B49" s="30"/>
      <c r="C49" s="32"/>
      <c r="D49" s="30"/>
      <c r="E49" s="32"/>
      <c r="F49" s="30"/>
      <c r="G49" s="30"/>
      <c r="H49" s="33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2"/>
      <c r="U49" s="30"/>
      <c r="V49" s="30"/>
      <c r="W49" s="30"/>
      <c r="X49" s="30"/>
      <c r="Y49" s="30"/>
      <c r="Z49" s="11"/>
      <c r="AA49" s="12"/>
      <c r="AB49" s="12"/>
      <c r="AC49" s="13"/>
    </row>
    <row r="50" customFormat="false" ht="14.1" hidden="false" customHeight="true" outlineLevel="0" collapsed="false">
      <c r="A50" s="40"/>
      <c r="B50" s="41"/>
      <c r="C50" s="7"/>
      <c r="D50" s="6"/>
      <c r="E50" s="7"/>
      <c r="F50" s="6"/>
      <c r="G50" s="6"/>
      <c r="H50" s="11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7"/>
      <c r="U50" s="6"/>
      <c r="V50" s="6"/>
      <c r="W50" s="6"/>
      <c r="X50" s="6"/>
      <c r="Y50" s="11"/>
      <c r="Z50" s="11"/>
      <c r="AA50" s="12"/>
      <c r="AB50" s="12"/>
      <c r="AC50" s="13"/>
    </row>
    <row r="51" customFormat="false" ht="11.1" hidden="false" customHeight="true" outlineLevel="0" collapsed="false">
      <c r="A51" s="6"/>
      <c r="B51" s="29"/>
      <c r="C51" s="7"/>
      <c r="D51" s="39"/>
      <c r="E51" s="7"/>
      <c r="F51" s="6"/>
      <c r="G51" s="6"/>
      <c r="H51" s="11"/>
      <c r="I51" s="8"/>
      <c r="J51" s="6"/>
      <c r="K51" s="42"/>
      <c r="L51" s="6"/>
      <c r="M51" s="6"/>
      <c r="N51" s="6"/>
      <c r="O51" s="6"/>
      <c r="P51" s="6"/>
      <c r="Q51" s="6"/>
      <c r="R51" s="6"/>
      <c r="S51" s="6"/>
      <c r="T51" s="7"/>
      <c r="U51" s="6"/>
      <c r="V51" s="6"/>
      <c r="W51" s="6"/>
      <c r="X51" s="6"/>
      <c r="Y51" s="11"/>
      <c r="Z51" s="11"/>
      <c r="AA51" s="12"/>
      <c r="AB51" s="12"/>
      <c r="AC51" s="13"/>
    </row>
    <row r="52" customFormat="false" ht="11.1" hidden="false" customHeight="true" outlineLevel="0" collapsed="false">
      <c r="B52" s="39"/>
      <c r="C52" s="7"/>
      <c r="D52" s="7"/>
      <c r="E52" s="7"/>
      <c r="F52" s="39"/>
      <c r="G52" s="39"/>
      <c r="H52" s="11"/>
      <c r="I52" s="39"/>
      <c r="J52" s="39"/>
      <c r="K52" s="39"/>
      <c r="L52" s="39"/>
      <c r="M52" s="37"/>
      <c r="N52" s="37"/>
      <c r="O52" s="37"/>
      <c r="P52" s="37"/>
      <c r="Q52" s="39"/>
      <c r="R52" s="39"/>
      <c r="S52" s="39"/>
      <c r="T52" s="7"/>
      <c r="U52" s="39"/>
      <c r="V52" s="39"/>
      <c r="W52" s="39"/>
      <c r="X52" s="39"/>
      <c r="Y52" s="11"/>
      <c r="Z52" s="11"/>
      <c r="AA52" s="12"/>
      <c r="AB52" s="12"/>
      <c r="AC52" s="13"/>
    </row>
    <row r="53" customFormat="false" ht="11.1" hidden="false" customHeight="true" outlineLevel="0" collapsed="false">
      <c r="A53" s="39"/>
      <c r="B53" s="10"/>
      <c r="C53" s="7"/>
      <c r="D53" s="7"/>
      <c r="E53" s="7"/>
      <c r="F53" s="39"/>
      <c r="G53" s="39"/>
      <c r="H53" s="11"/>
      <c r="I53" s="39"/>
      <c r="J53" s="39"/>
      <c r="K53" s="39"/>
      <c r="L53" s="39"/>
      <c r="M53" s="37"/>
      <c r="N53" s="37"/>
      <c r="O53" s="37"/>
      <c r="P53" s="37"/>
      <c r="Q53" s="39"/>
      <c r="R53" s="39"/>
      <c r="S53" s="39"/>
      <c r="T53" s="7"/>
      <c r="U53" s="39"/>
      <c r="V53" s="39"/>
      <c r="W53" s="39"/>
      <c r="X53" s="39"/>
      <c r="Y53" s="11"/>
      <c r="Z53" s="11"/>
      <c r="AA53" s="12"/>
      <c r="AB53" s="12"/>
      <c r="AC53" s="13"/>
    </row>
    <row r="54" customFormat="false" ht="11.1" hidden="false" customHeight="true" outlineLevel="0" collapsed="false">
      <c r="A54" s="39"/>
      <c r="B54" s="39"/>
      <c r="C54" s="7"/>
      <c r="D54" s="39"/>
      <c r="E54" s="7"/>
      <c r="F54" s="39"/>
      <c r="G54" s="43"/>
      <c r="H54" s="11"/>
      <c r="I54" s="39"/>
      <c r="J54" s="39"/>
      <c r="K54" s="39"/>
      <c r="L54" s="39"/>
      <c r="M54" s="37"/>
      <c r="N54" s="37"/>
      <c r="O54" s="37"/>
      <c r="P54" s="39"/>
      <c r="Q54" s="39"/>
      <c r="R54" s="39"/>
      <c r="S54" s="7"/>
      <c r="T54" s="39"/>
      <c r="U54" s="39"/>
      <c r="V54" s="7"/>
      <c r="W54" s="39"/>
      <c r="X54" s="39"/>
      <c r="Y54" s="11"/>
      <c r="Z54" s="11"/>
      <c r="AA54" s="12"/>
      <c r="AB54" s="13"/>
    </row>
  </sheetData>
  <mergeCells count="1"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J36" activePane="bottomRight" state="frozen"/>
      <selection pane="topLeft" activeCell="A1" activeCellId="0" sqref="A1"/>
      <selection pane="topRight" activeCell="J1" activeCellId="0" sqref="J1"/>
      <selection pane="bottomLeft" activeCell="A36" activeCellId="0" sqref="A36"/>
      <selection pane="bottomRight" activeCell="K2" activeCellId="0" sqref="K2"/>
    </sheetView>
  </sheetViews>
  <sheetFormatPr defaultColWidth="9.328125" defaultRowHeight="11.1" zeroHeight="false" outlineLevelRow="0" outlineLevelCol="0"/>
  <cols>
    <col collapsed="false" customWidth="true" hidden="false" outlineLevel="0" max="1" min="1" style="44" width="5.66"/>
    <col collapsed="false" customWidth="true" hidden="false" outlineLevel="0" max="2" min="2" style="44" width="7.82"/>
    <col collapsed="false" customWidth="true" hidden="false" outlineLevel="0" max="3" min="3" style="45" width="7.66"/>
    <col collapsed="false" customWidth="true" hidden="false" outlineLevel="0" max="4" min="4" style="44" width="6.99"/>
    <col collapsed="false" customWidth="true" hidden="false" outlineLevel="0" max="5" min="5" style="45" width="7.66"/>
    <col collapsed="false" customWidth="true" hidden="false" outlineLevel="0" max="6" min="6" style="44" width="7.66"/>
    <col collapsed="false" customWidth="true" hidden="false" outlineLevel="0" max="7" min="7" style="44" width="7.16"/>
    <col collapsed="false" customWidth="true" hidden="false" outlineLevel="0" max="8" min="8" style="46" width="6.66"/>
    <col collapsed="false" customWidth="true" hidden="false" outlineLevel="0" max="9" min="9" style="44" width="7.99"/>
    <col collapsed="false" customWidth="true" hidden="false" outlineLevel="0" max="10" min="10" style="44" width="6.66"/>
    <col collapsed="false" customWidth="true" hidden="false" outlineLevel="0" max="12" min="11" style="44" width="7.16"/>
    <col collapsed="false" customWidth="true" hidden="false" outlineLevel="0" max="13" min="13" style="47" width="6.16"/>
    <col collapsed="false" customWidth="true" hidden="true" outlineLevel="0" max="14" min="14" style="47" width="7.32"/>
    <col collapsed="false" customWidth="true" hidden="true" outlineLevel="0" max="15" min="15" style="47" width="6.49"/>
    <col collapsed="false" customWidth="true" hidden="true" outlineLevel="0" max="16" min="16" style="44" width="7.16"/>
    <col collapsed="false" customWidth="true" hidden="false" outlineLevel="0" max="17" min="17" style="44" width="6.32"/>
    <col collapsed="false" customWidth="true" hidden="false" outlineLevel="0" max="18" min="18" style="44" width="5.82"/>
    <col collapsed="false" customWidth="true" hidden="false" outlineLevel="0" max="19" min="19" style="45" width="6.82"/>
    <col collapsed="false" customWidth="true" hidden="false" outlineLevel="0" max="20" min="20" style="44" width="7.66"/>
    <col collapsed="false" customWidth="true" hidden="false" outlineLevel="0" max="21" min="21" style="44" width="5.99"/>
    <col collapsed="false" customWidth="true" hidden="false" outlineLevel="0" max="22" min="22" style="45" width="6.66"/>
    <col collapsed="false" customWidth="true" hidden="false" outlineLevel="0" max="24" min="23" style="44" width="7.82"/>
    <col collapsed="false" customWidth="true" hidden="false" outlineLevel="0" max="25" min="25" style="48" width="8.16"/>
    <col collapsed="false" customWidth="true" hidden="false" outlineLevel="0" max="26" min="26" style="46" width="4.66"/>
    <col collapsed="false" customWidth="true" hidden="false" outlineLevel="0" max="27" min="27" style="49" width="4.66"/>
    <col collapsed="false" customWidth="true" hidden="false" outlineLevel="0" max="28" min="28" style="50" width="4.66"/>
    <col collapsed="false" customWidth="true" hidden="false" outlineLevel="0" max="29" min="29" style="44" width="5.66"/>
    <col collapsed="false" customWidth="false" hidden="false" outlineLevel="0" max="257" min="30" style="44" width="9.32"/>
  </cols>
  <sheetData>
    <row r="1" customFormat="false" ht="14.1" hidden="false" customHeight="true" outlineLevel="0" collapsed="false">
      <c r="A1" s="51"/>
      <c r="B1" s="51"/>
      <c r="C1" s="52"/>
      <c r="D1" s="51"/>
      <c r="E1" s="52"/>
      <c r="F1" s="51"/>
      <c r="G1" s="51"/>
      <c r="H1" s="53"/>
      <c r="I1" s="51"/>
      <c r="J1" s="51"/>
      <c r="K1" s="54" t="s">
        <v>0</v>
      </c>
      <c r="L1" s="51"/>
      <c r="M1" s="51"/>
      <c r="N1" s="51"/>
      <c r="O1" s="51"/>
      <c r="P1" s="51"/>
      <c r="Q1" s="51"/>
      <c r="R1" s="51"/>
      <c r="S1" s="52"/>
      <c r="T1" s="51"/>
      <c r="U1" s="51"/>
      <c r="V1" s="52"/>
      <c r="W1" s="51"/>
      <c r="X1" s="51"/>
      <c r="Y1" s="55"/>
      <c r="Z1" s="56"/>
      <c r="AA1" s="57"/>
      <c r="AB1" s="58"/>
    </row>
    <row r="2" customFormat="false" ht="14.1" hidden="false" customHeight="true" outlineLevel="0" collapsed="false">
      <c r="A2" s="51" t="s">
        <v>1</v>
      </c>
      <c r="B2" s="51"/>
      <c r="C2" s="52"/>
      <c r="D2" s="59" t="n">
        <v>1.9835</v>
      </c>
      <c r="E2" s="52"/>
      <c r="F2" s="51"/>
      <c r="G2" s="51"/>
      <c r="H2" s="53"/>
      <c r="I2" s="51"/>
      <c r="J2" s="51"/>
      <c r="K2" s="60" t="s">
        <v>53</v>
      </c>
      <c r="L2" s="60"/>
      <c r="M2" s="60"/>
      <c r="N2" s="60"/>
      <c r="O2" s="60"/>
      <c r="P2" s="60"/>
      <c r="Q2" s="60"/>
      <c r="R2" s="60"/>
      <c r="S2" s="60"/>
      <c r="T2" s="60"/>
      <c r="U2" s="51"/>
      <c r="V2" s="52"/>
      <c r="W2" s="51"/>
      <c r="X2" s="51"/>
      <c r="Y2" s="55"/>
      <c r="Z2" s="56"/>
      <c r="AA2" s="57"/>
      <c r="AB2" s="58"/>
    </row>
    <row r="3" customFormat="false" ht="11.1" hidden="false" customHeight="true" outlineLevel="0" collapsed="false">
      <c r="A3" s="51"/>
      <c r="B3" s="51"/>
      <c r="C3" s="52"/>
      <c r="D3" s="61"/>
      <c r="E3" s="52"/>
      <c r="F3" s="51"/>
      <c r="G3" s="51"/>
      <c r="H3" s="53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51"/>
      <c r="U3" s="51"/>
      <c r="V3" s="52"/>
      <c r="W3" s="51"/>
      <c r="X3" s="51"/>
      <c r="Y3" s="55"/>
      <c r="Z3" s="56"/>
      <c r="AA3" s="57"/>
      <c r="AB3" s="58"/>
    </row>
    <row r="4" customFormat="false" ht="11.1" hidden="false" customHeight="true" outlineLevel="0" collapsed="false">
      <c r="A4" s="62" t="s">
        <v>3</v>
      </c>
      <c r="B4" s="62" t="s">
        <v>4</v>
      </c>
      <c r="C4" s="63" t="s">
        <v>4</v>
      </c>
      <c r="D4" s="62" t="s">
        <v>5</v>
      </c>
      <c r="E4" s="63" t="s">
        <v>6</v>
      </c>
      <c r="F4" s="62" t="s">
        <v>7</v>
      </c>
      <c r="G4" s="62" t="s">
        <v>8</v>
      </c>
      <c r="H4" s="64" t="s">
        <v>9</v>
      </c>
      <c r="I4" s="62" t="s">
        <v>10</v>
      </c>
      <c r="J4" s="62" t="s">
        <v>11</v>
      </c>
      <c r="K4" s="62" t="s">
        <v>12</v>
      </c>
      <c r="L4" s="62" t="s">
        <v>11</v>
      </c>
      <c r="M4" s="62" t="s">
        <v>13</v>
      </c>
      <c r="N4" s="62"/>
      <c r="O4" s="62"/>
      <c r="P4" s="62"/>
      <c r="Q4" s="62" t="s">
        <v>14</v>
      </c>
      <c r="R4" s="62" t="s">
        <v>15</v>
      </c>
      <c r="S4" s="62" t="s">
        <v>12</v>
      </c>
      <c r="T4" s="63" t="s">
        <v>16</v>
      </c>
      <c r="U4" s="62" t="s">
        <v>17</v>
      </c>
      <c r="V4" s="62" t="s">
        <v>18</v>
      </c>
      <c r="W4" s="62" t="s">
        <v>10</v>
      </c>
      <c r="X4" s="62" t="s">
        <v>11</v>
      </c>
      <c r="Y4" s="62" t="s">
        <v>12</v>
      </c>
      <c r="Z4" s="65" t="s">
        <v>19</v>
      </c>
      <c r="AA4" s="66" t="s">
        <v>20</v>
      </c>
      <c r="AB4" s="66" t="s">
        <v>21</v>
      </c>
      <c r="AC4" s="66" t="s">
        <v>3</v>
      </c>
    </row>
    <row r="5" customFormat="false" ht="11.1" hidden="false" customHeight="true" outlineLevel="0" collapsed="false">
      <c r="A5" s="67" t="s">
        <v>54</v>
      </c>
      <c r="B5" s="62" t="s">
        <v>23</v>
      </c>
      <c r="C5" s="63" t="s">
        <v>5</v>
      </c>
      <c r="D5" s="62" t="s">
        <v>24</v>
      </c>
      <c r="E5" s="63" t="s">
        <v>25</v>
      </c>
      <c r="F5" s="62" t="s">
        <v>26</v>
      </c>
      <c r="G5" s="62" t="s">
        <v>27</v>
      </c>
      <c r="H5" s="64" t="s">
        <v>28</v>
      </c>
      <c r="I5" s="62" t="s">
        <v>29</v>
      </c>
      <c r="J5" s="62" t="s">
        <v>29</v>
      </c>
      <c r="K5" s="62" t="s">
        <v>29</v>
      </c>
      <c r="L5" s="62" t="s">
        <v>30</v>
      </c>
      <c r="M5" s="62" t="s">
        <v>31</v>
      </c>
      <c r="N5" s="62" t="s">
        <v>32</v>
      </c>
      <c r="O5" s="62" t="s">
        <v>33</v>
      </c>
      <c r="P5" s="62" t="s">
        <v>34</v>
      </c>
      <c r="Q5" s="62" t="s">
        <v>35</v>
      </c>
      <c r="R5" s="62" t="s">
        <v>36</v>
      </c>
      <c r="S5" s="62" t="s">
        <v>16</v>
      </c>
      <c r="T5" s="63" t="s">
        <v>37</v>
      </c>
      <c r="U5" s="62" t="s">
        <v>38</v>
      </c>
      <c r="V5" s="62" t="s">
        <v>39</v>
      </c>
      <c r="W5" s="62" t="s">
        <v>40</v>
      </c>
      <c r="X5" s="62" t="s">
        <v>40</v>
      </c>
      <c r="Y5" s="62" t="s">
        <v>40</v>
      </c>
      <c r="Z5" s="68"/>
      <c r="AA5" s="66" t="s">
        <v>41</v>
      </c>
      <c r="AB5" s="66" t="s">
        <v>41</v>
      </c>
      <c r="AC5" s="69" t="s">
        <v>54</v>
      </c>
    </row>
    <row r="6" customFormat="false" ht="11.1" hidden="false" customHeight="true" outlineLevel="0" collapsed="false">
      <c r="A6" s="70"/>
      <c r="B6" s="70"/>
      <c r="C6" s="71"/>
      <c r="D6" s="70"/>
      <c r="E6" s="71"/>
      <c r="F6" s="70"/>
      <c r="G6" s="70"/>
      <c r="H6" s="72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1"/>
      <c r="U6" s="70"/>
      <c r="V6" s="70"/>
      <c r="W6" s="70"/>
      <c r="X6" s="70"/>
      <c r="Y6" s="70"/>
      <c r="Z6" s="56"/>
      <c r="AA6" s="58"/>
      <c r="AB6" s="58"/>
      <c r="AC6" s="58"/>
    </row>
    <row r="7" customFormat="false" ht="11.1" hidden="false" customHeight="true" outlineLevel="0" collapsed="false">
      <c r="A7" s="51" t="s">
        <v>42</v>
      </c>
      <c r="B7" s="51"/>
      <c r="C7" s="52"/>
      <c r="D7" s="52"/>
      <c r="E7" s="52"/>
      <c r="F7" s="52"/>
      <c r="G7" s="52"/>
      <c r="H7" s="57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6"/>
      <c r="AA7" s="57"/>
      <c r="AB7" s="57"/>
      <c r="AC7" s="58"/>
    </row>
    <row r="8" s="45" customFormat="true" ht="11.1" hidden="false" customHeight="true" outlineLevel="0" collapsed="false">
      <c r="A8" s="52" t="s">
        <v>43</v>
      </c>
      <c r="B8" s="73" t="n">
        <f aca="false">NOV!B39</f>
        <v>6909.93</v>
      </c>
      <c r="C8" s="52" t="n">
        <f aca="false">NOV!C39</f>
        <v>321708</v>
      </c>
      <c r="D8" s="52" t="n">
        <f aca="false">NOV!$D$48</f>
        <v>-3248</v>
      </c>
      <c r="E8" s="52" t="n">
        <f aca="false">NOV!$E$39</f>
        <v>169708</v>
      </c>
      <c r="F8" s="52" t="n">
        <f aca="false">NOV!F47</f>
        <v>-1637.50945298714</v>
      </c>
      <c r="G8" s="52" t="n">
        <f aca="false">NOV!G47</f>
        <v>2471.06</v>
      </c>
      <c r="H8" s="57" t="n">
        <f aca="false">NOV!H47</f>
        <v>0</v>
      </c>
      <c r="I8" s="52" t="n">
        <f aca="false">NOV!I47</f>
        <v>2471.06</v>
      </c>
      <c r="J8" s="52" t="n">
        <f aca="false">NOV!J47</f>
        <v>295.225911267961</v>
      </c>
      <c r="K8" s="52" t="n">
        <f aca="false">NOV!K47</f>
        <v>2766.28591126796</v>
      </c>
      <c r="L8" s="52" t="n">
        <f aca="false">NOV!L47</f>
        <v>-222.909452987144</v>
      </c>
      <c r="M8" s="52" t="n">
        <f aca="false">NOV!M47</f>
        <v>1098.77</v>
      </c>
      <c r="N8" s="52" t="n">
        <f aca="false">NOV!N47</f>
        <v>0</v>
      </c>
      <c r="O8" s="52" t="n">
        <f aca="false">NOV!O47</f>
        <v>0</v>
      </c>
      <c r="P8" s="52" t="n">
        <f aca="false">NOV!P47</f>
        <v>1098.77</v>
      </c>
      <c r="Q8" s="52" t="n">
        <f aca="false">NOV!Q47</f>
        <v>0</v>
      </c>
      <c r="R8" s="52" t="n">
        <f aca="false">NOV!R47</f>
        <v>410.19</v>
      </c>
      <c r="S8" s="52" t="n">
        <f aca="false">NOV!S47</f>
        <v>1508.96</v>
      </c>
      <c r="T8" s="52" t="n">
        <f aca="false">NOV!T47</f>
        <v>0</v>
      </c>
      <c r="U8" s="52" t="n">
        <f aca="false">NOV!U47</f>
        <v>0</v>
      </c>
      <c r="V8" s="52" t="n">
        <f aca="false">NOV!V47</f>
        <v>2376.7</v>
      </c>
      <c r="W8" s="52" t="n">
        <f aca="false">NOV!W47</f>
        <v>3885.66</v>
      </c>
      <c r="X8" s="52" t="n">
        <f aca="false">NOV!X47</f>
        <v>518.135364255105</v>
      </c>
      <c r="Y8" s="52" t="n">
        <f aca="false">NOV!Y47</f>
        <v>4403.79536425511</v>
      </c>
      <c r="Z8" s="56" t="n">
        <f aca="false">NOV!Z47</f>
        <v>2.28</v>
      </c>
      <c r="AA8" s="57"/>
      <c r="AB8" s="57"/>
      <c r="AC8" s="58"/>
    </row>
    <row r="9" customFormat="false" ht="3" hidden="false" customHeight="true" outlineLevel="0" collapsed="false">
      <c r="A9" s="74"/>
      <c r="B9" s="75"/>
      <c r="C9" s="76"/>
      <c r="D9" s="74"/>
      <c r="E9" s="76"/>
      <c r="F9" s="74"/>
      <c r="G9" s="74"/>
      <c r="H9" s="77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6"/>
      <c r="U9" s="74"/>
      <c r="V9" s="74"/>
      <c r="W9" s="74"/>
      <c r="X9" s="74"/>
      <c r="Y9" s="74"/>
      <c r="Z9" s="78"/>
      <c r="AA9" s="79"/>
      <c r="AB9" s="79"/>
      <c r="AC9" s="80"/>
    </row>
    <row r="10" customFormat="false" ht="11.1" hidden="false" customHeight="true" outlineLevel="0" collapsed="false">
      <c r="A10" s="58" t="n">
        <v>1</v>
      </c>
      <c r="B10" s="73" t="n">
        <v>6909.91</v>
      </c>
      <c r="C10" s="52" t="n">
        <v>321628</v>
      </c>
      <c r="D10" s="57" t="n">
        <f aca="false">C10-C8</f>
        <v>-80</v>
      </c>
      <c r="E10" s="52" t="n">
        <f aca="false">C10-152000</f>
        <v>169628</v>
      </c>
      <c r="F10" s="51" t="n">
        <f aca="false">D10/$D$2</f>
        <v>-40.3327451474666</v>
      </c>
      <c r="G10" s="51" t="n">
        <v>65</v>
      </c>
      <c r="H10" s="53" t="n">
        <v>0</v>
      </c>
      <c r="I10" s="51" t="n">
        <f aca="false">G10+H10</f>
        <v>65</v>
      </c>
      <c r="J10" s="81" t="n">
        <f aca="false">IF(L10&gt;0,L10,0)</f>
        <v>0</v>
      </c>
      <c r="K10" s="51" t="n">
        <f aca="false">I10+J10</f>
        <v>65</v>
      </c>
      <c r="L10" s="51" t="n">
        <f aca="false">F10-(I10-W10)</f>
        <v>-20.3327451474666</v>
      </c>
      <c r="M10" s="51" t="n">
        <v>5</v>
      </c>
      <c r="N10" s="51" t="n">
        <v>0</v>
      </c>
      <c r="O10" s="51" t="n">
        <v>0</v>
      </c>
      <c r="P10" s="6" t="n">
        <f aca="false">M10-(N10+O10)</f>
        <v>5</v>
      </c>
      <c r="Q10" s="51" t="n">
        <v>0</v>
      </c>
      <c r="R10" s="51" t="n">
        <v>0</v>
      </c>
      <c r="S10" s="51" t="n">
        <f aca="false">SUM(P10:R10)</f>
        <v>5</v>
      </c>
      <c r="T10" s="52"/>
      <c r="U10" s="51" t="n">
        <v>0</v>
      </c>
      <c r="V10" s="51" t="n">
        <v>80</v>
      </c>
      <c r="W10" s="6" t="n">
        <f aca="false">N10+O10+S10+U10+V10</f>
        <v>85</v>
      </c>
      <c r="X10" s="51" t="n">
        <f aca="false">IF(L10&lt;0,L10*-1,0)</f>
        <v>20.3327451474666</v>
      </c>
      <c r="Y10" s="51" t="n">
        <f aca="false">W10+X10</f>
        <v>105.332745147467</v>
      </c>
      <c r="Z10" s="56" t="n">
        <v>0</v>
      </c>
      <c r="AA10" s="57" t="n">
        <v>45</v>
      </c>
      <c r="AB10" s="57" t="n">
        <v>14</v>
      </c>
      <c r="AC10" s="58" t="n">
        <v>1</v>
      </c>
    </row>
    <row r="11" customFormat="false" ht="11.1" hidden="false" customHeight="true" outlineLevel="0" collapsed="false">
      <c r="A11" s="58" t="n">
        <f aca="false">A10+1</f>
        <v>2</v>
      </c>
      <c r="B11" s="73" t="n">
        <v>6909.91</v>
      </c>
      <c r="C11" s="52" t="n">
        <v>321628</v>
      </c>
      <c r="D11" s="57" t="n">
        <f aca="false">C11-C10</f>
        <v>0</v>
      </c>
      <c r="E11" s="52" t="n">
        <f aca="false">C11-152000</f>
        <v>169628</v>
      </c>
      <c r="F11" s="51" t="n">
        <f aca="false">D11/$D$2</f>
        <v>0</v>
      </c>
      <c r="G11" s="51" t="n">
        <v>65</v>
      </c>
      <c r="H11" s="53" t="n">
        <v>0</v>
      </c>
      <c r="I11" s="51" t="n">
        <f aca="false">G11+H11</f>
        <v>65</v>
      </c>
      <c r="J11" s="81" t="n">
        <f aca="false">IF(L11&gt;0,L11,0)</f>
        <v>20</v>
      </c>
      <c r="K11" s="51" t="n">
        <f aca="false">I11+J11</f>
        <v>85</v>
      </c>
      <c r="L11" s="51" t="n">
        <f aca="false">F11-(I11-W11)</f>
        <v>20</v>
      </c>
      <c r="M11" s="51" t="n">
        <v>5</v>
      </c>
      <c r="N11" s="51" t="n">
        <v>0</v>
      </c>
      <c r="O11" s="51" t="n">
        <v>0</v>
      </c>
      <c r="P11" s="6" t="n">
        <f aca="false">M11-(N11+O11)</f>
        <v>5</v>
      </c>
      <c r="Q11" s="51" t="n">
        <v>0</v>
      </c>
      <c r="R11" s="51" t="n">
        <v>0</v>
      </c>
      <c r="S11" s="51" t="n">
        <f aca="false">SUM(P11:R11)</f>
        <v>5</v>
      </c>
      <c r="T11" s="52"/>
      <c r="U11" s="51" t="n">
        <v>0</v>
      </c>
      <c r="V11" s="51" t="n">
        <v>80</v>
      </c>
      <c r="W11" s="6" t="n">
        <f aca="false">N11+O11+S11+U11+V11</f>
        <v>85</v>
      </c>
      <c r="X11" s="51" t="n">
        <f aca="false">IF(L11&lt;0,L11*-1,0)</f>
        <v>0</v>
      </c>
      <c r="Y11" s="51" t="n">
        <f aca="false">W11+X11</f>
        <v>85</v>
      </c>
      <c r="Z11" s="56" t="n">
        <v>0</v>
      </c>
      <c r="AA11" s="57" t="n">
        <v>48</v>
      </c>
      <c r="AB11" s="57" t="n">
        <v>14</v>
      </c>
      <c r="AC11" s="58" t="n">
        <f aca="false">AC10+1</f>
        <v>2</v>
      </c>
    </row>
    <row r="12" customFormat="false" ht="11.1" hidden="false" customHeight="true" outlineLevel="0" collapsed="false">
      <c r="A12" s="58" t="n">
        <f aca="false">A11+1</f>
        <v>3</v>
      </c>
      <c r="B12" s="73" t="n">
        <v>6909.9</v>
      </c>
      <c r="C12" s="52" t="n">
        <v>321588</v>
      </c>
      <c r="D12" s="57" t="n">
        <f aca="false">C12-C11</f>
        <v>-40</v>
      </c>
      <c r="E12" s="52" t="n">
        <f aca="false">C12-152000</f>
        <v>169588</v>
      </c>
      <c r="F12" s="51" t="n">
        <f aca="false">D12/$D$2</f>
        <v>-20.1663725737333</v>
      </c>
      <c r="G12" s="51" t="n">
        <v>65</v>
      </c>
      <c r="H12" s="53" t="n">
        <v>0</v>
      </c>
      <c r="I12" s="51" t="n">
        <f aca="false">G12+H12</f>
        <v>65</v>
      </c>
      <c r="J12" s="81" t="n">
        <f aca="false">IF(L12&gt;0,L12,0)</f>
        <v>0</v>
      </c>
      <c r="K12" s="51" t="n">
        <f aca="false">I12+J12</f>
        <v>65</v>
      </c>
      <c r="L12" s="51" t="n">
        <f aca="false">F12-(I12-W12)</f>
        <v>-0.166372573733298</v>
      </c>
      <c r="M12" s="51" t="n">
        <v>5</v>
      </c>
      <c r="N12" s="51" t="n">
        <v>0</v>
      </c>
      <c r="O12" s="51" t="n">
        <v>0</v>
      </c>
      <c r="P12" s="6" t="n">
        <f aca="false">M12-(N12+O12)</f>
        <v>5</v>
      </c>
      <c r="Q12" s="51" t="n">
        <v>0</v>
      </c>
      <c r="R12" s="51" t="n">
        <v>0</v>
      </c>
      <c r="S12" s="51" t="n">
        <f aca="false">SUM(P12:R12)</f>
        <v>5</v>
      </c>
      <c r="T12" s="52"/>
      <c r="U12" s="51" t="n">
        <v>0</v>
      </c>
      <c r="V12" s="51" t="n">
        <v>80</v>
      </c>
      <c r="W12" s="6" t="n">
        <f aca="false">N12+O12+S12+U12+V12</f>
        <v>85</v>
      </c>
      <c r="X12" s="51" t="n">
        <f aca="false">IF(L12&lt;0,L12*-1,0)</f>
        <v>0.166372573733298</v>
      </c>
      <c r="Y12" s="51" t="n">
        <f aca="false">W12+X12</f>
        <v>85.1663725737333</v>
      </c>
      <c r="Z12" s="56" t="n">
        <v>0</v>
      </c>
      <c r="AA12" s="57" t="n">
        <v>50</v>
      </c>
      <c r="AB12" s="57" t="n">
        <v>16</v>
      </c>
      <c r="AC12" s="58" t="n">
        <f aca="false">AC11+1</f>
        <v>3</v>
      </c>
    </row>
    <row r="13" customFormat="false" ht="11.1" hidden="false" customHeight="true" outlineLevel="0" collapsed="false">
      <c r="A13" s="58" t="n">
        <f aca="false">A12+1</f>
        <v>4</v>
      </c>
      <c r="B13" s="73" t="n">
        <v>6909.89</v>
      </c>
      <c r="C13" s="52" t="n">
        <v>321549</v>
      </c>
      <c r="D13" s="57" t="n">
        <f aca="false">C13-C12</f>
        <v>-39</v>
      </c>
      <c r="E13" s="52" t="n">
        <f aca="false">C13-152000</f>
        <v>169549</v>
      </c>
      <c r="F13" s="51" t="n">
        <f aca="false">D13/$D$2</f>
        <v>-19.66221325939</v>
      </c>
      <c r="G13" s="51" t="n">
        <v>65</v>
      </c>
      <c r="H13" s="53" t="n">
        <v>0</v>
      </c>
      <c r="I13" s="51" t="n">
        <f aca="false">G13+H13</f>
        <v>65</v>
      </c>
      <c r="J13" s="81" t="n">
        <f aca="false">IF(L13&gt;0,L13,0)</f>
        <v>0.337786740610031</v>
      </c>
      <c r="K13" s="51" t="n">
        <f aca="false">I13+J13</f>
        <v>65.33778674061</v>
      </c>
      <c r="L13" s="51" t="n">
        <f aca="false">F13-(I13-W13)</f>
        <v>0.337786740610031</v>
      </c>
      <c r="M13" s="51" t="n">
        <v>5</v>
      </c>
      <c r="N13" s="51" t="n">
        <v>0</v>
      </c>
      <c r="O13" s="51" t="n">
        <v>0</v>
      </c>
      <c r="P13" s="6" t="n">
        <f aca="false">M13-(N13+O13)</f>
        <v>5</v>
      </c>
      <c r="Q13" s="51" t="n">
        <v>0</v>
      </c>
      <c r="R13" s="51" t="n">
        <v>0</v>
      </c>
      <c r="S13" s="51" t="n">
        <f aca="false">SUM(P13:R13)</f>
        <v>5</v>
      </c>
      <c r="T13" s="52"/>
      <c r="U13" s="51" t="n">
        <v>0</v>
      </c>
      <c r="V13" s="51" t="n">
        <v>80</v>
      </c>
      <c r="W13" s="6" t="n">
        <f aca="false">N13+O13+S13+U13+V13</f>
        <v>85</v>
      </c>
      <c r="X13" s="51" t="n">
        <f aca="false">IF(L13&lt;0,L13*-1,0)</f>
        <v>0</v>
      </c>
      <c r="Y13" s="51" t="n">
        <f aca="false">W13+X13</f>
        <v>85</v>
      </c>
      <c r="Z13" s="56" t="n">
        <v>0</v>
      </c>
      <c r="AA13" s="57" t="n">
        <v>53</v>
      </c>
      <c r="AB13" s="57" t="n">
        <v>20</v>
      </c>
      <c r="AC13" s="58" t="n">
        <f aca="false">AC12+1</f>
        <v>4</v>
      </c>
    </row>
    <row r="14" customFormat="false" ht="11.1" hidden="false" customHeight="true" outlineLevel="0" collapsed="false">
      <c r="A14" s="58" t="n">
        <f aca="false">A13+1</f>
        <v>5</v>
      </c>
      <c r="B14" s="73" t="n">
        <v>6909.85</v>
      </c>
      <c r="C14" s="52" t="n">
        <v>321389</v>
      </c>
      <c r="D14" s="57" t="n">
        <f aca="false">C14-C13</f>
        <v>-160</v>
      </c>
      <c r="E14" s="52" t="n">
        <f aca="false">C14-152000</f>
        <v>169389</v>
      </c>
      <c r="F14" s="51" t="n">
        <f aca="false">D14/$D$2</f>
        <v>-80.6654902949332</v>
      </c>
      <c r="G14" s="51" t="n">
        <v>65</v>
      </c>
      <c r="H14" s="53" t="n">
        <v>0</v>
      </c>
      <c r="I14" s="51" t="n">
        <f aca="false">G14+H14</f>
        <v>65</v>
      </c>
      <c r="J14" s="81" t="n">
        <f aca="false">IF(L14&gt;0,L14,0)</f>
        <v>0</v>
      </c>
      <c r="K14" s="51" t="n">
        <f aca="false">I14+J14</f>
        <v>65</v>
      </c>
      <c r="L14" s="51" t="n">
        <f aca="false">F14-(I14-W14)</f>
        <v>-60.6654902949332</v>
      </c>
      <c r="M14" s="51" t="n">
        <v>5</v>
      </c>
      <c r="N14" s="51" t="n">
        <v>0</v>
      </c>
      <c r="O14" s="51" t="n">
        <v>0</v>
      </c>
      <c r="P14" s="6" t="n">
        <f aca="false">M14-(N14+O14)</f>
        <v>5</v>
      </c>
      <c r="Q14" s="51" t="n">
        <v>0</v>
      </c>
      <c r="R14" s="51" t="n">
        <v>0</v>
      </c>
      <c r="S14" s="51" t="n">
        <f aca="false">SUM(P14:R14)</f>
        <v>5</v>
      </c>
      <c r="T14" s="52"/>
      <c r="U14" s="51" t="n">
        <v>0</v>
      </c>
      <c r="V14" s="51" t="n">
        <v>80</v>
      </c>
      <c r="W14" s="6" t="n">
        <f aca="false">N14+O14+S14+U14+V14</f>
        <v>85</v>
      </c>
      <c r="X14" s="51" t="n">
        <f aca="false">IF(L14&lt;0,L14*-1,0)</f>
        <v>60.6654902949332</v>
      </c>
      <c r="Y14" s="51" t="n">
        <f aca="false">W14+X14</f>
        <v>145.665490294933</v>
      </c>
      <c r="Z14" s="56" t="n">
        <v>0</v>
      </c>
      <c r="AA14" s="57" t="n">
        <v>50</v>
      </c>
      <c r="AB14" s="57" t="n">
        <v>20</v>
      </c>
      <c r="AC14" s="58" t="n">
        <f aca="false">AC13+1</f>
        <v>5</v>
      </c>
    </row>
    <row r="15" customFormat="false" ht="11.1" hidden="false" customHeight="true" outlineLevel="0" collapsed="false">
      <c r="A15" s="58" t="n">
        <f aca="false">A14+1</f>
        <v>6</v>
      </c>
      <c r="B15" s="73" t="n">
        <v>6909.89</v>
      </c>
      <c r="C15" s="52" t="n">
        <v>321549</v>
      </c>
      <c r="D15" s="57" t="n">
        <f aca="false">C15-C14</f>
        <v>160</v>
      </c>
      <c r="E15" s="52" t="n">
        <f aca="false">C15-152000</f>
        <v>169549</v>
      </c>
      <c r="F15" s="51" t="n">
        <f aca="false">D15/$D$2</f>
        <v>80.6654902949332</v>
      </c>
      <c r="G15" s="51" t="n">
        <v>65</v>
      </c>
      <c r="H15" s="53" t="n">
        <v>0</v>
      </c>
      <c r="I15" s="51" t="n">
        <f aca="false">G15+H15</f>
        <v>65</v>
      </c>
      <c r="J15" s="81" t="n">
        <f aca="false">IF(L15&gt;0,L15,0)</f>
        <v>100.665490294933</v>
      </c>
      <c r="K15" s="51" t="n">
        <f aca="false">I15+J15</f>
        <v>165.665490294933</v>
      </c>
      <c r="L15" s="51" t="n">
        <f aca="false">F15-(I15-W15)</f>
        <v>100.665490294933</v>
      </c>
      <c r="M15" s="51" t="n">
        <v>5</v>
      </c>
      <c r="N15" s="51" t="n">
        <v>0</v>
      </c>
      <c r="O15" s="51" t="n">
        <v>0</v>
      </c>
      <c r="P15" s="6" t="n">
        <f aca="false">M15-(N15+O15)</f>
        <v>5</v>
      </c>
      <c r="Q15" s="51" t="n">
        <v>0</v>
      </c>
      <c r="R15" s="51" t="n">
        <v>0</v>
      </c>
      <c r="S15" s="51" t="n">
        <f aca="false">SUM(P15:R15)</f>
        <v>5</v>
      </c>
      <c r="T15" s="52"/>
      <c r="U15" s="51" t="n">
        <v>0</v>
      </c>
      <c r="V15" s="51" t="n">
        <v>80</v>
      </c>
      <c r="W15" s="6" t="n">
        <f aca="false">N15+O15+S15+U15+V15</f>
        <v>85</v>
      </c>
      <c r="X15" s="51" t="n">
        <f aca="false">IF(L15&lt;0,L15*-1,0)</f>
        <v>0</v>
      </c>
      <c r="Y15" s="51" t="n">
        <f aca="false">W15+X15</f>
        <v>85</v>
      </c>
      <c r="Z15" s="56" t="n">
        <v>0</v>
      </c>
      <c r="AA15" s="57" t="n">
        <v>43</v>
      </c>
      <c r="AB15" s="57" t="n">
        <v>25</v>
      </c>
      <c r="AC15" s="58" t="n">
        <f aca="false">AC14+1</f>
        <v>6</v>
      </c>
    </row>
    <row r="16" customFormat="false" ht="11.1" hidden="false" customHeight="true" outlineLevel="0" collapsed="false">
      <c r="A16" s="58" t="n">
        <f aca="false">A15+1</f>
        <v>7</v>
      </c>
      <c r="B16" s="73" t="n">
        <v>6909.86</v>
      </c>
      <c r="C16" s="52" t="n">
        <v>321429</v>
      </c>
      <c r="D16" s="57" t="n">
        <f aca="false">C16-C15</f>
        <v>-120</v>
      </c>
      <c r="E16" s="52" t="n">
        <f aca="false">C16-152000</f>
        <v>169429</v>
      </c>
      <c r="F16" s="51" t="n">
        <f aca="false">D16/$D$2</f>
        <v>-60.4991177211999</v>
      </c>
      <c r="G16" s="51" t="n">
        <v>65</v>
      </c>
      <c r="H16" s="53" t="n">
        <v>0</v>
      </c>
      <c r="I16" s="51" t="n">
        <f aca="false">G16+H16</f>
        <v>65</v>
      </c>
      <c r="J16" s="81" t="n">
        <f aca="false">IF(L16&gt;0,L16,0)</f>
        <v>0</v>
      </c>
      <c r="K16" s="51" t="n">
        <f aca="false">I16+J16</f>
        <v>65</v>
      </c>
      <c r="L16" s="51" t="n">
        <f aca="false">F16-(I16-W16)</f>
        <v>-39.4991177211999</v>
      </c>
      <c r="M16" s="51" t="n">
        <v>5</v>
      </c>
      <c r="N16" s="51" t="n">
        <v>0</v>
      </c>
      <c r="O16" s="51" t="n">
        <v>0</v>
      </c>
      <c r="P16" s="6" t="n">
        <f aca="false">M16-(N16+O16)</f>
        <v>5</v>
      </c>
      <c r="Q16" s="51" t="n">
        <v>0</v>
      </c>
      <c r="R16" s="51" t="n">
        <v>0</v>
      </c>
      <c r="S16" s="51" t="n">
        <f aca="false">SUM(P16:R16)</f>
        <v>5</v>
      </c>
      <c r="T16" s="52"/>
      <c r="U16" s="51" t="n">
        <v>0</v>
      </c>
      <c r="V16" s="51" t="n">
        <v>81</v>
      </c>
      <c r="W16" s="6" t="n">
        <f aca="false">N16+O16+S16+U16+V16</f>
        <v>86</v>
      </c>
      <c r="X16" s="51" t="n">
        <f aca="false">IF(L16&lt;0,L16*-1,0)</f>
        <v>39.4991177211999</v>
      </c>
      <c r="Y16" s="51" t="n">
        <f aca="false">W16+X16</f>
        <v>125.4991177212</v>
      </c>
      <c r="Z16" s="56" t="n">
        <v>0</v>
      </c>
      <c r="AA16" s="57" t="n">
        <v>42</v>
      </c>
      <c r="AB16" s="57" t="n">
        <v>24</v>
      </c>
      <c r="AC16" s="58" t="n">
        <f aca="false">AC15+1</f>
        <v>7</v>
      </c>
    </row>
    <row r="17" customFormat="false" ht="11.1" hidden="false" customHeight="true" outlineLevel="0" collapsed="false">
      <c r="A17" s="58" t="n">
        <f aca="false">A16+1</f>
        <v>8</v>
      </c>
      <c r="B17" s="73" t="n">
        <v>6909.83</v>
      </c>
      <c r="C17" s="52" t="n">
        <v>321310</v>
      </c>
      <c r="D17" s="57" t="n">
        <f aca="false">C17-C16</f>
        <v>-119</v>
      </c>
      <c r="E17" s="52" t="n">
        <f aca="false">C17-152000</f>
        <v>169310</v>
      </c>
      <c r="F17" s="51" t="n">
        <f aca="false">D17/$D$2</f>
        <v>-59.9949584068566</v>
      </c>
      <c r="G17" s="51" t="n">
        <v>65</v>
      </c>
      <c r="H17" s="53" t="n">
        <v>0</v>
      </c>
      <c r="I17" s="51" t="n">
        <f aca="false">G17+H17</f>
        <v>65</v>
      </c>
      <c r="J17" s="81" t="n">
        <f aca="false">IF(L17&gt;0,L17,0)</f>
        <v>0</v>
      </c>
      <c r="K17" s="51" t="n">
        <f aca="false">I17+J17</f>
        <v>65</v>
      </c>
      <c r="L17" s="51" t="n">
        <f aca="false">F17-(I17-W17)</f>
        <v>-38.9949584068566</v>
      </c>
      <c r="M17" s="51" t="n">
        <v>5</v>
      </c>
      <c r="N17" s="51" t="n">
        <v>0</v>
      </c>
      <c r="O17" s="51" t="n">
        <v>0</v>
      </c>
      <c r="P17" s="6" t="n">
        <f aca="false">M17-(N17+O17)</f>
        <v>5</v>
      </c>
      <c r="Q17" s="51" t="n">
        <v>0</v>
      </c>
      <c r="R17" s="51" t="n">
        <v>0</v>
      </c>
      <c r="S17" s="51" t="n">
        <f aca="false">SUM(P17:R17)</f>
        <v>5</v>
      </c>
      <c r="T17" s="52"/>
      <c r="U17" s="51" t="n">
        <v>0</v>
      </c>
      <c r="V17" s="51" t="n">
        <v>81</v>
      </c>
      <c r="W17" s="6" t="n">
        <f aca="false">N17+O17+S17+U17+V17</f>
        <v>86</v>
      </c>
      <c r="X17" s="51" t="n">
        <f aca="false">IF(L17&lt;0,L17*-1,0)</f>
        <v>38.9949584068566</v>
      </c>
      <c r="Y17" s="51" t="n">
        <f aca="false">W17+X17</f>
        <v>124.994958406857</v>
      </c>
      <c r="Z17" s="56" t="n">
        <v>0.01</v>
      </c>
      <c r="AA17" s="57" t="n">
        <v>45</v>
      </c>
      <c r="AB17" s="57" t="n">
        <v>14</v>
      </c>
      <c r="AC17" s="58" t="n">
        <f aca="false">AC16+1</f>
        <v>8</v>
      </c>
    </row>
    <row r="18" customFormat="false" ht="11.1" hidden="false" customHeight="true" outlineLevel="0" collapsed="false">
      <c r="A18" s="58" t="n">
        <f aca="false">A17+1</f>
        <v>9</v>
      </c>
      <c r="B18" s="73" t="n">
        <v>6909.81</v>
      </c>
      <c r="C18" s="52" t="n">
        <v>321230</v>
      </c>
      <c r="D18" s="57" t="n">
        <f aca="false">C18-C17</f>
        <v>-80</v>
      </c>
      <c r="E18" s="52" t="n">
        <f aca="false">C18-152000</f>
        <v>169230</v>
      </c>
      <c r="F18" s="51" t="n">
        <f aca="false">D18/$D$2</f>
        <v>-40.3327451474666</v>
      </c>
      <c r="G18" s="51" t="n">
        <v>65</v>
      </c>
      <c r="H18" s="53" t="n">
        <v>0</v>
      </c>
      <c r="I18" s="51" t="n">
        <f aca="false">G18+H18</f>
        <v>65</v>
      </c>
      <c r="J18" s="81" t="n">
        <f aca="false">IF(L18&gt;0,L18,0)</f>
        <v>0</v>
      </c>
      <c r="K18" s="51" t="n">
        <f aca="false">I18+J18</f>
        <v>65</v>
      </c>
      <c r="L18" s="51" t="n">
        <f aca="false">F18-(I18-W18)</f>
        <v>-19.3327451474666</v>
      </c>
      <c r="M18" s="51" t="n">
        <v>5</v>
      </c>
      <c r="N18" s="51" t="n">
        <v>0</v>
      </c>
      <c r="O18" s="51" t="n">
        <v>0</v>
      </c>
      <c r="P18" s="6" t="n">
        <f aca="false">M18-(N18+O18)</f>
        <v>5</v>
      </c>
      <c r="Q18" s="51" t="n">
        <v>0</v>
      </c>
      <c r="R18" s="51" t="n">
        <v>0</v>
      </c>
      <c r="S18" s="51" t="n">
        <f aca="false">SUM(P18:R18)</f>
        <v>5</v>
      </c>
      <c r="T18" s="52"/>
      <c r="U18" s="51" t="n">
        <v>0</v>
      </c>
      <c r="V18" s="51" t="n">
        <v>81</v>
      </c>
      <c r="W18" s="6" t="n">
        <f aca="false">N18+O18+S18+U18+V18</f>
        <v>86</v>
      </c>
      <c r="X18" s="51" t="n">
        <f aca="false">IF(L18&lt;0,L18*-1,0)</f>
        <v>19.3327451474666</v>
      </c>
      <c r="Y18" s="51" t="n">
        <f aca="false">W18+X18</f>
        <v>105.332745147467</v>
      </c>
      <c r="Z18" s="56" t="n">
        <v>0</v>
      </c>
      <c r="AA18" s="82" t="n">
        <v>42</v>
      </c>
      <c r="AB18" s="57" t="n">
        <v>15</v>
      </c>
      <c r="AC18" s="58" t="n">
        <f aca="false">AC17+1</f>
        <v>9</v>
      </c>
    </row>
    <row r="19" customFormat="false" ht="11.1" hidden="false" customHeight="true" outlineLevel="0" collapsed="false">
      <c r="A19" s="58" t="n">
        <f aca="false">A18+1</f>
        <v>10</v>
      </c>
      <c r="B19" s="73" t="n">
        <v>6909.79</v>
      </c>
      <c r="C19" s="52" t="n">
        <v>321150</v>
      </c>
      <c r="D19" s="57" t="n">
        <f aca="false">C19-C18</f>
        <v>-80</v>
      </c>
      <c r="E19" s="52" t="n">
        <f aca="false">C19-152000</f>
        <v>169150</v>
      </c>
      <c r="F19" s="51" t="n">
        <f aca="false">D19/$D$2</f>
        <v>-40.3327451474666</v>
      </c>
      <c r="G19" s="51" t="n">
        <v>65</v>
      </c>
      <c r="H19" s="53" t="n">
        <v>0</v>
      </c>
      <c r="I19" s="51" t="n">
        <f aca="false">G19+H19</f>
        <v>65</v>
      </c>
      <c r="J19" s="81" t="n">
        <f aca="false">IF(L19&gt;0,L19,0)</f>
        <v>0</v>
      </c>
      <c r="K19" s="51" t="n">
        <f aca="false">I19+J19</f>
        <v>65</v>
      </c>
      <c r="L19" s="51" t="n">
        <f aca="false">F19-(I19-W19)</f>
        <v>-19.3327451474666</v>
      </c>
      <c r="M19" s="51" t="n">
        <v>5</v>
      </c>
      <c r="N19" s="51" t="n">
        <v>0</v>
      </c>
      <c r="O19" s="51" t="n">
        <v>0</v>
      </c>
      <c r="P19" s="6" t="n">
        <f aca="false">M19-(N19+O19)</f>
        <v>5</v>
      </c>
      <c r="Q19" s="51" t="n">
        <v>0</v>
      </c>
      <c r="R19" s="51" t="n">
        <v>0</v>
      </c>
      <c r="S19" s="51" t="n">
        <f aca="false">SUM(P19:R19)</f>
        <v>5</v>
      </c>
      <c r="T19" s="52"/>
      <c r="U19" s="51" t="n">
        <v>0</v>
      </c>
      <c r="V19" s="51" t="n">
        <v>81</v>
      </c>
      <c r="W19" s="6" t="n">
        <f aca="false">N19+O19+S19+U19+V19</f>
        <v>86</v>
      </c>
      <c r="X19" s="51" t="n">
        <f aca="false">IF(L19&lt;0,L19*-1,0)</f>
        <v>19.3327451474666</v>
      </c>
      <c r="Y19" s="51" t="n">
        <f aca="false">W19+X19</f>
        <v>105.332745147467</v>
      </c>
      <c r="Z19" s="56" t="n">
        <v>0</v>
      </c>
      <c r="AA19" s="57" t="n">
        <v>35</v>
      </c>
      <c r="AB19" s="57" t="n">
        <v>15</v>
      </c>
      <c r="AC19" s="58" t="n">
        <f aca="false">AC18+1</f>
        <v>10</v>
      </c>
    </row>
    <row r="20" customFormat="false" ht="11.1" hidden="false" customHeight="true" outlineLevel="0" collapsed="false">
      <c r="A20" s="58" t="n">
        <f aca="false">A19+1</f>
        <v>11</v>
      </c>
      <c r="B20" s="73" t="n">
        <v>6909.77</v>
      </c>
      <c r="C20" s="52" t="n">
        <v>321071</v>
      </c>
      <c r="D20" s="57" t="n">
        <f aca="false">C20-C19</f>
        <v>-79</v>
      </c>
      <c r="E20" s="52" t="n">
        <f aca="false">C20-152000</f>
        <v>169071</v>
      </c>
      <c r="F20" s="51" t="n">
        <f aca="false">D20/$D$2</f>
        <v>-39.8285858331233</v>
      </c>
      <c r="G20" s="51" t="n">
        <v>65</v>
      </c>
      <c r="H20" s="53" t="n">
        <v>0</v>
      </c>
      <c r="I20" s="51" t="n">
        <f aca="false">G20+H20</f>
        <v>65</v>
      </c>
      <c r="J20" s="81" t="n">
        <f aca="false">IF(L20&gt;0,L20,0)</f>
        <v>0</v>
      </c>
      <c r="K20" s="51" t="n">
        <f aca="false">I20+J20</f>
        <v>65</v>
      </c>
      <c r="L20" s="51" t="n">
        <f aca="false">F20-(I20-W20)</f>
        <v>-18.8285858331233</v>
      </c>
      <c r="M20" s="51" t="n">
        <v>5</v>
      </c>
      <c r="N20" s="51" t="n">
        <v>0</v>
      </c>
      <c r="O20" s="51" t="n">
        <v>0</v>
      </c>
      <c r="P20" s="6" t="n">
        <f aca="false">M20-(N20+O20)</f>
        <v>5</v>
      </c>
      <c r="Q20" s="51" t="n">
        <v>0</v>
      </c>
      <c r="R20" s="51" t="n">
        <v>0</v>
      </c>
      <c r="S20" s="51" t="n">
        <f aca="false">SUM(P20:R20)</f>
        <v>5</v>
      </c>
      <c r="T20" s="52"/>
      <c r="U20" s="51" t="n">
        <v>0</v>
      </c>
      <c r="V20" s="51" t="n">
        <v>81</v>
      </c>
      <c r="W20" s="6" t="n">
        <f aca="false">N20+O20+S20+U20+V20</f>
        <v>86</v>
      </c>
      <c r="X20" s="51" t="n">
        <f aca="false">IF(L20&lt;0,L20*-1,0)</f>
        <v>18.8285858331233</v>
      </c>
      <c r="Y20" s="51" t="n">
        <f aca="false">W20+X20</f>
        <v>104.828585833123</v>
      </c>
      <c r="Z20" s="56" t="n">
        <v>0</v>
      </c>
      <c r="AA20" s="57" t="n">
        <v>39</v>
      </c>
      <c r="AB20" s="57" t="n">
        <v>17</v>
      </c>
      <c r="AC20" s="58" t="n">
        <f aca="false">AC19+1</f>
        <v>11</v>
      </c>
    </row>
    <row r="21" customFormat="false" ht="11.1" hidden="false" customHeight="true" outlineLevel="0" collapsed="false">
      <c r="A21" s="58" t="n">
        <f aca="false">A20+1</f>
        <v>12</v>
      </c>
      <c r="B21" s="73" t="n">
        <v>6909.77</v>
      </c>
      <c r="C21" s="52" t="n">
        <v>321071</v>
      </c>
      <c r="D21" s="57" t="n">
        <f aca="false">C21-C20</f>
        <v>0</v>
      </c>
      <c r="E21" s="52" t="n">
        <f aca="false">C21-152000</f>
        <v>169071</v>
      </c>
      <c r="F21" s="51" t="n">
        <f aca="false">D21/$D$2</f>
        <v>0</v>
      </c>
      <c r="G21" s="51" t="n">
        <v>65</v>
      </c>
      <c r="H21" s="53" t="n">
        <v>0</v>
      </c>
      <c r="I21" s="51" t="n">
        <f aca="false">G21+H21</f>
        <v>65</v>
      </c>
      <c r="J21" s="81" t="n">
        <f aca="false">IF(L21&gt;0,L21,0)</f>
        <v>21</v>
      </c>
      <c r="K21" s="51" t="n">
        <f aca="false">I21+J21</f>
        <v>86</v>
      </c>
      <c r="L21" s="51" t="n">
        <f aca="false">F21-(I21-W21)</f>
        <v>21</v>
      </c>
      <c r="M21" s="51" t="n">
        <v>5</v>
      </c>
      <c r="N21" s="51" t="n">
        <v>0</v>
      </c>
      <c r="O21" s="51" t="n">
        <v>0</v>
      </c>
      <c r="P21" s="6" t="n">
        <f aca="false">M21-(N21+O21)</f>
        <v>5</v>
      </c>
      <c r="Q21" s="51" t="n">
        <v>0</v>
      </c>
      <c r="R21" s="51" t="n">
        <v>0</v>
      </c>
      <c r="S21" s="51" t="n">
        <f aca="false">SUM(P21:R21)</f>
        <v>5</v>
      </c>
      <c r="T21" s="52"/>
      <c r="U21" s="51" t="n">
        <v>0</v>
      </c>
      <c r="V21" s="51" t="n">
        <v>81</v>
      </c>
      <c r="W21" s="6" t="n">
        <f aca="false">N21+O21+S21+U21+V21</f>
        <v>86</v>
      </c>
      <c r="X21" s="51" t="n">
        <f aca="false">IF(L21&lt;0,L21*-1,0)</f>
        <v>0</v>
      </c>
      <c r="Y21" s="51" t="n">
        <f aca="false">W21+X21</f>
        <v>86</v>
      </c>
      <c r="Z21" s="56" t="n">
        <v>0</v>
      </c>
      <c r="AA21" s="57" t="n">
        <v>49</v>
      </c>
      <c r="AB21" s="57" t="n">
        <v>20</v>
      </c>
      <c r="AC21" s="58" t="n">
        <f aca="false">AC20+1</f>
        <v>12</v>
      </c>
    </row>
    <row r="22" customFormat="false" ht="11.1" hidden="false" customHeight="true" outlineLevel="0" collapsed="false">
      <c r="A22" s="58" t="n">
        <f aca="false">A21+1</f>
        <v>13</v>
      </c>
      <c r="B22" s="73" t="n">
        <v>6909.76</v>
      </c>
      <c r="C22" s="52" t="n">
        <v>321031</v>
      </c>
      <c r="D22" s="57" t="n">
        <f aca="false">C22-C21</f>
        <v>-40</v>
      </c>
      <c r="E22" s="52" t="n">
        <f aca="false">C22-152000</f>
        <v>169031</v>
      </c>
      <c r="F22" s="51" t="n">
        <f aca="false">D22/$D$2</f>
        <v>-20.1663725737333</v>
      </c>
      <c r="G22" s="51" t="n">
        <v>65</v>
      </c>
      <c r="H22" s="53" t="n">
        <v>0</v>
      </c>
      <c r="I22" s="51" t="n">
        <f aca="false">G22+H22</f>
        <v>65</v>
      </c>
      <c r="J22" s="81" t="n">
        <f aca="false">IF(L22&gt;0,L22,0)</f>
        <v>0.833627426266702</v>
      </c>
      <c r="K22" s="51" t="n">
        <f aca="false">I22+J22</f>
        <v>65.8336274262667</v>
      </c>
      <c r="L22" s="51" t="n">
        <f aca="false">F22-(I22-W22)</f>
        <v>0.833627426266702</v>
      </c>
      <c r="M22" s="51" t="n">
        <v>5</v>
      </c>
      <c r="N22" s="51" t="n">
        <v>0</v>
      </c>
      <c r="O22" s="51" t="n">
        <v>0</v>
      </c>
      <c r="P22" s="6" t="n">
        <f aca="false">M22-(N22+O22)</f>
        <v>5</v>
      </c>
      <c r="Q22" s="51" t="n">
        <v>0</v>
      </c>
      <c r="R22" s="51" t="n">
        <v>0</v>
      </c>
      <c r="S22" s="51" t="n">
        <f aca="false">SUM(P22:R22)</f>
        <v>5</v>
      </c>
      <c r="T22" s="52"/>
      <c r="U22" s="51" t="n">
        <v>0</v>
      </c>
      <c r="V22" s="51" t="n">
        <v>81</v>
      </c>
      <c r="W22" s="6" t="n">
        <f aca="false">N22+O22+S22+U22+V22</f>
        <v>86</v>
      </c>
      <c r="X22" s="51" t="n">
        <f aca="false">IF(L22&lt;0,L22*-1,0)</f>
        <v>0</v>
      </c>
      <c r="Y22" s="51" t="n">
        <f aca="false">W22+X22</f>
        <v>86</v>
      </c>
      <c r="Z22" s="56" t="n">
        <v>0</v>
      </c>
      <c r="AA22" s="57" t="n">
        <v>50</v>
      </c>
      <c r="AB22" s="57" t="n">
        <v>21</v>
      </c>
      <c r="AC22" s="58" t="n">
        <f aca="false">AC21+1</f>
        <v>13</v>
      </c>
    </row>
    <row r="23" customFormat="false" ht="11.1" hidden="false" customHeight="true" outlineLevel="0" collapsed="false">
      <c r="A23" s="58" t="n">
        <f aca="false">A22+1</f>
        <v>14</v>
      </c>
      <c r="B23" s="73" t="n">
        <v>6909.75</v>
      </c>
      <c r="C23" s="52" t="n">
        <v>320991</v>
      </c>
      <c r="D23" s="57" t="n">
        <f aca="false">C23-C22</f>
        <v>-40</v>
      </c>
      <c r="E23" s="52" t="n">
        <f aca="false">C23-152000</f>
        <v>168991</v>
      </c>
      <c r="F23" s="51" t="n">
        <f aca="false">D23/$D$2</f>
        <v>-20.1663725737333</v>
      </c>
      <c r="G23" s="51" t="n">
        <v>65</v>
      </c>
      <c r="H23" s="53" t="n">
        <v>0</v>
      </c>
      <c r="I23" s="51" t="n">
        <f aca="false">G23+H23</f>
        <v>65</v>
      </c>
      <c r="J23" s="81" t="n">
        <f aca="false">IF(L23&gt;0,L23,0)</f>
        <v>0.833627426266702</v>
      </c>
      <c r="K23" s="51" t="n">
        <f aca="false">I23+J23</f>
        <v>65.8336274262667</v>
      </c>
      <c r="L23" s="51" t="n">
        <f aca="false">F23-(I23-W23)</f>
        <v>0.833627426266702</v>
      </c>
      <c r="M23" s="51" t="n">
        <v>5</v>
      </c>
      <c r="N23" s="51" t="n">
        <v>0</v>
      </c>
      <c r="O23" s="51" t="n">
        <v>0</v>
      </c>
      <c r="P23" s="6" t="n">
        <f aca="false">M23-(N23+O23)</f>
        <v>5</v>
      </c>
      <c r="Q23" s="51" t="n">
        <v>0</v>
      </c>
      <c r="R23" s="51" t="n">
        <v>0</v>
      </c>
      <c r="S23" s="51" t="n">
        <f aca="false">SUM(P23:R23)</f>
        <v>5</v>
      </c>
      <c r="T23" s="52"/>
      <c r="U23" s="51" t="n">
        <v>0</v>
      </c>
      <c r="V23" s="51" t="n">
        <v>81</v>
      </c>
      <c r="W23" s="6" t="n">
        <f aca="false">N23+O23+S23+U23+V23</f>
        <v>86</v>
      </c>
      <c r="X23" s="51" t="n">
        <f aca="false">IF(L23&lt;0,L23*-1,0)</f>
        <v>0</v>
      </c>
      <c r="Y23" s="51" t="n">
        <f aca="false">W23+X23</f>
        <v>86</v>
      </c>
      <c r="Z23" s="56" t="n">
        <v>0</v>
      </c>
      <c r="AA23" s="82" t="n">
        <v>48</v>
      </c>
      <c r="AB23" s="57" t="n">
        <v>22</v>
      </c>
      <c r="AC23" s="58" t="n">
        <f aca="false">AC22+1</f>
        <v>14</v>
      </c>
    </row>
    <row r="24" customFormat="false" ht="11.1" hidden="false" customHeight="true" outlineLevel="0" collapsed="false">
      <c r="A24" s="58" t="n">
        <f aca="false">A23+1</f>
        <v>15</v>
      </c>
      <c r="B24" s="73" t="n">
        <v>6909.74</v>
      </c>
      <c r="C24" s="52" t="n">
        <v>320951</v>
      </c>
      <c r="D24" s="57" t="n">
        <f aca="false">C24-C23</f>
        <v>-40</v>
      </c>
      <c r="E24" s="52" t="n">
        <f aca="false">C24-152000</f>
        <v>168951</v>
      </c>
      <c r="F24" s="51" t="n">
        <f aca="false">D24/$D$2</f>
        <v>-20.1663725737333</v>
      </c>
      <c r="G24" s="51" t="n">
        <v>65</v>
      </c>
      <c r="H24" s="53" t="n">
        <v>0</v>
      </c>
      <c r="I24" s="51" t="n">
        <f aca="false">G24+H24</f>
        <v>65</v>
      </c>
      <c r="J24" s="81" t="n">
        <f aca="false">IF(L24&gt;0,L24,0)</f>
        <v>0.833627426266702</v>
      </c>
      <c r="K24" s="51" t="n">
        <f aca="false">I24+J24</f>
        <v>65.8336274262667</v>
      </c>
      <c r="L24" s="51" t="n">
        <f aca="false">F24-(I24-W24)</f>
        <v>0.833627426266702</v>
      </c>
      <c r="M24" s="51" t="n">
        <v>5</v>
      </c>
      <c r="N24" s="51" t="n">
        <v>0</v>
      </c>
      <c r="O24" s="51" t="n">
        <v>0</v>
      </c>
      <c r="P24" s="6" t="n">
        <f aca="false">M24-(N24+O24)</f>
        <v>5</v>
      </c>
      <c r="Q24" s="51" t="n">
        <v>0</v>
      </c>
      <c r="R24" s="51" t="n">
        <v>0</v>
      </c>
      <c r="S24" s="51" t="n">
        <f aca="false">SUM(P24:R24)</f>
        <v>5</v>
      </c>
      <c r="T24" s="52"/>
      <c r="U24" s="51" t="n">
        <v>0</v>
      </c>
      <c r="V24" s="51" t="n">
        <v>81</v>
      </c>
      <c r="W24" s="6" t="n">
        <f aca="false">N24+O24+S24+U24+V24</f>
        <v>86</v>
      </c>
      <c r="X24" s="51" t="n">
        <f aca="false">IF(L24&lt;0,L24*-1,0)</f>
        <v>0</v>
      </c>
      <c r="Y24" s="51" t="n">
        <f aca="false">W24+X24</f>
        <v>86</v>
      </c>
      <c r="Z24" s="56" t="n">
        <v>0</v>
      </c>
      <c r="AA24" s="82" t="n">
        <v>42</v>
      </c>
      <c r="AB24" s="57" t="n">
        <v>32</v>
      </c>
      <c r="AC24" s="58" t="n">
        <f aca="false">AC23+1</f>
        <v>15</v>
      </c>
    </row>
    <row r="25" customFormat="false" ht="11.1" hidden="false" customHeight="true" outlineLevel="0" collapsed="false">
      <c r="A25" s="58" t="n">
        <f aca="false">A24+1</f>
        <v>16</v>
      </c>
      <c r="B25" s="73" t="n">
        <v>6909.73</v>
      </c>
      <c r="C25" s="52" t="n">
        <v>320912</v>
      </c>
      <c r="D25" s="57" t="n">
        <f aca="false">C25-C24</f>
        <v>-39</v>
      </c>
      <c r="E25" s="52" t="n">
        <f aca="false">C25-152000</f>
        <v>168912</v>
      </c>
      <c r="F25" s="51" t="n">
        <f aca="false">D25/$D$2</f>
        <v>-19.66221325939</v>
      </c>
      <c r="G25" s="51" t="n">
        <v>65</v>
      </c>
      <c r="H25" s="53" t="n">
        <v>0</v>
      </c>
      <c r="I25" s="51" t="n">
        <f aca="false">G25+H25</f>
        <v>65</v>
      </c>
      <c r="J25" s="81" t="n">
        <f aca="false">IF(L25&gt;0,L25,0)</f>
        <v>1.33778674061003</v>
      </c>
      <c r="K25" s="51" t="n">
        <f aca="false">I25+J25</f>
        <v>66.33778674061</v>
      </c>
      <c r="L25" s="51" t="n">
        <f aca="false">F25-(I25-W25)</f>
        <v>1.33778674061003</v>
      </c>
      <c r="M25" s="51" t="n">
        <v>5</v>
      </c>
      <c r="N25" s="51" t="n">
        <v>0</v>
      </c>
      <c r="O25" s="51" t="n">
        <v>0</v>
      </c>
      <c r="P25" s="6" t="n">
        <f aca="false">M25-(N25+O25)</f>
        <v>5</v>
      </c>
      <c r="Q25" s="51" t="n">
        <v>0</v>
      </c>
      <c r="R25" s="51" t="n">
        <v>0</v>
      </c>
      <c r="S25" s="51" t="n">
        <f aca="false">SUM(P25:R25)</f>
        <v>5</v>
      </c>
      <c r="T25" s="52"/>
      <c r="U25" s="51" t="n">
        <v>0</v>
      </c>
      <c r="V25" s="51" t="n">
        <v>81</v>
      </c>
      <c r="W25" s="6" t="n">
        <f aca="false">N25+O25+S25+U25+V25</f>
        <v>86</v>
      </c>
      <c r="X25" s="51" t="n">
        <f aca="false">IF(L25&lt;0,L25*-1,0)</f>
        <v>0</v>
      </c>
      <c r="Y25" s="51" t="n">
        <f aca="false">W25+X25</f>
        <v>86</v>
      </c>
      <c r="Z25" s="56" t="n">
        <v>0</v>
      </c>
      <c r="AA25" s="82" t="n">
        <v>52</v>
      </c>
      <c r="AB25" s="57" t="n">
        <v>19</v>
      </c>
      <c r="AC25" s="58" t="n">
        <f aca="false">AC24+1</f>
        <v>16</v>
      </c>
    </row>
    <row r="26" customFormat="false" ht="11.1" hidden="false" customHeight="true" outlineLevel="0" collapsed="false">
      <c r="A26" s="58" t="n">
        <f aca="false">A25+1</f>
        <v>17</v>
      </c>
      <c r="B26" s="73" t="n">
        <v>6909.72</v>
      </c>
      <c r="C26" s="52" t="n">
        <v>320872</v>
      </c>
      <c r="D26" s="57" t="n">
        <f aca="false">C26-C25</f>
        <v>-40</v>
      </c>
      <c r="E26" s="52" t="n">
        <f aca="false">C26-152000</f>
        <v>168872</v>
      </c>
      <c r="F26" s="51" t="n">
        <f aca="false">D26/$D$2</f>
        <v>-20.1663725737333</v>
      </c>
      <c r="G26" s="51" t="n">
        <v>65</v>
      </c>
      <c r="H26" s="53" t="n">
        <v>0</v>
      </c>
      <c r="I26" s="51" t="n">
        <f aca="false">G26+H26</f>
        <v>65</v>
      </c>
      <c r="J26" s="81" t="n">
        <f aca="false">IF(L26&gt;0,L26,0)</f>
        <v>0.833627426266702</v>
      </c>
      <c r="K26" s="51" t="n">
        <f aca="false">I26+J26</f>
        <v>65.8336274262667</v>
      </c>
      <c r="L26" s="51" t="n">
        <f aca="false">F26-(I26-W26)</f>
        <v>0.833627426266702</v>
      </c>
      <c r="M26" s="51" t="n">
        <v>5</v>
      </c>
      <c r="N26" s="51" t="n">
        <v>0</v>
      </c>
      <c r="O26" s="51" t="n">
        <v>0</v>
      </c>
      <c r="P26" s="6" t="n">
        <f aca="false">M26-(N26+O26)</f>
        <v>5</v>
      </c>
      <c r="Q26" s="51" t="n">
        <v>0</v>
      </c>
      <c r="R26" s="51" t="n">
        <v>0</v>
      </c>
      <c r="S26" s="51" t="n">
        <f aca="false">SUM(P26:R26)</f>
        <v>5</v>
      </c>
      <c r="T26" s="52"/>
      <c r="U26" s="51" t="n">
        <v>0</v>
      </c>
      <c r="V26" s="51" t="n">
        <v>81</v>
      </c>
      <c r="W26" s="6" t="n">
        <f aca="false">N26+O26+S26+U26+V26</f>
        <v>86</v>
      </c>
      <c r="X26" s="51" t="n">
        <f aca="false">IF(L26&lt;0,L26*-1,0)</f>
        <v>0</v>
      </c>
      <c r="Y26" s="51" t="n">
        <f aca="false">W26+X26</f>
        <v>86</v>
      </c>
      <c r="Z26" s="56" t="n">
        <v>0</v>
      </c>
      <c r="AA26" s="82" t="n">
        <v>53</v>
      </c>
      <c r="AB26" s="57" t="n">
        <v>22</v>
      </c>
      <c r="AC26" s="58" t="n">
        <f aca="false">AC25+1</f>
        <v>17</v>
      </c>
    </row>
    <row r="27" customFormat="false" ht="11.1" hidden="false" customHeight="true" outlineLevel="0" collapsed="false">
      <c r="A27" s="58" t="n">
        <f aca="false">A26+1</f>
        <v>18</v>
      </c>
      <c r="B27" s="73" t="n">
        <v>6909.71</v>
      </c>
      <c r="C27" s="52" t="n">
        <v>320832</v>
      </c>
      <c r="D27" s="57" t="n">
        <f aca="false">C27-C26</f>
        <v>-40</v>
      </c>
      <c r="E27" s="52" t="n">
        <f aca="false">C27-152000</f>
        <v>168832</v>
      </c>
      <c r="F27" s="51" t="n">
        <f aca="false">D27/$D$2</f>
        <v>-20.1663725737333</v>
      </c>
      <c r="G27" s="51" t="n">
        <v>65</v>
      </c>
      <c r="H27" s="53" t="n">
        <v>0</v>
      </c>
      <c r="I27" s="51" t="n">
        <f aca="false">G27+H27</f>
        <v>65</v>
      </c>
      <c r="J27" s="81" t="n">
        <f aca="false">IF(L27&gt;0,L27,0)</f>
        <v>0.833627426266702</v>
      </c>
      <c r="K27" s="51" t="n">
        <f aca="false">I27+J27</f>
        <v>65.8336274262667</v>
      </c>
      <c r="L27" s="51" t="n">
        <f aca="false">F27-(I27-W27)</f>
        <v>0.833627426266702</v>
      </c>
      <c r="M27" s="51" t="n">
        <v>5</v>
      </c>
      <c r="N27" s="51" t="n">
        <v>0</v>
      </c>
      <c r="O27" s="51" t="n">
        <v>0</v>
      </c>
      <c r="P27" s="6" t="n">
        <f aca="false">M27-(N27+O27)</f>
        <v>5</v>
      </c>
      <c r="Q27" s="51" t="n">
        <v>0</v>
      </c>
      <c r="R27" s="51" t="n">
        <v>0</v>
      </c>
      <c r="S27" s="51" t="n">
        <f aca="false">SUM(P27:R27)</f>
        <v>5</v>
      </c>
      <c r="T27" s="52"/>
      <c r="U27" s="51" t="n">
        <v>0</v>
      </c>
      <c r="V27" s="51" t="n">
        <v>81</v>
      </c>
      <c r="W27" s="6" t="n">
        <f aca="false">N27+O27+S27+U27+V27</f>
        <v>86</v>
      </c>
      <c r="X27" s="51" t="n">
        <f aca="false">IF(L27&lt;0,L27*-1,0)</f>
        <v>0</v>
      </c>
      <c r="Y27" s="51" t="n">
        <f aca="false">W27+X27</f>
        <v>86</v>
      </c>
      <c r="Z27" s="56" t="n">
        <v>0</v>
      </c>
      <c r="AA27" s="82" t="n">
        <v>54</v>
      </c>
      <c r="AB27" s="57" t="n">
        <v>21</v>
      </c>
      <c r="AC27" s="58" t="n">
        <f aca="false">AC26+1</f>
        <v>18</v>
      </c>
    </row>
    <row r="28" customFormat="false" ht="11.1" hidden="false" customHeight="true" outlineLevel="0" collapsed="false">
      <c r="A28" s="58" t="n">
        <f aca="false">A27+1</f>
        <v>19</v>
      </c>
      <c r="B28" s="73" t="n">
        <v>6909.72</v>
      </c>
      <c r="C28" s="52" t="n">
        <v>320872</v>
      </c>
      <c r="D28" s="57" t="n">
        <f aca="false">C28-C27</f>
        <v>40</v>
      </c>
      <c r="E28" s="52" t="n">
        <f aca="false">C28-152000</f>
        <v>168872</v>
      </c>
      <c r="F28" s="51" t="n">
        <f aca="false">D28/$D$2</f>
        <v>20.1663725737333</v>
      </c>
      <c r="G28" s="51" t="n">
        <v>65</v>
      </c>
      <c r="H28" s="53" t="n">
        <v>0</v>
      </c>
      <c r="I28" s="51" t="n">
        <f aca="false">G28+H28</f>
        <v>65</v>
      </c>
      <c r="J28" s="81" t="n">
        <f aca="false">IF(L28&gt;0,L28,0)</f>
        <v>41.1663725737333</v>
      </c>
      <c r="K28" s="51" t="n">
        <f aca="false">I28+J28</f>
        <v>106.166372573733</v>
      </c>
      <c r="L28" s="51" t="n">
        <f aca="false">F28-(I28-W28)</f>
        <v>41.1663725737333</v>
      </c>
      <c r="M28" s="51" t="n">
        <v>5</v>
      </c>
      <c r="N28" s="51" t="n">
        <v>0</v>
      </c>
      <c r="O28" s="51" t="n">
        <v>0</v>
      </c>
      <c r="P28" s="6" t="n">
        <f aca="false">M28-(N28+O28)</f>
        <v>5</v>
      </c>
      <c r="Q28" s="51" t="n">
        <v>0</v>
      </c>
      <c r="R28" s="51" t="n">
        <v>0</v>
      </c>
      <c r="S28" s="51" t="n">
        <f aca="false">SUM(P28:R28)</f>
        <v>5</v>
      </c>
      <c r="T28" s="52"/>
      <c r="U28" s="51" t="n">
        <v>0</v>
      </c>
      <c r="V28" s="51" t="n">
        <v>81</v>
      </c>
      <c r="W28" s="6" t="n">
        <f aca="false">N28+O28+S28+U28+V28</f>
        <v>86</v>
      </c>
      <c r="X28" s="51" t="n">
        <f aca="false">IF(L28&lt;0,L28*-1,0)</f>
        <v>0</v>
      </c>
      <c r="Y28" s="51" t="n">
        <f aca="false">W28+X28</f>
        <v>86</v>
      </c>
      <c r="Z28" s="56" t="n">
        <v>0.19</v>
      </c>
      <c r="AA28" s="82" t="n">
        <v>45</v>
      </c>
      <c r="AB28" s="57" t="n">
        <v>26</v>
      </c>
      <c r="AC28" s="58" t="n">
        <f aca="false">AC27+1</f>
        <v>19</v>
      </c>
    </row>
    <row r="29" customFormat="false" ht="11.1" hidden="false" customHeight="true" outlineLevel="0" collapsed="false">
      <c r="A29" s="58" t="n">
        <f aca="false">A28+1</f>
        <v>20</v>
      </c>
      <c r="B29" s="73" t="n">
        <v>6909.69</v>
      </c>
      <c r="C29" s="52" t="n">
        <v>320752</v>
      </c>
      <c r="D29" s="57" t="n">
        <f aca="false">C29-C28</f>
        <v>-120</v>
      </c>
      <c r="E29" s="52" t="n">
        <f aca="false">C29-152000</f>
        <v>168752</v>
      </c>
      <c r="F29" s="51" t="n">
        <f aca="false">D29/$D$2</f>
        <v>-60.4991177211999</v>
      </c>
      <c r="G29" s="51" t="n">
        <v>65</v>
      </c>
      <c r="H29" s="53" t="n">
        <v>0</v>
      </c>
      <c r="I29" s="51" t="n">
        <f aca="false">G29+H29</f>
        <v>65</v>
      </c>
      <c r="J29" s="81" t="n">
        <f aca="false">IF(L29&gt;0,L29,0)</f>
        <v>0</v>
      </c>
      <c r="K29" s="51" t="n">
        <f aca="false">I29+J29</f>
        <v>65</v>
      </c>
      <c r="L29" s="51" t="n">
        <f aca="false">F29-(I29-W29)</f>
        <v>-39.4991177211999</v>
      </c>
      <c r="M29" s="51" t="n">
        <v>5</v>
      </c>
      <c r="N29" s="51" t="n">
        <v>0</v>
      </c>
      <c r="O29" s="51" t="n">
        <v>0</v>
      </c>
      <c r="P29" s="6" t="n">
        <f aca="false">M29-(N29+O29)</f>
        <v>5</v>
      </c>
      <c r="Q29" s="51" t="n">
        <v>0</v>
      </c>
      <c r="R29" s="51" t="n">
        <v>0</v>
      </c>
      <c r="S29" s="51" t="n">
        <f aca="false">SUM(P29:R29)</f>
        <v>5</v>
      </c>
      <c r="T29" s="52"/>
      <c r="U29" s="51" t="n">
        <v>0</v>
      </c>
      <c r="V29" s="51" t="n">
        <v>81</v>
      </c>
      <c r="W29" s="6" t="n">
        <f aca="false">N29+O29+S29+U29+V29</f>
        <v>86</v>
      </c>
      <c r="X29" s="51" t="n">
        <f aca="false">IF(L29&lt;0,L29*-1,0)</f>
        <v>39.4991177211999</v>
      </c>
      <c r="Y29" s="51" t="n">
        <f aca="false">W29+X29</f>
        <v>125.4991177212</v>
      </c>
      <c r="Z29" s="56" t="n">
        <v>0</v>
      </c>
      <c r="AA29" s="82" t="n">
        <v>36</v>
      </c>
      <c r="AB29" s="57" t="n">
        <v>22</v>
      </c>
      <c r="AC29" s="58" t="n">
        <f aca="false">AC28+1</f>
        <v>20</v>
      </c>
    </row>
    <row r="30" customFormat="false" ht="11.1" hidden="false" customHeight="true" outlineLevel="0" collapsed="false">
      <c r="A30" s="58" t="n">
        <f aca="false">A29+1</f>
        <v>21</v>
      </c>
      <c r="B30" s="73" t="n">
        <v>6909.71</v>
      </c>
      <c r="C30" s="52" t="n">
        <v>320832</v>
      </c>
      <c r="D30" s="57" t="n">
        <f aca="false">C30-C29</f>
        <v>80</v>
      </c>
      <c r="E30" s="52" t="n">
        <f aca="false">C30-152000</f>
        <v>168832</v>
      </c>
      <c r="F30" s="51" t="n">
        <f aca="false">D30/$D$2</f>
        <v>40.3327451474666</v>
      </c>
      <c r="G30" s="51" t="n">
        <v>65</v>
      </c>
      <c r="H30" s="53" t="n">
        <v>0</v>
      </c>
      <c r="I30" s="51" t="n">
        <f aca="false">G30+H30</f>
        <v>65</v>
      </c>
      <c r="J30" s="81" t="n">
        <f aca="false">IF(L30&gt;0,L30,0)</f>
        <v>61.3327451474666</v>
      </c>
      <c r="K30" s="51" t="n">
        <f aca="false">I30+J30</f>
        <v>126.332745147467</v>
      </c>
      <c r="L30" s="51" t="n">
        <f aca="false">F30-(I30-W30)</f>
        <v>61.3327451474666</v>
      </c>
      <c r="M30" s="51" t="n">
        <v>5</v>
      </c>
      <c r="N30" s="51" t="n">
        <v>0</v>
      </c>
      <c r="O30" s="51" t="n">
        <v>0</v>
      </c>
      <c r="P30" s="6" t="n">
        <f aca="false">M30-(N30+O30)</f>
        <v>5</v>
      </c>
      <c r="Q30" s="51" t="n">
        <v>0</v>
      </c>
      <c r="R30" s="51" t="n">
        <v>0</v>
      </c>
      <c r="S30" s="51" t="n">
        <f aca="false">SUM(P30:R30)</f>
        <v>5</v>
      </c>
      <c r="T30" s="52"/>
      <c r="U30" s="51" t="n">
        <v>0</v>
      </c>
      <c r="V30" s="51" t="n">
        <v>81</v>
      </c>
      <c r="W30" s="6" t="n">
        <f aca="false">N30+O30+S30+U30+V30</f>
        <v>86</v>
      </c>
      <c r="X30" s="51" t="n">
        <f aca="false">IF(L30&lt;0,L30*-1,0)</f>
        <v>0</v>
      </c>
      <c r="Y30" s="51" t="n">
        <f aca="false">W30+X30</f>
        <v>86</v>
      </c>
      <c r="Z30" s="56" t="n">
        <v>0.26</v>
      </c>
      <c r="AA30" s="57" t="n">
        <v>37</v>
      </c>
      <c r="AB30" s="57" t="n">
        <v>17</v>
      </c>
      <c r="AC30" s="58" t="n">
        <f aca="false">AC29+1</f>
        <v>21</v>
      </c>
    </row>
    <row r="31" customFormat="false" ht="11.1" hidden="false" customHeight="true" outlineLevel="0" collapsed="false">
      <c r="A31" s="58" t="n">
        <f aca="false">A30+1</f>
        <v>22</v>
      </c>
      <c r="B31" s="73" t="n">
        <v>6909.71</v>
      </c>
      <c r="C31" s="52" t="n">
        <v>320832</v>
      </c>
      <c r="D31" s="57" t="n">
        <f aca="false">C31-C30</f>
        <v>0</v>
      </c>
      <c r="E31" s="52" t="n">
        <f aca="false">C31-152000</f>
        <v>168832</v>
      </c>
      <c r="F31" s="51" t="n">
        <f aca="false">D31/$D$2</f>
        <v>0</v>
      </c>
      <c r="G31" s="51" t="n">
        <v>65</v>
      </c>
      <c r="H31" s="53" t="n">
        <v>0</v>
      </c>
      <c r="I31" s="51" t="n">
        <f aca="false">G31+H31</f>
        <v>65</v>
      </c>
      <c r="J31" s="81" t="n">
        <f aca="false">IF(L31&gt;0,L31,0)</f>
        <v>21</v>
      </c>
      <c r="K31" s="51" t="n">
        <f aca="false">I31+J31</f>
        <v>86</v>
      </c>
      <c r="L31" s="51" t="n">
        <f aca="false">F31-(I31-W31)</f>
        <v>21</v>
      </c>
      <c r="M31" s="51" t="n">
        <v>5</v>
      </c>
      <c r="N31" s="51" t="n">
        <v>0</v>
      </c>
      <c r="O31" s="51" t="n">
        <v>0</v>
      </c>
      <c r="P31" s="6" t="n">
        <f aca="false">M31-(N31+O31)</f>
        <v>5</v>
      </c>
      <c r="Q31" s="51" t="n">
        <v>0</v>
      </c>
      <c r="R31" s="51" t="n">
        <v>0</v>
      </c>
      <c r="S31" s="51" t="n">
        <f aca="false">SUM(P31:R31)</f>
        <v>5</v>
      </c>
      <c r="T31" s="52"/>
      <c r="U31" s="51" t="n">
        <v>0</v>
      </c>
      <c r="V31" s="51" t="n">
        <v>81</v>
      </c>
      <c r="W31" s="6" t="n">
        <f aca="false">N31+O31+S31+U31+V31</f>
        <v>86</v>
      </c>
      <c r="X31" s="51" t="n">
        <f aca="false">IF(L31&lt;0,L31*-1,0)</f>
        <v>0</v>
      </c>
      <c r="Y31" s="51" t="n">
        <f aca="false">W31+X31</f>
        <v>86</v>
      </c>
      <c r="Z31" s="56" t="n">
        <v>0.61</v>
      </c>
      <c r="AA31" s="57" t="n">
        <v>36</v>
      </c>
      <c r="AB31" s="57" t="n">
        <v>1</v>
      </c>
      <c r="AC31" s="58" t="n">
        <f aca="false">AC30+1</f>
        <v>22</v>
      </c>
    </row>
    <row r="32" customFormat="false" ht="11.1" hidden="false" customHeight="true" outlineLevel="0" collapsed="false">
      <c r="A32" s="58" t="n">
        <f aca="false">A31+1</f>
        <v>23</v>
      </c>
      <c r="B32" s="73" t="n">
        <v>6909.71</v>
      </c>
      <c r="C32" s="52" t="n">
        <v>320832</v>
      </c>
      <c r="D32" s="57" t="n">
        <f aca="false">C32-C31</f>
        <v>0</v>
      </c>
      <c r="E32" s="52" t="n">
        <f aca="false">C32-152000</f>
        <v>168832</v>
      </c>
      <c r="F32" s="51" t="n">
        <f aca="false">D32/$D$2</f>
        <v>0</v>
      </c>
      <c r="G32" s="51" t="n">
        <v>65</v>
      </c>
      <c r="H32" s="53" t="n">
        <v>0</v>
      </c>
      <c r="I32" s="51" t="n">
        <f aca="false">G32+H32</f>
        <v>65</v>
      </c>
      <c r="J32" s="81" t="n">
        <f aca="false">IF(L32&gt;0,L32,0)</f>
        <v>21</v>
      </c>
      <c r="K32" s="51" t="n">
        <f aca="false">I32+J32</f>
        <v>86</v>
      </c>
      <c r="L32" s="51" t="n">
        <f aca="false">F32-(I32-W32)</f>
        <v>21</v>
      </c>
      <c r="M32" s="51" t="n">
        <v>5</v>
      </c>
      <c r="N32" s="51" t="n">
        <v>0</v>
      </c>
      <c r="O32" s="51" t="n">
        <v>0</v>
      </c>
      <c r="P32" s="6" t="n">
        <f aca="false">M32-(N32+O32)</f>
        <v>5</v>
      </c>
      <c r="Q32" s="51" t="n">
        <v>0</v>
      </c>
      <c r="R32" s="51" t="n">
        <v>0</v>
      </c>
      <c r="S32" s="51" t="n">
        <f aca="false">SUM(P32:R32)</f>
        <v>5</v>
      </c>
      <c r="T32" s="52"/>
      <c r="U32" s="51" t="n">
        <v>0</v>
      </c>
      <c r="V32" s="51" t="n">
        <v>81</v>
      </c>
      <c r="W32" s="6" t="n">
        <f aca="false">N32+O32+S32+U32+V32</f>
        <v>86</v>
      </c>
      <c r="X32" s="51" t="n">
        <f aca="false">IF(L32&lt;0,L32*-1,0)</f>
        <v>0</v>
      </c>
      <c r="Y32" s="51" t="n">
        <f aca="false">W32+X32</f>
        <v>86</v>
      </c>
      <c r="Z32" s="56" t="n">
        <v>0.15</v>
      </c>
      <c r="AA32" s="57" t="n">
        <v>33</v>
      </c>
      <c r="AB32" s="82" t="n">
        <v>22</v>
      </c>
      <c r="AC32" s="58" t="n">
        <f aca="false">AC31+1</f>
        <v>23</v>
      </c>
    </row>
    <row r="33" customFormat="false" ht="11.1" hidden="false" customHeight="true" outlineLevel="0" collapsed="false">
      <c r="A33" s="58" t="n">
        <f aca="false">A32+1</f>
        <v>24</v>
      </c>
      <c r="B33" s="73" t="n">
        <v>6909.7</v>
      </c>
      <c r="C33" s="52" t="n">
        <v>320792</v>
      </c>
      <c r="D33" s="57" t="n">
        <f aca="false">C33-C32</f>
        <v>-40</v>
      </c>
      <c r="E33" s="52" t="n">
        <f aca="false">C33-152000</f>
        <v>168792</v>
      </c>
      <c r="F33" s="51" t="n">
        <f aca="false">D33/$D$2</f>
        <v>-20.1663725737333</v>
      </c>
      <c r="G33" s="51" t="n">
        <v>65</v>
      </c>
      <c r="H33" s="53" t="n">
        <v>0</v>
      </c>
      <c r="I33" s="51" t="n">
        <f aca="false">G33+H33</f>
        <v>65</v>
      </c>
      <c r="J33" s="81" t="n">
        <f aca="false">IF(L33&gt;0,L33,0)</f>
        <v>0.833627426266702</v>
      </c>
      <c r="K33" s="51" t="n">
        <f aca="false">I33+J33</f>
        <v>65.8336274262667</v>
      </c>
      <c r="L33" s="51" t="n">
        <f aca="false">F33-(I33-W33)</f>
        <v>0.833627426266702</v>
      </c>
      <c r="M33" s="51" t="n">
        <v>5</v>
      </c>
      <c r="N33" s="51" t="n">
        <v>0</v>
      </c>
      <c r="O33" s="51" t="n">
        <v>0</v>
      </c>
      <c r="P33" s="6" t="n">
        <f aca="false">M33-(N33+O33)</f>
        <v>5</v>
      </c>
      <c r="Q33" s="51" t="n">
        <v>0</v>
      </c>
      <c r="R33" s="51" t="n">
        <v>0</v>
      </c>
      <c r="S33" s="51" t="n">
        <f aca="false">SUM(P33:R33)</f>
        <v>5</v>
      </c>
      <c r="T33" s="52"/>
      <c r="U33" s="51" t="n">
        <v>0</v>
      </c>
      <c r="V33" s="51" t="n">
        <v>81</v>
      </c>
      <c r="W33" s="6" t="n">
        <f aca="false">N33+O33+S33+U33+V33</f>
        <v>86</v>
      </c>
      <c r="X33" s="51" t="n">
        <f aca="false">IF(L33&lt;0,L33*-1,0)</f>
        <v>0</v>
      </c>
      <c r="Y33" s="51" t="n">
        <f aca="false">W33+X33</f>
        <v>86</v>
      </c>
      <c r="Z33" s="56" t="n">
        <v>0.54</v>
      </c>
      <c r="AA33" s="57" t="n">
        <v>31</v>
      </c>
      <c r="AB33" s="82" t="n">
        <v>13</v>
      </c>
      <c r="AC33" s="58" t="n">
        <f aca="false">AC32+1</f>
        <v>24</v>
      </c>
    </row>
    <row r="34" customFormat="false" ht="11.1" hidden="false" customHeight="true" outlineLevel="0" collapsed="false">
      <c r="A34" s="58" t="n">
        <f aca="false">A33+1</f>
        <v>25</v>
      </c>
      <c r="B34" s="73" t="n">
        <v>6909.7</v>
      </c>
      <c r="C34" s="52" t="n">
        <v>320792</v>
      </c>
      <c r="D34" s="57" t="n">
        <f aca="false">C34-C33</f>
        <v>0</v>
      </c>
      <c r="E34" s="52" t="n">
        <f aca="false">C34-152000</f>
        <v>168792</v>
      </c>
      <c r="F34" s="51" t="n">
        <f aca="false">D34/$D$2</f>
        <v>0</v>
      </c>
      <c r="G34" s="51" t="n">
        <v>65</v>
      </c>
      <c r="H34" s="53" t="n">
        <v>0</v>
      </c>
      <c r="I34" s="51" t="n">
        <f aca="false">G34+H34</f>
        <v>65</v>
      </c>
      <c r="J34" s="81" t="n">
        <f aca="false">IF(L34&gt;0,L34,0)</f>
        <v>21</v>
      </c>
      <c r="K34" s="51" t="n">
        <f aca="false">I34+J34</f>
        <v>86</v>
      </c>
      <c r="L34" s="51" t="n">
        <f aca="false">F34-(I34-W34)</f>
        <v>21</v>
      </c>
      <c r="M34" s="51" t="n">
        <v>5</v>
      </c>
      <c r="N34" s="51" t="n">
        <v>0</v>
      </c>
      <c r="O34" s="51" t="n">
        <v>0</v>
      </c>
      <c r="P34" s="6" t="n">
        <f aca="false">M34-(N34+O34)</f>
        <v>5</v>
      </c>
      <c r="Q34" s="51" t="n">
        <v>0</v>
      </c>
      <c r="R34" s="51" t="n">
        <v>0</v>
      </c>
      <c r="S34" s="51" t="n">
        <f aca="false">SUM(P34:R34)</f>
        <v>5</v>
      </c>
      <c r="T34" s="52"/>
      <c r="U34" s="51" t="n">
        <v>0</v>
      </c>
      <c r="V34" s="51" t="n">
        <v>81</v>
      </c>
      <c r="W34" s="6" t="n">
        <f aca="false">N34+O34+S34+U34+V34</f>
        <v>86</v>
      </c>
      <c r="X34" s="51" t="n">
        <f aca="false">IF(L34&lt;0,L34*-1,0)</f>
        <v>0</v>
      </c>
      <c r="Y34" s="51" t="n">
        <f aca="false">W34+X34</f>
        <v>86</v>
      </c>
      <c r="Z34" s="56" t="n">
        <v>0</v>
      </c>
      <c r="AA34" s="57" t="n">
        <v>27</v>
      </c>
      <c r="AB34" s="82" t="n">
        <v>15</v>
      </c>
      <c r="AC34" s="58" t="n">
        <f aca="false">AC33+1</f>
        <v>25</v>
      </c>
    </row>
    <row r="35" customFormat="false" ht="11.1" hidden="false" customHeight="true" outlineLevel="0" collapsed="false">
      <c r="A35" s="58" t="n">
        <f aca="false">A34+1</f>
        <v>26</v>
      </c>
      <c r="B35" s="73" t="n">
        <v>6909.69</v>
      </c>
      <c r="C35" s="52" t="n">
        <v>320752</v>
      </c>
      <c r="D35" s="57" t="n">
        <f aca="false">C35-C34</f>
        <v>-40</v>
      </c>
      <c r="E35" s="52" t="n">
        <f aca="false">C35-152000</f>
        <v>168752</v>
      </c>
      <c r="F35" s="51" t="n">
        <f aca="false">D35/$D$2</f>
        <v>-20.1663725737333</v>
      </c>
      <c r="G35" s="51" t="n">
        <v>65</v>
      </c>
      <c r="H35" s="53" t="n">
        <v>0</v>
      </c>
      <c r="I35" s="51" t="n">
        <f aca="false">G35+H35</f>
        <v>65</v>
      </c>
      <c r="J35" s="81" t="n">
        <f aca="false">IF(L35&gt;0,L35,0)</f>
        <v>0.833627426266702</v>
      </c>
      <c r="K35" s="51" t="n">
        <f aca="false">I35+J35</f>
        <v>65.8336274262667</v>
      </c>
      <c r="L35" s="51" t="n">
        <f aca="false">F35-(I35-W35)</f>
        <v>0.833627426266702</v>
      </c>
      <c r="M35" s="51" t="n">
        <v>5</v>
      </c>
      <c r="N35" s="51" t="n">
        <v>0</v>
      </c>
      <c r="O35" s="51" t="n">
        <v>0</v>
      </c>
      <c r="P35" s="6" t="n">
        <f aca="false">M35-(N35+O35)</f>
        <v>5</v>
      </c>
      <c r="Q35" s="51" t="n">
        <v>0</v>
      </c>
      <c r="R35" s="51" t="n">
        <v>0</v>
      </c>
      <c r="S35" s="51" t="n">
        <f aca="false">SUM(P35:R35)</f>
        <v>5</v>
      </c>
      <c r="T35" s="52"/>
      <c r="U35" s="51" t="n">
        <v>0</v>
      </c>
      <c r="V35" s="51" t="n">
        <v>81</v>
      </c>
      <c r="W35" s="6" t="n">
        <f aca="false">N35+O35+S35+U35+V35</f>
        <v>86</v>
      </c>
      <c r="X35" s="51" t="n">
        <f aca="false">IF(L35&lt;0,L35*-1,0)</f>
        <v>0</v>
      </c>
      <c r="Y35" s="51" t="n">
        <f aca="false">W35+X35</f>
        <v>86</v>
      </c>
      <c r="Z35" s="56" t="n">
        <v>0</v>
      </c>
      <c r="AA35" s="57" t="n">
        <v>30</v>
      </c>
      <c r="AB35" s="57" t="n">
        <v>0</v>
      </c>
      <c r="AC35" s="58" t="n">
        <f aca="false">AC34+1</f>
        <v>26</v>
      </c>
    </row>
    <row r="36" customFormat="false" ht="11.1" hidden="false" customHeight="true" outlineLevel="0" collapsed="false">
      <c r="A36" s="58" t="n">
        <f aca="false">A35+1</f>
        <v>27</v>
      </c>
      <c r="B36" s="73" t="n">
        <v>6909.68</v>
      </c>
      <c r="C36" s="52" t="n">
        <v>320712</v>
      </c>
      <c r="D36" s="57" t="n">
        <f aca="false">C36-C35</f>
        <v>-40</v>
      </c>
      <c r="E36" s="52" t="n">
        <f aca="false">C36-152000</f>
        <v>168712</v>
      </c>
      <c r="F36" s="51" t="n">
        <f aca="false">D36/$D$2</f>
        <v>-20.1663725737333</v>
      </c>
      <c r="G36" s="51" t="n">
        <v>65</v>
      </c>
      <c r="H36" s="53" t="n">
        <v>0</v>
      </c>
      <c r="I36" s="51" t="n">
        <f aca="false">G36+H36</f>
        <v>65</v>
      </c>
      <c r="J36" s="81" t="n">
        <f aca="false">IF(L36&gt;0,L36,0)</f>
        <v>0.833627426266702</v>
      </c>
      <c r="K36" s="51" t="n">
        <f aca="false">I36+J36</f>
        <v>65.8336274262667</v>
      </c>
      <c r="L36" s="51" t="n">
        <f aca="false">F36-(I36-W36)</f>
        <v>0.833627426266702</v>
      </c>
      <c r="M36" s="51" t="n">
        <v>5</v>
      </c>
      <c r="N36" s="51" t="n">
        <v>0</v>
      </c>
      <c r="O36" s="51" t="n">
        <v>0</v>
      </c>
      <c r="P36" s="6" t="n">
        <f aca="false">M36-(N36+O36)</f>
        <v>5</v>
      </c>
      <c r="Q36" s="51" t="n">
        <v>0</v>
      </c>
      <c r="R36" s="51" t="n">
        <v>0</v>
      </c>
      <c r="S36" s="51" t="n">
        <f aca="false">SUM(P36:R36)</f>
        <v>5</v>
      </c>
      <c r="T36" s="52"/>
      <c r="U36" s="51" t="n">
        <v>0</v>
      </c>
      <c r="V36" s="51" t="n">
        <v>81</v>
      </c>
      <c r="W36" s="6" t="n">
        <f aca="false">N36+O36+S36+U36+V36</f>
        <v>86</v>
      </c>
      <c r="X36" s="51" t="n">
        <f aca="false">IF(L36&lt;0,L36*-1,0)</f>
        <v>0</v>
      </c>
      <c r="Y36" s="51" t="n">
        <f aca="false">W36+X36</f>
        <v>86</v>
      </c>
      <c r="Z36" s="56" t="n">
        <v>0</v>
      </c>
      <c r="AA36" s="57" t="n">
        <v>20</v>
      </c>
      <c r="AB36" s="57" t="n">
        <v>-7</v>
      </c>
      <c r="AC36" s="58" t="n">
        <f aca="false">AC35+1</f>
        <v>27</v>
      </c>
    </row>
    <row r="37" customFormat="false" ht="11.1" hidden="false" customHeight="true" outlineLevel="0" collapsed="false">
      <c r="A37" s="58" t="n">
        <f aca="false">A36+1</f>
        <v>28</v>
      </c>
      <c r="B37" s="73" t="n">
        <v>6909.68</v>
      </c>
      <c r="C37" s="52" t="n">
        <v>320712</v>
      </c>
      <c r="D37" s="57" t="n">
        <f aca="false">C37-C36</f>
        <v>0</v>
      </c>
      <c r="E37" s="52" t="n">
        <f aca="false">C37-152000</f>
        <v>168712</v>
      </c>
      <c r="F37" s="51" t="n">
        <f aca="false">D37/$D$2</f>
        <v>0</v>
      </c>
      <c r="G37" s="51" t="n">
        <v>65</v>
      </c>
      <c r="H37" s="53" t="n">
        <v>0</v>
      </c>
      <c r="I37" s="51" t="n">
        <f aca="false">G37+H37</f>
        <v>65</v>
      </c>
      <c r="J37" s="81" t="n">
        <f aca="false">IF(L37&gt;0,L37,0)</f>
        <v>21</v>
      </c>
      <c r="K37" s="51" t="n">
        <f aca="false">I37+J37</f>
        <v>86</v>
      </c>
      <c r="L37" s="51" t="n">
        <f aca="false">F37-(I37-W37)</f>
        <v>21</v>
      </c>
      <c r="M37" s="51" t="n">
        <v>5</v>
      </c>
      <c r="N37" s="51" t="n">
        <v>0</v>
      </c>
      <c r="O37" s="51" t="n">
        <v>0</v>
      </c>
      <c r="P37" s="6" t="n">
        <f aca="false">M37-(N37+O37)</f>
        <v>5</v>
      </c>
      <c r="Q37" s="51" t="n">
        <v>0</v>
      </c>
      <c r="R37" s="51" t="n">
        <v>0</v>
      </c>
      <c r="S37" s="51" t="n">
        <f aca="false">SUM(P37:R37)</f>
        <v>5</v>
      </c>
      <c r="T37" s="52"/>
      <c r="U37" s="51" t="n">
        <v>0</v>
      </c>
      <c r="V37" s="51" t="n">
        <v>81</v>
      </c>
      <c r="W37" s="6" t="n">
        <f aca="false">N37+O37+S37+U37+V37</f>
        <v>86</v>
      </c>
      <c r="X37" s="51" t="n">
        <f aca="false">IF(L37&lt;0,L37*-1,0)</f>
        <v>0</v>
      </c>
      <c r="Y37" s="51" t="n">
        <f aca="false">W37+X37</f>
        <v>86</v>
      </c>
      <c r="Z37" s="56" t="n">
        <v>0</v>
      </c>
      <c r="AA37" s="57" t="n">
        <v>25</v>
      </c>
      <c r="AB37" s="57" t="n">
        <v>2</v>
      </c>
      <c r="AC37" s="58" t="n">
        <f aca="false">AC36+1</f>
        <v>28</v>
      </c>
    </row>
    <row r="38" customFormat="false" ht="11.1" hidden="false" customHeight="true" outlineLevel="0" collapsed="false">
      <c r="A38" s="58" t="n">
        <f aca="false">A37+1</f>
        <v>29</v>
      </c>
      <c r="B38" s="73" t="n">
        <v>6909.67</v>
      </c>
      <c r="C38" s="52" t="n">
        <v>320673</v>
      </c>
      <c r="D38" s="57" t="n">
        <f aca="false">C38-C37</f>
        <v>-39</v>
      </c>
      <c r="E38" s="52" t="n">
        <f aca="false">C38-152000</f>
        <v>168673</v>
      </c>
      <c r="F38" s="51" t="n">
        <f aca="false">D38/$D$2</f>
        <v>-19.66221325939</v>
      </c>
      <c r="G38" s="51" t="n">
        <v>65</v>
      </c>
      <c r="H38" s="53" t="n">
        <v>0</v>
      </c>
      <c r="I38" s="51" t="n">
        <f aca="false">G38+H38</f>
        <v>65</v>
      </c>
      <c r="J38" s="81" t="n">
        <f aca="false">IF(L38&gt;0,L38,0)</f>
        <v>1.33778674061003</v>
      </c>
      <c r="K38" s="51" t="n">
        <f aca="false">I38+J38</f>
        <v>66.33778674061</v>
      </c>
      <c r="L38" s="51" t="n">
        <f aca="false">F38-(I38-W38)</f>
        <v>1.33778674061003</v>
      </c>
      <c r="M38" s="51" t="n">
        <v>5</v>
      </c>
      <c r="N38" s="51" t="n">
        <v>0</v>
      </c>
      <c r="O38" s="51" t="n">
        <v>0</v>
      </c>
      <c r="P38" s="6" t="n">
        <f aca="false">M38-(N38+O38)</f>
        <v>5</v>
      </c>
      <c r="Q38" s="51" t="n">
        <v>0</v>
      </c>
      <c r="R38" s="51" t="n">
        <v>0</v>
      </c>
      <c r="S38" s="51" t="n">
        <f aca="false">SUM(P38:R38)</f>
        <v>5</v>
      </c>
      <c r="T38" s="52"/>
      <c r="U38" s="51" t="n">
        <v>0</v>
      </c>
      <c r="V38" s="51" t="n">
        <v>81</v>
      </c>
      <c r="W38" s="6" t="n">
        <f aca="false">N38+O38+S38+U38+V38</f>
        <v>86</v>
      </c>
      <c r="X38" s="51" t="n">
        <f aca="false">IF(L38&lt;0,L38*-1,0)</f>
        <v>0</v>
      </c>
      <c r="Y38" s="51" t="n">
        <f aca="false">W38+X38</f>
        <v>86</v>
      </c>
      <c r="Z38" s="56" t="n">
        <v>0</v>
      </c>
      <c r="AA38" s="82" t="n">
        <v>22</v>
      </c>
      <c r="AB38" s="57" t="n">
        <v>-2</v>
      </c>
      <c r="AC38" s="58" t="n">
        <f aca="false">AC37+1</f>
        <v>29</v>
      </c>
    </row>
    <row r="39" customFormat="false" ht="11.1" hidden="false" customHeight="true" outlineLevel="0" collapsed="false">
      <c r="A39" s="58" t="n">
        <v>30</v>
      </c>
      <c r="B39" s="73" t="n">
        <v>6909.63</v>
      </c>
      <c r="C39" s="52" t="n">
        <v>320513</v>
      </c>
      <c r="D39" s="57" t="n">
        <f aca="false">C39-C38</f>
        <v>-160</v>
      </c>
      <c r="E39" s="52" t="n">
        <f aca="false">C39-152000</f>
        <v>168513</v>
      </c>
      <c r="F39" s="51" t="n">
        <f aca="false">D39/$D$2</f>
        <v>-80.6654902949332</v>
      </c>
      <c r="G39" s="51" t="n">
        <v>65</v>
      </c>
      <c r="H39" s="53" t="n">
        <v>0</v>
      </c>
      <c r="I39" s="51" t="n">
        <f aca="false">G39+H39</f>
        <v>65</v>
      </c>
      <c r="J39" s="81" t="n">
        <f aca="false">IF(L39&gt;0,L39,0)</f>
        <v>0</v>
      </c>
      <c r="K39" s="51" t="n">
        <f aca="false">I39+J39</f>
        <v>65</v>
      </c>
      <c r="L39" s="51" t="n">
        <f aca="false">F39-(I39-W39)</f>
        <v>-59.6654902949332</v>
      </c>
      <c r="M39" s="51" t="n">
        <v>5</v>
      </c>
      <c r="N39" s="51" t="n">
        <v>0</v>
      </c>
      <c r="O39" s="51" t="n">
        <v>0</v>
      </c>
      <c r="P39" s="6" t="n">
        <f aca="false">M39-(N39+O39)</f>
        <v>5</v>
      </c>
      <c r="Q39" s="51" t="n">
        <v>0</v>
      </c>
      <c r="R39" s="51" t="n">
        <v>0</v>
      </c>
      <c r="S39" s="51" t="n">
        <f aca="false">SUM(P39:R39)</f>
        <v>5</v>
      </c>
      <c r="T39" s="52"/>
      <c r="U39" s="51" t="n">
        <v>0</v>
      </c>
      <c r="V39" s="51" t="n">
        <v>81</v>
      </c>
      <c r="W39" s="6" t="n">
        <f aca="false">N39+O39+S39+U39+V39</f>
        <v>86</v>
      </c>
      <c r="X39" s="51" t="n">
        <f aca="false">IF(L39&lt;0,L39*-1,0)</f>
        <v>59.6654902949332</v>
      </c>
      <c r="Y39" s="51" t="n">
        <f aca="false">W39+X39</f>
        <v>145.665490294933</v>
      </c>
      <c r="Z39" s="56" t="n">
        <v>0</v>
      </c>
      <c r="AA39" s="82" t="n">
        <v>26</v>
      </c>
      <c r="AB39" s="57" t="n">
        <v>-3</v>
      </c>
      <c r="AC39" s="58" t="n">
        <v>30</v>
      </c>
    </row>
    <row r="40" customFormat="false" ht="11.1" hidden="false" customHeight="true" outlineLevel="0" collapsed="false">
      <c r="A40" s="58" t="n">
        <v>31</v>
      </c>
      <c r="B40" s="73" t="n">
        <v>6909.6</v>
      </c>
      <c r="C40" s="52" t="n">
        <v>320394</v>
      </c>
      <c r="D40" s="57" t="n">
        <f aca="false">C40-C39</f>
        <v>-119</v>
      </c>
      <c r="E40" s="52" t="n">
        <f aca="false">C40-152000</f>
        <v>168394</v>
      </c>
      <c r="F40" s="51" t="n">
        <f aca="false">D40/$D$2</f>
        <v>-59.9949584068566</v>
      </c>
      <c r="G40" s="51" t="n">
        <v>65</v>
      </c>
      <c r="H40" s="53" t="n">
        <v>0</v>
      </c>
      <c r="I40" s="51" t="n">
        <f aca="false">G40+H40</f>
        <v>65</v>
      </c>
      <c r="J40" s="81" t="n">
        <f aca="false">IF(L40&gt;0,L40,0)</f>
        <v>0</v>
      </c>
      <c r="K40" s="51" t="n">
        <f aca="false">I40+J40</f>
        <v>65</v>
      </c>
      <c r="L40" s="51" t="n">
        <f aca="false">F40-(I40-W40)</f>
        <v>-38.9949584068566</v>
      </c>
      <c r="M40" s="51" t="n">
        <v>5</v>
      </c>
      <c r="N40" s="51" t="n">
        <v>0</v>
      </c>
      <c r="O40" s="51" t="n">
        <v>0</v>
      </c>
      <c r="P40" s="6" t="n">
        <f aca="false">M40-(N40+O40)</f>
        <v>5</v>
      </c>
      <c r="Q40" s="51" t="n">
        <v>0</v>
      </c>
      <c r="R40" s="51" t="n">
        <v>0</v>
      </c>
      <c r="S40" s="51" t="n">
        <f aca="false">SUM(P40:R40)</f>
        <v>5</v>
      </c>
      <c r="T40" s="52"/>
      <c r="U40" s="51" t="n">
        <v>0</v>
      </c>
      <c r="V40" s="51" t="n">
        <v>81</v>
      </c>
      <c r="W40" s="6" t="n">
        <f aca="false">N40+O40+S40+U40+V40</f>
        <v>86</v>
      </c>
      <c r="X40" s="51" t="n">
        <f aca="false">IF(L40&lt;0,L40*-1,0)</f>
        <v>38.9949584068566</v>
      </c>
      <c r="Y40" s="51" t="n">
        <f aca="false">W40+X40</f>
        <v>124.994958406857</v>
      </c>
      <c r="Z40" s="56" t="n">
        <v>0</v>
      </c>
      <c r="AA40" s="82" t="n">
        <v>35</v>
      </c>
      <c r="AB40" s="57" t="n">
        <v>0</v>
      </c>
      <c r="AC40" s="58" t="n">
        <v>31</v>
      </c>
    </row>
    <row r="41" customFormat="false" ht="3" hidden="false" customHeight="true" outlineLevel="0" collapsed="false">
      <c r="A41" s="74"/>
      <c r="B41" s="74"/>
      <c r="C41" s="76"/>
      <c r="D41" s="74"/>
      <c r="E41" s="76"/>
      <c r="F41" s="74"/>
      <c r="G41" s="74"/>
      <c r="H41" s="77"/>
      <c r="I41" s="74"/>
      <c r="J41" s="74"/>
      <c r="K41" s="74"/>
      <c r="L41" s="83"/>
      <c r="M41" s="83"/>
      <c r="N41" s="83"/>
      <c r="O41" s="74"/>
      <c r="P41" s="74"/>
      <c r="Q41" s="74"/>
      <c r="R41" s="74"/>
      <c r="S41" s="74"/>
      <c r="T41" s="76"/>
      <c r="U41" s="74"/>
      <c r="V41" s="83"/>
      <c r="W41" s="74"/>
      <c r="X41" s="74"/>
      <c r="Y41" s="74"/>
      <c r="Z41" s="78"/>
      <c r="AA41" s="79"/>
      <c r="AB41" s="79"/>
      <c r="AC41" s="80"/>
    </row>
    <row r="42" customFormat="false" ht="11.1" hidden="false" customHeight="true" outlineLevel="0" collapsed="false">
      <c r="A42" s="51" t="s">
        <v>44</v>
      </c>
      <c r="B42" s="51"/>
      <c r="C42" s="52"/>
      <c r="D42" s="52"/>
      <c r="E42" s="52"/>
      <c r="F42" s="52" t="n">
        <f aca="false">SUM(F10:F40)</f>
        <v>-662.465339047139</v>
      </c>
      <c r="G42" s="52" t="n">
        <f aca="false">SUM(G10:G40)</f>
        <v>2015</v>
      </c>
      <c r="H42" s="52" t="n">
        <f aca="false">SUM(H10:H40)</f>
        <v>0</v>
      </c>
      <c r="I42" s="52" t="n">
        <f aca="false">SUM(I10:I40)</f>
        <v>2015</v>
      </c>
      <c r="J42" s="52" t="n">
        <f aca="false">SUM(J10:J40)</f>
        <v>337.846987648097</v>
      </c>
      <c r="K42" s="52" t="n">
        <f aca="false">SUM(K10:K40)</f>
        <v>2352.8469876481</v>
      </c>
      <c r="L42" s="52" t="n">
        <f aca="false">SUM(L10:L40)</f>
        <v>-17.4653390471389</v>
      </c>
      <c r="M42" s="52" t="n">
        <f aca="false">SUM(M10:M40)</f>
        <v>155</v>
      </c>
      <c r="N42" s="52" t="n">
        <f aca="false">SUM(N10:N40)</f>
        <v>0</v>
      </c>
      <c r="O42" s="52" t="n">
        <f aca="false">SUM(O10:O40)</f>
        <v>0</v>
      </c>
      <c r="P42" s="52" t="n">
        <f aca="false">SUM(P10:P40)</f>
        <v>155</v>
      </c>
      <c r="Q42" s="52" t="n">
        <f aca="false">SUM(Q10:Q40)</f>
        <v>0</v>
      </c>
      <c r="R42" s="52" t="n">
        <f aca="false">SUM(R10:R40)</f>
        <v>0</v>
      </c>
      <c r="S42" s="52" t="n">
        <f aca="false">SUM(S10:S40)</f>
        <v>155</v>
      </c>
      <c r="T42" s="52"/>
      <c r="U42" s="52" t="n">
        <f aca="false">SUM(U10:U40)</f>
        <v>0</v>
      </c>
      <c r="V42" s="52" t="n">
        <f aca="false">SUM(V10:V40)</f>
        <v>2505</v>
      </c>
      <c r="W42" s="52" t="n">
        <f aca="false">SUM(W10:W40)</f>
        <v>2660</v>
      </c>
      <c r="X42" s="52" t="n">
        <f aca="false">SUM(X10:X40)</f>
        <v>355.312326695236</v>
      </c>
      <c r="Y42" s="52" t="n">
        <f aca="false">SUM(Y10:Y40)</f>
        <v>3015.31232669524</v>
      </c>
      <c r="Z42" s="56" t="n">
        <f aca="false">SUM(Z10:Z40)</f>
        <v>1.76</v>
      </c>
      <c r="AA42" s="57" t="n">
        <f aca="false">AVERAGE(AA10:AA40)</f>
        <v>40.0967741935484</v>
      </c>
      <c r="AB42" s="57" t="n">
        <f aca="false">AVERAGE(AB10:AB40)</f>
        <v>14.741935483871</v>
      </c>
      <c r="AC42" s="58" t="s">
        <v>45</v>
      </c>
    </row>
    <row r="43" customFormat="false" ht="11.1" hidden="false" customHeight="true" outlineLevel="0" collapsed="false">
      <c r="A43" s="51" t="s">
        <v>46</v>
      </c>
      <c r="B43" s="51"/>
      <c r="C43" s="52"/>
      <c r="D43" s="52" t="n">
        <f aca="false">SUM(D10:D40)</f>
        <v>-1314</v>
      </c>
      <c r="E43" s="52"/>
      <c r="F43" s="52" t="n">
        <f aca="false">F42*$D$2</f>
        <v>-1314</v>
      </c>
      <c r="G43" s="52" t="n">
        <f aca="false">G42*$D$2</f>
        <v>3996.7525</v>
      </c>
      <c r="H43" s="52" t="n">
        <f aca="false">H42*$D$2</f>
        <v>0</v>
      </c>
      <c r="I43" s="52" t="n">
        <f aca="false">I42*$D$2</f>
        <v>3996.7525</v>
      </c>
      <c r="J43" s="52" t="n">
        <f aca="false">J42*$D$2</f>
        <v>670.1195</v>
      </c>
      <c r="K43" s="52" t="n">
        <f aca="false">K42*$D$2</f>
        <v>4666.872</v>
      </c>
      <c r="L43" s="52" t="n">
        <f aca="false">L42*$D$2</f>
        <v>-34.6424999999999</v>
      </c>
      <c r="M43" s="52" t="n">
        <f aca="false">M42*$D$2</f>
        <v>307.4425</v>
      </c>
      <c r="N43" s="52" t="n">
        <f aca="false">N42*$D$2</f>
        <v>0</v>
      </c>
      <c r="O43" s="52" t="n">
        <f aca="false">O42*$D$2</f>
        <v>0</v>
      </c>
      <c r="P43" s="52" t="n">
        <f aca="false">P42*$D$2</f>
        <v>307.4425</v>
      </c>
      <c r="Q43" s="52" t="n">
        <f aca="false">Q42*$D$2</f>
        <v>0</v>
      </c>
      <c r="R43" s="52" t="n">
        <f aca="false">R42*$D$2</f>
        <v>0</v>
      </c>
      <c r="S43" s="52" t="n">
        <f aca="false">S42*$D$2</f>
        <v>307.4425</v>
      </c>
      <c r="T43" s="52"/>
      <c r="U43" s="52" t="n">
        <f aca="false">U42*$D$2</f>
        <v>0</v>
      </c>
      <c r="V43" s="52" t="n">
        <f aca="false">V42*$D$2</f>
        <v>4968.6675</v>
      </c>
      <c r="W43" s="52" t="n">
        <f aca="false">W42*$D$2</f>
        <v>5276.11</v>
      </c>
      <c r="X43" s="52" t="n">
        <f aca="false">X42*$D$2</f>
        <v>704.762</v>
      </c>
      <c r="Y43" s="52" t="n">
        <f aca="false">Y42*$D$2</f>
        <v>5980.872</v>
      </c>
      <c r="Z43" s="56"/>
      <c r="AA43" s="57" t="n">
        <f aca="false">MAX(AA10:AA40)</f>
        <v>54</v>
      </c>
      <c r="AB43" s="57" t="n">
        <f aca="false">MAX(AB10:AB40)</f>
        <v>32</v>
      </c>
      <c r="AC43" s="58" t="s">
        <v>47</v>
      </c>
    </row>
    <row r="44" customFormat="false" ht="3" hidden="false" customHeight="true" outlineLevel="0" collapsed="false">
      <c r="A44" s="74"/>
      <c r="B44" s="74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56"/>
      <c r="AA44" s="57"/>
      <c r="AB44" s="57"/>
      <c r="AC44" s="58"/>
    </row>
    <row r="45" customFormat="false" ht="11.1" hidden="false" customHeight="true" outlineLevel="0" collapsed="false">
      <c r="A45" s="51" t="s">
        <v>48</v>
      </c>
      <c r="B45" s="51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6"/>
      <c r="AA45" s="57" t="n">
        <f aca="false">MIN(AA10:AA40)</f>
        <v>20</v>
      </c>
      <c r="AB45" s="57" t="n">
        <f aca="false">MIN(AB10:AB40)</f>
        <v>-7</v>
      </c>
      <c r="AC45" s="58" t="s">
        <v>49</v>
      </c>
    </row>
    <row r="46" customFormat="false" ht="11.1" hidden="false" customHeight="true" outlineLevel="0" collapsed="false">
      <c r="A46" s="51" t="s">
        <v>50</v>
      </c>
      <c r="B46" s="51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6"/>
      <c r="AA46" s="57"/>
      <c r="AB46" s="57"/>
      <c r="AC46" s="58"/>
    </row>
    <row r="47" customFormat="false" ht="3" hidden="false" customHeight="true" outlineLevel="0" collapsed="false">
      <c r="A47" s="74"/>
      <c r="B47" s="74"/>
      <c r="C47" s="76"/>
      <c r="D47" s="76"/>
      <c r="E47" s="76"/>
      <c r="F47" s="76"/>
      <c r="G47" s="76"/>
      <c r="H47" s="79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8"/>
      <c r="AA47" s="57"/>
      <c r="AB47" s="57"/>
      <c r="AC47" s="58"/>
    </row>
    <row r="48" customFormat="false" ht="11.1" hidden="false" customHeight="true" outlineLevel="0" collapsed="false">
      <c r="A48" s="51" t="s">
        <v>51</v>
      </c>
      <c r="B48" s="51"/>
      <c r="C48" s="52"/>
      <c r="D48" s="52"/>
      <c r="E48" s="52"/>
      <c r="F48" s="52" t="n">
        <f aca="false">F8+F42</f>
        <v>-2299.97479203428</v>
      </c>
      <c r="G48" s="52" t="n">
        <f aca="false">G8+G42</f>
        <v>4486.06</v>
      </c>
      <c r="H48" s="57" t="n">
        <f aca="false">H8+H42</f>
        <v>0</v>
      </c>
      <c r="I48" s="52" t="n">
        <f aca="false">I8+I42</f>
        <v>4486.06</v>
      </c>
      <c r="J48" s="52" t="n">
        <f aca="false">J8+J42</f>
        <v>633.072898916058</v>
      </c>
      <c r="K48" s="52" t="n">
        <f aca="false">K8+K42</f>
        <v>5119.13289891606</v>
      </c>
      <c r="L48" s="52" t="n">
        <f aca="false">L8+L42</f>
        <v>-240.374792034283</v>
      </c>
      <c r="M48" s="52" t="n">
        <f aca="false">M8+M42</f>
        <v>1253.77</v>
      </c>
      <c r="N48" s="52" t="n">
        <f aca="false">N8+N42</f>
        <v>0</v>
      </c>
      <c r="O48" s="52" t="n">
        <f aca="false">O8+O42</f>
        <v>0</v>
      </c>
      <c r="P48" s="52" t="n">
        <f aca="false">P8+P42</f>
        <v>1253.77</v>
      </c>
      <c r="Q48" s="52" t="n">
        <f aca="false">Q8+Q42</f>
        <v>0</v>
      </c>
      <c r="R48" s="52" t="n">
        <f aca="false">R8+R42</f>
        <v>410.19</v>
      </c>
      <c r="S48" s="52" t="n">
        <f aca="false">S8+S42</f>
        <v>1663.96</v>
      </c>
      <c r="T48" s="52"/>
      <c r="U48" s="52" t="n">
        <f aca="false">U8+U42</f>
        <v>0</v>
      </c>
      <c r="V48" s="52" t="n">
        <f aca="false">V8+V42</f>
        <v>4881.7</v>
      </c>
      <c r="W48" s="52" t="n">
        <f aca="false">W8+W42</f>
        <v>6545.66</v>
      </c>
      <c r="X48" s="52" t="n">
        <f aca="false">X8+X42</f>
        <v>873.44769095034</v>
      </c>
      <c r="Y48" s="52" t="n">
        <f aca="false">Y8+Y42</f>
        <v>7419.10769095034</v>
      </c>
      <c r="Z48" s="56" t="n">
        <f aca="false">Z8+Z42</f>
        <v>4.04</v>
      </c>
      <c r="AA48" s="57"/>
      <c r="AB48" s="57"/>
      <c r="AC48" s="58"/>
    </row>
    <row r="49" customFormat="false" ht="11.1" hidden="false" customHeight="true" outlineLevel="0" collapsed="false">
      <c r="A49" s="51" t="s">
        <v>52</v>
      </c>
      <c r="B49" s="51"/>
      <c r="C49" s="52"/>
      <c r="D49" s="52" t="n">
        <f aca="false">D8+D43</f>
        <v>-4562</v>
      </c>
      <c r="E49" s="52" t="n">
        <f aca="false">E40</f>
        <v>168394</v>
      </c>
      <c r="F49" s="52" t="n">
        <f aca="false">F48*$D$2</f>
        <v>-4562</v>
      </c>
      <c r="G49" s="52" t="n">
        <f aca="false">G48*$D$2</f>
        <v>8898.10001</v>
      </c>
      <c r="H49" s="57" t="n">
        <f aca="false">H48*$D$2</f>
        <v>0</v>
      </c>
      <c r="I49" s="52" t="n">
        <f aca="false">I48*$D$2</f>
        <v>8898.10001</v>
      </c>
      <c r="J49" s="52" t="n">
        <f aca="false">J48*$D$2</f>
        <v>1255.700095</v>
      </c>
      <c r="K49" s="52" t="n">
        <f aca="false">K48*$D$2</f>
        <v>10153.800105</v>
      </c>
      <c r="L49" s="52" t="n">
        <f aca="false">L48*$D$2</f>
        <v>-476.7834</v>
      </c>
      <c r="M49" s="52" t="n">
        <f aca="false">M48*$D$2</f>
        <v>2486.852795</v>
      </c>
      <c r="N49" s="52" t="n">
        <f aca="false">N48*$D$2</f>
        <v>0</v>
      </c>
      <c r="O49" s="52" t="n">
        <f aca="false">O48*$D$2</f>
        <v>0</v>
      </c>
      <c r="P49" s="52" t="n">
        <f aca="false">P48*$D$2</f>
        <v>2486.852795</v>
      </c>
      <c r="Q49" s="52" t="n">
        <f aca="false">Q48*$D$2</f>
        <v>0</v>
      </c>
      <c r="R49" s="52" t="n">
        <f aca="false">R48*$D$2</f>
        <v>813.611865</v>
      </c>
      <c r="S49" s="52" t="n">
        <f aca="false">S48*$D$2</f>
        <v>3300.46466</v>
      </c>
      <c r="T49" s="52" t="n">
        <f aca="false">T48*$D$2</f>
        <v>0</v>
      </c>
      <c r="U49" s="52" t="n">
        <f aca="false">U48*$D$2</f>
        <v>0</v>
      </c>
      <c r="V49" s="52" t="n">
        <f aca="false">V48*$D$2</f>
        <v>9682.85195</v>
      </c>
      <c r="W49" s="52" t="n">
        <f aca="false">W48*$D$2</f>
        <v>12983.31661</v>
      </c>
      <c r="X49" s="52" t="n">
        <f aca="false">X48*$D$2</f>
        <v>1732.483495</v>
      </c>
      <c r="Y49" s="52" t="n">
        <f aca="false">Y48*$D$2</f>
        <v>14715.800105</v>
      </c>
      <c r="Z49" s="56"/>
      <c r="AA49" s="57"/>
      <c r="AB49" s="57"/>
      <c r="AC49" s="58"/>
    </row>
    <row r="50" customFormat="false" ht="3" hidden="false" customHeight="true" outlineLevel="0" collapsed="false">
      <c r="A50" s="74"/>
      <c r="B50" s="74"/>
      <c r="C50" s="76"/>
      <c r="D50" s="74"/>
      <c r="E50" s="76"/>
      <c r="F50" s="74"/>
      <c r="G50" s="74"/>
      <c r="H50" s="77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6"/>
      <c r="U50" s="74"/>
      <c r="V50" s="74"/>
      <c r="W50" s="74"/>
      <c r="X50" s="74"/>
      <c r="Y50" s="74"/>
      <c r="Z50" s="56"/>
      <c r="AA50" s="57"/>
      <c r="AB50" s="57"/>
      <c r="AC50" s="58"/>
    </row>
    <row r="51" customFormat="false" ht="11.1" hidden="false" customHeight="true" outlineLevel="0" collapsed="false">
      <c r="A51" s="51"/>
      <c r="B51" s="84"/>
      <c r="C51" s="52"/>
      <c r="D51" s="51"/>
      <c r="E51" s="52"/>
      <c r="F51" s="51"/>
      <c r="G51" s="51"/>
      <c r="H51" s="56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2"/>
      <c r="U51" s="51"/>
      <c r="V51" s="51"/>
      <c r="W51" s="51"/>
      <c r="X51" s="51"/>
      <c r="Y51" s="51"/>
      <c r="Z51" s="56"/>
      <c r="AA51" s="57"/>
      <c r="AB51" s="57"/>
      <c r="AC51" s="58"/>
    </row>
    <row r="52" customFormat="false" ht="11.1" hidden="false" customHeight="true" outlineLevel="0" collapsed="false">
      <c r="A52" s="51"/>
      <c r="B52" s="73"/>
      <c r="C52" s="52"/>
      <c r="D52" s="82"/>
      <c r="E52" s="52"/>
      <c r="F52" s="51"/>
      <c r="G52" s="51"/>
      <c r="H52" s="56"/>
      <c r="I52" s="53"/>
      <c r="J52" s="51"/>
      <c r="K52" s="42"/>
      <c r="L52" s="51"/>
      <c r="M52" s="51"/>
      <c r="N52" s="51"/>
      <c r="O52" s="51"/>
      <c r="P52" s="51"/>
      <c r="Q52" s="51"/>
      <c r="R52" s="51"/>
      <c r="S52" s="51"/>
      <c r="T52" s="52"/>
      <c r="U52" s="51"/>
      <c r="V52" s="51"/>
      <c r="W52" s="51"/>
      <c r="X52" s="51"/>
      <c r="Y52" s="51"/>
      <c r="Z52" s="56"/>
      <c r="AA52" s="57"/>
      <c r="AB52" s="57"/>
      <c r="AC52" s="58"/>
    </row>
    <row r="53" customFormat="false" ht="11.1" hidden="false" customHeight="true" outlineLevel="0" collapsed="false">
      <c r="A53" s="82"/>
      <c r="B53" s="82"/>
      <c r="C53" s="52"/>
      <c r="D53" s="52"/>
      <c r="E53" s="52"/>
      <c r="F53" s="82"/>
      <c r="G53" s="82"/>
      <c r="H53" s="56"/>
      <c r="I53" s="82"/>
      <c r="J53" s="82"/>
      <c r="K53" s="82"/>
      <c r="L53" s="82"/>
      <c r="M53" s="81"/>
      <c r="N53" s="81"/>
      <c r="O53" s="81"/>
      <c r="P53" s="81"/>
      <c r="Q53" s="82"/>
      <c r="R53" s="82"/>
      <c r="S53" s="82"/>
      <c r="T53" s="52"/>
      <c r="U53" s="82"/>
      <c r="V53" s="82"/>
      <c r="W53" s="82"/>
      <c r="X53" s="82"/>
      <c r="Y53" s="82"/>
      <c r="Z53" s="56"/>
      <c r="AA53" s="57"/>
      <c r="AB53" s="57"/>
      <c r="AC53" s="58"/>
    </row>
    <row r="54" customFormat="false" ht="11.1" hidden="false" customHeight="true" outlineLevel="0" collapsed="false">
      <c r="A54" s="82"/>
      <c r="B54" s="55"/>
      <c r="C54" s="52"/>
      <c r="D54" s="52"/>
      <c r="E54" s="52"/>
      <c r="F54" s="82"/>
      <c r="G54" s="82"/>
      <c r="H54" s="56"/>
      <c r="I54" s="82"/>
      <c r="J54" s="82"/>
      <c r="K54" s="82"/>
      <c r="L54" s="82"/>
      <c r="M54" s="81"/>
      <c r="N54" s="81"/>
      <c r="O54" s="81"/>
      <c r="P54" s="82"/>
      <c r="Q54" s="82"/>
      <c r="R54" s="82"/>
      <c r="S54" s="52"/>
      <c r="T54" s="82"/>
      <c r="U54" s="82"/>
      <c r="V54" s="52"/>
      <c r="W54" s="82"/>
      <c r="X54" s="82"/>
      <c r="Y54" s="55"/>
      <c r="Z54" s="56"/>
      <c r="AA54" s="57"/>
      <c r="AB54" s="58"/>
    </row>
    <row r="55" customFormat="false" ht="11.1" hidden="false" customHeight="true" outlineLevel="0" collapsed="false">
      <c r="A55" s="82"/>
      <c r="B55" s="82"/>
      <c r="C55" s="52"/>
      <c r="D55" s="82"/>
      <c r="E55" s="52"/>
      <c r="F55" s="82"/>
      <c r="G55" s="85"/>
      <c r="H55" s="56"/>
      <c r="I55" s="82"/>
      <c r="J55" s="82"/>
      <c r="K55" s="82"/>
      <c r="L55" s="82"/>
      <c r="M55" s="81"/>
      <c r="N55" s="81"/>
      <c r="O55" s="81"/>
      <c r="P55" s="82"/>
      <c r="Q55" s="82"/>
      <c r="R55" s="82"/>
      <c r="S55" s="52"/>
      <c r="T55" s="82"/>
      <c r="U55" s="82"/>
      <c r="V55" s="52"/>
      <c r="W55" s="82"/>
      <c r="X55" s="82"/>
      <c r="Y55" s="55"/>
      <c r="Z55" s="56"/>
      <c r="AA55" s="57"/>
      <c r="AB55" s="58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37" activePane="bottomRight" state="frozen"/>
      <selection pane="topLeft" activeCell="A1" activeCellId="0" sqref="A1"/>
      <selection pane="topRight" activeCell="B1" activeCellId="0" sqref="B1"/>
      <selection pane="bottomLeft" activeCell="A37" activeCellId="0" sqref="A37"/>
      <selection pane="bottomRight" activeCell="AB41" activeCellId="0" sqref="AB41"/>
    </sheetView>
  </sheetViews>
  <sheetFormatPr defaultColWidth="9.328125" defaultRowHeight="11.1" zeroHeight="false" outlineLevelRow="0" outlineLevelCol="0"/>
  <cols>
    <col collapsed="false" customWidth="true" hidden="false" outlineLevel="0" max="1" min="1" style="44" width="5.66"/>
    <col collapsed="false" customWidth="true" hidden="false" outlineLevel="0" max="2" min="2" style="44" width="7.82"/>
    <col collapsed="false" customWidth="true" hidden="false" outlineLevel="0" max="3" min="3" style="45" width="7.66"/>
    <col collapsed="false" customWidth="true" hidden="false" outlineLevel="0" max="4" min="4" style="44" width="6.99"/>
    <col collapsed="false" customWidth="true" hidden="false" outlineLevel="0" max="5" min="5" style="45" width="7.66"/>
    <col collapsed="false" customWidth="true" hidden="false" outlineLevel="0" max="6" min="6" style="44" width="7.66"/>
    <col collapsed="false" customWidth="true" hidden="false" outlineLevel="0" max="7" min="7" style="44" width="7.16"/>
    <col collapsed="false" customWidth="true" hidden="false" outlineLevel="0" max="8" min="8" style="46" width="6.66"/>
    <col collapsed="false" customWidth="true" hidden="false" outlineLevel="0" max="9" min="9" style="44" width="7.99"/>
    <col collapsed="false" customWidth="true" hidden="false" outlineLevel="0" max="10" min="10" style="44" width="6.66"/>
    <col collapsed="false" customWidth="true" hidden="false" outlineLevel="0" max="12" min="11" style="44" width="7.16"/>
    <col collapsed="false" customWidth="true" hidden="false" outlineLevel="0" max="13" min="13" style="86" width="6.16"/>
    <col collapsed="false" customWidth="true" hidden="true" outlineLevel="0" max="14" min="14" style="47" width="7.32"/>
    <col collapsed="false" customWidth="true" hidden="true" outlineLevel="0" max="15" min="15" style="47" width="6.49"/>
    <col collapsed="false" customWidth="true" hidden="true" outlineLevel="0" max="16" min="16" style="44" width="7.16"/>
    <col collapsed="false" customWidth="true" hidden="false" outlineLevel="0" max="17" min="17" style="44" width="6.32"/>
    <col collapsed="false" customWidth="true" hidden="false" outlineLevel="0" max="18" min="18" style="44" width="5.82"/>
    <col collapsed="false" customWidth="true" hidden="false" outlineLevel="0" max="19" min="19" style="45" width="6.82"/>
    <col collapsed="false" customWidth="true" hidden="false" outlineLevel="0" max="20" min="20" style="44" width="7.66"/>
    <col collapsed="false" customWidth="true" hidden="false" outlineLevel="0" max="21" min="21" style="44" width="5.99"/>
    <col collapsed="false" customWidth="true" hidden="false" outlineLevel="0" max="22" min="22" style="45" width="6.66"/>
    <col collapsed="false" customWidth="true" hidden="false" outlineLevel="0" max="24" min="23" style="44" width="7.82"/>
    <col collapsed="false" customWidth="true" hidden="false" outlineLevel="0" max="25" min="25" style="48" width="8.16"/>
    <col collapsed="false" customWidth="true" hidden="false" outlineLevel="0" max="26" min="26" style="46" width="4.66"/>
    <col collapsed="false" customWidth="true" hidden="false" outlineLevel="0" max="27" min="27" style="49" width="4.66"/>
    <col collapsed="false" customWidth="true" hidden="false" outlineLevel="0" max="28" min="28" style="50" width="4.66"/>
    <col collapsed="false" customWidth="true" hidden="false" outlineLevel="0" max="29" min="29" style="44" width="5.66"/>
    <col collapsed="false" customWidth="false" hidden="false" outlineLevel="0" max="257" min="30" style="44" width="9.32"/>
  </cols>
  <sheetData>
    <row r="1" customFormat="false" ht="14.1" hidden="false" customHeight="true" outlineLevel="0" collapsed="false">
      <c r="A1" s="51"/>
      <c r="B1" s="51"/>
      <c r="C1" s="52"/>
      <c r="D1" s="51"/>
      <c r="E1" s="52"/>
      <c r="F1" s="51"/>
      <c r="G1" s="51"/>
      <c r="H1" s="56"/>
      <c r="I1" s="51"/>
      <c r="J1" s="51"/>
      <c r="K1" s="54" t="s">
        <v>0</v>
      </c>
      <c r="L1" s="51"/>
      <c r="M1" s="87"/>
      <c r="N1" s="51"/>
      <c r="O1" s="51"/>
      <c r="P1" s="51"/>
      <c r="Q1" s="51"/>
      <c r="R1" s="51"/>
      <c r="S1" s="52"/>
      <c r="T1" s="51"/>
      <c r="U1" s="51"/>
      <c r="V1" s="52"/>
      <c r="W1" s="51"/>
      <c r="X1" s="51"/>
      <c r="Y1" s="55"/>
      <c r="Z1" s="56"/>
      <c r="AA1" s="57"/>
      <c r="AB1" s="58"/>
      <c r="AC1" s="88"/>
      <c r="AD1" s="88"/>
    </row>
    <row r="2" customFormat="false" ht="14.1" hidden="false" customHeight="true" outlineLevel="0" collapsed="false">
      <c r="A2" s="51" t="s">
        <v>1</v>
      </c>
      <c r="B2" s="51"/>
      <c r="C2" s="52"/>
      <c r="D2" s="59" t="n">
        <v>1.9835</v>
      </c>
      <c r="E2" s="52"/>
      <c r="F2" s="51"/>
      <c r="G2" s="51"/>
      <c r="H2" s="56"/>
      <c r="I2" s="51"/>
      <c r="J2" s="51"/>
      <c r="K2" s="60" t="s">
        <v>55</v>
      </c>
      <c r="L2" s="60"/>
      <c r="M2" s="60"/>
      <c r="N2" s="60"/>
      <c r="O2" s="60"/>
      <c r="P2" s="60"/>
      <c r="Q2" s="60"/>
      <c r="R2" s="60"/>
      <c r="S2" s="60"/>
      <c r="T2" s="60"/>
      <c r="U2" s="51"/>
      <c r="V2" s="52"/>
      <c r="W2" s="51"/>
      <c r="X2" s="51"/>
      <c r="Y2" s="55"/>
      <c r="Z2" s="56"/>
      <c r="AA2" s="57"/>
      <c r="AB2" s="58"/>
      <c r="AC2" s="88"/>
      <c r="AD2" s="88"/>
    </row>
    <row r="3" customFormat="false" ht="11.1" hidden="false" customHeight="true" outlineLevel="0" collapsed="false">
      <c r="A3" s="51"/>
      <c r="B3" s="51"/>
      <c r="C3" s="52"/>
      <c r="D3" s="61"/>
      <c r="E3" s="52"/>
      <c r="F3" s="51"/>
      <c r="G3" s="51"/>
      <c r="H3" s="56"/>
      <c r="I3" s="51"/>
      <c r="J3" s="51"/>
      <c r="K3" s="51"/>
      <c r="L3" s="51"/>
      <c r="M3" s="87"/>
      <c r="N3" s="51"/>
      <c r="O3" s="51"/>
      <c r="P3" s="51"/>
      <c r="Q3" s="51"/>
      <c r="R3" s="51"/>
      <c r="S3" s="52"/>
      <c r="T3" s="51"/>
      <c r="U3" s="51"/>
      <c r="V3" s="52"/>
      <c r="W3" s="51"/>
      <c r="X3" s="51"/>
      <c r="Y3" s="55"/>
      <c r="Z3" s="56"/>
      <c r="AA3" s="57"/>
      <c r="AB3" s="58"/>
      <c r="AC3" s="88"/>
      <c r="AD3" s="88"/>
    </row>
    <row r="4" customFormat="false" ht="11.1" hidden="false" customHeight="true" outlineLevel="0" collapsed="false">
      <c r="A4" s="62" t="s">
        <v>3</v>
      </c>
      <c r="B4" s="62" t="s">
        <v>4</v>
      </c>
      <c r="C4" s="63" t="s">
        <v>4</v>
      </c>
      <c r="D4" s="62" t="s">
        <v>5</v>
      </c>
      <c r="E4" s="63" t="s">
        <v>6</v>
      </c>
      <c r="F4" s="62" t="s">
        <v>7</v>
      </c>
      <c r="G4" s="62" t="s">
        <v>8</v>
      </c>
      <c r="H4" s="65" t="s">
        <v>9</v>
      </c>
      <c r="I4" s="62" t="s">
        <v>10</v>
      </c>
      <c r="J4" s="62" t="s">
        <v>11</v>
      </c>
      <c r="K4" s="62" t="s">
        <v>12</v>
      </c>
      <c r="L4" s="62" t="s">
        <v>11</v>
      </c>
      <c r="M4" s="89" t="s">
        <v>13</v>
      </c>
      <c r="N4" s="89"/>
      <c r="O4" s="89"/>
      <c r="P4" s="89"/>
      <c r="Q4" s="62" t="s">
        <v>14</v>
      </c>
      <c r="R4" s="62" t="s">
        <v>15</v>
      </c>
      <c r="S4" s="62" t="s">
        <v>12</v>
      </c>
      <c r="T4" s="63" t="s">
        <v>16</v>
      </c>
      <c r="U4" s="62" t="s">
        <v>17</v>
      </c>
      <c r="V4" s="62" t="s">
        <v>18</v>
      </c>
      <c r="W4" s="62" t="s">
        <v>10</v>
      </c>
      <c r="X4" s="62" t="s">
        <v>11</v>
      </c>
      <c r="Y4" s="62" t="s">
        <v>12</v>
      </c>
      <c r="Z4" s="65" t="s">
        <v>19</v>
      </c>
      <c r="AA4" s="66" t="s">
        <v>20</v>
      </c>
      <c r="AB4" s="66" t="s">
        <v>21</v>
      </c>
      <c r="AC4" s="66" t="s">
        <v>3</v>
      </c>
      <c r="AD4" s="88"/>
      <c r="AE4" s="88"/>
    </row>
    <row r="5" customFormat="false" ht="11.1" hidden="false" customHeight="true" outlineLevel="0" collapsed="false">
      <c r="A5" s="67" t="s">
        <v>56</v>
      </c>
      <c r="B5" s="62" t="s">
        <v>23</v>
      </c>
      <c r="C5" s="63" t="s">
        <v>5</v>
      </c>
      <c r="D5" s="62" t="s">
        <v>24</v>
      </c>
      <c r="E5" s="63" t="s">
        <v>25</v>
      </c>
      <c r="F5" s="62" t="s">
        <v>26</v>
      </c>
      <c r="G5" s="62" t="s">
        <v>27</v>
      </c>
      <c r="H5" s="65" t="s">
        <v>28</v>
      </c>
      <c r="I5" s="62" t="s">
        <v>29</v>
      </c>
      <c r="J5" s="62" t="s">
        <v>29</v>
      </c>
      <c r="K5" s="62" t="s">
        <v>29</v>
      </c>
      <c r="L5" s="62" t="s">
        <v>30</v>
      </c>
      <c r="M5" s="89" t="s">
        <v>31</v>
      </c>
      <c r="N5" s="62" t="s">
        <v>32</v>
      </c>
      <c r="O5" s="62" t="s">
        <v>33</v>
      </c>
      <c r="P5" s="62" t="s">
        <v>34</v>
      </c>
      <c r="Q5" s="62" t="s">
        <v>35</v>
      </c>
      <c r="R5" s="62" t="s">
        <v>36</v>
      </c>
      <c r="S5" s="62" t="s">
        <v>16</v>
      </c>
      <c r="T5" s="63" t="s">
        <v>37</v>
      </c>
      <c r="U5" s="62" t="s">
        <v>38</v>
      </c>
      <c r="V5" s="62" t="s">
        <v>39</v>
      </c>
      <c r="W5" s="62" t="s">
        <v>40</v>
      </c>
      <c r="X5" s="62" t="s">
        <v>40</v>
      </c>
      <c r="Y5" s="62" t="s">
        <v>40</v>
      </c>
      <c r="Z5" s="68"/>
      <c r="AA5" s="66" t="s">
        <v>41</v>
      </c>
      <c r="AB5" s="66" t="s">
        <v>41</v>
      </c>
      <c r="AC5" s="69" t="s">
        <v>56</v>
      </c>
      <c r="AD5" s="88"/>
      <c r="AE5" s="88"/>
    </row>
    <row r="6" customFormat="false" ht="11.1" hidden="false" customHeight="true" outlineLevel="0" collapsed="false">
      <c r="A6" s="70"/>
      <c r="B6" s="70"/>
      <c r="C6" s="71"/>
      <c r="D6" s="70"/>
      <c r="E6" s="71"/>
      <c r="F6" s="70"/>
      <c r="G6" s="70"/>
      <c r="H6" s="90"/>
      <c r="I6" s="70"/>
      <c r="J6" s="70"/>
      <c r="K6" s="70"/>
      <c r="L6" s="70"/>
      <c r="M6" s="91"/>
      <c r="N6" s="70"/>
      <c r="O6" s="70"/>
      <c r="P6" s="70"/>
      <c r="Q6" s="70"/>
      <c r="R6" s="70"/>
      <c r="S6" s="70"/>
      <c r="T6" s="71"/>
      <c r="U6" s="70"/>
      <c r="V6" s="70"/>
      <c r="W6" s="70"/>
      <c r="X6" s="70"/>
      <c r="Y6" s="70"/>
      <c r="Z6" s="56"/>
      <c r="AA6" s="58"/>
      <c r="AB6" s="58"/>
      <c r="AC6" s="58"/>
      <c r="AD6" s="92"/>
      <c r="AE6" s="92"/>
      <c r="AF6" s="93"/>
    </row>
    <row r="7" customFormat="false" ht="11.1" hidden="false" customHeight="true" outlineLevel="0" collapsed="false">
      <c r="A7" s="51" t="s">
        <v>42</v>
      </c>
      <c r="B7" s="51"/>
      <c r="C7" s="52"/>
      <c r="D7" s="52"/>
      <c r="E7" s="52"/>
      <c r="F7" s="52"/>
      <c r="G7" s="52"/>
      <c r="H7" s="56"/>
      <c r="I7" s="52"/>
      <c r="J7" s="52"/>
      <c r="K7" s="52"/>
      <c r="L7" s="52"/>
      <c r="M7" s="87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6"/>
      <c r="AA7" s="57"/>
      <c r="AB7" s="57"/>
      <c r="AC7" s="58"/>
      <c r="AD7" s="92"/>
      <c r="AE7" s="93"/>
      <c r="AF7" s="93"/>
    </row>
    <row r="8" s="45" customFormat="true" ht="11.1" hidden="false" customHeight="true" outlineLevel="0" collapsed="false">
      <c r="A8" s="52" t="s">
        <v>43</v>
      </c>
      <c r="B8" s="73" t="n">
        <f aca="false">DEC!B40</f>
        <v>6909.6</v>
      </c>
      <c r="C8" s="52" t="n">
        <f aca="false">DEC!C40</f>
        <v>320394</v>
      </c>
      <c r="D8" s="52" t="n">
        <f aca="false">DEC!$D$49</f>
        <v>-4562</v>
      </c>
      <c r="E8" s="52" t="n">
        <f aca="false">DEC!$E$40</f>
        <v>168394</v>
      </c>
      <c r="F8" s="52" t="n">
        <f aca="false">DEC!F48</f>
        <v>-2299.97479203428</v>
      </c>
      <c r="G8" s="52" t="n">
        <f aca="false">DEC!G48</f>
        <v>4486.06</v>
      </c>
      <c r="H8" s="56" t="n">
        <f aca="false">DEC!H48</f>
        <v>0</v>
      </c>
      <c r="I8" s="52" t="n">
        <f aca="false">DEC!I48</f>
        <v>4486.06</v>
      </c>
      <c r="J8" s="52" t="n">
        <f aca="false">DEC!J48</f>
        <v>633.072898916058</v>
      </c>
      <c r="K8" s="52" t="n">
        <f aca="false">DEC!K48</f>
        <v>5119.13289891606</v>
      </c>
      <c r="L8" s="52" t="n">
        <f aca="false">DEC!L48</f>
        <v>-240.374792034283</v>
      </c>
      <c r="M8" s="87" t="n">
        <f aca="false">DEC!M48</f>
        <v>1253.77</v>
      </c>
      <c r="N8" s="52" t="n">
        <f aca="false">DEC!N48</f>
        <v>0</v>
      </c>
      <c r="O8" s="52" t="n">
        <f aca="false">DEC!O48</f>
        <v>0</v>
      </c>
      <c r="P8" s="52" t="n">
        <f aca="false">DEC!P48</f>
        <v>1253.77</v>
      </c>
      <c r="Q8" s="52" t="n">
        <f aca="false">DEC!Q48</f>
        <v>0</v>
      </c>
      <c r="R8" s="52" t="n">
        <f aca="false">DEC!R48</f>
        <v>410.19</v>
      </c>
      <c r="S8" s="52" t="n">
        <f aca="false">DEC!S48</f>
        <v>1663.96</v>
      </c>
      <c r="T8" s="52" t="n">
        <f aca="false">DEC!T48</f>
        <v>0</v>
      </c>
      <c r="U8" s="52" t="n">
        <f aca="false">DEC!U48</f>
        <v>0</v>
      </c>
      <c r="V8" s="52" t="n">
        <f aca="false">DEC!V48</f>
        <v>4881.7</v>
      </c>
      <c r="W8" s="52" t="n">
        <f aca="false">DEC!W48</f>
        <v>6545.66</v>
      </c>
      <c r="X8" s="52" t="n">
        <f aca="false">DEC!X48</f>
        <v>873.44769095034</v>
      </c>
      <c r="Y8" s="52" t="n">
        <f aca="false">DEC!Y48</f>
        <v>7419.10769095034</v>
      </c>
      <c r="Z8" s="56" t="n">
        <f aca="false">DEC!Z48</f>
        <v>4.04</v>
      </c>
      <c r="AA8" s="57"/>
      <c r="AB8" s="57"/>
      <c r="AC8" s="58"/>
      <c r="AD8" s="94"/>
      <c r="AE8" s="92"/>
      <c r="AF8" s="94"/>
    </row>
    <row r="9" customFormat="false" ht="3" hidden="false" customHeight="true" outlineLevel="0" collapsed="false">
      <c r="A9" s="74"/>
      <c r="B9" s="75"/>
      <c r="C9" s="76"/>
      <c r="D9" s="74"/>
      <c r="E9" s="76"/>
      <c r="F9" s="74"/>
      <c r="G9" s="74"/>
      <c r="H9" s="78"/>
      <c r="I9" s="74"/>
      <c r="J9" s="74"/>
      <c r="K9" s="74"/>
      <c r="L9" s="74"/>
      <c r="M9" s="95"/>
      <c r="N9" s="74"/>
      <c r="O9" s="74"/>
      <c r="P9" s="74"/>
      <c r="Q9" s="74"/>
      <c r="R9" s="74"/>
      <c r="S9" s="74"/>
      <c r="T9" s="76"/>
      <c r="U9" s="74"/>
      <c r="V9" s="74"/>
      <c r="W9" s="74"/>
      <c r="X9" s="74"/>
      <c r="Y9" s="74"/>
      <c r="Z9" s="78"/>
      <c r="AA9" s="79"/>
      <c r="AB9" s="79"/>
      <c r="AC9" s="80"/>
      <c r="AD9" s="92"/>
      <c r="AE9" s="92"/>
      <c r="AF9" s="93"/>
    </row>
    <row r="10" customFormat="false" ht="11.1" hidden="false" customHeight="true" outlineLevel="0" collapsed="false">
      <c r="A10" s="58" t="n">
        <v>1</v>
      </c>
      <c r="B10" s="73" t="n">
        <v>6909.57</v>
      </c>
      <c r="C10" s="52" t="n">
        <v>320275</v>
      </c>
      <c r="D10" s="57" t="n">
        <f aca="false">C10-C8</f>
        <v>-119</v>
      </c>
      <c r="E10" s="52" t="n">
        <f aca="false">C10-152000</f>
        <v>168275</v>
      </c>
      <c r="F10" s="51" t="n">
        <f aca="false">D10/$D$2</f>
        <v>-59.9949584068566</v>
      </c>
      <c r="G10" s="51" t="n">
        <v>70</v>
      </c>
      <c r="H10" s="56" t="n">
        <v>0</v>
      </c>
      <c r="I10" s="51" t="n">
        <f aca="false">G10+H10</f>
        <v>70</v>
      </c>
      <c r="J10" s="81" t="n">
        <f aca="false">IF(L10&gt;0,L10,0)</f>
        <v>0</v>
      </c>
      <c r="K10" s="51" t="n">
        <f aca="false">I10+J10</f>
        <v>70</v>
      </c>
      <c r="L10" s="51" t="n">
        <f aca="false">F10-(I10-W10)</f>
        <v>-44.9949584068566</v>
      </c>
      <c r="M10" s="87" t="n">
        <v>5</v>
      </c>
      <c r="N10" s="51" t="n">
        <v>0</v>
      </c>
      <c r="O10" s="51" t="n">
        <v>0</v>
      </c>
      <c r="P10" s="6" t="n">
        <f aca="false">M10-(N10+O10)</f>
        <v>5</v>
      </c>
      <c r="Q10" s="51" t="n">
        <v>0</v>
      </c>
      <c r="R10" s="51" t="n">
        <v>0</v>
      </c>
      <c r="S10" s="51" t="n">
        <f aca="false">SUM(P10:R10)</f>
        <v>5</v>
      </c>
      <c r="T10" s="52"/>
      <c r="U10" s="51" t="n">
        <v>0</v>
      </c>
      <c r="V10" s="51" t="n">
        <v>80</v>
      </c>
      <c r="W10" s="6" t="n">
        <f aca="false">N10+O10+S10+U10+V10</f>
        <v>85</v>
      </c>
      <c r="X10" s="51" t="n">
        <f aca="false">IF(L10&lt;0,L10*-1,0)</f>
        <v>44.9949584068566</v>
      </c>
      <c r="Y10" s="51" t="n">
        <f aca="false">W10+X10</f>
        <v>129.994958406857</v>
      </c>
      <c r="Z10" s="56" t="n">
        <v>0</v>
      </c>
      <c r="AA10" s="57" t="n">
        <v>39</v>
      </c>
      <c r="AB10" s="57" t="n">
        <v>9</v>
      </c>
      <c r="AC10" s="58" t="n">
        <v>1</v>
      </c>
      <c r="AD10" s="93"/>
      <c r="AE10" s="94"/>
      <c r="AF10" s="93"/>
    </row>
    <row r="11" customFormat="false" ht="11.1" hidden="false" customHeight="true" outlineLevel="0" collapsed="false">
      <c r="A11" s="58" t="n">
        <f aca="false">A10+1</f>
        <v>2</v>
      </c>
      <c r="B11" s="73" t="n">
        <v>6909.55</v>
      </c>
      <c r="C11" s="52" t="n">
        <v>320195</v>
      </c>
      <c r="D11" s="57" t="n">
        <f aca="false">C11-C10</f>
        <v>-80</v>
      </c>
      <c r="E11" s="52" t="n">
        <f aca="false">C11-152000</f>
        <v>168195</v>
      </c>
      <c r="F11" s="51" t="n">
        <f aca="false">D11/$D$2</f>
        <v>-40.3327451474666</v>
      </c>
      <c r="G11" s="51" t="n">
        <v>70</v>
      </c>
      <c r="H11" s="56" t="n">
        <v>0</v>
      </c>
      <c r="I11" s="51" t="n">
        <f aca="false">G11+H11</f>
        <v>70</v>
      </c>
      <c r="J11" s="81" t="n">
        <f aca="false">IF(L11&gt;0,L11,0)</f>
        <v>0</v>
      </c>
      <c r="K11" s="51" t="n">
        <f aca="false">I11+J11</f>
        <v>70</v>
      </c>
      <c r="L11" s="51" t="n">
        <f aca="false">F11-(I11-W11)</f>
        <v>-25.3327451474666</v>
      </c>
      <c r="M11" s="87" t="n">
        <v>5</v>
      </c>
      <c r="N11" s="51" t="n">
        <v>0</v>
      </c>
      <c r="O11" s="51" t="n">
        <v>0</v>
      </c>
      <c r="P11" s="6" t="n">
        <f aca="false">M11-(N11+O11)</f>
        <v>5</v>
      </c>
      <c r="Q11" s="51" t="n">
        <v>0</v>
      </c>
      <c r="R11" s="51" t="n">
        <v>0</v>
      </c>
      <c r="S11" s="51" t="n">
        <f aca="false">SUM(P11:R11)</f>
        <v>5</v>
      </c>
      <c r="T11" s="52"/>
      <c r="U11" s="51" t="n">
        <v>0</v>
      </c>
      <c r="V11" s="51" t="n">
        <v>80</v>
      </c>
      <c r="W11" s="6" t="n">
        <f aca="false">N11+O11+S11+U11+V11</f>
        <v>85</v>
      </c>
      <c r="X11" s="51" t="n">
        <f aca="false">IF(L11&lt;0,L11*-1,0)</f>
        <v>25.3327451474666</v>
      </c>
      <c r="Y11" s="51" t="n">
        <f aca="false">W11+X11</f>
        <v>110.332745147467</v>
      </c>
      <c r="Z11" s="56" t="n">
        <v>0</v>
      </c>
      <c r="AA11" s="57" t="n">
        <v>40</v>
      </c>
      <c r="AB11" s="57" t="n">
        <v>12</v>
      </c>
      <c r="AC11" s="58" t="n">
        <f aca="false">AC10+1</f>
        <v>2</v>
      </c>
      <c r="AD11" s="93"/>
      <c r="AE11" s="94"/>
      <c r="AF11" s="93"/>
    </row>
    <row r="12" customFormat="false" ht="11.1" hidden="false" customHeight="true" outlineLevel="0" collapsed="false">
      <c r="A12" s="58" t="n">
        <f aca="false">A11+1</f>
        <v>3</v>
      </c>
      <c r="B12" s="73" t="n">
        <v>6909.54</v>
      </c>
      <c r="C12" s="52" t="n">
        <v>320155</v>
      </c>
      <c r="D12" s="57" t="n">
        <f aca="false">C12-C11</f>
        <v>-40</v>
      </c>
      <c r="E12" s="52" t="n">
        <f aca="false">C12-152000</f>
        <v>168155</v>
      </c>
      <c r="F12" s="51" t="n">
        <f aca="false">D12/$D$2</f>
        <v>-20.1663725737333</v>
      </c>
      <c r="G12" s="51" t="n">
        <v>70</v>
      </c>
      <c r="H12" s="56" t="n">
        <v>0</v>
      </c>
      <c r="I12" s="51" t="n">
        <f aca="false">G12+H12</f>
        <v>70</v>
      </c>
      <c r="J12" s="81" t="n">
        <f aca="false">IF(L12&gt;0,L12,0)</f>
        <v>0</v>
      </c>
      <c r="K12" s="51" t="n">
        <f aca="false">I12+J12</f>
        <v>70</v>
      </c>
      <c r="L12" s="51" t="n">
        <f aca="false">F12-(I12-W12)</f>
        <v>-5.1663725737333</v>
      </c>
      <c r="M12" s="87" t="n">
        <v>5</v>
      </c>
      <c r="N12" s="51" t="n">
        <v>0</v>
      </c>
      <c r="O12" s="51" t="n">
        <v>0</v>
      </c>
      <c r="P12" s="6" t="n">
        <f aca="false">M12-(N12+O12)</f>
        <v>5</v>
      </c>
      <c r="Q12" s="51" t="n">
        <v>0</v>
      </c>
      <c r="R12" s="51" t="n">
        <v>0</v>
      </c>
      <c r="S12" s="51" t="n">
        <f aca="false">SUM(P12:R12)</f>
        <v>5</v>
      </c>
      <c r="T12" s="52"/>
      <c r="U12" s="51" t="n">
        <v>0</v>
      </c>
      <c r="V12" s="51" t="n">
        <v>80</v>
      </c>
      <c r="W12" s="6" t="n">
        <f aca="false">N12+O12+S12+U12+V12</f>
        <v>85</v>
      </c>
      <c r="X12" s="51" t="n">
        <f aca="false">IF(L12&lt;0,L12*-1,0)</f>
        <v>5.1663725737333</v>
      </c>
      <c r="Y12" s="51" t="n">
        <f aca="false">W12+X12</f>
        <v>90.1663725737333</v>
      </c>
      <c r="Z12" s="56" t="n">
        <v>0</v>
      </c>
      <c r="AA12" s="57" t="n">
        <v>43</v>
      </c>
      <c r="AB12" s="57" t="n">
        <v>15</v>
      </c>
      <c r="AC12" s="58" t="n">
        <f aca="false">AC11+1</f>
        <v>3</v>
      </c>
      <c r="AD12" s="93"/>
      <c r="AE12" s="94"/>
      <c r="AF12" s="93"/>
    </row>
    <row r="13" customFormat="false" ht="11.1" hidden="false" customHeight="true" outlineLevel="0" collapsed="false">
      <c r="A13" s="58" t="n">
        <f aca="false">A12+1</f>
        <v>4</v>
      </c>
      <c r="B13" s="73" t="n">
        <v>6909.54</v>
      </c>
      <c r="C13" s="52" t="n">
        <v>320155</v>
      </c>
      <c r="D13" s="57" t="n">
        <f aca="false">C13-C12</f>
        <v>0</v>
      </c>
      <c r="E13" s="52" t="n">
        <f aca="false">C13-152000</f>
        <v>168155</v>
      </c>
      <c r="F13" s="51" t="n">
        <f aca="false">D13/$D$2</f>
        <v>0</v>
      </c>
      <c r="G13" s="51" t="n">
        <v>70</v>
      </c>
      <c r="H13" s="56" t="n">
        <v>0</v>
      </c>
      <c r="I13" s="51" t="n">
        <f aca="false">G13+H13</f>
        <v>70</v>
      </c>
      <c r="J13" s="81" t="n">
        <f aca="false">IF(L13&gt;0,L13,0)</f>
        <v>15</v>
      </c>
      <c r="K13" s="51" t="n">
        <f aca="false">I13+J13</f>
        <v>85</v>
      </c>
      <c r="L13" s="51" t="n">
        <f aca="false">F13-(I13-W13)</f>
        <v>15</v>
      </c>
      <c r="M13" s="87" t="n">
        <v>5</v>
      </c>
      <c r="N13" s="51" t="n">
        <v>0</v>
      </c>
      <c r="O13" s="51" t="n">
        <v>0</v>
      </c>
      <c r="P13" s="6" t="n">
        <f aca="false">M13-(N13+O13)</f>
        <v>5</v>
      </c>
      <c r="Q13" s="51" t="n">
        <v>0</v>
      </c>
      <c r="R13" s="51" t="n">
        <v>0</v>
      </c>
      <c r="S13" s="51" t="n">
        <f aca="false">SUM(P13:R13)</f>
        <v>5</v>
      </c>
      <c r="T13" s="52"/>
      <c r="U13" s="51" t="n">
        <v>0</v>
      </c>
      <c r="V13" s="51" t="n">
        <v>80</v>
      </c>
      <c r="W13" s="6" t="n">
        <f aca="false">N13+O13+S13+U13+V13</f>
        <v>85</v>
      </c>
      <c r="X13" s="51" t="n">
        <f aca="false">IF(L13&lt;0,L13*-1,0)</f>
        <v>0</v>
      </c>
      <c r="Y13" s="51" t="n">
        <f aca="false">W13+X13</f>
        <v>85</v>
      </c>
      <c r="Z13" s="56" t="n">
        <v>0.73</v>
      </c>
      <c r="AA13" s="57" t="n">
        <v>37</v>
      </c>
      <c r="AB13" s="57" t="n">
        <v>17</v>
      </c>
      <c r="AC13" s="58" t="n">
        <f aca="false">AC12+1</f>
        <v>4</v>
      </c>
      <c r="AD13" s="93"/>
      <c r="AE13" s="94"/>
      <c r="AF13" s="93"/>
    </row>
    <row r="14" customFormat="false" ht="11.1" hidden="false" customHeight="true" outlineLevel="0" collapsed="false">
      <c r="A14" s="58" t="n">
        <f aca="false">A13+1</f>
        <v>5</v>
      </c>
      <c r="B14" s="73" t="n">
        <v>6909.57</v>
      </c>
      <c r="C14" s="52" t="n">
        <v>320275</v>
      </c>
      <c r="D14" s="57" t="n">
        <f aca="false">C14-C13</f>
        <v>120</v>
      </c>
      <c r="E14" s="52" t="n">
        <f aca="false">C14-152000</f>
        <v>168275</v>
      </c>
      <c r="F14" s="51" t="n">
        <f aca="false">D14/$D$2</f>
        <v>60.4991177211999</v>
      </c>
      <c r="G14" s="51" t="n">
        <v>70</v>
      </c>
      <c r="H14" s="56" t="n">
        <v>0</v>
      </c>
      <c r="I14" s="51" t="n">
        <f aca="false">G14+H14</f>
        <v>70</v>
      </c>
      <c r="J14" s="81" t="n">
        <f aca="false">IF(L14&gt;0,L14,0)</f>
        <v>75.4991177211999</v>
      </c>
      <c r="K14" s="51" t="n">
        <f aca="false">I14+J14</f>
        <v>145.4991177212</v>
      </c>
      <c r="L14" s="51" t="n">
        <f aca="false">F14-(I14-W14)</f>
        <v>75.4991177211999</v>
      </c>
      <c r="M14" s="87" t="n">
        <v>5</v>
      </c>
      <c r="N14" s="51" t="n">
        <v>0</v>
      </c>
      <c r="O14" s="51" t="n">
        <v>0</v>
      </c>
      <c r="P14" s="6" t="n">
        <f aca="false">M14-(N14+O14)</f>
        <v>5</v>
      </c>
      <c r="Q14" s="51" t="n">
        <v>0</v>
      </c>
      <c r="R14" s="51" t="n">
        <v>0</v>
      </c>
      <c r="S14" s="51" t="n">
        <f aca="false">SUM(P14:R14)</f>
        <v>5</v>
      </c>
      <c r="T14" s="52"/>
      <c r="U14" s="51" t="n">
        <v>0</v>
      </c>
      <c r="V14" s="51" t="n">
        <v>80</v>
      </c>
      <c r="W14" s="6" t="n">
        <f aca="false">N14+O14+S14+U14+V14</f>
        <v>85</v>
      </c>
      <c r="X14" s="51" t="n">
        <f aca="false">IF(L14&lt;0,L14*-1,0)</f>
        <v>0</v>
      </c>
      <c r="Y14" s="51" t="n">
        <f aca="false">W14+X14</f>
        <v>85</v>
      </c>
      <c r="Z14" s="56" t="n">
        <v>0</v>
      </c>
      <c r="AA14" s="57" t="n">
        <v>31</v>
      </c>
      <c r="AB14" s="57" t="n">
        <v>23</v>
      </c>
      <c r="AC14" s="58" t="n">
        <f aca="false">AC13+1</f>
        <v>5</v>
      </c>
      <c r="AD14" s="93"/>
      <c r="AE14" s="94"/>
      <c r="AF14" s="93"/>
    </row>
    <row r="15" customFormat="false" ht="11.1" hidden="false" customHeight="true" outlineLevel="0" collapsed="false">
      <c r="A15" s="58" t="n">
        <f aca="false">A14+1</f>
        <v>6</v>
      </c>
      <c r="B15" s="73" t="n">
        <v>6909.6</v>
      </c>
      <c r="C15" s="52" t="n">
        <v>320394</v>
      </c>
      <c r="D15" s="57" t="n">
        <f aca="false">C15-C14</f>
        <v>119</v>
      </c>
      <c r="E15" s="52" t="n">
        <f aca="false">C15-152000</f>
        <v>168394</v>
      </c>
      <c r="F15" s="51" t="n">
        <f aca="false">D15/$D$2</f>
        <v>59.9949584068566</v>
      </c>
      <c r="G15" s="51" t="n">
        <v>70</v>
      </c>
      <c r="H15" s="56" t="n">
        <v>0</v>
      </c>
      <c r="I15" s="51" t="n">
        <f aca="false">G15+H15</f>
        <v>70</v>
      </c>
      <c r="J15" s="81" t="n">
        <f aca="false">IF(L15&gt;0,L15,0)</f>
        <v>74.9949584068566</v>
      </c>
      <c r="K15" s="51" t="n">
        <f aca="false">I15+J15</f>
        <v>144.994958406857</v>
      </c>
      <c r="L15" s="51" t="n">
        <f aca="false">F15-(I15-W15)</f>
        <v>74.9949584068566</v>
      </c>
      <c r="M15" s="87" t="n">
        <v>5</v>
      </c>
      <c r="N15" s="51" t="n">
        <v>0</v>
      </c>
      <c r="O15" s="51" t="n">
        <v>0</v>
      </c>
      <c r="P15" s="6" t="n">
        <f aca="false">M15-(N15+O15)</f>
        <v>5</v>
      </c>
      <c r="Q15" s="51" t="n">
        <v>0</v>
      </c>
      <c r="R15" s="51" t="n">
        <v>0</v>
      </c>
      <c r="S15" s="51" t="n">
        <f aca="false">SUM(P15:R15)</f>
        <v>5</v>
      </c>
      <c r="T15" s="52"/>
      <c r="U15" s="51" t="n">
        <v>0</v>
      </c>
      <c r="V15" s="51" t="n">
        <v>80</v>
      </c>
      <c r="W15" s="6" t="n">
        <f aca="false">N15+O15+S15+U15+V15</f>
        <v>85</v>
      </c>
      <c r="X15" s="51" t="n">
        <f aca="false">IF(L15&lt;0,L15*-1,0)</f>
        <v>0</v>
      </c>
      <c r="Y15" s="51" t="n">
        <f aca="false">W15+X15</f>
        <v>85</v>
      </c>
      <c r="Z15" s="56" t="n">
        <v>0</v>
      </c>
      <c r="AA15" s="57" t="n">
        <v>26</v>
      </c>
      <c r="AB15" s="57" t="n">
        <v>25</v>
      </c>
      <c r="AC15" s="58" t="n">
        <f aca="false">AC14+1</f>
        <v>6</v>
      </c>
      <c r="AD15" s="92"/>
      <c r="AE15" s="94"/>
      <c r="AF15" s="93"/>
    </row>
    <row r="16" customFormat="false" ht="11.1" hidden="false" customHeight="true" outlineLevel="0" collapsed="false">
      <c r="A16" s="58" t="n">
        <f aca="false">A15+1</f>
        <v>7</v>
      </c>
      <c r="B16" s="73" t="n">
        <v>6909.6</v>
      </c>
      <c r="C16" s="52" t="n">
        <v>320394</v>
      </c>
      <c r="D16" s="57" t="n">
        <f aca="false">C16-C15</f>
        <v>0</v>
      </c>
      <c r="E16" s="52" t="n">
        <f aca="false">C16-152000</f>
        <v>168394</v>
      </c>
      <c r="F16" s="51" t="n">
        <f aca="false">D16/$D$2</f>
        <v>0</v>
      </c>
      <c r="G16" s="51" t="n">
        <v>70</v>
      </c>
      <c r="H16" s="56" t="n">
        <v>0</v>
      </c>
      <c r="I16" s="51" t="n">
        <f aca="false">G16+H16</f>
        <v>70</v>
      </c>
      <c r="J16" s="81" t="n">
        <f aca="false">IF(L16&gt;0,L16,0)</f>
        <v>15</v>
      </c>
      <c r="K16" s="51" t="n">
        <f aca="false">I16+J16</f>
        <v>85</v>
      </c>
      <c r="L16" s="51" t="n">
        <f aca="false">F16-(I16-W16)</f>
        <v>15</v>
      </c>
      <c r="M16" s="87" t="n">
        <v>5</v>
      </c>
      <c r="N16" s="51" t="n">
        <v>0</v>
      </c>
      <c r="O16" s="51" t="n">
        <v>0</v>
      </c>
      <c r="P16" s="6" t="n">
        <f aca="false">M16-(N16+O16)</f>
        <v>5</v>
      </c>
      <c r="Q16" s="51" t="n">
        <v>0</v>
      </c>
      <c r="R16" s="51" t="n">
        <v>0</v>
      </c>
      <c r="S16" s="51" t="n">
        <f aca="false">SUM(P16:R16)</f>
        <v>5</v>
      </c>
      <c r="T16" s="52"/>
      <c r="U16" s="51" t="n">
        <v>0</v>
      </c>
      <c r="V16" s="51" t="n">
        <v>80</v>
      </c>
      <c r="W16" s="6" t="n">
        <f aca="false">N16+O16+S16+U16+V16</f>
        <v>85</v>
      </c>
      <c r="X16" s="51" t="n">
        <f aca="false">IF(L16&lt;0,L16*-1,0)</f>
        <v>0</v>
      </c>
      <c r="Y16" s="51" t="n">
        <f aca="false">W16+X16</f>
        <v>85</v>
      </c>
      <c r="Z16" s="56" t="n">
        <v>0</v>
      </c>
      <c r="AA16" s="57" t="n">
        <v>25</v>
      </c>
      <c r="AB16" s="57" t="n">
        <v>-5</v>
      </c>
      <c r="AC16" s="58" t="n">
        <f aca="false">AC15+1</f>
        <v>7</v>
      </c>
      <c r="AD16" s="92"/>
      <c r="AE16" s="94"/>
      <c r="AF16" s="93"/>
    </row>
    <row r="17" customFormat="false" ht="11.1" hidden="false" customHeight="true" outlineLevel="0" collapsed="false">
      <c r="A17" s="58" t="n">
        <f aca="false">A16+1</f>
        <v>8</v>
      </c>
      <c r="B17" s="73" t="n">
        <v>6909.6</v>
      </c>
      <c r="C17" s="52" t="n">
        <v>320394</v>
      </c>
      <c r="D17" s="57" t="n">
        <f aca="false">C17-C16</f>
        <v>0</v>
      </c>
      <c r="E17" s="52" t="n">
        <f aca="false">C17-152000</f>
        <v>168394</v>
      </c>
      <c r="F17" s="51" t="n">
        <f aca="false">D17/$D$2</f>
        <v>0</v>
      </c>
      <c r="G17" s="51" t="n">
        <v>70</v>
      </c>
      <c r="H17" s="56" t="n">
        <v>0</v>
      </c>
      <c r="I17" s="51" t="n">
        <v>36</v>
      </c>
      <c r="J17" s="81" t="n">
        <f aca="false">IF(L17&gt;0,L17,0)</f>
        <v>49</v>
      </c>
      <c r="K17" s="51" t="n">
        <f aca="false">I17+J17</f>
        <v>85</v>
      </c>
      <c r="L17" s="51" t="n">
        <f aca="false">F17-(I17-W17)</f>
        <v>49</v>
      </c>
      <c r="M17" s="87" t="n">
        <v>5</v>
      </c>
      <c r="N17" s="51" t="n">
        <v>0</v>
      </c>
      <c r="O17" s="51" t="n">
        <v>0</v>
      </c>
      <c r="P17" s="6" t="n">
        <f aca="false">M17-(N17+O17)</f>
        <v>5</v>
      </c>
      <c r="Q17" s="51" t="n">
        <v>0</v>
      </c>
      <c r="R17" s="51" t="n">
        <v>0</v>
      </c>
      <c r="S17" s="51" t="n">
        <f aca="false">SUM(P17:R17)</f>
        <v>5</v>
      </c>
      <c r="T17" s="52"/>
      <c r="U17" s="51" t="n">
        <v>0</v>
      </c>
      <c r="V17" s="51" t="n">
        <v>80</v>
      </c>
      <c r="W17" s="6" t="n">
        <f aca="false">N17+O17+S17+U17+V17</f>
        <v>85</v>
      </c>
      <c r="X17" s="51" t="n">
        <f aca="false">IF(L17&lt;0,L17*-1,0)</f>
        <v>0</v>
      </c>
      <c r="Y17" s="51" t="n">
        <f aca="false">W17+X17</f>
        <v>85</v>
      </c>
      <c r="Z17" s="56" t="n">
        <v>0</v>
      </c>
      <c r="AA17" s="57" t="n">
        <v>27</v>
      </c>
      <c r="AB17" s="57" t="n">
        <v>-2</v>
      </c>
      <c r="AC17" s="58" t="n">
        <f aca="false">AC16+1</f>
        <v>8</v>
      </c>
      <c r="AD17" s="92"/>
      <c r="AE17" s="94"/>
      <c r="AF17" s="93"/>
    </row>
    <row r="18" customFormat="false" ht="11.1" hidden="false" customHeight="true" outlineLevel="0" collapsed="false">
      <c r="A18" s="58" t="n">
        <f aca="false">A17+1</f>
        <v>9</v>
      </c>
      <c r="B18" s="73" t="n">
        <v>6909.59</v>
      </c>
      <c r="C18" s="52" t="n">
        <v>320354</v>
      </c>
      <c r="D18" s="57" t="n">
        <f aca="false">C18-C17</f>
        <v>-40</v>
      </c>
      <c r="E18" s="52" t="n">
        <f aca="false">C18-152000</f>
        <v>168354</v>
      </c>
      <c r="F18" s="51" t="n">
        <f aca="false">D18/$D$2</f>
        <v>-20.1663725737333</v>
      </c>
      <c r="G18" s="51" t="n">
        <v>70</v>
      </c>
      <c r="H18" s="56" t="n">
        <v>0</v>
      </c>
      <c r="I18" s="51" t="n">
        <v>36</v>
      </c>
      <c r="J18" s="81" t="n">
        <f aca="false">IF(L18&gt;0,L18,0)</f>
        <v>28.8336274262667</v>
      </c>
      <c r="K18" s="51" t="n">
        <f aca="false">I18+J18</f>
        <v>64.8336274262667</v>
      </c>
      <c r="L18" s="51" t="n">
        <f aca="false">F18-(I18-W18)</f>
        <v>28.8336274262667</v>
      </c>
      <c r="M18" s="87" t="n">
        <v>5</v>
      </c>
      <c r="N18" s="51" t="n">
        <v>0</v>
      </c>
      <c r="O18" s="51" t="n">
        <v>0</v>
      </c>
      <c r="P18" s="6" t="n">
        <f aca="false">M18-(N18+O18)</f>
        <v>5</v>
      </c>
      <c r="Q18" s="51" t="n">
        <v>0</v>
      </c>
      <c r="R18" s="51" t="n">
        <v>0</v>
      </c>
      <c r="S18" s="51" t="n">
        <f aca="false">SUM(P18:R18)</f>
        <v>5</v>
      </c>
      <c r="T18" s="52"/>
      <c r="U18" s="51" t="n">
        <v>0</v>
      </c>
      <c r="V18" s="51" t="n">
        <v>80</v>
      </c>
      <c r="W18" s="6" t="n">
        <f aca="false">N18+O18+S18+U18+V18</f>
        <v>85</v>
      </c>
      <c r="X18" s="51" t="n">
        <f aca="false">IF(L18&lt;0,L18*-1,0)</f>
        <v>0</v>
      </c>
      <c r="Y18" s="51" t="n">
        <f aca="false">W18+X18</f>
        <v>85</v>
      </c>
      <c r="Z18" s="56" t="n">
        <v>0</v>
      </c>
      <c r="AA18" s="82" t="n">
        <v>29</v>
      </c>
      <c r="AB18" s="57" t="n">
        <v>-1</v>
      </c>
      <c r="AC18" s="58" t="n">
        <f aca="false">AC17+1</f>
        <v>9</v>
      </c>
      <c r="AD18" s="92"/>
      <c r="AE18" s="94"/>
      <c r="AF18" s="93"/>
    </row>
    <row r="19" customFormat="false" ht="11.1" hidden="false" customHeight="true" outlineLevel="0" collapsed="false">
      <c r="A19" s="58" t="n">
        <f aca="false">A18+1</f>
        <v>10</v>
      </c>
      <c r="B19" s="73" t="n">
        <v>6909.58</v>
      </c>
      <c r="C19" s="52" t="n">
        <v>320314</v>
      </c>
      <c r="D19" s="57" t="n">
        <f aca="false">C19-C18</f>
        <v>-40</v>
      </c>
      <c r="E19" s="52" t="n">
        <f aca="false">C19-152000</f>
        <v>168314</v>
      </c>
      <c r="F19" s="51" t="n">
        <f aca="false">D19/$D$2</f>
        <v>-20.1663725737333</v>
      </c>
      <c r="G19" s="51" t="n">
        <v>70</v>
      </c>
      <c r="H19" s="56" t="n">
        <v>0</v>
      </c>
      <c r="I19" s="51" t="n">
        <v>49.6</v>
      </c>
      <c r="J19" s="81" t="n">
        <f aca="false">IF(L19&gt;0,L19,0)</f>
        <v>15.2336274262667</v>
      </c>
      <c r="K19" s="51" t="n">
        <f aca="false">I19+J19</f>
        <v>64.8336274262667</v>
      </c>
      <c r="L19" s="51" t="n">
        <f aca="false">F19-(I19-W19)</f>
        <v>15.2336274262667</v>
      </c>
      <c r="M19" s="87" t="n">
        <v>5</v>
      </c>
      <c r="N19" s="51" t="n">
        <v>0</v>
      </c>
      <c r="O19" s="51" t="n">
        <v>0</v>
      </c>
      <c r="P19" s="6" t="n">
        <f aca="false">M19-(N19+O19)</f>
        <v>5</v>
      </c>
      <c r="Q19" s="51" t="n">
        <v>0</v>
      </c>
      <c r="R19" s="51" t="n">
        <v>0</v>
      </c>
      <c r="S19" s="51" t="n">
        <f aca="false">SUM(P19:R19)</f>
        <v>5</v>
      </c>
      <c r="T19" s="52"/>
      <c r="U19" s="51" t="n">
        <v>0</v>
      </c>
      <c r="V19" s="51" t="n">
        <v>80</v>
      </c>
      <c r="W19" s="6" t="n">
        <f aca="false">N19+O19+S19+U19+V19</f>
        <v>85</v>
      </c>
      <c r="X19" s="51" t="n">
        <f aca="false">IF(L19&lt;0,L19*-1,0)</f>
        <v>0</v>
      </c>
      <c r="Y19" s="51" t="n">
        <f aca="false">W19+X19</f>
        <v>85</v>
      </c>
      <c r="Z19" s="56" t="n">
        <v>0</v>
      </c>
      <c r="AA19" s="57" t="n">
        <v>40</v>
      </c>
      <c r="AB19" s="57" t="n">
        <v>2</v>
      </c>
      <c r="AC19" s="58" t="n">
        <f aca="false">AC18+1</f>
        <v>10</v>
      </c>
      <c r="AD19" s="92"/>
      <c r="AE19" s="94"/>
      <c r="AF19" s="93"/>
    </row>
    <row r="20" customFormat="false" ht="11.1" hidden="false" customHeight="true" outlineLevel="0" collapsed="false">
      <c r="A20" s="58" t="n">
        <f aca="false">A19+1</f>
        <v>11</v>
      </c>
      <c r="B20" s="73" t="n">
        <v>6909.56</v>
      </c>
      <c r="C20" s="52" t="n">
        <v>320235</v>
      </c>
      <c r="D20" s="57" t="n">
        <f aca="false">C20-C19</f>
        <v>-79</v>
      </c>
      <c r="E20" s="52" t="n">
        <f aca="false">C20-152000</f>
        <v>168235</v>
      </c>
      <c r="F20" s="51" t="n">
        <f aca="false">D20/$D$2</f>
        <v>-39.8285858331233</v>
      </c>
      <c r="G20" s="51" t="n">
        <v>70</v>
      </c>
      <c r="H20" s="56" t="n">
        <v>0</v>
      </c>
      <c r="I20" s="51" t="n">
        <v>31.1</v>
      </c>
      <c r="J20" s="81" t="n">
        <f aca="false">IF(L20&gt;0,L20,0)</f>
        <v>14.0714141668767</v>
      </c>
      <c r="K20" s="51" t="n">
        <f aca="false">I20+J20</f>
        <v>45.1714141668767</v>
      </c>
      <c r="L20" s="51" t="n">
        <f aca="false">F20-(I20-W20)</f>
        <v>14.0714141668767</v>
      </c>
      <c r="M20" s="87" t="n">
        <v>5</v>
      </c>
      <c r="N20" s="51" t="n">
        <v>0</v>
      </c>
      <c r="O20" s="51" t="n">
        <v>0</v>
      </c>
      <c r="P20" s="6" t="n">
        <f aca="false">M20-(N20+O20)</f>
        <v>5</v>
      </c>
      <c r="Q20" s="51" t="n">
        <v>0</v>
      </c>
      <c r="R20" s="51" t="n">
        <v>0</v>
      </c>
      <c r="S20" s="51" t="n">
        <f aca="false">SUM(P20:R20)</f>
        <v>5</v>
      </c>
      <c r="T20" s="52"/>
      <c r="U20" s="51" t="n">
        <v>0</v>
      </c>
      <c r="V20" s="51" t="n">
        <v>80</v>
      </c>
      <c r="W20" s="6" t="n">
        <f aca="false">N20+O20+S20+U20+V20</f>
        <v>85</v>
      </c>
      <c r="X20" s="51" t="n">
        <f aca="false">IF(L20&lt;0,L20*-1,0)</f>
        <v>0</v>
      </c>
      <c r="Y20" s="51" t="n">
        <f aca="false">W20+X20</f>
        <v>85</v>
      </c>
      <c r="Z20" s="56" t="n">
        <v>0.06</v>
      </c>
      <c r="AA20" s="57" t="n">
        <v>29</v>
      </c>
      <c r="AB20" s="57" t="n">
        <v>20</v>
      </c>
      <c r="AC20" s="58" t="n">
        <f aca="false">AC19+1</f>
        <v>11</v>
      </c>
      <c r="AD20" s="92"/>
      <c r="AE20" s="94"/>
      <c r="AF20" s="93"/>
    </row>
    <row r="21" customFormat="false" ht="11.1" hidden="false" customHeight="true" outlineLevel="0" collapsed="false">
      <c r="A21" s="58" t="n">
        <f aca="false">A20+1</f>
        <v>12</v>
      </c>
      <c r="B21" s="73" t="n">
        <v>6909.54</v>
      </c>
      <c r="C21" s="52" t="n">
        <v>320155</v>
      </c>
      <c r="D21" s="57" t="n">
        <f aca="false">C21-C20</f>
        <v>-80</v>
      </c>
      <c r="E21" s="52" t="n">
        <f aca="false">C21-152000</f>
        <v>168155</v>
      </c>
      <c r="F21" s="51" t="n">
        <f aca="false">D21/$D$2</f>
        <v>-40.3327451474666</v>
      </c>
      <c r="G21" s="51" t="n">
        <v>70</v>
      </c>
      <c r="H21" s="56" t="n">
        <v>0</v>
      </c>
      <c r="I21" s="51" t="n">
        <v>34.1</v>
      </c>
      <c r="J21" s="81" t="n">
        <f aca="false">IF(L21&gt;0,L21,0)</f>
        <v>9.5672548525334</v>
      </c>
      <c r="K21" s="51" t="n">
        <f aca="false">I21+J21</f>
        <v>43.6672548525334</v>
      </c>
      <c r="L21" s="51" t="n">
        <f aca="false">F21-(I21-W21)</f>
        <v>9.5672548525334</v>
      </c>
      <c r="M21" s="87" t="n">
        <v>4</v>
      </c>
      <c r="N21" s="51" t="n">
        <v>0</v>
      </c>
      <c r="O21" s="51" t="n">
        <v>0</v>
      </c>
      <c r="P21" s="6" t="n">
        <f aca="false">M21-(N21+O21)</f>
        <v>4</v>
      </c>
      <c r="Q21" s="51" t="n">
        <v>0</v>
      </c>
      <c r="R21" s="51" t="n">
        <v>0</v>
      </c>
      <c r="S21" s="51" t="n">
        <f aca="false">SUM(P21:R21)</f>
        <v>4</v>
      </c>
      <c r="T21" s="52"/>
      <c r="U21" s="51" t="n">
        <v>0</v>
      </c>
      <c r="V21" s="51" t="n">
        <v>80</v>
      </c>
      <c r="W21" s="6" t="n">
        <f aca="false">N21+O21+S21+U21+V21</f>
        <v>84</v>
      </c>
      <c r="X21" s="51" t="n">
        <f aca="false">IF(L21&lt;0,L21*-1,0)</f>
        <v>0</v>
      </c>
      <c r="Y21" s="51" t="n">
        <f aca="false">W21+X21</f>
        <v>84</v>
      </c>
      <c r="Z21" s="56" t="n">
        <v>0</v>
      </c>
      <c r="AA21" s="57" t="n">
        <v>26</v>
      </c>
      <c r="AB21" s="57" t="n">
        <v>-3</v>
      </c>
      <c r="AC21" s="58" t="n">
        <f aca="false">AC20+1</f>
        <v>12</v>
      </c>
      <c r="AD21" s="92"/>
      <c r="AE21" s="94"/>
      <c r="AF21" s="93"/>
    </row>
    <row r="22" customFormat="false" ht="11.1" hidden="false" customHeight="true" outlineLevel="0" collapsed="false">
      <c r="A22" s="58" t="n">
        <v>13</v>
      </c>
      <c r="B22" s="73" t="n">
        <v>6909.52</v>
      </c>
      <c r="C22" s="52" t="n">
        <v>320076</v>
      </c>
      <c r="D22" s="57" t="n">
        <f aca="false">C22-C21</f>
        <v>-79</v>
      </c>
      <c r="E22" s="52" t="n">
        <f aca="false">C22-152000</f>
        <v>168076</v>
      </c>
      <c r="F22" s="51" t="n">
        <f aca="false">D22/$D$2</f>
        <v>-39.8285858331233</v>
      </c>
      <c r="G22" s="51" t="n">
        <v>70</v>
      </c>
      <c r="H22" s="56" t="n">
        <v>0</v>
      </c>
      <c r="I22" s="51" t="n">
        <v>34.1</v>
      </c>
      <c r="J22" s="81" t="n">
        <f aca="false">IF(L22&gt;0,L22,0)</f>
        <v>10.0714141668767</v>
      </c>
      <c r="K22" s="51" t="n">
        <f aca="false">I22+J22</f>
        <v>44.1714141668767</v>
      </c>
      <c r="L22" s="51" t="n">
        <f aca="false">F22-(I22-W22)</f>
        <v>10.0714141668767</v>
      </c>
      <c r="M22" s="87" t="n">
        <v>4</v>
      </c>
      <c r="N22" s="51" t="n">
        <v>0</v>
      </c>
      <c r="O22" s="51" t="n">
        <v>0</v>
      </c>
      <c r="P22" s="6" t="n">
        <f aca="false">M22-(N22+O22)</f>
        <v>4</v>
      </c>
      <c r="Q22" s="51" t="n">
        <v>0</v>
      </c>
      <c r="R22" s="51" t="n">
        <v>0</v>
      </c>
      <c r="S22" s="51" t="n">
        <f aca="false">SUM(P22:R22)</f>
        <v>4</v>
      </c>
      <c r="T22" s="52"/>
      <c r="U22" s="51" t="n">
        <v>0</v>
      </c>
      <c r="V22" s="51" t="n">
        <v>80</v>
      </c>
      <c r="W22" s="6" t="n">
        <f aca="false">N22+O22+S22+U22+V22</f>
        <v>84</v>
      </c>
      <c r="X22" s="51" t="n">
        <f aca="false">IF(L22&lt;0,L22*-1,0)</f>
        <v>0</v>
      </c>
      <c r="Y22" s="51" t="n">
        <f aca="false">W22+X22</f>
        <v>84</v>
      </c>
      <c r="Z22" s="56" t="n">
        <v>0</v>
      </c>
      <c r="AA22" s="57" t="n">
        <v>31</v>
      </c>
      <c r="AB22" s="57" t="n">
        <v>-3</v>
      </c>
      <c r="AC22" s="58" t="n">
        <f aca="false">AC21+1</f>
        <v>13</v>
      </c>
      <c r="AD22" s="92"/>
      <c r="AE22" s="94"/>
      <c r="AF22" s="93"/>
    </row>
    <row r="23" customFormat="false" ht="11.1" hidden="false" customHeight="true" outlineLevel="0" collapsed="false">
      <c r="A23" s="58" t="n">
        <f aca="false">A22+1</f>
        <v>14</v>
      </c>
      <c r="B23" s="73" t="n">
        <v>6909.51</v>
      </c>
      <c r="C23" s="52" t="n">
        <v>320036</v>
      </c>
      <c r="D23" s="57" t="n">
        <f aca="false">C23-C22</f>
        <v>-40</v>
      </c>
      <c r="E23" s="52" t="n">
        <f aca="false">C23-152000</f>
        <v>168036</v>
      </c>
      <c r="F23" s="51" t="n">
        <f aca="false">D23/$D$2</f>
        <v>-20.1663725737333</v>
      </c>
      <c r="G23" s="51" t="n">
        <v>70</v>
      </c>
      <c r="H23" s="56" t="n">
        <v>0</v>
      </c>
      <c r="I23" s="51" t="n">
        <f aca="false">G23+H23</f>
        <v>70</v>
      </c>
      <c r="J23" s="81" t="n">
        <f aca="false">IF(L23&gt;0,L23,0)</f>
        <v>0</v>
      </c>
      <c r="K23" s="51" t="n">
        <f aca="false">I23+J23</f>
        <v>70</v>
      </c>
      <c r="L23" s="51" t="n">
        <f aca="false">F23-(I23-W23)</f>
        <v>-6.1663725737333</v>
      </c>
      <c r="M23" s="87" t="n">
        <v>4</v>
      </c>
      <c r="N23" s="51" t="n">
        <v>0</v>
      </c>
      <c r="O23" s="51" t="n">
        <v>0</v>
      </c>
      <c r="P23" s="6" t="n">
        <f aca="false">M23-(N23+O23)</f>
        <v>4</v>
      </c>
      <c r="Q23" s="51" t="n">
        <v>0</v>
      </c>
      <c r="R23" s="51" t="n">
        <v>0</v>
      </c>
      <c r="S23" s="51" t="n">
        <f aca="false">SUM(P23:R23)</f>
        <v>4</v>
      </c>
      <c r="T23" s="52"/>
      <c r="U23" s="51" t="n">
        <v>0</v>
      </c>
      <c r="V23" s="51" t="n">
        <v>80</v>
      </c>
      <c r="W23" s="6" t="n">
        <f aca="false">N23+O23+S23+U23+V23</f>
        <v>84</v>
      </c>
      <c r="X23" s="51" t="n">
        <f aca="false">IF(L23&lt;0,L23*-1,0)</f>
        <v>6.1663725737333</v>
      </c>
      <c r="Y23" s="51" t="n">
        <f aca="false">W23+X23</f>
        <v>90.1663725737333</v>
      </c>
      <c r="Z23" s="56" t="n">
        <v>0</v>
      </c>
      <c r="AA23" s="82" t="n">
        <v>34</v>
      </c>
      <c r="AB23" s="57" t="n">
        <v>-1</v>
      </c>
      <c r="AC23" s="58" t="n">
        <f aca="false">AC22+1</f>
        <v>14</v>
      </c>
      <c r="AD23" s="92"/>
      <c r="AE23" s="94"/>
      <c r="AF23" s="93"/>
    </row>
    <row r="24" customFormat="false" ht="11.1" hidden="false" customHeight="true" outlineLevel="0" collapsed="false">
      <c r="A24" s="58" t="n">
        <f aca="false">A23+1</f>
        <v>15</v>
      </c>
      <c r="B24" s="73" t="n">
        <v>6909.5</v>
      </c>
      <c r="C24" s="52" t="n">
        <v>319996</v>
      </c>
      <c r="D24" s="57" t="n">
        <f aca="false">C24-C23</f>
        <v>-40</v>
      </c>
      <c r="E24" s="52" t="n">
        <f aca="false">C24-152000</f>
        <v>167996</v>
      </c>
      <c r="F24" s="51" t="n">
        <f aca="false">D24/$D$2</f>
        <v>-20.1663725737333</v>
      </c>
      <c r="G24" s="51" t="n">
        <v>70</v>
      </c>
      <c r="H24" s="56" t="n">
        <v>0</v>
      </c>
      <c r="I24" s="51" t="n">
        <f aca="false">G24+H24</f>
        <v>70</v>
      </c>
      <c r="J24" s="81" t="n">
        <f aca="false">IF(L24&gt;0,L24,0)</f>
        <v>0</v>
      </c>
      <c r="K24" s="51" t="n">
        <f aca="false">I24+J24</f>
        <v>70</v>
      </c>
      <c r="L24" s="51" t="n">
        <f aca="false">F24-(I24-W24)</f>
        <v>-6.1663725737333</v>
      </c>
      <c r="M24" s="87" t="n">
        <v>4</v>
      </c>
      <c r="N24" s="51" t="n">
        <v>0</v>
      </c>
      <c r="O24" s="51" t="n">
        <v>0</v>
      </c>
      <c r="P24" s="6" t="n">
        <f aca="false">M24-(N24+O24)</f>
        <v>4</v>
      </c>
      <c r="Q24" s="51" t="n">
        <v>0</v>
      </c>
      <c r="R24" s="51" t="n">
        <v>0</v>
      </c>
      <c r="S24" s="51" t="n">
        <f aca="false">SUM(P24:R24)</f>
        <v>4</v>
      </c>
      <c r="T24" s="52"/>
      <c r="U24" s="51" t="n">
        <v>0</v>
      </c>
      <c r="V24" s="51" t="n">
        <v>80</v>
      </c>
      <c r="W24" s="6" t="n">
        <f aca="false">N24+O24+S24+U24+V24</f>
        <v>84</v>
      </c>
      <c r="X24" s="51" t="n">
        <f aca="false">IF(L24&lt;0,L24*-1,0)</f>
        <v>6.1663725737333</v>
      </c>
      <c r="Y24" s="51" t="n">
        <f aca="false">W24+X24</f>
        <v>90.1663725737333</v>
      </c>
      <c r="Z24" s="56" t="n">
        <v>0</v>
      </c>
      <c r="AA24" s="82" t="n">
        <v>32</v>
      </c>
      <c r="AB24" s="57" t="n">
        <v>0</v>
      </c>
      <c r="AC24" s="58" t="n">
        <f aca="false">AC23+1</f>
        <v>15</v>
      </c>
      <c r="AD24" s="92"/>
      <c r="AE24" s="94"/>
      <c r="AF24" s="93"/>
    </row>
    <row r="25" customFormat="false" ht="11.1" hidden="false" customHeight="true" outlineLevel="0" collapsed="false">
      <c r="A25" s="58" t="n">
        <f aca="false">A24+1</f>
        <v>16</v>
      </c>
      <c r="B25" s="73" t="n">
        <v>6909.49</v>
      </c>
      <c r="C25" s="52" t="n">
        <v>319956</v>
      </c>
      <c r="D25" s="57" t="n">
        <f aca="false">C25-C24</f>
        <v>-40</v>
      </c>
      <c r="E25" s="52" t="n">
        <f aca="false">C25-152000</f>
        <v>167956</v>
      </c>
      <c r="F25" s="51" t="n">
        <f aca="false">D25/$D$2</f>
        <v>-20.1663725737333</v>
      </c>
      <c r="G25" s="51" t="n">
        <v>70</v>
      </c>
      <c r="H25" s="56" t="n">
        <v>0</v>
      </c>
      <c r="I25" s="51" t="n">
        <f aca="false">G25+H25</f>
        <v>70</v>
      </c>
      <c r="J25" s="81" t="n">
        <f aca="false">IF(L25&gt;0,L25,0)</f>
        <v>0</v>
      </c>
      <c r="K25" s="51" t="n">
        <f aca="false">I25+J25</f>
        <v>70</v>
      </c>
      <c r="L25" s="51" t="n">
        <f aca="false">F25-(I25-W25)</f>
        <v>-6.1663725737333</v>
      </c>
      <c r="M25" s="87" t="n">
        <v>4</v>
      </c>
      <c r="N25" s="51" t="n">
        <v>0</v>
      </c>
      <c r="O25" s="51" t="n">
        <v>0</v>
      </c>
      <c r="P25" s="6" t="n">
        <f aca="false">M25-(N25+O25)</f>
        <v>4</v>
      </c>
      <c r="Q25" s="51" t="n">
        <v>0</v>
      </c>
      <c r="R25" s="51" t="n">
        <v>0</v>
      </c>
      <c r="S25" s="51" t="n">
        <f aca="false">SUM(P25:R25)</f>
        <v>4</v>
      </c>
      <c r="T25" s="52"/>
      <c r="U25" s="51" t="n">
        <v>0</v>
      </c>
      <c r="V25" s="51" t="n">
        <v>80</v>
      </c>
      <c r="W25" s="6" t="n">
        <f aca="false">N25+O25+S25+U25+V25</f>
        <v>84</v>
      </c>
      <c r="X25" s="51" t="n">
        <f aca="false">IF(L25&lt;0,L25*-1,0)</f>
        <v>6.1663725737333</v>
      </c>
      <c r="Y25" s="51" t="n">
        <f aca="false">W25+X25</f>
        <v>90.1663725737333</v>
      </c>
      <c r="Z25" s="56" t="n">
        <v>0</v>
      </c>
      <c r="AA25" s="82" t="n">
        <v>33</v>
      </c>
      <c r="AB25" s="57" t="n">
        <v>0</v>
      </c>
      <c r="AC25" s="58" t="n">
        <f aca="false">AC24+1</f>
        <v>16</v>
      </c>
      <c r="AD25" s="92"/>
      <c r="AE25" s="0"/>
      <c r="AF25" s="93"/>
    </row>
    <row r="26" customFormat="false" ht="11.1" hidden="false" customHeight="true" outlineLevel="0" collapsed="false">
      <c r="A26" s="58" t="n">
        <f aca="false">A25+1</f>
        <v>17</v>
      </c>
      <c r="B26" s="73" t="n">
        <v>6909.47</v>
      </c>
      <c r="C26" s="52" t="n">
        <v>319876</v>
      </c>
      <c r="D26" s="57" t="n">
        <f aca="false">C26-C25</f>
        <v>-80</v>
      </c>
      <c r="E26" s="52" t="n">
        <f aca="false">C26-152000</f>
        <v>167876</v>
      </c>
      <c r="F26" s="51" t="n">
        <f aca="false">D26/$D$2</f>
        <v>-40.3327451474666</v>
      </c>
      <c r="G26" s="51" t="n">
        <v>70</v>
      </c>
      <c r="H26" s="56" t="n">
        <v>0</v>
      </c>
      <c r="I26" s="51" t="n">
        <f aca="false">G26+H26</f>
        <v>70</v>
      </c>
      <c r="J26" s="81" t="n">
        <f aca="false">IF(L26&gt;0,L26,0)</f>
        <v>0</v>
      </c>
      <c r="K26" s="51" t="n">
        <f aca="false">I26+J26</f>
        <v>70</v>
      </c>
      <c r="L26" s="51" t="n">
        <f aca="false">F26-(I26-W26)</f>
        <v>-26.3327451474666</v>
      </c>
      <c r="M26" s="87" t="n">
        <v>4</v>
      </c>
      <c r="N26" s="51" t="n">
        <v>0</v>
      </c>
      <c r="O26" s="51" t="n">
        <v>0</v>
      </c>
      <c r="P26" s="6" t="n">
        <f aca="false">M26-(N26+O26)</f>
        <v>4</v>
      </c>
      <c r="Q26" s="51" t="n">
        <v>0</v>
      </c>
      <c r="R26" s="51" t="n">
        <v>0</v>
      </c>
      <c r="S26" s="51" t="n">
        <f aca="false">SUM(P26:R26)</f>
        <v>4</v>
      </c>
      <c r="T26" s="52"/>
      <c r="U26" s="51" t="n">
        <v>0</v>
      </c>
      <c r="V26" s="51" t="n">
        <v>80</v>
      </c>
      <c r="W26" s="6" t="n">
        <f aca="false">N26+O26+S26+U26+V26</f>
        <v>84</v>
      </c>
      <c r="X26" s="51" t="n">
        <f aca="false">IF(L26&lt;0,L26*-1,0)</f>
        <v>26.3327451474666</v>
      </c>
      <c r="Y26" s="51" t="n">
        <f aca="false">W26+X26</f>
        <v>110.332745147467</v>
      </c>
      <c r="Z26" s="56" t="n">
        <v>0</v>
      </c>
      <c r="AA26" s="82" t="n">
        <v>31</v>
      </c>
      <c r="AB26" s="57" t="n">
        <v>5</v>
      </c>
      <c r="AC26" s="58" t="n">
        <f aca="false">AC25+1</f>
        <v>17</v>
      </c>
      <c r="AD26" s="92"/>
      <c r="AE26" s="94"/>
      <c r="AF26" s="93"/>
    </row>
    <row r="27" customFormat="false" ht="11.1" hidden="false" customHeight="true" outlineLevel="0" collapsed="false">
      <c r="A27" s="58" t="n">
        <f aca="false">A26+1</f>
        <v>18</v>
      </c>
      <c r="B27" s="73" t="n">
        <v>6909.45</v>
      </c>
      <c r="C27" s="52" t="n">
        <v>319797</v>
      </c>
      <c r="D27" s="57" t="n">
        <f aca="false">C27-C26</f>
        <v>-79</v>
      </c>
      <c r="E27" s="52" t="n">
        <f aca="false">C27-152000</f>
        <v>167797</v>
      </c>
      <c r="F27" s="51" t="n">
        <f aca="false">D27/$D$2</f>
        <v>-39.8285858331233</v>
      </c>
      <c r="G27" s="51" t="n">
        <v>70</v>
      </c>
      <c r="H27" s="56" t="n">
        <v>0</v>
      </c>
      <c r="I27" s="51" t="n">
        <f aca="false">G27+H27</f>
        <v>70</v>
      </c>
      <c r="J27" s="81" t="n">
        <f aca="false">IF(L27&gt;0,L27,0)</f>
        <v>0</v>
      </c>
      <c r="K27" s="51" t="n">
        <f aca="false">I27+J27</f>
        <v>70</v>
      </c>
      <c r="L27" s="51" t="n">
        <f aca="false">F27-(I27-W27)</f>
        <v>-25.8285858331233</v>
      </c>
      <c r="M27" s="87" t="n">
        <v>4</v>
      </c>
      <c r="N27" s="51" t="n">
        <v>0</v>
      </c>
      <c r="O27" s="51" t="n">
        <v>0</v>
      </c>
      <c r="P27" s="6" t="n">
        <f aca="false">M27-(N27+O27)</f>
        <v>4</v>
      </c>
      <c r="Q27" s="51" t="n">
        <v>0</v>
      </c>
      <c r="R27" s="51" t="n">
        <v>0</v>
      </c>
      <c r="S27" s="51" t="n">
        <f aca="false">SUM(P27:R27)</f>
        <v>4</v>
      </c>
      <c r="T27" s="52"/>
      <c r="U27" s="51" t="n">
        <v>0</v>
      </c>
      <c r="V27" s="51" t="n">
        <v>80</v>
      </c>
      <c r="W27" s="6" t="n">
        <f aca="false">N27+O27+S27+U27+V27</f>
        <v>84</v>
      </c>
      <c r="X27" s="51" t="n">
        <f aca="false">IF(L27&lt;0,L27*-1,0)</f>
        <v>25.8285858331233</v>
      </c>
      <c r="Y27" s="51" t="n">
        <f aca="false">W27+X27</f>
        <v>109.828585833123</v>
      </c>
      <c r="Z27" s="56" t="n">
        <v>0</v>
      </c>
      <c r="AA27" s="82" t="n">
        <v>36</v>
      </c>
      <c r="AB27" s="57" t="n">
        <v>2</v>
      </c>
      <c r="AC27" s="58" t="n">
        <f aca="false">AC26+1</f>
        <v>18</v>
      </c>
      <c r="AD27" s="92"/>
      <c r="AE27" s="94"/>
      <c r="AF27" s="93"/>
    </row>
    <row r="28" customFormat="false" ht="11.1" hidden="false" customHeight="true" outlineLevel="0" collapsed="false">
      <c r="A28" s="58" t="n">
        <f aca="false">A27+1</f>
        <v>19</v>
      </c>
      <c r="B28" s="73" t="n">
        <v>6909.47</v>
      </c>
      <c r="C28" s="52" t="n">
        <v>319876</v>
      </c>
      <c r="D28" s="57" t="n">
        <f aca="false">C28-C27</f>
        <v>79</v>
      </c>
      <c r="E28" s="52" t="n">
        <f aca="false">C28-152000</f>
        <v>167876</v>
      </c>
      <c r="F28" s="51" t="n">
        <f aca="false">D28/$D$2</f>
        <v>39.8285858331233</v>
      </c>
      <c r="G28" s="51" t="n">
        <v>70</v>
      </c>
      <c r="H28" s="56" t="n">
        <v>0</v>
      </c>
      <c r="I28" s="51" t="n">
        <f aca="false">G28+H28</f>
        <v>70</v>
      </c>
      <c r="J28" s="81" t="n">
        <f aca="false">IF(L28&gt;0,L28,0)</f>
        <v>53.8285858331233</v>
      </c>
      <c r="K28" s="51" t="n">
        <f aca="false">I28+J28</f>
        <v>123.828585833123</v>
      </c>
      <c r="L28" s="51" t="n">
        <f aca="false">F28-(I28-W28)</f>
        <v>53.8285858331233</v>
      </c>
      <c r="M28" s="87" t="n">
        <v>4</v>
      </c>
      <c r="N28" s="51" t="n">
        <v>0</v>
      </c>
      <c r="O28" s="51" t="n">
        <v>0</v>
      </c>
      <c r="P28" s="6" t="n">
        <f aca="false">M28-(N28+O28)</f>
        <v>4</v>
      </c>
      <c r="Q28" s="51" t="n">
        <v>0</v>
      </c>
      <c r="R28" s="51" t="n">
        <v>0</v>
      </c>
      <c r="S28" s="51" t="n">
        <f aca="false">SUM(P28:R28)</f>
        <v>4</v>
      </c>
      <c r="T28" s="52"/>
      <c r="U28" s="51" t="n">
        <v>0</v>
      </c>
      <c r="V28" s="51" t="n">
        <v>80</v>
      </c>
      <c r="W28" s="6" t="n">
        <f aca="false">N28+O28+S28+U28+V28</f>
        <v>84</v>
      </c>
      <c r="X28" s="51" t="n">
        <f aca="false">IF(L28&lt;0,L28*-1,0)</f>
        <v>0</v>
      </c>
      <c r="Y28" s="51" t="n">
        <f aca="false">W28+X28</f>
        <v>84</v>
      </c>
      <c r="Z28" s="56" t="n">
        <v>0</v>
      </c>
      <c r="AA28" s="82" t="n">
        <v>41</v>
      </c>
      <c r="AB28" s="57" t="n">
        <v>8</v>
      </c>
      <c r="AC28" s="58" t="n">
        <f aca="false">AC27+1</f>
        <v>19</v>
      </c>
      <c r="AD28" s="92"/>
      <c r="AE28" s="94"/>
      <c r="AF28" s="93"/>
    </row>
    <row r="29" customFormat="false" ht="11.1" hidden="false" customHeight="true" outlineLevel="0" collapsed="false">
      <c r="A29" s="58" t="n">
        <f aca="false">A28+1</f>
        <v>20</v>
      </c>
      <c r="B29" s="73" t="n">
        <v>6909.46</v>
      </c>
      <c r="C29" s="52" t="n">
        <v>319837</v>
      </c>
      <c r="D29" s="57" t="n">
        <f aca="false">C29-C28</f>
        <v>-39</v>
      </c>
      <c r="E29" s="52" t="n">
        <f aca="false">C29-152000</f>
        <v>167837</v>
      </c>
      <c r="F29" s="51" t="n">
        <f aca="false">D29/$D$2</f>
        <v>-19.66221325939</v>
      </c>
      <c r="G29" s="51" t="n">
        <v>70</v>
      </c>
      <c r="H29" s="56" t="n">
        <v>0</v>
      </c>
      <c r="I29" s="51" t="n">
        <f aca="false">G29+H29</f>
        <v>70</v>
      </c>
      <c r="J29" s="81" t="n">
        <f aca="false">IF(L29&gt;0,L29,0)</f>
        <v>0</v>
      </c>
      <c r="K29" s="51" t="n">
        <f aca="false">I29+J29</f>
        <v>70</v>
      </c>
      <c r="L29" s="51" t="n">
        <f aca="false">F29-(I29-W29)</f>
        <v>-5.66221325938997</v>
      </c>
      <c r="M29" s="87" t="n">
        <v>4</v>
      </c>
      <c r="N29" s="51" t="n">
        <v>0</v>
      </c>
      <c r="O29" s="51" t="n">
        <v>0</v>
      </c>
      <c r="P29" s="6" t="n">
        <f aca="false">M29-(N29+O29)</f>
        <v>4</v>
      </c>
      <c r="Q29" s="51" t="n">
        <v>0</v>
      </c>
      <c r="R29" s="51" t="n">
        <v>0</v>
      </c>
      <c r="S29" s="51" t="n">
        <f aca="false">SUM(P29:R29)</f>
        <v>4</v>
      </c>
      <c r="T29" s="52"/>
      <c r="U29" s="51" t="n">
        <v>0</v>
      </c>
      <c r="V29" s="51" t="n">
        <v>80</v>
      </c>
      <c r="W29" s="6" t="n">
        <f aca="false">N29+O29+S29+U29+V29</f>
        <v>84</v>
      </c>
      <c r="X29" s="51" t="n">
        <f aca="false">IF(L29&lt;0,L29*-1,0)</f>
        <v>5.66221325938997</v>
      </c>
      <c r="Y29" s="51" t="n">
        <f aca="false">W29+X29</f>
        <v>89.66221325939</v>
      </c>
      <c r="Z29" s="56" t="n">
        <v>0</v>
      </c>
      <c r="AA29" s="82" t="n">
        <v>43</v>
      </c>
      <c r="AB29" s="57" t="n">
        <v>11</v>
      </c>
      <c r="AC29" s="58" t="n">
        <f aca="false">AC28+1</f>
        <v>20</v>
      </c>
      <c r="AD29" s="92"/>
      <c r="AE29" s="94"/>
      <c r="AF29" s="93"/>
    </row>
    <row r="30" customFormat="false" ht="11.1" hidden="false" customHeight="true" outlineLevel="0" collapsed="false">
      <c r="A30" s="58" t="n">
        <f aca="false">A29+1</f>
        <v>21</v>
      </c>
      <c r="B30" s="73" t="n">
        <v>6909.44</v>
      </c>
      <c r="C30" s="52" t="n">
        <v>319757</v>
      </c>
      <c r="D30" s="57" t="n">
        <f aca="false">C30-C29</f>
        <v>-80</v>
      </c>
      <c r="E30" s="52" t="n">
        <f aca="false">C30-152000</f>
        <v>167757</v>
      </c>
      <c r="F30" s="51" t="n">
        <f aca="false">D30/$D$2</f>
        <v>-40.3327451474666</v>
      </c>
      <c r="G30" s="51" t="n">
        <v>70</v>
      </c>
      <c r="H30" s="56" t="n">
        <v>0</v>
      </c>
      <c r="I30" s="51" t="n">
        <f aca="false">G30+H30</f>
        <v>70</v>
      </c>
      <c r="J30" s="81" t="n">
        <f aca="false">IF(L30&gt;0,L30,0)</f>
        <v>0</v>
      </c>
      <c r="K30" s="51" t="n">
        <f aca="false">I30+J30</f>
        <v>70</v>
      </c>
      <c r="L30" s="51" t="n">
        <f aca="false">F30-(I30-W30)</f>
        <v>-26.3327451474666</v>
      </c>
      <c r="M30" s="87" t="n">
        <v>4</v>
      </c>
      <c r="N30" s="51" t="n">
        <v>0</v>
      </c>
      <c r="O30" s="51" t="n">
        <v>0</v>
      </c>
      <c r="P30" s="6" t="n">
        <f aca="false">M30-(N30+O30)</f>
        <v>4</v>
      </c>
      <c r="Q30" s="51" t="n">
        <v>0</v>
      </c>
      <c r="R30" s="51" t="n">
        <v>0</v>
      </c>
      <c r="S30" s="51" t="n">
        <f aca="false">SUM(P30:R30)</f>
        <v>4</v>
      </c>
      <c r="T30" s="52"/>
      <c r="U30" s="51" t="n">
        <v>0</v>
      </c>
      <c r="V30" s="51" t="n">
        <v>80</v>
      </c>
      <c r="W30" s="6" t="n">
        <f aca="false">N30+O30+S30+U30+V30</f>
        <v>84</v>
      </c>
      <c r="X30" s="51" t="n">
        <f aca="false">IF(L30&lt;0,L30*-1,0)</f>
        <v>26.3327451474666</v>
      </c>
      <c r="Y30" s="51" t="n">
        <f aca="false">W30+X30</f>
        <v>110.332745147467</v>
      </c>
      <c r="Z30" s="56" t="n">
        <v>0</v>
      </c>
      <c r="AA30" s="57" t="n">
        <v>45</v>
      </c>
      <c r="AB30" s="57" t="n">
        <v>14</v>
      </c>
      <c r="AC30" s="58" t="n">
        <f aca="false">AC29+1</f>
        <v>21</v>
      </c>
      <c r="AD30" s="92"/>
      <c r="AE30" s="94"/>
      <c r="AF30" s="93"/>
    </row>
    <row r="31" customFormat="false" ht="11.1" hidden="false" customHeight="true" outlineLevel="0" collapsed="false">
      <c r="A31" s="58" t="n">
        <f aca="false">A30+1</f>
        <v>22</v>
      </c>
      <c r="B31" s="73" t="n">
        <v>6909.42</v>
      </c>
      <c r="C31" s="52" t="n">
        <v>319677</v>
      </c>
      <c r="D31" s="57" t="n">
        <f aca="false">C31-C30</f>
        <v>-80</v>
      </c>
      <c r="E31" s="52" t="n">
        <f aca="false">C31-152000</f>
        <v>167677</v>
      </c>
      <c r="F31" s="51" t="n">
        <f aca="false">D31/$D$2</f>
        <v>-40.3327451474666</v>
      </c>
      <c r="G31" s="51" t="n">
        <v>70</v>
      </c>
      <c r="H31" s="56" t="n">
        <v>0</v>
      </c>
      <c r="I31" s="51" t="n">
        <f aca="false">G31+H31</f>
        <v>70</v>
      </c>
      <c r="J31" s="81" t="n">
        <f aca="false">IF(L31&gt;0,L31,0)</f>
        <v>0</v>
      </c>
      <c r="K31" s="51" t="n">
        <f aca="false">I31+J31</f>
        <v>70</v>
      </c>
      <c r="L31" s="51" t="n">
        <f aca="false">F31-(I31-W31)</f>
        <v>-26.3327451474666</v>
      </c>
      <c r="M31" s="87" t="n">
        <v>4</v>
      </c>
      <c r="N31" s="51" t="n">
        <v>0</v>
      </c>
      <c r="O31" s="51" t="n">
        <v>0</v>
      </c>
      <c r="P31" s="6" t="n">
        <f aca="false">M31-(N31+O31)</f>
        <v>4</v>
      </c>
      <c r="Q31" s="51" t="n">
        <v>0</v>
      </c>
      <c r="R31" s="51" t="n">
        <v>0</v>
      </c>
      <c r="S31" s="51" t="n">
        <f aca="false">SUM(P31:R31)</f>
        <v>4</v>
      </c>
      <c r="T31" s="52"/>
      <c r="U31" s="51" t="n">
        <v>0</v>
      </c>
      <c r="V31" s="51" t="n">
        <v>80</v>
      </c>
      <c r="W31" s="6" t="n">
        <f aca="false">N31+O31+S31+U31+V31</f>
        <v>84</v>
      </c>
      <c r="X31" s="51" t="n">
        <f aca="false">IF(L31&lt;0,L31*-1,0)</f>
        <v>26.3327451474666</v>
      </c>
      <c r="Y31" s="51" t="n">
        <f aca="false">W31+X31</f>
        <v>110.332745147467</v>
      </c>
      <c r="Z31" s="56" t="n">
        <v>0</v>
      </c>
      <c r="AA31" s="57" t="n">
        <v>44</v>
      </c>
      <c r="AB31" s="57" t="n">
        <v>13</v>
      </c>
      <c r="AC31" s="58" t="n">
        <f aca="false">AC30+1</f>
        <v>22</v>
      </c>
      <c r="AD31" s="92"/>
      <c r="AE31" s="94"/>
      <c r="AF31" s="93"/>
    </row>
    <row r="32" customFormat="false" ht="11.1" hidden="false" customHeight="true" outlineLevel="0" collapsed="false">
      <c r="A32" s="58" t="n">
        <f aca="false">A31+1</f>
        <v>23</v>
      </c>
      <c r="B32" s="73" t="n">
        <v>6909.41</v>
      </c>
      <c r="C32" s="52" t="n">
        <v>319638</v>
      </c>
      <c r="D32" s="57" t="n">
        <f aca="false">C32-C31</f>
        <v>-39</v>
      </c>
      <c r="E32" s="52" t="n">
        <f aca="false">C32-152000</f>
        <v>167638</v>
      </c>
      <c r="F32" s="51" t="n">
        <f aca="false">D32/$D$2</f>
        <v>-19.66221325939</v>
      </c>
      <c r="G32" s="51" t="n">
        <v>70</v>
      </c>
      <c r="H32" s="56" t="n">
        <v>0</v>
      </c>
      <c r="I32" s="51" t="n">
        <f aca="false">G32+H32</f>
        <v>70</v>
      </c>
      <c r="J32" s="81" t="n">
        <f aca="false">IF(L32&gt;0,L32,0)</f>
        <v>0</v>
      </c>
      <c r="K32" s="51" t="n">
        <f aca="false">I32+J32</f>
        <v>70</v>
      </c>
      <c r="L32" s="51" t="n">
        <f aca="false">F32-(I32-W32)</f>
        <v>-5.66221325938997</v>
      </c>
      <c r="M32" s="87" t="n">
        <v>4</v>
      </c>
      <c r="N32" s="51" t="n">
        <v>0</v>
      </c>
      <c r="O32" s="51" t="n">
        <v>0</v>
      </c>
      <c r="P32" s="6" t="n">
        <f aca="false">M32-(N32+O32)</f>
        <v>4</v>
      </c>
      <c r="Q32" s="51" t="n">
        <v>0</v>
      </c>
      <c r="R32" s="51" t="n">
        <v>0</v>
      </c>
      <c r="S32" s="51" t="n">
        <f aca="false">SUM(P32:R32)</f>
        <v>4</v>
      </c>
      <c r="T32" s="52"/>
      <c r="U32" s="51" t="n">
        <v>0</v>
      </c>
      <c r="V32" s="51" t="n">
        <v>80</v>
      </c>
      <c r="W32" s="6" t="n">
        <f aca="false">N32+O32+S32+U32+V32</f>
        <v>84</v>
      </c>
      <c r="X32" s="51" t="n">
        <f aca="false">IF(L32&lt;0,L32*-1,0)</f>
        <v>5.66221325938997</v>
      </c>
      <c r="Y32" s="51" t="n">
        <f aca="false">W32+X32</f>
        <v>89.66221325939</v>
      </c>
      <c r="Z32" s="56" t="n">
        <v>0.04</v>
      </c>
      <c r="AA32" s="57" t="n">
        <v>42</v>
      </c>
      <c r="AB32" s="82" t="n">
        <v>16</v>
      </c>
      <c r="AC32" s="58" t="n">
        <f aca="false">AC31+1</f>
        <v>23</v>
      </c>
      <c r="AD32" s="92"/>
      <c r="AE32" s="94"/>
      <c r="AF32" s="93"/>
    </row>
    <row r="33" customFormat="false" ht="11.1" hidden="false" customHeight="true" outlineLevel="0" collapsed="false">
      <c r="A33" s="58" t="n">
        <f aca="false">A32+1</f>
        <v>24</v>
      </c>
      <c r="B33" s="73" t="n">
        <v>6909.41</v>
      </c>
      <c r="C33" s="52" t="n">
        <v>319638</v>
      </c>
      <c r="D33" s="57" t="n">
        <f aca="false">C33-C32</f>
        <v>0</v>
      </c>
      <c r="E33" s="52" t="n">
        <f aca="false">C33-152000</f>
        <v>167638</v>
      </c>
      <c r="F33" s="51" t="n">
        <f aca="false">D33/$D$2</f>
        <v>0</v>
      </c>
      <c r="G33" s="51" t="n">
        <v>70</v>
      </c>
      <c r="H33" s="56" t="n">
        <v>0</v>
      </c>
      <c r="I33" s="51" t="n">
        <f aca="false">G33+H33</f>
        <v>70</v>
      </c>
      <c r="J33" s="81" t="n">
        <f aca="false">IF(L33&gt;0,L33,0)</f>
        <v>14</v>
      </c>
      <c r="K33" s="51" t="n">
        <f aca="false">I33+J33</f>
        <v>84</v>
      </c>
      <c r="L33" s="51" t="n">
        <f aca="false">F33-(I33-W33)</f>
        <v>14</v>
      </c>
      <c r="M33" s="87" t="n">
        <v>4</v>
      </c>
      <c r="N33" s="51" t="n">
        <v>0</v>
      </c>
      <c r="O33" s="51" t="n">
        <v>0</v>
      </c>
      <c r="P33" s="6" t="n">
        <f aca="false">M33-(N33+O33)</f>
        <v>4</v>
      </c>
      <c r="Q33" s="51" t="n">
        <v>0</v>
      </c>
      <c r="R33" s="51" t="n">
        <v>0</v>
      </c>
      <c r="S33" s="51" t="n">
        <f aca="false">SUM(P33:R33)</f>
        <v>4</v>
      </c>
      <c r="T33" s="52"/>
      <c r="U33" s="51" t="n">
        <v>0</v>
      </c>
      <c r="V33" s="51" t="n">
        <v>80</v>
      </c>
      <c r="W33" s="6" t="n">
        <f aca="false">N33+O33+S33+U33+V33</f>
        <v>84</v>
      </c>
      <c r="X33" s="51" t="n">
        <f aca="false">IF(L33&lt;0,L33*-1,0)</f>
        <v>0</v>
      </c>
      <c r="Y33" s="51" t="n">
        <f aca="false">W33+X33</f>
        <v>84</v>
      </c>
      <c r="Z33" s="56" t="n">
        <v>0.32</v>
      </c>
      <c r="AA33" s="57" t="n">
        <v>36</v>
      </c>
      <c r="AB33" s="82" t="n">
        <v>22</v>
      </c>
      <c r="AC33" s="58" t="n">
        <f aca="false">AC32+1</f>
        <v>24</v>
      </c>
      <c r="AD33" s="92"/>
      <c r="AE33" s="94"/>
      <c r="AF33" s="93"/>
    </row>
    <row r="34" customFormat="false" ht="11.1" hidden="false" customHeight="true" outlineLevel="0" collapsed="false">
      <c r="A34" s="58" t="n">
        <f aca="false">A33+1</f>
        <v>25</v>
      </c>
      <c r="B34" s="73" t="n">
        <v>6909.41</v>
      </c>
      <c r="C34" s="52" t="n">
        <v>319638</v>
      </c>
      <c r="D34" s="57" t="n">
        <f aca="false">C34-C33</f>
        <v>0</v>
      </c>
      <c r="E34" s="52" t="n">
        <f aca="false">C34-152000</f>
        <v>167638</v>
      </c>
      <c r="F34" s="51" t="n">
        <f aca="false">D34/$D$2</f>
        <v>0</v>
      </c>
      <c r="G34" s="51" t="n">
        <v>70</v>
      </c>
      <c r="H34" s="56" t="n">
        <v>0</v>
      </c>
      <c r="I34" s="51" t="n">
        <f aca="false">G34+H34</f>
        <v>70</v>
      </c>
      <c r="J34" s="81" t="n">
        <f aca="false">IF(L34&gt;0,L34,0)</f>
        <v>14</v>
      </c>
      <c r="K34" s="51" t="n">
        <f aca="false">I34+J34</f>
        <v>84</v>
      </c>
      <c r="L34" s="51" t="n">
        <f aca="false">F34-(I34-W34)</f>
        <v>14</v>
      </c>
      <c r="M34" s="87" t="n">
        <v>4</v>
      </c>
      <c r="N34" s="51" t="n">
        <v>0</v>
      </c>
      <c r="O34" s="51" t="n">
        <v>0</v>
      </c>
      <c r="P34" s="6" t="n">
        <f aca="false">M34-(N34+O34)</f>
        <v>4</v>
      </c>
      <c r="Q34" s="51" t="n">
        <v>0</v>
      </c>
      <c r="R34" s="51" t="n">
        <v>0</v>
      </c>
      <c r="S34" s="51" t="n">
        <f aca="false">SUM(P34:R34)</f>
        <v>4</v>
      </c>
      <c r="T34" s="52"/>
      <c r="U34" s="51" t="n">
        <v>0</v>
      </c>
      <c r="V34" s="51" t="n">
        <v>80</v>
      </c>
      <c r="W34" s="6" t="n">
        <f aca="false">N34+O34+S34+U34+V34</f>
        <v>84</v>
      </c>
      <c r="X34" s="51" t="n">
        <f aca="false">IF(L34&lt;0,L34*-1,0)</f>
        <v>0</v>
      </c>
      <c r="Y34" s="51" t="n">
        <f aca="false">W34+X34</f>
        <v>84</v>
      </c>
      <c r="Z34" s="56" t="n">
        <v>0</v>
      </c>
      <c r="AA34" s="57" t="n">
        <v>35</v>
      </c>
      <c r="AB34" s="82" t="n">
        <v>17</v>
      </c>
      <c r="AC34" s="58" t="n">
        <f aca="false">AC33+1</f>
        <v>25</v>
      </c>
      <c r="AD34" s="92"/>
      <c r="AE34" s="94"/>
      <c r="AF34" s="93"/>
    </row>
    <row r="35" customFormat="false" ht="11.1" hidden="false" customHeight="true" outlineLevel="0" collapsed="false">
      <c r="A35" s="58" t="n">
        <f aca="false">A34+1</f>
        <v>26</v>
      </c>
      <c r="B35" s="73" t="n">
        <v>6909.39</v>
      </c>
      <c r="C35" s="52" t="n">
        <v>319558</v>
      </c>
      <c r="D35" s="57" t="n">
        <f aca="false">C35-C34</f>
        <v>-80</v>
      </c>
      <c r="E35" s="52" t="n">
        <f aca="false">C35-152000</f>
        <v>167558</v>
      </c>
      <c r="F35" s="51" t="n">
        <f aca="false">D35/$D$2</f>
        <v>-40.3327451474666</v>
      </c>
      <c r="G35" s="51" t="n">
        <v>70</v>
      </c>
      <c r="H35" s="56" t="n">
        <v>0</v>
      </c>
      <c r="I35" s="51" t="n">
        <f aca="false">G35+H35</f>
        <v>70</v>
      </c>
      <c r="J35" s="81" t="n">
        <f aca="false">IF(L35&gt;0,L35,0)</f>
        <v>0</v>
      </c>
      <c r="K35" s="51" t="n">
        <f aca="false">I35+J35</f>
        <v>70</v>
      </c>
      <c r="L35" s="51" t="n">
        <f aca="false">F35-(I35-W35)</f>
        <v>-26.3327451474666</v>
      </c>
      <c r="M35" s="87" t="n">
        <v>4</v>
      </c>
      <c r="N35" s="51" t="n">
        <v>0</v>
      </c>
      <c r="O35" s="51" t="n">
        <v>0</v>
      </c>
      <c r="P35" s="6" t="n">
        <f aca="false">M35-(N35+O35)</f>
        <v>4</v>
      </c>
      <c r="Q35" s="51" t="n">
        <v>0</v>
      </c>
      <c r="R35" s="51" t="n">
        <v>0</v>
      </c>
      <c r="S35" s="51" t="n">
        <f aca="false">SUM(P35:R35)</f>
        <v>4</v>
      </c>
      <c r="T35" s="52"/>
      <c r="U35" s="51" t="n">
        <v>0</v>
      </c>
      <c r="V35" s="51" t="n">
        <v>80</v>
      </c>
      <c r="W35" s="6" t="n">
        <f aca="false">N35+O35+S35+U35+V35</f>
        <v>84</v>
      </c>
      <c r="X35" s="51" t="n">
        <f aca="false">IF(L35&lt;0,L35*-1,0)</f>
        <v>26.3327451474666</v>
      </c>
      <c r="Y35" s="51" t="n">
        <f aca="false">W35+X35</f>
        <v>110.332745147467</v>
      </c>
      <c r="Z35" s="56" t="n">
        <v>0</v>
      </c>
      <c r="AA35" s="57" t="n">
        <v>40</v>
      </c>
      <c r="AB35" s="57" t="n">
        <v>7</v>
      </c>
      <c r="AC35" s="58" t="n">
        <f aca="false">AC34+1</f>
        <v>26</v>
      </c>
      <c r="AD35" s="92"/>
      <c r="AE35" s="94"/>
      <c r="AF35" s="93"/>
    </row>
    <row r="36" customFormat="false" ht="11.1" hidden="false" customHeight="true" outlineLevel="0" collapsed="false">
      <c r="A36" s="58" t="n">
        <f aca="false">A35+1</f>
        <v>27</v>
      </c>
      <c r="B36" s="73" t="n">
        <v>6909.37</v>
      </c>
      <c r="C36" s="52" t="n">
        <v>319478</v>
      </c>
      <c r="D36" s="57" t="n">
        <f aca="false">C36-C35</f>
        <v>-80</v>
      </c>
      <c r="E36" s="52" t="n">
        <f aca="false">C36-152000</f>
        <v>167478</v>
      </c>
      <c r="F36" s="51" t="n">
        <f aca="false">D36/$D$2</f>
        <v>-40.3327451474666</v>
      </c>
      <c r="G36" s="51" t="n">
        <v>70</v>
      </c>
      <c r="H36" s="56" t="n">
        <v>0</v>
      </c>
      <c r="I36" s="51" t="n">
        <f aca="false">G36+H36</f>
        <v>70</v>
      </c>
      <c r="J36" s="81" t="n">
        <f aca="false">IF(L36&gt;0,L36,0)</f>
        <v>0</v>
      </c>
      <c r="K36" s="51" t="n">
        <f aca="false">I36+J36</f>
        <v>70</v>
      </c>
      <c r="L36" s="51" t="n">
        <f aca="false">F36-(I36-W36)</f>
        <v>-24.3327451474666</v>
      </c>
      <c r="M36" s="87" t="n">
        <v>6</v>
      </c>
      <c r="N36" s="51" t="n">
        <v>0</v>
      </c>
      <c r="O36" s="51" t="n">
        <v>0</v>
      </c>
      <c r="P36" s="6" t="n">
        <f aca="false">M36-(N36+O36)</f>
        <v>6</v>
      </c>
      <c r="Q36" s="51" t="n">
        <v>0</v>
      </c>
      <c r="R36" s="51" t="n">
        <v>0</v>
      </c>
      <c r="S36" s="51" t="n">
        <f aca="false">SUM(P36:R36)</f>
        <v>6</v>
      </c>
      <c r="T36" s="52"/>
      <c r="U36" s="51" t="n">
        <v>0</v>
      </c>
      <c r="V36" s="51" t="n">
        <v>80</v>
      </c>
      <c r="W36" s="6" t="n">
        <f aca="false">N36+O36+S36+U36+V36</f>
        <v>86</v>
      </c>
      <c r="X36" s="51" t="n">
        <f aca="false">IF(L36&lt;0,L36*-1,0)</f>
        <v>24.3327451474666</v>
      </c>
      <c r="Y36" s="51" t="n">
        <f aca="false">W36+X36</f>
        <v>110.332745147467</v>
      </c>
      <c r="Z36" s="56" t="n">
        <v>0</v>
      </c>
      <c r="AA36" s="57" t="n">
        <v>41</v>
      </c>
      <c r="AB36" s="57" t="n">
        <v>10</v>
      </c>
      <c r="AC36" s="58" t="n">
        <f aca="false">AC35+1</f>
        <v>27</v>
      </c>
      <c r="AD36" s="92"/>
      <c r="AE36" s="94"/>
      <c r="AF36" s="93"/>
    </row>
    <row r="37" customFormat="false" ht="11.1" hidden="false" customHeight="true" outlineLevel="0" collapsed="false">
      <c r="A37" s="58" t="n">
        <f aca="false">A36+1</f>
        <v>28</v>
      </c>
      <c r="B37" s="73" t="n">
        <v>6909.36</v>
      </c>
      <c r="C37" s="52" t="n">
        <v>319439</v>
      </c>
      <c r="D37" s="57" t="n">
        <f aca="false">C37-C36</f>
        <v>-39</v>
      </c>
      <c r="E37" s="52" t="n">
        <f aca="false">C37-152000</f>
        <v>167439</v>
      </c>
      <c r="F37" s="51" t="n">
        <f aca="false">D37/$D$2</f>
        <v>-19.66221325939</v>
      </c>
      <c r="G37" s="51" t="n">
        <v>70</v>
      </c>
      <c r="H37" s="56" t="n">
        <v>0</v>
      </c>
      <c r="I37" s="51" t="n">
        <f aca="false">G37+H37</f>
        <v>70</v>
      </c>
      <c r="J37" s="81" t="n">
        <f aca="false">IF(L37&gt;0,L37,0)</f>
        <v>0</v>
      </c>
      <c r="K37" s="51" t="n">
        <f aca="false">I37+J37</f>
        <v>70</v>
      </c>
      <c r="L37" s="51" t="n">
        <f aca="false">F37-(I37-W37)</f>
        <v>-2.66221325938997</v>
      </c>
      <c r="M37" s="87" t="n">
        <v>7</v>
      </c>
      <c r="N37" s="51" t="n">
        <v>0</v>
      </c>
      <c r="O37" s="51" t="n">
        <v>0</v>
      </c>
      <c r="P37" s="6" t="n">
        <f aca="false">M37-(N37+O37)</f>
        <v>7</v>
      </c>
      <c r="Q37" s="51" t="n">
        <v>0</v>
      </c>
      <c r="R37" s="51" t="n">
        <v>0</v>
      </c>
      <c r="S37" s="51" t="n">
        <f aca="false">SUM(P37:R37)</f>
        <v>7</v>
      </c>
      <c r="T37" s="52"/>
      <c r="U37" s="51" t="n">
        <v>0</v>
      </c>
      <c r="V37" s="51" t="n">
        <v>80</v>
      </c>
      <c r="W37" s="6" t="n">
        <f aca="false">N37+O37+S37+U37+V37</f>
        <v>87</v>
      </c>
      <c r="X37" s="51" t="n">
        <f aca="false">IF(L37&lt;0,L37*-1,0)</f>
        <v>2.66221325938997</v>
      </c>
      <c r="Y37" s="51" t="n">
        <f aca="false">W37+X37</f>
        <v>89.66221325939</v>
      </c>
      <c r="Z37" s="56" t="n">
        <v>0</v>
      </c>
      <c r="AA37" s="57" t="n">
        <v>39</v>
      </c>
      <c r="AB37" s="57" t="n">
        <v>11</v>
      </c>
      <c r="AC37" s="58" t="n">
        <f aca="false">AC36+1</f>
        <v>28</v>
      </c>
      <c r="AD37" s="92"/>
      <c r="AE37" s="94"/>
      <c r="AF37" s="93"/>
    </row>
    <row r="38" customFormat="false" ht="11.1" hidden="false" customHeight="true" outlineLevel="0" collapsed="false">
      <c r="A38" s="58" t="n">
        <f aca="false">A37+1</f>
        <v>29</v>
      </c>
      <c r="B38" s="73" t="n">
        <v>6909.37</v>
      </c>
      <c r="C38" s="52" t="n">
        <v>319478</v>
      </c>
      <c r="D38" s="57" t="n">
        <f aca="false">C38-C37</f>
        <v>39</v>
      </c>
      <c r="E38" s="52" t="n">
        <f aca="false">C38-152000</f>
        <v>167478</v>
      </c>
      <c r="F38" s="51" t="n">
        <f aca="false">D38/$D$2</f>
        <v>19.66221325939</v>
      </c>
      <c r="G38" s="51" t="n">
        <v>70</v>
      </c>
      <c r="H38" s="56" t="n">
        <v>0</v>
      </c>
      <c r="I38" s="51" t="n">
        <f aca="false">G38+H38</f>
        <v>70</v>
      </c>
      <c r="J38" s="81" t="n">
        <f aca="false">IF(L38&gt;0,L38,0)</f>
        <v>36.66221325939</v>
      </c>
      <c r="K38" s="51" t="n">
        <f aca="false">I38+J38</f>
        <v>106.66221325939</v>
      </c>
      <c r="L38" s="51" t="n">
        <f aca="false">F38-(I38-W38)</f>
        <v>36.66221325939</v>
      </c>
      <c r="M38" s="87" t="n">
        <v>7</v>
      </c>
      <c r="N38" s="51" t="n">
        <v>0</v>
      </c>
      <c r="O38" s="51" t="n">
        <v>0</v>
      </c>
      <c r="P38" s="6" t="n">
        <f aca="false">M38-(N38+O38)</f>
        <v>7</v>
      </c>
      <c r="Q38" s="51" t="n">
        <v>0</v>
      </c>
      <c r="R38" s="51" t="n">
        <v>0</v>
      </c>
      <c r="S38" s="51" t="n">
        <f aca="false">SUM(P38:R38)</f>
        <v>7</v>
      </c>
      <c r="T38" s="52"/>
      <c r="U38" s="51" t="n">
        <v>0</v>
      </c>
      <c r="V38" s="51" t="n">
        <v>80</v>
      </c>
      <c r="W38" s="6" t="n">
        <f aca="false">N38+O38+S38+U38+V38</f>
        <v>87</v>
      </c>
      <c r="X38" s="51" t="n">
        <f aca="false">IF(L38&lt;0,L38*-1,0)</f>
        <v>0</v>
      </c>
      <c r="Y38" s="51" t="n">
        <f aca="false">W38+X38</f>
        <v>87</v>
      </c>
      <c r="Z38" s="56" t="n">
        <v>0</v>
      </c>
      <c r="AA38" s="82" t="n">
        <v>40</v>
      </c>
      <c r="AB38" s="57" t="n">
        <v>10</v>
      </c>
      <c r="AC38" s="58" t="n">
        <f aca="false">AC37+1</f>
        <v>29</v>
      </c>
      <c r="AD38" s="92"/>
      <c r="AE38" s="94"/>
      <c r="AF38" s="93"/>
    </row>
    <row r="39" customFormat="false" ht="11.1" hidden="false" customHeight="true" outlineLevel="0" collapsed="false">
      <c r="A39" s="58" t="n">
        <v>30</v>
      </c>
      <c r="B39" s="73" t="n">
        <v>6909.37</v>
      </c>
      <c r="C39" s="52" t="n">
        <v>319478</v>
      </c>
      <c r="D39" s="57" t="n">
        <f aca="false">C39-C38</f>
        <v>0</v>
      </c>
      <c r="E39" s="52" t="n">
        <f aca="false">C39-152000</f>
        <v>167478</v>
      </c>
      <c r="F39" s="51" t="n">
        <f aca="false">D39/$D$2</f>
        <v>0</v>
      </c>
      <c r="G39" s="51" t="n">
        <v>70</v>
      </c>
      <c r="H39" s="56" t="n">
        <v>0</v>
      </c>
      <c r="I39" s="51" t="n">
        <f aca="false">G39+H39</f>
        <v>70</v>
      </c>
      <c r="J39" s="81" t="n">
        <f aca="false">IF(L39&gt;0,L39,0)</f>
        <v>16</v>
      </c>
      <c r="K39" s="51" t="n">
        <f aca="false">I39+J39</f>
        <v>86</v>
      </c>
      <c r="L39" s="51" t="n">
        <f aca="false">F39-(I39-W39)</f>
        <v>16</v>
      </c>
      <c r="M39" s="87" t="n">
        <v>6</v>
      </c>
      <c r="N39" s="51" t="n">
        <v>0</v>
      </c>
      <c r="O39" s="51" t="n">
        <v>0</v>
      </c>
      <c r="P39" s="6" t="n">
        <f aca="false">M39-(N39+O39)</f>
        <v>6</v>
      </c>
      <c r="Q39" s="51" t="n">
        <v>0</v>
      </c>
      <c r="R39" s="51" t="n">
        <v>0</v>
      </c>
      <c r="S39" s="51" t="n">
        <f aca="false">SUM(P39:R39)</f>
        <v>6</v>
      </c>
      <c r="T39" s="52"/>
      <c r="U39" s="51" t="n">
        <v>0</v>
      </c>
      <c r="V39" s="51" t="n">
        <v>80</v>
      </c>
      <c r="W39" s="6" t="n">
        <f aca="false">N39+O39+S39+U39+V39</f>
        <v>86</v>
      </c>
      <c r="X39" s="51" t="n">
        <f aca="false">IF(L39&lt;0,L39*-1,0)</f>
        <v>0</v>
      </c>
      <c r="Y39" s="51" t="n">
        <f aca="false">W39+X39</f>
        <v>86</v>
      </c>
      <c r="Z39" s="56" t="n">
        <v>0</v>
      </c>
      <c r="AA39" s="82" t="n">
        <v>40</v>
      </c>
      <c r="AB39" s="57" t="n">
        <v>7</v>
      </c>
      <c r="AC39" s="58" t="n">
        <v>30</v>
      </c>
      <c r="AD39" s="92"/>
      <c r="AE39" s="94"/>
      <c r="AF39" s="93"/>
    </row>
    <row r="40" customFormat="false" ht="11.1" hidden="false" customHeight="true" outlineLevel="0" collapsed="false">
      <c r="A40" s="58" t="n">
        <v>31</v>
      </c>
      <c r="B40" s="73" t="n">
        <v>6909.38</v>
      </c>
      <c r="C40" s="52" t="n">
        <v>319518</v>
      </c>
      <c r="D40" s="57" t="n">
        <f aca="false">C40-C39</f>
        <v>40</v>
      </c>
      <c r="E40" s="52" t="n">
        <f aca="false">C40-152000</f>
        <v>167518</v>
      </c>
      <c r="F40" s="51" t="n">
        <f aca="false">D40/$D$2</f>
        <v>20.1663725737333</v>
      </c>
      <c r="G40" s="51" t="n">
        <v>70</v>
      </c>
      <c r="H40" s="56" t="n">
        <v>0</v>
      </c>
      <c r="I40" s="51" t="n">
        <f aca="false">G40+H40</f>
        <v>70</v>
      </c>
      <c r="J40" s="81" t="n">
        <f aca="false">IF(L40&gt;0,L40,0)</f>
        <v>35.1663725737333</v>
      </c>
      <c r="K40" s="51" t="n">
        <f aca="false">I40+J40</f>
        <v>105.166372573733</v>
      </c>
      <c r="L40" s="51" t="n">
        <f aca="false">F40-(I40-W40)</f>
        <v>35.1663725737333</v>
      </c>
      <c r="M40" s="87" t="n">
        <v>5</v>
      </c>
      <c r="N40" s="51" t="n">
        <v>0</v>
      </c>
      <c r="O40" s="51" t="n">
        <v>0</v>
      </c>
      <c r="P40" s="6" t="n">
        <f aca="false">M40-(N40+O40)</f>
        <v>5</v>
      </c>
      <c r="Q40" s="51" t="n">
        <v>0</v>
      </c>
      <c r="R40" s="51" t="n">
        <v>0</v>
      </c>
      <c r="S40" s="51" t="n">
        <f aca="false">SUM(P40:R40)</f>
        <v>5</v>
      </c>
      <c r="T40" s="52"/>
      <c r="U40" s="51" t="n">
        <v>0</v>
      </c>
      <c r="V40" s="51" t="n">
        <v>80</v>
      </c>
      <c r="W40" s="6" t="n">
        <f aca="false">N40+O40+S40+U40+V40</f>
        <v>85</v>
      </c>
      <c r="X40" s="51" t="n">
        <f aca="false">IF(L40&lt;0,L40*-1,0)</f>
        <v>0</v>
      </c>
      <c r="Y40" s="51" t="n">
        <f aca="false">W40+X40</f>
        <v>85</v>
      </c>
      <c r="Z40" s="56" t="n">
        <v>0</v>
      </c>
      <c r="AA40" s="82" t="n">
        <v>44</v>
      </c>
      <c r="AB40" s="57" t="n">
        <v>9</v>
      </c>
      <c r="AC40" s="58" t="n">
        <v>31</v>
      </c>
      <c r="AD40" s="92"/>
      <c r="AE40" s="92"/>
      <c r="AF40" s="93"/>
    </row>
    <row r="41" customFormat="false" ht="3" hidden="false" customHeight="true" outlineLevel="0" collapsed="false">
      <c r="A41" s="74"/>
      <c r="B41" s="83"/>
      <c r="C41" s="76"/>
      <c r="D41" s="74"/>
      <c r="E41" s="76"/>
      <c r="F41" s="74"/>
      <c r="G41" s="83"/>
      <c r="H41" s="78" t="n">
        <v>0</v>
      </c>
      <c r="I41" s="74"/>
      <c r="J41" s="74"/>
      <c r="K41" s="74"/>
      <c r="L41" s="74"/>
      <c r="M41" s="96"/>
      <c r="N41" s="83"/>
      <c r="O41" s="74"/>
      <c r="P41" s="74"/>
      <c r="Q41" s="74"/>
      <c r="R41" s="74"/>
      <c r="S41" s="74"/>
      <c r="T41" s="76"/>
      <c r="U41" s="74"/>
      <c r="V41" s="83"/>
      <c r="W41" s="74"/>
      <c r="X41" s="74"/>
      <c r="Y41" s="74"/>
      <c r="Z41" s="78"/>
      <c r="AA41" s="79" t="n">
        <v>39</v>
      </c>
      <c r="AB41" s="79"/>
      <c r="AC41" s="80"/>
      <c r="AD41" s="92"/>
      <c r="AE41" s="92"/>
      <c r="AF41" s="93"/>
    </row>
    <row r="42" customFormat="false" ht="11.1" hidden="false" customHeight="true" outlineLevel="0" collapsed="false">
      <c r="A42" s="51" t="s">
        <v>44</v>
      </c>
      <c r="B42" s="51"/>
      <c r="C42" s="52"/>
      <c r="D42" s="52"/>
      <c r="E42" s="52"/>
      <c r="F42" s="52" t="n">
        <f aca="false">SUM(F10:F40)</f>
        <v>-441.643559364759</v>
      </c>
      <c r="G42" s="52" t="n">
        <f aca="false">SUM(G10:G40)</f>
        <v>2170</v>
      </c>
      <c r="H42" s="56" t="n">
        <f aca="false">SUM(H10:H40)</f>
        <v>0</v>
      </c>
      <c r="I42" s="52" t="n">
        <f aca="false">SUM(I10:I40)</f>
        <v>1970.9</v>
      </c>
      <c r="J42" s="52" t="n">
        <f aca="false">SUM(J10:J40)</f>
        <v>476.928585833123</v>
      </c>
      <c r="K42" s="52" t="n">
        <f aca="false">SUM(K10:K40)</f>
        <v>2447.82858583312</v>
      </c>
      <c r="L42" s="52" t="n">
        <f aca="false">SUM(L10:L40)</f>
        <v>213.456440635241</v>
      </c>
      <c r="M42" s="87" t="n">
        <f aca="false">SUM(M10:M40)</f>
        <v>146</v>
      </c>
      <c r="N42" s="52" t="n">
        <f aca="false">SUM(N10:N40)</f>
        <v>0</v>
      </c>
      <c r="O42" s="52" t="n">
        <f aca="false">SUM(O10:O40)</f>
        <v>0</v>
      </c>
      <c r="P42" s="52" t="n">
        <f aca="false">SUM(P10:P40)</f>
        <v>146</v>
      </c>
      <c r="Q42" s="52" t="n">
        <f aca="false">SUM(Q10:Q40)</f>
        <v>0</v>
      </c>
      <c r="R42" s="52" t="n">
        <f aca="false">SUM(R10:R40)</f>
        <v>0</v>
      </c>
      <c r="S42" s="52" t="n">
        <f aca="false">SUM(S10:S40)</f>
        <v>146</v>
      </c>
      <c r="T42" s="52"/>
      <c r="U42" s="52" t="n">
        <f aca="false">SUM(U10:U40)</f>
        <v>0</v>
      </c>
      <c r="V42" s="52" t="n">
        <f aca="false">SUM(V10:V40)</f>
        <v>2480</v>
      </c>
      <c r="W42" s="52" t="n">
        <f aca="false">SUM(W10:W40)</f>
        <v>2626</v>
      </c>
      <c r="X42" s="52" t="n">
        <f aca="false">SUM(X10:X40)</f>
        <v>263.472145197883</v>
      </c>
      <c r="Y42" s="52" t="n">
        <f aca="false">SUM(Y10:Y40)</f>
        <v>2889.47214519788</v>
      </c>
      <c r="Z42" s="56" t="n">
        <f aca="false">SUM(Z10:Z40)</f>
        <v>1.15</v>
      </c>
      <c r="AA42" s="57" t="n">
        <f aca="false">AVERAGE(AA10:AA40)</f>
        <v>36.0967741935484</v>
      </c>
      <c r="AB42" s="57" t="n">
        <f aca="false">AVERAGE(AB10:AB40)</f>
        <v>8.70967741935484</v>
      </c>
      <c r="AC42" s="58" t="s">
        <v>57</v>
      </c>
      <c r="AD42" s="92"/>
      <c r="AE42" s="92"/>
      <c r="AF42" s="93"/>
    </row>
    <row r="43" customFormat="false" ht="11.1" hidden="false" customHeight="true" outlineLevel="0" collapsed="false">
      <c r="A43" s="51" t="s">
        <v>46</v>
      </c>
      <c r="B43" s="51"/>
      <c r="C43" s="52"/>
      <c r="D43" s="52" t="n">
        <f aca="false">SUM(D10:D40)</f>
        <v>-876</v>
      </c>
      <c r="E43" s="52"/>
      <c r="F43" s="52" t="n">
        <f aca="false">F42*$D$2</f>
        <v>-876</v>
      </c>
      <c r="G43" s="52" t="n">
        <f aca="false">G42*$D$2</f>
        <v>4304.195</v>
      </c>
      <c r="H43" s="52" t="n">
        <f aca="false">H42*$D$2</f>
        <v>0</v>
      </c>
      <c r="I43" s="52" t="n">
        <f aca="false">I42*$D$2</f>
        <v>3909.28015</v>
      </c>
      <c r="J43" s="52" t="n">
        <f aca="false">J42*$D$2</f>
        <v>945.98785</v>
      </c>
      <c r="K43" s="52" t="n">
        <f aca="false">K42*$D$2</f>
        <v>4855.268</v>
      </c>
      <c r="L43" s="52" t="n">
        <f aca="false">L42*$D$2</f>
        <v>423.39085</v>
      </c>
      <c r="M43" s="87" t="n">
        <f aca="false">M42*$D$2</f>
        <v>289.591</v>
      </c>
      <c r="N43" s="52" t="n">
        <f aca="false">N42*$D$2</f>
        <v>0</v>
      </c>
      <c r="O43" s="52" t="n">
        <f aca="false">O42*$D$2</f>
        <v>0</v>
      </c>
      <c r="P43" s="52" t="n">
        <f aca="false">P42*$D$2</f>
        <v>289.591</v>
      </c>
      <c r="Q43" s="52" t="n">
        <f aca="false">Q42*$D$2</f>
        <v>0</v>
      </c>
      <c r="R43" s="52" t="n">
        <f aca="false">R42*$D$2</f>
        <v>0</v>
      </c>
      <c r="S43" s="52" t="n">
        <f aca="false">S42*$D$2</f>
        <v>289.591</v>
      </c>
      <c r="T43" s="52"/>
      <c r="U43" s="52" t="n">
        <f aca="false">U42*$D$2</f>
        <v>0</v>
      </c>
      <c r="V43" s="52" t="n">
        <f aca="false">V42*$D$2</f>
        <v>4919.08</v>
      </c>
      <c r="W43" s="52" t="n">
        <f aca="false">W42*$D$2</f>
        <v>5208.671</v>
      </c>
      <c r="X43" s="52" t="n">
        <f aca="false">X42*$D$2</f>
        <v>522.597</v>
      </c>
      <c r="Y43" s="52" t="n">
        <f aca="false">Y42*$D$2</f>
        <v>5731.268</v>
      </c>
      <c r="Z43" s="56"/>
      <c r="AA43" s="57" t="n">
        <f aca="false">MAX(AA10:AA40)</f>
        <v>45</v>
      </c>
      <c r="AB43" s="57" t="n">
        <f aca="false">MAX(AB10:AB40)</f>
        <v>25</v>
      </c>
      <c r="AC43" s="58" t="s">
        <v>47</v>
      </c>
      <c r="AD43" s="92"/>
      <c r="AE43" s="92"/>
      <c r="AF43" s="93"/>
    </row>
    <row r="44" customFormat="false" ht="3" hidden="false" customHeight="true" outlineLevel="0" collapsed="false">
      <c r="A44" s="74"/>
      <c r="B44" s="74"/>
      <c r="C44" s="76"/>
      <c r="D44" s="76"/>
      <c r="E44" s="76"/>
      <c r="F44" s="76"/>
      <c r="G44" s="76"/>
      <c r="H44" s="78"/>
      <c r="I44" s="76"/>
      <c r="J44" s="76"/>
      <c r="K44" s="76"/>
      <c r="L44" s="76"/>
      <c r="M44" s="95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56"/>
      <c r="AA44" s="57"/>
      <c r="AB44" s="57"/>
      <c r="AC44" s="58"/>
      <c r="AD44" s="92"/>
      <c r="AE44" s="92"/>
      <c r="AF44" s="93"/>
    </row>
    <row r="45" customFormat="false" ht="11.1" hidden="false" customHeight="true" outlineLevel="0" collapsed="false">
      <c r="A45" s="51" t="s">
        <v>48</v>
      </c>
      <c r="B45" s="51"/>
      <c r="C45" s="52"/>
      <c r="D45" s="52"/>
      <c r="E45" s="52"/>
      <c r="F45" s="52"/>
      <c r="G45" s="52"/>
      <c r="H45" s="56"/>
      <c r="I45" s="52"/>
      <c r="J45" s="52"/>
      <c r="K45" s="52"/>
      <c r="L45" s="52"/>
      <c r="M45" s="87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6"/>
      <c r="AA45" s="57" t="n">
        <f aca="false">MIN(AA10:AA40)</f>
        <v>25</v>
      </c>
      <c r="AB45" s="57" t="n">
        <f aca="false">MIN(AB10:AB40)</f>
        <v>-5</v>
      </c>
      <c r="AC45" s="58" t="s">
        <v>49</v>
      </c>
      <c r="AD45" s="92"/>
      <c r="AE45" s="92"/>
      <c r="AF45" s="93"/>
    </row>
    <row r="46" customFormat="false" ht="11.1" hidden="false" customHeight="true" outlineLevel="0" collapsed="false">
      <c r="A46" s="51" t="s">
        <v>50</v>
      </c>
      <c r="B46" s="51"/>
      <c r="C46" s="52"/>
      <c r="D46" s="52"/>
      <c r="E46" s="52"/>
      <c r="F46" s="52"/>
      <c r="G46" s="52"/>
      <c r="H46" s="56"/>
      <c r="I46" s="52"/>
      <c r="J46" s="52"/>
      <c r="K46" s="52"/>
      <c r="L46" s="52"/>
      <c r="M46" s="87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6"/>
      <c r="AA46" s="57"/>
      <c r="AB46" s="57"/>
      <c r="AC46" s="58"/>
      <c r="AD46" s="92"/>
      <c r="AE46" s="92"/>
      <c r="AF46" s="93"/>
    </row>
    <row r="47" customFormat="false" ht="3" hidden="false" customHeight="true" outlineLevel="0" collapsed="false">
      <c r="A47" s="74"/>
      <c r="B47" s="74"/>
      <c r="C47" s="76"/>
      <c r="D47" s="76"/>
      <c r="E47" s="76"/>
      <c r="F47" s="76"/>
      <c r="G47" s="76"/>
      <c r="H47" s="78"/>
      <c r="I47" s="76"/>
      <c r="J47" s="76"/>
      <c r="K47" s="76"/>
      <c r="L47" s="76"/>
      <c r="M47" s="95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8"/>
      <c r="AA47" s="57"/>
      <c r="AB47" s="57"/>
      <c r="AC47" s="58"/>
      <c r="AD47" s="92"/>
      <c r="AE47" s="92"/>
      <c r="AF47" s="93"/>
    </row>
    <row r="48" customFormat="false" ht="11.1" hidden="false" customHeight="true" outlineLevel="0" collapsed="false">
      <c r="A48" s="51" t="s">
        <v>51</v>
      </c>
      <c r="B48" s="51"/>
      <c r="C48" s="52"/>
      <c r="D48" s="52"/>
      <c r="E48" s="52"/>
      <c r="F48" s="52" t="n">
        <f aca="false">F8+F42</f>
        <v>-2741.61835139904</v>
      </c>
      <c r="G48" s="52" t="n">
        <f aca="false">G8+G42</f>
        <v>6656.06</v>
      </c>
      <c r="H48" s="56" t="n">
        <f aca="false">H8+H42</f>
        <v>0</v>
      </c>
      <c r="I48" s="52" t="n">
        <f aca="false">I8+I42</f>
        <v>6456.96</v>
      </c>
      <c r="J48" s="52" t="n">
        <f aca="false">J8+J42</f>
        <v>1110.00148474918</v>
      </c>
      <c r="K48" s="52" t="n">
        <f aca="false">K8+K42</f>
        <v>7566.96148474918</v>
      </c>
      <c r="L48" s="52" t="n">
        <f aca="false">L8+L42</f>
        <v>-26.9183513990419</v>
      </c>
      <c r="M48" s="87" t="n">
        <f aca="false">M8+M42</f>
        <v>1399.77</v>
      </c>
      <c r="N48" s="52" t="n">
        <f aca="false">N8+N42</f>
        <v>0</v>
      </c>
      <c r="O48" s="52" t="n">
        <f aca="false">O8+O42</f>
        <v>0</v>
      </c>
      <c r="P48" s="52" t="n">
        <f aca="false">P8+P42</f>
        <v>1399.77</v>
      </c>
      <c r="Q48" s="52" t="n">
        <f aca="false">Q8+Q42</f>
        <v>0</v>
      </c>
      <c r="R48" s="52" t="n">
        <f aca="false">R8+R42</f>
        <v>410.19</v>
      </c>
      <c r="S48" s="52" t="n">
        <f aca="false">S8+S42</f>
        <v>1809.96</v>
      </c>
      <c r="T48" s="52"/>
      <c r="U48" s="52" t="n">
        <f aca="false">U8+U42</f>
        <v>0</v>
      </c>
      <c r="V48" s="52" t="n">
        <f aca="false">V8+V42</f>
        <v>7361.7</v>
      </c>
      <c r="W48" s="52" t="n">
        <f aca="false">W8+W42</f>
        <v>9171.66</v>
      </c>
      <c r="X48" s="52" t="n">
        <f aca="false">X8+X42</f>
        <v>1136.91983614822</v>
      </c>
      <c r="Y48" s="52" t="n">
        <f aca="false">Y8+Y42</f>
        <v>10308.5798361482</v>
      </c>
      <c r="Z48" s="56" t="n">
        <f aca="false">Z8+Z42</f>
        <v>5.19</v>
      </c>
      <c r="AA48" s="57"/>
      <c r="AB48" s="57"/>
      <c r="AC48" s="58"/>
      <c r="AD48" s="92"/>
      <c r="AE48" s="92"/>
      <c r="AF48" s="93"/>
    </row>
    <row r="49" customFormat="false" ht="11.1" hidden="false" customHeight="true" outlineLevel="0" collapsed="false">
      <c r="A49" s="51" t="s">
        <v>52</v>
      </c>
      <c r="B49" s="51"/>
      <c r="C49" s="52"/>
      <c r="D49" s="52" t="n">
        <f aca="false">D8+D43</f>
        <v>-5438</v>
      </c>
      <c r="E49" s="52" t="n">
        <f aca="false">E40</f>
        <v>167518</v>
      </c>
      <c r="F49" s="52" t="n">
        <f aca="false">F48*$D$2</f>
        <v>-5438</v>
      </c>
      <c r="G49" s="52" t="n">
        <f aca="false">G48*$D$2</f>
        <v>13202.29501</v>
      </c>
      <c r="H49" s="56" t="n">
        <f aca="false">H48*$D$2</f>
        <v>0</v>
      </c>
      <c r="I49" s="52" t="n">
        <f aca="false">I48*$D$2</f>
        <v>12807.38016</v>
      </c>
      <c r="J49" s="52" t="n">
        <f aca="false">J48*$D$2</f>
        <v>2201.687945</v>
      </c>
      <c r="K49" s="52" t="n">
        <f aca="false">K48*$D$2</f>
        <v>15009.068105</v>
      </c>
      <c r="L49" s="52" t="n">
        <f aca="false">L48*$D$2</f>
        <v>-53.3925499999997</v>
      </c>
      <c r="M49" s="87" t="n">
        <f aca="false">M48*$D$2</f>
        <v>2776.443795</v>
      </c>
      <c r="N49" s="52" t="n">
        <f aca="false">N48*$D$2</f>
        <v>0</v>
      </c>
      <c r="O49" s="52" t="n">
        <f aca="false">O48*$D$2</f>
        <v>0</v>
      </c>
      <c r="P49" s="52" t="n">
        <f aca="false">P48*$D$2</f>
        <v>2776.443795</v>
      </c>
      <c r="Q49" s="52" t="n">
        <f aca="false">Q48*$D$2</f>
        <v>0</v>
      </c>
      <c r="R49" s="52" t="n">
        <f aca="false">R48*$D$2</f>
        <v>813.611865</v>
      </c>
      <c r="S49" s="52" t="n">
        <f aca="false">S48*$D$2</f>
        <v>3590.05566</v>
      </c>
      <c r="T49" s="52" t="n">
        <f aca="false">T48*$D$2</f>
        <v>0</v>
      </c>
      <c r="U49" s="52" t="n">
        <f aca="false">U48*$D$2</f>
        <v>0</v>
      </c>
      <c r="V49" s="52" t="n">
        <f aca="false">V48*$D$2</f>
        <v>14601.93195</v>
      </c>
      <c r="W49" s="52" t="n">
        <f aca="false">W48*$D$2</f>
        <v>18191.98761</v>
      </c>
      <c r="X49" s="52" t="n">
        <f aca="false">X48*$D$2</f>
        <v>2255.080495</v>
      </c>
      <c r="Y49" s="52" t="n">
        <f aca="false">Y48*$D$2</f>
        <v>20447.068105</v>
      </c>
      <c r="Z49" s="56"/>
      <c r="AA49" s="57"/>
      <c r="AB49" s="57"/>
      <c r="AC49" s="58"/>
      <c r="AD49" s="92"/>
      <c r="AE49" s="92"/>
      <c r="AF49" s="93"/>
    </row>
    <row r="50" customFormat="false" ht="3" hidden="false" customHeight="true" outlineLevel="0" collapsed="false">
      <c r="A50" s="74"/>
      <c r="B50" s="74"/>
      <c r="C50" s="76"/>
      <c r="D50" s="74"/>
      <c r="E50" s="76"/>
      <c r="F50" s="74"/>
      <c r="G50" s="74"/>
      <c r="H50" s="78"/>
      <c r="I50" s="74"/>
      <c r="J50" s="74"/>
      <c r="K50" s="74"/>
      <c r="L50" s="74"/>
      <c r="M50" s="95"/>
      <c r="N50" s="74"/>
      <c r="O50" s="74"/>
      <c r="P50" s="74"/>
      <c r="Q50" s="74"/>
      <c r="R50" s="74"/>
      <c r="S50" s="74"/>
      <c r="T50" s="76"/>
      <c r="U50" s="74"/>
      <c r="V50" s="74"/>
      <c r="W50" s="74"/>
      <c r="X50" s="74"/>
      <c r="Y50" s="74"/>
      <c r="Z50" s="56"/>
      <c r="AA50" s="57"/>
      <c r="AB50" s="57"/>
      <c r="AC50" s="58"/>
      <c r="AD50" s="92"/>
      <c r="AE50" s="92"/>
      <c r="AF50" s="93"/>
    </row>
    <row r="51" customFormat="false" ht="11.1" hidden="false" customHeight="true" outlineLevel="0" collapsed="false">
      <c r="A51" s="51"/>
      <c r="B51" s="84"/>
      <c r="C51" s="52"/>
      <c r="D51" s="51"/>
      <c r="E51" s="52"/>
      <c r="F51" s="51"/>
      <c r="G51" s="51"/>
      <c r="H51" s="56"/>
      <c r="I51" s="51"/>
      <c r="J51" s="51"/>
      <c r="K51" s="51"/>
      <c r="L51" s="51"/>
      <c r="M51" s="87"/>
      <c r="N51" s="51"/>
      <c r="O51" s="51"/>
      <c r="P51" s="51"/>
      <c r="Q51" s="51"/>
      <c r="R51" s="51"/>
      <c r="S51" s="51"/>
      <c r="T51" s="52"/>
      <c r="U51" s="51"/>
      <c r="V51" s="51"/>
      <c r="W51" s="51"/>
      <c r="X51" s="51"/>
      <c r="Y51" s="51"/>
      <c r="Z51" s="56"/>
      <c r="AA51" s="57"/>
      <c r="AB51" s="57"/>
      <c r="AC51" s="58"/>
      <c r="AD51" s="88"/>
      <c r="AE51" s="88"/>
    </row>
    <row r="52" customFormat="false" ht="11.1" hidden="false" customHeight="true" outlineLevel="0" collapsed="false">
      <c r="A52" s="51"/>
      <c r="B52" s="73"/>
      <c r="C52" s="52"/>
      <c r="D52" s="82"/>
      <c r="E52" s="52"/>
      <c r="F52" s="51"/>
      <c r="G52" s="51"/>
      <c r="H52" s="56"/>
      <c r="I52" s="53"/>
      <c r="J52" s="51"/>
      <c r="K52" s="42"/>
      <c r="L52" s="51"/>
      <c r="M52" s="87"/>
      <c r="N52" s="51"/>
      <c r="O52" s="51"/>
      <c r="P52" s="51"/>
      <c r="Q52" s="51"/>
      <c r="R52" s="51"/>
      <c r="S52" s="51"/>
      <c r="T52" s="52"/>
      <c r="U52" s="51"/>
      <c r="V52" s="51"/>
      <c r="W52" s="51"/>
      <c r="X52" s="51"/>
      <c r="Y52" s="51"/>
      <c r="Z52" s="56"/>
      <c r="AA52" s="57"/>
      <c r="AB52" s="57"/>
      <c r="AC52" s="58"/>
      <c r="AD52" s="88"/>
      <c r="AE52" s="88"/>
    </row>
    <row r="53" customFormat="false" ht="11.1" hidden="false" customHeight="true" outlineLevel="0" collapsed="false">
      <c r="A53" s="82"/>
      <c r="B53" s="82"/>
      <c r="C53" s="52"/>
      <c r="D53" s="52"/>
      <c r="E53" s="52"/>
      <c r="F53" s="82"/>
      <c r="G53" s="82"/>
      <c r="H53" s="56"/>
      <c r="I53" s="82"/>
      <c r="J53" s="82"/>
      <c r="K53" s="82"/>
      <c r="L53" s="82"/>
      <c r="M53" s="87"/>
      <c r="N53" s="81"/>
      <c r="O53" s="81"/>
      <c r="P53" s="81"/>
      <c r="Q53" s="82"/>
      <c r="R53" s="82"/>
      <c r="S53" s="82"/>
      <c r="T53" s="52"/>
      <c r="U53" s="82"/>
      <c r="V53" s="82"/>
      <c r="W53" s="82"/>
      <c r="X53" s="82"/>
      <c r="Y53" s="82"/>
      <c r="Z53" s="56"/>
      <c r="AA53" s="57"/>
      <c r="AB53" s="57"/>
      <c r="AC53" s="58"/>
      <c r="AD53" s="97"/>
      <c r="AE53" s="97"/>
    </row>
    <row r="54" customFormat="false" ht="11.1" hidden="false" customHeight="true" outlineLevel="0" collapsed="false">
      <c r="A54" s="82"/>
      <c r="B54" s="55"/>
      <c r="C54" s="52"/>
      <c r="D54" s="52"/>
      <c r="E54" s="52"/>
      <c r="F54" s="82"/>
      <c r="G54" s="82"/>
      <c r="H54" s="56"/>
      <c r="I54" s="82"/>
      <c r="J54" s="82"/>
      <c r="K54" s="82"/>
      <c r="L54" s="82"/>
      <c r="M54" s="87"/>
      <c r="N54" s="81"/>
      <c r="O54" s="81"/>
      <c r="P54" s="82"/>
      <c r="Q54" s="82"/>
      <c r="R54" s="82"/>
      <c r="S54" s="52"/>
      <c r="T54" s="82"/>
      <c r="U54" s="82"/>
      <c r="V54" s="52"/>
      <c r="W54" s="82"/>
      <c r="X54" s="82"/>
      <c r="Y54" s="55"/>
      <c r="Z54" s="56"/>
      <c r="AA54" s="57"/>
      <c r="AB54" s="58"/>
      <c r="AC54" s="97"/>
      <c r="AD54" s="97"/>
    </row>
    <row r="55" customFormat="false" ht="11.1" hidden="false" customHeight="true" outlineLevel="0" collapsed="false">
      <c r="A55" s="82"/>
      <c r="B55" s="82"/>
      <c r="C55" s="52"/>
      <c r="D55" s="82"/>
      <c r="E55" s="52"/>
      <c r="F55" s="82"/>
      <c r="G55" s="85"/>
      <c r="H55" s="56"/>
      <c r="I55" s="82"/>
      <c r="J55" s="82"/>
      <c r="K55" s="82"/>
      <c r="L55" s="82"/>
      <c r="M55" s="87"/>
      <c r="N55" s="81"/>
      <c r="O55" s="81"/>
      <c r="P55" s="82"/>
      <c r="Q55" s="82"/>
      <c r="R55" s="82"/>
      <c r="S55" s="52"/>
      <c r="T55" s="82"/>
      <c r="U55" s="82"/>
      <c r="V55" s="52"/>
      <c r="W55" s="82"/>
      <c r="X55" s="82"/>
      <c r="Y55" s="55"/>
      <c r="Z55" s="56"/>
      <c r="AA55" s="57"/>
      <c r="AB55" s="58"/>
      <c r="AC55" s="97"/>
      <c r="AD55" s="97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R33" activePane="bottomRight" state="frozen"/>
      <selection pane="topLeft" activeCell="A1" activeCellId="0" sqref="A1"/>
      <selection pane="topRight" activeCell="R1" activeCellId="0" sqref="R1"/>
      <selection pane="bottomLeft" activeCell="A33" activeCellId="0" sqref="A33"/>
      <selection pane="bottomRight" activeCell="AB37" activeCellId="0" sqref="AB37"/>
    </sheetView>
  </sheetViews>
  <sheetFormatPr defaultColWidth="9.328125" defaultRowHeight="11.1" zeroHeight="false" outlineLevelRow="0" outlineLevelCol="0"/>
  <cols>
    <col collapsed="false" customWidth="true" hidden="false" outlineLevel="0" max="1" min="1" style="44" width="5.66"/>
    <col collapsed="false" customWidth="true" hidden="false" outlineLevel="0" max="2" min="2" style="44" width="7.82"/>
    <col collapsed="false" customWidth="true" hidden="false" outlineLevel="0" max="3" min="3" style="45" width="7.66"/>
    <col collapsed="false" customWidth="true" hidden="false" outlineLevel="0" max="4" min="4" style="44" width="6.99"/>
    <col collapsed="false" customWidth="true" hidden="false" outlineLevel="0" max="5" min="5" style="45" width="7.66"/>
    <col collapsed="false" customWidth="true" hidden="false" outlineLevel="0" max="6" min="6" style="44" width="7.66"/>
    <col collapsed="false" customWidth="true" hidden="false" outlineLevel="0" max="7" min="7" style="44" width="7.16"/>
    <col collapsed="false" customWidth="true" hidden="false" outlineLevel="0" max="8" min="8" style="46" width="6.66"/>
    <col collapsed="false" customWidth="true" hidden="false" outlineLevel="0" max="9" min="9" style="44" width="7.99"/>
    <col collapsed="false" customWidth="true" hidden="false" outlineLevel="0" max="10" min="10" style="44" width="6.66"/>
    <col collapsed="false" customWidth="true" hidden="false" outlineLevel="0" max="12" min="11" style="44" width="7.16"/>
    <col collapsed="false" customWidth="true" hidden="false" outlineLevel="0" max="13" min="13" style="47" width="6.16"/>
    <col collapsed="false" customWidth="true" hidden="true" outlineLevel="0" max="14" min="14" style="47" width="7.32"/>
    <col collapsed="false" customWidth="true" hidden="true" outlineLevel="0" max="15" min="15" style="47" width="6.49"/>
    <col collapsed="false" customWidth="true" hidden="true" outlineLevel="0" max="16" min="16" style="44" width="7.16"/>
    <col collapsed="false" customWidth="true" hidden="false" outlineLevel="0" max="17" min="17" style="44" width="6.32"/>
    <col collapsed="false" customWidth="true" hidden="false" outlineLevel="0" max="18" min="18" style="44" width="5.82"/>
    <col collapsed="false" customWidth="true" hidden="false" outlineLevel="0" max="19" min="19" style="45" width="6.82"/>
    <col collapsed="false" customWidth="true" hidden="false" outlineLevel="0" max="20" min="20" style="44" width="7.66"/>
    <col collapsed="false" customWidth="true" hidden="false" outlineLevel="0" max="21" min="21" style="44" width="5.99"/>
    <col collapsed="false" customWidth="true" hidden="false" outlineLevel="0" max="22" min="22" style="45" width="6.66"/>
    <col collapsed="false" customWidth="true" hidden="false" outlineLevel="0" max="24" min="23" style="44" width="7.82"/>
    <col collapsed="false" customWidth="true" hidden="false" outlineLevel="0" max="25" min="25" style="48" width="8.16"/>
    <col collapsed="false" customWidth="true" hidden="false" outlineLevel="0" max="26" min="26" style="46" width="4.66"/>
    <col collapsed="false" customWidth="true" hidden="false" outlineLevel="0" max="27" min="27" style="49" width="4.66"/>
    <col collapsed="false" customWidth="true" hidden="false" outlineLevel="0" max="28" min="28" style="50" width="4.66"/>
    <col collapsed="false" customWidth="true" hidden="false" outlineLevel="0" max="29" min="29" style="44" width="5.66"/>
    <col collapsed="false" customWidth="false" hidden="false" outlineLevel="0" max="257" min="30" style="44" width="9.32"/>
  </cols>
  <sheetData>
    <row r="1" customFormat="false" ht="14.1" hidden="false" customHeight="true" outlineLevel="0" collapsed="false">
      <c r="A1" s="51"/>
      <c r="B1" s="51"/>
      <c r="C1" s="52"/>
      <c r="D1" s="51"/>
      <c r="E1" s="52"/>
      <c r="F1" s="51"/>
      <c r="G1" s="51"/>
      <c r="H1" s="56"/>
      <c r="I1" s="51"/>
      <c r="J1" s="51"/>
      <c r="K1" s="54" t="s">
        <v>0</v>
      </c>
      <c r="L1" s="51"/>
      <c r="M1" s="51"/>
      <c r="N1" s="51"/>
      <c r="O1" s="51"/>
      <c r="P1" s="51"/>
      <c r="Q1" s="51"/>
      <c r="R1" s="51"/>
      <c r="S1" s="52"/>
      <c r="T1" s="51"/>
      <c r="U1" s="51"/>
      <c r="V1" s="52"/>
      <c r="W1" s="51"/>
      <c r="X1" s="51"/>
      <c r="Y1" s="55"/>
      <c r="Z1" s="56"/>
      <c r="AA1" s="57"/>
      <c r="AB1" s="58"/>
      <c r="AC1" s="88"/>
      <c r="AD1" s="88"/>
    </row>
    <row r="2" customFormat="false" ht="14.1" hidden="false" customHeight="true" outlineLevel="0" collapsed="false">
      <c r="A2" s="51" t="s">
        <v>1</v>
      </c>
      <c r="B2" s="51"/>
      <c r="C2" s="52"/>
      <c r="D2" s="59" t="n">
        <v>1.9835</v>
      </c>
      <c r="E2" s="52"/>
      <c r="F2" s="51"/>
      <c r="G2" s="51"/>
      <c r="H2" s="56"/>
      <c r="I2" s="51"/>
      <c r="J2" s="51"/>
      <c r="K2" s="60" t="s">
        <v>58</v>
      </c>
      <c r="L2" s="60"/>
      <c r="M2" s="60"/>
      <c r="N2" s="60"/>
      <c r="O2" s="60"/>
      <c r="P2" s="60"/>
      <c r="Q2" s="60"/>
      <c r="R2" s="60"/>
      <c r="S2" s="60"/>
      <c r="T2" s="60"/>
      <c r="U2" s="51"/>
      <c r="V2" s="52"/>
      <c r="W2" s="51"/>
      <c r="X2" s="51"/>
      <c r="Y2" s="55"/>
      <c r="Z2" s="56"/>
      <c r="AA2" s="57"/>
      <c r="AB2" s="58"/>
      <c r="AC2" s="88"/>
      <c r="AD2" s="88"/>
    </row>
    <row r="3" customFormat="false" ht="11.1" hidden="false" customHeight="true" outlineLevel="0" collapsed="false">
      <c r="A3" s="51"/>
      <c r="B3" s="51"/>
      <c r="C3" s="52"/>
      <c r="D3" s="61"/>
      <c r="E3" s="52"/>
      <c r="F3" s="51"/>
      <c r="G3" s="51"/>
      <c r="H3" s="56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51"/>
      <c r="U3" s="51"/>
      <c r="V3" s="52"/>
      <c r="W3" s="51"/>
      <c r="X3" s="51"/>
      <c r="Y3" s="55"/>
      <c r="Z3" s="56"/>
      <c r="AA3" s="57"/>
      <c r="AB3" s="58"/>
      <c r="AC3" s="88"/>
      <c r="AD3" s="88"/>
    </row>
    <row r="4" customFormat="false" ht="11.1" hidden="false" customHeight="true" outlineLevel="0" collapsed="false">
      <c r="A4" s="62" t="s">
        <v>3</v>
      </c>
      <c r="B4" s="62" t="s">
        <v>4</v>
      </c>
      <c r="C4" s="63" t="s">
        <v>4</v>
      </c>
      <c r="D4" s="62" t="s">
        <v>5</v>
      </c>
      <c r="E4" s="63" t="s">
        <v>6</v>
      </c>
      <c r="F4" s="62" t="s">
        <v>7</v>
      </c>
      <c r="G4" s="62" t="s">
        <v>8</v>
      </c>
      <c r="H4" s="65" t="s">
        <v>9</v>
      </c>
      <c r="I4" s="62" t="s">
        <v>10</v>
      </c>
      <c r="J4" s="62" t="s">
        <v>11</v>
      </c>
      <c r="K4" s="62" t="s">
        <v>12</v>
      </c>
      <c r="L4" s="62" t="s">
        <v>11</v>
      </c>
      <c r="M4" s="62" t="s">
        <v>13</v>
      </c>
      <c r="N4" s="62"/>
      <c r="O4" s="62"/>
      <c r="P4" s="62"/>
      <c r="Q4" s="62" t="s">
        <v>14</v>
      </c>
      <c r="R4" s="62" t="s">
        <v>15</v>
      </c>
      <c r="S4" s="62" t="s">
        <v>12</v>
      </c>
      <c r="T4" s="63" t="s">
        <v>16</v>
      </c>
      <c r="U4" s="62" t="s">
        <v>17</v>
      </c>
      <c r="V4" s="62" t="s">
        <v>18</v>
      </c>
      <c r="W4" s="62" t="s">
        <v>10</v>
      </c>
      <c r="X4" s="62" t="s">
        <v>11</v>
      </c>
      <c r="Y4" s="62" t="s">
        <v>12</v>
      </c>
      <c r="Z4" s="65" t="s">
        <v>19</v>
      </c>
      <c r="AA4" s="66" t="s">
        <v>20</v>
      </c>
      <c r="AB4" s="66" t="s">
        <v>21</v>
      </c>
      <c r="AC4" s="66" t="s">
        <v>3</v>
      </c>
      <c r="AD4" s="88"/>
      <c r="AE4" s="88"/>
    </row>
    <row r="5" customFormat="false" ht="11.1" hidden="false" customHeight="true" outlineLevel="0" collapsed="false">
      <c r="A5" s="67" t="s">
        <v>59</v>
      </c>
      <c r="B5" s="62" t="s">
        <v>23</v>
      </c>
      <c r="C5" s="63" t="s">
        <v>5</v>
      </c>
      <c r="D5" s="62" t="s">
        <v>24</v>
      </c>
      <c r="E5" s="63" t="s">
        <v>25</v>
      </c>
      <c r="F5" s="62" t="s">
        <v>26</v>
      </c>
      <c r="G5" s="62" t="s">
        <v>27</v>
      </c>
      <c r="H5" s="65" t="s">
        <v>28</v>
      </c>
      <c r="I5" s="62" t="s">
        <v>29</v>
      </c>
      <c r="J5" s="62" t="s">
        <v>29</v>
      </c>
      <c r="K5" s="62" t="s">
        <v>29</v>
      </c>
      <c r="L5" s="62" t="s">
        <v>30</v>
      </c>
      <c r="M5" s="62" t="s">
        <v>31</v>
      </c>
      <c r="N5" s="62" t="s">
        <v>32</v>
      </c>
      <c r="O5" s="62" t="s">
        <v>33</v>
      </c>
      <c r="P5" s="62" t="s">
        <v>34</v>
      </c>
      <c r="Q5" s="62" t="s">
        <v>35</v>
      </c>
      <c r="R5" s="62" t="s">
        <v>36</v>
      </c>
      <c r="S5" s="62" t="s">
        <v>16</v>
      </c>
      <c r="T5" s="63" t="s">
        <v>37</v>
      </c>
      <c r="U5" s="62" t="s">
        <v>38</v>
      </c>
      <c r="V5" s="62" t="s">
        <v>39</v>
      </c>
      <c r="W5" s="62" t="s">
        <v>40</v>
      </c>
      <c r="X5" s="62" t="s">
        <v>40</v>
      </c>
      <c r="Y5" s="62" t="s">
        <v>40</v>
      </c>
      <c r="Z5" s="68"/>
      <c r="AA5" s="66" t="s">
        <v>41</v>
      </c>
      <c r="AB5" s="66" t="s">
        <v>41</v>
      </c>
      <c r="AC5" s="69" t="s">
        <v>59</v>
      </c>
      <c r="AD5" s="88"/>
      <c r="AE5" s="88"/>
    </row>
    <row r="6" customFormat="false" ht="11.1" hidden="false" customHeight="true" outlineLevel="0" collapsed="false">
      <c r="A6" s="70"/>
      <c r="B6" s="70"/>
      <c r="C6" s="71"/>
      <c r="D6" s="70"/>
      <c r="E6" s="71"/>
      <c r="F6" s="70"/>
      <c r="G6" s="70"/>
      <c r="H6" s="9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1"/>
      <c r="U6" s="70"/>
      <c r="V6" s="70"/>
      <c r="W6" s="70"/>
      <c r="X6" s="70"/>
      <c r="Y6" s="70"/>
      <c r="Z6" s="56"/>
      <c r="AA6" s="58"/>
      <c r="AB6" s="58"/>
      <c r="AC6" s="58"/>
      <c r="AD6" s="92"/>
      <c r="AE6" s="92"/>
      <c r="AF6" s="93"/>
    </row>
    <row r="7" customFormat="false" ht="11.1" hidden="false" customHeight="true" outlineLevel="0" collapsed="false">
      <c r="A7" s="51" t="s">
        <v>42</v>
      </c>
      <c r="B7" s="51"/>
      <c r="C7" s="52"/>
      <c r="D7" s="52"/>
      <c r="E7" s="52"/>
      <c r="F7" s="52"/>
      <c r="G7" s="52"/>
      <c r="H7" s="56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6"/>
      <c r="AA7" s="57"/>
      <c r="AB7" s="57"/>
      <c r="AC7" s="58"/>
      <c r="AD7" s="92"/>
      <c r="AE7" s="93"/>
      <c r="AF7" s="93"/>
    </row>
    <row r="8" s="45" customFormat="true" ht="11.1" hidden="false" customHeight="true" outlineLevel="0" collapsed="false">
      <c r="A8" s="52" t="s">
        <v>43</v>
      </c>
      <c r="B8" s="73" t="n">
        <f aca="false">JAN!B40</f>
        <v>6909.38</v>
      </c>
      <c r="C8" s="52" t="n">
        <f aca="false">JAN!C40</f>
        <v>319518</v>
      </c>
      <c r="D8" s="52" t="n">
        <f aca="false">JAN!$D$49</f>
        <v>-5438</v>
      </c>
      <c r="E8" s="52" t="n">
        <f aca="false">JAN!$E$40</f>
        <v>167518</v>
      </c>
      <c r="F8" s="52" t="n">
        <f aca="false">JAN!F48</f>
        <v>-2741.61835139904</v>
      </c>
      <c r="G8" s="52" t="n">
        <f aca="false">JAN!G48</f>
        <v>6656.06</v>
      </c>
      <c r="H8" s="56" t="n">
        <f aca="false">JAN!H48</f>
        <v>0</v>
      </c>
      <c r="I8" s="52" t="n">
        <f aca="false">JAN!I48</f>
        <v>6456.96</v>
      </c>
      <c r="J8" s="52" t="n">
        <f aca="false">JAN!J48</f>
        <v>1110.00148474918</v>
      </c>
      <c r="K8" s="52" t="n">
        <f aca="false">JAN!K48</f>
        <v>7566.96148474918</v>
      </c>
      <c r="L8" s="52" t="n">
        <f aca="false">JAN!L48</f>
        <v>-26.9183513990419</v>
      </c>
      <c r="M8" s="52" t="n">
        <f aca="false">JAN!M48</f>
        <v>1399.77</v>
      </c>
      <c r="N8" s="52" t="n">
        <f aca="false">JAN!N48</f>
        <v>0</v>
      </c>
      <c r="O8" s="52" t="n">
        <f aca="false">JAN!O48</f>
        <v>0</v>
      </c>
      <c r="P8" s="52" t="n">
        <f aca="false">JAN!P48</f>
        <v>1399.77</v>
      </c>
      <c r="Q8" s="52" t="n">
        <f aca="false">JAN!Q48</f>
        <v>0</v>
      </c>
      <c r="R8" s="52" t="n">
        <f aca="false">JAN!R48</f>
        <v>410.19</v>
      </c>
      <c r="S8" s="52" t="n">
        <f aca="false">JAN!S48</f>
        <v>1809.96</v>
      </c>
      <c r="T8" s="52" t="n">
        <f aca="false">JAN!T48</f>
        <v>0</v>
      </c>
      <c r="U8" s="52" t="n">
        <f aca="false">JAN!U48</f>
        <v>0</v>
      </c>
      <c r="V8" s="52" t="n">
        <f aca="false">JAN!V48</f>
        <v>7361.7</v>
      </c>
      <c r="W8" s="52" t="n">
        <f aca="false">JAN!W48</f>
        <v>9171.66</v>
      </c>
      <c r="X8" s="52" t="n">
        <f aca="false">JAN!X48</f>
        <v>1136.91983614822</v>
      </c>
      <c r="Y8" s="52" t="n">
        <f aca="false">JAN!Y48</f>
        <v>10308.5798361482</v>
      </c>
      <c r="Z8" s="56" t="n">
        <f aca="false">JAN!Z48</f>
        <v>5.19</v>
      </c>
      <c r="AA8" s="57"/>
      <c r="AB8" s="57"/>
      <c r="AC8" s="58"/>
      <c r="AD8" s="94"/>
      <c r="AE8" s="92"/>
      <c r="AF8" s="94"/>
    </row>
    <row r="9" customFormat="false" ht="3" hidden="false" customHeight="true" outlineLevel="0" collapsed="false">
      <c r="A9" s="74"/>
      <c r="B9" s="75"/>
      <c r="C9" s="76"/>
      <c r="D9" s="74"/>
      <c r="E9" s="76"/>
      <c r="F9" s="74"/>
      <c r="G9" s="74"/>
      <c r="H9" s="78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6"/>
      <c r="U9" s="74"/>
      <c r="V9" s="74"/>
      <c r="W9" s="74"/>
      <c r="X9" s="74"/>
      <c r="Y9" s="74"/>
      <c r="Z9" s="78"/>
      <c r="AA9" s="79"/>
      <c r="AB9" s="79"/>
      <c r="AC9" s="80"/>
      <c r="AD9" s="92"/>
      <c r="AE9" s="92"/>
      <c r="AF9" s="93"/>
    </row>
    <row r="10" customFormat="false" ht="11.1" hidden="false" customHeight="true" outlineLevel="0" collapsed="false">
      <c r="A10" s="58" t="n">
        <v>1</v>
      </c>
      <c r="B10" s="73" t="n">
        <v>6909.36</v>
      </c>
      <c r="C10" s="52" t="n">
        <v>319439</v>
      </c>
      <c r="D10" s="57" t="n">
        <f aca="false">C10-C8</f>
        <v>-79</v>
      </c>
      <c r="E10" s="52" t="n">
        <f aca="false">C10-152000</f>
        <v>167439</v>
      </c>
      <c r="F10" s="51" t="n">
        <f aca="false">D10/$D$2</f>
        <v>-39.8285858331233</v>
      </c>
      <c r="G10" s="51" t="n">
        <v>89</v>
      </c>
      <c r="H10" s="56" t="n">
        <v>0</v>
      </c>
      <c r="I10" s="51" t="n">
        <f aca="false">G10+H10</f>
        <v>89</v>
      </c>
      <c r="J10" s="81" t="n">
        <f aca="false">IF(L10&gt;0,L10,0)</f>
        <v>0</v>
      </c>
      <c r="K10" s="51" t="n">
        <f aca="false">I10+J10</f>
        <v>89</v>
      </c>
      <c r="L10" s="51" t="n">
        <f aca="false">F10-(I10-W10)</f>
        <v>-43.8285858331233</v>
      </c>
      <c r="M10" s="51" t="n">
        <v>5</v>
      </c>
      <c r="N10" s="51" t="n">
        <v>0</v>
      </c>
      <c r="O10" s="51" t="n">
        <v>0</v>
      </c>
      <c r="P10" s="6" t="n">
        <f aca="false">M10-(N10+O10)</f>
        <v>5</v>
      </c>
      <c r="Q10" s="51" t="n">
        <v>0</v>
      </c>
      <c r="R10" s="51" t="n">
        <v>0</v>
      </c>
      <c r="S10" s="51" t="n">
        <f aca="false">SUM(P10:R10)</f>
        <v>5</v>
      </c>
      <c r="T10" s="52"/>
      <c r="U10" s="51" t="n">
        <v>0</v>
      </c>
      <c r="V10" s="51" t="n">
        <v>80</v>
      </c>
      <c r="W10" s="6" t="n">
        <f aca="false">N10+O10+S10+U10+V10</f>
        <v>85</v>
      </c>
      <c r="X10" s="51" t="n">
        <f aca="false">IF(L10&lt;0,L10*-1,0)</f>
        <v>43.8285858331233</v>
      </c>
      <c r="Y10" s="51" t="n">
        <f aca="false">W10+X10</f>
        <v>128.828585833123</v>
      </c>
      <c r="Z10" s="56" t="n">
        <v>0</v>
      </c>
      <c r="AA10" s="57" t="n">
        <v>36</v>
      </c>
      <c r="AB10" s="57" t="n">
        <v>20</v>
      </c>
      <c r="AC10" s="58" t="n">
        <v>1</v>
      </c>
      <c r="AD10" s="93"/>
      <c r="AE10" s="94"/>
      <c r="AF10" s="93"/>
    </row>
    <row r="11" customFormat="false" ht="11.1" hidden="false" customHeight="true" outlineLevel="0" collapsed="false">
      <c r="A11" s="58" t="n">
        <f aca="false">A10+1</f>
        <v>2</v>
      </c>
      <c r="B11" s="73" t="n">
        <v>6909.35</v>
      </c>
      <c r="C11" s="52" t="n">
        <v>319399</v>
      </c>
      <c r="D11" s="57" t="n">
        <f aca="false">C11-C10</f>
        <v>-40</v>
      </c>
      <c r="E11" s="52" t="n">
        <f aca="false">C11-152000</f>
        <v>167399</v>
      </c>
      <c r="F11" s="51" t="n">
        <f aca="false">D11/$D$2</f>
        <v>-20.1663725737333</v>
      </c>
      <c r="G11" s="51" t="n">
        <v>89</v>
      </c>
      <c r="H11" s="56" t="n">
        <v>0</v>
      </c>
      <c r="I11" s="51" t="n">
        <f aca="false">G11+H11</f>
        <v>89</v>
      </c>
      <c r="J11" s="81" t="n">
        <f aca="false">IF(L11&gt;0,L11,0)</f>
        <v>0</v>
      </c>
      <c r="K11" s="51" t="n">
        <f aca="false">I11+J11</f>
        <v>89</v>
      </c>
      <c r="L11" s="51" t="n">
        <f aca="false">F11-(I11-W11)</f>
        <v>-29.1663725737333</v>
      </c>
      <c r="M11" s="51" t="n">
        <v>5</v>
      </c>
      <c r="N11" s="51" t="n">
        <v>0</v>
      </c>
      <c r="O11" s="51" t="n">
        <v>0</v>
      </c>
      <c r="P11" s="6" t="n">
        <f aca="false">M11-(N11+O11)</f>
        <v>5</v>
      </c>
      <c r="Q11" s="51" t="n">
        <v>0</v>
      </c>
      <c r="R11" s="51" t="n">
        <v>0</v>
      </c>
      <c r="S11" s="51" t="n">
        <f aca="false">SUM(P11:R11)</f>
        <v>5</v>
      </c>
      <c r="T11" s="52"/>
      <c r="U11" s="51" t="n">
        <v>0</v>
      </c>
      <c r="V11" s="51" t="n">
        <v>80</v>
      </c>
      <c r="W11" s="51" t="n">
        <v>80</v>
      </c>
      <c r="X11" s="51" t="n">
        <f aca="false">IF(L11&lt;0,L11*-1,0)</f>
        <v>29.1663725737333</v>
      </c>
      <c r="Y11" s="51" t="n">
        <f aca="false">W11+X11</f>
        <v>109.166372573733</v>
      </c>
      <c r="Z11" s="56" t="n">
        <v>0</v>
      </c>
      <c r="AA11" s="57" t="n">
        <v>38</v>
      </c>
      <c r="AB11" s="57" t="n">
        <v>25</v>
      </c>
      <c r="AC11" s="58" t="n">
        <f aca="false">AC10+1</f>
        <v>2</v>
      </c>
      <c r="AD11" s="93"/>
      <c r="AE11" s="94"/>
      <c r="AF11" s="93"/>
    </row>
    <row r="12" customFormat="false" ht="11.1" hidden="false" customHeight="true" outlineLevel="0" collapsed="false">
      <c r="A12" s="58" t="n">
        <f aca="false">A11+1</f>
        <v>3</v>
      </c>
      <c r="B12" s="73" t="n">
        <v>6909.35</v>
      </c>
      <c r="C12" s="52" t="n">
        <v>319399</v>
      </c>
      <c r="D12" s="57" t="n">
        <f aca="false">C12-C11</f>
        <v>0</v>
      </c>
      <c r="E12" s="52" t="n">
        <f aca="false">C12-152000</f>
        <v>167399</v>
      </c>
      <c r="F12" s="51" t="n">
        <f aca="false">D12/$D$2</f>
        <v>0</v>
      </c>
      <c r="G12" s="51" t="n">
        <v>89</v>
      </c>
      <c r="H12" s="56" t="n">
        <v>0</v>
      </c>
      <c r="I12" s="51" t="n">
        <f aca="false">G12+H12</f>
        <v>89</v>
      </c>
      <c r="J12" s="81" t="n">
        <f aca="false">IF(L12&gt;0,L12,0)</f>
        <v>0</v>
      </c>
      <c r="K12" s="51" t="n">
        <f aca="false">I12+J12</f>
        <v>89</v>
      </c>
      <c r="L12" s="51" t="n">
        <f aca="false">F12-(I12-W12)</f>
        <v>-9</v>
      </c>
      <c r="M12" s="51" t="n">
        <v>5</v>
      </c>
      <c r="N12" s="51" t="n">
        <v>0</v>
      </c>
      <c r="O12" s="51" t="n">
        <v>0</v>
      </c>
      <c r="P12" s="6" t="n">
        <f aca="false">M12-(N12+O12)</f>
        <v>5</v>
      </c>
      <c r="Q12" s="51" t="n">
        <v>0</v>
      </c>
      <c r="R12" s="51" t="n">
        <v>0</v>
      </c>
      <c r="S12" s="51" t="n">
        <f aca="false">SUM(P12:R12)</f>
        <v>5</v>
      </c>
      <c r="T12" s="52"/>
      <c r="U12" s="51" t="n">
        <v>0</v>
      </c>
      <c r="V12" s="51" t="n">
        <v>80</v>
      </c>
      <c r="W12" s="51" t="n">
        <v>80</v>
      </c>
      <c r="X12" s="51" t="n">
        <f aca="false">IF(L12&lt;0,L12*-1,0)</f>
        <v>9</v>
      </c>
      <c r="Y12" s="51" t="n">
        <f aca="false">W12+X12</f>
        <v>89</v>
      </c>
      <c r="Z12" s="56" t="n">
        <v>0</v>
      </c>
      <c r="AA12" s="57" t="n">
        <v>34</v>
      </c>
      <c r="AB12" s="57" t="n">
        <v>30</v>
      </c>
      <c r="AC12" s="58" t="n">
        <f aca="false">AC11+1</f>
        <v>3</v>
      </c>
      <c r="AD12" s="93"/>
      <c r="AE12" s="94"/>
      <c r="AF12" s="93"/>
    </row>
    <row r="13" customFormat="false" ht="11.1" hidden="false" customHeight="true" outlineLevel="0" collapsed="false">
      <c r="A13" s="58" t="n">
        <f aca="false">A12+1</f>
        <v>4</v>
      </c>
      <c r="B13" s="73" t="n">
        <v>6909.36</v>
      </c>
      <c r="C13" s="52" t="n">
        <v>319439</v>
      </c>
      <c r="D13" s="57" t="n">
        <f aca="false">C13-C12</f>
        <v>40</v>
      </c>
      <c r="E13" s="52" t="n">
        <f aca="false">C13-152000</f>
        <v>167439</v>
      </c>
      <c r="F13" s="51" t="n">
        <f aca="false">D13/$D$2</f>
        <v>20.1663725737333</v>
      </c>
      <c r="G13" s="51" t="n">
        <v>89</v>
      </c>
      <c r="H13" s="56" t="n">
        <v>0</v>
      </c>
      <c r="I13" s="51" t="n">
        <f aca="false">G13+H13</f>
        <v>89</v>
      </c>
      <c r="J13" s="81" t="n">
        <f aca="false">IF(L13&gt;0,L13,0)</f>
        <v>11.1663725737333</v>
      </c>
      <c r="K13" s="51" t="n">
        <f aca="false">I13+J13</f>
        <v>100.166372573733</v>
      </c>
      <c r="L13" s="51" t="n">
        <f aca="false">F13-(I13-W13)</f>
        <v>11.1663725737333</v>
      </c>
      <c r="M13" s="51" t="n">
        <v>5</v>
      </c>
      <c r="N13" s="51" t="n">
        <v>0</v>
      </c>
      <c r="O13" s="51" t="n">
        <v>0</v>
      </c>
      <c r="P13" s="6" t="n">
        <f aca="false">M13-(N13+O13)</f>
        <v>5</v>
      </c>
      <c r="Q13" s="51" t="n">
        <v>0</v>
      </c>
      <c r="R13" s="51" t="n">
        <v>0</v>
      </c>
      <c r="S13" s="51" t="n">
        <f aca="false">SUM(P13:R13)</f>
        <v>5</v>
      </c>
      <c r="T13" s="52"/>
      <c r="U13" s="51" t="n">
        <v>0</v>
      </c>
      <c r="V13" s="51" t="n">
        <v>80</v>
      </c>
      <c r="W13" s="51" t="n">
        <v>80</v>
      </c>
      <c r="X13" s="51" t="n">
        <f aca="false">IF(L13&lt;0,L13*-1,0)</f>
        <v>0</v>
      </c>
      <c r="Y13" s="51" t="n">
        <f aca="false">W13+X13</f>
        <v>80</v>
      </c>
      <c r="Z13" s="56" t="n">
        <v>0.15</v>
      </c>
      <c r="AA13" s="57" t="n">
        <v>28</v>
      </c>
      <c r="AB13" s="57" t="n">
        <v>18</v>
      </c>
      <c r="AC13" s="58" t="n">
        <f aca="false">AC12+1</f>
        <v>4</v>
      </c>
      <c r="AD13" s="93"/>
      <c r="AE13" s="94"/>
      <c r="AF13" s="93"/>
    </row>
    <row r="14" customFormat="false" ht="11.1" hidden="false" customHeight="true" outlineLevel="0" collapsed="false">
      <c r="A14" s="58" t="n">
        <f aca="false">A13+1</f>
        <v>5</v>
      </c>
      <c r="B14" s="73" t="n">
        <v>6909.36</v>
      </c>
      <c r="C14" s="52" t="n">
        <v>319439</v>
      </c>
      <c r="D14" s="57" t="n">
        <f aca="false">C14-C13</f>
        <v>0</v>
      </c>
      <c r="E14" s="52" t="n">
        <f aca="false">C14-152000</f>
        <v>167439</v>
      </c>
      <c r="F14" s="51" t="n">
        <f aca="false">D14/$D$2</f>
        <v>0</v>
      </c>
      <c r="G14" s="51" t="n">
        <v>89</v>
      </c>
      <c r="H14" s="56" t="n">
        <v>0</v>
      </c>
      <c r="I14" s="51" t="n">
        <f aca="false">G14+H14</f>
        <v>89</v>
      </c>
      <c r="J14" s="81" t="n">
        <f aca="false">IF(L14&gt;0,L14,0)</f>
        <v>0</v>
      </c>
      <c r="K14" s="51" t="n">
        <f aca="false">I14+J14</f>
        <v>89</v>
      </c>
      <c r="L14" s="51" t="n">
        <f aca="false">F14-(I14-W14)</f>
        <v>-9</v>
      </c>
      <c r="M14" s="51" t="n">
        <v>5</v>
      </c>
      <c r="N14" s="51" t="n">
        <v>0</v>
      </c>
      <c r="O14" s="51" t="n">
        <v>0</v>
      </c>
      <c r="P14" s="6" t="n">
        <f aca="false">M14-(N14+O14)</f>
        <v>5</v>
      </c>
      <c r="Q14" s="51" t="n">
        <v>0</v>
      </c>
      <c r="R14" s="51" t="n">
        <v>0</v>
      </c>
      <c r="S14" s="51" t="n">
        <f aca="false">SUM(P14:R14)</f>
        <v>5</v>
      </c>
      <c r="T14" s="52"/>
      <c r="U14" s="51" t="n">
        <v>0</v>
      </c>
      <c r="V14" s="51" t="n">
        <v>80</v>
      </c>
      <c r="W14" s="51" t="n">
        <v>80</v>
      </c>
      <c r="X14" s="51" t="n">
        <f aca="false">IF(L14&lt;0,L14*-1,0)</f>
        <v>9</v>
      </c>
      <c r="Y14" s="51" t="n">
        <f aca="false">W14+X14</f>
        <v>89</v>
      </c>
      <c r="Z14" s="56" t="n">
        <v>0.25</v>
      </c>
      <c r="AA14" s="57" t="n">
        <v>27</v>
      </c>
      <c r="AB14" s="57" t="n">
        <v>3</v>
      </c>
      <c r="AC14" s="58" t="n">
        <f aca="false">AC13+1</f>
        <v>5</v>
      </c>
      <c r="AD14" s="93"/>
      <c r="AE14" s="94"/>
      <c r="AF14" s="93"/>
    </row>
    <row r="15" customFormat="false" ht="11.1" hidden="false" customHeight="true" outlineLevel="0" collapsed="false">
      <c r="A15" s="58" t="n">
        <f aca="false">A14+1</f>
        <v>6</v>
      </c>
      <c r="B15" s="73" t="n">
        <v>6909.35</v>
      </c>
      <c r="C15" s="52" t="n">
        <v>319399</v>
      </c>
      <c r="D15" s="57" t="n">
        <f aca="false">C15-C14</f>
        <v>-40</v>
      </c>
      <c r="E15" s="52" t="n">
        <f aca="false">C15-152000</f>
        <v>167399</v>
      </c>
      <c r="F15" s="51" t="n">
        <f aca="false">D15/$D$2</f>
        <v>-20.1663725737333</v>
      </c>
      <c r="G15" s="51" t="n">
        <v>89</v>
      </c>
      <c r="H15" s="56" t="n">
        <v>0</v>
      </c>
      <c r="I15" s="51" t="n">
        <f aca="false">G15+H15</f>
        <v>89</v>
      </c>
      <c r="J15" s="81" t="n">
        <f aca="false">IF(L15&gt;0,L15,0)</f>
        <v>0</v>
      </c>
      <c r="K15" s="51" t="n">
        <f aca="false">I15+J15</f>
        <v>89</v>
      </c>
      <c r="L15" s="51" t="n">
        <f aca="false">F15-(I15-W15)</f>
        <v>-29.1663725737333</v>
      </c>
      <c r="M15" s="51" t="n">
        <v>5</v>
      </c>
      <c r="N15" s="51" t="n">
        <v>0</v>
      </c>
      <c r="O15" s="51" t="n">
        <v>0</v>
      </c>
      <c r="P15" s="6" t="n">
        <f aca="false">M15-(N15+O15)</f>
        <v>5</v>
      </c>
      <c r="Q15" s="51" t="n">
        <v>0</v>
      </c>
      <c r="R15" s="51" t="n">
        <v>0</v>
      </c>
      <c r="S15" s="51" t="n">
        <f aca="false">SUM(P15:R15)</f>
        <v>5</v>
      </c>
      <c r="T15" s="52"/>
      <c r="U15" s="51" t="n">
        <v>0</v>
      </c>
      <c r="V15" s="51" t="n">
        <v>80</v>
      </c>
      <c r="W15" s="51" t="n">
        <v>80</v>
      </c>
      <c r="X15" s="51" t="n">
        <f aca="false">IF(L15&lt;0,L15*-1,0)</f>
        <v>29.1663725737333</v>
      </c>
      <c r="Y15" s="51" t="n">
        <f aca="false">W15+X15</f>
        <v>109.166372573733</v>
      </c>
      <c r="Z15" s="56" t="n">
        <v>0</v>
      </c>
      <c r="AA15" s="57" t="n">
        <v>7</v>
      </c>
      <c r="AB15" s="57" t="n">
        <v>-23</v>
      </c>
      <c r="AC15" s="58" t="n">
        <f aca="false">AC14+1</f>
        <v>6</v>
      </c>
      <c r="AD15" s="92"/>
      <c r="AE15" s="94"/>
      <c r="AF15" s="93"/>
    </row>
    <row r="16" customFormat="false" ht="11.1" hidden="false" customHeight="true" outlineLevel="0" collapsed="false">
      <c r="A16" s="58" t="n">
        <f aca="false">A15+1</f>
        <v>7</v>
      </c>
      <c r="B16" s="73" t="n">
        <v>6909.33</v>
      </c>
      <c r="C16" s="52" t="n">
        <v>319319</v>
      </c>
      <c r="D16" s="57" t="n">
        <f aca="false">C16-C15</f>
        <v>-80</v>
      </c>
      <c r="E16" s="52" t="n">
        <f aca="false">C16-152000</f>
        <v>167319</v>
      </c>
      <c r="F16" s="51" t="n">
        <f aca="false">D16/$D$2</f>
        <v>-40.3327451474666</v>
      </c>
      <c r="G16" s="51" t="n">
        <v>89</v>
      </c>
      <c r="H16" s="56" t="n">
        <v>0</v>
      </c>
      <c r="I16" s="51" t="n">
        <f aca="false">G16+H16</f>
        <v>89</v>
      </c>
      <c r="J16" s="81" t="n">
        <f aca="false">IF(L16&gt;0,L16,0)</f>
        <v>0</v>
      </c>
      <c r="K16" s="51" t="n">
        <f aca="false">I16+J16</f>
        <v>89</v>
      </c>
      <c r="L16" s="51" t="n">
        <f aca="false">F16-(I16-W16)</f>
        <v>-49.3327451474666</v>
      </c>
      <c r="M16" s="51" t="n">
        <v>5</v>
      </c>
      <c r="N16" s="51" t="n">
        <v>0</v>
      </c>
      <c r="O16" s="51" t="n">
        <v>0</v>
      </c>
      <c r="P16" s="6" t="n">
        <f aca="false">M16-(N16+O16)</f>
        <v>5</v>
      </c>
      <c r="Q16" s="51" t="n">
        <v>0</v>
      </c>
      <c r="R16" s="51" t="n">
        <v>0</v>
      </c>
      <c r="S16" s="51" t="n">
        <f aca="false">SUM(P16:R16)</f>
        <v>5</v>
      </c>
      <c r="T16" s="52"/>
      <c r="U16" s="51" t="n">
        <v>0</v>
      </c>
      <c r="V16" s="51" t="n">
        <v>80</v>
      </c>
      <c r="W16" s="51" t="n">
        <v>80</v>
      </c>
      <c r="X16" s="51" t="n">
        <f aca="false">IF(L16&lt;0,L16*-1,0)</f>
        <v>49.3327451474666</v>
      </c>
      <c r="Y16" s="51" t="n">
        <f aca="false">W16+X16</f>
        <v>129.332745147467</v>
      </c>
      <c r="Z16" s="56" t="n">
        <v>0</v>
      </c>
      <c r="AA16" s="57" t="n">
        <v>22</v>
      </c>
      <c r="AB16" s="57" t="n">
        <v>-19</v>
      </c>
      <c r="AC16" s="58" t="n">
        <f aca="false">AC15+1</f>
        <v>7</v>
      </c>
      <c r="AD16" s="92"/>
      <c r="AE16" s="94"/>
      <c r="AF16" s="93"/>
    </row>
    <row r="17" customFormat="false" ht="11.1" hidden="false" customHeight="true" outlineLevel="0" collapsed="false">
      <c r="A17" s="58" t="n">
        <f aca="false">A16+1</f>
        <v>8</v>
      </c>
      <c r="B17" s="73" t="n">
        <v>6909.32</v>
      </c>
      <c r="C17" s="52" t="n">
        <v>319279</v>
      </c>
      <c r="D17" s="57" t="n">
        <f aca="false">C17-C16</f>
        <v>-40</v>
      </c>
      <c r="E17" s="52" t="n">
        <f aca="false">C17-152000</f>
        <v>167279</v>
      </c>
      <c r="F17" s="51" t="n">
        <f aca="false">D17/$D$2</f>
        <v>-20.1663725737333</v>
      </c>
      <c r="G17" s="51" t="n">
        <v>89</v>
      </c>
      <c r="H17" s="56" t="n">
        <v>0</v>
      </c>
      <c r="I17" s="51" t="n">
        <f aca="false">G17+H17</f>
        <v>89</v>
      </c>
      <c r="J17" s="81" t="n">
        <f aca="false">IF(L17&gt;0,L17,0)</f>
        <v>0</v>
      </c>
      <c r="K17" s="51" t="n">
        <f aca="false">I17+J17</f>
        <v>89</v>
      </c>
      <c r="L17" s="51" t="n">
        <f aca="false">F17-(I17-W17)</f>
        <v>-29.1663725737333</v>
      </c>
      <c r="M17" s="51" t="n">
        <v>5</v>
      </c>
      <c r="N17" s="51" t="n">
        <v>0</v>
      </c>
      <c r="O17" s="51" t="n">
        <v>0</v>
      </c>
      <c r="P17" s="6" t="n">
        <f aca="false">M17-(N17+O17)</f>
        <v>5</v>
      </c>
      <c r="Q17" s="51" t="n">
        <v>0</v>
      </c>
      <c r="R17" s="51" t="n">
        <v>0</v>
      </c>
      <c r="S17" s="51" t="n">
        <f aca="false">SUM(P17:R17)</f>
        <v>5</v>
      </c>
      <c r="T17" s="52"/>
      <c r="U17" s="51" t="n">
        <v>0</v>
      </c>
      <c r="V17" s="51" t="n">
        <v>80</v>
      </c>
      <c r="W17" s="51" t="n">
        <v>80</v>
      </c>
      <c r="X17" s="51" t="n">
        <f aca="false">IF(L17&lt;0,L17*-1,0)</f>
        <v>29.1663725737333</v>
      </c>
      <c r="Y17" s="51" t="n">
        <f aca="false">W17+X17</f>
        <v>109.166372573733</v>
      </c>
      <c r="Z17" s="56" t="n">
        <v>0.03</v>
      </c>
      <c r="AA17" s="57" t="n">
        <v>29</v>
      </c>
      <c r="AB17" s="57" t="n">
        <v>3</v>
      </c>
      <c r="AC17" s="58" t="n">
        <f aca="false">AC16+1</f>
        <v>8</v>
      </c>
      <c r="AD17" s="92"/>
      <c r="AE17" s="94"/>
      <c r="AF17" s="93"/>
    </row>
    <row r="18" customFormat="false" ht="11.1" hidden="false" customHeight="true" outlineLevel="0" collapsed="false">
      <c r="A18" s="58" t="n">
        <f aca="false">A17+1</f>
        <v>9</v>
      </c>
      <c r="B18" s="73" t="n">
        <v>6909.32</v>
      </c>
      <c r="C18" s="52" t="n">
        <v>319279</v>
      </c>
      <c r="D18" s="57" t="n">
        <f aca="false">C18-C17</f>
        <v>0</v>
      </c>
      <c r="E18" s="52" t="n">
        <f aca="false">C18-152000</f>
        <v>167279</v>
      </c>
      <c r="F18" s="51" t="n">
        <f aca="false">D18/$D$2</f>
        <v>0</v>
      </c>
      <c r="G18" s="51" t="n">
        <v>89</v>
      </c>
      <c r="H18" s="56" t="n">
        <v>0</v>
      </c>
      <c r="I18" s="51" t="n">
        <f aca="false">G18+H18</f>
        <v>89</v>
      </c>
      <c r="J18" s="81" t="n">
        <f aca="false">IF(L18&gt;0,L18,0)</f>
        <v>0</v>
      </c>
      <c r="K18" s="51" t="n">
        <f aca="false">I18+J18</f>
        <v>89</v>
      </c>
      <c r="L18" s="51" t="n">
        <f aca="false">F18-(I18-W18)</f>
        <v>-9</v>
      </c>
      <c r="M18" s="51" t="n">
        <v>5</v>
      </c>
      <c r="N18" s="51" t="n">
        <v>0</v>
      </c>
      <c r="O18" s="51" t="n">
        <v>0</v>
      </c>
      <c r="P18" s="6" t="n">
        <f aca="false">M18-(N18+O18)</f>
        <v>5</v>
      </c>
      <c r="Q18" s="51" t="n">
        <v>0</v>
      </c>
      <c r="R18" s="51" t="n">
        <v>0</v>
      </c>
      <c r="S18" s="51" t="n">
        <f aca="false">SUM(P18:R18)</f>
        <v>5</v>
      </c>
      <c r="T18" s="52"/>
      <c r="U18" s="51" t="n">
        <v>0</v>
      </c>
      <c r="V18" s="51" t="n">
        <v>80</v>
      </c>
      <c r="W18" s="51" t="n">
        <v>80</v>
      </c>
      <c r="X18" s="51" t="n">
        <f aca="false">IF(L18&lt;0,L18*-1,0)</f>
        <v>9</v>
      </c>
      <c r="Y18" s="51" t="n">
        <f aca="false">W18+X18</f>
        <v>89</v>
      </c>
      <c r="Z18" s="56" t="n">
        <v>0.01</v>
      </c>
      <c r="AA18" s="82" t="n">
        <v>35</v>
      </c>
      <c r="AB18" s="57" t="n">
        <v>20</v>
      </c>
      <c r="AC18" s="58" t="n">
        <f aca="false">AC17+1</f>
        <v>9</v>
      </c>
      <c r="AD18" s="92"/>
      <c r="AE18" s="94"/>
      <c r="AF18" s="93"/>
    </row>
    <row r="19" customFormat="false" ht="11.1" hidden="false" customHeight="true" outlineLevel="0" collapsed="false">
      <c r="A19" s="58" t="n">
        <f aca="false">A18+1</f>
        <v>10</v>
      </c>
      <c r="B19" s="73" t="n">
        <v>6909.323</v>
      </c>
      <c r="C19" s="52" t="n">
        <v>319279</v>
      </c>
      <c r="D19" s="57" t="n">
        <f aca="false">C19-C18</f>
        <v>0</v>
      </c>
      <c r="E19" s="52" t="n">
        <f aca="false">C19-152000</f>
        <v>167279</v>
      </c>
      <c r="F19" s="51" t="n">
        <f aca="false">D19/$D$2</f>
        <v>0</v>
      </c>
      <c r="G19" s="51" t="n">
        <v>89</v>
      </c>
      <c r="H19" s="56" t="n">
        <v>0</v>
      </c>
      <c r="I19" s="51" t="n">
        <f aca="false">G19+H19</f>
        <v>89</v>
      </c>
      <c r="J19" s="81" t="n">
        <f aca="false">IF(L19&gt;0,L19,0)</f>
        <v>0</v>
      </c>
      <c r="K19" s="51" t="n">
        <f aca="false">I19+J19</f>
        <v>89</v>
      </c>
      <c r="L19" s="51" t="n">
        <f aca="false">F19-(I19-W19)</f>
        <v>-9</v>
      </c>
      <c r="M19" s="51" t="n">
        <v>5</v>
      </c>
      <c r="N19" s="51" t="n">
        <v>0</v>
      </c>
      <c r="O19" s="51" t="n">
        <v>0</v>
      </c>
      <c r="P19" s="6" t="n">
        <f aca="false">M19-(N19+O19)</f>
        <v>5</v>
      </c>
      <c r="Q19" s="51" t="n">
        <v>0</v>
      </c>
      <c r="R19" s="51" t="n">
        <v>0</v>
      </c>
      <c r="S19" s="51" t="n">
        <f aca="false">SUM(P19:R19)</f>
        <v>5</v>
      </c>
      <c r="T19" s="52"/>
      <c r="U19" s="51" t="n">
        <v>0</v>
      </c>
      <c r="V19" s="51" t="n">
        <v>80</v>
      </c>
      <c r="W19" s="51" t="n">
        <v>80</v>
      </c>
      <c r="X19" s="51" t="n">
        <f aca="false">IF(L19&lt;0,L19*-1,0)</f>
        <v>9</v>
      </c>
      <c r="Y19" s="51" t="n">
        <f aca="false">W19+X19</f>
        <v>89</v>
      </c>
      <c r="Z19" s="56" t="n">
        <v>0</v>
      </c>
      <c r="AA19" s="57" t="n">
        <v>41</v>
      </c>
      <c r="AB19" s="57" t="n">
        <v>24</v>
      </c>
      <c r="AC19" s="58" t="n">
        <f aca="false">AC18+1</f>
        <v>10</v>
      </c>
      <c r="AD19" s="92"/>
      <c r="AE19" s="94"/>
      <c r="AF19" s="93"/>
    </row>
    <row r="20" customFormat="false" ht="11.1" hidden="false" customHeight="true" outlineLevel="0" collapsed="false">
      <c r="A20" s="58" t="n">
        <f aca="false">A19+1</f>
        <v>11</v>
      </c>
      <c r="B20" s="73" t="n">
        <v>6909.31</v>
      </c>
      <c r="C20" s="52" t="n">
        <v>319239</v>
      </c>
      <c r="D20" s="57" t="n">
        <f aca="false">C20-C19</f>
        <v>-40</v>
      </c>
      <c r="E20" s="52" t="n">
        <f aca="false">C20-152000</f>
        <v>167239</v>
      </c>
      <c r="F20" s="51" t="n">
        <f aca="false">D20/$D$2</f>
        <v>-20.1663725737333</v>
      </c>
      <c r="G20" s="51" t="n">
        <v>89</v>
      </c>
      <c r="H20" s="56" t="n">
        <v>0</v>
      </c>
      <c r="I20" s="51" t="n">
        <f aca="false">G20+H20</f>
        <v>89</v>
      </c>
      <c r="J20" s="81" t="n">
        <f aca="false">IF(L20&gt;0,L20,0)</f>
        <v>0</v>
      </c>
      <c r="K20" s="51" t="n">
        <f aca="false">I20+J20</f>
        <v>89</v>
      </c>
      <c r="L20" s="51" t="n">
        <f aca="false">F20-(I20-W20)</f>
        <v>-29.1663725737333</v>
      </c>
      <c r="M20" s="51" t="n">
        <v>5</v>
      </c>
      <c r="N20" s="51" t="n">
        <v>0</v>
      </c>
      <c r="O20" s="51" t="n">
        <v>0</v>
      </c>
      <c r="P20" s="6" t="n">
        <f aca="false">M20-(N20+O20)</f>
        <v>5</v>
      </c>
      <c r="Q20" s="51" t="n">
        <v>0</v>
      </c>
      <c r="R20" s="51" t="n">
        <v>0</v>
      </c>
      <c r="S20" s="51" t="n">
        <f aca="false">SUM(P20:R20)</f>
        <v>5</v>
      </c>
      <c r="T20" s="52"/>
      <c r="U20" s="51" t="n">
        <v>0</v>
      </c>
      <c r="V20" s="51" t="n">
        <v>80</v>
      </c>
      <c r="W20" s="51" t="n">
        <v>80</v>
      </c>
      <c r="X20" s="51" t="n">
        <f aca="false">IF(L20&lt;0,L20*-1,0)</f>
        <v>29.1663725737333</v>
      </c>
      <c r="Y20" s="51" t="n">
        <f aca="false">W20+X20</f>
        <v>109.166372573733</v>
      </c>
      <c r="Z20" s="56" t="n">
        <v>0</v>
      </c>
      <c r="AA20" s="57" t="n">
        <v>45</v>
      </c>
      <c r="AB20" s="57" t="n">
        <v>19</v>
      </c>
      <c r="AC20" s="58" t="n">
        <f aca="false">AC19+1</f>
        <v>11</v>
      </c>
      <c r="AD20" s="92"/>
      <c r="AE20" s="94"/>
      <c r="AF20" s="93"/>
    </row>
    <row r="21" customFormat="false" ht="11.1" hidden="false" customHeight="true" outlineLevel="0" collapsed="false">
      <c r="A21" s="58" t="n">
        <f aca="false">A20+1</f>
        <v>12</v>
      </c>
      <c r="B21" s="73" t="n">
        <v>6909.31</v>
      </c>
      <c r="C21" s="52" t="n">
        <v>319239</v>
      </c>
      <c r="D21" s="57" t="n">
        <f aca="false">C21-C20</f>
        <v>0</v>
      </c>
      <c r="E21" s="52" t="n">
        <f aca="false">C21-152000</f>
        <v>167239</v>
      </c>
      <c r="F21" s="51" t="n">
        <f aca="false">D21/$D$2</f>
        <v>0</v>
      </c>
      <c r="G21" s="51" t="n">
        <v>89</v>
      </c>
      <c r="H21" s="56" t="n">
        <v>0</v>
      </c>
      <c r="I21" s="51" t="n">
        <f aca="false">G21+H21</f>
        <v>89</v>
      </c>
      <c r="J21" s="81" t="n">
        <f aca="false">IF(L21&gt;0,L21,0)</f>
        <v>0</v>
      </c>
      <c r="K21" s="51" t="n">
        <f aca="false">I21+J21</f>
        <v>89</v>
      </c>
      <c r="L21" s="51" t="n">
        <f aca="false">F21-(I21-W21)</f>
        <v>-9</v>
      </c>
      <c r="M21" s="51" t="n">
        <v>5</v>
      </c>
      <c r="N21" s="51" t="n">
        <v>0</v>
      </c>
      <c r="O21" s="51" t="n">
        <v>0</v>
      </c>
      <c r="P21" s="6" t="n">
        <f aca="false">M21-(N21+O21)</f>
        <v>5</v>
      </c>
      <c r="Q21" s="51" t="n">
        <v>0</v>
      </c>
      <c r="R21" s="51" t="n">
        <v>0</v>
      </c>
      <c r="S21" s="51" t="n">
        <f aca="false">SUM(P21:R21)</f>
        <v>5</v>
      </c>
      <c r="T21" s="52"/>
      <c r="U21" s="51" t="n">
        <v>0</v>
      </c>
      <c r="V21" s="51" t="n">
        <v>80</v>
      </c>
      <c r="W21" s="51" t="n">
        <v>80</v>
      </c>
      <c r="X21" s="51" t="n">
        <f aca="false">IF(L21&lt;0,L21*-1,0)</f>
        <v>9</v>
      </c>
      <c r="Y21" s="51" t="n">
        <f aca="false">W21+X21</f>
        <v>89</v>
      </c>
      <c r="Z21" s="56" t="n">
        <v>0</v>
      </c>
      <c r="AA21" s="57" t="n">
        <v>39</v>
      </c>
      <c r="AB21" s="57" t="n">
        <v>15</v>
      </c>
      <c r="AC21" s="58" t="n">
        <f aca="false">AC20+1</f>
        <v>12</v>
      </c>
      <c r="AD21" s="92"/>
      <c r="AE21" s="94"/>
      <c r="AF21" s="93"/>
    </row>
    <row r="22" customFormat="false" ht="11.1" hidden="false" customHeight="true" outlineLevel="0" collapsed="false">
      <c r="A22" s="58" t="n">
        <f aca="false">A21+1</f>
        <v>13</v>
      </c>
      <c r="B22" s="73" t="n">
        <v>6909.33</v>
      </c>
      <c r="C22" s="52" t="n">
        <v>319319</v>
      </c>
      <c r="D22" s="57" t="n">
        <f aca="false">C22-C21</f>
        <v>80</v>
      </c>
      <c r="E22" s="52" t="n">
        <f aca="false">C22-152000</f>
        <v>167319</v>
      </c>
      <c r="F22" s="51" t="n">
        <f aca="false">D22/$D$2</f>
        <v>40.3327451474666</v>
      </c>
      <c r="G22" s="51" t="n">
        <v>89</v>
      </c>
      <c r="H22" s="56" t="n">
        <v>0</v>
      </c>
      <c r="I22" s="51" t="n">
        <f aca="false">G22+H22</f>
        <v>89</v>
      </c>
      <c r="J22" s="81" t="n">
        <f aca="false">IF(L22&gt;0,L22,0)</f>
        <v>31.3327451474666</v>
      </c>
      <c r="K22" s="51" t="n">
        <f aca="false">I22+J22</f>
        <v>120.332745147467</v>
      </c>
      <c r="L22" s="51" t="n">
        <f aca="false">F22-(I22-W22)</f>
        <v>31.3327451474666</v>
      </c>
      <c r="M22" s="51" t="n">
        <v>5</v>
      </c>
      <c r="N22" s="51" t="n">
        <v>0</v>
      </c>
      <c r="O22" s="51" t="n">
        <v>0</v>
      </c>
      <c r="P22" s="6" t="n">
        <f aca="false">M22-(N22+O22)</f>
        <v>5</v>
      </c>
      <c r="Q22" s="51" t="n">
        <v>0</v>
      </c>
      <c r="R22" s="51" t="n">
        <v>0</v>
      </c>
      <c r="S22" s="51" t="n">
        <f aca="false">SUM(P22:R22)</f>
        <v>5</v>
      </c>
      <c r="T22" s="52"/>
      <c r="U22" s="51" t="n">
        <v>0</v>
      </c>
      <c r="V22" s="51" t="n">
        <v>80</v>
      </c>
      <c r="W22" s="51" t="n">
        <v>80</v>
      </c>
      <c r="X22" s="51" t="n">
        <f aca="false">IF(L22&lt;0,L22*-1,0)</f>
        <v>0</v>
      </c>
      <c r="Y22" s="51" t="n">
        <f aca="false">W22+X22</f>
        <v>80</v>
      </c>
      <c r="Z22" s="56" t="n">
        <v>0</v>
      </c>
      <c r="AA22" s="57" t="n">
        <v>33</v>
      </c>
      <c r="AB22" s="57" t="n">
        <v>12</v>
      </c>
      <c r="AC22" s="58" t="n">
        <f aca="false">AC21+1</f>
        <v>13</v>
      </c>
      <c r="AD22" s="92"/>
      <c r="AE22" s="94"/>
      <c r="AF22" s="93"/>
    </row>
    <row r="23" customFormat="false" ht="11.1" hidden="false" customHeight="true" outlineLevel="0" collapsed="false">
      <c r="A23" s="58" t="n">
        <f aca="false">A22+1</f>
        <v>14</v>
      </c>
      <c r="B23" s="73" t="n">
        <v>6909.32</v>
      </c>
      <c r="C23" s="52" t="n">
        <v>319279</v>
      </c>
      <c r="D23" s="57" t="n">
        <f aca="false">C23-C22</f>
        <v>-40</v>
      </c>
      <c r="E23" s="52" t="n">
        <f aca="false">C23-152000</f>
        <v>167279</v>
      </c>
      <c r="F23" s="51" t="n">
        <f aca="false">D23/$D$2</f>
        <v>-20.1663725737333</v>
      </c>
      <c r="G23" s="51" t="n">
        <v>89</v>
      </c>
      <c r="H23" s="56" t="n">
        <v>0</v>
      </c>
      <c r="I23" s="51" t="n">
        <f aca="false">G23+H23</f>
        <v>89</v>
      </c>
      <c r="J23" s="81" t="n">
        <f aca="false">IF(L23&gt;0,L23,0)</f>
        <v>0</v>
      </c>
      <c r="K23" s="51" t="n">
        <f aca="false">I23+J23</f>
        <v>89</v>
      </c>
      <c r="L23" s="51" t="n">
        <f aca="false">F23-(I23-W23)</f>
        <v>-29.1663725737333</v>
      </c>
      <c r="M23" s="51" t="n">
        <v>5</v>
      </c>
      <c r="N23" s="51" t="n">
        <v>0</v>
      </c>
      <c r="O23" s="51" t="n">
        <v>0</v>
      </c>
      <c r="P23" s="6" t="n">
        <f aca="false">M23-(N23+O23)</f>
        <v>5</v>
      </c>
      <c r="Q23" s="51" t="n">
        <v>0</v>
      </c>
      <c r="R23" s="51" t="n">
        <v>0</v>
      </c>
      <c r="S23" s="51" t="n">
        <f aca="false">SUM(P23:R23)</f>
        <v>5</v>
      </c>
      <c r="T23" s="52"/>
      <c r="U23" s="51" t="n">
        <v>0</v>
      </c>
      <c r="V23" s="51" t="n">
        <v>80</v>
      </c>
      <c r="W23" s="51" t="n">
        <v>80</v>
      </c>
      <c r="X23" s="51" t="n">
        <f aca="false">IF(L23&lt;0,L23*-1,0)</f>
        <v>29.1663725737333</v>
      </c>
      <c r="Y23" s="51" t="n">
        <f aca="false">W23+X23</f>
        <v>109.166372573733</v>
      </c>
      <c r="Z23" s="56" t="n">
        <v>0</v>
      </c>
      <c r="AA23" s="82" t="n">
        <v>36</v>
      </c>
      <c r="AB23" s="57" t="n">
        <v>10</v>
      </c>
      <c r="AC23" s="58" t="n">
        <f aca="false">AC22+1</f>
        <v>14</v>
      </c>
      <c r="AD23" s="92"/>
      <c r="AE23" s="94"/>
      <c r="AF23" s="93"/>
    </row>
    <row r="24" customFormat="false" ht="11.1" hidden="false" customHeight="true" outlineLevel="0" collapsed="false">
      <c r="A24" s="58" t="n">
        <f aca="false">A23+1</f>
        <v>15</v>
      </c>
      <c r="B24" s="73" t="n">
        <v>6909.32</v>
      </c>
      <c r="C24" s="52" t="n">
        <v>319279</v>
      </c>
      <c r="D24" s="57" t="n">
        <f aca="false">C24-C23</f>
        <v>0</v>
      </c>
      <c r="E24" s="52" t="n">
        <f aca="false">C24-152000</f>
        <v>167279</v>
      </c>
      <c r="F24" s="51" t="n">
        <f aca="false">D24/$D$2</f>
        <v>0</v>
      </c>
      <c r="G24" s="51" t="n">
        <v>89</v>
      </c>
      <c r="H24" s="56" t="n">
        <v>0</v>
      </c>
      <c r="I24" s="51" t="n">
        <f aca="false">G24+H24</f>
        <v>89</v>
      </c>
      <c r="J24" s="81" t="n">
        <f aca="false">IF(L24&gt;0,L24,0)</f>
        <v>0</v>
      </c>
      <c r="K24" s="51" t="n">
        <f aca="false">I24+J24</f>
        <v>89</v>
      </c>
      <c r="L24" s="51" t="n">
        <f aca="false">F24-(I24-W24)</f>
        <v>-9</v>
      </c>
      <c r="M24" s="51" t="n">
        <v>5</v>
      </c>
      <c r="N24" s="51" t="n">
        <v>0</v>
      </c>
      <c r="O24" s="51" t="n">
        <v>0</v>
      </c>
      <c r="P24" s="6" t="n">
        <f aca="false">M24-(N24+O24)</f>
        <v>5</v>
      </c>
      <c r="Q24" s="51" t="n">
        <v>0</v>
      </c>
      <c r="R24" s="51" t="n">
        <v>0</v>
      </c>
      <c r="S24" s="51" t="n">
        <f aca="false">SUM(P24:R24)</f>
        <v>5</v>
      </c>
      <c r="T24" s="52"/>
      <c r="U24" s="51" t="n">
        <v>0</v>
      </c>
      <c r="V24" s="51" t="n">
        <v>80</v>
      </c>
      <c r="W24" s="51" t="n">
        <v>80</v>
      </c>
      <c r="X24" s="51" t="n">
        <f aca="false">IF(L24&lt;0,L24*-1,0)</f>
        <v>9</v>
      </c>
      <c r="Y24" s="51" t="n">
        <f aca="false">W24+X24</f>
        <v>89</v>
      </c>
      <c r="Z24" s="56" t="n">
        <v>0</v>
      </c>
      <c r="AA24" s="82" t="n">
        <v>36</v>
      </c>
      <c r="AB24" s="57" t="n">
        <v>8</v>
      </c>
      <c r="AC24" s="58" t="n">
        <f aca="false">AC23+1</f>
        <v>15</v>
      </c>
      <c r="AD24" s="92"/>
      <c r="AE24" s="94"/>
      <c r="AF24" s="93"/>
    </row>
    <row r="25" customFormat="false" ht="11.1" hidden="false" customHeight="true" outlineLevel="0" collapsed="false">
      <c r="A25" s="58" t="n">
        <f aca="false">A24+1</f>
        <v>16</v>
      </c>
      <c r="B25" s="73" t="n">
        <v>6909.33</v>
      </c>
      <c r="C25" s="52" t="n">
        <v>319319</v>
      </c>
      <c r="D25" s="57" t="n">
        <f aca="false">C25-C24</f>
        <v>40</v>
      </c>
      <c r="E25" s="52" t="n">
        <f aca="false">C25-152000</f>
        <v>167319</v>
      </c>
      <c r="F25" s="51" t="n">
        <f aca="false">D25/$D$2</f>
        <v>20.1663725737333</v>
      </c>
      <c r="G25" s="51" t="n">
        <v>89</v>
      </c>
      <c r="H25" s="56" t="n">
        <v>0</v>
      </c>
      <c r="I25" s="51" t="n">
        <f aca="false">G25+H25</f>
        <v>89</v>
      </c>
      <c r="J25" s="81" t="n">
        <f aca="false">IF(L25&gt;0,L25,0)</f>
        <v>11.1663725737333</v>
      </c>
      <c r="K25" s="51" t="n">
        <f aca="false">I25+J25</f>
        <v>100.166372573733</v>
      </c>
      <c r="L25" s="51" t="n">
        <f aca="false">F25-(I25-W25)</f>
        <v>11.1663725737333</v>
      </c>
      <c r="M25" s="51" t="n">
        <v>5</v>
      </c>
      <c r="N25" s="51" t="n">
        <v>0</v>
      </c>
      <c r="O25" s="51" t="n">
        <v>0</v>
      </c>
      <c r="P25" s="6" t="n">
        <f aca="false">M25-(N25+O25)</f>
        <v>5</v>
      </c>
      <c r="Q25" s="51" t="n">
        <v>0</v>
      </c>
      <c r="R25" s="51" t="n">
        <v>0</v>
      </c>
      <c r="S25" s="51" t="n">
        <f aca="false">SUM(P25:R25)</f>
        <v>5</v>
      </c>
      <c r="T25" s="52"/>
      <c r="U25" s="51" t="n">
        <v>0</v>
      </c>
      <c r="V25" s="51" t="n">
        <v>80</v>
      </c>
      <c r="W25" s="51" t="n">
        <v>80</v>
      </c>
      <c r="X25" s="51" t="n">
        <f aca="false">IF(L25&lt;0,L25*-1,0)</f>
        <v>0</v>
      </c>
      <c r="Y25" s="51" t="n">
        <f aca="false">W25+X25</f>
        <v>80</v>
      </c>
      <c r="Z25" s="56" t="n">
        <v>0</v>
      </c>
      <c r="AA25" s="82" t="n">
        <v>43</v>
      </c>
      <c r="AB25" s="57" t="n">
        <v>14</v>
      </c>
      <c r="AC25" s="58" t="n">
        <f aca="false">AC24+1</f>
        <v>16</v>
      </c>
      <c r="AD25" s="92"/>
      <c r="AE25" s="94"/>
      <c r="AF25" s="93"/>
    </row>
    <row r="26" customFormat="false" ht="11.1" hidden="false" customHeight="true" outlineLevel="0" collapsed="false">
      <c r="A26" s="58" t="n">
        <f aca="false">A25+1</f>
        <v>17</v>
      </c>
      <c r="B26" s="73" t="n">
        <v>6909.33</v>
      </c>
      <c r="C26" s="52" t="n">
        <v>319319</v>
      </c>
      <c r="D26" s="57" t="n">
        <f aca="false">C26-C25</f>
        <v>0</v>
      </c>
      <c r="E26" s="52" t="n">
        <f aca="false">C26-152000</f>
        <v>167319</v>
      </c>
      <c r="F26" s="51" t="n">
        <f aca="false">D26/$D$2</f>
        <v>0</v>
      </c>
      <c r="G26" s="51" t="n">
        <v>89</v>
      </c>
      <c r="H26" s="56" t="n">
        <v>0</v>
      </c>
      <c r="I26" s="51" t="n">
        <f aca="false">G26+H26</f>
        <v>89</v>
      </c>
      <c r="J26" s="81" t="n">
        <f aca="false">IF(L26&gt;0,L26,0)</f>
        <v>0</v>
      </c>
      <c r="K26" s="51" t="n">
        <f aca="false">I26+J26</f>
        <v>89</v>
      </c>
      <c r="L26" s="51" t="n">
        <f aca="false">F26-(I26-W26)</f>
        <v>-6</v>
      </c>
      <c r="M26" s="51" t="n">
        <v>5</v>
      </c>
      <c r="N26" s="51" t="n">
        <v>0</v>
      </c>
      <c r="O26" s="51" t="n">
        <v>0</v>
      </c>
      <c r="P26" s="6" t="n">
        <f aca="false">M26-(N26+O26)</f>
        <v>5</v>
      </c>
      <c r="Q26" s="51" t="n">
        <v>0</v>
      </c>
      <c r="R26" s="51" t="n">
        <v>0</v>
      </c>
      <c r="S26" s="51" t="n">
        <f aca="false">SUM(P26:R26)</f>
        <v>5</v>
      </c>
      <c r="T26" s="52"/>
      <c r="U26" s="51" t="n">
        <v>0</v>
      </c>
      <c r="V26" s="51" t="n">
        <v>78</v>
      </c>
      <c r="W26" s="6" t="n">
        <f aca="false">N26+O26+S26+U26+V26</f>
        <v>83</v>
      </c>
      <c r="X26" s="51" t="n">
        <f aca="false">IF(L26&lt;0,L26*-1,0)</f>
        <v>6</v>
      </c>
      <c r="Y26" s="51" t="n">
        <f aca="false">W26+X26</f>
        <v>89</v>
      </c>
      <c r="Z26" s="56" t="n">
        <v>0</v>
      </c>
      <c r="AA26" s="82" t="n">
        <v>47</v>
      </c>
      <c r="AB26" s="57" t="n">
        <v>15</v>
      </c>
      <c r="AC26" s="58" t="n">
        <f aca="false">AC25+1</f>
        <v>17</v>
      </c>
      <c r="AD26" s="92"/>
      <c r="AE26" s="94"/>
      <c r="AF26" s="93"/>
    </row>
    <row r="27" customFormat="false" ht="11.1" hidden="false" customHeight="true" outlineLevel="0" collapsed="false">
      <c r="A27" s="58" t="n">
        <f aca="false">A26+1</f>
        <v>18</v>
      </c>
      <c r="B27" s="73" t="n">
        <v>6909.34</v>
      </c>
      <c r="C27" s="52" t="n">
        <v>319359</v>
      </c>
      <c r="D27" s="57" t="n">
        <f aca="false">C27-C26</f>
        <v>40</v>
      </c>
      <c r="E27" s="52" t="n">
        <f aca="false">C27-152000</f>
        <v>167359</v>
      </c>
      <c r="F27" s="51" t="n">
        <f aca="false">D27/$D$2</f>
        <v>20.1663725737333</v>
      </c>
      <c r="G27" s="51" t="n">
        <v>89</v>
      </c>
      <c r="H27" s="56" t="n">
        <v>0</v>
      </c>
      <c r="I27" s="51" t="n">
        <f aca="false">G27+H27</f>
        <v>89</v>
      </c>
      <c r="J27" s="81" t="n">
        <f aca="false">IF(L27&gt;0,L27,0)</f>
        <v>14.1663725737333</v>
      </c>
      <c r="K27" s="51" t="n">
        <f aca="false">I27+J27</f>
        <v>103.166372573733</v>
      </c>
      <c r="L27" s="51" t="n">
        <f aca="false">F27-(I27-W27)</f>
        <v>14.1663725737333</v>
      </c>
      <c r="M27" s="51" t="n">
        <v>5</v>
      </c>
      <c r="N27" s="51" t="n">
        <v>0</v>
      </c>
      <c r="O27" s="51" t="n">
        <v>0</v>
      </c>
      <c r="P27" s="6" t="n">
        <f aca="false">M27-(N27+O27)</f>
        <v>5</v>
      </c>
      <c r="Q27" s="51" t="n">
        <v>0</v>
      </c>
      <c r="R27" s="51" t="n">
        <v>0</v>
      </c>
      <c r="S27" s="51" t="n">
        <f aca="false">SUM(P27:R27)</f>
        <v>5</v>
      </c>
      <c r="T27" s="52"/>
      <c r="U27" s="51" t="n">
        <v>0</v>
      </c>
      <c r="V27" s="51" t="n">
        <v>78</v>
      </c>
      <c r="W27" s="6" t="n">
        <f aca="false">N27+O27+S27+U27+V27</f>
        <v>83</v>
      </c>
      <c r="X27" s="51" t="n">
        <f aca="false">IF(L27&lt;0,L27*-1,0)</f>
        <v>0</v>
      </c>
      <c r="Y27" s="51" t="n">
        <f aca="false">W27+X27</f>
        <v>83</v>
      </c>
      <c r="Z27" s="98" t="n">
        <v>0</v>
      </c>
      <c r="AA27" s="82" t="n">
        <v>46</v>
      </c>
      <c r="AB27" s="57" t="n">
        <v>20</v>
      </c>
      <c r="AC27" s="58" t="n">
        <f aca="false">AC26+1</f>
        <v>18</v>
      </c>
      <c r="AD27" s="92"/>
      <c r="AE27" s="94"/>
      <c r="AF27" s="93"/>
    </row>
    <row r="28" customFormat="false" ht="11.1" hidden="false" customHeight="true" outlineLevel="0" collapsed="false">
      <c r="A28" s="58" t="n">
        <f aca="false">A27+1</f>
        <v>19</v>
      </c>
      <c r="B28" s="73" t="n">
        <v>6909.35</v>
      </c>
      <c r="C28" s="99" t="n">
        <v>319399</v>
      </c>
      <c r="D28" s="57" t="n">
        <f aca="false">C28-C27</f>
        <v>40</v>
      </c>
      <c r="E28" s="52" t="n">
        <f aca="false">C28-152000</f>
        <v>167399</v>
      </c>
      <c r="F28" s="51" t="n">
        <f aca="false">D28/$D$2</f>
        <v>20.1663725737333</v>
      </c>
      <c r="G28" s="51" t="n">
        <v>89</v>
      </c>
      <c r="H28" s="56" t="n">
        <v>0</v>
      </c>
      <c r="I28" s="51" t="n">
        <f aca="false">G28+H28</f>
        <v>89</v>
      </c>
      <c r="J28" s="81" t="n">
        <f aca="false">IF(L28&gt;0,L28,0)</f>
        <v>14.1663725737333</v>
      </c>
      <c r="K28" s="51" t="n">
        <f aca="false">I28+J28</f>
        <v>103.166372573733</v>
      </c>
      <c r="L28" s="51" t="n">
        <f aca="false">F28-(I28-W28)</f>
        <v>14.1663725737333</v>
      </c>
      <c r="M28" s="51" t="n">
        <v>5</v>
      </c>
      <c r="N28" s="51" t="n">
        <v>0</v>
      </c>
      <c r="O28" s="51" t="n">
        <v>0</v>
      </c>
      <c r="P28" s="6" t="n">
        <f aca="false">M28-(N28+O28)</f>
        <v>5</v>
      </c>
      <c r="Q28" s="51" t="n">
        <v>0</v>
      </c>
      <c r="R28" s="51" t="n">
        <v>0</v>
      </c>
      <c r="S28" s="51" t="n">
        <f aca="false">SUM(P28:R28)</f>
        <v>5</v>
      </c>
      <c r="T28" s="52"/>
      <c r="U28" s="51" t="n">
        <v>0</v>
      </c>
      <c r="V28" s="51" t="n">
        <v>78</v>
      </c>
      <c r="W28" s="6" t="n">
        <f aca="false">N28+O28+S28+U28+V28</f>
        <v>83</v>
      </c>
      <c r="X28" s="51" t="n">
        <f aca="false">IF(L28&lt;0,L28*-1,0)</f>
        <v>0</v>
      </c>
      <c r="Y28" s="51" t="n">
        <f aca="false">W28+X28</f>
        <v>83</v>
      </c>
      <c r="Z28" s="56" t="n">
        <v>0.07</v>
      </c>
      <c r="AA28" s="82" t="n">
        <v>39</v>
      </c>
      <c r="AB28" s="57" t="n">
        <v>24</v>
      </c>
      <c r="AC28" s="58" t="n">
        <f aca="false">AC27+1</f>
        <v>19</v>
      </c>
      <c r="AD28" s="92"/>
      <c r="AE28" s="94"/>
      <c r="AF28" s="93"/>
    </row>
    <row r="29" customFormat="false" ht="11.1" hidden="false" customHeight="true" outlineLevel="0" collapsed="false">
      <c r="A29" s="58" t="n">
        <f aca="false">A28+1</f>
        <v>20</v>
      </c>
      <c r="B29" s="73" t="n">
        <v>6909.36</v>
      </c>
      <c r="C29" s="52" t="n">
        <v>319439</v>
      </c>
      <c r="D29" s="57" t="n">
        <f aca="false">C29-C28</f>
        <v>40</v>
      </c>
      <c r="E29" s="52" t="n">
        <f aca="false">C29-152000</f>
        <v>167439</v>
      </c>
      <c r="F29" s="51" t="n">
        <f aca="false">D29/$D$2</f>
        <v>20.1663725737333</v>
      </c>
      <c r="G29" s="51" t="n">
        <v>89</v>
      </c>
      <c r="H29" s="56" t="n">
        <v>0</v>
      </c>
      <c r="I29" s="51" t="n">
        <f aca="false">G29+H29</f>
        <v>89</v>
      </c>
      <c r="J29" s="81" t="n">
        <f aca="false">IF(L29&gt;0,L29,0)</f>
        <v>14.1663725737333</v>
      </c>
      <c r="K29" s="51" t="n">
        <f aca="false">I29+J29</f>
        <v>103.166372573733</v>
      </c>
      <c r="L29" s="51" t="n">
        <f aca="false">F29-(I29-W29)</f>
        <v>14.1663725737333</v>
      </c>
      <c r="M29" s="51" t="n">
        <v>5</v>
      </c>
      <c r="N29" s="51" t="n">
        <v>0</v>
      </c>
      <c r="O29" s="51" t="n">
        <v>0</v>
      </c>
      <c r="P29" s="6" t="n">
        <f aca="false">M29-(N29+O29)</f>
        <v>5</v>
      </c>
      <c r="Q29" s="51" t="n">
        <v>0</v>
      </c>
      <c r="R29" s="51" t="n">
        <v>0</v>
      </c>
      <c r="S29" s="51" t="n">
        <f aca="false">SUM(P29:R29)</f>
        <v>5</v>
      </c>
      <c r="T29" s="52"/>
      <c r="U29" s="51" t="n">
        <v>0</v>
      </c>
      <c r="V29" s="51" t="n">
        <v>78</v>
      </c>
      <c r="W29" s="6" t="n">
        <f aca="false">N29+O29+S29+U29+V29</f>
        <v>83</v>
      </c>
      <c r="X29" s="51" t="n">
        <f aca="false">IF(L29&lt;0,L29*-1,0)</f>
        <v>0</v>
      </c>
      <c r="Y29" s="51" t="n">
        <f aca="false">W29+X29</f>
        <v>83</v>
      </c>
      <c r="Z29" s="56" t="n">
        <v>0</v>
      </c>
      <c r="AA29" s="82" t="n">
        <v>35</v>
      </c>
      <c r="AB29" s="57" t="n">
        <v>23</v>
      </c>
      <c r="AC29" s="58" t="n">
        <f aca="false">AC28+1</f>
        <v>20</v>
      </c>
      <c r="AD29" s="92"/>
      <c r="AE29" s="94"/>
      <c r="AF29" s="93"/>
    </row>
    <row r="30" customFormat="false" ht="11.1" hidden="false" customHeight="true" outlineLevel="0" collapsed="false">
      <c r="A30" s="58" t="n">
        <f aca="false">A29+1</f>
        <v>21</v>
      </c>
      <c r="B30" s="73" t="n">
        <v>6909.36</v>
      </c>
      <c r="C30" s="52" t="n">
        <v>319439</v>
      </c>
      <c r="D30" s="57" t="n">
        <f aca="false">C30-C29</f>
        <v>0</v>
      </c>
      <c r="E30" s="52" t="n">
        <f aca="false">C30-152000</f>
        <v>167439</v>
      </c>
      <c r="F30" s="51" t="n">
        <f aca="false">D30/$D$2</f>
        <v>0</v>
      </c>
      <c r="G30" s="51" t="n">
        <v>89</v>
      </c>
      <c r="H30" s="56" t="n">
        <v>0</v>
      </c>
      <c r="I30" s="51" t="n">
        <f aca="false">G30+H30</f>
        <v>89</v>
      </c>
      <c r="J30" s="81" t="n">
        <f aca="false">IF(L30&gt;0,L30,0)</f>
        <v>0</v>
      </c>
      <c r="K30" s="51" t="n">
        <f aca="false">I30+J30</f>
        <v>89</v>
      </c>
      <c r="L30" s="51" t="n">
        <f aca="false">F30-(I30-W30)</f>
        <v>-6</v>
      </c>
      <c r="M30" s="51" t="n">
        <v>5</v>
      </c>
      <c r="N30" s="51" t="n">
        <v>0</v>
      </c>
      <c r="O30" s="51" t="n">
        <v>0</v>
      </c>
      <c r="P30" s="6" t="n">
        <f aca="false">M30-(N30+O30)</f>
        <v>5</v>
      </c>
      <c r="Q30" s="51" t="n">
        <v>0</v>
      </c>
      <c r="R30" s="51" t="n">
        <v>0</v>
      </c>
      <c r="S30" s="51" t="n">
        <f aca="false">SUM(P30:R30)</f>
        <v>5</v>
      </c>
      <c r="T30" s="52"/>
      <c r="U30" s="51" t="n">
        <v>0</v>
      </c>
      <c r="V30" s="51" t="n">
        <v>78</v>
      </c>
      <c r="W30" s="6" t="n">
        <f aca="false">N30+O30+S30+U30+V30</f>
        <v>83</v>
      </c>
      <c r="X30" s="51" t="n">
        <f aca="false">IF(L30&lt;0,L30*-1,0)</f>
        <v>6</v>
      </c>
      <c r="Y30" s="51" t="n">
        <f aca="false">W30+X30</f>
        <v>89</v>
      </c>
      <c r="Z30" s="56" t="n">
        <v>0</v>
      </c>
      <c r="AA30" s="57" t="n">
        <v>35</v>
      </c>
      <c r="AB30" s="57" t="n">
        <v>23</v>
      </c>
      <c r="AC30" s="58" t="n">
        <f aca="false">AC29+1</f>
        <v>21</v>
      </c>
      <c r="AD30" s="92"/>
      <c r="AE30" s="94"/>
      <c r="AF30" s="93"/>
    </row>
    <row r="31" customFormat="false" ht="11.1" hidden="false" customHeight="true" outlineLevel="0" collapsed="false">
      <c r="A31" s="58" t="n">
        <f aca="false">A30+1</f>
        <v>22</v>
      </c>
      <c r="B31" s="73" t="n">
        <v>6909.36</v>
      </c>
      <c r="C31" s="52" t="n">
        <v>319439</v>
      </c>
      <c r="D31" s="57" t="n">
        <f aca="false">C31-C30</f>
        <v>0</v>
      </c>
      <c r="E31" s="52" t="n">
        <f aca="false">C31-152000</f>
        <v>167439</v>
      </c>
      <c r="F31" s="51" t="n">
        <f aca="false">D31/$D$2</f>
        <v>0</v>
      </c>
      <c r="G31" s="51" t="n">
        <v>89</v>
      </c>
      <c r="H31" s="56" t="n">
        <v>0</v>
      </c>
      <c r="I31" s="51" t="n">
        <f aca="false">G31+H31</f>
        <v>89</v>
      </c>
      <c r="J31" s="81" t="n">
        <f aca="false">IF(L31&gt;0,L31,0)</f>
        <v>0</v>
      </c>
      <c r="K31" s="51" t="n">
        <f aca="false">I31+J31</f>
        <v>89</v>
      </c>
      <c r="L31" s="51" t="n">
        <f aca="false">F31-(I31-W31)</f>
        <v>-6</v>
      </c>
      <c r="M31" s="51" t="n">
        <v>5</v>
      </c>
      <c r="N31" s="51" t="n">
        <v>0</v>
      </c>
      <c r="O31" s="51" t="n">
        <v>0</v>
      </c>
      <c r="P31" s="6" t="n">
        <f aca="false">M31-(N31+O31)</f>
        <v>5</v>
      </c>
      <c r="Q31" s="51" t="n">
        <v>0</v>
      </c>
      <c r="R31" s="51" t="n">
        <v>0</v>
      </c>
      <c r="S31" s="51" t="n">
        <f aca="false">SUM(P31:R31)</f>
        <v>5</v>
      </c>
      <c r="T31" s="52"/>
      <c r="U31" s="51" t="n">
        <v>0</v>
      </c>
      <c r="V31" s="51" t="n">
        <v>78</v>
      </c>
      <c r="W31" s="6" t="n">
        <f aca="false">N31+O31+S31+U31+V31</f>
        <v>83</v>
      </c>
      <c r="X31" s="51" t="n">
        <f aca="false">IF(L31&lt;0,L31*-1,0)</f>
        <v>6</v>
      </c>
      <c r="Y31" s="51" t="n">
        <f aca="false">W31+X31</f>
        <v>89</v>
      </c>
      <c r="Z31" s="56" t="n">
        <v>0</v>
      </c>
      <c r="AA31" s="57" t="n">
        <v>44</v>
      </c>
      <c r="AB31" s="57" t="n">
        <v>10</v>
      </c>
      <c r="AC31" s="58" t="n">
        <f aca="false">AC30+1</f>
        <v>22</v>
      </c>
      <c r="AD31" s="92"/>
      <c r="AE31" s="94"/>
      <c r="AF31" s="93"/>
    </row>
    <row r="32" customFormat="false" ht="11.1" hidden="false" customHeight="true" outlineLevel="0" collapsed="false">
      <c r="A32" s="58" t="n">
        <f aca="false">A31+1</f>
        <v>23</v>
      </c>
      <c r="B32" s="73" t="n">
        <v>6909.36</v>
      </c>
      <c r="C32" s="52" t="n">
        <v>319439</v>
      </c>
      <c r="D32" s="57" t="n">
        <f aca="false">C32-C31</f>
        <v>0</v>
      </c>
      <c r="E32" s="52" t="n">
        <f aca="false">C32-152000</f>
        <v>167439</v>
      </c>
      <c r="F32" s="51" t="n">
        <f aca="false">D32/$D$2</f>
        <v>0</v>
      </c>
      <c r="G32" s="51" t="n">
        <v>89</v>
      </c>
      <c r="H32" s="56" t="n">
        <v>0</v>
      </c>
      <c r="I32" s="51" t="n">
        <f aca="false">G32+H32</f>
        <v>89</v>
      </c>
      <c r="J32" s="81" t="n">
        <f aca="false">IF(L32&gt;0,L32,0)</f>
        <v>0</v>
      </c>
      <c r="K32" s="51" t="n">
        <f aca="false">I32+J32</f>
        <v>89</v>
      </c>
      <c r="L32" s="51" t="n">
        <f aca="false">F32-(I32-W32)</f>
        <v>-6</v>
      </c>
      <c r="M32" s="51" t="n">
        <v>5</v>
      </c>
      <c r="N32" s="51" t="n">
        <v>0</v>
      </c>
      <c r="O32" s="51" t="n">
        <v>0</v>
      </c>
      <c r="P32" s="6" t="n">
        <f aca="false">M32-(N32+O32)</f>
        <v>5</v>
      </c>
      <c r="Q32" s="51" t="n">
        <v>0</v>
      </c>
      <c r="R32" s="51" t="n">
        <v>0</v>
      </c>
      <c r="S32" s="51" t="n">
        <f aca="false">SUM(P32:R32)</f>
        <v>5</v>
      </c>
      <c r="T32" s="52"/>
      <c r="U32" s="51" t="n">
        <v>0</v>
      </c>
      <c r="V32" s="51" t="n">
        <v>78</v>
      </c>
      <c r="W32" s="6" t="n">
        <f aca="false">N32+O32+S32+U32+V32</f>
        <v>83</v>
      </c>
      <c r="X32" s="51" t="n">
        <f aca="false">IF(L32&lt;0,L32*-1,0)</f>
        <v>6</v>
      </c>
      <c r="Y32" s="51" t="n">
        <f aca="false">W32+X32</f>
        <v>89</v>
      </c>
      <c r="Z32" s="56" t="n">
        <v>0</v>
      </c>
      <c r="AA32" s="57" t="n">
        <v>50</v>
      </c>
      <c r="AB32" s="82" t="n">
        <v>16</v>
      </c>
      <c r="AC32" s="58" t="n">
        <f aca="false">AC31+1</f>
        <v>23</v>
      </c>
      <c r="AD32" s="92"/>
      <c r="AE32" s="94"/>
      <c r="AF32" s="93"/>
    </row>
    <row r="33" customFormat="false" ht="11.1" hidden="false" customHeight="true" outlineLevel="0" collapsed="false">
      <c r="A33" s="58" t="n">
        <f aca="false">A32+1</f>
        <v>24</v>
      </c>
      <c r="B33" s="73" t="n">
        <v>6909.37</v>
      </c>
      <c r="C33" s="52" t="n">
        <v>319478</v>
      </c>
      <c r="D33" s="57" t="n">
        <f aca="false">C33-C32</f>
        <v>39</v>
      </c>
      <c r="E33" s="52" t="n">
        <f aca="false">C33-152000</f>
        <v>167478</v>
      </c>
      <c r="F33" s="51" t="n">
        <f aca="false">D33/$D$2</f>
        <v>19.66221325939</v>
      </c>
      <c r="G33" s="51" t="n">
        <v>89</v>
      </c>
      <c r="H33" s="56" t="n">
        <v>0</v>
      </c>
      <c r="I33" s="51" t="n">
        <f aca="false">G33+H33</f>
        <v>89</v>
      </c>
      <c r="J33" s="81" t="n">
        <f aca="false">IF(L33&gt;0,L33,0)</f>
        <v>15.66221325939</v>
      </c>
      <c r="K33" s="51" t="n">
        <f aca="false">I33+J33</f>
        <v>104.66221325939</v>
      </c>
      <c r="L33" s="51" t="n">
        <f aca="false">F33-(I33-W33)</f>
        <v>15.66221325939</v>
      </c>
      <c r="M33" s="51" t="n">
        <v>7</v>
      </c>
      <c r="N33" s="51" t="n">
        <v>0</v>
      </c>
      <c r="O33" s="51" t="n">
        <v>0</v>
      </c>
      <c r="P33" s="6" t="n">
        <f aca="false">M33-(N33+O33)</f>
        <v>7</v>
      </c>
      <c r="Q33" s="51" t="n">
        <v>0</v>
      </c>
      <c r="R33" s="51" t="n">
        <v>0</v>
      </c>
      <c r="S33" s="51" t="n">
        <f aca="false">SUM(P33:R33)</f>
        <v>7</v>
      </c>
      <c r="T33" s="52"/>
      <c r="U33" s="51" t="n">
        <v>0</v>
      </c>
      <c r="V33" s="51" t="n">
        <v>78</v>
      </c>
      <c r="W33" s="6" t="n">
        <f aca="false">N33+O33+S33+U33+V33</f>
        <v>85</v>
      </c>
      <c r="X33" s="51" t="n">
        <f aca="false">IF(L33&lt;0,L33*-1,0)</f>
        <v>0</v>
      </c>
      <c r="Y33" s="51" t="n">
        <f aca="false">W33+X33</f>
        <v>85</v>
      </c>
      <c r="Z33" s="56" t="n">
        <v>0</v>
      </c>
      <c r="AA33" s="57" t="n">
        <v>43</v>
      </c>
      <c r="AB33" s="82" t="n">
        <v>21</v>
      </c>
      <c r="AC33" s="58" t="n">
        <f aca="false">AC32+1</f>
        <v>24</v>
      </c>
      <c r="AD33" s="92"/>
      <c r="AE33" s="94"/>
      <c r="AF33" s="93"/>
    </row>
    <row r="34" customFormat="false" ht="11.1" hidden="false" customHeight="true" outlineLevel="0" collapsed="false">
      <c r="A34" s="58" t="n">
        <f aca="false">A33+1</f>
        <v>25</v>
      </c>
      <c r="B34" s="73" t="n">
        <v>6909.38</v>
      </c>
      <c r="C34" s="52" t="n">
        <v>319518</v>
      </c>
      <c r="D34" s="57" t="n">
        <f aca="false">C34-C33</f>
        <v>40</v>
      </c>
      <c r="E34" s="52" t="n">
        <f aca="false">C34-152000</f>
        <v>167518</v>
      </c>
      <c r="F34" s="51" t="n">
        <f aca="false">D34/$D$2</f>
        <v>20.1663725737333</v>
      </c>
      <c r="G34" s="51" t="n">
        <v>89</v>
      </c>
      <c r="H34" s="56" t="n">
        <v>0</v>
      </c>
      <c r="I34" s="51" t="n">
        <f aca="false">G34+H34</f>
        <v>89</v>
      </c>
      <c r="J34" s="81" t="n">
        <f aca="false">IF(L34&gt;0,L34,0)</f>
        <v>18.1663725737333</v>
      </c>
      <c r="K34" s="51" t="n">
        <f aca="false">I34+J34</f>
        <v>107.166372573733</v>
      </c>
      <c r="L34" s="51" t="n">
        <f aca="false">F34-(I34-W34)</f>
        <v>18.1663725737333</v>
      </c>
      <c r="M34" s="51" t="n">
        <v>9</v>
      </c>
      <c r="N34" s="51" t="n">
        <v>0</v>
      </c>
      <c r="O34" s="51" t="n">
        <v>0</v>
      </c>
      <c r="P34" s="6" t="n">
        <f aca="false">M34-(N34+O34)</f>
        <v>9</v>
      </c>
      <c r="Q34" s="51" t="n">
        <v>0</v>
      </c>
      <c r="R34" s="51" t="n">
        <v>0</v>
      </c>
      <c r="S34" s="51" t="n">
        <f aca="false">SUM(P34:R34)</f>
        <v>9</v>
      </c>
      <c r="T34" s="52"/>
      <c r="U34" s="51" t="n">
        <v>0</v>
      </c>
      <c r="V34" s="51" t="n">
        <v>78</v>
      </c>
      <c r="W34" s="6" t="n">
        <f aca="false">N34+O34+S34+U34+V34</f>
        <v>87</v>
      </c>
      <c r="X34" s="51" t="n">
        <f aca="false">IF(L34&lt;0,L34*-1,0)</f>
        <v>0</v>
      </c>
      <c r="Y34" s="51" t="n">
        <f aca="false">W34+X34</f>
        <v>87</v>
      </c>
      <c r="Z34" s="56" t="n">
        <v>0</v>
      </c>
      <c r="AA34" s="57" t="n">
        <v>54</v>
      </c>
      <c r="AB34" s="82" t="n">
        <v>23</v>
      </c>
      <c r="AC34" s="58" t="n">
        <f aca="false">AC33+1</f>
        <v>25</v>
      </c>
      <c r="AD34" s="92"/>
      <c r="AE34" s="94"/>
      <c r="AF34" s="93"/>
    </row>
    <row r="35" customFormat="false" ht="11.1" hidden="false" customHeight="true" outlineLevel="0" collapsed="false">
      <c r="A35" s="58" t="n">
        <f aca="false">A34+1</f>
        <v>26</v>
      </c>
      <c r="B35" s="73" t="n">
        <v>6909.39</v>
      </c>
      <c r="C35" s="52" t="n">
        <v>319558</v>
      </c>
      <c r="D35" s="57" t="n">
        <f aca="false">C35-C34</f>
        <v>40</v>
      </c>
      <c r="E35" s="52" t="n">
        <f aca="false">C35-152000</f>
        <v>167558</v>
      </c>
      <c r="F35" s="51" t="n">
        <f aca="false">D35/$D$2</f>
        <v>20.1663725737333</v>
      </c>
      <c r="G35" s="51" t="n">
        <v>89</v>
      </c>
      <c r="H35" s="56" t="n">
        <v>0</v>
      </c>
      <c r="I35" s="51" t="n">
        <f aca="false">G35+H35</f>
        <v>89</v>
      </c>
      <c r="J35" s="81" t="n">
        <f aca="false">IF(L35&gt;0,L35,0)</f>
        <v>18.1663725737333</v>
      </c>
      <c r="K35" s="51" t="n">
        <f aca="false">I35+J35</f>
        <v>107.166372573733</v>
      </c>
      <c r="L35" s="51" t="n">
        <f aca="false">F35-(I35-W35)</f>
        <v>18.1663725737333</v>
      </c>
      <c r="M35" s="51" t="n">
        <v>9</v>
      </c>
      <c r="N35" s="51" t="n">
        <v>0</v>
      </c>
      <c r="O35" s="51" t="n">
        <v>0</v>
      </c>
      <c r="P35" s="6" t="n">
        <f aca="false">M35-(N35+O35)</f>
        <v>9</v>
      </c>
      <c r="Q35" s="51" t="n">
        <v>0</v>
      </c>
      <c r="R35" s="51" t="n">
        <v>0</v>
      </c>
      <c r="S35" s="51" t="n">
        <f aca="false">SUM(P35:R35)</f>
        <v>9</v>
      </c>
      <c r="T35" s="52"/>
      <c r="U35" s="51" t="n">
        <v>0</v>
      </c>
      <c r="V35" s="51" t="n">
        <v>78</v>
      </c>
      <c r="W35" s="6" t="n">
        <f aca="false">N35+O35+S35+U35+V35</f>
        <v>87</v>
      </c>
      <c r="X35" s="51" t="n">
        <f aca="false">IF(L35&lt;0,L35*-1,0)</f>
        <v>0</v>
      </c>
      <c r="Y35" s="51" t="n">
        <f aca="false">W35+X35</f>
        <v>87</v>
      </c>
      <c r="Z35" s="56" t="n">
        <v>0</v>
      </c>
      <c r="AA35" s="57" t="n">
        <v>52</v>
      </c>
      <c r="AB35" s="57" t="n">
        <v>24</v>
      </c>
      <c r="AC35" s="58" t="n">
        <f aca="false">AC34+1</f>
        <v>26</v>
      </c>
      <c r="AD35" s="92"/>
      <c r="AE35" s="94"/>
      <c r="AF35" s="93"/>
    </row>
    <row r="36" customFormat="false" ht="11.1" hidden="false" customHeight="true" outlineLevel="0" collapsed="false">
      <c r="A36" s="58" t="n">
        <f aca="false">A35+1</f>
        <v>27</v>
      </c>
      <c r="B36" s="73" t="n">
        <v>6909.41</v>
      </c>
      <c r="C36" s="52" t="n">
        <v>319638</v>
      </c>
      <c r="D36" s="57" t="n">
        <f aca="false">C36-C35</f>
        <v>80</v>
      </c>
      <c r="E36" s="52" t="n">
        <f aca="false">C36-152000</f>
        <v>167638</v>
      </c>
      <c r="F36" s="51" t="n">
        <f aca="false">D36/$D$2</f>
        <v>40.3327451474666</v>
      </c>
      <c r="G36" s="51" t="n">
        <v>89</v>
      </c>
      <c r="H36" s="56" t="n">
        <v>0</v>
      </c>
      <c r="I36" s="51" t="n">
        <f aca="false">G36+H36</f>
        <v>89</v>
      </c>
      <c r="J36" s="81" t="n">
        <f aca="false">IF(L36&gt;0,L36,0)</f>
        <v>38.3327451474666</v>
      </c>
      <c r="K36" s="51" t="n">
        <f aca="false">I36+J36</f>
        <v>127.332745147467</v>
      </c>
      <c r="L36" s="51" t="n">
        <f aca="false">F36-(I36-W36)</f>
        <v>38.3327451474666</v>
      </c>
      <c r="M36" s="51" t="n">
        <v>9</v>
      </c>
      <c r="N36" s="51" t="n">
        <v>0</v>
      </c>
      <c r="O36" s="51" t="n">
        <v>0</v>
      </c>
      <c r="P36" s="6" t="n">
        <f aca="false">M36-(N36+O36)</f>
        <v>9</v>
      </c>
      <c r="Q36" s="51" t="n">
        <v>0</v>
      </c>
      <c r="R36" s="51" t="n">
        <v>0</v>
      </c>
      <c r="S36" s="51" t="n">
        <f aca="false">SUM(P36:R36)</f>
        <v>9</v>
      </c>
      <c r="T36" s="52"/>
      <c r="U36" s="51" t="n">
        <v>0</v>
      </c>
      <c r="V36" s="51" t="n">
        <v>78</v>
      </c>
      <c r="W36" s="6" t="n">
        <f aca="false">N36+O36+S36+U36+V36</f>
        <v>87</v>
      </c>
      <c r="X36" s="51" t="n">
        <f aca="false">IF(L36&lt;0,L36*-1,0)</f>
        <v>0</v>
      </c>
      <c r="Y36" s="51" t="n">
        <f aca="false">W36+X36</f>
        <v>87</v>
      </c>
      <c r="Z36" s="56" t="n">
        <v>0</v>
      </c>
      <c r="AA36" s="57" t="n">
        <v>49</v>
      </c>
      <c r="AB36" s="57" t="n">
        <v>21</v>
      </c>
      <c r="AC36" s="58" t="n">
        <f aca="false">AC35+1</f>
        <v>27</v>
      </c>
      <c r="AD36" s="92"/>
      <c r="AE36" s="94"/>
      <c r="AF36" s="93"/>
    </row>
    <row r="37" customFormat="false" ht="11.1" hidden="false" customHeight="true" outlineLevel="0" collapsed="false">
      <c r="A37" s="58" t="n">
        <v>28</v>
      </c>
      <c r="B37" s="73" t="n">
        <v>6909.45</v>
      </c>
      <c r="C37" s="52" t="n">
        <v>319797</v>
      </c>
      <c r="D37" s="57" t="n">
        <f aca="false">C37-C36</f>
        <v>159</v>
      </c>
      <c r="E37" s="52" t="n">
        <f aca="false">C37-152000</f>
        <v>167797</v>
      </c>
      <c r="F37" s="51" t="n">
        <f aca="false">D37/$D$2</f>
        <v>80.1613309805899</v>
      </c>
      <c r="G37" s="51" t="n">
        <v>89</v>
      </c>
      <c r="H37" s="56" t="n">
        <v>0</v>
      </c>
      <c r="I37" s="51" t="n">
        <f aca="false">G37+H37</f>
        <v>89</v>
      </c>
      <c r="J37" s="81" t="n">
        <f aca="false">IF(L37&gt;0,L37,0)</f>
        <v>78.1613309805899</v>
      </c>
      <c r="K37" s="51" t="n">
        <f aca="false">I37+J37</f>
        <v>167.16133098059</v>
      </c>
      <c r="L37" s="51" t="n">
        <f aca="false">F37-(I37-W37)</f>
        <v>78.1613309805899</v>
      </c>
      <c r="M37" s="51" t="n">
        <v>9</v>
      </c>
      <c r="N37" s="51" t="n">
        <v>0</v>
      </c>
      <c r="O37" s="51" t="n">
        <v>0</v>
      </c>
      <c r="P37" s="6" t="n">
        <f aca="false">M37-(N37+O37)</f>
        <v>9</v>
      </c>
      <c r="Q37" s="51" t="n">
        <v>0</v>
      </c>
      <c r="R37" s="51" t="n">
        <v>0</v>
      </c>
      <c r="S37" s="51" t="n">
        <f aca="false">SUM(P37:R37)</f>
        <v>9</v>
      </c>
      <c r="T37" s="52"/>
      <c r="U37" s="51" t="n">
        <v>0</v>
      </c>
      <c r="V37" s="51" t="n">
        <v>78</v>
      </c>
      <c r="W37" s="6" t="n">
        <f aca="false">N37+O37+S37+U37+V37</f>
        <v>87</v>
      </c>
      <c r="X37" s="51" t="n">
        <f aca="false">IF(L37&lt;0,L37*-1,0)</f>
        <v>0</v>
      </c>
      <c r="Y37" s="51" t="n">
        <f aca="false">W37+X37</f>
        <v>87</v>
      </c>
      <c r="Z37" s="56" t="n">
        <v>0</v>
      </c>
      <c r="AA37" s="57" t="n">
        <v>48</v>
      </c>
      <c r="AB37" s="57" t="n">
        <v>19</v>
      </c>
      <c r="AC37" s="58" t="n">
        <v>28</v>
      </c>
      <c r="AD37" s="92"/>
      <c r="AE37" s="94"/>
      <c r="AF37" s="93"/>
    </row>
    <row r="38" customFormat="false" ht="3" hidden="false" customHeight="true" outlineLevel="0" collapsed="false">
      <c r="A38" s="74"/>
      <c r="B38" s="74"/>
      <c r="C38" s="76"/>
      <c r="D38" s="74"/>
      <c r="E38" s="76"/>
      <c r="F38" s="74"/>
      <c r="G38" s="74"/>
      <c r="H38" s="78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6"/>
      <c r="U38" s="74"/>
      <c r="V38" s="74"/>
      <c r="W38" s="74"/>
      <c r="X38" s="74"/>
      <c r="Y38" s="74"/>
      <c r="Z38" s="78"/>
      <c r="AA38" s="79"/>
      <c r="AB38" s="79"/>
      <c r="AC38" s="80"/>
      <c r="AD38" s="92"/>
      <c r="AE38" s="92"/>
      <c r="AF38" s="93"/>
    </row>
    <row r="39" customFormat="false" ht="11.1" hidden="false" customHeight="true" outlineLevel="0" collapsed="false">
      <c r="A39" s="51" t="s">
        <v>44</v>
      </c>
      <c r="B39" s="51"/>
      <c r="C39" s="52"/>
      <c r="D39" s="52"/>
      <c r="E39" s="52"/>
      <c r="F39" s="52" t="n">
        <f aca="false">SUM(F10:F37)</f>
        <v>140.66044870179</v>
      </c>
      <c r="G39" s="52" t="n">
        <f aca="false">SUM(G10:G37)</f>
        <v>2492</v>
      </c>
      <c r="H39" s="56" t="n">
        <f aca="false">SUM(H10:H37)</f>
        <v>0</v>
      </c>
      <c r="I39" s="52" t="n">
        <f aca="false">SUM(I10:I37)</f>
        <v>2492</v>
      </c>
      <c r="J39" s="52" t="n">
        <f aca="false">SUM(J10:J37)</f>
        <v>264.653642551046</v>
      </c>
      <c r="K39" s="52" t="n">
        <f aca="false">SUM(K10:K37)</f>
        <v>2756.65364255105</v>
      </c>
      <c r="L39" s="52" t="n">
        <f aca="false">SUM(L10:L37)</f>
        <v>-52.3395512982102</v>
      </c>
      <c r="M39" s="52" t="n">
        <f aca="false">SUM(M10:M37)</f>
        <v>158</v>
      </c>
      <c r="N39" s="52" t="n">
        <f aca="false">SUM(N10:N37)</f>
        <v>0</v>
      </c>
      <c r="O39" s="52" t="n">
        <f aca="false">SUM(O10:O37)</f>
        <v>0</v>
      </c>
      <c r="P39" s="52" t="n">
        <f aca="false">SUM(P10:P37)</f>
        <v>158</v>
      </c>
      <c r="Q39" s="52" t="n">
        <f aca="false">SUM(Q10:Q37)</f>
        <v>0</v>
      </c>
      <c r="R39" s="52" t="n">
        <f aca="false">SUM(R10:R37)</f>
        <v>0</v>
      </c>
      <c r="S39" s="52" t="n">
        <f aca="false">SUM(S10:S37)</f>
        <v>158</v>
      </c>
      <c r="T39" s="52"/>
      <c r="U39" s="52" t="n">
        <f aca="false">SUM(U10:U37)</f>
        <v>0</v>
      </c>
      <c r="V39" s="52" t="n">
        <f aca="false">SUM(V10:V37)</f>
        <v>2216</v>
      </c>
      <c r="W39" s="52" t="n">
        <f aca="false">SUM(W10:W37)</f>
        <v>2299</v>
      </c>
      <c r="X39" s="52" t="n">
        <f aca="false">SUM(X10:X37)</f>
        <v>316.993193849256</v>
      </c>
      <c r="Y39" s="52" t="n">
        <f aca="false">SUM(Y10:Y37)</f>
        <v>2615.99319384926</v>
      </c>
      <c r="Z39" s="56" t="n">
        <f aca="false">SUM(Z10:Z37)</f>
        <v>0.51</v>
      </c>
      <c r="AA39" s="57" t="n">
        <f aca="false">AVERAGE(AA10:AA37)</f>
        <v>38.25</v>
      </c>
      <c r="AB39" s="57" t="n">
        <f aca="false">AVERAGE(AB10:AB37)</f>
        <v>14.9285714285714</v>
      </c>
      <c r="AC39" s="58" t="s">
        <v>57</v>
      </c>
      <c r="AD39" s="92"/>
      <c r="AE39" s="92"/>
      <c r="AF39" s="93"/>
    </row>
    <row r="40" customFormat="false" ht="11.1" hidden="false" customHeight="true" outlineLevel="0" collapsed="false">
      <c r="A40" s="51" t="s">
        <v>46</v>
      </c>
      <c r="B40" s="51"/>
      <c r="C40" s="52"/>
      <c r="D40" s="52" t="n">
        <f aca="false">SUM(D10:D37)</f>
        <v>279</v>
      </c>
      <c r="E40" s="52"/>
      <c r="F40" s="52" t="n">
        <f aca="false">F39*$D$2</f>
        <v>279</v>
      </c>
      <c r="G40" s="52" t="n">
        <f aca="false">G39*$D$2</f>
        <v>4942.882</v>
      </c>
      <c r="H40" s="56" t="n">
        <f aca="false">H39*$D$2</f>
        <v>0</v>
      </c>
      <c r="I40" s="52" t="n">
        <f aca="false">I39*$D$2</f>
        <v>4942.882</v>
      </c>
      <c r="J40" s="52" t="n">
        <f aca="false">J39*$D$2</f>
        <v>524.9405</v>
      </c>
      <c r="K40" s="52" t="n">
        <f aca="false">K39*$D$2</f>
        <v>5467.8225</v>
      </c>
      <c r="L40" s="52" t="n">
        <f aca="false">L39*$D$2</f>
        <v>-103.8155</v>
      </c>
      <c r="M40" s="52" t="n">
        <f aca="false">M39*$D$2</f>
        <v>313.393</v>
      </c>
      <c r="N40" s="52" t="n">
        <f aca="false">N39*$D$2</f>
        <v>0</v>
      </c>
      <c r="O40" s="52" t="n">
        <f aca="false">O39*$D$2</f>
        <v>0</v>
      </c>
      <c r="P40" s="52" t="n">
        <f aca="false">P39*$D$2</f>
        <v>313.393</v>
      </c>
      <c r="Q40" s="52" t="n">
        <f aca="false">Q39*$D$2</f>
        <v>0</v>
      </c>
      <c r="R40" s="52" t="n">
        <f aca="false">R39*$D$2</f>
        <v>0</v>
      </c>
      <c r="S40" s="52" t="n">
        <f aca="false">S39*$D$2</f>
        <v>313.393</v>
      </c>
      <c r="T40" s="52"/>
      <c r="U40" s="52" t="n">
        <f aca="false">U39*$D$2</f>
        <v>0</v>
      </c>
      <c r="V40" s="52" t="n">
        <f aca="false">V39*$D$2</f>
        <v>4395.436</v>
      </c>
      <c r="W40" s="52" t="n">
        <f aca="false">W39*$D$2</f>
        <v>4560.0665</v>
      </c>
      <c r="X40" s="52" t="n">
        <f aca="false">X39*$D$2</f>
        <v>628.756</v>
      </c>
      <c r="Y40" s="52" t="n">
        <f aca="false">Y39*$D$2</f>
        <v>5188.8225</v>
      </c>
      <c r="Z40" s="56"/>
      <c r="AA40" s="57" t="n">
        <f aca="false">MAX(AA10:AA37)</f>
        <v>54</v>
      </c>
      <c r="AB40" s="57" t="n">
        <f aca="false">MAX(AB10:AB37)</f>
        <v>30</v>
      </c>
      <c r="AC40" s="58" t="s">
        <v>47</v>
      </c>
      <c r="AD40" s="92"/>
      <c r="AE40" s="92"/>
      <c r="AF40" s="93"/>
    </row>
    <row r="41" customFormat="false" ht="3" hidden="false" customHeight="true" outlineLevel="0" collapsed="false">
      <c r="A41" s="74"/>
      <c r="B41" s="74"/>
      <c r="C41" s="76"/>
      <c r="D41" s="76"/>
      <c r="E41" s="76"/>
      <c r="F41" s="76"/>
      <c r="G41" s="76"/>
      <c r="H41" s="78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56"/>
      <c r="AA41" s="57"/>
      <c r="AB41" s="57"/>
      <c r="AC41" s="58"/>
      <c r="AD41" s="92"/>
      <c r="AE41" s="92"/>
      <c r="AF41" s="93"/>
    </row>
    <row r="42" customFormat="false" ht="11.1" hidden="false" customHeight="true" outlineLevel="0" collapsed="false">
      <c r="A42" s="51" t="s">
        <v>48</v>
      </c>
      <c r="B42" s="51"/>
      <c r="C42" s="52"/>
      <c r="D42" s="52"/>
      <c r="E42" s="52"/>
      <c r="F42" s="52"/>
      <c r="G42" s="52"/>
      <c r="H42" s="56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6"/>
      <c r="AA42" s="57" t="n">
        <f aca="false">MIN(AA10:AA37)</f>
        <v>7</v>
      </c>
      <c r="AB42" s="57" t="n">
        <f aca="false">MIN(AB10:AB37)</f>
        <v>-23</v>
      </c>
      <c r="AC42" s="58" t="s">
        <v>49</v>
      </c>
      <c r="AD42" s="92"/>
      <c r="AE42" s="92"/>
      <c r="AF42" s="93"/>
    </row>
    <row r="43" customFormat="false" ht="11.1" hidden="false" customHeight="true" outlineLevel="0" collapsed="false">
      <c r="A43" s="51" t="s">
        <v>50</v>
      </c>
      <c r="B43" s="51"/>
      <c r="C43" s="52"/>
      <c r="D43" s="52"/>
      <c r="E43" s="52"/>
      <c r="F43" s="52"/>
      <c r="G43" s="52"/>
      <c r="H43" s="56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6"/>
      <c r="AA43" s="57"/>
      <c r="AB43" s="57"/>
      <c r="AC43" s="58"/>
      <c r="AD43" s="92"/>
      <c r="AE43" s="92"/>
      <c r="AF43" s="93"/>
    </row>
    <row r="44" customFormat="false" ht="3" hidden="false" customHeight="true" outlineLevel="0" collapsed="false">
      <c r="A44" s="74"/>
      <c r="B44" s="74"/>
      <c r="C44" s="76"/>
      <c r="D44" s="76"/>
      <c r="E44" s="76"/>
      <c r="F44" s="76"/>
      <c r="G44" s="76"/>
      <c r="H44" s="78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8"/>
      <c r="AA44" s="57"/>
      <c r="AB44" s="57"/>
      <c r="AC44" s="58"/>
      <c r="AD44" s="92"/>
      <c r="AE44" s="92"/>
      <c r="AF44" s="93"/>
    </row>
    <row r="45" customFormat="false" ht="11.1" hidden="false" customHeight="true" outlineLevel="0" collapsed="false">
      <c r="A45" s="51" t="s">
        <v>51</v>
      </c>
      <c r="B45" s="51"/>
      <c r="C45" s="52"/>
      <c r="D45" s="52"/>
      <c r="E45" s="52"/>
      <c r="F45" s="52" t="n">
        <f aca="false">F8+F39</f>
        <v>-2600.95790269725</v>
      </c>
      <c r="G45" s="52" t="n">
        <f aca="false">G8+G39</f>
        <v>9148.06</v>
      </c>
      <c r="H45" s="56" t="n">
        <f aca="false">H8+H39</f>
        <v>0</v>
      </c>
      <c r="I45" s="52" t="n">
        <f aca="false">I8+I39</f>
        <v>8948.96</v>
      </c>
      <c r="J45" s="52" t="n">
        <f aca="false">J8+J39</f>
        <v>1374.65512730023</v>
      </c>
      <c r="K45" s="52" t="n">
        <f aca="false">K8+K39</f>
        <v>10323.6151273002</v>
      </c>
      <c r="L45" s="52" t="n">
        <f aca="false">L8+L39</f>
        <v>-79.2579026972522</v>
      </c>
      <c r="M45" s="52" t="n">
        <f aca="false">M8+M39</f>
        <v>1557.77</v>
      </c>
      <c r="N45" s="52" t="n">
        <f aca="false">N8+N39</f>
        <v>0</v>
      </c>
      <c r="O45" s="52" t="n">
        <f aca="false">O8+O39</f>
        <v>0</v>
      </c>
      <c r="P45" s="52" t="n">
        <f aca="false">P8+P39</f>
        <v>1557.77</v>
      </c>
      <c r="Q45" s="52" t="n">
        <f aca="false">Q8+Q39</f>
        <v>0</v>
      </c>
      <c r="R45" s="52" t="n">
        <f aca="false">R8+R39</f>
        <v>410.19</v>
      </c>
      <c r="S45" s="52" t="n">
        <f aca="false">S8+S39</f>
        <v>1967.96</v>
      </c>
      <c r="T45" s="52"/>
      <c r="U45" s="52" t="n">
        <f aca="false">U8+U39</f>
        <v>0</v>
      </c>
      <c r="V45" s="52" t="n">
        <f aca="false">V8+V39</f>
        <v>9577.7</v>
      </c>
      <c r="W45" s="52" t="n">
        <f aca="false">W8+W39</f>
        <v>11470.66</v>
      </c>
      <c r="X45" s="52" t="n">
        <f aca="false">X8+X39</f>
        <v>1453.91302999748</v>
      </c>
      <c r="Y45" s="52" t="n">
        <f aca="false">Y8+Y39</f>
        <v>12924.5730299975</v>
      </c>
      <c r="Z45" s="56" t="n">
        <f aca="false">Z8+Z39</f>
        <v>5.7</v>
      </c>
      <c r="AA45" s="57"/>
      <c r="AB45" s="57"/>
      <c r="AC45" s="58"/>
      <c r="AD45" s="92"/>
      <c r="AE45" s="92"/>
      <c r="AF45" s="93"/>
    </row>
    <row r="46" customFormat="false" ht="11.1" hidden="false" customHeight="true" outlineLevel="0" collapsed="false">
      <c r="A46" s="51" t="s">
        <v>52</v>
      </c>
      <c r="B46" s="51"/>
      <c r="C46" s="52"/>
      <c r="D46" s="52" t="n">
        <f aca="false">D8+D40</f>
        <v>-5159</v>
      </c>
      <c r="E46" s="52" t="n">
        <f aca="false">E37</f>
        <v>167797</v>
      </c>
      <c r="F46" s="52" t="n">
        <f aca="false">F45*$D$2</f>
        <v>-5159</v>
      </c>
      <c r="G46" s="52" t="n">
        <f aca="false">G45*$D$2</f>
        <v>18145.17701</v>
      </c>
      <c r="H46" s="56" t="n">
        <f aca="false">H45*$D$2</f>
        <v>0</v>
      </c>
      <c r="I46" s="52" t="n">
        <f aca="false">I45*$D$2</f>
        <v>17750.26216</v>
      </c>
      <c r="J46" s="52" t="n">
        <f aca="false">J45*$D$2</f>
        <v>2726.628445</v>
      </c>
      <c r="K46" s="52" t="n">
        <f aca="false">K45*$D$2</f>
        <v>20476.890605</v>
      </c>
      <c r="L46" s="52" t="n">
        <f aca="false">L45*$D$2</f>
        <v>-157.20805</v>
      </c>
      <c r="M46" s="52" t="n">
        <f aca="false">M45*$D$2</f>
        <v>3089.836795</v>
      </c>
      <c r="N46" s="52" t="n">
        <f aca="false">N45*$D$2</f>
        <v>0</v>
      </c>
      <c r="O46" s="52" t="n">
        <f aca="false">O45*$D$2</f>
        <v>0</v>
      </c>
      <c r="P46" s="52" t="n">
        <f aca="false">P45*$D$2</f>
        <v>3089.836795</v>
      </c>
      <c r="Q46" s="52" t="n">
        <f aca="false">Q45*$D$2</f>
        <v>0</v>
      </c>
      <c r="R46" s="52" t="n">
        <f aca="false">R45*$D$2</f>
        <v>813.611865</v>
      </c>
      <c r="S46" s="52" t="n">
        <f aca="false">S45*$D$2</f>
        <v>3903.44866</v>
      </c>
      <c r="T46" s="52" t="n">
        <f aca="false">T45*$D$2</f>
        <v>0</v>
      </c>
      <c r="U46" s="52" t="n">
        <f aca="false">U45*$D$2</f>
        <v>0</v>
      </c>
      <c r="V46" s="52" t="n">
        <f aca="false">V45*$D$2</f>
        <v>18997.36795</v>
      </c>
      <c r="W46" s="52" t="n">
        <f aca="false">W45*$D$2</f>
        <v>22752.05411</v>
      </c>
      <c r="X46" s="52" t="n">
        <f aca="false">X45*$D$2</f>
        <v>2883.836495</v>
      </c>
      <c r="Y46" s="52" t="n">
        <f aca="false">Y45*$D$2</f>
        <v>25635.890605</v>
      </c>
      <c r="Z46" s="56"/>
      <c r="AA46" s="57"/>
      <c r="AB46" s="57"/>
      <c r="AC46" s="58"/>
      <c r="AD46" s="92"/>
      <c r="AE46" s="92"/>
      <c r="AF46" s="93"/>
    </row>
    <row r="47" customFormat="false" ht="3" hidden="false" customHeight="true" outlineLevel="0" collapsed="false">
      <c r="A47" s="74"/>
      <c r="B47" s="74"/>
      <c r="C47" s="76"/>
      <c r="D47" s="74"/>
      <c r="E47" s="76"/>
      <c r="F47" s="74"/>
      <c r="G47" s="74"/>
      <c r="H47" s="78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6"/>
      <c r="U47" s="74"/>
      <c r="V47" s="74"/>
      <c r="W47" s="74"/>
      <c r="X47" s="74"/>
      <c r="Y47" s="74"/>
      <c r="Z47" s="56"/>
      <c r="AA47" s="57"/>
      <c r="AB47" s="57"/>
      <c r="AC47" s="58"/>
      <c r="AD47" s="92"/>
      <c r="AE47" s="92"/>
      <c r="AF47" s="93"/>
    </row>
    <row r="48" customFormat="false" ht="11.1" hidden="false" customHeight="true" outlineLevel="0" collapsed="false">
      <c r="A48" s="51"/>
      <c r="B48" s="84"/>
      <c r="C48" s="52"/>
      <c r="D48" s="51"/>
      <c r="E48" s="52"/>
      <c r="F48" s="51"/>
      <c r="G48" s="51"/>
      <c r="H48" s="56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2"/>
      <c r="U48" s="51"/>
      <c r="V48" s="51"/>
      <c r="W48" s="51"/>
      <c r="X48" s="51"/>
      <c r="Y48" s="51"/>
      <c r="Z48" s="56"/>
      <c r="AA48" s="57"/>
      <c r="AB48" s="57"/>
      <c r="AC48" s="58"/>
      <c r="AD48" s="88"/>
      <c r="AE48" s="88"/>
    </row>
    <row r="49" customFormat="false" ht="11.1" hidden="false" customHeight="true" outlineLevel="0" collapsed="false">
      <c r="A49" s="51"/>
      <c r="B49" s="73"/>
      <c r="C49" s="52"/>
      <c r="D49" s="82"/>
      <c r="E49" s="52"/>
      <c r="F49" s="51"/>
      <c r="G49" s="51"/>
      <c r="H49" s="2"/>
      <c r="I49" s="52"/>
      <c r="J49" s="51"/>
      <c r="K49" s="42"/>
      <c r="L49" s="51"/>
      <c r="M49" s="51"/>
      <c r="N49" s="51"/>
      <c r="O49" s="51"/>
      <c r="P49" s="51"/>
      <c r="Q49" s="51"/>
      <c r="R49" s="51"/>
      <c r="S49" s="51"/>
      <c r="T49" s="52"/>
      <c r="U49" s="51"/>
      <c r="V49" s="51"/>
      <c r="W49" s="51"/>
      <c r="X49" s="51"/>
      <c r="Y49" s="51"/>
      <c r="Z49" s="56"/>
      <c r="AA49" s="57"/>
      <c r="AB49" s="57"/>
      <c r="AC49" s="58"/>
      <c r="AD49" s="88"/>
      <c r="AE49" s="88"/>
    </row>
    <row r="50" customFormat="false" ht="11.1" hidden="false" customHeight="true" outlineLevel="0" collapsed="false">
      <c r="A50" s="82"/>
      <c r="B50" s="82"/>
      <c r="C50" s="52"/>
      <c r="D50" s="52"/>
      <c r="E50" s="52"/>
      <c r="F50" s="82"/>
      <c r="G50" s="82"/>
      <c r="H50" s="56"/>
      <c r="I50" s="52"/>
      <c r="J50" s="82"/>
      <c r="K50" s="82"/>
      <c r="L50" s="82"/>
      <c r="M50" s="81"/>
      <c r="N50" s="81"/>
      <c r="O50" s="81"/>
      <c r="P50" s="81"/>
      <c r="Q50" s="82"/>
      <c r="R50" s="82"/>
      <c r="S50" s="82"/>
      <c r="T50" s="52"/>
      <c r="U50" s="82"/>
      <c r="V50" s="82"/>
      <c r="W50" s="82"/>
      <c r="X50" s="82"/>
      <c r="Y50" s="82"/>
      <c r="Z50" s="56"/>
      <c r="AA50" s="57"/>
      <c r="AB50" s="57"/>
      <c r="AC50" s="58"/>
      <c r="AD50" s="97"/>
      <c r="AE50" s="97"/>
    </row>
    <row r="51" customFormat="false" ht="11.1" hidden="false" customHeight="true" outlineLevel="0" collapsed="false">
      <c r="A51" s="82"/>
      <c r="B51" s="55"/>
      <c r="C51" s="52"/>
      <c r="D51" s="52"/>
      <c r="E51" s="52"/>
      <c r="F51" s="82"/>
      <c r="G51" s="82"/>
      <c r="H51" s="56"/>
      <c r="I51" s="52"/>
      <c r="J51" s="82"/>
      <c r="K51" s="82"/>
      <c r="L51" s="82"/>
      <c r="M51" s="81"/>
      <c r="N51" s="81"/>
      <c r="O51" s="81"/>
      <c r="P51" s="81"/>
      <c r="Q51" s="82"/>
      <c r="R51" s="82"/>
      <c r="S51" s="82"/>
      <c r="T51" s="52"/>
      <c r="U51" s="82"/>
      <c r="V51" s="82"/>
      <c r="W51" s="82"/>
      <c r="X51" s="82"/>
      <c r="Y51" s="82"/>
      <c r="Z51" s="56"/>
      <c r="AA51" s="57"/>
      <c r="AB51" s="57"/>
      <c r="AC51" s="58"/>
      <c r="AD51" s="97"/>
      <c r="AE51" s="97"/>
    </row>
    <row r="52" customFormat="false" ht="11.1" hidden="false" customHeight="true" outlineLevel="0" collapsed="false">
      <c r="A52" s="82"/>
      <c r="B52" s="82"/>
      <c r="C52" s="52"/>
      <c r="D52" s="82"/>
      <c r="E52" s="52"/>
      <c r="F52" s="82"/>
      <c r="G52" s="85"/>
      <c r="H52" s="56"/>
      <c r="I52" s="82"/>
      <c r="J52" s="82"/>
      <c r="K52" s="82"/>
      <c r="L52" s="82"/>
      <c r="M52" s="81"/>
      <c r="N52" s="81"/>
      <c r="O52" s="81"/>
      <c r="P52" s="81"/>
      <c r="Q52" s="82"/>
      <c r="R52" s="82"/>
      <c r="S52" s="82"/>
      <c r="T52" s="52"/>
      <c r="U52" s="82"/>
      <c r="V52" s="82"/>
      <c r="W52" s="82"/>
      <c r="X52" s="82"/>
      <c r="Y52" s="82"/>
      <c r="Z52" s="56"/>
      <c r="AA52" s="57"/>
      <c r="AB52" s="57"/>
      <c r="AC52" s="58"/>
      <c r="AD52" s="97"/>
      <c r="AE52" s="97"/>
    </row>
    <row r="53" customFormat="false" ht="11.1" hidden="false" customHeight="true" outlineLevel="0" collapsed="false">
      <c r="P53" s="47"/>
      <c r="S53" s="44"/>
      <c r="T53" s="45"/>
      <c r="V53" s="44"/>
      <c r="Y53" s="44"/>
      <c r="AB53" s="49"/>
      <c r="AC53" s="50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35" activePane="bottomRight" state="frozen"/>
      <selection pane="topLeft" activeCell="A1" activeCellId="0" sqref="A1"/>
      <selection pane="topRight" activeCell="B1" activeCellId="0" sqref="B1"/>
      <selection pane="bottomLeft" activeCell="A35" activeCellId="0" sqref="A35"/>
      <selection pane="bottomRight" activeCell="AB40" activeCellId="0" sqref="AB40"/>
    </sheetView>
  </sheetViews>
  <sheetFormatPr defaultColWidth="9.328125" defaultRowHeight="11.1" zeroHeight="false" outlineLevelRow="0" outlineLevelCol="0"/>
  <cols>
    <col collapsed="false" customWidth="true" hidden="false" outlineLevel="0" max="1" min="1" style="44" width="5.66"/>
    <col collapsed="false" customWidth="true" hidden="false" outlineLevel="0" max="2" min="2" style="44" width="7.82"/>
    <col collapsed="false" customWidth="true" hidden="false" outlineLevel="0" max="3" min="3" style="45" width="7.66"/>
    <col collapsed="false" customWidth="true" hidden="false" outlineLevel="0" max="4" min="4" style="44" width="6.99"/>
    <col collapsed="false" customWidth="true" hidden="false" outlineLevel="0" max="5" min="5" style="45" width="7.66"/>
    <col collapsed="false" customWidth="true" hidden="false" outlineLevel="0" max="6" min="6" style="44" width="7.66"/>
    <col collapsed="false" customWidth="true" hidden="false" outlineLevel="0" max="7" min="7" style="44" width="7.16"/>
    <col collapsed="false" customWidth="true" hidden="false" outlineLevel="0" max="8" min="8" style="47" width="6.49"/>
    <col collapsed="false" customWidth="true" hidden="false" outlineLevel="0" max="9" min="9" style="44" width="7.99"/>
    <col collapsed="false" customWidth="true" hidden="false" outlineLevel="0" max="10" min="10" style="44" width="6.66"/>
    <col collapsed="false" customWidth="true" hidden="false" outlineLevel="0" max="12" min="11" style="44" width="7.16"/>
    <col collapsed="false" customWidth="true" hidden="false" outlineLevel="0" max="13" min="13" style="47" width="6.16"/>
    <col collapsed="false" customWidth="true" hidden="true" outlineLevel="0" max="14" min="14" style="47" width="7.32"/>
    <col collapsed="false" customWidth="true" hidden="true" outlineLevel="0" max="15" min="15" style="47" width="6.49"/>
    <col collapsed="false" customWidth="true" hidden="true" outlineLevel="0" max="16" min="16" style="44" width="7.16"/>
    <col collapsed="false" customWidth="true" hidden="false" outlineLevel="0" max="17" min="17" style="44" width="6.32"/>
    <col collapsed="false" customWidth="true" hidden="false" outlineLevel="0" max="18" min="18" style="44" width="5.82"/>
    <col collapsed="false" customWidth="true" hidden="false" outlineLevel="0" max="19" min="19" style="45" width="6.82"/>
    <col collapsed="false" customWidth="true" hidden="false" outlineLevel="0" max="20" min="20" style="44" width="7.66"/>
    <col collapsed="false" customWidth="true" hidden="false" outlineLevel="0" max="21" min="21" style="44" width="5.99"/>
    <col collapsed="false" customWidth="true" hidden="false" outlineLevel="0" max="22" min="22" style="45" width="6.66"/>
    <col collapsed="false" customWidth="true" hidden="false" outlineLevel="0" max="24" min="23" style="44" width="7.82"/>
    <col collapsed="false" customWidth="true" hidden="false" outlineLevel="0" max="25" min="25" style="48" width="8.16"/>
    <col collapsed="false" customWidth="true" hidden="false" outlineLevel="0" max="26" min="26" style="46" width="4.66"/>
    <col collapsed="false" customWidth="true" hidden="false" outlineLevel="0" max="27" min="27" style="49" width="4.66"/>
    <col collapsed="false" customWidth="true" hidden="false" outlineLevel="0" max="28" min="28" style="50" width="4.66"/>
    <col collapsed="false" customWidth="true" hidden="false" outlineLevel="0" max="29" min="29" style="44" width="5.66"/>
    <col collapsed="false" customWidth="false" hidden="false" outlineLevel="0" max="257" min="30" style="44" width="9.32"/>
  </cols>
  <sheetData>
    <row r="1" customFormat="false" ht="14.1" hidden="false" customHeight="true" outlineLevel="0" collapsed="false">
      <c r="A1" s="51"/>
      <c r="B1" s="51"/>
      <c r="C1" s="52"/>
      <c r="D1" s="51"/>
      <c r="E1" s="52"/>
      <c r="F1" s="51"/>
      <c r="G1" s="51"/>
      <c r="H1" s="81"/>
      <c r="I1" s="51"/>
      <c r="J1" s="51"/>
      <c r="K1" s="54" t="s">
        <v>0</v>
      </c>
      <c r="L1" s="51"/>
      <c r="M1" s="51"/>
      <c r="N1" s="51"/>
      <c r="O1" s="51"/>
      <c r="P1" s="51"/>
      <c r="Q1" s="51"/>
      <c r="R1" s="51"/>
      <c r="S1" s="52"/>
      <c r="T1" s="51"/>
      <c r="U1" s="51"/>
      <c r="V1" s="52"/>
      <c r="W1" s="51"/>
      <c r="X1" s="51"/>
      <c r="Y1" s="55"/>
      <c r="Z1" s="56"/>
      <c r="AA1" s="57"/>
      <c r="AB1" s="58"/>
      <c r="AC1" s="88"/>
      <c r="AD1" s="88"/>
    </row>
    <row r="2" customFormat="false" ht="14.1" hidden="false" customHeight="true" outlineLevel="0" collapsed="false">
      <c r="A2" s="51" t="s">
        <v>1</v>
      </c>
      <c r="B2" s="51"/>
      <c r="C2" s="52"/>
      <c r="D2" s="59" t="n">
        <v>1.9835</v>
      </c>
      <c r="E2" s="52"/>
      <c r="F2" s="51"/>
      <c r="G2" s="51"/>
      <c r="H2" s="81"/>
      <c r="I2" s="51"/>
      <c r="J2" s="51"/>
      <c r="K2" s="60" t="s">
        <v>60</v>
      </c>
      <c r="L2" s="60"/>
      <c r="M2" s="60"/>
      <c r="N2" s="60"/>
      <c r="O2" s="60"/>
      <c r="P2" s="60"/>
      <c r="Q2" s="60"/>
      <c r="R2" s="60"/>
      <c r="S2" s="60"/>
      <c r="T2" s="60"/>
      <c r="U2" s="51"/>
      <c r="V2" s="52"/>
      <c r="W2" s="51"/>
      <c r="X2" s="51"/>
      <c r="Y2" s="55"/>
      <c r="Z2" s="56"/>
      <c r="AA2" s="57"/>
      <c r="AB2" s="58"/>
      <c r="AC2" s="88"/>
      <c r="AD2" s="88"/>
    </row>
    <row r="3" customFormat="false" ht="11.1" hidden="false" customHeight="true" outlineLevel="0" collapsed="false">
      <c r="A3" s="51"/>
      <c r="B3" s="51"/>
      <c r="C3" s="52"/>
      <c r="D3" s="61"/>
      <c r="E3" s="52"/>
      <c r="F3" s="51"/>
      <c r="G3" s="51"/>
      <c r="H3" s="81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51"/>
      <c r="U3" s="51"/>
      <c r="V3" s="52"/>
      <c r="W3" s="51"/>
      <c r="X3" s="51"/>
      <c r="Y3" s="55"/>
      <c r="Z3" s="56"/>
      <c r="AA3" s="57"/>
      <c r="AB3" s="58"/>
      <c r="AC3" s="88"/>
      <c r="AD3" s="88"/>
    </row>
    <row r="4" customFormat="false" ht="11.1" hidden="false" customHeight="true" outlineLevel="0" collapsed="false">
      <c r="A4" s="62" t="s">
        <v>3</v>
      </c>
      <c r="B4" s="62" t="s">
        <v>4</v>
      </c>
      <c r="C4" s="63" t="s">
        <v>4</v>
      </c>
      <c r="D4" s="62" t="s">
        <v>5</v>
      </c>
      <c r="E4" s="63" t="s">
        <v>6</v>
      </c>
      <c r="F4" s="62" t="s">
        <v>7</v>
      </c>
      <c r="G4" s="62" t="s">
        <v>8</v>
      </c>
      <c r="H4" s="100" t="s">
        <v>9</v>
      </c>
      <c r="I4" s="62" t="s">
        <v>10</v>
      </c>
      <c r="J4" s="62" t="s">
        <v>11</v>
      </c>
      <c r="K4" s="62" t="s">
        <v>12</v>
      </c>
      <c r="L4" s="62" t="s">
        <v>11</v>
      </c>
      <c r="M4" s="62" t="s">
        <v>13</v>
      </c>
      <c r="N4" s="62"/>
      <c r="O4" s="62"/>
      <c r="P4" s="62"/>
      <c r="Q4" s="62" t="s">
        <v>14</v>
      </c>
      <c r="R4" s="62" t="s">
        <v>15</v>
      </c>
      <c r="S4" s="62" t="s">
        <v>12</v>
      </c>
      <c r="T4" s="63" t="s">
        <v>16</v>
      </c>
      <c r="U4" s="62" t="s">
        <v>17</v>
      </c>
      <c r="V4" s="62" t="s">
        <v>18</v>
      </c>
      <c r="W4" s="62" t="s">
        <v>10</v>
      </c>
      <c r="X4" s="62" t="s">
        <v>11</v>
      </c>
      <c r="Y4" s="62" t="s">
        <v>12</v>
      </c>
      <c r="Z4" s="65" t="s">
        <v>19</v>
      </c>
      <c r="AA4" s="66" t="s">
        <v>20</v>
      </c>
      <c r="AB4" s="66" t="s">
        <v>21</v>
      </c>
      <c r="AC4" s="66" t="s">
        <v>3</v>
      </c>
      <c r="AD4" s="88"/>
      <c r="AE4" s="88"/>
    </row>
    <row r="5" customFormat="false" ht="11.1" hidden="false" customHeight="true" outlineLevel="0" collapsed="false">
      <c r="A5" s="67" t="s">
        <v>61</v>
      </c>
      <c r="B5" s="62" t="s">
        <v>23</v>
      </c>
      <c r="C5" s="63" t="s">
        <v>5</v>
      </c>
      <c r="D5" s="62" t="s">
        <v>24</v>
      </c>
      <c r="E5" s="63" t="s">
        <v>25</v>
      </c>
      <c r="F5" s="62" t="s">
        <v>26</v>
      </c>
      <c r="G5" s="62" t="s">
        <v>27</v>
      </c>
      <c r="H5" s="100" t="s">
        <v>28</v>
      </c>
      <c r="I5" s="62" t="s">
        <v>29</v>
      </c>
      <c r="J5" s="62" t="s">
        <v>29</v>
      </c>
      <c r="K5" s="62" t="s">
        <v>29</v>
      </c>
      <c r="L5" s="62" t="s">
        <v>30</v>
      </c>
      <c r="M5" s="62" t="s">
        <v>31</v>
      </c>
      <c r="N5" s="62" t="s">
        <v>32</v>
      </c>
      <c r="O5" s="62" t="s">
        <v>33</v>
      </c>
      <c r="P5" s="62" t="s">
        <v>34</v>
      </c>
      <c r="Q5" s="62" t="s">
        <v>35</v>
      </c>
      <c r="R5" s="62" t="s">
        <v>36</v>
      </c>
      <c r="S5" s="62" t="s">
        <v>16</v>
      </c>
      <c r="T5" s="63" t="s">
        <v>37</v>
      </c>
      <c r="U5" s="62" t="s">
        <v>38</v>
      </c>
      <c r="V5" s="62" t="s">
        <v>39</v>
      </c>
      <c r="W5" s="62" t="s">
        <v>40</v>
      </c>
      <c r="X5" s="62" t="s">
        <v>40</v>
      </c>
      <c r="Y5" s="62" t="s">
        <v>40</v>
      </c>
      <c r="Z5" s="68"/>
      <c r="AA5" s="66" t="s">
        <v>41</v>
      </c>
      <c r="AB5" s="66" t="s">
        <v>41</v>
      </c>
      <c r="AC5" s="69" t="s">
        <v>61</v>
      </c>
      <c r="AD5" s="88"/>
      <c r="AE5" s="88"/>
    </row>
    <row r="6" customFormat="false" ht="11.1" hidden="false" customHeight="true" outlineLevel="0" collapsed="false">
      <c r="A6" s="70"/>
      <c r="B6" s="70"/>
      <c r="C6" s="71"/>
      <c r="D6" s="70"/>
      <c r="E6" s="71"/>
      <c r="F6" s="70"/>
      <c r="G6" s="70"/>
      <c r="H6" s="101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1"/>
      <c r="U6" s="70"/>
      <c r="V6" s="70"/>
      <c r="W6" s="70"/>
      <c r="X6" s="70"/>
      <c r="Y6" s="70"/>
      <c r="Z6" s="56"/>
      <c r="AA6" s="58"/>
      <c r="AB6" s="58"/>
      <c r="AC6" s="58"/>
      <c r="AD6" s="92"/>
      <c r="AE6" s="92"/>
      <c r="AF6" s="93"/>
    </row>
    <row r="7" customFormat="false" ht="11.1" hidden="false" customHeight="true" outlineLevel="0" collapsed="false">
      <c r="A7" s="51" t="s">
        <v>42</v>
      </c>
      <c r="B7" s="51"/>
      <c r="C7" s="52"/>
      <c r="D7" s="52"/>
      <c r="E7" s="52"/>
      <c r="F7" s="52"/>
      <c r="G7" s="52"/>
      <c r="H7" s="81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6"/>
      <c r="AA7" s="57"/>
      <c r="AB7" s="57"/>
      <c r="AC7" s="58"/>
      <c r="AD7" s="92"/>
      <c r="AE7" s="93"/>
      <c r="AF7" s="93"/>
    </row>
    <row r="8" s="45" customFormat="true" ht="11.1" hidden="false" customHeight="true" outlineLevel="0" collapsed="false">
      <c r="A8" s="52" t="s">
        <v>43</v>
      </c>
      <c r="B8" s="73" t="n">
        <f aca="false">FEB!B37</f>
        <v>6909.45</v>
      </c>
      <c r="C8" s="52" t="n">
        <f aca="false">FEB!C37</f>
        <v>319797</v>
      </c>
      <c r="D8" s="52" t="n">
        <f aca="false">FEB!$D$46</f>
        <v>-5159</v>
      </c>
      <c r="E8" s="52" t="n">
        <f aca="false">FEB!$E$37</f>
        <v>167797</v>
      </c>
      <c r="F8" s="52" t="n">
        <f aca="false">FEB!F45</f>
        <v>-2600.95790269725</v>
      </c>
      <c r="G8" s="52" t="n">
        <f aca="false">FEB!G45</f>
        <v>9148.06</v>
      </c>
      <c r="H8" s="81" t="n">
        <f aca="false">FEB!H45</f>
        <v>0</v>
      </c>
      <c r="I8" s="52" t="n">
        <f aca="false">FEB!I45</f>
        <v>8948.96</v>
      </c>
      <c r="J8" s="52" t="n">
        <f aca="false">FEB!J45</f>
        <v>1374.65512730023</v>
      </c>
      <c r="K8" s="52" t="n">
        <f aca="false">FEB!K45</f>
        <v>10323.6151273002</v>
      </c>
      <c r="L8" s="52" t="n">
        <f aca="false">FEB!L45</f>
        <v>-79.2579026972522</v>
      </c>
      <c r="M8" s="52" t="n">
        <f aca="false">FEB!M45</f>
        <v>1557.77</v>
      </c>
      <c r="N8" s="52" t="n">
        <f aca="false">FEB!N45</f>
        <v>0</v>
      </c>
      <c r="O8" s="52" t="n">
        <f aca="false">FEB!O45</f>
        <v>0</v>
      </c>
      <c r="P8" s="52" t="n">
        <f aca="false">FEB!P45</f>
        <v>1557.77</v>
      </c>
      <c r="Q8" s="52" t="n">
        <f aca="false">FEB!Q45</f>
        <v>0</v>
      </c>
      <c r="R8" s="52" t="n">
        <f aca="false">FEB!R45</f>
        <v>410.19</v>
      </c>
      <c r="S8" s="52" t="n">
        <f aca="false">FEB!S45</f>
        <v>1967.96</v>
      </c>
      <c r="T8" s="52" t="n">
        <f aca="false">FEB!T45</f>
        <v>0</v>
      </c>
      <c r="U8" s="52" t="n">
        <f aca="false">FEB!U45</f>
        <v>0</v>
      </c>
      <c r="V8" s="52" t="n">
        <f aca="false">FEB!V45</f>
        <v>9577.7</v>
      </c>
      <c r="W8" s="52" t="n">
        <f aca="false">FEB!W45</f>
        <v>11470.66</v>
      </c>
      <c r="X8" s="52" t="n">
        <f aca="false">FEB!X45</f>
        <v>1453.91302999748</v>
      </c>
      <c r="Y8" s="52" t="n">
        <f aca="false">FEB!Y45</f>
        <v>12924.5730299975</v>
      </c>
      <c r="Z8" s="56" t="n">
        <f aca="false">FEB!Z45</f>
        <v>5.7</v>
      </c>
      <c r="AA8" s="57"/>
      <c r="AB8" s="57"/>
      <c r="AC8" s="58"/>
      <c r="AD8" s="94"/>
      <c r="AE8" s="92"/>
      <c r="AF8" s="94"/>
    </row>
    <row r="9" customFormat="false" ht="3" hidden="false" customHeight="true" outlineLevel="0" collapsed="false">
      <c r="A9" s="74"/>
      <c r="B9" s="75"/>
      <c r="C9" s="76"/>
      <c r="D9" s="74"/>
      <c r="E9" s="76"/>
      <c r="F9" s="74"/>
      <c r="G9" s="74"/>
      <c r="H9" s="102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6"/>
      <c r="U9" s="74"/>
      <c r="V9" s="74"/>
      <c r="W9" s="74"/>
      <c r="X9" s="74"/>
      <c r="Y9" s="74"/>
      <c r="Z9" s="78"/>
      <c r="AA9" s="79"/>
      <c r="AB9" s="79"/>
      <c r="AC9" s="80"/>
      <c r="AD9" s="92"/>
      <c r="AE9" s="92"/>
      <c r="AF9" s="93"/>
    </row>
    <row r="10" customFormat="false" ht="11.1" hidden="false" customHeight="true" outlineLevel="0" collapsed="false">
      <c r="A10" s="58" t="n">
        <v>1</v>
      </c>
      <c r="B10" s="73" t="n">
        <v>6909.49</v>
      </c>
      <c r="C10" s="52" t="n">
        <v>319956</v>
      </c>
      <c r="D10" s="57" t="n">
        <f aca="false">C10-C8</f>
        <v>159</v>
      </c>
      <c r="E10" s="52" t="n">
        <f aca="false">C10-152000</f>
        <v>167956</v>
      </c>
      <c r="F10" s="51" t="n">
        <f aca="false">D10/$D$2</f>
        <v>80.1613309805899</v>
      </c>
      <c r="G10" s="51" t="n">
        <v>165</v>
      </c>
      <c r="H10" s="103" t="n">
        <v>0</v>
      </c>
      <c r="I10" s="51" t="n">
        <f aca="false">G10+H10</f>
        <v>165</v>
      </c>
      <c r="J10" s="81" t="n">
        <f aca="false">IF(L10&gt;0,L10,0)</f>
        <v>0.831330980589854</v>
      </c>
      <c r="K10" s="51" t="n">
        <f aca="false">I10+J10</f>
        <v>165.83133098059</v>
      </c>
      <c r="L10" s="51" t="n">
        <f aca="false">F10-(I10-W10)</f>
        <v>0.831330980589854</v>
      </c>
      <c r="M10" s="51" t="n">
        <v>11.29</v>
      </c>
      <c r="N10" s="51" t="n">
        <v>0</v>
      </c>
      <c r="O10" s="51" t="n">
        <v>0</v>
      </c>
      <c r="P10" s="6" t="n">
        <f aca="false">M10-(N10+O10)</f>
        <v>11.29</v>
      </c>
      <c r="Q10" s="51" t="n">
        <v>0</v>
      </c>
      <c r="R10" s="51" t="n">
        <v>0</v>
      </c>
      <c r="S10" s="51" t="n">
        <f aca="false">SUM(P10:R10)</f>
        <v>11.29</v>
      </c>
      <c r="T10" s="52"/>
      <c r="U10" s="51" t="n">
        <v>0</v>
      </c>
      <c r="V10" s="51" t="n">
        <v>74.38</v>
      </c>
      <c r="W10" s="6" t="n">
        <f aca="false">N10+O10+S10+U10+V10</f>
        <v>85.67</v>
      </c>
      <c r="X10" s="51" t="n">
        <f aca="false">IF(L10&lt;0,L10*-1,0)</f>
        <v>0</v>
      </c>
      <c r="Y10" s="51" t="n">
        <f aca="false">W10+X10</f>
        <v>85.67</v>
      </c>
      <c r="Z10" s="56" t="n">
        <v>0</v>
      </c>
      <c r="AA10" s="57" t="n">
        <v>50</v>
      </c>
      <c r="AB10" s="57" t="n">
        <v>19</v>
      </c>
      <c r="AC10" s="58" t="n">
        <v>1</v>
      </c>
      <c r="AD10" s="93"/>
      <c r="AE10" s="94"/>
      <c r="AF10" s="93"/>
    </row>
    <row r="11" customFormat="false" ht="11.1" hidden="false" customHeight="true" outlineLevel="0" collapsed="false">
      <c r="A11" s="58" t="n">
        <f aca="false">A10+1</f>
        <v>2</v>
      </c>
      <c r="B11" s="73" t="n">
        <v>6909.6</v>
      </c>
      <c r="C11" s="52" t="n">
        <v>320394</v>
      </c>
      <c r="D11" s="57" t="n">
        <f aca="false">C11-C10</f>
        <v>438</v>
      </c>
      <c r="E11" s="52" t="n">
        <f aca="false">C11-152000</f>
        <v>168394</v>
      </c>
      <c r="F11" s="51" t="n">
        <f aca="false">D11/$D$2</f>
        <v>220.82177968238</v>
      </c>
      <c r="G11" s="51" t="n">
        <v>302</v>
      </c>
      <c r="H11" s="103" t="n">
        <v>0</v>
      </c>
      <c r="I11" s="51" t="n">
        <f aca="false">G11+H11</f>
        <v>302</v>
      </c>
      <c r="J11" s="81" t="n">
        <f aca="false">IF(L11&gt;0,L11,0)</f>
        <v>7.12177968237964</v>
      </c>
      <c r="K11" s="51" t="n">
        <f aca="false">I11+J11</f>
        <v>309.12177968238</v>
      </c>
      <c r="L11" s="51" t="n">
        <f aca="false">F11-(I11-W11)</f>
        <v>7.12177968237964</v>
      </c>
      <c r="M11" s="51" t="n">
        <v>13.9</v>
      </c>
      <c r="N11" s="51" t="n">
        <v>0</v>
      </c>
      <c r="O11" s="51" t="n">
        <v>0</v>
      </c>
      <c r="P11" s="6" t="n">
        <f aca="false">M11-(N11+O11)</f>
        <v>13.9</v>
      </c>
      <c r="Q11" s="51" t="n">
        <v>0</v>
      </c>
      <c r="R11" s="51" t="n">
        <v>0</v>
      </c>
      <c r="S11" s="51" t="n">
        <f aca="false">SUM(P11:R11)</f>
        <v>13.9</v>
      </c>
      <c r="T11" s="52"/>
      <c r="U11" s="51" t="n">
        <v>0</v>
      </c>
      <c r="V11" s="51" t="n">
        <v>74.4</v>
      </c>
      <c r="W11" s="6" t="n">
        <f aca="false">N11+O11+S11+U11+V11</f>
        <v>88.3</v>
      </c>
      <c r="X11" s="51" t="n">
        <f aca="false">IF(L11&lt;0,L11*-1,0)</f>
        <v>0</v>
      </c>
      <c r="Y11" s="51" t="n">
        <f aca="false">W11+X11</f>
        <v>88.3</v>
      </c>
      <c r="Z11" s="56" t="n">
        <v>0</v>
      </c>
      <c r="AA11" s="57" t="n">
        <v>45</v>
      </c>
      <c r="AB11" s="57" t="n">
        <v>25</v>
      </c>
      <c r="AC11" s="58" t="n">
        <f aca="false">AC10+1</f>
        <v>2</v>
      </c>
      <c r="AD11" s="93"/>
      <c r="AE11" s="94"/>
      <c r="AF11" s="93"/>
    </row>
    <row r="12" customFormat="false" ht="11.1" hidden="false" customHeight="true" outlineLevel="0" collapsed="false">
      <c r="A12" s="58" t="n">
        <f aca="false">A11+1</f>
        <v>3</v>
      </c>
      <c r="B12" s="73" t="n">
        <v>6909.61</v>
      </c>
      <c r="C12" s="52" t="n">
        <v>320434</v>
      </c>
      <c r="D12" s="57" t="n">
        <f aca="false">C12-C11</f>
        <v>40</v>
      </c>
      <c r="E12" s="52" t="n">
        <f aca="false">C12-152000</f>
        <v>168434</v>
      </c>
      <c r="F12" s="51" t="n">
        <f aca="false">D12/$D$2</f>
        <v>20.1663725737333</v>
      </c>
      <c r="G12" s="51" t="n">
        <v>111</v>
      </c>
      <c r="H12" s="103" t="n">
        <v>0</v>
      </c>
      <c r="I12" s="51" t="n">
        <f aca="false">G12+H12</f>
        <v>111</v>
      </c>
      <c r="J12" s="81" t="n">
        <f aca="false">IF(L12&gt;0,L12,0)</f>
        <v>0</v>
      </c>
      <c r="K12" s="51" t="n">
        <f aca="false">I12+J12</f>
        <v>111</v>
      </c>
      <c r="L12" s="51" t="n">
        <f aca="false">F12-(I12-W12)</f>
        <v>-2.51362742626669</v>
      </c>
      <c r="M12" s="51" t="n">
        <v>13.9</v>
      </c>
      <c r="N12" s="51" t="n">
        <v>0</v>
      </c>
      <c r="O12" s="51" t="n">
        <v>0</v>
      </c>
      <c r="P12" s="6" t="n">
        <f aca="false">M12-(N12+O12)</f>
        <v>13.9</v>
      </c>
      <c r="Q12" s="51" t="n">
        <v>0</v>
      </c>
      <c r="R12" s="51" t="n">
        <v>0</v>
      </c>
      <c r="S12" s="51" t="n">
        <f aca="false">SUM(P12:R12)</f>
        <v>13.9</v>
      </c>
      <c r="T12" s="52"/>
      <c r="U12" s="51" t="n">
        <v>0</v>
      </c>
      <c r="V12" s="51" t="n">
        <v>74.42</v>
      </c>
      <c r="W12" s="6" t="n">
        <f aca="false">N12+O12+S12+U12+V12</f>
        <v>88.32</v>
      </c>
      <c r="X12" s="51" t="n">
        <f aca="false">IF(L12&lt;0,L12*-1,0)</f>
        <v>2.51362742626669</v>
      </c>
      <c r="Y12" s="51" t="n">
        <f aca="false">W12+X12</f>
        <v>90.8336274262667</v>
      </c>
      <c r="Z12" s="56" t="n">
        <v>0.18</v>
      </c>
      <c r="AA12" s="57" t="n">
        <v>36</v>
      </c>
      <c r="AB12" s="57" t="n">
        <v>24</v>
      </c>
      <c r="AC12" s="58" t="n">
        <f aca="false">AC11+1</f>
        <v>3</v>
      </c>
      <c r="AD12" s="93"/>
      <c r="AE12" s="94"/>
      <c r="AF12" s="93"/>
    </row>
    <row r="13" customFormat="false" ht="11.1" hidden="false" customHeight="true" outlineLevel="0" collapsed="false">
      <c r="A13" s="58" t="n">
        <f aca="false">A12+1</f>
        <v>4</v>
      </c>
      <c r="B13" s="73" t="n">
        <v>6909.63</v>
      </c>
      <c r="C13" s="52" t="n">
        <v>320513</v>
      </c>
      <c r="D13" s="57" t="n">
        <f aca="false">C13-C12</f>
        <v>79</v>
      </c>
      <c r="E13" s="52" t="n">
        <f aca="false">C13-152000</f>
        <v>168513</v>
      </c>
      <c r="F13" s="51" t="n">
        <f aca="false">D13/$D$2</f>
        <v>39.8285858331233</v>
      </c>
      <c r="G13" s="51" t="n">
        <v>130</v>
      </c>
      <c r="H13" s="103" t="n">
        <v>7.33</v>
      </c>
      <c r="I13" s="51" t="n">
        <f aca="false">G13+H13</f>
        <v>137.33</v>
      </c>
      <c r="J13" s="81" t="n">
        <f aca="false">IF(L13&gt;0,L13,0)</f>
        <v>0</v>
      </c>
      <c r="K13" s="51" t="n">
        <f aca="false">I13+J13</f>
        <v>137.33</v>
      </c>
      <c r="L13" s="51" t="n">
        <f aca="false">F13-(I13-W13)</f>
        <v>-9.12141416687674</v>
      </c>
      <c r="M13" s="51" t="n">
        <v>13.9</v>
      </c>
      <c r="N13" s="51" t="n">
        <v>0</v>
      </c>
      <c r="O13" s="51" t="n">
        <v>0</v>
      </c>
      <c r="P13" s="6" t="n">
        <f aca="false">M13-(N13+O13)</f>
        <v>13.9</v>
      </c>
      <c r="Q13" s="51" t="n">
        <v>0</v>
      </c>
      <c r="R13" s="51" t="n">
        <v>0</v>
      </c>
      <c r="S13" s="51" t="n">
        <f aca="false">SUM(P13:R13)</f>
        <v>13.9</v>
      </c>
      <c r="T13" s="52"/>
      <c r="U13" s="51" t="n">
        <v>0</v>
      </c>
      <c r="V13" s="51" t="n">
        <v>74.48</v>
      </c>
      <c r="W13" s="6" t="n">
        <f aca="false">N13+O13+S13+U13+V13</f>
        <v>88.38</v>
      </c>
      <c r="X13" s="51" t="n">
        <f aca="false">IF(L13&lt;0,L13*-1,0)</f>
        <v>9.12141416687674</v>
      </c>
      <c r="Y13" s="51" t="n">
        <f aca="false">W13+X13</f>
        <v>97.5014141668767</v>
      </c>
      <c r="Z13" s="56" t="n">
        <v>0</v>
      </c>
      <c r="AA13" s="57" t="n">
        <v>39</v>
      </c>
      <c r="AB13" s="57" t="n">
        <v>19</v>
      </c>
      <c r="AC13" s="58" t="n">
        <f aca="false">AC12+1</f>
        <v>4</v>
      </c>
      <c r="AD13" s="93"/>
      <c r="AE13" s="94"/>
      <c r="AF13" s="93"/>
    </row>
    <row r="14" customFormat="false" ht="11.1" hidden="false" customHeight="true" outlineLevel="0" collapsed="false">
      <c r="A14" s="58" t="n">
        <f aca="false">A13+1</f>
        <v>5</v>
      </c>
      <c r="B14" s="73" t="n">
        <v>6909.65</v>
      </c>
      <c r="C14" s="52" t="n">
        <v>320593</v>
      </c>
      <c r="D14" s="57" t="n">
        <f aca="false">C14-C13</f>
        <v>80</v>
      </c>
      <c r="E14" s="52" t="n">
        <f aca="false">C14-152000</f>
        <v>168593</v>
      </c>
      <c r="F14" s="51" t="n">
        <f aca="false">D14/$D$2</f>
        <v>40.3327451474666</v>
      </c>
      <c r="G14" s="51" t="n">
        <v>130</v>
      </c>
      <c r="H14" s="103" t="n">
        <v>13.71</v>
      </c>
      <c r="I14" s="51" t="n">
        <f aca="false">G14+H14</f>
        <v>143.71</v>
      </c>
      <c r="J14" s="81" t="n">
        <f aca="false">IF(L14&gt;0,L14,0)</f>
        <v>0</v>
      </c>
      <c r="K14" s="51" t="n">
        <f aca="false">I14+J14</f>
        <v>143.71</v>
      </c>
      <c r="L14" s="51" t="n">
        <f aca="false">F14-(I14-W14)</f>
        <v>-14.9172548525334</v>
      </c>
      <c r="M14" s="51" t="n">
        <v>13.9</v>
      </c>
      <c r="N14" s="51" t="n">
        <v>0</v>
      </c>
      <c r="O14" s="51" t="n">
        <v>0</v>
      </c>
      <c r="P14" s="6" t="n">
        <f aca="false">M14-(N14+O14)</f>
        <v>13.9</v>
      </c>
      <c r="Q14" s="51" t="n">
        <v>0</v>
      </c>
      <c r="R14" s="51" t="n">
        <v>0</v>
      </c>
      <c r="S14" s="51" t="n">
        <f aca="false">SUM(P14:R14)</f>
        <v>13.9</v>
      </c>
      <c r="T14" s="52"/>
      <c r="U14" s="51" t="n">
        <v>0</v>
      </c>
      <c r="V14" s="51" t="n">
        <v>74.56</v>
      </c>
      <c r="W14" s="6" t="n">
        <f aca="false">N14+O14+S14+U14+V14</f>
        <v>88.46</v>
      </c>
      <c r="X14" s="51" t="n">
        <f aca="false">IF(L14&lt;0,L14*-1,0)</f>
        <v>14.9172548525334</v>
      </c>
      <c r="Y14" s="51" t="n">
        <f aca="false">W14+X14</f>
        <v>103.377254852533</v>
      </c>
      <c r="Z14" s="56" t="n">
        <v>0</v>
      </c>
      <c r="AA14" s="57" t="n">
        <v>44</v>
      </c>
      <c r="AB14" s="57" t="n">
        <v>16</v>
      </c>
      <c r="AC14" s="58" t="n">
        <f aca="false">AC13+1</f>
        <v>5</v>
      </c>
      <c r="AD14" s="93"/>
      <c r="AE14" s="94"/>
      <c r="AF14" s="93"/>
    </row>
    <row r="15" customFormat="false" ht="11.1" hidden="false" customHeight="true" outlineLevel="0" collapsed="false">
      <c r="A15" s="58" t="n">
        <f aca="false">A14+1</f>
        <v>6</v>
      </c>
      <c r="B15" s="73" t="n">
        <v>6909.71</v>
      </c>
      <c r="C15" s="52" t="n">
        <v>320832</v>
      </c>
      <c r="D15" s="57" t="n">
        <f aca="false">C15-C14</f>
        <v>239</v>
      </c>
      <c r="E15" s="52" t="n">
        <f aca="false">C15-152000</f>
        <v>168832</v>
      </c>
      <c r="F15" s="51" t="n">
        <f aca="false">D15/$D$2</f>
        <v>120.494076128056</v>
      </c>
      <c r="G15" s="51" t="n">
        <v>207</v>
      </c>
      <c r="H15" s="103" t="n">
        <v>15.04</v>
      </c>
      <c r="I15" s="51" t="n">
        <f aca="false">G15+H15</f>
        <v>222.04</v>
      </c>
      <c r="J15" s="81" t="n">
        <f aca="false">IF(L15&gt;0,L15,0)</f>
        <v>0</v>
      </c>
      <c r="K15" s="51" t="n">
        <f aca="false">I15+J15</f>
        <v>222.04</v>
      </c>
      <c r="L15" s="51" t="n">
        <f aca="false">F15-(I15-W15)</f>
        <v>-13.2159238719435</v>
      </c>
      <c r="M15" s="51" t="n">
        <v>13.9</v>
      </c>
      <c r="N15" s="51" t="n">
        <v>0</v>
      </c>
      <c r="O15" s="51" t="n">
        <v>0</v>
      </c>
      <c r="P15" s="6" t="n">
        <f aca="false">M15-(N15+O15)</f>
        <v>13.9</v>
      </c>
      <c r="Q15" s="51" t="n">
        <v>0</v>
      </c>
      <c r="R15" s="51" t="n">
        <v>0</v>
      </c>
      <c r="S15" s="51" t="n">
        <f aca="false">SUM(P15:R15)</f>
        <v>13.9</v>
      </c>
      <c r="T15" s="52"/>
      <c r="U15" s="51" t="n">
        <v>0</v>
      </c>
      <c r="V15" s="51" t="n">
        <v>74.43</v>
      </c>
      <c r="W15" s="6" t="n">
        <f aca="false">N15+O15+S15+U15+V15</f>
        <v>88.33</v>
      </c>
      <c r="X15" s="51" t="n">
        <f aca="false">IF(L15&lt;0,L15*-1,0)</f>
        <v>13.2159238719435</v>
      </c>
      <c r="Y15" s="51" t="n">
        <f aca="false">W15+X15</f>
        <v>101.545923871944</v>
      </c>
      <c r="Z15" s="56" t="n">
        <v>0</v>
      </c>
      <c r="AA15" s="57" t="n">
        <v>49</v>
      </c>
      <c r="AB15" s="57" t="n">
        <v>26</v>
      </c>
      <c r="AC15" s="58" t="n">
        <f aca="false">AC14+1</f>
        <v>6</v>
      </c>
      <c r="AD15" s="92"/>
      <c r="AE15" s="94"/>
      <c r="AF15" s="93"/>
    </row>
    <row r="16" customFormat="false" ht="11.1" hidden="false" customHeight="true" outlineLevel="0" collapsed="false">
      <c r="A16" s="58" t="n">
        <f aca="false">A15+1</f>
        <v>7</v>
      </c>
      <c r="B16" s="73" t="n">
        <v>6909.77</v>
      </c>
      <c r="C16" s="52" t="n">
        <v>321071</v>
      </c>
      <c r="D16" s="57" t="n">
        <f aca="false">C16-C15</f>
        <v>239</v>
      </c>
      <c r="E16" s="52" t="n">
        <f aca="false">C16-152000</f>
        <v>169071</v>
      </c>
      <c r="F16" s="51" t="n">
        <f aca="false">D16/$D$2</f>
        <v>120.494076128056</v>
      </c>
      <c r="G16" s="51" t="n">
        <v>207</v>
      </c>
      <c r="H16" s="103" t="n">
        <v>10.41</v>
      </c>
      <c r="I16" s="51" t="n">
        <f aca="false">G16+H16</f>
        <v>217.41</v>
      </c>
      <c r="J16" s="81" t="n">
        <f aca="false">IF(L16&gt;0,L16,0)</f>
        <v>0</v>
      </c>
      <c r="K16" s="51" t="n">
        <f aca="false">I16+J16</f>
        <v>217.41</v>
      </c>
      <c r="L16" s="51" t="n">
        <f aca="false">F16-(I16-W16)</f>
        <v>-8.63592387194353</v>
      </c>
      <c r="M16" s="51" t="n">
        <v>13.9</v>
      </c>
      <c r="N16" s="51" t="n">
        <v>0</v>
      </c>
      <c r="O16" s="51" t="n">
        <v>0</v>
      </c>
      <c r="P16" s="6" t="n">
        <f aca="false">M16-(N16+O16)</f>
        <v>13.9</v>
      </c>
      <c r="Q16" s="51" t="n">
        <v>0</v>
      </c>
      <c r="R16" s="51" t="n">
        <v>0</v>
      </c>
      <c r="S16" s="51" t="n">
        <f aca="false">SUM(P16:R16)</f>
        <v>13.9</v>
      </c>
      <c r="T16" s="52"/>
      <c r="U16" s="51" t="n">
        <v>0</v>
      </c>
      <c r="V16" s="51" t="n">
        <v>74.38</v>
      </c>
      <c r="W16" s="6" t="n">
        <f aca="false">N16+O16+S16+U16+V16</f>
        <v>88.28</v>
      </c>
      <c r="X16" s="51" t="n">
        <f aca="false">IF(L16&lt;0,L16*-1,0)</f>
        <v>8.63592387194353</v>
      </c>
      <c r="Y16" s="51" t="n">
        <f aca="false">W16+X16</f>
        <v>96.9159238719435</v>
      </c>
      <c r="Z16" s="56" t="n">
        <v>0</v>
      </c>
      <c r="AA16" s="57" t="n">
        <v>54</v>
      </c>
      <c r="AB16" s="57" t="n">
        <v>25</v>
      </c>
      <c r="AC16" s="58" t="n">
        <f aca="false">AC15+1</f>
        <v>7</v>
      </c>
      <c r="AD16" s="92"/>
      <c r="AE16" s="94"/>
      <c r="AF16" s="93"/>
    </row>
    <row r="17" customFormat="false" ht="11.1" hidden="false" customHeight="true" outlineLevel="0" collapsed="false">
      <c r="A17" s="58" t="n">
        <f aca="false">A16+1</f>
        <v>8</v>
      </c>
      <c r="B17" s="73" t="n">
        <v>6909.85</v>
      </c>
      <c r="C17" s="52" t="n">
        <v>321389</v>
      </c>
      <c r="D17" s="57" t="n">
        <f aca="false">C17-C16</f>
        <v>318</v>
      </c>
      <c r="E17" s="52" t="n">
        <f aca="false">C17-152000</f>
        <v>169389</v>
      </c>
      <c r="F17" s="51" t="n">
        <f aca="false">D17/$D$2</f>
        <v>160.32266196118</v>
      </c>
      <c r="G17" s="51" t="n">
        <v>187</v>
      </c>
      <c r="H17" s="103" t="n">
        <v>9.76</v>
      </c>
      <c r="I17" s="51" t="n">
        <f aca="false">G17+H17</f>
        <v>196.76</v>
      </c>
      <c r="J17" s="81" t="n">
        <f aca="false">IF(L17&gt;0,L17,0)</f>
        <v>51.8326619611798</v>
      </c>
      <c r="K17" s="51" t="n">
        <f aca="false">I17+J17</f>
        <v>248.59266196118</v>
      </c>
      <c r="L17" s="51" t="n">
        <f aca="false">F17-(I17-W17)</f>
        <v>51.8326619611798</v>
      </c>
      <c r="M17" s="51" t="n">
        <v>13.9</v>
      </c>
      <c r="N17" s="51" t="n">
        <v>0</v>
      </c>
      <c r="O17" s="51" t="n">
        <v>0</v>
      </c>
      <c r="P17" s="6" t="n">
        <f aca="false">M17-(N17+O17)</f>
        <v>13.9</v>
      </c>
      <c r="Q17" s="51" t="n">
        <v>0</v>
      </c>
      <c r="R17" s="51" t="n">
        <v>0</v>
      </c>
      <c r="S17" s="51" t="n">
        <f aca="false">SUM(P17:R17)</f>
        <v>13.9</v>
      </c>
      <c r="T17" s="52"/>
      <c r="U17" s="51" t="n">
        <v>0</v>
      </c>
      <c r="V17" s="51" t="n">
        <v>74.37</v>
      </c>
      <c r="W17" s="6" t="n">
        <f aca="false">N17+O17+S17+U17+V17</f>
        <v>88.27</v>
      </c>
      <c r="X17" s="51" t="n">
        <f aca="false">IF(L17&lt;0,L17*-1,0)</f>
        <v>0</v>
      </c>
      <c r="Y17" s="51" t="n">
        <f aca="false">W17+X17</f>
        <v>88.27</v>
      </c>
      <c r="Z17" s="56" t="n">
        <v>0</v>
      </c>
      <c r="AA17" s="57" t="n">
        <v>62</v>
      </c>
      <c r="AB17" s="57" t="n">
        <v>31</v>
      </c>
      <c r="AC17" s="58" t="n">
        <f aca="false">AC16+1</f>
        <v>8</v>
      </c>
      <c r="AD17" s="92"/>
      <c r="AE17" s="94"/>
      <c r="AF17" s="93"/>
    </row>
    <row r="18" customFormat="false" ht="11.1" hidden="false" customHeight="true" outlineLevel="0" collapsed="false">
      <c r="A18" s="58" t="n">
        <f aca="false">A17+1</f>
        <v>9</v>
      </c>
      <c r="B18" s="73" t="n">
        <v>6910.02</v>
      </c>
      <c r="C18" s="52" t="n">
        <v>322067</v>
      </c>
      <c r="D18" s="57" t="n">
        <f aca="false">C18-C17</f>
        <v>678</v>
      </c>
      <c r="E18" s="52" t="n">
        <f aca="false">C18-152000</f>
        <v>170067</v>
      </c>
      <c r="F18" s="51" t="n">
        <f aca="false">D18/$D$2</f>
        <v>341.820015124779</v>
      </c>
      <c r="G18" s="51" t="n">
        <v>246.23</v>
      </c>
      <c r="H18" s="103" t="n">
        <v>8.35</v>
      </c>
      <c r="I18" s="51" t="n">
        <f aca="false">G18+H18</f>
        <v>254.58</v>
      </c>
      <c r="J18" s="81" t="n">
        <f aca="false">IF(L18&gt;0,L18,0)</f>
        <v>175.410015124779</v>
      </c>
      <c r="K18" s="51" t="n">
        <f aca="false">I18+J18</f>
        <v>429.99001512478</v>
      </c>
      <c r="L18" s="51" t="n">
        <f aca="false">F18-(I18-W18)</f>
        <v>175.410015124779</v>
      </c>
      <c r="M18" s="51" t="n">
        <v>13.9</v>
      </c>
      <c r="N18" s="51" t="n">
        <v>0</v>
      </c>
      <c r="O18" s="51" t="n">
        <v>0</v>
      </c>
      <c r="P18" s="6" t="n">
        <f aca="false">M18-(N18+O18)</f>
        <v>13.9</v>
      </c>
      <c r="Q18" s="51" t="n">
        <v>0</v>
      </c>
      <c r="R18" s="51" t="n">
        <v>0</v>
      </c>
      <c r="S18" s="51" t="n">
        <f aca="false">SUM(P18:R18)</f>
        <v>13.9</v>
      </c>
      <c r="T18" s="52"/>
      <c r="U18" s="51" t="n">
        <v>0</v>
      </c>
      <c r="V18" s="51" t="n">
        <v>74.27</v>
      </c>
      <c r="W18" s="6" t="n">
        <f aca="false">N18+O18+S18+U18+V18</f>
        <v>88.17</v>
      </c>
      <c r="X18" s="51" t="n">
        <f aca="false">IF(L18&lt;0,L18*-1,0)</f>
        <v>0</v>
      </c>
      <c r="Y18" s="51" t="n">
        <f aca="false">W18+X18</f>
        <v>88.17</v>
      </c>
      <c r="Z18" s="56" t="n">
        <v>0</v>
      </c>
      <c r="AA18" s="82" t="n">
        <v>68</v>
      </c>
      <c r="AB18" s="57" t="n">
        <v>34</v>
      </c>
      <c r="AC18" s="58" t="n">
        <f aca="false">AC17+1</f>
        <v>9</v>
      </c>
      <c r="AD18" s="92"/>
      <c r="AE18" s="94"/>
      <c r="AF18" s="93"/>
    </row>
    <row r="19" customFormat="false" ht="11.1" hidden="false" customHeight="true" outlineLevel="0" collapsed="false">
      <c r="A19" s="58" t="n">
        <f aca="false">A18+1</f>
        <v>10</v>
      </c>
      <c r="B19" s="73" t="n">
        <v>6910.35</v>
      </c>
      <c r="C19" s="52" t="n">
        <v>323391</v>
      </c>
      <c r="D19" s="57" t="n">
        <f aca="false">C19-C18</f>
        <v>1324</v>
      </c>
      <c r="E19" s="52" t="n">
        <f aca="false">C19-152000</f>
        <v>171391</v>
      </c>
      <c r="F19" s="51" t="n">
        <f aca="false">D19/$D$2</f>
        <v>667.506932190572</v>
      </c>
      <c r="G19" s="51" t="n">
        <v>347.11</v>
      </c>
      <c r="H19" s="103" t="n">
        <v>17.98</v>
      </c>
      <c r="I19" s="51" t="n">
        <f aca="false">G19+H19</f>
        <v>365.09</v>
      </c>
      <c r="J19" s="81" t="n">
        <f aca="false">IF(L19&gt;0,L19,0)</f>
        <v>390.506932190572</v>
      </c>
      <c r="K19" s="51" t="n">
        <f aca="false">I19+J19</f>
        <v>755.596932190572</v>
      </c>
      <c r="L19" s="51" t="n">
        <f aca="false">F19-(I19-W19)</f>
        <v>390.506932190572</v>
      </c>
      <c r="M19" s="51" t="n">
        <v>13.9</v>
      </c>
      <c r="N19" s="104" t="n">
        <v>0</v>
      </c>
      <c r="O19" s="51" t="n">
        <v>0</v>
      </c>
      <c r="P19" s="6" t="n">
        <f aca="false">M19-(N19+O19)</f>
        <v>13.9</v>
      </c>
      <c r="Q19" s="51" t="n">
        <v>0</v>
      </c>
      <c r="R19" s="51" t="n">
        <v>0</v>
      </c>
      <c r="S19" s="51" t="n">
        <f aca="false">SUM(P19:R19)</f>
        <v>13.9</v>
      </c>
      <c r="T19" s="52"/>
      <c r="U19" s="51" t="n">
        <v>0</v>
      </c>
      <c r="V19" s="51" t="n">
        <v>74.19</v>
      </c>
      <c r="W19" s="6" t="n">
        <f aca="false">N19+O19+S19+U19+V19</f>
        <v>88.09</v>
      </c>
      <c r="X19" s="51" t="n">
        <f aca="false">IF(L19&lt;0,L19*-1,0)</f>
        <v>0</v>
      </c>
      <c r="Y19" s="51" t="n">
        <f aca="false">W19+X19</f>
        <v>88.09</v>
      </c>
      <c r="Z19" s="56" t="n">
        <v>0</v>
      </c>
      <c r="AA19" s="57" t="n">
        <v>65</v>
      </c>
      <c r="AB19" s="57" t="n">
        <v>37</v>
      </c>
      <c r="AC19" s="58" t="n">
        <f aca="false">AC18+1</f>
        <v>10</v>
      </c>
      <c r="AD19" s="92"/>
      <c r="AE19" s="94"/>
      <c r="AF19" s="93"/>
    </row>
    <row r="20" customFormat="false" ht="11.1" hidden="false" customHeight="true" outlineLevel="0" collapsed="false">
      <c r="A20" s="58" t="n">
        <f aca="false">A19+1</f>
        <v>11</v>
      </c>
      <c r="B20" s="73" t="n">
        <v>6910.69</v>
      </c>
      <c r="C20" s="52" t="n">
        <v>324755</v>
      </c>
      <c r="D20" s="57" t="n">
        <f aca="false">C20-C19</f>
        <v>1364</v>
      </c>
      <c r="E20" s="52" t="n">
        <f aca="false">C20-152000</f>
        <v>172755</v>
      </c>
      <c r="F20" s="51" t="n">
        <f aca="false">D20/$D$2</f>
        <v>687.673304764305</v>
      </c>
      <c r="G20" s="51" t="n">
        <v>426.89</v>
      </c>
      <c r="H20" s="103" t="n">
        <v>23.8</v>
      </c>
      <c r="I20" s="51" t="n">
        <f aca="false">G20+H20</f>
        <v>450.69</v>
      </c>
      <c r="J20" s="81" t="n">
        <f aca="false">IF(L20&gt;0,L20,0)</f>
        <v>325.053304764305</v>
      </c>
      <c r="K20" s="51" t="n">
        <f aca="false">I20+J20</f>
        <v>775.743304764306</v>
      </c>
      <c r="L20" s="51" t="n">
        <f aca="false">F20-(I20-W20)</f>
        <v>325.053304764305</v>
      </c>
      <c r="M20" s="51" t="n">
        <v>13.9</v>
      </c>
      <c r="N20" s="104" t="n">
        <v>0</v>
      </c>
      <c r="O20" s="51" t="n">
        <v>0</v>
      </c>
      <c r="P20" s="6" t="n">
        <f aca="false">M20-(N20+O20)</f>
        <v>13.9</v>
      </c>
      <c r="Q20" s="51" t="n">
        <v>0</v>
      </c>
      <c r="R20" s="51" t="n">
        <v>0</v>
      </c>
      <c r="S20" s="51" t="n">
        <f aca="false">SUM(P20:R20)</f>
        <v>13.9</v>
      </c>
      <c r="T20" s="52"/>
      <c r="U20" s="51" t="n">
        <v>0</v>
      </c>
      <c r="V20" s="51" t="n">
        <v>74.17</v>
      </c>
      <c r="W20" s="6" t="n">
        <f aca="false">N20+O20+S20+U20+V20</f>
        <v>88.07</v>
      </c>
      <c r="X20" s="51" t="n">
        <f aca="false">IF(L20&lt;0,L20*-1,0)</f>
        <v>0</v>
      </c>
      <c r="Y20" s="51" t="n">
        <f aca="false">W20+X20</f>
        <v>88.07</v>
      </c>
      <c r="Z20" s="56" t="n">
        <v>0</v>
      </c>
      <c r="AA20" s="57" t="n">
        <v>61</v>
      </c>
      <c r="AB20" s="57" t="n">
        <v>35</v>
      </c>
      <c r="AC20" s="58" t="n">
        <f aca="false">AC19+1</f>
        <v>11</v>
      </c>
      <c r="AD20" s="92"/>
      <c r="AE20" s="94"/>
      <c r="AF20" s="93"/>
    </row>
    <row r="21" customFormat="false" ht="11.1" hidden="false" customHeight="true" outlineLevel="0" collapsed="false">
      <c r="A21" s="58" t="n">
        <f aca="false">A20+1</f>
        <v>12</v>
      </c>
      <c r="B21" s="73" t="n">
        <v>6911.06</v>
      </c>
      <c r="C21" s="52" t="n">
        <v>326242</v>
      </c>
      <c r="D21" s="57" t="n">
        <f aca="false">C21-C20</f>
        <v>1487</v>
      </c>
      <c r="E21" s="52" t="n">
        <f aca="false">C21-152000</f>
        <v>174242</v>
      </c>
      <c r="F21" s="51" t="n">
        <f aca="false">D21/$D$2</f>
        <v>749.684900428535</v>
      </c>
      <c r="G21" s="51" t="n">
        <v>433.27</v>
      </c>
      <c r="H21" s="103" t="n">
        <v>26.72</v>
      </c>
      <c r="I21" s="51" t="n">
        <f aca="false">G21+H21</f>
        <v>459.99</v>
      </c>
      <c r="J21" s="81" t="n">
        <f aca="false">IF(L21&gt;0,L21,0)</f>
        <v>377.904900428535</v>
      </c>
      <c r="K21" s="51" t="n">
        <f aca="false">I21+J21</f>
        <v>837.894900428536</v>
      </c>
      <c r="L21" s="51" t="n">
        <f aca="false">F21-(I21-W21)</f>
        <v>377.904900428535</v>
      </c>
      <c r="M21" s="51" t="n">
        <v>13.9</v>
      </c>
      <c r="N21" s="104" t="n">
        <v>0</v>
      </c>
      <c r="O21" s="51" t="n">
        <v>0</v>
      </c>
      <c r="P21" s="6" t="n">
        <f aca="false">M21-(N21+O21)</f>
        <v>13.9</v>
      </c>
      <c r="Q21" s="51" t="n">
        <v>0</v>
      </c>
      <c r="R21" s="51" t="n">
        <v>0</v>
      </c>
      <c r="S21" s="51" t="n">
        <f aca="false">SUM(P21:R21)</f>
        <v>13.9</v>
      </c>
      <c r="T21" s="52"/>
      <c r="U21" s="51" t="n">
        <v>0</v>
      </c>
      <c r="V21" s="51" t="n">
        <v>74.31</v>
      </c>
      <c r="W21" s="6" t="n">
        <f aca="false">N21+O21+S21+U21+V21</f>
        <v>88.21</v>
      </c>
      <c r="X21" s="51" t="n">
        <f aca="false">IF(L21&lt;0,L21*-1,0)</f>
        <v>0</v>
      </c>
      <c r="Y21" s="51" t="n">
        <f aca="false">W21+X21</f>
        <v>88.21</v>
      </c>
      <c r="Z21" s="56" t="n">
        <v>0</v>
      </c>
      <c r="AA21" s="57" t="n">
        <v>59</v>
      </c>
      <c r="AB21" s="57" t="n">
        <v>35</v>
      </c>
      <c r="AC21" s="58" t="n">
        <f aca="false">AC20+1</f>
        <v>12</v>
      </c>
      <c r="AD21" s="92"/>
      <c r="AE21" s="94"/>
      <c r="AF21" s="93"/>
    </row>
    <row r="22" customFormat="false" ht="11.1" hidden="false" customHeight="true" outlineLevel="0" collapsed="false">
      <c r="A22" s="58" t="n">
        <f aca="false">A21+1</f>
        <v>13</v>
      </c>
      <c r="B22" s="73" t="n">
        <v>6911.49</v>
      </c>
      <c r="C22" s="52" t="n">
        <v>327981</v>
      </c>
      <c r="D22" s="57" t="n">
        <f aca="false">C22-C21</f>
        <v>1739</v>
      </c>
      <c r="E22" s="52" t="n">
        <f aca="false">C22-152000</f>
        <v>175981</v>
      </c>
      <c r="F22" s="51" t="n">
        <f aca="false">D22/$D$2</f>
        <v>876.733047643055</v>
      </c>
      <c r="G22" s="51" t="n">
        <v>443.83</v>
      </c>
      <c r="H22" s="103" t="n">
        <v>31.67</v>
      </c>
      <c r="I22" s="51" t="n">
        <f aca="false">G22+H22</f>
        <v>475.5</v>
      </c>
      <c r="J22" s="81" t="n">
        <f aca="false">IF(L22&gt;0,L22,0)</f>
        <v>485.083047643055</v>
      </c>
      <c r="K22" s="51" t="n">
        <f aca="false">I22+J22</f>
        <v>960.583047643055</v>
      </c>
      <c r="L22" s="51" t="n">
        <f aca="false">F22-(I22-W22)</f>
        <v>485.083047643055</v>
      </c>
      <c r="M22" s="104" t="n">
        <v>9.61</v>
      </c>
      <c r="N22" s="104" t="n">
        <v>0</v>
      </c>
      <c r="O22" s="51" t="n">
        <v>0</v>
      </c>
      <c r="P22" s="6" t="n">
        <f aca="false">M22-(N22+O22)</f>
        <v>9.61</v>
      </c>
      <c r="Q22" s="51" t="n">
        <v>0</v>
      </c>
      <c r="R22" s="51" t="n">
        <v>0</v>
      </c>
      <c r="S22" s="51" t="n">
        <f aca="false">SUM(P22:R22)</f>
        <v>9.61</v>
      </c>
      <c r="T22" s="52"/>
      <c r="U22" s="51" t="n">
        <v>0</v>
      </c>
      <c r="V22" s="51" t="n">
        <v>74.24</v>
      </c>
      <c r="W22" s="6" t="n">
        <f aca="false">N22+O22+S22+U22+V22</f>
        <v>83.85</v>
      </c>
      <c r="X22" s="51" t="n">
        <f aca="false">IF(L22&lt;0,L22*-1,0)</f>
        <v>0</v>
      </c>
      <c r="Y22" s="51" t="n">
        <f aca="false">W22+X22</f>
        <v>83.85</v>
      </c>
      <c r="Z22" s="56" t="n">
        <v>0</v>
      </c>
      <c r="AA22" s="57" t="n">
        <v>63</v>
      </c>
      <c r="AB22" s="57" t="n">
        <v>33</v>
      </c>
      <c r="AC22" s="58" t="n">
        <f aca="false">AC21+1</f>
        <v>13</v>
      </c>
      <c r="AD22" s="92"/>
      <c r="AE22" s="94"/>
      <c r="AF22" s="93"/>
    </row>
    <row r="23" customFormat="false" ht="11.1" hidden="false" customHeight="true" outlineLevel="0" collapsed="false">
      <c r="A23" s="58" t="n">
        <f aca="false">A22+1</f>
        <v>14</v>
      </c>
      <c r="B23" s="73" t="n">
        <v>6911.91</v>
      </c>
      <c r="C23" s="52" t="n">
        <v>329680</v>
      </c>
      <c r="D23" s="57" t="n">
        <f aca="false">C23-C22</f>
        <v>1699</v>
      </c>
      <c r="E23" s="52" t="n">
        <f aca="false">C23-152000</f>
        <v>177680</v>
      </c>
      <c r="F23" s="51" t="n">
        <f aca="false">D23/$D$2</f>
        <v>856.566675069322</v>
      </c>
      <c r="G23" s="51" t="n">
        <v>476.86</v>
      </c>
      <c r="H23" s="81" t="n">
        <v>43.65</v>
      </c>
      <c r="I23" s="51" t="n">
        <f aca="false">G23+H23</f>
        <v>520.51</v>
      </c>
      <c r="J23" s="81" t="n">
        <f aca="false">IF(L23&gt;0,L23,0)</f>
        <v>415.796675069322</v>
      </c>
      <c r="K23" s="51" t="n">
        <f aca="false">I23+J23</f>
        <v>936.306675069322</v>
      </c>
      <c r="L23" s="51" t="n">
        <f aca="false">F23-(I23-W23)</f>
        <v>415.796675069322</v>
      </c>
      <c r="M23" s="51" t="n">
        <v>4.4</v>
      </c>
      <c r="N23" s="51" t="n">
        <v>0</v>
      </c>
      <c r="O23" s="51" t="n">
        <v>0</v>
      </c>
      <c r="P23" s="6" t="n">
        <f aca="false">M23-(N23+O23)</f>
        <v>4.4</v>
      </c>
      <c r="Q23" s="51" t="n">
        <v>0</v>
      </c>
      <c r="R23" s="51" t="n">
        <v>0</v>
      </c>
      <c r="S23" s="51" t="n">
        <f aca="false">SUM(P23:R23)</f>
        <v>4.4</v>
      </c>
      <c r="T23" s="52"/>
      <c r="U23" s="51" t="n">
        <v>0</v>
      </c>
      <c r="V23" s="51" t="n">
        <v>75.34</v>
      </c>
      <c r="W23" s="6" t="n">
        <f aca="false">N23+O23+S23+U23+V23</f>
        <v>79.74</v>
      </c>
      <c r="X23" s="51" t="n">
        <f aca="false">IF(L23&lt;0,L23*-1,0)</f>
        <v>0</v>
      </c>
      <c r="Y23" s="51" t="n">
        <f aca="false">W23+X23</f>
        <v>79.74</v>
      </c>
      <c r="Z23" s="56" t="n">
        <v>0</v>
      </c>
      <c r="AA23" s="82" t="n">
        <v>53</v>
      </c>
      <c r="AB23" s="57" t="n">
        <v>44</v>
      </c>
      <c r="AC23" s="58" t="n">
        <f aca="false">AC22+1</f>
        <v>14</v>
      </c>
      <c r="AD23" s="92"/>
      <c r="AE23" s="94"/>
      <c r="AF23" s="93"/>
    </row>
    <row r="24" customFormat="false" ht="11.1" hidden="false" customHeight="true" outlineLevel="0" collapsed="false">
      <c r="A24" s="58" t="n">
        <f aca="false">A23+1</f>
        <v>15</v>
      </c>
      <c r="B24" s="73" t="n">
        <v>6912.16</v>
      </c>
      <c r="C24" s="52" t="n">
        <v>330697</v>
      </c>
      <c r="D24" s="57" t="n">
        <f aca="false">C24-C23</f>
        <v>1017</v>
      </c>
      <c r="E24" s="52" t="n">
        <f aca="false">C24-152000</f>
        <v>178697</v>
      </c>
      <c r="F24" s="51" t="n">
        <f aca="false">D24/$D$2</f>
        <v>512.730022687169</v>
      </c>
      <c r="G24" s="51" t="n">
        <v>456</v>
      </c>
      <c r="H24" s="81" t="n">
        <v>36</v>
      </c>
      <c r="I24" s="51" t="n">
        <f aca="false">G24+H24</f>
        <v>492</v>
      </c>
      <c r="J24" s="81" t="n">
        <f aca="false">IF(L24&gt;0,L24,0)</f>
        <v>304.730022687169</v>
      </c>
      <c r="K24" s="51" t="n">
        <f aca="false">I24+J24</f>
        <v>796.730022687169</v>
      </c>
      <c r="L24" s="51" t="n">
        <f aca="false">F24-(I24-W24)</f>
        <v>304.730022687169</v>
      </c>
      <c r="M24" s="51" t="n">
        <v>0</v>
      </c>
      <c r="N24" s="51" t="n">
        <v>0</v>
      </c>
      <c r="O24" s="51" t="n">
        <v>0</v>
      </c>
      <c r="P24" s="6" t="n">
        <f aca="false">M24-(N24+O24)</f>
        <v>0</v>
      </c>
      <c r="Q24" s="51" t="n">
        <v>206</v>
      </c>
      <c r="R24" s="51" t="n">
        <v>0</v>
      </c>
      <c r="S24" s="51" t="n">
        <f aca="false">SUM(P24:R24)</f>
        <v>206</v>
      </c>
      <c r="T24" s="52"/>
      <c r="U24" s="51" t="n">
        <v>0</v>
      </c>
      <c r="V24" s="51" t="n">
        <v>78</v>
      </c>
      <c r="W24" s="6" t="n">
        <f aca="false">N24+O24+S24+U24+V24</f>
        <v>284</v>
      </c>
      <c r="X24" s="51" t="n">
        <f aca="false">IF(L24&lt;0,L24*-1,0)</f>
        <v>0</v>
      </c>
      <c r="Y24" s="51" t="n">
        <f aca="false">W24+X24</f>
        <v>284</v>
      </c>
      <c r="Z24" s="56" t="n">
        <v>0</v>
      </c>
      <c r="AA24" s="82" t="n">
        <v>45</v>
      </c>
      <c r="AB24" s="57" t="n">
        <v>23</v>
      </c>
      <c r="AC24" s="58" t="n">
        <f aca="false">AC23+1</f>
        <v>15</v>
      </c>
      <c r="AD24" s="92"/>
      <c r="AE24" s="94"/>
      <c r="AF24" s="93"/>
    </row>
    <row r="25" customFormat="false" ht="11.1" hidden="false" customHeight="true" outlineLevel="0" collapsed="false">
      <c r="A25" s="58" t="n">
        <f aca="false">A24+1</f>
        <v>16</v>
      </c>
      <c r="B25" s="73" t="n">
        <v>6912.45</v>
      </c>
      <c r="C25" s="52" t="n">
        <v>331879</v>
      </c>
      <c r="D25" s="57" t="n">
        <f aca="false">C25-C24</f>
        <v>1182</v>
      </c>
      <c r="E25" s="52" t="n">
        <f aca="false">C25-152000</f>
        <v>179879</v>
      </c>
      <c r="F25" s="51" t="n">
        <f aca="false">D25/$D$2</f>
        <v>595.916309553819</v>
      </c>
      <c r="G25" s="51" t="n">
        <v>436.17</v>
      </c>
      <c r="H25" s="81" t="n">
        <v>30.82</v>
      </c>
      <c r="I25" s="51" t="n">
        <f aca="false">G25+H25</f>
        <v>466.99</v>
      </c>
      <c r="J25" s="81" t="n">
        <f aca="false">IF(L25&gt;0,L25,0)</f>
        <v>563.926309553819</v>
      </c>
      <c r="K25" s="51" t="n">
        <f aca="false">I25+J25</f>
        <v>1030.91630955382</v>
      </c>
      <c r="L25" s="51" t="n">
        <f aca="false">F25-(I25-W25)</f>
        <v>563.926309553819</v>
      </c>
      <c r="M25" s="51" t="n">
        <v>8.91</v>
      </c>
      <c r="N25" s="51" t="n">
        <v>0</v>
      </c>
      <c r="O25" s="51" t="n">
        <v>0</v>
      </c>
      <c r="P25" s="6" t="n">
        <f aca="false">M25-(N25+O25)</f>
        <v>8.91</v>
      </c>
      <c r="Q25" s="51" t="n">
        <v>335.26</v>
      </c>
      <c r="R25" s="51" t="n">
        <v>12.83</v>
      </c>
      <c r="S25" s="51" t="n">
        <f aca="false">SUM(P25:R25)</f>
        <v>357</v>
      </c>
      <c r="T25" s="52"/>
      <c r="U25" s="51" t="n">
        <v>0</v>
      </c>
      <c r="V25" s="51" t="n">
        <v>78</v>
      </c>
      <c r="W25" s="6" t="n">
        <f aca="false">N25+O25+S25+U25+V25</f>
        <v>435</v>
      </c>
      <c r="X25" s="51" t="n">
        <f aca="false">IF(L25&lt;0,L25*-1,0)</f>
        <v>0</v>
      </c>
      <c r="Y25" s="51" t="n">
        <f aca="false">W25+X25</f>
        <v>435</v>
      </c>
      <c r="Z25" s="56" t="n">
        <v>0</v>
      </c>
      <c r="AA25" s="82" t="n">
        <v>46</v>
      </c>
      <c r="AB25" s="57" t="n">
        <v>25</v>
      </c>
      <c r="AC25" s="58" t="n">
        <f aca="false">AC24+1</f>
        <v>16</v>
      </c>
      <c r="AD25" s="92"/>
      <c r="AE25" s="0"/>
      <c r="AF25" s="93"/>
    </row>
    <row r="26" customFormat="false" ht="11.1" hidden="false" customHeight="true" outlineLevel="0" collapsed="false">
      <c r="A26" s="58" t="n">
        <f aca="false">A25+1</f>
        <v>17</v>
      </c>
      <c r="B26" s="73" t="n">
        <v>6912.78</v>
      </c>
      <c r="C26" s="52" t="n">
        <v>333224</v>
      </c>
      <c r="D26" s="57" t="n">
        <f aca="false">C26-C25</f>
        <v>1345</v>
      </c>
      <c r="E26" s="52" t="n">
        <f aca="false">C26-152000</f>
        <v>181224</v>
      </c>
      <c r="F26" s="51" t="n">
        <f aca="false">D26/$D$2</f>
        <v>678.094277791782</v>
      </c>
      <c r="G26" s="51" t="n">
        <v>481.8</v>
      </c>
      <c r="H26" s="81" t="n">
        <v>37.42</v>
      </c>
      <c r="I26" s="51" t="n">
        <f aca="false">G26+H26</f>
        <v>519.22</v>
      </c>
      <c r="J26" s="81" t="n">
        <f aca="false">IF(L26&gt;0,L26,0)</f>
        <v>599.874277791782</v>
      </c>
      <c r="K26" s="51" t="n">
        <f aca="false">I26+J26</f>
        <v>1119.09427779178</v>
      </c>
      <c r="L26" s="51" t="n">
        <f aca="false">F26-(I26-W26)</f>
        <v>599.874277791782</v>
      </c>
      <c r="M26" s="51" t="n">
        <v>14.4</v>
      </c>
      <c r="N26" s="51" t="n">
        <v>0</v>
      </c>
      <c r="O26" s="51" t="n">
        <v>0</v>
      </c>
      <c r="P26" s="6" t="n">
        <f aca="false">M26-(N26+O26)</f>
        <v>14.4</v>
      </c>
      <c r="Q26" s="51" t="n">
        <v>336.28</v>
      </c>
      <c r="R26" s="51" t="n">
        <v>12.32</v>
      </c>
      <c r="S26" s="51" t="n">
        <f aca="false">SUM(P26:R26)</f>
        <v>363</v>
      </c>
      <c r="T26" s="52"/>
      <c r="U26" s="51" t="n">
        <v>0</v>
      </c>
      <c r="V26" s="51" t="n">
        <v>78</v>
      </c>
      <c r="W26" s="6" t="n">
        <f aca="false">N26+O26+S26+U26+V26</f>
        <v>441</v>
      </c>
      <c r="X26" s="51" t="n">
        <f aca="false">IF(L26&lt;0,L26*-1,0)</f>
        <v>0</v>
      </c>
      <c r="Y26" s="51" t="n">
        <f aca="false">W26+X26</f>
        <v>441</v>
      </c>
      <c r="Z26" s="56" t="n">
        <v>0</v>
      </c>
      <c r="AA26" s="82" t="n">
        <v>51</v>
      </c>
      <c r="AB26" s="57" t="n">
        <v>28</v>
      </c>
      <c r="AC26" s="58" t="n">
        <f aca="false">AC25+1</f>
        <v>17</v>
      </c>
      <c r="AD26" s="92"/>
      <c r="AE26" s="94"/>
      <c r="AF26" s="93"/>
    </row>
    <row r="27" customFormat="false" ht="11.1" hidden="false" customHeight="true" outlineLevel="0" collapsed="false">
      <c r="A27" s="58" t="n">
        <f aca="false">A26+1</f>
        <v>18</v>
      </c>
      <c r="B27" s="73" t="n">
        <v>6913.11</v>
      </c>
      <c r="C27" s="52" t="n">
        <v>334573</v>
      </c>
      <c r="D27" s="57" t="n">
        <f aca="false">C27-C26</f>
        <v>1349</v>
      </c>
      <c r="E27" s="52" t="n">
        <f aca="false">C27-152000</f>
        <v>182573</v>
      </c>
      <c r="F27" s="51" t="n">
        <f aca="false">D27/$D$2</f>
        <v>680.110915049156</v>
      </c>
      <c r="G27" s="51" t="n">
        <v>459.86</v>
      </c>
      <c r="H27" s="81" t="n">
        <v>36.37</v>
      </c>
      <c r="I27" s="51" t="n">
        <f aca="false">G27+H27</f>
        <v>496.23</v>
      </c>
      <c r="J27" s="81" t="n">
        <f aca="false">IF(L27&gt;0,L27,0)</f>
        <v>624.880915049156</v>
      </c>
      <c r="K27" s="51" t="n">
        <f aca="false">I27+J27</f>
        <v>1121.11091504916</v>
      </c>
      <c r="L27" s="51" t="n">
        <f aca="false">F27-(I27-W27)</f>
        <v>624.880915049156</v>
      </c>
      <c r="M27" s="51" t="n">
        <v>14.4</v>
      </c>
      <c r="N27" s="51" t="n">
        <v>0</v>
      </c>
      <c r="O27" s="51" t="n">
        <v>0</v>
      </c>
      <c r="P27" s="6" t="n">
        <f aca="false">M27-(N27+O27)</f>
        <v>14.4</v>
      </c>
      <c r="Q27" s="51" t="n">
        <v>336.6</v>
      </c>
      <c r="R27" s="51" t="n">
        <v>12</v>
      </c>
      <c r="S27" s="51" t="n">
        <f aca="false">SUM(P27:R27)</f>
        <v>363</v>
      </c>
      <c r="T27" s="52"/>
      <c r="U27" s="51" t="n">
        <v>0</v>
      </c>
      <c r="V27" s="51" t="n">
        <v>78</v>
      </c>
      <c r="W27" s="6" t="n">
        <f aca="false">N27+O27+S27+U27+V27</f>
        <v>441</v>
      </c>
      <c r="X27" s="51" t="n">
        <f aca="false">IF(L27&lt;0,L27*-1,0)</f>
        <v>0</v>
      </c>
      <c r="Y27" s="51" t="n">
        <f aca="false">W27+X27</f>
        <v>441</v>
      </c>
      <c r="Z27" s="56" t="n">
        <v>0</v>
      </c>
      <c r="AA27" s="82" t="n">
        <v>50</v>
      </c>
      <c r="AB27" s="57" t="n">
        <v>26</v>
      </c>
      <c r="AC27" s="58" t="n">
        <f aca="false">AC26+1</f>
        <v>18</v>
      </c>
      <c r="AD27" s="92"/>
      <c r="AE27" s="94"/>
      <c r="AF27" s="93"/>
    </row>
    <row r="28" customFormat="false" ht="11.1" hidden="false" customHeight="true" outlineLevel="0" collapsed="false">
      <c r="A28" s="58" t="n">
        <f aca="false">A27+1</f>
        <v>19</v>
      </c>
      <c r="B28" s="73" t="n">
        <v>6913.43</v>
      </c>
      <c r="C28" s="99" t="n">
        <v>335888</v>
      </c>
      <c r="D28" s="57" t="n">
        <f aca="false">C28-C27</f>
        <v>1315</v>
      </c>
      <c r="E28" s="52" t="n">
        <f aca="false">C28-152000</f>
        <v>183888</v>
      </c>
      <c r="F28" s="51" t="n">
        <f aca="false">D28/$D$2</f>
        <v>662.969498361482</v>
      </c>
      <c r="G28" s="51" t="n">
        <v>491.4</v>
      </c>
      <c r="H28" s="81" t="n">
        <v>41.04</v>
      </c>
      <c r="I28" s="51" t="n">
        <f aca="false">G28+H28</f>
        <v>532.44</v>
      </c>
      <c r="J28" s="81" t="n">
        <f aca="false">IF(L28&gt;0,L28,0)</f>
        <v>573.529498361482</v>
      </c>
      <c r="K28" s="51" t="n">
        <f aca="false">I28+J28</f>
        <v>1105.96949836148</v>
      </c>
      <c r="L28" s="51" t="n">
        <f aca="false">F28-(I28-W28)</f>
        <v>573.529498361482</v>
      </c>
      <c r="M28" s="51" t="n">
        <v>14.41</v>
      </c>
      <c r="N28" s="51" t="n">
        <v>0</v>
      </c>
      <c r="O28" s="51" t="n">
        <v>0</v>
      </c>
      <c r="P28" s="6" t="n">
        <f aca="false">M28-(N28+O28)</f>
        <v>14.41</v>
      </c>
      <c r="Q28" s="51" t="n">
        <v>338.13</v>
      </c>
      <c r="R28" s="51" t="n">
        <v>12.46</v>
      </c>
      <c r="S28" s="51" t="n">
        <f aca="false">SUM(P28:R28)</f>
        <v>365</v>
      </c>
      <c r="T28" s="52"/>
      <c r="U28" s="51" t="n">
        <v>0</v>
      </c>
      <c r="V28" s="51" t="n">
        <v>78</v>
      </c>
      <c r="W28" s="6" t="n">
        <f aca="false">N28+O28+S28+U28+V28</f>
        <v>443</v>
      </c>
      <c r="X28" s="51" t="n">
        <f aca="false">IF(L28&lt;0,L28*-1,0)</f>
        <v>0</v>
      </c>
      <c r="Y28" s="51" t="n">
        <f aca="false">W28+X28</f>
        <v>443</v>
      </c>
      <c r="Z28" s="56" t="n">
        <v>0</v>
      </c>
      <c r="AA28" s="82" t="n">
        <v>46</v>
      </c>
      <c r="AB28" s="57" t="n">
        <v>28</v>
      </c>
      <c r="AC28" s="58" t="n">
        <f aca="false">AC27+1</f>
        <v>19</v>
      </c>
      <c r="AD28" s="92"/>
      <c r="AE28" s="94"/>
      <c r="AF28" s="93"/>
    </row>
    <row r="29" customFormat="false" ht="11.1" hidden="false" customHeight="true" outlineLevel="0" collapsed="false">
      <c r="A29" s="58" t="n">
        <f aca="false">A28+1</f>
        <v>20</v>
      </c>
      <c r="B29" s="73" t="n">
        <v>6913.83</v>
      </c>
      <c r="C29" s="52" t="n">
        <v>337532</v>
      </c>
      <c r="D29" s="57" t="n">
        <f aca="false">C29-C28</f>
        <v>1644</v>
      </c>
      <c r="E29" s="52" t="n">
        <f aca="false">C29-152000</f>
        <v>185532</v>
      </c>
      <c r="F29" s="51" t="n">
        <f aca="false">D29/$D$2</f>
        <v>828.837912780439</v>
      </c>
      <c r="G29" s="51" t="n">
        <v>490.02</v>
      </c>
      <c r="H29" s="81" t="n">
        <v>42.59</v>
      </c>
      <c r="I29" s="51" t="n">
        <f aca="false">G29+H29</f>
        <v>532.61</v>
      </c>
      <c r="J29" s="81" t="n">
        <f aca="false">IF(L29&gt;0,L29,0)</f>
        <v>535.227912780439</v>
      </c>
      <c r="K29" s="51" t="n">
        <f aca="false">I29+J29</f>
        <v>1067.83791278044</v>
      </c>
      <c r="L29" s="51" t="n">
        <f aca="false">F29-(I29-W29)</f>
        <v>535.227912780439</v>
      </c>
      <c r="M29" s="51" t="n">
        <v>14.4</v>
      </c>
      <c r="N29" s="51" t="n">
        <v>0</v>
      </c>
      <c r="O29" s="51" t="n">
        <v>0</v>
      </c>
      <c r="P29" s="6" t="n">
        <f aca="false">M29-(N29+O29)</f>
        <v>14.4</v>
      </c>
      <c r="Q29" s="51" t="n">
        <v>141.03</v>
      </c>
      <c r="R29" s="51" t="n">
        <v>5.57</v>
      </c>
      <c r="S29" s="51" t="n">
        <f aca="false">SUM(P29:R29)</f>
        <v>161</v>
      </c>
      <c r="T29" s="52"/>
      <c r="U29" s="51" t="n">
        <v>0</v>
      </c>
      <c r="V29" s="51" t="n">
        <v>78</v>
      </c>
      <c r="W29" s="6" t="n">
        <f aca="false">N29+O29+S29+U29+V29</f>
        <v>239</v>
      </c>
      <c r="X29" s="51" t="n">
        <f aca="false">IF(L29&lt;0,L29*-1,0)</f>
        <v>0</v>
      </c>
      <c r="Y29" s="51" t="n">
        <f aca="false">W29+X29</f>
        <v>239</v>
      </c>
      <c r="Z29" s="56" t="n">
        <v>0</v>
      </c>
      <c r="AA29" s="82" t="n">
        <v>40</v>
      </c>
      <c r="AB29" s="57" t="n">
        <v>25</v>
      </c>
      <c r="AC29" s="58" t="n">
        <f aca="false">AC28+1</f>
        <v>20</v>
      </c>
      <c r="AD29" s="92"/>
      <c r="AE29" s="94"/>
      <c r="AF29" s="93"/>
    </row>
    <row r="30" customFormat="false" ht="11.1" hidden="false" customHeight="true" outlineLevel="0" collapsed="false">
      <c r="A30" s="58" t="n">
        <f aca="false">A29+1</f>
        <v>21</v>
      </c>
      <c r="B30" s="73" t="n">
        <v>6914.21</v>
      </c>
      <c r="C30" s="52" t="n">
        <v>339100</v>
      </c>
      <c r="D30" s="57" t="n">
        <f aca="false">C30-C29</f>
        <v>1568</v>
      </c>
      <c r="E30" s="52" t="n">
        <f aca="false">C30-152000</f>
        <v>187100</v>
      </c>
      <c r="F30" s="51" t="n">
        <f aca="false">D30/$D$2</f>
        <v>790.521804890345</v>
      </c>
      <c r="G30" s="104" t="n">
        <v>418</v>
      </c>
      <c r="H30" s="81" t="n">
        <v>36.81</v>
      </c>
      <c r="I30" s="51" t="n">
        <f aca="false">G30+H30</f>
        <v>454.81</v>
      </c>
      <c r="J30" s="81" t="n">
        <f aca="false">IF(L30&gt;0,L30,0)</f>
        <v>427.291804890345</v>
      </c>
      <c r="K30" s="51" t="n">
        <f aca="false">I30+J30</f>
        <v>882.101804890345</v>
      </c>
      <c r="L30" s="51" t="n">
        <f aca="false">F30-(I30-W30)</f>
        <v>427.291804890345</v>
      </c>
      <c r="M30" s="51" t="n">
        <v>14.4</v>
      </c>
      <c r="N30" s="51" t="n">
        <v>0</v>
      </c>
      <c r="O30" s="51" t="n">
        <v>0</v>
      </c>
      <c r="P30" s="6" t="n">
        <f aca="false">M30-(N30+O30)</f>
        <v>14.4</v>
      </c>
      <c r="Q30" s="51" t="n">
        <v>0</v>
      </c>
      <c r="R30" s="51" t="n">
        <v>0</v>
      </c>
      <c r="S30" s="51" t="n">
        <f aca="false">SUM(P30:R30)</f>
        <v>14.4</v>
      </c>
      <c r="T30" s="52"/>
      <c r="U30" s="51" t="n">
        <v>0</v>
      </c>
      <c r="V30" s="51" t="n">
        <v>77.18</v>
      </c>
      <c r="W30" s="6" t="n">
        <f aca="false">N30+O30+S30+U30+V30</f>
        <v>91.58</v>
      </c>
      <c r="X30" s="51" t="n">
        <f aca="false">IF(L30&lt;0,L30*-1,0)</f>
        <v>0</v>
      </c>
      <c r="Y30" s="51" t="n">
        <f aca="false">W30+X30</f>
        <v>91.58</v>
      </c>
      <c r="Z30" s="56" t="n">
        <v>0</v>
      </c>
      <c r="AA30" s="57" t="n">
        <v>50</v>
      </c>
      <c r="AB30" s="57" t="n">
        <v>19</v>
      </c>
      <c r="AC30" s="58" t="n">
        <f aca="false">AC29+1</f>
        <v>21</v>
      </c>
      <c r="AD30" s="92"/>
      <c r="AE30" s="94"/>
      <c r="AF30" s="93"/>
    </row>
    <row r="31" customFormat="false" ht="11.1" hidden="false" customHeight="true" outlineLevel="0" collapsed="false">
      <c r="A31" s="58" t="n">
        <f aca="false">A30+1</f>
        <v>22</v>
      </c>
      <c r="B31" s="73" t="n">
        <v>6914.5</v>
      </c>
      <c r="C31" s="52" t="n">
        <v>340301</v>
      </c>
      <c r="D31" s="57" t="n">
        <f aca="false">C31-C30</f>
        <v>1201</v>
      </c>
      <c r="E31" s="52" t="n">
        <f aca="false">C31-152000</f>
        <v>188301</v>
      </c>
      <c r="F31" s="51" t="n">
        <f aca="false">D31/$D$2</f>
        <v>605.495336526342</v>
      </c>
      <c r="G31" s="51" t="n">
        <v>433.22</v>
      </c>
      <c r="H31" s="81" t="n">
        <v>37.72</v>
      </c>
      <c r="I31" s="51" t="n">
        <f aca="false">G31+H31</f>
        <v>470.94</v>
      </c>
      <c r="J31" s="81" t="n">
        <f aca="false">IF(L31&gt;0,L31,0)</f>
        <v>364.275336526342</v>
      </c>
      <c r="K31" s="51" t="n">
        <f aca="false">I31+J31</f>
        <v>835.215336526342</v>
      </c>
      <c r="L31" s="51" t="n">
        <f aca="false">F31-(I31-W31)</f>
        <v>364.275336526342</v>
      </c>
      <c r="M31" s="51" t="n">
        <v>14.42</v>
      </c>
      <c r="N31" s="51" t="n">
        <v>0</v>
      </c>
      <c r="O31" s="51" t="n">
        <v>0</v>
      </c>
      <c r="P31" s="6" t="n">
        <f aca="false">M31-(N31+O31)</f>
        <v>14.42</v>
      </c>
      <c r="Q31" s="51" t="n">
        <v>137.55</v>
      </c>
      <c r="R31" s="51" t="n">
        <v>0</v>
      </c>
      <c r="S31" s="51" t="n">
        <f aca="false">SUM(P31:R31)</f>
        <v>151.97</v>
      </c>
      <c r="T31" s="52"/>
      <c r="U31" s="51" t="n">
        <v>0</v>
      </c>
      <c r="V31" s="51" t="n">
        <v>77.75</v>
      </c>
      <c r="W31" s="6" t="n">
        <f aca="false">N31+O31+S31+U31+V31</f>
        <v>229.72</v>
      </c>
      <c r="X31" s="51" t="n">
        <f aca="false">IF(L31&lt;0,L31*-1,0)</f>
        <v>0</v>
      </c>
      <c r="Y31" s="51" t="n">
        <f aca="false">W31+X31</f>
        <v>229.72</v>
      </c>
      <c r="Z31" s="56" t="n">
        <v>0</v>
      </c>
      <c r="AA31" s="57" t="n">
        <v>56</v>
      </c>
      <c r="AB31" s="57" t="n">
        <v>26</v>
      </c>
      <c r="AC31" s="58" t="n">
        <f aca="false">AC30+1</f>
        <v>22</v>
      </c>
      <c r="AD31" s="92"/>
      <c r="AE31" s="94"/>
      <c r="AF31" s="93"/>
    </row>
    <row r="32" customFormat="false" ht="11.1" hidden="false" customHeight="true" outlineLevel="0" collapsed="false">
      <c r="A32" s="58" t="n">
        <f aca="false">A31+1</f>
        <v>23</v>
      </c>
      <c r="B32" s="73" t="n">
        <v>6914.84</v>
      </c>
      <c r="C32" s="52" t="n">
        <v>341710</v>
      </c>
      <c r="D32" s="57" t="n">
        <f aca="false">C32-C31</f>
        <v>1409</v>
      </c>
      <c r="E32" s="52" t="n">
        <f aca="false">C32-152000</f>
        <v>189710</v>
      </c>
      <c r="F32" s="51" t="n">
        <f aca="false">D32/$D$2</f>
        <v>710.360473909755</v>
      </c>
      <c r="G32" s="51" t="n">
        <v>492.38</v>
      </c>
      <c r="H32" s="81" t="n">
        <v>41.13</v>
      </c>
      <c r="I32" s="51" t="n">
        <f aca="false">G32+H32</f>
        <v>533.51</v>
      </c>
      <c r="J32" s="81" t="n">
        <f aca="false">IF(L32&gt;0,L32,0)</f>
        <v>477.540473909756</v>
      </c>
      <c r="K32" s="51" t="n">
        <f aca="false">I32+J32</f>
        <v>1011.05047390976</v>
      </c>
      <c r="L32" s="51" t="n">
        <f aca="false">F32-(I32-W32)</f>
        <v>477.540473909756</v>
      </c>
      <c r="M32" s="51" t="n">
        <v>17.02</v>
      </c>
      <c r="N32" s="51" t="n">
        <v>0</v>
      </c>
      <c r="O32" s="51" t="n">
        <v>0</v>
      </c>
      <c r="P32" s="6" t="n">
        <f aca="false">M32-(N32+O32)</f>
        <v>17.02</v>
      </c>
      <c r="Q32" s="51" t="n">
        <v>206.21</v>
      </c>
      <c r="R32" s="51" t="n">
        <v>0</v>
      </c>
      <c r="S32" s="51" t="n">
        <f aca="false">SUM(P32:R32)</f>
        <v>223.23</v>
      </c>
      <c r="T32" s="52"/>
      <c r="U32" s="51" t="n">
        <v>0</v>
      </c>
      <c r="V32" s="51" t="n">
        <v>77.46</v>
      </c>
      <c r="W32" s="6" t="n">
        <f aca="false">N32+O32+S32+U32+V32</f>
        <v>300.69</v>
      </c>
      <c r="X32" s="51" t="n">
        <f aca="false">IF(L32&lt;0,L32*-1,0)</f>
        <v>0</v>
      </c>
      <c r="Y32" s="51" t="n">
        <f aca="false">W32+X32</f>
        <v>300.69</v>
      </c>
      <c r="Z32" s="56" t="n">
        <v>0</v>
      </c>
      <c r="AA32" s="57" t="n">
        <v>60</v>
      </c>
      <c r="AB32" s="82" t="n">
        <v>33</v>
      </c>
      <c r="AC32" s="58" t="n">
        <f aca="false">AC31+1</f>
        <v>23</v>
      </c>
      <c r="AD32" s="92"/>
      <c r="AE32" s="94"/>
      <c r="AF32" s="93"/>
    </row>
    <row r="33" customFormat="false" ht="11.1" hidden="false" customHeight="true" outlineLevel="0" collapsed="false">
      <c r="A33" s="58" t="n">
        <f aca="false">A32+1</f>
        <v>24</v>
      </c>
      <c r="B33" s="73" t="n">
        <v>6915.24</v>
      </c>
      <c r="C33" s="52" t="n">
        <v>343374</v>
      </c>
      <c r="D33" s="57" t="n">
        <f aca="false">C33-C32</f>
        <v>1664</v>
      </c>
      <c r="E33" s="52" t="n">
        <f aca="false">C33-152000</f>
        <v>191374</v>
      </c>
      <c r="F33" s="51" t="n">
        <f aca="false">D33/$D$2</f>
        <v>838.921099067305</v>
      </c>
      <c r="G33" s="51" t="n">
        <v>583.17</v>
      </c>
      <c r="H33" s="81" t="n">
        <v>25.37</v>
      </c>
      <c r="I33" s="51" t="n">
        <f aca="false">G33+H33</f>
        <v>608.54</v>
      </c>
      <c r="J33" s="81" t="n">
        <f aca="false">IF(L33&gt;0,L33,0)</f>
        <v>536.591099067305</v>
      </c>
      <c r="K33" s="51" t="n">
        <f aca="false">I33+J33</f>
        <v>1145.13109906731</v>
      </c>
      <c r="L33" s="51" t="n">
        <f aca="false">F33-(I33-W33)</f>
        <v>536.591099067305</v>
      </c>
      <c r="M33" s="51" t="n">
        <v>21.6</v>
      </c>
      <c r="N33" s="51" t="n">
        <v>0</v>
      </c>
      <c r="O33" s="51" t="n">
        <v>0</v>
      </c>
      <c r="P33" s="6" t="n">
        <f aca="false">M33-(N33+O33)</f>
        <v>21.6</v>
      </c>
      <c r="Q33" s="51" t="n">
        <v>207.15</v>
      </c>
      <c r="R33" s="51" t="n">
        <v>0</v>
      </c>
      <c r="S33" s="51" t="n">
        <f aca="false">SUM(P33:R33)</f>
        <v>228.75</v>
      </c>
      <c r="T33" s="52"/>
      <c r="U33" s="51" t="n">
        <v>0</v>
      </c>
      <c r="V33" s="51" t="n">
        <v>77.46</v>
      </c>
      <c r="W33" s="6" t="n">
        <f aca="false">N33+O33+S33+U33+V33</f>
        <v>306.21</v>
      </c>
      <c r="X33" s="51" t="n">
        <f aca="false">IF(L33&lt;0,L33*-1,0)</f>
        <v>0</v>
      </c>
      <c r="Y33" s="51" t="n">
        <f aca="false">W33+X33</f>
        <v>306.21</v>
      </c>
      <c r="Z33" s="56" t="n">
        <v>0</v>
      </c>
      <c r="AA33" s="57" t="n">
        <v>60</v>
      </c>
      <c r="AB33" s="82" t="n">
        <v>28</v>
      </c>
      <c r="AC33" s="58" t="n">
        <f aca="false">AC32+1</f>
        <v>24</v>
      </c>
      <c r="AD33" s="92"/>
      <c r="AE33" s="94"/>
      <c r="AF33" s="93"/>
    </row>
    <row r="34" customFormat="false" ht="11.1" hidden="false" customHeight="true" outlineLevel="0" collapsed="false">
      <c r="A34" s="58" t="n">
        <f aca="false">A33+1</f>
        <v>25</v>
      </c>
      <c r="B34" s="73" t="n">
        <v>6915.64</v>
      </c>
      <c r="C34" s="52" t="n">
        <v>345044</v>
      </c>
      <c r="D34" s="57" t="n">
        <f aca="false">C34-C33</f>
        <v>1670</v>
      </c>
      <c r="E34" s="52" t="n">
        <f aca="false">C34-152000</f>
        <v>193044</v>
      </c>
      <c r="F34" s="51" t="n">
        <f aca="false">D34/$D$2</f>
        <v>841.946054953365</v>
      </c>
      <c r="G34" s="51" t="n">
        <v>663.09</v>
      </c>
      <c r="H34" s="81" t="n">
        <v>32.4</v>
      </c>
      <c r="I34" s="51" t="n">
        <f aca="false">G34+H34</f>
        <v>695.49</v>
      </c>
      <c r="J34" s="81" t="n">
        <f aca="false">IF(L34&gt;0,L34,0)</f>
        <v>453.266054953365</v>
      </c>
      <c r="K34" s="51" t="n">
        <f aca="false">I34+J34</f>
        <v>1148.75605495337</v>
      </c>
      <c r="L34" s="51" t="n">
        <f aca="false">F34-(I34-W34)</f>
        <v>453.266054953365</v>
      </c>
      <c r="M34" s="51" t="n">
        <v>21.6</v>
      </c>
      <c r="N34" s="51" t="n">
        <v>0</v>
      </c>
      <c r="O34" s="51" t="n">
        <v>0</v>
      </c>
      <c r="P34" s="6" t="n">
        <f aca="false">M34-(N34+O34)</f>
        <v>21.6</v>
      </c>
      <c r="Q34" s="51" t="n">
        <v>207.73</v>
      </c>
      <c r="R34" s="51" t="n">
        <v>0</v>
      </c>
      <c r="S34" s="51" t="n">
        <f aca="false">SUM(P34:R34)</f>
        <v>229.33</v>
      </c>
      <c r="T34" s="52"/>
      <c r="U34" s="51" t="n">
        <v>0</v>
      </c>
      <c r="V34" s="51" t="n">
        <v>77.48</v>
      </c>
      <c r="W34" s="6" t="n">
        <f aca="false">N34+O34+S34+U34+V34</f>
        <v>306.81</v>
      </c>
      <c r="X34" s="51" t="n">
        <f aca="false">IF(L34&lt;0,L34*-1,0)</f>
        <v>0</v>
      </c>
      <c r="Y34" s="51" t="n">
        <f aca="false">W34+X34</f>
        <v>306.81</v>
      </c>
      <c r="Z34" s="56" t="n">
        <v>0</v>
      </c>
      <c r="AA34" s="57" t="n">
        <v>57</v>
      </c>
      <c r="AB34" s="82" t="n">
        <v>29</v>
      </c>
      <c r="AC34" s="58" t="n">
        <f aca="false">AC33+1</f>
        <v>25</v>
      </c>
      <c r="AD34" s="92"/>
      <c r="AE34" s="94"/>
      <c r="AF34" s="93"/>
    </row>
    <row r="35" customFormat="false" ht="11.1" hidden="false" customHeight="true" outlineLevel="0" collapsed="false">
      <c r="A35" s="58" t="n">
        <f aca="false">A34+1</f>
        <v>26</v>
      </c>
      <c r="B35" s="73" t="n">
        <v>6916.05</v>
      </c>
      <c r="C35" s="52" t="n">
        <v>346757</v>
      </c>
      <c r="D35" s="57" t="n">
        <f aca="false">C35-C34</f>
        <v>1713</v>
      </c>
      <c r="E35" s="52" t="n">
        <f aca="false">C35-152000</f>
        <v>194757</v>
      </c>
      <c r="F35" s="51" t="n">
        <f aca="false">D35/$D$2</f>
        <v>863.624905470129</v>
      </c>
      <c r="G35" s="51" t="n">
        <v>693.9</v>
      </c>
      <c r="H35" s="81" t="n">
        <v>32.38</v>
      </c>
      <c r="I35" s="51" t="n">
        <f aca="false">G35+H35</f>
        <v>726.28</v>
      </c>
      <c r="J35" s="81" t="n">
        <f aca="false">IF(L35&gt;0,L35,0)</f>
        <v>444.514905470129</v>
      </c>
      <c r="K35" s="51" t="n">
        <f aca="false">I35+J35</f>
        <v>1170.79490547013</v>
      </c>
      <c r="L35" s="51" t="n">
        <f aca="false">F35-(I35-W35)</f>
        <v>444.514905470129</v>
      </c>
      <c r="M35" s="51" t="n">
        <v>21.6</v>
      </c>
      <c r="N35" s="51" t="n">
        <v>0.08</v>
      </c>
      <c r="O35" s="51" t="n">
        <v>0</v>
      </c>
      <c r="P35" s="6" t="n">
        <f aca="false">M35-(N35+O35)</f>
        <v>21.52</v>
      </c>
      <c r="Q35" s="51" t="n">
        <v>207.84</v>
      </c>
      <c r="R35" s="51" t="n">
        <v>0</v>
      </c>
      <c r="S35" s="51" t="n">
        <f aca="false">SUM(P35:R35)</f>
        <v>229.36</v>
      </c>
      <c r="T35" s="52"/>
      <c r="U35" s="51" t="n">
        <v>0</v>
      </c>
      <c r="V35" s="51" t="n">
        <v>77.73</v>
      </c>
      <c r="W35" s="6" t="n">
        <f aca="false">N35+O35+S35+U35+V35</f>
        <v>307.17</v>
      </c>
      <c r="X35" s="51" t="n">
        <f aca="false">IF(L35&lt;0,L35*-1,0)</f>
        <v>0</v>
      </c>
      <c r="Y35" s="51" t="n">
        <f aca="false">W35+X35</f>
        <v>307.17</v>
      </c>
      <c r="Z35" s="56" t="n">
        <v>0.33</v>
      </c>
      <c r="AA35" s="57" t="n">
        <v>42</v>
      </c>
      <c r="AB35" s="57" t="n">
        <v>28</v>
      </c>
      <c r="AC35" s="58" t="n">
        <f aca="false">AC34+1</f>
        <v>26</v>
      </c>
      <c r="AD35" s="92"/>
      <c r="AE35" s="94"/>
      <c r="AF35" s="93"/>
    </row>
    <row r="36" customFormat="false" ht="11.1" hidden="false" customHeight="true" outlineLevel="0" collapsed="false">
      <c r="A36" s="58" t="n">
        <f aca="false">A35+1</f>
        <v>27</v>
      </c>
      <c r="B36" s="73" t="n">
        <v>6916.46</v>
      </c>
      <c r="C36" s="52" t="n">
        <v>348482</v>
      </c>
      <c r="D36" s="57" t="n">
        <f aca="false">C36-C35</f>
        <v>1725</v>
      </c>
      <c r="E36" s="52" t="n">
        <f aca="false">C36-152000</f>
        <v>196482</v>
      </c>
      <c r="F36" s="51" t="n">
        <f aca="false">D36/$D$2</f>
        <v>869.674817242248</v>
      </c>
      <c r="G36" s="51" t="n">
        <v>585.71</v>
      </c>
      <c r="H36" s="81" t="n">
        <v>18.5</v>
      </c>
      <c r="I36" s="51" t="n">
        <f aca="false">G36+H36</f>
        <v>604.21</v>
      </c>
      <c r="J36" s="81" t="n">
        <f aca="false">IF(L36&gt;0,L36,0)</f>
        <v>424.074817242249</v>
      </c>
      <c r="K36" s="51" t="n">
        <f aca="false">I36+J36</f>
        <v>1028.28481724225</v>
      </c>
      <c r="L36" s="51" t="n">
        <f aca="false">F36-(I36-W36)</f>
        <v>424.074817242249</v>
      </c>
      <c r="M36" s="51" t="n">
        <v>21.6</v>
      </c>
      <c r="N36" s="51" t="n">
        <v>0</v>
      </c>
      <c r="O36" s="51" t="n">
        <v>0</v>
      </c>
      <c r="P36" s="6" t="n">
        <f aca="false">M36-(N36+O36)</f>
        <v>21.6</v>
      </c>
      <c r="Q36" s="51" t="n">
        <v>59.57</v>
      </c>
      <c r="R36" s="51" t="n">
        <v>0</v>
      </c>
      <c r="S36" s="51" t="n">
        <f aca="false">SUM(P36:R36)</f>
        <v>81.17</v>
      </c>
      <c r="T36" s="52"/>
      <c r="U36" s="51" t="n">
        <v>0</v>
      </c>
      <c r="V36" s="51" t="n">
        <v>77.44</v>
      </c>
      <c r="W36" s="6" t="n">
        <f aca="false">N36+O36+S36+U36+V36</f>
        <v>158.61</v>
      </c>
      <c r="X36" s="51" t="n">
        <f aca="false">IF(L36&lt;0,L36*-1,0)</f>
        <v>0</v>
      </c>
      <c r="Y36" s="51" t="n">
        <f aca="false">W36+X36</f>
        <v>158.61</v>
      </c>
      <c r="Z36" s="56" t="n">
        <v>0</v>
      </c>
      <c r="AA36" s="57" t="n">
        <v>48</v>
      </c>
      <c r="AB36" s="57" t="n">
        <v>26</v>
      </c>
      <c r="AC36" s="58" t="n">
        <f aca="false">AC35+1</f>
        <v>27</v>
      </c>
      <c r="AD36" s="92"/>
      <c r="AE36" s="94"/>
      <c r="AF36" s="93"/>
    </row>
    <row r="37" customFormat="false" ht="11.1" hidden="false" customHeight="true" outlineLevel="0" collapsed="false">
      <c r="A37" s="58" t="n">
        <f aca="false">A36+1</f>
        <v>28</v>
      </c>
      <c r="B37" s="73" t="n">
        <v>6916.83</v>
      </c>
      <c r="C37" s="52" t="n">
        <v>350039</v>
      </c>
      <c r="D37" s="57" t="n">
        <f aca="false">C37-C36</f>
        <v>1557</v>
      </c>
      <c r="E37" s="52" t="n">
        <f aca="false">C37-152000</f>
        <v>198039</v>
      </c>
      <c r="F37" s="51" t="n">
        <f aca="false">D37/$D$2</f>
        <v>784.976052432569</v>
      </c>
      <c r="G37" s="51" t="n">
        <v>550.46</v>
      </c>
      <c r="H37" s="81" t="n">
        <v>18.41</v>
      </c>
      <c r="I37" s="51" t="n">
        <f aca="false">G37+H37</f>
        <v>568.87</v>
      </c>
      <c r="J37" s="81" t="n">
        <f aca="false">IF(L37&gt;0,L37,0)</f>
        <v>315.586052432569</v>
      </c>
      <c r="K37" s="51" t="n">
        <f aca="false">I37+J37</f>
        <v>884.456052432569</v>
      </c>
      <c r="L37" s="51" t="n">
        <f aca="false">F37-(I37-W37)</f>
        <v>315.586052432569</v>
      </c>
      <c r="M37" s="51" t="n">
        <v>21.6</v>
      </c>
      <c r="N37" s="51" t="n">
        <v>0</v>
      </c>
      <c r="O37" s="51" t="n">
        <v>0</v>
      </c>
      <c r="P37" s="6" t="n">
        <f aca="false">M37-(N37+O37)</f>
        <v>21.6</v>
      </c>
      <c r="Q37" s="51" t="n">
        <v>0</v>
      </c>
      <c r="R37" s="51" t="n">
        <v>0</v>
      </c>
      <c r="S37" s="51" t="n">
        <f aca="false">SUM(P37:R37)</f>
        <v>21.6</v>
      </c>
      <c r="T37" s="52"/>
      <c r="U37" s="51" t="n">
        <v>0</v>
      </c>
      <c r="V37" s="51" t="n">
        <v>77.88</v>
      </c>
      <c r="W37" s="6" t="n">
        <f aca="false">N37+O37+S37+U37+V37</f>
        <v>99.48</v>
      </c>
      <c r="X37" s="51" t="n">
        <f aca="false">IF(L37&lt;0,L37*-1,0)</f>
        <v>0</v>
      </c>
      <c r="Y37" s="51" t="n">
        <f aca="false">W37+X37</f>
        <v>99.48</v>
      </c>
      <c r="Z37" s="56" t="n">
        <v>0</v>
      </c>
      <c r="AA37" s="57" t="n">
        <v>54</v>
      </c>
      <c r="AB37" s="57" t="n">
        <v>25</v>
      </c>
      <c r="AC37" s="58" t="n">
        <f aca="false">AC36+1</f>
        <v>28</v>
      </c>
      <c r="AD37" s="92"/>
      <c r="AE37" s="94"/>
      <c r="AF37" s="93"/>
    </row>
    <row r="38" customFormat="false" ht="11.1" hidden="false" customHeight="true" outlineLevel="0" collapsed="false">
      <c r="A38" s="58" t="n">
        <f aca="false">A37+1</f>
        <v>29</v>
      </c>
      <c r="B38" s="73" t="n">
        <v>6917.26</v>
      </c>
      <c r="C38" s="52" t="n">
        <v>351856</v>
      </c>
      <c r="D38" s="57" t="n">
        <f aca="false">C38-C37</f>
        <v>1817</v>
      </c>
      <c r="E38" s="52" t="n">
        <f aca="false">C38-152000</f>
        <v>199856</v>
      </c>
      <c r="F38" s="51" t="n">
        <f aca="false">D38/$D$2</f>
        <v>916.057474161835</v>
      </c>
      <c r="G38" s="51" t="n">
        <v>614.32</v>
      </c>
      <c r="H38" s="81" t="n">
        <v>22.91</v>
      </c>
      <c r="I38" s="51" t="n">
        <f aca="false">G38+H38</f>
        <v>637.23</v>
      </c>
      <c r="J38" s="81" t="n">
        <f aca="false">IF(L38&gt;0,L38,0)</f>
        <v>378.537474161835</v>
      </c>
      <c r="K38" s="51" t="n">
        <f aca="false">I38+J38</f>
        <v>1015.76747416184</v>
      </c>
      <c r="L38" s="51" t="n">
        <f aca="false">F38-(I38-W38)</f>
        <v>378.537474161835</v>
      </c>
      <c r="M38" s="51" t="n">
        <v>21.6</v>
      </c>
      <c r="N38" s="51" t="n">
        <v>0</v>
      </c>
      <c r="O38" s="51" t="n">
        <v>0</v>
      </c>
      <c r="P38" s="6" t="n">
        <f aca="false">M38-(N38+O38)</f>
        <v>21.6</v>
      </c>
      <c r="Q38" s="51" t="n">
        <v>0</v>
      </c>
      <c r="R38" s="51" t="n">
        <v>0</v>
      </c>
      <c r="S38" s="51" t="n">
        <f aca="false">SUM(P38:R38)</f>
        <v>21.6</v>
      </c>
      <c r="T38" s="52"/>
      <c r="U38" s="51" t="n">
        <v>0</v>
      </c>
      <c r="V38" s="51" t="n">
        <v>78.11</v>
      </c>
      <c r="W38" s="6" t="n">
        <f aca="false">N38+O38+S38+U38+V38</f>
        <v>99.71</v>
      </c>
      <c r="X38" s="51" t="n">
        <f aca="false">IF(L38&lt;0,L38*-1,0)</f>
        <v>0</v>
      </c>
      <c r="Y38" s="51" t="n">
        <f aca="false">W38+X38</f>
        <v>99.71</v>
      </c>
      <c r="Z38" s="56" t="n">
        <v>0</v>
      </c>
      <c r="AA38" s="82" t="n">
        <v>61</v>
      </c>
      <c r="AB38" s="57" t="n">
        <v>24</v>
      </c>
      <c r="AC38" s="58" t="n">
        <f aca="false">AC37+1</f>
        <v>29</v>
      </c>
      <c r="AD38" s="92"/>
      <c r="AE38" s="94"/>
      <c r="AF38" s="93"/>
    </row>
    <row r="39" customFormat="false" ht="11.1" hidden="false" customHeight="true" outlineLevel="0" collapsed="false">
      <c r="A39" s="58" t="n">
        <v>30</v>
      </c>
      <c r="B39" s="73" t="n">
        <v>6914.56</v>
      </c>
      <c r="C39" s="52" t="n">
        <v>353128</v>
      </c>
      <c r="D39" s="57" t="n">
        <f aca="false">C39-C38</f>
        <v>1272</v>
      </c>
      <c r="E39" s="52" t="n">
        <f aca="false">C39-152000</f>
        <v>201128</v>
      </c>
      <c r="F39" s="51" t="n">
        <f aca="false">D39/$D$2</f>
        <v>641.290647844719</v>
      </c>
      <c r="G39" s="51" t="n">
        <v>543.64</v>
      </c>
      <c r="H39" s="81" t="n">
        <v>11.15</v>
      </c>
      <c r="I39" s="51" t="n">
        <f aca="false">G39+H39</f>
        <v>554.79</v>
      </c>
      <c r="J39" s="81" t="n">
        <f aca="false">IF(L39&gt;0,L39,0)</f>
        <v>191.800647844719</v>
      </c>
      <c r="K39" s="51" t="n">
        <f aca="false">I39+J39</f>
        <v>746.590647844719</v>
      </c>
      <c r="L39" s="51" t="n">
        <f aca="false">F39-(I39-W39)</f>
        <v>191.800647844719</v>
      </c>
      <c r="M39" s="51" t="n">
        <v>27.11</v>
      </c>
      <c r="N39" s="51" t="n">
        <v>0</v>
      </c>
      <c r="O39" s="51" t="n">
        <v>0</v>
      </c>
      <c r="P39" s="6" t="n">
        <f aca="false">M39-(N39+O39)</f>
        <v>27.11</v>
      </c>
      <c r="Q39" s="51" t="n">
        <v>0</v>
      </c>
      <c r="R39" s="51" t="n">
        <v>0</v>
      </c>
      <c r="S39" s="51" t="n">
        <f aca="false">SUM(P39:R39)</f>
        <v>27.11</v>
      </c>
      <c r="T39" s="52"/>
      <c r="U39" s="51" t="n">
        <v>0</v>
      </c>
      <c r="V39" s="51" t="n">
        <v>78.19</v>
      </c>
      <c r="W39" s="6" t="n">
        <f aca="false">N39+O39+S39+U39+V39</f>
        <v>105.3</v>
      </c>
      <c r="X39" s="51" t="n">
        <f aca="false">IF(L39&lt;0,L39*-1,0)</f>
        <v>0</v>
      </c>
      <c r="Y39" s="51" t="n">
        <f aca="false">W39+X39</f>
        <v>105.3</v>
      </c>
      <c r="Z39" s="56" t="n">
        <v>0</v>
      </c>
      <c r="AA39" s="82" t="n">
        <v>60</v>
      </c>
      <c r="AB39" s="57" t="n">
        <v>29</v>
      </c>
      <c r="AC39" s="58" t="n">
        <v>30</v>
      </c>
      <c r="AD39" s="92"/>
      <c r="AE39" s="94"/>
      <c r="AF39" s="93"/>
    </row>
    <row r="40" customFormat="false" ht="11.1" hidden="false" customHeight="true" outlineLevel="0" collapsed="false">
      <c r="A40" s="58" t="n">
        <v>31</v>
      </c>
      <c r="B40" s="73" t="n">
        <v>6917.84</v>
      </c>
      <c r="C40" s="52" t="n">
        <v>354315</v>
      </c>
      <c r="D40" s="57" t="n">
        <f aca="false">C40-C39</f>
        <v>1187</v>
      </c>
      <c r="E40" s="52" t="n">
        <f aca="false">C40-152000</f>
        <v>202315</v>
      </c>
      <c r="F40" s="51" t="n">
        <f aca="false">D40/$D$2</f>
        <v>598.437106125536</v>
      </c>
      <c r="G40" s="51" t="n">
        <v>497.11</v>
      </c>
      <c r="H40" s="81" t="n">
        <v>11.03</v>
      </c>
      <c r="I40" s="51" t="n">
        <f aca="false">G40+H40</f>
        <v>508.14</v>
      </c>
      <c r="J40" s="81" t="n">
        <f aca="false">IF(L40&gt;0,L40,0)</f>
        <v>282.987106125536</v>
      </c>
      <c r="K40" s="51" t="n">
        <f aca="false">I40+J40</f>
        <v>791.127106125536</v>
      </c>
      <c r="L40" s="51" t="n">
        <f aca="false">F40-(I40-W40)</f>
        <v>282.987106125536</v>
      </c>
      <c r="M40" s="51" t="n">
        <v>44.22</v>
      </c>
      <c r="N40" s="51" t="n">
        <v>0</v>
      </c>
      <c r="O40" s="51" t="n">
        <v>0</v>
      </c>
      <c r="P40" s="6" t="n">
        <f aca="false">M40-(N40+O40)</f>
        <v>44.22</v>
      </c>
      <c r="Q40" s="51" t="n">
        <v>0</v>
      </c>
      <c r="R40" s="51" t="n">
        <v>0</v>
      </c>
      <c r="S40" s="51" t="n">
        <f aca="false">SUM(P40:R40)</f>
        <v>44.22</v>
      </c>
      <c r="T40" s="52"/>
      <c r="U40" s="51" t="n">
        <v>0</v>
      </c>
      <c r="V40" s="51" t="n">
        <v>148.47</v>
      </c>
      <c r="W40" s="6" t="n">
        <f aca="false">N40+O40+S40+U40+V40</f>
        <v>192.69</v>
      </c>
      <c r="X40" s="51" t="n">
        <f aca="false">IF(L40&lt;0,L40*-1,0)</f>
        <v>0</v>
      </c>
      <c r="Y40" s="51" t="n">
        <f aca="false">W40+X40</f>
        <v>192.69</v>
      </c>
      <c r="Z40" s="56" t="n">
        <v>0</v>
      </c>
      <c r="AA40" s="82" t="n">
        <v>59</v>
      </c>
      <c r="AB40" s="57" t="n">
        <v>25</v>
      </c>
      <c r="AC40" s="58" t="n">
        <v>31</v>
      </c>
      <c r="AD40" s="92"/>
      <c r="AE40" s="92"/>
      <c r="AF40" s="93"/>
    </row>
    <row r="41" customFormat="false" ht="3" hidden="false" customHeight="true" outlineLevel="0" collapsed="false">
      <c r="A41" s="74"/>
      <c r="B41" s="74"/>
      <c r="C41" s="76"/>
      <c r="D41" s="74"/>
      <c r="E41" s="76"/>
      <c r="F41" s="74"/>
      <c r="G41" s="74"/>
      <c r="H41" s="102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6"/>
      <c r="U41" s="74"/>
      <c r="V41" s="74"/>
      <c r="W41" s="74"/>
      <c r="X41" s="74"/>
      <c r="Y41" s="74"/>
      <c r="Z41" s="78"/>
      <c r="AA41" s="79"/>
      <c r="AB41" s="79"/>
      <c r="AC41" s="80"/>
      <c r="AD41" s="92"/>
      <c r="AE41" s="92"/>
      <c r="AF41" s="93"/>
    </row>
    <row r="42" customFormat="false" ht="11.1" hidden="false" customHeight="true" outlineLevel="0" collapsed="false">
      <c r="A42" s="51" t="s">
        <v>44</v>
      </c>
      <c r="B42" s="51"/>
      <c r="C42" s="52"/>
      <c r="D42" s="52"/>
      <c r="E42" s="52"/>
      <c r="F42" s="52" t="n">
        <f aca="false">SUM(F10:F40)</f>
        <v>17402.5712125032</v>
      </c>
      <c r="G42" s="52" t="n">
        <f aca="false">SUM(G10:G40)</f>
        <v>12703.44</v>
      </c>
      <c r="H42" s="81" t="n">
        <f aca="false">SUM(H10:H40)</f>
        <v>720.47</v>
      </c>
      <c r="I42" s="52" t="n">
        <f aca="false">SUM(I10:I40)</f>
        <v>13423.91</v>
      </c>
      <c r="J42" s="52" t="n">
        <f aca="false">SUM(J10:J40)</f>
        <v>9728.17535669272</v>
      </c>
      <c r="K42" s="52" t="n">
        <f aca="false">SUM(K10:K40)</f>
        <v>23152.0853566927</v>
      </c>
      <c r="L42" s="52" t="n">
        <f aca="false">SUM(L10:L40)</f>
        <v>9679.77121250315</v>
      </c>
      <c r="M42" s="52" t="n">
        <f aca="false">SUM(M10:M40)</f>
        <v>491.49</v>
      </c>
      <c r="N42" s="52" t="n">
        <f aca="false">SUM(N10:N40)</f>
        <v>0.08</v>
      </c>
      <c r="O42" s="52" t="n">
        <f aca="false">SUM(O10:O40)</f>
        <v>0</v>
      </c>
      <c r="P42" s="52" t="n">
        <f aca="false">SUM(P10:P40)</f>
        <v>491.41</v>
      </c>
      <c r="Q42" s="52" t="n">
        <f aca="false">SUM(Q10:Q40)</f>
        <v>2719.35</v>
      </c>
      <c r="R42" s="52" t="n">
        <f aca="false">SUM(R10:R40)</f>
        <v>55.18</v>
      </c>
      <c r="S42" s="52" t="n">
        <f aca="false">SUM(S10:S40)</f>
        <v>3265.94</v>
      </c>
      <c r="T42" s="52"/>
      <c r="U42" s="52" t="n">
        <f aca="false">SUM(U10:U40)</f>
        <v>0</v>
      </c>
      <c r="V42" s="52" t="n">
        <f aca="false">SUM(V10:V40)</f>
        <v>2435.09</v>
      </c>
      <c r="W42" s="52" t="n">
        <f aca="false">SUM(W10:W40)</f>
        <v>5701.11</v>
      </c>
      <c r="X42" s="52" t="n">
        <f aca="false">SUM(X10:X40)</f>
        <v>48.4041441895639</v>
      </c>
      <c r="Y42" s="52" t="n">
        <f aca="false">SUM(Y10:Y40)</f>
        <v>5749.51414418956</v>
      </c>
      <c r="Z42" s="56" t="n">
        <f aca="false">SUM(Z10:Z40)</f>
        <v>0.51</v>
      </c>
      <c r="AA42" s="57" t="n">
        <f aca="false">AVERAGE(AA10:AA40)</f>
        <v>52.6774193548387</v>
      </c>
      <c r="AB42" s="57" t="n">
        <f aca="false">AVERAGE(AB10:AB40)</f>
        <v>27.4193548387097</v>
      </c>
      <c r="AC42" s="58" t="s">
        <v>57</v>
      </c>
      <c r="AD42" s="92"/>
      <c r="AE42" s="92"/>
      <c r="AF42" s="93"/>
    </row>
    <row r="43" customFormat="false" ht="11.1" hidden="false" customHeight="true" outlineLevel="0" collapsed="false">
      <c r="A43" s="51" t="s">
        <v>46</v>
      </c>
      <c r="B43" s="51"/>
      <c r="C43" s="52"/>
      <c r="D43" s="52" t="n">
        <f aca="false">SUM(D10:D40)</f>
        <v>34518</v>
      </c>
      <c r="E43" s="52"/>
      <c r="F43" s="52" t="n">
        <f aca="false">F42*$D$2</f>
        <v>34518</v>
      </c>
      <c r="G43" s="52" t="n">
        <f aca="false">G42*$D$2</f>
        <v>25197.27324</v>
      </c>
      <c r="H43" s="81" t="n">
        <f aca="false">H42*$D$2</f>
        <v>1429.052245</v>
      </c>
      <c r="I43" s="52" t="n">
        <f aca="false">I42*$D$2</f>
        <v>26626.325485</v>
      </c>
      <c r="J43" s="52" t="n">
        <f aca="false">J42*$D$2</f>
        <v>19295.83582</v>
      </c>
      <c r="K43" s="52" t="n">
        <f aca="false">K42*$D$2</f>
        <v>45922.161305</v>
      </c>
      <c r="L43" s="52" t="n">
        <f aca="false">L42*$D$2</f>
        <v>19199.8262</v>
      </c>
      <c r="M43" s="52" t="n">
        <f aca="false">M42*$D$2</f>
        <v>974.870415</v>
      </c>
      <c r="N43" s="52" t="n">
        <f aca="false">N42*$D$2</f>
        <v>0.15868</v>
      </c>
      <c r="O43" s="52" t="n">
        <f aca="false">O42*$D$2</f>
        <v>0</v>
      </c>
      <c r="P43" s="52" t="n">
        <f aca="false">P42*$D$2</f>
        <v>974.711735</v>
      </c>
      <c r="Q43" s="52" t="n">
        <f aca="false">Q42*$D$2</f>
        <v>5393.830725</v>
      </c>
      <c r="R43" s="52" t="n">
        <f aca="false">R42*$D$2</f>
        <v>109.44953</v>
      </c>
      <c r="S43" s="52" t="n">
        <f aca="false">S42*$D$2</f>
        <v>6477.99199</v>
      </c>
      <c r="T43" s="52"/>
      <c r="U43" s="52" t="n">
        <f aca="false">U42*$D$2</f>
        <v>0</v>
      </c>
      <c r="V43" s="52" t="n">
        <f aca="false">V42*$D$2</f>
        <v>4830.001015</v>
      </c>
      <c r="W43" s="52" t="n">
        <f aca="false">W42*$D$2</f>
        <v>11308.151685</v>
      </c>
      <c r="X43" s="52" t="n">
        <f aca="false">X42*$D$2</f>
        <v>96.00962</v>
      </c>
      <c r="Y43" s="52" t="n">
        <f aca="false">Y42*$D$2</f>
        <v>11404.161305</v>
      </c>
      <c r="Z43" s="56"/>
      <c r="AA43" s="57" t="n">
        <f aca="false">MAX(AA10:AA40)</f>
        <v>68</v>
      </c>
      <c r="AB43" s="57" t="n">
        <f aca="false">MAX(AB10:AB40)</f>
        <v>44</v>
      </c>
      <c r="AC43" s="58" t="s">
        <v>47</v>
      </c>
      <c r="AD43" s="92"/>
      <c r="AE43" s="92"/>
      <c r="AF43" s="93"/>
    </row>
    <row r="44" customFormat="false" ht="3" hidden="false" customHeight="true" outlineLevel="0" collapsed="false">
      <c r="A44" s="74"/>
      <c r="B44" s="74"/>
      <c r="C44" s="76"/>
      <c r="D44" s="76"/>
      <c r="E44" s="76"/>
      <c r="F44" s="76"/>
      <c r="G44" s="76"/>
      <c r="H44" s="102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56"/>
      <c r="AA44" s="57"/>
      <c r="AB44" s="57"/>
      <c r="AC44" s="58"/>
      <c r="AD44" s="92"/>
      <c r="AE44" s="92"/>
      <c r="AF44" s="93"/>
    </row>
    <row r="45" customFormat="false" ht="11.1" hidden="false" customHeight="true" outlineLevel="0" collapsed="false">
      <c r="A45" s="51" t="s">
        <v>48</v>
      </c>
      <c r="B45" s="51"/>
      <c r="C45" s="52"/>
      <c r="D45" s="52"/>
      <c r="E45" s="52"/>
      <c r="F45" s="52"/>
      <c r="G45" s="52"/>
      <c r="H45" s="81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6"/>
      <c r="AA45" s="57" t="n">
        <f aca="false">MIN(AA10:AA40)</f>
        <v>36</v>
      </c>
      <c r="AB45" s="57" t="n">
        <f aca="false">MIN(AB10:AB40)</f>
        <v>16</v>
      </c>
      <c r="AC45" s="58" t="s">
        <v>49</v>
      </c>
      <c r="AD45" s="92"/>
      <c r="AE45" s="92"/>
      <c r="AF45" s="93"/>
    </row>
    <row r="46" customFormat="false" ht="11.1" hidden="false" customHeight="true" outlineLevel="0" collapsed="false">
      <c r="A46" s="51" t="s">
        <v>50</v>
      </c>
      <c r="B46" s="51"/>
      <c r="C46" s="52"/>
      <c r="D46" s="52"/>
      <c r="E46" s="52"/>
      <c r="F46" s="52"/>
      <c r="G46" s="52"/>
      <c r="H46" s="81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6"/>
      <c r="AA46" s="57"/>
      <c r="AB46" s="57"/>
      <c r="AC46" s="58"/>
      <c r="AD46" s="92"/>
      <c r="AE46" s="92"/>
      <c r="AF46" s="93"/>
    </row>
    <row r="47" customFormat="false" ht="3" hidden="false" customHeight="true" outlineLevel="0" collapsed="false">
      <c r="A47" s="74"/>
      <c r="B47" s="74"/>
      <c r="C47" s="76"/>
      <c r="D47" s="76"/>
      <c r="E47" s="76"/>
      <c r="F47" s="76"/>
      <c r="G47" s="76"/>
      <c r="H47" s="102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8"/>
      <c r="AA47" s="57"/>
      <c r="AB47" s="57"/>
      <c r="AC47" s="58"/>
      <c r="AD47" s="92"/>
      <c r="AE47" s="92"/>
      <c r="AF47" s="93"/>
    </row>
    <row r="48" customFormat="false" ht="11.1" hidden="false" customHeight="true" outlineLevel="0" collapsed="false">
      <c r="A48" s="51" t="s">
        <v>51</v>
      </c>
      <c r="B48" s="51"/>
      <c r="C48" s="52"/>
      <c r="D48" s="52"/>
      <c r="E48" s="52"/>
      <c r="F48" s="52" t="n">
        <f aca="false">F8+F42</f>
        <v>14801.6133098059</v>
      </c>
      <c r="G48" s="52" t="n">
        <f aca="false">G8+G42</f>
        <v>21851.5</v>
      </c>
      <c r="H48" s="81" t="n">
        <f aca="false">H8+H42</f>
        <v>720.47</v>
      </c>
      <c r="I48" s="52" t="n">
        <f aca="false">I8+I42</f>
        <v>22372.87</v>
      </c>
      <c r="J48" s="52" t="n">
        <f aca="false">J8+J42</f>
        <v>11102.8304839929</v>
      </c>
      <c r="K48" s="52" t="n">
        <f aca="false">K8+K42</f>
        <v>33475.7004839929</v>
      </c>
      <c r="L48" s="52" t="n">
        <f aca="false">L8+L42</f>
        <v>9600.5133098059</v>
      </c>
      <c r="M48" s="52" t="n">
        <f aca="false">M8+M42</f>
        <v>2049.26</v>
      </c>
      <c r="N48" s="52" t="n">
        <f aca="false">N8+N42</f>
        <v>0.08</v>
      </c>
      <c r="O48" s="52" t="n">
        <f aca="false">O8+O42</f>
        <v>0</v>
      </c>
      <c r="P48" s="52" t="n">
        <f aca="false">P8+P42</f>
        <v>2049.18</v>
      </c>
      <c r="Q48" s="52" t="n">
        <f aca="false">Q8+Q42</f>
        <v>2719.35</v>
      </c>
      <c r="R48" s="52" t="n">
        <f aca="false">R8+R42</f>
        <v>465.37</v>
      </c>
      <c r="S48" s="52" t="n">
        <f aca="false">S8+S42</f>
        <v>5233.9</v>
      </c>
      <c r="T48" s="52"/>
      <c r="U48" s="52" t="n">
        <f aca="false">U8+U42</f>
        <v>0</v>
      </c>
      <c r="V48" s="52" t="n">
        <f aca="false">V8+V42</f>
        <v>12012.79</v>
      </c>
      <c r="W48" s="52" t="n">
        <f aca="false">W8+W42</f>
        <v>17171.77</v>
      </c>
      <c r="X48" s="52" t="n">
        <f aca="false">X8+X42</f>
        <v>1502.31717418704</v>
      </c>
      <c r="Y48" s="52" t="n">
        <f aca="false">Y8+Y42</f>
        <v>18674.087174187</v>
      </c>
      <c r="Z48" s="56" t="n">
        <f aca="false">Z8+Z42</f>
        <v>6.21</v>
      </c>
      <c r="AA48" s="57"/>
      <c r="AB48" s="57"/>
      <c r="AC48" s="58"/>
      <c r="AD48" s="92"/>
      <c r="AE48" s="92"/>
      <c r="AF48" s="93"/>
    </row>
    <row r="49" customFormat="false" ht="11.1" hidden="false" customHeight="true" outlineLevel="0" collapsed="false">
      <c r="A49" s="51" t="s">
        <v>52</v>
      </c>
      <c r="B49" s="51"/>
      <c r="C49" s="52"/>
      <c r="D49" s="52" t="n">
        <f aca="false">D8+D43</f>
        <v>29359</v>
      </c>
      <c r="E49" s="52" t="n">
        <f aca="false">E40</f>
        <v>202315</v>
      </c>
      <c r="F49" s="52" t="n">
        <f aca="false">F48*$D$2</f>
        <v>29359</v>
      </c>
      <c r="G49" s="52" t="n">
        <f aca="false">G48*$D$2</f>
        <v>43342.45025</v>
      </c>
      <c r="H49" s="81" t="n">
        <f aca="false">H48*$D$2</f>
        <v>1429.052245</v>
      </c>
      <c r="I49" s="52" t="n">
        <f aca="false">I48*$D$2</f>
        <v>44376.587645</v>
      </c>
      <c r="J49" s="52" t="n">
        <f aca="false">J48*$D$2</f>
        <v>22022.464265</v>
      </c>
      <c r="K49" s="52" t="n">
        <f aca="false">K48*$D$2</f>
        <v>66399.05191</v>
      </c>
      <c r="L49" s="52" t="n">
        <f aca="false">L48*$D$2</f>
        <v>19042.61815</v>
      </c>
      <c r="M49" s="52" t="n">
        <f aca="false">M48*$D$2</f>
        <v>4064.70721</v>
      </c>
      <c r="N49" s="52" t="n">
        <f aca="false">N48*$D$2</f>
        <v>0.15868</v>
      </c>
      <c r="O49" s="52" t="n">
        <f aca="false">O48*$D$2</f>
        <v>0</v>
      </c>
      <c r="P49" s="52" t="n">
        <f aca="false">P48*$D$2</f>
        <v>4064.54853</v>
      </c>
      <c r="Q49" s="52" t="n">
        <f aca="false">Q48*$D$2</f>
        <v>5393.830725</v>
      </c>
      <c r="R49" s="52" t="n">
        <f aca="false">R48*$D$2</f>
        <v>923.061395</v>
      </c>
      <c r="S49" s="52" t="n">
        <f aca="false">S48*$D$2</f>
        <v>10381.44065</v>
      </c>
      <c r="T49" s="52" t="n">
        <f aca="false">T48*$D$2</f>
        <v>0</v>
      </c>
      <c r="U49" s="52" t="n">
        <f aca="false">U48*$D$2</f>
        <v>0</v>
      </c>
      <c r="V49" s="52" t="n">
        <f aca="false">V48*$D$2</f>
        <v>23827.368965</v>
      </c>
      <c r="W49" s="52" t="n">
        <f aca="false">W48*$D$2</f>
        <v>34060.205795</v>
      </c>
      <c r="X49" s="52" t="n">
        <f aca="false">X48*$D$2</f>
        <v>2979.846115</v>
      </c>
      <c r="Y49" s="52" t="n">
        <f aca="false">Y48*$D$2</f>
        <v>37040.05191</v>
      </c>
      <c r="Z49" s="56"/>
      <c r="AA49" s="57"/>
      <c r="AB49" s="57"/>
      <c r="AC49" s="58"/>
      <c r="AD49" s="92"/>
      <c r="AE49" s="92"/>
      <c r="AF49" s="93"/>
    </row>
    <row r="50" customFormat="false" ht="3" hidden="false" customHeight="true" outlineLevel="0" collapsed="false">
      <c r="A50" s="74"/>
      <c r="B50" s="74"/>
      <c r="C50" s="76"/>
      <c r="D50" s="74"/>
      <c r="E50" s="76"/>
      <c r="F50" s="74"/>
      <c r="G50" s="74"/>
      <c r="H50" s="102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6"/>
      <c r="U50" s="74"/>
      <c r="V50" s="74"/>
      <c r="W50" s="74"/>
      <c r="X50" s="74"/>
      <c r="Y50" s="74"/>
      <c r="Z50" s="56"/>
      <c r="AA50" s="57"/>
      <c r="AB50" s="57"/>
      <c r="AC50" s="58"/>
      <c r="AD50" s="92"/>
      <c r="AE50" s="92"/>
      <c r="AF50" s="93"/>
    </row>
    <row r="51" customFormat="false" ht="11.1" hidden="false" customHeight="true" outlineLevel="0" collapsed="false">
      <c r="A51" s="51"/>
      <c r="B51" s="84"/>
      <c r="C51" s="52"/>
      <c r="D51" s="51"/>
      <c r="E51" s="52"/>
      <c r="F51" s="51"/>
      <c r="G51" s="51"/>
      <c r="H51" s="8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2"/>
      <c r="U51" s="51"/>
      <c r="V51" s="51"/>
      <c r="W51" s="51"/>
      <c r="X51" s="51"/>
      <c r="Y51" s="51"/>
      <c r="Z51" s="56"/>
      <c r="AA51" s="57"/>
      <c r="AB51" s="57"/>
      <c r="AC51" s="58"/>
      <c r="AD51" s="88"/>
      <c r="AE51" s="88"/>
    </row>
    <row r="52" customFormat="false" ht="11.1" hidden="false" customHeight="true" outlineLevel="0" collapsed="false">
      <c r="A52" s="51"/>
      <c r="B52" s="73"/>
      <c r="C52" s="52"/>
      <c r="D52" s="82"/>
      <c r="E52" s="52"/>
      <c r="F52" s="51"/>
      <c r="G52" s="51"/>
      <c r="H52" s="81"/>
      <c r="I52" s="53"/>
      <c r="J52" s="51"/>
      <c r="K52" s="42"/>
      <c r="L52" s="51"/>
      <c r="M52" s="51"/>
      <c r="N52" s="51"/>
      <c r="O52" s="51"/>
      <c r="P52" s="51"/>
      <c r="Q52" s="51"/>
      <c r="R52" s="51"/>
      <c r="S52" s="51"/>
      <c r="T52" s="52"/>
      <c r="U52" s="51"/>
      <c r="V52" s="51"/>
      <c r="W52" s="51"/>
      <c r="X52" s="51"/>
      <c r="Y52" s="51"/>
      <c r="Z52" s="56"/>
      <c r="AA52" s="57"/>
      <c r="AB52" s="57"/>
      <c r="AC52" s="58"/>
      <c r="AD52" s="88"/>
      <c r="AE52" s="88"/>
    </row>
    <row r="53" customFormat="false" ht="11.1" hidden="false" customHeight="true" outlineLevel="0" collapsed="false">
      <c r="A53" s="82"/>
      <c r="B53" s="82"/>
      <c r="C53" s="52"/>
      <c r="D53" s="52"/>
      <c r="E53" s="52"/>
      <c r="F53" s="82"/>
      <c r="G53" s="82"/>
      <c r="H53" s="81"/>
      <c r="I53" s="82"/>
      <c r="J53" s="82"/>
      <c r="K53" s="82"/>
      <c r="L53" s="82"/>
      <c r="M53" s="81"/>
      <c r="N53" s="81"/>
      <c r="O53" s="81"/>
      <c r="P53" s="81"/>
      <c r="Q53" s="82"/>
      <c r="R53" s="82"/>
      <c r="S53" s="82"/>
      <c r="T53" s="52"/>
      <c r="U53" s="82"/>
      <c r="V53" s="82"/>
      <c r="W53" s="82"/>
      <c r="X53" s="82"/>
      <c r="Y53" s="82"/>
      <c r="Z53" s="56"/>
      <c r="AA53" s="57"/>
      <c r="AB53" s="57"/>
      <c r="AC53" s="58"/>
      <c r="AD53" s="97"/>
      <c r="AE53" s="97"/>
    </row>
    <row r="54" customFormat="false" ht="11.1" hidden="false" customHeight="true" outlineLevel="0" collapsed="false">
      <c r="A54" s="82"/>
      <c r="B54" s="55"/>
      <c r="C54" s="52"/>
      <c r="D54" s="52"/>
      <c r="E54" s="52"/>
      <c r="F54" s="82"/>
      <c r="G54" s="82"/>
      <c r="H54" s="81"/>
      <c r="I54" s="82"/>
      <c r="J54" s="82"/>
      <c r="K54" s="82"/>
      <c r="L54" s="82"/>
      <c r="M54" s="81"/>
      <c r="N54" s="81"/>
      <c r="O54" s="81"/>
      <c r="P54" s="82"/>
      <c r="Q54" s="82"/>
      <c r="R54" s="82"/>
      <c r="S54" s="52"/>
      <c r="T54" s="82"/>
      <c r="U54" s="82"/>
      <c r="V54" s="52"/>
      <c r="W54" s="82"/>
      <c r="X54" s="82"/>
      <c r="Y54" s="55"/>
      <c r="Z54" s="56"/>
      <c r="AA54" s="57"/>
      <c r="AB54" s="58"/>
      <c r="AC54" s="97"/>
      <c r="AD54" s="97"/>
    </row>
    <row r="55" customFormat="false" ht="11.1" hidden="false" customHeight="true" outlineLevel="0" collapsed="false">
      <c r="A55" s="82"/>
      <c r="B55" s="82"/>
      <c r="C55" s="52"/>
      <c r="D55" s="82"/>
      <c r="E55" s="52"/>
      <c r="F55" s="82"/>
      <c r="G55" s="85"/>
      <c r="H55" s="81"/>
      <c r="I55" s="82"/>
      <c r="J55" s="82"/>
      <c r="K55" s="82"/>
      <c r="L55" s="82"/>
      <c r="M55" s="81"/>
      <c r="N55" s="81"/>
      <c r="O55" s="81"/>
      <c r="P55" s="82"/>
      <c r="Q55" s="82"/>
      <c r="R55" s="82"/>
      <c r="S55" s="52"/>
      <c r="T55" s="82"/>
      <c r="U55" s="82"/>
      <c r="V55" s="52"/>
      <c r="W55" s="82"/>
      <c r="X55" s="82"/>
      <c r="Y55" s="55"/>
      <c r="Z55" s="56"/>
      <c r="AA55" s="57"/>
      <c r="AB55" s="58"/>
      <c r="AC55" s="97"/>
      <c r="AD55" s="97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49"/>
  <sheetViews>
    <sheetView showFormulas="false" showGridLines="true" showRowColHeaders="true" showZeros="true" rightToLeft="false" tabSelected="false" showOutlineSymbols="true" defaultGridColor="true" view="normal" topLeftCell="D3" colorId="64" zoomScale="100" zoomScaleNormal="100" zoomScalePageLayoutView="100" workbookViewId="0">
      <selection pane="topLeft" activeCell="K2" activeCellId="0" sqref="K2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5.66"/>
    <col collapsed="false" customWidth="true" hidden="false" outlineLevel="0" max="2" min="2" style="0" width="7.82"/>
    <col collapsed="false" customWidth="true" hidden="false" outlineLevel="0" max="3" min="3" style="1" width="7.66"/>
    <col collapsed="false" customWidth="true" hidden="false" outlineLevel="0" max="4" min="4" style="0" width="6.99"/>
    <col collapsed="false" customWidth="true" hidden="false" outlineLevel="0" max="5" min="5" style="1" width="7.66"/>
    <col collapsed="false" customWidth="true" hidden="false" outlineLevel="0" max="6" min="6" style="0" width="7.66"/>
    <col collapsed="false" customWidth="true" hidden="false" outlineLevel="0" max="7" min="7" style="0" width="7.16"/>
    <col collapsed="false" customWidth="true" hidden="false" outlineLevel="0" max="8" min="8" style="105" width="6.66"/>
    <col collapsed="false" customWidth="true" hidden="false" outlineLevel="0" max="9" min="9" style="0" width="7.99"/>
    <col collapsed="false" customWidth="true" hidden="false" outlineLevel="0" max="11" min="10" style="0" width="6.66"/>
    <col collapsed="false" customWidth="true" hidden="false" outlineLevel="0" max="12" min="12" style="0" width="7.16"/>
    <col collapsed="false" customWidth="true" hidden="false" outlineLevel="0" max="13" min="13" style="3" width="6.16"/>
    <col collapsed="false" customWidth="true" hidden="true" outlineLevel="0" max="14" min="14" style="3" width="7.32"/>
    <col collapsed="false" customWidth="true" hidden="true" outlineLevel="0" max="15" min="15" style="3" width="6.49"/>
    <col collapsed="false" customWidth="true" hidden="true" outlineLevel="0" max="16" min="16" style="0" width="7.16"/>
    <col collapsed="false" customWidth="true" hidden="false" outlineLevel="0" max="17" min="17" style="0" width="6.32"/>
    <col collapsed="false" customWidth="true" hidden="false" outlineLevel="0" max="18" min="18" style="0" width="5.82"/>
    <col collapsed="false" customWidth="true" hidden="false" outlineLevel="0" max="19" min="19" style="1" width="6.82"/>
    <col collapsed="false" customWidth="true" hidden="false" outlineLevel="0" max="20" min="20" style="0" width="7.66"/>
    <col collapsed="false" customWidth="true" hidden="false" outlineLevel="0" max="21" min="21" style="0" width="5.99"/>
    <col collapsed="false" customWidth="true" hidden="false" outlineLevel="0" max="22" min="22" style="1" width="6.66"/>
    <col collapsed="false" customWidth="true" hidden="false" outlineLevel="0" max="24" min="23" style="0" width="7.82"/>
    <col collapsed="false" customWidth="true" hidden="false" outlineLevel="0" max="25" min="25" style="106" width="8.16"/>
    <col collapsed="false" customWidth="true" hidden="false" outlineLevel="0" max="26" min="26" style="2" width="4.66"/>
    <col collapsed="false" customWidth="true" hidden="false" outlineLevel="0" max="27" min="27" style="4" width="4.66"/>
    <col collapsed="false" customWidth="true" hidden="false" outlineLevel="0" max="28" min="28" style="5" width="4.66"/>
    <col collapsed="false" customWidth="true" hidden="false" outlineLevel="0" max="29" min="29" style="0" width="5.66"/>
  </cols>
  <sheetData>
    <row r="1" customFormat="false" ht="14.1" hidden="false" customHeight="true" outlineLevel="0" collapsed="false">
      <c r="A1" s="6"/>
      <c r="B1" s="6"/>
      <c r="C1" s="7"/>
      <c r="D1" s="6"/>
      <c r="E1" s="7"/>
      <c r="F1" s="6"/>
      <c r="G1" s="6"/>
      <c r="H1" s="8"/>
      <c r="I1" s="6"/>
      <c r="J1" s="6"/>
      <c r="K1" s="9" t="s">
        <v>0</v>
      </c>
      <c r="L1" s="6"/>
      <c r="M1" s="6"/>
      <c r="N1" s="6"/>
      <c r="O1" s="6"/>
      <c r="P1" s="6"/>
      <c r="Q1" s="6"/>
      <c r="R1" s="6"/>
      <c r="S1" s="7"/>
      <c r="T1" s="6"/>
      <c r="U1" s="6"/>
      <c r="V1" s="7"/>
      <c r="W1" s="6"/>
      <c r="X1" s="6"/>
      <c r="Y1" s="10"/>
      <c r="Z1" s="11"/>
      <c r="AA1" s="12"/>
      <c r="AB1" s="13"/>
      <c r="AC1" s="107"/>
    </row>
    <row r="2" customFormat="false" ht="14.1" hidden="false" customHeight="true" outlineLevel="0" collapsed="false">
      <c r="A2" s="6" t="s">
        <v>1</v>
      </c>
      <c r="B2" s="6"/>
      <c r="C2" s="7"/>
      <c r="D2" s="14" t="n">
        <v>1.9835</v>
      </c>
      <c r="E2" s="7"/>
      <c r="F2" s="6"/>
      <c r="G2" s="6"/>
      <c r="H2" s="8"/>
      <c r="I2" s="6"/>
      <c r="J2" s="6"/>
      <c r="K2" s="108" t="s">
        <v>62</v>
      </c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6"/>
      <c r="X2" s="6"/>
      <c r="Y2" s="10"/>
      <c r="Z2" s="11"/>
      <c r="AA2" s="12"/>
      <c r="AB2" s="13"/>
      <c r="AC2" s="107"/>
    </row>
    <row r="3" customFormat="false" ht="11.1" hidden="false" customHeight="true" outlineLevel="0" collapsed="false">
      <c r="A3" s="6"/>
      <c r="B3" s="6"/>
      <c r="C3" s="7"/>
      <c r="D3" s="15"/>
      <c r="E3" s="7"/>
      <c r="F3" s="6"/>
      <c r="G3" s="6"/>
      <c r="H3" s="8"/>
      <c r="I3" s="6"/>
      <c r="J3" s="6"/>
      <c r="K3" s="6"/>
      <c r="L3" s="6"/>
      <c r="M3" s="6"/>
      <c r="N3" s="6"/>
      <c r="O3" s="6"/>
      <c r="P3" s="6"/>
      <c r="Q3" s="6"/>
      <c r="R3" s="6"/>
      <c r="S3" s="7"/>
      <c r="T3" s="6"/>
      <c r="U3" s="6"/>
      <c r="V3" s="7"/>
      <c r="W3" s="6"/>
      <c r="X3" s="6"/>
      <c r="Y3" s="10"/>
      <c r="Z3" s="11"/>
      <c r="AA3" s="12"/>
      <c r="AB3" s="13"/>
      <c r="AC3" s="107"/>
    </row>
    <row r="4" customFormat="false" ht="11.1" hidden="false" customHeight="true" outlineLevel="0" collapsed="false">
      <c r="A4" s="16" t="s">
        <v>3</v>
      </c>
      <c r="B4" s="16" t="s">
        <v>4</v>
      </c>
      <c r="C4" s="17" t="s">
        <v>4</v>
      </c>
      <c r="D4" s="16" t="s">
        <v>5</v>
      </c>
      <c r="E4" s="17" t="s">
        <v>6</v>
      </c>
      <c r="F4" s="16" t="s">
        <v>7</v>
      </c>
      <c r="G4" s="16" t="s">
        <v>8</v>
      </c>
      <c r="H4" s="18" t="s">
        <v>9</v>
      </c>
      <c r="I4" s="16" t="s">
        <v>10</v>
      </c>
      <c r="J4" s="16" t="s">
        <v>11</v>
      </c>
      <c r="K4" s="16" t="s">
        <v>12</v>
      </c>
      <c r="L4" s="16" t="s">
        <v>11</v>
      </c>
      <c r="M4" s="19" t="s">
        <v>13</v>
      </c>
      <c r="N4" s="19"/>
      <c r="O4" s="19"/>
      <c r="P4" s="19"/>
      <c r="Q4" s="16" t="s">
        <v>14</v>
      </c>
      <c r="R4" s="16" t="s">
        <v>15</v>
      </c>
      <c r="S4" s="16" t="s">
        <v>12</v>
      </c>
      <c r="T4" s="17" t="s">
        <v>16</v>
      </c>
      <c r="U4" s="16" t="s">
        <v>17</v>
      </c>
      <c r="V4" s="16" t="s">
        <v>18</v>
      </c>
      <c r="W4" s="16" t="s">
        <v>10</v>
      </c>
      <c r="X4" s="16" t="s">
        <v>11</v>
      </c>
      <c r="Y4" s="16" t="s">
        <v>12</v>
      </c>
      <c r="Z4" s="20" t="s">
        <v>19</v>
      </c>
      <c r="AA4" s="21" t="s">
        <v>20</v>
      </c>
      <c r="AB4" s="21" t="s">
        <v>21</v>
      </c>
      <c r="AC4" s="21" t="s">
        <v>3</v>
      </c>
      <c r="AD4" s="107"/>
    </row>
    <row r="5" customFormat="false" ht="11.1" hidden="false" customHeight="true" outlineLevel="0" collapsed="false">
      <c r="A5" s="22" t="s">
        <v>63</v>
      </c>
      <c r="B5" s="16" t="s">
        <v>23</v>
      </c>
      <c r="C5" s="17" t="s">
        <v>5</v>
      </c>
      <c r="D5" s="16" t="s">
        <v>24</v>
      </c>
      <c r="E5" s="17" t="s">
        <v>25</v>
      </c>
      <c r="F5" s="16" t="s">
        <v>26</v>
      </c>
      <c r="G5" s="16" t="s">
        <v>27</v>
      </c>
      <c r="H5" s="18" t="s">
        <v>28</v>
      </c>
      <c r="I5" s="16" t="s">
        <v>29</v>
      </c>
      <c r="J5" s="16" t="s">
        <v>29</v>
      </c>
      <c r="K5" s="16" t="s">
        <v>29</v>
      </c>
      <c r="L5" s="16" t="s">
        <v>30</v>
      </c>
      <c r="M5" s="16" t="s">
        <v>31</v>
      </c>
      <c r="N5" s="16" t="s">
        <v>32</v>
      </c>
      <c r="O5" s="16" t="s">
        <v>33</v>
      </c>
      <c r="P5" s="16" t="s">
        <v>64</v>
      </c>
      <c r="Q5" s="16" t="s">
        <v>35</v>
      </c>
      <c r="R5" s="16" t="s">
        <v>36</v>
      </c>
      <c r="S5" s="16" t="s">
        <v>16</v>
      </c>
      <c r="T5" s="17" t="s">
        <v>37</v>
      </c>
      <c r="U5" s="16" t="s">
        <v>38</v>
      </c>
      <c r="V5" s="16" t="s">
        <v>39</v>
      </c>
      <c r="W5" s="16" t="s">
        <v>40</v>
      </c>
      <c r="X5" s="16" t="s">
        <v>40</v>
      </c>
      <c r="Y5" s="16" t="s">
        <v>40</v>
      </c>
      <c r="Z5" s="24"/>
      <c r="AA5" s="21" t="s">
        <v>41</v>
      </c>
      <c r="AB5" s="21" t="s">
        <v>41</v>
      </c>
      <c r="AC5" s="25" t="s">
        <v>63</v>
      </c>
      <c r="AD5" s="107"/>
    </row>
    <row r="6" customFormat="false" ht="11.1" hidden="false" customHeight="true" outlineLevel="0" collapsed="false">
      <c r="A6" s="26"/>
      <c r="B6" s="26"/>
      <c r="C6" s="27"/>
      <c r="D6" s="26"/>
      <c r="E6" s="27"/>
      <c r="F6" s="26"/>
      <c r="G6" s="26"/>
      <c r="H6" s="28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7"/>
      <c r="U6" s="26"/>
      <c r="V6" s="26"/>
      <c r="W6" s="26"/>
      <c r="X6" s="26"/>
      <c r="Y6" s="26"/>
      <c r="Z6" s="11"/>
      <c r="AA6" s="13"/>
      <c r="AB6" s="13"/>
      <c r="AC6" s="13"/>
      <c r="AD6" s="107"/>
    </row>
    <row r="7" customFormat="false" ht="11.1" hidden="false" customHeight="true" outlineLevel="0" collapsed="false">
      <c r="A7" s="6" t="s">
        <v>42</v>
      </c>
      <c r="B7" s="6"/>
      <c r="C7" s="7"/>
      <c r="D7" s="7"/>
      <c r="E7" s="7"/>
      <c r="F7" s="7"/>
      <c r="G7" s="7"/>
      <c r="H7" s="12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11"/>
      <c r="AA7" s="12"/>
      <c r="AB7" s="12"/>
      <c r="AC7" s="13"/>
    </row>
    <row r="8" s="1" customFormat="true" ht="11.1" hidden="false" customHeight="true" outlineLevel="0" collapsed="false">
      <c r="A8" s="7" t="s">
        <v>43</v>
      </c>
      <c r="B8" s="29" t="n">
        <f aca="false">MAR!B40</f>
        <v>6917.84</v>
      </c>
      <c r="C8" s="7" t="n">
        <f aca="false">MAR!C40</f>
        <v>354315</v>
      </c>
      <c r="D8" s="7" t="n">
        <f aca="false">MAR!D49</f>
        <v>29359</v>
      </c>
      <c r="E8" s="7" t="n">
        <f aca="false">MAR!E49</f>
        <v>202315</v>
      </c>
      <c r="F8" s="7" t="n">
        <f aca="false">MAR!F48</f>
        <v>14801.6133098059</v>
      </c>
      <c r="G8" s="7" t="n">
        <f aca="false">MAR!G48</f>
        <v>21851.5</v>
      </c>
      <c r="H8" s="12" t="n">
        <f aca="false">MAR!H48</f>
        <v>720.47</v>
      </c>
      <c r="I8" s="7" t="n">
        <f aca="false">MAR!I48</f>
        <v>22372.87</v>
      </c>
      <c r="J8" s="7" t="n">
        <f aca="false">MAR!J48</f>
        <v>11102.8304839929</v>
      </c>
      <c r="K8" s="7" t="n">
        <f aca="false">MAR!K48</f>
        <v>33475.7004839929</v>
      </c>
      <c r="L8" s="7" t="n">
        <f aca="false">MAR!L48</f>
        <v>9600.5133098059</v>
      </c>
      <c r="M8" s="7" t="n">
        <f aca="false">MAR!M48</f>
        <v>2049.26</v>
      </c>
      <c r="N8" s="7" t="n">
        <f aca="false">MAR!N48</f>
        <v>0.08</v>
      </c>
      <c r="O8" s="7" t="n">
        <f aca="false">MAR!O48</f>
        <v>0</v>
      </c>
      <c r="P8" s="7" t="n">
        <f aca="false">MAR!P48</f>
        <v>2049.18</v>
      </c>
      <c r="Q8" s="7" t="n">
        <f aca="false">MAR!Q48</f>
        <v>2719.35</v>
      </c>
      <c r="R8" s="7" t="n">
        <f aca="false">MAR!R48</f>
        <v>465.37</v>
      </c>
      <c r="S8" s="7" t="n">
        <f aca="false">MAR!S48</f>
        <v>5233.9</v>
      </c>
      <c r="T8" s="7" t="n">
        <f aca="false">MAR!T48</f>
        <v>0</v>
      </c>
      <c r="U8" s="7" t="n">
        <f aca="false">MAR!U48</f>
        <v>0</v>
      </c>
      <c r="V8" s="7" t="n">
        <f aca="false">MAR!V48</f>
        <v>12012.79</v>
      </c>
      <c r="W8" s="7" t="n">
        <f aca="false">MAR!W48</f>
        <v>17171.77</v>
      </c>
      <c r="X8" s="7" t="n">
        <f aca="false">MAR!X48</f>
        <v>1502.31717418704</v>
      </c>
      <c r="Y8" s="7" t="n">
        <f aca="false">MAR!Y48</f>
        <v>18674.087174187</v>
      </c>
      <c r="Z8" s="11" t="n">
        <f aca="false">MAR!Z48</f>
        <v>6.21</v>
      </c>
      <c r="AA8" s="12"/>
      <c r="AB8" s="12"/>
      <c r="AC8" s="13"/>
      <c r="AD8" s="107"/>
    </row>
    <row r="9" customFormat="false" ht="3" hidden="false" customHeight="true" outlineLevel="0" collapsed="false">
      <c r="A9" s="30"/>
      <c r="B9" s="31"/>
      <c r="C9" s="32"/>
      <c r="D9" s="30"/>
      <c r="E9" s="32"/>
      <c r="F9" s="30"/>
      <c r="G9" s="30"/>
      <c r="H9" s="33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2"/>
      <c r="U9" s="30"/>
      <c r="V9" s="30"/>
      <c r="W9" s="30"/>
      <c r="X9" s="30"/>
      <c r="Y9" s="30"/>
      <c r="Z9" s="34"/>
      <c r="AA9" s="35"/>
      <c r="AB9" s="35"/>
      <c r="AC9" s="36"/>
      <c r="AD9" s="107"/>
    </row>
    <row r="10" customFormat="false" ht="11.1" hidden="false" customHeight="true" outlineLevel="0" collapsed="false">
      <c r="A10" s="13" t="n">
        <v>1</v>
      </c>
      <c r="B10" s="29" t="n">
        <v>6918.12</v>
      </c>
      <c r="C10" s="7" t="n">
        <v>355506</v>
      </c>
      <c r="D10" s="12" t="n">
        <f aca="false">C10-C8</f>
        <v>1191</v>
      </c>
      <c r="E10" s="7" t="n">
        <f aca="false">C10-152000</f>
        <v>203506</v>
      </c>
      <c r="F10" s="6" t="n">
        <f aca="false">D10/$D$2</f>
        <v>600.453743382909</v>
      </c>
      <c r="G10" s="6" t="n">
        <v>581.05</v>
      </c>
      <c r="H10" s="8" t="n">
        <v>15.78</v>
      </c>
      <c r="I10" s="6" t="n">
        <f aca="false">G10+H10</f>
        <v>596.83</v>
      </c>
      <c r="J10" s="109" t="n">
        <f aca="false">IF(L10&gt;0,L10,0)</f>
        <v>266.683743382909</v>
      </c>
      <c r="K10" s="6" t="n">
        <f aca="false">I10+J10</f>
        <v>863.513743382909</v>
      </c>
      <c r="L10" s="6" t="n">
        <f aca="false">F10-(I10-W10)</f>
        <v>266.683743382909</v>
      </c>
      <c r="M10" s="6" t="n">
        <v>49.7</v>
      </c>
      <c r="N10" s="6" t="n">
        <v>0</v>
      </c>
      <c r="O10" s="6" t="n">
        <v>0</v>
      </c>
      <c r="P10" s="6" t="n">
        <f aca="false">M10-(N10+O10)</f>
        <v>49.7</v>
      </c>
      <c r="Q10" s="6" t="n">
        <v>0</v>
      </c>
      <c r="R10" s="6" t="n">
        <v>0</v>
      </c>
      <c r="S10" s="6" t="n">
        <f aca="false">SUM(P10:R10)</f>
        <v>49.7</v>
      </c>
      <c r="T10" s="7" t="n">
        <v>0</v>
      </c>
      <c r="U10" s="7" t="n">
        <v>0</v>
      </c>
      <c r="V10" s="6" t="n">
        <v>213.36</v>
      </c>
      <c r="W10" s="6" t="n">
        <f aca="false">N10+O10+S10+U10+V10</f>
        <v>263.06</v>
      </c>
      <c r="X10" s="6" t="n">
        <f aca="false">IF(L10&lt;0,L10*-1,0)</f>
        <v>0</v>
      </c>
      <c r="Y10" s="6" t="n">
        <f aca="false">W10+X10</f>
        <v>263.06</v>
      </c>
      <c r="Z10" s="11" t="n">
        <v>0</v>
      </c>
      <c r="AA10" s="12" t="n">
        <v>59</v>
      </c>
      <c r="AB10" s="12" t="n">
        <v>27</v>
      </c>
      <c r="AC10" s="13" t="n">
        <v>1</v>
      </c>
      <c r="AD10" s="12"/>
      <c r="AF10" s="6"/>
    </row>
    <row r="11" customFormat="false" ht="11.1" hidden="false" customHeight="true" outlineLevel="0" collapsed="false">
      <c r="A11" s="13" t="n">
        <f aca="false">A10+1</f>
        <v>2</v>
      </c>
      <c r="B11" s="29" t="n">
        <v>6918.41</v>
      </c>
      <c r="C11" s="7" t="n">
        <v>356746</v>
      </c>
      <c r="D11" s="12" t="n">
        <f aca="false">C11-C10</f>
        <v>1240</v>
      </c>
      <c r="E11" s="7" t="n">
        <f aca="false">C11-152000</f>
        <v>204746</v>
      </c>
      <c r="F11" s="6" t="n">
        <f aca="false">D11/$D$2</f>
        <v>625.157549785732</v>
      </c>
      <c r="G11" s="6" t="n">
        <v>524.2</v>
      </c>
      <c r="H11" s="8" t="n">
        <v>19.68</v>
      </c>
      <c r="I11" s="6" t="n">
        <f aca="false">G11+H11</f>
        <v>543.88</v>
      </c>
      <c r="J11" s="109" t="n">
        <f aca="false">IF(L11&gt;0,L11,0)</f>
        <v>345.287549785732</v>
      </c>
      <c r="K11" s="6" t="n">
        <f aca="false">I11+J11</f>
        <v>889.167549785732</v>
      </c>
      <c r="L11" s="6" t="n">
        <f aca="false">F11-(I11-W11)</f>
        <v>345.287549785732</v>
      </c>
      <c r="M11" s="6" t="n">
        <v>49.7</v>
      </c>
      <c r="N11" s="6" t="n">
        <v>0</v>
      </c>
      <c r="O11" s="6" t="n">
        <v>0</v>
      </c>
      <c r="P11" s="6" t="n">
        <f aca="false">M11-(N11+O11)</f>
        <v>49.7</v>
      </c>
      <c r="Q11" s="6" t="n">
        <v>0</v>
      </c>
      <c r="R11" s="6" t="n">
        <v>0</v>
      </c>
      <c r="S11" s="6" t="n">
        <f aca="false">SUM(P11:R11)</f>
        <v>49.7</v>
      </c>
      <c r="T11" s="7" t="n">
        <v>0</v>
      </c>
      <c r="U11" s="6" t="n">
        <v>0</v>
      </c>
      <c r="V11" s="6" t="n">
        <v>214.31</v>
      </c>
      <c r="W11" s="6" t="n">
        <f aca="false">N11+O11+S11+U11+V11</f>
        <v>264.01</v>
      </c>
      <c r="X11" s="6" t="n">
        <f aca="false">IF(L11&lt;0,L11*-1,0)</f>
        <v>0</v>
      </c>
      <c r="Y11" s="6" t="n">
        <f aca="false">W11+X11</f>
        <v>264.01</v>
      </c>
      <c r="Z11" s="11" t="n">
        <v>0</v>
      </c>
      <c r="AA11" s="12" t="n">
        <v>58</v>
      </c>
      <c r="AB11" s="12" t="n">
        <v>29</v>
      </c>
      <c r="AC11" s="13" t="n">
        <f aca="false">AC10+1</f>
        <v>2</v>
      </c>
      <c r="AD11" s="12"/>
      <c r="AF11" s="6"/>
    </row>
    <row r="12" customFormat="false" ht="11.1" hidden="false" customHeight="true" outlineLevel="0" collapsed="false">
      <c r="A12" s="13" t="n">
        <f aca="false">A11+1</f>
        <v>3</v>
      </c>
      <c r="B12" s="29" t="n">
        <v>6918.57</v>
      </c>
      <c r="C12" s="7" t="n">
        <v>357429</v>
      </c>
      <c r="D12" s="12" t="n">
        <f aca="false">C12-C11</f>
        <v>683</v>
      </c>
      <c r="E12" s="7" t="n">
        <f aca="false">C12-152000</f>
        <v>205429</v>
      </c>
      <c r="F12" s="6" t="n">
        <f aca="false">D12/$D$2</f>
        <v>344.340811696496</v>
      </c>
      <c r="G12" s="6" t="n">
        <v>560.91</v>
      </c>
      <c r="H12" s="8" t="n">
        <v>22.77</v>
      </c>
      <c r="I12" s="6" t="n">
        <f aca="false">G12+H12</f>
        <v>583.68</v>
      </c>
      <c r="J12" s="109" t="n">
        <f aca="false">IF(L12&gt;0,L12,0)</f>
        <v>154.320811696496</v>
      </c>
      <c r="K12" s="6" t="n">
        <f aca="false">I12+J12</f>
        <v>738.000811696496</v>
      </c>
      <c r="L12" s="6" t="n">
        <f aca="false">F12-(I12-W12)</f>
        <v>154.320811696496</v>
      </c>
      <c r="M12" s="6" t="n">
        <v>53.39</v>
      </c>
      <c r="N12" s="6" t="n">
        <v>0</v>
      </c>
      <c r="O12" s="6" t="n">
        <v>0</v>
      </c>
      <c r="P12" s="6" t="n">
        <f aca="false">M12-(N12+O12)</f>
        <v>53.39</v>
      </c>
      <c r="Q12" s="6" t="n">
        <v>0</v>
      </c>
      <c r="R12" s="6" t="n">
        <v>0</v>
      </c>
      <c r="S12" s="6" t="n">
        <f aca="false">SUM(P12:R12)</f>
        <v>53.39</v>
      </c>
      <c r="T12" s="7" t="n">
        <v>0</v>
      </c>
      <c r="U12" s="6" t="n">
        <v>0</v>
      </c>
      <c r="V12" s="6" t="n">
        <v>340.27</v>
      </c>
      <c r="W12" s="6" t="n">
        <f aca="false">N12+O12+S12+U12+V12</f>
        <v>393.66</v>
      </c>
      <c r="X12" s="6" t="n">
        <f aca="false">IF(L12&lt;0,L12*-1,0)</f>
        <v>0</v>
      </c>
      <c r="Y12" s="6" t="n">
        <f aca="false">W12+X12</f>
        <v>393.66</v>
      </c>
      <c r="Z12" s="11" t="n">
        <v>0</v>
      </c>
      <c r="AA12" s="12" t="n">
        <v>56</v>
      </c>
      <c r="AB12" s="12" t="n">
        <v>31</v>
      </c>
      <c r="AC12" s="13" t="n">
        <f aca="false">AC11+1</f>
        <v>3</v>
      </c>
      <c r="AD12" s="12"/>
      <c r="AF12" s="6"/>
    </row>
    <row r="13" customFormat="false" ht="11.1" hidden="false" customHeight="true" outlineLevel="0" collapsed="false">
      <c r="A13" s="13" t="n">
        <f aca="false">A12+1</f>
        <v>4</v>
      </c>
      <c r="B13" s="29" t="n">
        <v>6918.75</v>
      </c>
      <c r="C13" s="7" t="n">
        <v>358199</v>
      </c>
      <c r="D13" s="12" t="n">
        <f aca="false">C13-C12</f>
        <v>770</v>
      </c>
      <c r="E13" s="7" t="n">
        <f aca="false">C13-152000</f>
        <v>206199</v>
      </c>
      <c r="F13" s="6" t="n">
        <f aca="false">D13/$D$2</f>
        <v>388.202672044366</v>
      </c>
      <c r="G13" s="6" t="n">
        <v>641.81</v>
      </c>
      <c r="H13" s="8" t="n">
        <v>51.28</v>
      </c>
      <c r="I13" s="6" t="n">
        <f aca="false">G13+H13</f>
        <v>693.09</v>
      </c>
      <c r="J13" s="109" t="n">
        <f aca="false">IF(L13&gt;0,L13,0)</f>
        <v>188.192672044366</v>
      </c>
      <c r="K13" s="6" t="n">
        <f aca="false">I13+J13</f>
        <v>881.282672044366</v>
      </c>
      <c r="L13" s="6" t="n">
        <f aca="false">F13-(I13-W13)</f>
        <v>188.192672044366</v>
      </c>
      <c r="M13" s="6" t="n">
        <v>60.49</v>
      </c>
      <c r="N13" s="6" t="n">
        <v>0</v>
      </c>
      <c r="O13" s="6" t="n">
        <v>0</v>
      </c>
      <c r="P13" s="6" t="n">
        <f aca="false">M13-(N13+O13)</f>
        <v>60.49</v>
      </c>
      <c r="Q13" s="6" t="n">
        <v>0</v>
      </c>
      <c r="R13" s="6" t="n">
        <v>0</v>
      </c>
      <c r="S13" s="6" t="n">
        <f aca="false">SUM(P13:R13)</f>
        <v>60.49</v>
      </c>
      <c r="T13" s="7" t="n">
        <v>0</v>
      </c>
      <c r="U13" s="6" t="n">
        <v>0</v>
      </c>
      <c r="V13" s="6" t="n">
        <v>432.59</v>
      </c>
      <c r="W13" s="6" t="n">
        <f aca="false">N13+O13+S13+U13+V13</f>
        <v>493.08</v>
      </c>
      <c r="X13" s="6" t="n">
        <f aca="false">IF(L13&lt;0,L13*-1,0)</f>
        <v>0</v>
      </c>
      <c r="Y13" s="6" t="n">
        <f aca="false">W13+X13</f>
        <v>493.08</v>
      </c>
      <c r="Z13" s="11" t="n">
        <v>0</v>
      </c>
      <c r="AA13" s="12" t="n">
        <v>59</v>
      </c>
      <c r="AB13" s="12" t="n">
        <v>24</v>
      </c>
      <c r="AC13" s="13" t="n">
        <f aca="false">AC12+1</f>
        <v>4</v>
      </c>
      <c r="AD13" s="12"/>
      <c r="AF13" s="6"/>
    </row>
    <row r="14" customFormat="false" ht="11.1" hidden="false" customHeight="true" outlineLevel="0" collapsed="false">
      <c r="A14" s="13" t="n">
        <f aca="false">A13+1</f>
        <v>5</v>
      </c>
      <c r="B14" s="29" t="n">
        <v>6918.97</v>
      </c>
      <c r="C14" s="7" t="n">
        <v>359139</v>
      </c>
      <c r="D14" s="12" t="n">
        <f aca="false">C14-C13</f>
        <v>940</v>
      </c>
      <c r="E14" s="7" t="n">
        <f aca="false">C14-152000</f>
        <v>207139</v>
      </c>
      <c r="F14" s="6" t="n">
        <f aca="false">D14/$D$2</f>
        <v>473.909755482733</v>
      </c>
      <c r="G14" s="6" t="n">
        <v>651.38</v>
      </c>
      <c r="H14" s="8" t="n">
        <v>52.52</v>
      </c>
      <c r="I14" s="6" t="n">
        <f aca="false">G14+H14</f>
        <v>703.9</v>
      </c>
      <c r="J14" s="109" t="n">
        <f aca="false">IF(L14&gt;0,L14,0)</f>
        <v>279.869755482733</v>
      </c>
      <c r="K14" s="6" t="n">
        <f aca="false">I14+J14</f>
        <v>983.769755482733</v>
      </c>
      <c r="L14" s="6" t="n">
        <f aca="false">F14-(I14-W14)</f>
        <v>279.869755482733</v>
      </c>
      <c r="M14" s="6" t="n">
        <v>70.18</v>
      </c>
      <c r="N14" s="6" t="n">
        <v>0</v>
      </c>
      <c r="O14" s="6" t="n">
        <v>0</v>
      </c>
      <c r="P14" s="6" t="n">
        <f aca="false">M14-(N14+O14)</f>
        <v>70.18</v>
      </c>
      <c r="Q14" s="6" t="n">
        <v>0</v>
      </c>
      <c r="R14" s="6" t="n">
        <v>0</v>
      </c>
      <c r="S14" s="6" t="n">
        <f aca="false">SUM(P14:R14)</f>
        <v>70.18</v>
      </c>
      <c r="T14" s="7" t="n">
        <v>0</v>
      </c>
      <c r="U14" s="6" t="n">
        <v>0</v>
      </c>
      <c r="V14" s="6" t="n">
        <v>439.68</v>
      </c>
      <c r="W14" s="6" t="n">
        <f aca="false">N14+O14+S14+U14+V14</f>
        <v>509.86</v>
      </c>
      <c r="X14" s="6" t="n">
        <f aca="false">IF(L14&lt;0,L14*-1,0)</f>
        <v>0</v>
      </c>
      <c r="Y14" s="6" t="n">
        <f aca="false">W14+X14</f>
        <v>509.86</v>
      </c>
      <c r="Z14" s="11" t="n">
        <v>0</v>
      </c>
      <c r="AA14" s="12" t="n">
        <v>62</v>
      </c>
      <c r="AB14" s="12" t="n">
        <v>25</v>
      </c>
      <c r="AC14" s="13" t="n">
        <f aca="false">AC13+1</f>
        <v>5</v>
      </c>
      <c r="AD14" s="12"/>
      <c r="AF14" s="6"/>
    </row>
    <row r="15" customFormat="false" ht="11.1" hidden="false" customHeight="true" outlineLevel="0" collapsed="false">
      <c r="A15" s="13" t="n">
        <f aca="false">A14+1</f>
        <v>6</v>
      </c>
      <c r="B15" s="29" t="n">
        <v>6919.28</v>
      </c>
      <c r="C15" s="7" t="n">
        <v>360473</v>
      </c>
      <c r="D15" s="12" t="n">
        <f aca="false">C15-C14</f>
        <v>1334</v>
      </c>
      <c r="E15" s="7" t="n">
        <f aca="false">C15-152000</f>
        <v>208473</v>
      </c>
      <c r="F15" s="6" t="n">
        <f aca="false">D15/$D$2</f>
        <v>672.548525334005</v>
      </c>
      <c r="G15" s="6" t="n">
        <v>803.05</v>
      </c>
      <c r="H15" s="8" t="n">
        <v>73.17</v>
      </c>
      <c r="I15" s="6" t="n">
        <f aca="false">G15+H15</f>
        <v>876.22</v>
      </c>
      <c r="J15" s="109" t="n">
        <f aca="false">IF(L15&gt;0,L15,0)</f>
        <v>308.398525334005</v>
      </c>
      <c r="K15" s="6" t="n">
        <f aca="false">I15+J15</f>
        <v>1184.61852533401</v>
      </c>
      <c r="L15" s="6" t="n">
        <f aca="false">F15-(I15-W15)</f>
        <v>308.398525334005</v>
      </c>
      <c r="M15" s="6" t="n">
        <v>70.25</v>
      </c>
      <c r="N15" s="6" t="n">
        <v>0</v>
      </c>
      <c r="O15" s="6" t="n">
        <v>0</v>
      </c>
      <c r="P15" s="6" t="n">
        <f aca="false">M15-(N15+O15)</f>
        <v>70.25</v>
      </c>
      <c r="Q15" s="6" t="n">
        <v>0</v>
      </c>
      <c r="R15" s="6" t="n">
        <v>0</v>
      </c>
      <c r="S15" s="6" t="n">
        <f aca="false">SUM(P15:R15)</f>
        <v>70.25</v>
      </c>
      <c r="T15" s="7" t="n">
        <v>0</v>
      </c>
      <c r="U15" s="6" t="n">
        <v>0</v>
      </c>
      <c r="V15" s="6" t="n">
        <v>441.82</v>
      </c>
      <c r="W15" s="6" t="n">
        <f aca="false">N15+O15+S15+U15+V15</f>
        <v>512.07</v>
      </c>
      <c r="X15" s="6" t="n">
        <f aca="false">IF(L15&lt;0,L15*-1,0)</f>
        <v>0</v>
      </c>
      <c r="Y15" s="6" t="n">
        <f aca="false">W15+X15</f>
        <v>512.07</v>
      </c>
      <c r="Z15" s="11" t="n">
        <v>0</v>
      </c>
      <c r="AA15" s="12" t="n">
        <v>66</v>
      </c>
      <c r="AB15" s="12" t="n">
        <v>25</v>
      </c>
      <c r="AC15" s="13" t="n">
        <f aca="false">AC14+1</f>
        <v>6</v>
      </c>
      <c r="AD15" s="12"/>
      <c r="AF15" s="6"/>
    </row>
    <row r="16" customFormat="false" ht="11.1" hidden="false" customHeight="true" outlineLevel="0" collapsed="false">
      <c r="A16" s="13" t="n">
        <f aca="false">A15+1</f>
        <v>7</v>
      </c>
      <c r="B16" s="29" t="n">
        <v>6919.61</v>
      </c>
      <c r="C16" s="7" t="n">
        <v>361894</v>
      </c>
      <c r="D16" s="12" t="n">
        <f aca="false">C16-C15</f>
        <v>1421</v>
      </c>
      <c r="E16" s="7" t="n">
        <f aca="false">C16-152000</f>
        <v>209894</v>
      </c>
      <c r="F16" s="6" t="n">
        <f aca="false">D16/$D$2</f>
        <v>716.410385681875</v>
      </c>
      <c r="G16" s="6" t="n">
        <v>1060.84</v>
      </c>
      <c r="H16" s="8" t="n">
        <v>113.18</v>
      </c>
      <c r="I16" s="6" t="n">
        <f aca="false">G16+H16</f>
        <v>1174.02</v>
      </c>
      <c r="J16" s="109" t="n">
        <f aca="false">IF(L16&gt;0,L16,0)</f>
        <v>160.390385681875</v>
      </c>
      <c r="K16" s="6" t="n">
        <f aca="false">I16+J16</f>
        <v>1334.41038568188</v>
      </c>
      <c r="L16" s="6" t="n">
        <f aca="false">F16-(I16-W16)</f>
        <v>160.390385681875</v>
      </c>
      <c r="M16" s="6" t="n">
        <v>70.33</v>
      </c>
      <c r="N16" s="6" t="n">
        <v>0</v>
      </c>
      <c r="O16" s="6" t="n">
        <v>0</v>
      </c>
      <c r="P16" s="6" t="n">
        <f aca="false">M16-(N16+O16)</f>
        <v>70.33</v>
      </c>
      <c r="Q16" s="6" t="n">
        <v>0</v>
      </c>
      <c r="R16" s="6" t="n">
        <v>8.67</v>
      </c>
      <c r="S16" s="6" t="n">
        <f aca="false">SUM(P16:R16)</f>
        <v>79</v>
      </c>
      <c r="T16" s="7" t="n">
        <v>0</v>
      </c>
      <c r="U16" s="6" t="n">
        <v>0</v>
      </c>
      <c r="V16" s="6" t="n">
        <v>539</v>
      </c>
      <c r="W16" s="6" t="n">
        <f aca="false">N16+O16+S16+U16+V16</f>
        <v>618</v>
      </c>
      <c r="X16" s="6" t="n">
        <f aca="false">IF(L16&lt;0,L16*-1,0)</f>
        <v>0</v>
      </c>
      <c r="Y16" s="6" t="n">
        <f aca="false">W16+X16</f>
        <v>618</v>
      </c>
      <c r="Z16" s="11" t="n">
        <v>0</v>
      </c>
      <c r="AA16" s="12" t="n">
        <v>70</v>
      </c>
      <c r="AB16" s="12" t="n">
        <v>33</v>
      </c>
      <c r="AC16" s="13" t="n">
        <f aca="false">AC15+1</f>
        <v>7</v>
      </c>
      <c r="AD16" s="12"/>
      <c r="AF16" s="6"/>
    </row>
    <row r="17" customFormat="false" ht="11.1" hidden="false" customHeight="true" outlineLevel="0" collapsed="false">
      <c r="A17" s="13" t="n">
        <f aca="false">A16+1</f>
        <v>8</v>
      </c>
      <c r="B17" s="29" t="n">
        <v>6920.22</v>
      </c>
      <c r="C17" s="7" t="n">
        <v>364528</v>
      </c>
      <c r="D17" s="12" t="n">
        <f aca="false">C17-C16</f>
        <v>2634</v>
      </c>
      <c r="E17" s="7" t="n">
        <f aca="false">C17-152000</f>
        <v>212528</v>
      </c>
      <c r="F17" s="6" t="n">
        <f aca="false">D17/$D$2</f>
        <v>1327.95563398034</v>
      </c>
      <c r="G17" s="6" t="n">
        <v>1328.04</v>
      </c>
      <c r="H17" s="8" t="n">
        <v>144.47</v>
      </c>
      <c r="I17" s="6" t="n">
        <f aca="false">G17+H17</f>
        <v>1472.51</v>
      </c>
      <c r="J17" s="109" t="n">
        <f aca="false">IF(L17&gt;0,L17,0)</f>
        <v>541.445633980338</v>
      </c>
      <c r="K17" s="6" t="n">
        <f aca="false">I17+J17</f>
        <v>2013.95563398034</v>
      </c>
      <c r="L17" s="6" t="n">
        <f aca="false">F17-(I17-W17)</f>
        <v>541.445633980338</v>
      </c>
      <c r="M17" s="6" t="n">
        <v>70.33</v>
      </c>
      <c r="N17" s="6" t="n">
        <v>0</v>
      </c>
      <c r="O17" s="6" t="n">
        <v>0</v>
      </c>
      <c r="P17" s="6" t="n">
        <f aca="false">M17-(N17+O17)</f>
        <v>70.33</v>
      </c>
      <c r="Q17" s="6" t="n">
        <v>0</v>
      </c>
      <c r="R17" s="6" t="n">
        <v>15.67</v>
      </c>
      <c r="S17" s="6" t="n">
        <f aca="false">SUM(P17:R17)</f>
        <v>86</v>
      </c>
      <c r="T17" s="7" t="n">
        <v>0</v>
      </c>
      <c r="U17" s="6" t="n">
        <v>0</v>
      </c>
      <c r="V17" s="6" t="n">
        <v>600</v>
      </c>
      <c r="W17" s="6" t="n">
        <f aca="false">N17+O17+S17+U17+V17</f>
        <v>686</v>
      </c>
      <c r="X17" s="6" t="n">
        <f aca="false">IF(L17&lt;0,L17*-1,0)</f>
        <v>0</v>
      </c>
      <c r="Y17" s="6" t="n">
        <f aca="false">W17+X17</f>
        <v>686</v>
      </c>
      <c r="Z17" s="11" t="n">
        <v>0</v>
      </c>
      <c r="AA17" s="12" t="n">
        <v>69</v>
      </c>
      <c r="AB17" s="12" t="n">
        <v>30</v>
      </c>
      <c r="AC17" s="13" t="n">
        <f aca="false">AC16+1</f>
        <v>8</v>
      </c>
      <c r="AD17" s="12"/>
      <c r="AF17" s="6"/>
    </row>
    <row r="18" customFormat="false" ht="11.1" hidden="false" customHeight="true" outlineLevel="0" collapsed="false">
      <c r="A18" s="13" t="n">
        <f aca="false">A17+1</f>
        <v>9</v>
      </c>
      <c r="B18" s="29" t="n">
        <v>6920.57</v>
      </c>
      <c r="C18" s="7" t="n">
        <v>366048</v>
      </c>
      <c r="D18" s="12" t="n">
        <f aca="false">C18-C17</f>
        <v>1520</v>
      </c>
      <c r="E18" s="7" t="n">
        <f aca="false">C18-152000</f>
        <v>214048</v>
      </c>
      <c r="F18" s="6" t="n">
        <f aca="false">D18/$D$2</f>
        <v>766.322157801865</v>
      </c>
      <c r="G18" s="6" t="n">
        <v>1435.33</v>
      </c>
      <c r="H18" s="8" t="n">
        <v>140.59</v>
      </c>
      <c r="I18" s="6" t="n">
        <f aca="false">G18+H18</f>
        <v>1575.92</v>
      </c>
      <c r="J18" s="109" t="n">
        <f aca="false">IF(L18&gt;0,L18,0)</f>
        <v>0</v>
      </c>
      <c r="K18" s="6" t="n">
        <f aca="false">I18+J18</f>
        <v>1575.92</v>
      </c>
      <c r="L18" s="6" t="n">
        <f aca="false">F18-(I18-W18)</f>
        <v>-21.5978421981345</v>
      </c>
      <c r="M18" s="6" t="n">
        <v>70.4</v>
      </c>
      <c r="N18" s="6" t="n">
        <v>0</v>
      </c>
      <c r="O18" s="6" t="n">
        <v>0</v>
      </c>
      <c r="P18" s="6" t="n">
        <f aca="false">M18-(N18+O18)</f>
        <v>70.4</v>
      </c>
      <c r="Q18" s="6" t="n">
        <v>0</v>
      </c>
      <c r="R18" s="6" t="n">
        <v>15.6</v>
      </c>
      <c r="S18" s="6" t="n">
        <f aca="false">SUM(P18:R18)</f>
        <v>86</v>
      </c>
      <c r="T18" s="7" t="n">
        <v>0</v>
      </c>
      <c r="U18" s="6" t="n">
        <v>0</v>
      </c>
      <c r="V18" s="6" t="n">
        <v>702</v>
      </c>
      <c r="W18" s="6" t="n">
        <f aca="false">N18+O18+S18+U18+V18</f>
        <v>788</v>
      </c>
      <c r="X18" s="6" t="n">
        <f aca="false">IF(L18&lt;0,L18*-1,0)</f>
        <v>21.5978421981345</v>
      </c>
      <c r="Y18" s="6" t="n">
        <f aca="false">W18+X18</f>
        <v>809.597842198134</v>
      </c>
      <c r="Z18" s="11" t="n">
        <v>0</v>
      </c>
      <c r="AA18" s="39" t="n">
        <v>63</v>
      </c>
      <c r="AB18" s="12" t="n">
        <v>33</v>
      </c>
      <c r="AC18" s="13" t="n">
        <f aca="false">AC17+1</f>
        <v>9</v>
      </c>
      <c r="AD18" s="12"/>
      <c r="AF18" s="6"/>
    </row>
    <row r="19" customFormat="false" ht="11.1" hidden="false" customHeight="true" outlineLevel="0" collapsed="false">
      <c r="A19" s="13" t="n">
        <f aca="false">A18+1</f>
        <v>10</v>
      </c>
      <c r="B19" s="29" t="n">
        <v>6920.81</v>
      </c>
      <c r="C19" s="7" t="n">
        <v>367090</v>
      </c>
      <c r="D19" s="12" t="n">
        <f aca="false">C19-C18</f>
        <v>1042</v>
      </c>
      <c r="E19" s="7" t="n">
        <f aca="false">C19-152000</f>
        <v>215090</v>
      </c>
      <c r="F19" s="6" t="n">
        <f aca="false">D19/$D$2</f>
        <v>525.334005545752</v>
      </c>
      <c r="G19" s="6" t="n">
        <v>1396.61</v>
      </c>
      <c r="H19" s="8" t="n">
        <v>106.95</v>
      </c>
      <c r="I19" s="6" t="n">
        <f aca="false">G19+H19</f>
        <v>1503.56</v>
      </c>
      <c r="J19" s="109" t="n">
        <f aca="false">IF(L19&gt;0,L19,0)</f>
        <v>61.7740055457525</v>
      </c>
      <c r="K19" s="6" t="n">
        <f aca="false">I19+J19</f>
        <v>1565.33400554575</v>
      </c>
      <c r="L19" s="6" t="n">
        <f aca="false">F19-(I19-W19)</f>
        <v>61.7740055457525</v>
      </c>
      <c r="M19" s="6" t="n">
        <v>85.25</v>
      </c>
      <c r="N19" s="6" t="n">
        <v>0</v>
      </c>
      <c r="O19" s="6" t="n">
        <v>0</v>
      </c>
      <c r="P19" s="6" t="n">
        <f aca="false">M19-(N19+O19)</f>
        <v>85.25</v>
      </c>
      <c r="Q19" s="6" t="n">
        <v>28.46</v>
      </c>
      <c r="R19" s="6" t="n">
        <v>15.29</v>
      </c>
      <c r="S19" s="6" t="n">
        <f aca="false">SUM(P19:R19)</f>
        <v>129</v>
      </c>
      <c r="T19" s="7" t="n">
        <v>0</v>
      </c>
      <c r="U19" s="6" t="n">
        <v>0</v>
      </c>
      <c r="V19" s="6" t="n">
        <v>911</v>
      </c>
      <c r="W19" s="6" t="n">
        <f aca="false">N19+O19+S19+U19+V19</f>
        <v>1040</v>
      </c>
      <c r="X19" s="6" t="n">
        <f aca="false">IF(L19&lt;0,L19*-1,0)</f>
        <v>0</v>
      </c>
      <c r="Y19" s="6" t="n">
        <f aca="false">W19+X19</f>
        <v>1040</v>
      </c>
      <c r="Z19" s="11" t="n">
        <v>0</v>
      </c>
      <c r="AA19" s="12" t="n">
        <v>60</v>
      </c>
      <c r="AB19" s="12" t="n">
        <v>34</v>
      </c>
      <c r="AC19" s="13" t="n">
        <f aca="false">AC18+1</f>
        <v>10</v>
      </c>
      <c r="AD19" s="12"/>
      <c r="AF19" s="6"/>
    </row>
    <row r="20" customFormat="false" ht="11.1" hidden="false" customHeight="true" outlineLevel="0" collapsed="false">
      <c r="A20" s="13" t="n">
        <f aca="false">A19+1</f>
        <v>11</v>
      </c>
      <c r="B20" s="29" t="n">
        <v>6920.97</v>
      </c>
      <c r="C20" s="7" t="n">
        <v>367785</v>
      </c>
      <c r="D20" s="12" t="n">
        <f aca="false">C20-C19</f>
        <v>695</v>
      </c>
      <c r="E20" s="7" t="n">
        <f aca="false">C20-152000</f>
        <v>215785</v>
      </c>
      <c r="F20" s="6" t="n">
        <f aca="false">D20/$D$2</f>
        <v>350.390723468616</v>
      </c>
      <c r="G20" s="6" t="n">
        <v>1308.45</v>
      </c>
      <c r="H20" s="8" t="n">
        <v>76.37</v>
      </c>
      <c r="I20" s="6" t="n">
        <f aca="false">G20+H20</f>
        <v>1384.82</v>
      </c>
      <c r="J20" s="109" t="n">
        <f aca="false">IF(L20&gt;0,L20,0)</f>
        <v>180.570723468616</v>
      </c>
      <c r="K20" s="6" t="n">
        <f aca="false">I20+J20</f>
        <v>1565.39072346862</v>
      </c>
      <c r="L20" s="6" t="n">
        <f aca="false">F20-(I20-W20)</f>
        <v>180.570723468616</v>
      </c>
      <c r="M20" s="6" t="n">
        <v>119.55</v>
      </c>
      <c r="N20" s="6" t="n">
        <v>0</v>
      </c>
      <c r="O20" s="6" t="n">
        <v>0</v>
      </c>
      <c r="P20" s="6" t="n">
        <f aca="false">M20-(N20+O20)</f>
        <v>119.55</v>
      </c>
      <c r="Q20" s="6" t="n">
        <v>67.99</v>
      </c>
      <c r="R20" s="6" t="n">
        <v>26.46</v>
      </c>
      <c r="S20" s="6" t="n">
        <f aca="false">SUM(P20:R20)</f>
        <v>214</v>
      </c>
      <c r="T20" s="7" t="n">
        <v>0</v>
      </c>
      <c r="U20" s="6" t="n">
        <v>0</v>
      </c>
      <c r="V20" s="6" t="n">
        <v>1001</v>
      </c>
      <c r="W20" s="6" t="n">
        <f aca="false">N20+O20+S20+U20+V20</f>
        <v>1215</v>
      </c>
      <c r="X20" s="6" t="n">
        <f aca="false">IF(L20&lt;0,L20*-1,0)</f>
        <v>0</v>
      </c>
      <c r="Y20" s="6" t="n">
        <f aca="false">W20+X20</f>
        <v>1215</v>
      </c>
      <c r="Z20" s="11" t="n">
        <v>0</v>
      </c>
      <c r="AA20" s="12" t="n">
        <v>59</v>
      </c>
      <c r="AB20" s="12" t="n">
        <v>36</v>
      </c>
      <c r="AC20" s="13" t="n">
        <f aca="false">AC19+1</f>
        <v>11</v>
      </c>
      <c r="AD20" s="12"/>
      <c r="AF20" s="6"/>
    </row>
    <row r="21" customFormat="false" ht="11.1" hidden="false" customHeight="true" outlineLevel="0" collapsed="false">
      <c r="A21" s="13" t="n">
        <f aca="false">A20+1</f>
        <v>12</v>
      </c>
      <c r="B21" s="29" t="n">
        <v>6921.02</v>
      </c>
      <c r="C21" s="7" t="n">
        <v>368002</v>
      </c>
      <c r="D21" s="12" t="n">
        <f aca="false">C21-C20</f>
        <v>217</v>
      </c>
      <c r="E21" s="7" t="n">
        <f aca="false">C21-152000</f>
        <v>216002</v>
      </c>
      <c r="F21" s="6" t="n">
        <f aca="false">D21/$D$2</f>
        <v>109.402571212503</v>
      </c>
      <c r="G21" s="6" t="n">
        <v>1301.93</v>
      </c>
      <c r="H21" s="8" t="n">
        <v>72.51</v>
      </c>
      <c r="I21" s="6" t="n">
        <f aca="false">G21+H21</f>
        <v>1374.44</v>
      </c>
      <c r="J21" s="109" t="n">
        <f aca="false">IF(L21&gt;0,L21,0)</f>
        <v>3.96257121250309</v>
      </c>
      <c r="K21" s="6" t="n">
        <f aca="false">I21+J21</f>
        <v>1378.4025712125</v>
      </c>
      <c r="L21" s="6" t="n">
        <f aca="false">F21-(I21-W21)</f>
        <v>3.96257121250309</v>
      </c>
      <c r="M21" s="6" t="n">
        <v>150.26</v>
      </c>
      <c r="N21" s="6" t="n">
        <v>0</v>
      </c>
      <c r="O21" s="6" t="n">
        <v>0</v>
      </c>
      <c r="P21" s="6" t="n">
        <f aca="false">M21-(N21+O21)</f>
        <v>150.26</v>
      </c>
      <c r="Q21" s="6" t="n">
        <v>80.94</v>
      </c>
      <c r="R21" s="6" t="n">
        <v>36.8</v>
      </c>
      <c r="S21" s="6" t="n">
        <f aca="false">SUM(P21:R21)</f>
        <v>268</v>
      </c>
      <c r="T21" s="7" t="n">
        <v>0</v>
      </c>
      <c r="U21" s="6" t="n">
        <v>0</v>
      </c>
      <c r="V21" s="6" t="n">
        <v>1001</v>
      </c>
      <c r="W21" s="6" t="n">
        <f aca="false">N21+O21+S21+U21+V21</f>
        <v>1269</v>
      </c>
      <c r="X21" s="6" t="n">
        <f aca="false">IF(L21&lt;0,L21*-1,0)</f>
        <v>0</v>
      </c>
      <c r="Y21" s="6" t="n">
        <f aca="false">W21+X21</f>
        <v>1269</v>
      </c>
      <c r="Z21" s="11" t="n">
        <v>0</v>
      </c>
      <c r="AA21" s="12" t="n">
        <v>54</v>
      </c>
      <c r="AB21" s="12" t="n">
        <v>33</v>
      </c>
      <c r="AC21" s="13" t="n">
        <f aca="false">AC20+1</f>
        <v>12</v>
      </c>
      <c r="AD21" s="12"/>
      <c r="AF21" s="6"/>
    </row>
    <row r="22" customFormat="false" ht="11.1" hidden="false" customHeight="true" outlineLevel="0" collapsed="false">
      <c r="A22" s="13" t="n">
        <f aca="false">A21+1</f>
        <v>13</v>
      </c>
      <c r="B22" s="29" t="n">
        <v>6920.99</v>
      </c>
      <c r="C22" s="7" t="n">
        <v>367871</v>
      </c>
      <c r="D22" s="12" t="n">
        <f aca="false">C22-C21</f>
        <v>-131</v>
      </c>
      <c r="E22" s="7" t="n">
        <f aca="false">C22-152000</f>
        <v>215871</v>
      </c>
      <c r="F22" s="6" t="n">
        <f aca="false">D22/$D$2</f>
        <v>-66.0448701789766</v>
      </c>
      <c r="G22" s="6" t="n">
        <v>1042.43</v>
      </c>
      <c r="H22" s="8" t="n">
        <v>32.27</v>
      </c>
      <c r="I22" s="6" t="n">
        <f aca="false">G22+H22</f>
        <v>1074.7</v>
      </c>
      <c r="J22" s="109" t="n">
        <f aca="false">IF(L22&gt;0,L22,0)</f>
        <v>136.255129821023</v>
      </c>
      <c r="K22" s="6" t="n">
        <f aca="false">I22+J22</f>
        <v>1210.95512982102</v>
      </c>
      <c r="L22" s="6" t="n">
        <f aca="false">F22-(I22-W22)</f>
        <v>136.255129821023</v>
      </c>
      <c r="M22" s="6" t="n">
        <v>158.35</v>
      </c>
      <c r="N22" s="6" t="n">
        <v>0</v>
      </c>
      <c r="O22" s="6" t="n">
        <v>0</v>
      </c>
      <c r="P22" s="6" t="n">
        <f aca="false">M22-(N22+O22)</f>
        <v>158.35</v>
      </c>
      <c r="Q22" s="6" t="n">
        <v>81.19</v>
      </c>
      <c r="R22" s="6" t="n">
        <v>36.46</v>
      </c>
      <c r="S22" s="6" t="n">
        <f aca="false">SUM(P22:R22)</f>
        <v>276</v>
      </c>
      <c r="T22" s="7" t="n">
        <v>0</v>
      </c>
      <c r="U22" s="6" t="n">
        <v>0</v>
      </c>
      <c r="V22" s="6" t="n">
        <v>1001</v>
      </c>
      <c r="W22" s="6" t="n">
        <f aca="false">N22+O22+S22+U22+V22</f>
        <v>1277</v>
      </c>
      <c r="X22" s="6" t="n">
        <f aca="false">IF(L22&lt;0,L22*-1,0)</f>
        <v>0</v>
      </c>
      <c r="Y22" s="6" t="n">
        <f aca="false">W22+X22</f>
        <v>1277</v>
      </c>
      <c r="Z22" s="11" t="n">
        <v>0</v>
      </c>
      <c r="AA22" s="12" t="n">
        <v>63</v>
      </c>
      <c r="AB22" s="12" t="n">
        <v>26</v>
      </c>
      <c r="AC22" s="13" t="n">
        <f aca="false">AC21+1</f>
        <v>13</v>
      </c>
      <c r="AD22" s="12"/>
      <c r="AF22" s="6"/>
    </row>
    <row r="23" customFormat="false" ht="11.1" hidden="false" customHeight="true" outlineLevel="0" collapsed="false">
      <c r="A23" s="13" t="n">
        <f aca="false">A22+1</f>
        <v>14</v>
      </c>
      <c r="B23" s="29" t="n">
        <v>6921.01</v>
      </c>
      <c r="C23" s="7" t="n">
        <v>367959</v>
      </c>
      <c r="D23" s="12" t="n">
        <f aca="false">C23-C22</f>
        <v>88</v>
      </c>
      <c r="E23" s="7" t="n">
        <f aca="false">C23-152000</f>
        <v>215959</v>
      </c>
      <c r="F23" s="6" t="n">
        <f aca="false">D23/$D$2</f>
        <v>44.3660196622133</v>
      </c>
      <c r="G23" s="6" t="n">
        <v>1014.65</v>
      </c>
      <c r="H23" s="8" t="n">
        <v>27.17</v>
      </c>
      <c r="I23" s="6" t="n">
        <f aca="false">G23+H23</f>
        <v>1041.82</v>
      </c>
      <c r="J23" s="109" t="n">
        <f aca="false">IF(L23&gt;0,L23,0)</f>
        <v>285.546019662213</v>
      </c>
      <c r="K23" s="6" t="n">
        <f aca="false">I23+J23</f>
        <v>1327.36601966221</v>
      </c>
      <c r="L23" s="6" t="n">
        <f aca="false">F23-(I23-W23)</f>
        <v>285.546019662213</v>
      </c>
      <c r="M23" s="6" t="n">
        <v>158.29</v>
      </c>
      <c r="N23" s="6" t="n">
        <v>0</v>
      </c>
      <c r="O23" s="6" t="n">
        <v>0</v>
      </c>
      <c r="P23" s="6" t="n">
        <f aca="false">M23-(N23+O23)</f>
        <v>158.29</v>
      </c>
      <c r="Q23" s="6" t="n">
        <v>81.2</v>
      </c>
      <c r="R23" s="6" t="n">
        <v>42.51</v>
      </c>
      <c r="S23" s="6" t="n">
        <f aca="false">SUM(P23:R23)</f>
        <v>282</v>
      </c>
      <c r="T23" s="7" t="n">
        <v>0</v>
      </c>
      <c r="U23" s="6" t="n">
        <v>0</v>
      </c>
      <c r="V23" s="6" t="n">
        <v>1001</v>
      </c>
      <c r="W23" s="6" t="n">
        <f aca="false">N23+O23+S23+U23+V23</f>
        <v>1283</v>
      </c>
      <c r="X23" s="6" t="n">
        <f aca="false">IF(L23&lt;0,L23*-1,0)</f>
        <v>0</v>
      </c>
      <c r="Y23" s="6" t="n">
        <f aca="false">W23+X23</f>
        <v>1283</v>
      </c>
      <c r="Z23" s="11" t="n">
        <v>0</v>
      </c>
      <c r="AA23" s="39" t="n">
        <v>64</v>
      </c>
      <c r="AB23" s="12" t="n">
        <v>28</v>
      </c>
      <c r="AC23" s="13" t="n">
        <f aca="false">AC22+1</f>
        <v>14</v>
      </c>
      <c r="AD23" s="12"/>
      <c r="AF23" s="6"/>
    </row>
    <row r="24" customFormat="false" ht="11.1" hidden="false" customHeight="true" outlineLevel="0" collapsed="false">
      <c r="A24" s="13" t="n">
        <f aca="false">A23+1</f>
        <v>15</v>
      </c>
      <c r="B24" s="29" t="n">
        <v>6921.03</v>
      </c>
      <c r="C24" s="7" t="n">
        <v>368048</v>
      </c>
      <c r="D24" s="12" t="n">
        <f aca="false">C24-C23</f>
        <v>89</v>
      </c>
      <c r="E24" s="7" t="n">
        <f aca="false">C24-152000</f>
        <v>216048</v>
      </c>
      <c r="F24" s="6" t="n">
        <f aca="false">D24/$D$2</f>
        <v>44.8701789765566</v>
      </c>
      <c r="G24" s="6" t="n">
        <v>1136.91</v>
      </c>
      <c r="H24" s="8" t="n">
        <v>27.19</v>
      </c>
      <c r="I24" s="6" t="n">
        <f aca="false">G24+H24</f>
        <v>1164.1</v>
      </c>
      <c r="J24" s="109" t="n">
        <f aca="false">IF(L24&gt;0,L24,0)</f>
        <v>171.770178976556</v>
      </c>
      <c r="K24" s="6" t="n">
        <f aca="false">I24+J24</f>
        <v>1335.87017897656</v>
      </c>
      <c r="L24" s="6" t="n">
        <f aca="false">F24-(I24-W24)</f>
        <v>171.770178976556</v>
      </c>
      <c r="M24" s="6" t="n">
        <v>158.29</v>
      </c>
      <c r="N24" s="6" t="n">
        <v>0</v>
      </c>
      <c r="O24" s="6" t="n">
        <v>0</v>
      </c>
      <c r="P24" s="6" t="n">
        <f aca="false">M24-(N24+O24)</f>
        <v>158.29</v>
      </c>
      <c r="Q24" s="6" t="n">
        <v>80.99</v>
      </c>
      <c r="R24" s="6" t="n">
        <v>50.72</v>
      </c>
      <c r="S24" s="6" t="n">
        <f aca="false">SUM(P24:R24)</f>
        <v>290</v>
      </c>
      <c r="T24" s="7" t="n">
        <v>0</v>
      </c>
      <c r="U24" s="6" t="n">
        <v>0</v>
      </c>
      <c r="V24" s="6" t="n">
        <v>1001</v>
      </c>
      <c r="W24" s="6" t="n">
        <f aca="false">N24+O24+S24+U24+V24</f>
        <v>1291</v>
      </c>
      <c r="X24" s="6" t="n">
        <f aca="false">IF(L24&lt;0,L24*-1,0)</f>
        <v>0</v>
      </c>
      <c r="Y24" s="6" t="n">
        <f aca="false">W24+X24</f>
        <v>1291</v>
      </c>
      <c r="Z24" s="11" t="n">
        <v>0</v>
      </c>
      <c r="AA24" s="39" t="n">
        <v>67</v>
      </c>
      <c r="AB24" s="12" t="n">
        <v>34</v>
      </c>
      <c r="AC24" s="13" t="n">
        <f aca="false">AC23+1</f>
        <v>15</v>
      </c>
      <c r="AD24" s="12"/>
      <c r="AF24" s="6"/>
    </row>
    <row r="25" customFormat="false" ht="11.1" hidden="false" customHeight="true" outlineLevel="0" collapsed="false">
      <c r="A25" s="13" t="n">
        <f aca="false">A24+1</f>
        <v>16</v>
      </c>
      <c r="B25" s="29" t="n">
        <v>6921.05</v>
      </c>
      <c r="C25" s="7" t="n">
        <v>368134</v>
      </c>
      <c r="D25" s="12" t="n">
        <f aca="false">C25-C24</f>
        <v>86</v>
      </c>
      <c r="E25" s="7" t="n">
        <f aca="false">C25-152000</f>
        <v>216134</v>
      </c>
      <c r="F25" s="6" t="n">
        <f aca="false">D25/$D$2</f>
        <v>43.3577010335266</v>
      </c>
      <c r="G25" s="6" t="n">
        <v>1293.71</v>
      </c>
      <c r="H25" s="8" t="n">
        <v>36.28</v>
      </c>
      <c r="I25" s="6" t="n">
        <f aca="false">G25+H25</f>
        <v>1329.99</v>
      </c>
      <c r="J25" s="109" t="n">
        <f aca="false">IF(L25&gt;0,L25,0)</f>
        <v>4.36770103352659</v>
      </c>
      <c r="K25" s="6" t="n">
        <f aca="false">I25+J25</f>
        <v>1334.35770103353</v>
      </c>
      <c r="L25" s="6" t="n">
        <f aca="false">F25-(I25-W25)</f>
        <v>4.36770103352659</v>
      </c>
      <c r="M25" s="6" t="n">
        <v>158.29</v>
      </c>
      <c r="N25" s="6" t="n">
        <v>0</v>
      </c>
      <c r="O25" s="6" t="n">
        <v>0</v>
      </c>
      <c r="P25" s="6" t="n">
        <f aca="false">M25-(N25+O25)</f>
        <v>158.29</v>
      </c>
      <c r="Q25" s="6" t="n">
        <v>81.09</v>
      </c>
      <c r="R25" s="6" t="n">
        <v>50.62</v>
      </c>
      <c r="S25" s="6" t="n">
        <f aca="false">SUM(P25:R25)</f>
        <v>290</v>
      </c>
      <c r="T25" s="7" t="n">
        <v>0</v>
      </c>
      <c r="U25" s="6" t="n">
        <v>0</v>
      </c>
      <c r="V25" s="6" t="n">
        <v>1001</v>
      </c>
      <c r="W25" s="6" t="n">
        <f aca="false">N25+O25+S25+U25+V25</f>
        <v>1291</v>
      </c>
      <c r="X25" s="6" t="n">
        <f aca="false">IF(L25&lt;0,L25*-1,0)</f>
        <v>0</v>
      </c>
      <c r="Y25" s="6" t="n">
        <f aca="false">W25+X25</f>
        <v>1291</v>
      </c>
      <c r="Z25" s="11" t="n">
        <v>0</v>
      </c>
      <c r="AA25" s="39" t="n">
        <v>69</v>
      </c>
      <c r="AB25" s="12" t="n">
        <v>35</v>
      </c>
      <c r="AC25" s="13" t="n">
        <f aca="false">AC24+1</f>
        <v>16</v>
      </c>
      <c r="AD25" s="12"/>
      <c r="AF25" s="6"/>
    </row>
    <row r="26" customFormat="false" ht="11.1" hidden="false" customHeight="true" outlineLevel="0" collapsed="false">
      <c r="A26" s="13" t="n">
        <f aca="false">A25+1</f>
        <v>17</v>
      </c>
      <c r="B26" s="29" t="n">
        <v>6921.16</v>
      </c>
      <c r="C26" s="7" t="n">
        <v>368615</v>
      </c>
      <c r="D26" s="12" t="n">
        <f aca="false">C26-C25</f>
        <v>481</v>
      </c>
      <c r="E26" s="7" t="n">
        <f aca="false">C26-152000</f>
        <v>216615</v>
      </c>
      <c r="F26" s="6" t="n">
        <f aca="false">D26/$D$2</f>
        <v>242.500630199143</v>
      </c>
      <c r="G26" s="6" t="n">
        <v>1405.79</v>
      </c>
      <c r="H26" s="8" t="n">
        <v>33.58</v>
      </c>
      <c r="I26" s="6" t="n">
        <f aca="false">G26+H26</f>
        <v>1439.37</v>
      </c>
      <c r="J26" s="109" t="n">
        <f aca="false">IF(L26&gt;0,L26,0)</f>
        <v>127.130630199143</v>
      </c>
      <c r="K26" s="6" t="n">
        <f aca="false">I26+J26</f>
        <v>1566.50063019914</v>
      </c>
      <c r="L26" s="6" t="n">
        <f aca="false">F26-(I26-W26)</f>
        <v>127.130630199143</v>
      </c>
      <c r="M26" s="6" t="n">
        <v>174.4</v>
      </c>
      <c r="N26" s="6" t="n">
        <v>0</v>
      </c>
      <c r="O26" s="6" t="n">
        <v>0</v>
      </c>
      <c r="P26" s="6" t="n">
        <f aca="false">M26-(N26+O26)</f>
        <v>174.4</v>
      </c>
      <c r="Q26" s="6" t="n">
        <v>98.07</v>
      </c>
      <c r="R26" s="6" t="n">
        <v>50.53</v>
      </c>
      <c r="S26" s="6" t="n">
        <f aca="false">SUM(P26:R26)</f>
        <v>323</v>
      </c>
      <c r="T26" s="7" t="n">
        <v>0</v>
      </c>
      <c r="U26" s="6" t="n">
        <v>0</v>
      </c>
      <c r="V26" s="6" t="n">
        <v>1001</v>
      </c>
      <c r="W26" s="6" t="n">
        <f aca="false">N26+O26+S26+U26+V26</f>
        <v>1324</v>
      </c>
      <c r="X26" s="6" t="n">
        <f aca="false">IF(L26&lt;0,L26*-1,0)</f>
        <v>0</v>
      </c>
      <c r="Y26" s="6" t="n">
        <f aca="false">W26+X26</f>
        <v>1324</v>
      </c>
      <c r="Z26" s="11" t="n">
        <v>0</v>
      </c>
      <c r="AA26" s="39" t="n">
        <v>71</v>
      </c>
      <c r="AB26" s="12" t="n">
        <v>38</v>
      </c>
      <c r="AC26" s="13" t="n">
        <f aca="false">AC25+1</f>
        <v>17</v>
      </c>
      <c r="AD26" s="12"/>
      <c r="AF26" s="6"/>
    </row>
    <row r="27" customFormat="false" ht="11.1" hidden="false" customHeight="true" outlineLevel="0" collapsed="false">
      <c r="A27" s="13" t="n">
        <f aca="false">A26+1</f>
        <v>18</v>
      </c>
      <c r="B27" s="29" t="n">
        <v>6921.25</v>
      </c>
      <c r="C27" s="7" t="n">
        <v>369009</v>
      </c>
      <c r="D27" s="12" t="n">
        <f aca="false">C27-C26</f>
        <v>394</v>
      </c>
      <c r="E27" s="7" t="n">
        <f aca="false">C27-152000</f>
        <v>217009</v>
      </c>
      <c r="F27" s="6" t="n">
        <f aca="false">D27/$D$2</f>
        <v>198.638769851273</v>
      </c>
      <c r="G27" s="6" t="n">
        <v>1459.05</v>
      </c>
      <c r="H27" s="8" t="n">
        <v>37.06</v>
      </c>
      <c r="I27" s="6" t="n">
        <f aca="false">G27+H27</f>
        <v>1496.11</v>
      </c>
      <c r="J27" s="109" t="n">
        <f aca="false">IF(L27&gt;0,L27,0)</f>
        <v>126.528769851273</v>
      </c>
      <c r="K27" s="6" t="n">
        <f aca="false">I27+J27</f>
        <v>1622.63876985127</v>
      </c>
      <c r="L27" s="6" t="n">
        <f aca="false">F27-(I27-W27)</f>
        <v>126.528769851273</v>
      </c>
      <c r="M27" s="6" t="n">
        <v>204.85</v>
      </c>
      <c r="N27" s="6" t="n">
        <v>0</v>
      </c>
      <c r="O27" s="6" t="n">
        <v>0</v>
      </c>
      <c r="P27" s="6" t="n">
        <f aca="false">M27-(N27+O27)</f>
        <v>204.85</v>
      </c>
      <c r="Q27" s="6" t="n">
        <v>155.33</v>
      </c>
      <c r="R27" s="6" t="n">
        <v>62.82</v>
      </c>
      <c r="S27" s="6" t="n">
        <f aca="false">SUM(P27:R27)</f>
        <v>423</v>
      </c>
      <c r="T27" s="7" t="n">
        <v>0</v>
      </c>
      <c r="U27" s="6" t="n">
        <v>0</v>
      </c>
      <c r="V27" s="6" t="n">
        <v>1001</v>
      </c>
      <c r="W27" s="6" t="n">
        <f aca="false">N27+O27+S27+U27+V27</f>
        <v>1424</v>
      </c>
      <c r="X27" s="6" t="n">
        <f aca="false">IF(L27&lt;0,L27*-1,0)</f>
        <v>0</v>
      </c>
      <c r="Y27" s="6" t="n">
        <f aca="false">W27+X27</f>
        <v>1424</v>
      </c>
      <c r="Z27" s="11" t="n">
        <v>0</v>
      </c>
      <c r="AA27" s="39" t="n">
        <v>74</v>
      </c>
      <c r="AB27" s="12" t="n">
        <v>39</v>
      </c>
      <c r="AC27" s="13" t="n">
        <f aca="false">AC26+1</f>
        <v>18</v>
      </c>
      <c r="AD27" s="12"/>
      <c r="AF27" s="6"/>
    </row>
    <row r="28" customFormat="false" ht="11.1" hidden="false" customHeight="true" outlineLevel="0" collapsed="false">
      <c r="A28" s="13" t="n">
        <f aca="false">A27+1</f>
        <v>19</v>
      </c>
      <c r="B28" s="29" t="n">
        <v>6921.35</v>
      </c>
      <c r="C28" s="7" t="n">
        <v>369447</v>
      </c>
      <c r="D28" s="12" t="n">
        <f aca="false">C28-C27</f>
        <v>438</v>
      </c>
      <c r="E28" s="7" t="n">
        <f aca="false">C28-152000</f>
        <v>217447</v>
      </c>
      <c r="F28" s="6" t="n">
        <f aca="false">D28/$D$2</f>
        <v>220.82177968238</v>
      </c>
      <c r="G28" s="6" t="n">
        <v>1569.46</v>
      </c>
      <c r="H28" s="8" t="n">
        <v>68.74</v>
      </c>
      <c r="I28" s="6" t="n">
        <f aca="false">G28+H28</f>
        <v>1638.2</v>
      </c>
      <c r="J28" s="109" t="n">
        <f aca="false">IF(L28&gt;0,L28,0)</f>
        <v>84.6217796823796</v>
      </c>
      <c r="K28" s="6" t="n">
        <f aca="false">I28+J28</f>
        <v>1722.82177968238</v>
      </c>
      <c r="L28" s="6" t="n">
        <f aca="false">F28-(I28-W28)</f>
        <v>84.6217796823796</v>
      </c>
      <c r="M28" s="6" t="n">
        <v>229.21</v>
      </c>
      <c r="N28" s="6" t="n">
        <v>0</v>
      </c>
      <c r="O28" s="6" t="n">
        <v>0</v>
      </c>
      <c r="P28" s="6" t="n">
        <f aca="false">M28-(N28+O28)</f>
        <v>229.21</v>
      </c>
      <c r="Q28" s="6" t="n">
        <v>182.98</v>
      </c>
      <c r="R28" s="6" t="n">
        <v>75.81</v>
      </c>
      <c r="S28" s="6" t="n">
        <f aca="false">SUM(P28:R28)</f>
        <v>488</v>
      </c>
      <c r="T28" s="7" t="n">
        <v>0</v>
      </c>
      <c r="U28" s="6" t="n">
        <v>13</v>
      </c>
      <c r="V28" s="6" t="n">
        <v>1001</v>
      </c>
      <c r="W28" s="6" t="n">
        <f aca="false">N28+O28+S28+U28+V28</f>
        <v>1502</v>
      </c>
      <c r="X28" s="6" t="n">
        <f aca="false">IF(L28&lt;0,L28*-1,0)</f>
        <v>0</v>
      </c>
      <c r="Y28" s="6" t="n">
        <f aca="false">W28+X28</f>
        <v>1502</v>
      </c>
      <c r="Z28" s="11" t="n">
        <v>0</v>
      </c>
      <c r="AA28" s="39" t="n">
        <v>75</v>
      </c>
      <c r="AB28" s="12" t="n">
        <v>41</v>
      </c>
      <c r="AC28" s="13" t="n">
        <f aca="false">AC27+1</f>
        <v>19</v>
      </c>
      <c r="AD28" s="12"/>
      <c r="AF28" s="6"/>
    </row>
    <row r="29" customFormat="false" ht="11.1" hidden="false" customHeight="true" outlineLevel="0" collapsed="false">
      <c r="A29" s="13" t="n">
        <f aca="false">A28+1</f>
        <v>20</v>
      </c>
      <c r="B29" s="29" t="n">
        <v>6921.48</v>
      </c>
      <c r="C29" s="7" t="n">
        <v>370017</v>
      </c>
      <c r="D29" s="12" t="n">
        <f aca="false">C29-C28</f>
        <v>570</v>
      </c>
      <c r="E29" s="7" t="n">
        <f aca="false">C29-152000</f>
        <v>218017</v>
      </c>
      <c r="F29" s="6" t="n">
        <f aca="false">D29/$D$2</f>
        <v>287.370809175699</v>
      </c>
      <c r="G29" s="6" t="n">
        <v>1553.12</v>
      </c>
      <c r="H29" s="8" t="n">
        <v>75.09</v>
      </c>
      <c r="I29" s="6" t="n">
        <f aca="false">G29+H29</f>
        <v>1628.21</v>
      </c>
      <c r="J29" s="109" t="n">
        <f aca="false">IF(L29&gt;0,L29,0)</f>
        <v>184.1608091757</v>
      </c>
      <c r="K29" s="6" t="n">
        <f aca="false">I29+J29</f>
        <v>1812.3708091757</v>
      </c>
      <c r="L29" s="6" t="n">
        <f aca="false">F29-(I29-W29)</f>
        <v>184.1608091757</v>
      </c>
      <c r="M29" s="6" t="n">
        <v>240.97</v>
      </c>
      <c r="N29" s="6" t="n">
        <v>0</v>
      </c>
      <c r="O29" s="6" t="n">
        <v>0</v>
      </c>
      <c r="P29" s="6" t="n">
        <f aca="false">M29-(N29+O29)</f>
        <v>240.97</v>
      </c>
      <c r="Q29" s="6" t="n">
        <v>182.85</v>
      </c>
      <c r="R29" s="6" t="n">
        <v>75.18</v>
      </c>
      <c r="S29" s="6" t="n">
        <f aca="false">SUM(P29:R29)</f>
        <v>499</v>
      </c>
      <c r="T29" s="7" t="n">
        <v>0</v>
      </c>
      <c r="U29" s="6" t="n">
        <v>25</v>
      </c>
      <c r="V29" s="6" t="n">
        <v>1001</v>
      </c>
      <c r="W29" s="6" t="n">
        <f aca="false">N29+O29+S29+U29+V29</f>
        <v>1525</v>
      </c>
      <c r="X29" s="6" t="n">
        <f aca="false">IF(L29&lt;0,L29*-1,0)</f>
        <v>0</v>
      </c>
      <c r="Y29" s="6" t="n">
        <f aca="false">W29+X29</f>
        <v>1525</v>
      </c>
      <c r="Z29" s="11" t="n">
        <v>0</v>
      </c>
      <c r="AA29" s="39" t="n">
        <v>76</v>
      </c>
      <c r="AB29" s="12" t="n">
        <v>41</v>
      </c>
      <c r="AC29" s="13" t="n">
        <f aca="false">AC28+1</f>
        <v>20</v>
      </c>
      <c r="AD29" s="12"/>
      <c r="AF29" s="6"/>
    </row>
    <row r="30" customFormat="false" ht="11.1" hidden="false" customHeight="true" outlineLevel="0" collapsed="false">
      <c r="A30" s="13" t="n">
        <f aca="false">A29+1</f>
        <v>21</v>
      </c>
      <c r="B30" s="29" t="n">
        <v>6921.66</v>
      </c>
      <c r="C30" s="7" t="n">
        <v>370805</v>
      </c>
      <c r="D30" s="12" t="n">
        <f aca="false">C30-C29</f>
        <v>788</v>
      </c>
      <c r="E30" s="7" t="n">
        <f aca="false">C30-152000</f>
        <v>218805</v>
      </c>
      <c r="F30" s="6" t="n">
        <f aca="false">D30/$D$2</f>
        <v>397.277539702546</v>
      </c>
      <c r="G30" s="6" t="n">
        <v>1646.61</v>
      </c>
      <c r="H30" s="8" t="n">
        <v>120.82</v>
      </c>
      <c r="I30" s="6" t="n">
        <f aca="false">G30+H30</f>
        <v>1767.43</v>
      </c>
      <c r="J30" s="109" t="n">
        <f aca="false">IF(L30&gt;0,L30,0)</f>
        <v>155.847539702546</v>
      </c>
      <c r="K30" s="6" t="n">
        <f aca="false">I30+J30</f>
        <v>1923.27753970255</v>
      </c>
      <c r="L30" s="6" t="n">
        <f aca="false">F30-(I30-W30)</f>
        <v>155.847539702546</v>
      </c>
      <c r="M30" s="6" t="n">
        <v>241</v>
      </c>
      <c r="N30" s="6" t="n">
        <v>0</v>
      </c>
      <c r="O30" s="6" t="n">
        <v>0</v>
      </c>
      <c r="P30" s="6" t="n">
        <f aca="false">M30-(N30+O30)</f>
        <v>241</v>
      </c>
      <c r="Q30" s="6" t="n">
        <v>183.03</v>
      </c>
      <c r="R30" s="6" t="n">
        <v>75.97</v>
      </c>
      <c r="S30" s="6" t="n">
        <f aca="false">SUM(P30:R30)</f>
        <v>500</v>
      </c>
      <c r="T30" s="7" t="n">
        <v>0</v>
      </c>
      <c r="U30" s="6" t="n">
        <v>25</v>
      </c>
      <c r="V30" s="6" t="n">
        <v>1001</v>
      </c>
      <c r="W30" s="6" t="n">
        <f aca="false">N30+O30+S30+U30+V30</f>
        <v>1526</v>
      </c>
      <c r="X30" s="6" t="n">
        <f aca="false">IF(L30&lt;0,L30*-1,0)</f>
        <v>0</v>
      </c>
      <c r="Y30" s="6" t="n">
        <f aca="false">W30+X30</f>
        <v>1526</v>
      </c>
      <c r="Z30" s="11" t="n">
        <v>0</v>
      </c>
      <c r="AA30" s="12" t="n">
        <v>76</v>
      </c>
      <c r="AB30" s="12" t="n">
        <v>40</v>
      </c>
      <c r="AC30" s="13" t="n">
        <f aca="false">AC29+1</f>
        <v>21</v>
      </c>
      <c r="AD30" s="12"/>
      <c r="AF30" s="6"/>
    </row>
    <row r="31" customFormat="false" ht="11.1" hidden="false" customHeight="true" outlineLevel="0" collapsed="false">
      <c r="A31" s="13" t="n">
        <f aca="false">A30+1</f>
        <v>22</v>
      </c>
      <c r="B31" s="29" t="n">
        <v>6921.83</v>
      </c>
      <c r="C31" s="7" t="n">
        <v>371549</v>
      </c>
      <c r="D31" s="12" t="n">
        <f aca="false">C31-C30</f>
        <v>744</v>
      </c>
      <c r="E31" s="7" t="n">
        <f aca="false">C31-152000</f>
        <v>219549</v>
      </c>
      <c r="F31" s="6" t="n">
        <f aca="false">D31/$D$2</f>
        <v>375.094529871439</v>
      </c>
      <c r="G31" s="6" t="n">
        <v>1751.56</v>
      </c>
      <c r="H31" s="8" t="n">
        <v>130.11</v>
      </c>
      <c r="I31" s="6" t="n">
        <f aca="false">G31+H31</f>
        <v>1881.67</v>
      </c>
      <c r="J31" s="109" t="n">
        <f aca="false">IF(L31&gt;0,L31,0)</f>
        <v>11.4245298714393</v>
      </c>
      <c r="K31" s="6" t="n">
        <f aca="false">I31+J31</f>
        <v>1893.09452987144</v>
      </c>
      <c r="L31" s="6" t="n">
        <f aca="false">F31-(I31-W31)</f>
        <v>11.4245298714393</v>
      </c>
      <c r="M31" s="6" t="n">
        <v>241.52</v>
      </c>
      <c r="N31" s="6" t="n">
        <v>0</v>
      </c>
      <c r="O31" s="6" t="n">
        <v>0</v>
      </c>
      <c r="P31" s="6" t="n">
        <f aca="false">M31-(N31+O31)</f>
        <v>241.52</v>
      </c>
      <c r="Q31" s="6" t="n">
        <v>182.94</v>
      </c>
      <c r="R31" s="6" t="n">
        <v>75.54</v>
      </c>
      <c r="S31" s="6" t="n">
        <f aca="false">SUM(P31:R31)</f>
        <v>500</v>
      </c>
      <c r="T31" s="7" t="n">
        <v>0</v>
      </c>
      <c r="U31" s="6" t="n">
        <v>17</v>
      </c>
      <c r="V31" s="6" t="n">
        <v>1001</v>
      </c>
      <c r="W31" s="6" t="n">
        <f aca="false">N31+O31+S31+U31+V31</f>
        <v>1518</v>
      </c>
      <c r="X31" s="6" t="n">
        <f aca="false">IF(L31&lt;0,L31*-1,0)</f>
        <v>0</v>
      </c>
      <c r="Y31" s="6" t="n">
        <f aca="false">W31+X31</f>
        <v>1518</v>
      </c>
      <c r="Z31" s="11" t="n">
        <v>0</v>
      </c>
      <c r="AA31" s="12" t="n">
        <v>73</v>
      </c>
      <c r="AB31" s="12" t="n">
        <v>36</v>
      </c>
      <c r="AC31" s="13" t="n">
        <f aca="false">AC30+1</f>
        <v>22</v>
      </c>
      <c r="AD31" s="12"/>
      <c r="AF31" s="6"/>
    </row>
    <row r="32" customFormat="false" ht="11.1" hidden="false" customHeight="true" outlineLevel="0" collapsed="false">
      <c r="A32" s="13" t="n">
        <f aca="false">A31+1</f>
        <v>23</v>
      </c>
      <c r="B32" s="29" t="n">
        <v>6922</v>
      </c>
      <c r="C32" s="7" t="n">
        <v>372294</v>
      </c>
      <c r="D32" s="12" t="n">
        <f aca="false">C32-C31</f>
        <v>745</v>
      </c>
      <c r="E32" s="7" t="n">
        <f aca="false">C32-152000</f>
        <v>220294</v>
      </c>
      <c r="F32" s="6" t="n">
        <f aca="false">D32/$D$2</f>
        <v>375.598689185783</v>
      </c>
      <c r="G32" s="6" t="n">
        <v>1646.57</v>
      </c>
      <c r="H32" s="8" t="n">
        <v>104.14</v>
      </c>
      <c r="I32" s="6" t="n">
        <f aca="false">G32+H32</f>
        <v>1750.71</v>
      </c>
      <c r="J32" s="109" t="n">
        <f aca="false">IF(L32&gt;0,L32,0)</f>
        <v>146.888689185783</v>
      </c>
      <c r="K32" s="6" t="n">
        <f aca="false">I32+J32</f>
        <v>1897.59868918578</v>
      </c>
      <c r="L32" s="6" t="n">
        <f aca="false">F32-(I32-W32)</f>
        <v>146.888689185783</v>
      </c>
      <c r="M32" s="6" t="n">
        <v>242.14</v>
      </c>
      <c r="N32" s="6" t="n">
        <v>0</v>
      </c>
      <c r="O32" s="6" t="n">
        <v>0</v>
      </c>
      <c r="P32" s="6" t="n">
        <f aca="false">M32-(N32+O32)</f>
        <v>242.14</v>
      </c>
      <c r="Q32" s="6" t="n">
        <v>183.26</v>
      </c>
      <c r="R32" s="6" t="n">
        <v>75.6</v>
      </c>
      <c r="S32" s="6" t="n">
        <f aca="false">SUM(P32:R32)</f>
        <v>501</v>
      </c>
      <c r="T32" s="7" t="n">
        <v>0</v>
      </c>
      <c r="U32" s="6" t="n">
        <v>20</v>
      </c>
      <c r="V32" s="6" t="n">
        <v>1001</v>
      </c>
      <c r="W32" s="6" t="n">
        <f aca="false">N32+O32+S32+U32+V32</f>
        <v>1522</v>
      </c>
      <c r="X32" s="6" t="n">
        <f aca="false">IF(L32&lt;0,L32*-1,0)</f>
        <v>0</v>
      </c>
      <c r="Y32" s="6" t="n">
        <f aca="false">W32+X32</f>
        <v>1522</v>
      </c>
      <c r="Z32" s="11" t="n">
        <v>0</v>
      </c>
      <c r="AA32" s="12" t="n">
        <v>68</v>
      </c>
      <c r="AB32" s="39" t="n">
        <v>34</v>
      </c>
      <c r="AC32" s="13" t="n">
        <f aca="false">AC31+1</f>
        <v>23</v>
      </c>
      <c r="AD32" s="12"/>
      <c r="AF32" s="6"/>
    </row>
    <row r="33" customFormat="false" ht="11.1" hidden="false" customHeight="true" outlineLevel="0" collapsed="false">
      <c r="A33" s="13" t="n">
        <f aca="false">A32+1</f>
        <v>24</v>
      </c>
      <c r="B33" s="29" t="n">
        <v>6922.19</v>
      </c>
      <c r="C33" s="7" t="n">
        <v>373132</v>
      </c>
      <c r="D33" s="12" t="n">
        <f aca="false">C33-C32</f>
        <v>838</v>
      </c>
      <c r="E33" s="7" t="n">
        <f aca="false">C33-152000</f>
        <v>221132</v>
      </c>
      <c r="F33" s="6" t="n">
        <f aca="false">D33/$D$2</f>
        <v>422.485505419713</v>
      </c>
      <c r="G33" s="6" t="n">
        <v>1694.44</v>
      </c>
      <c r="H33" s="8" t="n">
        <v>96.26</v>
      </c>
      <c r="I33" s="6" t="n">
        <f aca="false">G33+H33</f>
        <v>1790.7</v>
      </c>
      <c r="J33" s="109" t="n">
        <f aca="false">IF(L33&gt;0,L33,0)</f>
        <v>152.785505419713</v>
      </c>
      <c r="K33" s="6" t="n">
        <f aca="false">I33+J33</f>
        <v>1943.48550541971</v>
      </c>
      <c r="L33" s="6" t="n">
        <f aca="false">F33-(I33-W33)</f>
        <v>152.785505419713</v>
      </c>
      <c r="M33" s="6" t="n">
        <v>242.4</v>
      </c>
      <c r="N33" s="6" t="n">
        <v>0</v>
      </c>
      <c r="O33" s="6" t="n">
        <v>0</v>
      </c>
      <c r="P33" s="6" t="n">
        <f aca="false">M33-(N33+O33)</f>
        <v>242.4</v>
      </c>
      <c r="Q33" s="6" t="n">
        <v>183.18</v>
      </c>
      <c r="R33" s="6" t="n">
        <v>79.42</v>
      </c>
      <c r="S33" s="6" t="n">
        <f aca="false">SUM(P33:R33)</f>
        <v>505</v>
      </c>
      <c r="T33" s="7" t="n">
        <v>0</v>
      </c>
      <c r="U33" s="6" t="n">
        <v>15</v>
      </c>
      <c r="V33" s="6" t="n">
        <v>1001</v>
      </c>
      <c r="W33" s="6" t="n">
        <f aca="false">N33+O33+S33+U33+V33</f>
        <v>1521</v>
      </c>
      <c r="X33" s="6" t="n">
        <f aca="false">IF(L33&lt;0,L33*-1,0)</f>
        <v>0</v>
      </c>
      <c r="Y33" s="6" t="n">
        <f aca="false">W33+X33</f>
        <v>1521</v>
      </c>
      <c r="Z33" s="11" t="n">
        <v>0</v>
      </c>
      <c r="AA33" s="12" t="n">
        <v>65</v>
      </c>
      <c r="AB33" s="39" t="n">
        <v>33</v>
      </c>
      <c r="AC33" s="13" t="n">
        <f aca="false">AC32+1</f>
        <v>24</v>
      </c>
      <c r="AD33" s="12"/>
      <c r="AF33" s="6"/>
    </row>
    <row r="34" customFormat="false" ht="11.1" hidden="false" customHeight="true" outlineLevel="0" collapsed="false">
      <c r="A34" s="13" t="n">
        <f aca="false">A33+1</f>
        <v>25</v>
      </c>
      <c r="B34" s="29" t="n">
        <v>6922.2</v>
      </c>
      <c r="C34" s="7" t="n">
        <v>373177</v>
      </c>
      <c r="D34" s="12" t="n">
        <f aca="false">C34-C33</f>
        <v>45</v>
      </c>
      <c r="E34" s="7" t="n">
        <f aca="false">C34-152000</f>
        <v>221177</v>
      </c>
      <c r="F34" s="6" t="n">
        <f aca="false">D34/$D$2</f>
        <v>22.68716914545</v>
      </c>
      <c r="G34" s="6" t="n">
        <v>1562.37</v>
      </c>
      <c r="H34" s="8" t="n">
        <v>78.68</v>
      </c>
      <c r="I34" s="6" t="n">
        <f aca="false">G34+H34</f>
        <v>1641.05</v>
      </c>
      <c r="J34" s="109" t="n">
        <f aca="false">IF(L34&gt;0,L34,0)</f>
        <v>0</v>
      </c>
      <c r="K34" s="6" t="n">
        <f aca="false">I34+J34</f>
        <v>1641.05</v>
      </c>
      <c r="L34" s="6" t="n">
        <f aca="false">F34-(I34-W34)</f>
        <v>-83.36283085455</v>
      </c>
      <c r="M34" s="6" t="n">
        <v>242.48</v>
      </c>
      <c r="N34" s="6" t="n">
        <v>0</v>
      </c>
      <c r="O34" s="6" t="n">
        <v>0</v>
      </c>
      <c r="P34" s="6" t="n">
        <f aca="false">M34-(N34+O34)</f>
        <v>242.48</v>
      </c>
      <c r="Q34" s="6" t="n">
        <v>183.1</v>
      </c>
      <c r="R34" s="6" t="n">
        <v>81.42</v>
      </c>
      <c r="S34" s="6" t="n">
        <f aca="false">SUM(P34:R34)</f>
        <v>507</v>
      </c>
      <c r="T34" s="7" t="n">
        <v>0</v>
      </c>
      <c r="U34" s="6" t="n">
        <v>27</v>
      </c>
      <c r="V34" s="6" t="n">
        <v>1001</v>
      </c>
      <c r="W34" s="6" t="n">
        <f aca="false">N34+O34+S34+U34+V34</f>
        <v>1535</v>
      </c>
      <c r="X34" s="6" t="n">
        <f aca="false">IF(L34&lt;0,L34*-1,0)</f>
        <v>83.36283085455</v>
      </c>
      <c r="Y34" s="6" t="n">
        <f aca="false">W34+X34</f>
        <v>1618.36283085455</v>
      </c>
      <c r="Z34" s="11" t="n">
        <v>0</v>
      </c>
      <c r="AA34" s="12" t="n">
        <v>63</v>
      </c>
      <c r="AB34" s="39" t="n">
        <v>30</v>
      </c>
      <c r="AC34" s="13" t="n">
        <f aca="false">AC33+1</f>
        <v>25</v>
      </c>
      <c r="AD34" s="12"/>
      <c r="AF34" s="6"/>
    </row>
    <row r="35" customFormat="false" ht="11.1" hidden="false" customHeight="true" outlineLevel="0" collapsed="false">
      <c r="A35" s="13" t="n">
        <f aca="false">A34+1</f>
        <v>26</v>
      </c>
      <c r="B35" s="29" t="n">
        <v>6922.33</v>
      </c>
      <c r="C35" s="7" t="n">
        <v>373751</v>
      </c>
      <c r="D35" s="12" t="n">
        <f aca="false">C35-C34</f>
        <v>574</v>
      </c>
      <c r="E35" s="7" t="n">
        <f aca="false">C35-152000</f>
        <v>221751</v>
      </c>
      <c r="F35" s="6" t="n">
        <f aca="false">D35/$D$2</f>
        <v>289.387446433073</v>
      </c>
      <c r="G35" s="6" t="n">
        <v>1467.65</v>
      </c>
      <c r="H35" s="8" t="n">
        <v>71.64</v>
      </c>
      <c r="I35" s="6" t="n">
        <f aca="false">G35+H35</f>
        <v>1539.29</v>
      </c>
      <c r="J35" s="109" t="n">
        <f aca="false">IF(L35&gt;0,L35,0)</f>
        <v>31.0974464330727</v>
      </c>
      <c r="K35" s="6" t="n">
        <f aca="false">I35+J35</f>
        <v>1570.38744643307</v>
      </c>
      <c r="L35" s="6" t="n">
        <f aca="false">F35-(I35-W35)</f>
        <v>31.0974464330727</v>
      </c>
      <c r="M35" s="6" t="n">
        <v>242.48</v>
      </c>
      <c r="N35" s="6" t="n">
        <v>0</v>
      </c>
      <c r="O35" s="6" t="n">
        <v>0</v>
      </c>
      <c r="P35" s="6" t="n">
        <f aca="false">M35-(N35+O35)</f>
        <v>242.48</v>
      </c>
      <c r="Q35" s="6" t="n">
        <v>183.81</v>
      </c>
      <c r="R35" s="6" t="n">
        <v>81.71</v>
      </c>
      <c r="S35" s="6" t="n">
        <f aca="false">SUM(P35:R35)</f>
        <v>508</v>
      </c>
      <c r="T35" s="7" t="n">
        <v>0</v>
      </c>
      <c r="U35" s="6" t="n">
        <v>15</v>
      </c>
      <c r="V35" s="6" t="n">
        <v>758</v>
      </c>
      <c r="W35" s="6" t="n">
        <f aca="false">N35+O35+S35+U35+V35</f>
        <v>1281</v>
      </c>
      <c r="X35" s="6" t="n">
        <f aca="false">IF(L35&lt;0,L35*-1,0)</f>
        <v>0</v>
      </c>
      <c r="Y35" s="6" t="n">
        <f aca="false">W35+X35</f>
        <v>1281</v>
      </c>
      <c r="Z35" s="11" t="n">
        <v>0</v>
      </c>
      <c r="AA35" s="12" t="n">
        <v>54</v>
      </c>
      <c r="AB35" s="12" t="n">
        <v>32</v>
      </c>
      <c r="AC35" s="13" t="n">
        <f aca="false">AC34+1</f>
        <v>26</v>
      </c>
      <c r="AD35" s="12"/>
      <c r="AF35" s="3"/>
    </row>
    <row r="36" customFormat="false" ht="11.1" hidden="false" customHeight="true" outlineLevel="0" collapsed="false">
      <c r="A36" s="13" t="n">
        <f aca="false">A35+1</f>
        <v>27</v>
      </c>
      <c r="B36" s="29" t="n">
        <v>6922.37</v>
      </c>
      <c r="C36" s="7" t="n">
        <v>373927</v>
      </c>
      <c r="D36" s="12" t="n">
        <f aca="false">C36-C35</f>
        <v>176</v>
      </c>
      <c r="E36" s="7" t="n">
        <f aca="false">C36-152000</f>
        <v>221927</v>
      </c>
      <c r="F36" s="6" t="n">
        <f aca="false">D36/$D$2</f>
        <v>88.7320393244265</v>
      </c>
      <c r="G36" s="6" t="n">
        <v>1214.43</v>
      </c>
      <c r="H36" s="8" t="n">
        <v>53.95</v>
      </c>
      <c r="I36" s="6" t="n">
        <f aca="false">G36+H36</f>
        <v>1268.38</v>
      </c>
      <c r="J36" s="109" t="n">
        <f aca="false">IF(L36&gt;0,L36,0)</f>
        <v>0</v>
      </c>
      <c r="K36" s="6" t="n">
        <f aca="false">I36+J36</f>
        <v>1268.38</v>
      </c>
      <c r="L36" s="6" t="n">
        <f aca="false">F36-(I36-W36)</f>
        <v>-82.6479606755736</v>
      </c>
      <c r="M36" s="6" t="n">
        <v>242.48</v>
      </c>
      <c r="N36" s="6" t="n">
        <v>0</v>
      </c>
      <c r="O36" s="6" t="n">
        <v>0</v>
      </c>
      <c r="P36" s="6" t="n">
        <f aca="false">M36-(N36+O36)</f>
        <v>242.48</v>
      </c>
      <c r="Q36" s="6" t="n">
        <v>168.83</v>
      </c>
      <c r="R36" s="6" t="n">
        <v>81.69</v>
      </c>
      <c r="S36" s="6" t="n">
        <f aca="false">SUM(P36:R36)</f>
        <v>493</v>
      </c>
      <c r="T36" s="7" t="n">
        <v>0</v>
      </c>
      <c r="U36" s="6" t="n">
        <v>4</v>
      </c>
      <c r="V36" s="6" t="n">
        <v>600</v>
      </c>
      <c r="W36" s="6" t="n">
        <f aca="false">N36+O36+S36+U36+V36</f>
        <v>1097</v>
      </c>
      <c r="X36" s="6" t="n">
        <f aca="false">IF(L36&lt;0,L36*-1,0)</f>
        <v>82.6479606755736</v>
      </c>
      <c r="Y36" s="6" t="n">
        <f aca="false">W36+X36</f>
        <v>1179.64796067557</v>
      </c>
      <c r="Z36" s="11" t="n">
        <v>0</v>
      </c>
      <c r="AA36" s="12" t="n">
        <v>56</v>
      </c>
      <c r="AB36" s="12" t="n">
        <v>21</v>
      </c>
      <c r="AC36" s="13" t="n">
        <f aca="false">AC35+1</f>
        <v>27</v>
      </c>
      <c r="AD36" s="12"/>
      <c r="AF36" s="6"/>
    </row>
    <row r="37" customFormat="false" ht="11.1" hidden="false" customHeight="true" outlineLevel="0" collapsed="false">
      <c r="A37" s="13" t="n">
        <f aca="false">A36+1</f>
        <v>28</v>
      </c>
      <c r="B37" s="29" t="n">
        <v>6922.32</v>
      </c>
      <c r="C37" s="7" t="n">
        <v>373706</v>
      </c>
      <c r="D37" s="12" t="n">
        <f aca="false">C37-C36</f>
        <v>-221</v>
      </c>
      <c r="E37" s="7" t="n">
        <f aca="false">C37-152000</f>
        <v>221706</v>
      </c>
      <c r="F37" s="6" t="n">
        <f aca="false">D37/$D$2</f>
        <v>-111.419208469876</v>
      </c>
      <c r="G37" s="6" t="n">
        <v>994.4</v>
      </c>
      <c r="H37" s="8" t="n">
        <v>46.12</v>
      </c>
      <c r="I37" s="6" t="n">
        <f aca="false">G37+H37</f>
        <v>1040.52</v>
      </c>
      <c r="J37" s="109" t="n">
        <f aca="false">IF(L37&gt;0,L37,0)</f>
        <v>0</v>
      </c>
      <c r="K37" s="6" t="n">
        <f aca="false">I37+J37</f>
        <v>1040.52</v>
      </c>
      <c r="L37" s="6" t="n">
        <f aca="false">F37-(I37-W37)</f>
        <v>-97.9392084698765</v>
      </c>
      <c r="M37" s="6" t="n">
        <v>242.45</v>
      </c>
      <c r="N37" s="6" t="n">
        <v>0</v>
      </c>
      <c r="O37" s="6" t="n">
        <v>0</v>
      </c>
      <c r="P37" s="6" t="n">
        <f aca="false">M37-(N37+O37)</f>
        <v>242.45</v>
      </c>
      <c r="Q37" s="6" t="n">
        <v>114.53</v>
      </c>
      <c r="R37" s="6" t="n">
        <v>85.02</v>
      </c>
      <c r="S37" s="6" t="n">
        <f aca="false">SUM(P37:R37)</f>
        <v>442</v>
      </c>
      <c r="T37" s="7" t="n">
        <v>0</v>
      </c>
      <c r="U37" s="6" t="n">
        <v>12</v>
      </c>
      <c r="V37" s="6" t="n">
        <v>600</v>
      </c>
      <c r="W37" s="6" t="n">
        <f aca="false">N37+O37+S37+U37+V37</f>
        <v>1054</v>
      </c>
      <c r="X37" s="6" t="n">
        <f aca="false">IF(L37&lt;0,L37*-1,0)</f>
        <v>97.9392084698765</v>
      </c>
      <c r="Y37" s="6" t="n">
        <f aca="false">W37+X37</f>
        <v>1151.93920846988</v>
      </c>
      <c r="Z37" s="11" t="n">
        <v>0</v>
      </c>
      <c r="AA37" s="12" t="n">
        <v>58</v>
      </c>
      <c r="AB37" s="12" t="n">
        <v>22</v>
      </c>
      <c r="AC37" s="13" t="n">
        <f aca="false">AC36+1</f>
        <v>28</v>
      </c>
      <c r="AD37" s="12"/>
      <c r="AF37" s="6"/>
    </row>
    <row r="38" customFormat="false" ht="11.1" hidden="false" customHeight="true" outlineLevel="0" collapsed="false">
      <c r="A38" s="13" t="n">
        <f aca="false">A37+1</f>
        <v>29</v>
      </c>
      <c r="B38" s="29" t="n">
        <v>6922.19</v>
      </c>
      <c r="C38" s="7" t="n">
        <v>373132</v>
      </c>
      <c r="D38" s="12" t="n">
        <f aca="false">C38-C37</f>
        <v>-574</v>
      </c>
      <c r="E38" s="7" t="n">
        <f aca="false">C38-152000</f>
        <v>221132</v>
      </c>
      <c r="F38" s="6" t="n">
        <f aca="false">D38/$D$2</f>
        <v>-289.387446433073</v>
      </c>
      <c r="G38" s="6" t="n">
        <v>846.37</v>
      </c>
      <c r="H38" s="8" t="n">
        <v>40.15</v>
      </c>
      <c r="I38" s="6" t="n">
        <f aca="false">G38+H38</f>
        <v>886.52</v>
      </c>
      <c r="J38" s="109" t="n">
        <f aca="false">IF(L38&gt;0,L38,0)</f>
        <v>0</v>
      </c>
      <c r="K38" s="6" t="n">
        <f aca="false">I38+J38</f>
        <v>886.52</v>
      </c>
      <c r="L38" s="6" t="n">
        <f aca="false">F38-(I38-W38)</f>
        <v>-139.907446433073</v>
      </c>
      <c r="M38" s="6" t="n">
        <v>242.41</v>
      </c>
      <c r="N38" s="6" t="n">
        <v>0</v>
      </c>
      <c r="O38" s="6" t="n">
        <v>0</v>
      </c>
      <c r="P38" s="6" t="n">
        <f aca="false">M38-(N38+O38)</f>
        <v>242.41</v>
      </c>
      <c r="Q38" s="6" t="n">
        <v>93.54</v>
      </c>
      <c r="R38" s="6" t="n">
        <v>86.05</v>
      </c>
      <c r="S38" s="6" t="n">
        <f aca="false">SUM(P38:R38)</f>
        <v>422</v>
      </c>
      <c r="T38" s="7" t="n">
        <v>0</v>
      </c>
      <c r="U38" s="6" t="n">
        <v>14</v>
      </c>
      <c r="V38" s="6" t="n">
        <v>600</v>
      </c>
      <c r="W38" s="6" t="n">
        <f aca="false">N38+O38+S38+U38+V38</f>
        <v>1036</v>
      </c>
      <c r="X38" s="6" t="n">
        <f aca="false">IF(L38&lt;0,L38*-1,0)</f>
        <v>139.907446433073</v>
      </c>
      <c r="Y38" s="6" t="n">
        <f aca="false">W38+X38</f>
        <v>1175.90744643307</v>
      </c>
      <c r="Z38" s="11" t="n">
        <v>0</v>
      </c>
      <c r="AA38" s="39" t="n">
        <v>59</v>
      </c>
      <c r="AB38" s="12" t="n">
        <v>26</v>
      </c>
      <c r="AC38" s="13" t="n">
        <f aca="false">AC37+1</f>
        <v>29</v>
      </c>
      <c r="AD38" s="12"/>
      <c r="AF38" s="6"/>
    </row>
    <row r="39" customFormat="false" ht="11.1" hidden="false" customHeight="true" outlineLevel="0" collapsed="false">
      <c r="A39" s="13" t="n">
        <v>30</v>
      </c>
      <c r="B39" s="29" t="n">
        <v>6922.05</v>
      </c>
      <c r="C39" s="7" t="n">
        <v>372514</v>
      </c>
      <c r="D39" s="12" t="n">
        <f aca="false">C39-C38</f>
        <v>-618</v>
      </c>
      <c r="E39" s="7" t="n">
        <f aca="false">C39-152000</f>
        <v>220514</v>
      </c>
      <c r="F39" s="6" t="n">
        <f aca="false">D39/$D$2</f>
        <v>-311.570456264179</v>
      </c>
      <c r="G39" s="6" t="n">
        <v>734.6</v>
      </c>
      <c r="H39" s="8" t="n">
        <v>34.85</v>
      </c>
      <c r="I39" s="6" t="n">
        <f aca="false">G39+H39</f>
        <v>769.45</v>
      </c>
      <c r="J39" s="109" t="n">
        <f aca="false">IF(L39&gt;0,L39,0)</f>
        <v>0</v>
      </c>
      <c r="K39" s="6" t="n">
        <f aca="false">I39+J39</f>
        <v>769.45</v>
      </c>
      <c r="L39" s="6" t="n">
        <f aca="false">F39-(I39-W39)</f>
        <v>-45.0204562641795</v>
      </c>
      <c r="M39" s="6" t="n">
        <v>242.18</v>
      </c>
      <c r="N39" s="6" t="n">
        <v>0</v>
      </c>
      <c r="O39" s="6" t="n">
        <v>0</v>
      </c>
      <c r="P39" s="6" t="n">
        <f aca="false">M39-(N39+O39)</f>
        <v>242.18</v>
      </c>
      <c r="Q39" s="6" t="n">
        <v>93.29</v>
      </c>
      <c r="R39" s="6" t="n">
        <v>86.53</v>
      </c>
      <c r="S39" s="6" t="n">
        <f aca="false">SUM(P39:R39)</f>
        <v>422</v>
      </c>
      <c r="T39" s="7" t="n">
        <v>0</v>
      </c>
      <c r="U39" s="6" t="n">
        <v>14</v>
      </c>
      <c r="V39" s="6" t="n">
        <v>600</v>
      </c>
      <c r="W39" s="6" t="n">
        <f aca="false">N39+O39+S39+U39+V39</f>
        <v>1036</v>
      </c>
      <c r="X39" s="6" t="n">
        <f aca="false">IF(L39&lt;0,L39*-1,0)</f>
        <v>45.0204562641795</v>
      </c>
      <c r="Y39" s="6" t="n">
        <f aca="false">W39+X39</f>
        <v>1081.02045626418</v>
      </c>
      <c r="Z39" s="11" t="n">
        <v>0</v>
      </c>
      <c r="AA39" s="39" t="n">
        <v>60</v>
      </c>
      <c r="AB39" s="12" t="n">
        <v>28</v>
      </c>
      <c r="AC39" s="13" t="n">
        <v>30</v>
      </c>
      <c r="AD39" s="12"/>
      <c r="AF39" s="6"/>
    </row>
    <row r="40" customFormat="false" ht="3" hidden="false" customHeight="true" outlineLevel="0" collapsed="false">
      <c r="A40" s="30"/>
      <c r="B40" s="30"/>
      <c r="C40" s="32"/>
      <c r="D40" s="30"/>
      <c r="E40" s="32"/>
      <c r="F40" s="30"/>
      <c r="G40" s="30"/>
      <c r="H40" s="33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7" t="n">
        <v>0</v>
      </c>
      <c r="U40" s="30"/>
      <c r="V40" s="30"/>
      <c r="W40" s="30"/>
      <c r="X40" s="30"/>
      <c r="Y40" s="30"/>
      <c r="Z40" s="34"/>
      <c r="AA40" s="35"/>
      <c r="AB40" s="35"/>
      <c r="AC40" s="36"/>
      <c r="AD40" s="107"/>
    </row>
    <row r="41" customFormat="false" ht="11.1" hidden="false" customHeight="true" outlineLevel="0" collapsed="false">
      <c r="A41" s="6" t="s">
        <v>44</v>
      </c>
      <c r="B41" s="6"/>
      <c r="C41" s="7"/>
      <c r="D41" s="7"/>
      <c r="E41" s="7"/>
      <c r="F41" s="7" t="n">
        <f aca="false">SUM(F10:F39)</f>
        <v>9175.19536173431</v>
      </c>
      <c r="G41" s="7" t="n">
        <f aca="false">SUM(G10:G39)</f>
        <v>35627.72</v>
      </c>
      <c r="H41" s="7" t="n">
        <f aca="false">SUM(H10:H39)</f>
        <v>2003.37</v>
      </c>
      <c r="I41" s="7" t="n">
        <f aca="false">SUM(I10:I39)</f>
        <v>37631.09</v>
      </c>
      <c r="J41" s="7" t="n">
        <f aca="false">SUM(J10:J39)</f>
        <v>4109.3211066297</v>
      </c>
      <c r="K41" s="7" t="n">
        <f aca="false">SUM(K10:K39)</f>
        <v>41740.4111066297</v>
      </c>
      <c r="L41" s="7" t="n">
        <f aca="false">SUM(L10:L39)</f>
        <v>3638.84536173431</v>
      </c>
      <c r="M41" s="7" t="n">
        <f aca="false">SUM(M10:M39)</f>
        <v>4824.02</v>
      </c>
      <c r="N41" s="7" t="n">
        <f aca="false">SUM(N10:N39)</f>
        <v>0</v>
      </c>
      <c r="O41" s="7" t="n">
        <f aca="false">SUM(O10:O39)</f>
        <v>0</v>
      </c>
      <c r="P41" s="7" t="n">
        <f aca="false">SUM(P10:P39)</f>
        <v>4824.02</v>
      </c>
      <c r="Q41" s="7" t="n">
        <f aca="false">SUM(Q10:Q39)</f>
        <v>2690.6</v>
      </c>
      <c r="R41" s="7" t="n">
        <f aca="false">SUM(R10:R39)</f>
        <v>1372.09</v>
      </c>
      <c r="S41" s="7" t="n">
        <f aca="false">SUM(S10:S39)</f>
        <v>8886.71</v>
      </c>
      <c r="T41" s="7" t="n">
        <v>0</v>
      </c>
      <c r="U41" s="7" t="n">
        <f aca="false">SUM(U10:U39)</f>
        <v>201</v>
      </c>
      <c r="V41" s="7" t="n">
        <f aca="false">SUM(V10:V39)</f>
        <v>23007.03</v>
      </c>
      <c r="W41" s="7" t="n">
        <f aca="false">SUM(W10:W39)</f>
        <v>32094.74</v>
      </c>
      <c r="X41" s="7" t="n">
        <f aca="false">SUM(X10:X39)</f>
        <v>470.475744895387</v>
      </c>
      <c r="Y41" s="7" t="n">
        <f aca="false">SUM(Y10:Y39)</f>
        <v>32565.2157448954</v>
      </c>
      <c r="Z41" s="11" t="n">
        <f aca="false">SUM(Z10:Z39)</f>
        <v>0</v>
      </c>
      <c r="AA41" s="12" t="n">
        <f aca="false">AVERAGE(AA10:AA39)</f>
        <v>64.2</v>
      </c>
      <c r="AB41" s="12" t="n">
        <f aca="false">AVERAGE(AB10:AB39)</f>
        <v>31.4666666666667</v>
      </c>
      <c r="AC41" s="13" t="s">
        <v>45</v>
      </c>
      <c r="AD41" s="107"/>
    </row>
    <row r="42" customFormat="false" ht="11.1" hidden="false" customHeight="true" outlineLevel="0" collapsed="false">
      <c r="A42" s="6" t="s">
        <v>46</v>
      </c>
      <c r="B42" s="6"/>
      <c r="C42" s="7"/>
      <c r="D42" s="7" t="n">
        <f aca="false">SUM(D10:D39)</f>
        <v>18199</v>
      </c>
      <c r="E42" s="7"/>
      <c r="F42" s="7" t="n">
        <f aca="false">F41*$D$2</f>
        <v>18199</v>
      </c>
      <c r="G42" s="7" t="n">
        <f aca="false">G41*$D$2</f>
        <v>70667.58262</v>
      </c>
      <c r="H42" s="7" t="n">
        <f aca="false">H41*$D$2</f>
        <v>3973.684395</v>
      </c>
      <c r="I42" s="7" t="n">
        <f aca="false">I41*$D$2</f>
        <v>74641.267015</v>
      </c>
      <c r="J42" s="7" t="n">
        <f aca="false">J41*$D$2</f>
        <v>8150.838415</v>
      </c>
      <c r="K42" s="7" t="n">
        <f aca="false">K41*$D$2</f>
        <v>82792.10543</v>
      </c>
      <c r="L42" s="7" t="n">
        <f aca="false">L41*$D$2</f>
        <v>7217.649775</v>
      </c>
      <c r="M42" s="7" t="n">
        <f aca="false">M41*$D$2</f>
        <v>9568.44367</v>
      </c>
      <c r="N42" s="7" t="n">
        <f aca="false">N41*$D$2</f>
        <v>0</v>
      </c>
      <c r="O42" s="7" t="n">
        <f aca="false">O41*$D$2</f>
        <v>0</v>
      </c>
      <c r="P42" s="7" t="n">
        <f aca="false">P41*$D$2</f>
        <v>9568.44367</v>
      </c>
      <c r="Q42" s="7" t="n">
        <f aca="false">Q41*$D$2</f>
        <v>5336.8051</v>
      </c>
      <c r="R42" s="7" t="n">
        <f aca="false">R41*$D$2</f>
        <v>2721.540515</v>
      </c>
      <c r="S42" s="7" t="n">
        <f aca="false">S41*$D$2</f>
        <v>17626.789285</v>
      </c>
      <c r="T42" s="7" t="n">
        <v>0</v>
      </c>
      <c r="U42" s="7" t="n">
        <f aca="false">U41*$D$2</f>
        <v>398.6835</v>
      </c>
      <c r="V42" s="7" t="n">
        <f aca="false">V41*$D$2</f>
        <v>45634.444005</v>
      </c>
      <c r="W42" s="7" t="n">
        <f aca="false">W41*$D$2</f>
        <v>63659.91679</v>
      </c>
      <c r="X42" s="7" t="n">
        <f aca="false">X41*$D$2</f>
        <v>933.18864</v>
      </c>
      <c r="Y42" s="7" t="n">
        <f aca="false">Y41*$D$2</f>
        <v>64593.10543</v>
      </c>
      <c r="Z42" s="11"/>
      <c r="AA42" s="12" t="n">
        <f aca="false">MAX(AA10:AA39)</f>
        <v>76</v>
      </c>
      <c r="AB42" s="12" t="n">
        <f aca="false">MAX(AB10:AB39)</f>
        <v>41</v>
      </c>
      <c r="AC42" s="13" t="s">
        <v>47</v>
      </c>
      <c r="AD42" s="107"/>
    </row>
    <row r="43" customFormat="false" ht="3" hidden="false" customHeight="true" outlineLevel="0" collapsed="false">
      <c r="A43" s="30"/>
      <c r="B43" s="30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7" t="n">
        <v>0</v>
      </c>
      <c r="U43" s="32"/>
      <c r="V43" s="32"/>
      <c r="W43" s="32"/>
      <c r="X43" s="32"/>
      <c r="Y43" s="32"/>
      <c r="Z43" s="11"/>
      <c r="AA43" s="12"/>
      <c r="AB43" s="12"/>
      <c r="AC43" s="13"/>
      <c r="AD43" s="107"/>
    </row>
    <row r="44" customFormat="false" ht="11.1" hidden="false" customHeight="true" outlineLevel="0" collapsed="false">
      <c r="A44" s="6" t="s">
        <v>48</v>
      </c>
      <c r="B44" s="6"/>
      <c r="C44" s="7"/>
      <c r="D44" s="7"/>
      <c r="E44" s="7"/>
      <c r="F44" s="7" t="n">
        <f aca="false">F7+F41</f>
        <v>9175.19536173431</v>
      </c>
      <c r="G44" s="7" t="n">
        <f aca="false">G7+G41</f>
        <v>35627.72</v>
      </c>
      <c r="H44" s="12" t="n">
        <f aca="false">H7+H41</f>
        <v>2003.37</v>
      </c>
      <c r="I44" s="7" t="n">
        <f aca="false">I7+I41</f>
        <v>37631.09</v>
      </c>
      <c r="J44" s="7" t="n">
        <f aca="false">J7+J41</f>
        <v>4109.3211066297</v>
      </c>
      <c r="K44" s="7" t="n">
        <f aca="false">K7+K41</f>
        <v>41740.4111066297</v>
      </c>
      <c r="L44" s="7" t="n">
        <f aca="false">L7+L41</f>
        <v>3638.84536173431</v>
      </c>
      <c r="M44" s="7" t="n">
        <f aca="false">M7+M41</f>
        <v>4824.02</v>
      </c>
      <c r="N44" s="7" t="n">
        <f aca="false">N7+N41</f>
        <v>0</v>
      </c>
      <c r="O44" s="7" t="n">
        <f aca="false">O7+O41</f>
        <v>0</v>
      </c>
      <c r="P44" s="7" t="n">
        <f aca="false">P7+P41</f>
        <v>4824.02</v>
      </c>
      <c r="Q44" s="7" t="n">
        <f aca="false">Q7+Q41</f>
        <v>2690.6</v>
      </c>
      <c r="R44" s="7" t="n">
        <f aca="false">R7+R41</f>
        <v>1372.09</v>
      </c>
      <c r="S44" s="7" t="n">
        <f aca="false">S7+S41</f>
        <v>8886.71</v>
      </c>
      <c r="T44" s="7" t="n">
        <v>0</v>
      </c>
      <c r="U44" s="7" t="n">
        <f aca="false">U7+U41</f>
        <v>201</v>
      </c>
      <c r="V44" s="7" t="n">
        <f aca="false">V7+V41</f>
        <v>23007.03</v>
      </c>
      <c r="W44" s="7" t="n">
        <f aca="false">W7+W41</f>
        <v>32094.74</v>
      </c>
      <c r="X44" s="7" t="n">
        <f aca="false">X7+X41</f>
        <v>470.475744895387</v>
      </c>
      <c r="Y44" s="7" t="n">
        <f aca="false">Y7+Y41</f>
        <v>32565.2157448954</v>
      </c>
      <c r="Z44" s="11"/>
      <c r="AA44" s="12" t="n">
        <f aca="false">MIN(AA10:AA39)</f>
        <v>54</v>
      </c>
      <c r="AB44" s="12" t="n">
        <f aca="false">MIN(AB10:AB39)</f>
        <v>21</v>
      </c>
      <c r="AC44" s="13" t="s">
        <v>49</v>
      </c>
      <c r="AD44" s="107"/>
    </row>
    <row r="45" customFormat="false" ht="11.1" hidden="false" customHeight="true" outlineLevel="0" collapsed="false">
      <c r="A45" s="6" t="s">
        <v>50</v>
      </c>
      <c r="B45" s="6"/>
      <c r="C45" s="7"/>
      <c r="D45" s="7"/>
      <c r="E45" s="7"/>
      <c r="F45" s="7" t="n">
        <f aca="false">F44*$D$2</f>
        <v>18199</v>
      </c>
      <c r="G45" s="7" t="n">
        <f aca="false">G44*$D$2</f>
        <v>70667.58262</v>
      </c>
      <c r="H45" s="12" t="n">
        <f aca="false">H44*$D$2</f>
        <v>3973.684395</v>
      </c>
      <c r="I45" s="7" t="n">
        <f aca="false">I44*$D$2</f>
        <v>74641.267015</v>
      </c>
      <c r="J45" s="7" t="n">
        <f aca="false">J44*$D$2</f>
        <v>8150.838415</v>
      </c>
      <c r="K45" s="7" t="n">
        <f aca="false">K44*$D$2</f>
        <v>82792.10543</v>
      </c>
      <c r="L45" s="7" t="n">
        <f aca="false">L44*$D$2</f>
        <v>7217.649775</v>
      </c>
      <c r="M45" s="7" t="n">
        <f aca="false">M44*$D$2</f>
        <v>9568.44367</v>
      </c>
      <c r="N45" s="7" t="n">
        <f aca="false">N44*$D$2</f>
        <v>0</v>
      </c>
      <c r="O45" s="7" t="n">
        <f aca="false">O44*$D$2</f>
        <v>0</v>
      </c>
      <c r="P45" s="7" t="n">
        <f aca="false">P44*$D$2</f>
        <v>9568.44367</v>
      </c>
      <c r="Q45" s="7" t="n">
        <f aca="false">Q44*$D$2</f>
        <v>5336.8051</v>
      </c>
      <c r="R45" s="7" t="n">
        <f aca="false">R44*$D$2</f>
        <v>2721.540515</v>
      </c>
      <c r="S45" s="7" t="n">
        <f aca="false">S44*$D$2</f>
        <v>17626.789285</v>
      </c>
      <c r="T45" s="7" t="n">
        <v>0</v>
      </c>
      <c r="U45" s="7" t="n">
        <f aca="false">U44*$D$2</f>
        <v>398.6835</v>
      </c>
      <c r="V45" s="7" t="n">
        <f aca="false">V44*$D$2</f>
        <v>45634.444005</v>
      </c>
      <c r="W45" s="7" t="n">
        <f aca="false">W44*$D$2</f>
        <v>63659.91679</v>
      </c>
      <c r="X45" s="7" t="n">
        <f aca="false">X44*$D$2</f>
        <v>933.18864</v>
      </c>
      <c r="Y45" s="7" t="n">
        <f aca="false">Y44*$D$2</f>
        <v>64593.10543</v>
      </c>
      <c r="Z45" s="11"/>
      <c r="AA45" s="12"/>
      <c r="AB45" s="12"/>
      <c r="AC45" s="13"/>
      <c r="AD45" s="107"/>
    </row>
    <row r="46" customFormat="false" ht="3" hidden="false" customHeight="true" outlineLevel="0" collapsed="false">
      <c r="A46" s="30"/>
      <c r="B46" s="30"/>
      <c r="C46" s="32"/>
      <c r="D46" s="32"/>
      <c r="E46" s="32"/>
      <c r="F46" s="32"/>
      <c r="G46" s="32"/>
      <c r="H46" s="35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7" t="n">
        <v>0</v>
      </c>
      <c r="U46" s="32"/>
      <c r="V46" s="32"/>
      <c r="W46" s="32"/>
      <c r="X46" s="32"/>
      <c r="Y46" s="32"/>
      <c r="Z46" s="34"/>
      <c r="AA46" s="12"/>
      <c r="AB46" s="12"/>
      <c r="AC46" s="13"/>
      <c r="AD46" s="107"/>
    </row>
    <row r="47" customFormat="false" ht="11.1" hidden="false" customHeight="true" outlineLevel="0" collapsed="false">
      <c r="A47" s="6" t="s">
        <v>51</v>
      </c>
      <c r="B47" s="6"/>
      <c r="C47" s="7"/>
      <c r="D47" s="7"/>
      <c r="E47" s="7"/>
      <c r="F47" s="7" t="n">
        <f aca="false">F8+F41</f>
        <v>23976.8086715402</v>
      </c>
      <c r="G47" s="7" t="n">
        <f aca="false">G8+G41</f>
        <v>57479.22</v>
      </c>
      <c r="H47" s="12" t="n">
        <f aca="false">H8+H41</f>
        <v>2723.84</v>
      </c>
      <c r="I47" s="7" t="n">
        <f aca="false">I8+I41</f>
        <v>60003.96</v>
      </c>
      <c r="J47" s="7" t="n">
        <f aca="false">J8+J41</f>
        <v>15212.1515906226</v>
      </c>
      <c r="K47" s="7" t="n">
        <f aca="false">K8+K41</f>
        <v>75216.1115906226</v>
      </c>
      <c r="L47" s="7" t="n">
        <f aca="false">L8+L41</f>
        <v>13239.3586715402</v>
      </c>
      <c r="M47" s="7" t="n">
        <f aca="false">M8+M41</f>
        <v>6873.28</v>
      </c>
      <c r="N47" s="7" t="n">
        <f aca="false">N8+N41</f>
        <v>0.08</v>
      </c>
      <c r="O47" s="7" t="n">
        <f aca="false">O8+O41</f>
        <v>0</v>
      </c>
      <c r="P47" s="7" t="n">
        <f aca="false">P8+P41</f>
        <v>6873.2</v>
      </c>
      <c r="Q47" s="7" t="n">
        <f aca="false">Q8+Q41</f>
        <v>5409.95</v>
      </c>
      <c r="R47" s="7" t="n">
        <f aca="false">R8+R41</f>
        <v>1837.46</v>
      </c>
      <c r="S47" s="7" t="n">
        <f aca="false">S8+S41</f>
        <v>14120.61</v>
      </c>
      <c r="T47" s="7" t="n">
        <v>0</v>
      </c>
      <c r="U47" s="7" t="n">
        <f aca="false">U8+U41</f>
        <v>201</v>
      </c>
      <c r="V47" s="7" t="n">
        <f aca="false">V8+V41</f>
        <v>35019.82</v>
      </c>
      <c r="W47" s="7" t="n">
        <f aca="false">W8+W41</f>
        <v>49266.51</v>
      </c>
      <c r="X47" s="7" t="n">
        <f aca="false">X8+X41</f>
        <v>1972.79291908243</v>
      </c>
      <c r="Y47" s="7" t="n">
        <f aca="false">Y8+Y41</f>
        <v>51239.3029190824</v>
      </c>
      <c r="Z47" s="11" t="n">
        <f aca="false">Z8+Z41</f>
        <v>6.21</v>
      </c>
      <c r="AA47" s="12"/>
      <c r="AB47" s="12"/>
      <c r="AC47" s="13"/>
      <c r="AD47" s="107"/>
    </row>
    <row r="48" customFormat="false" ht="11.1" hidden="false" customHeight="true" outlineLevel="0" collapsed="false">
      <c r="A48" s="6" t="s">
        <v>52</v>
      </c>
      <c r="B48" s="6"/>
      <c r="C48" s="7"/>
      <c r="D48" s="7" t="n">
        <f aca="false">D8+D42</f>
        <v>47558</v>
      </c>
      <c r="E48" s="7" t="n">
        <f aca="false">E39</f>
        <v>220514</v>
      </c>
      <c r="F48" s="7" t="n">
        <f aca="false">F47*$D$2</f>
        <v>47558</v>
      </c>
      <c r="G48" s="7" t="n">
        <f aca="false">G47*$D$2</f>
        <v>114010.03287</v>
      </c>
      <c r="H48" s="12" t="n">
        <f aca="false">H47*$D$2</f>
        <v>5402.73664</v>
      </c>
      <c r="I48" s="7" t="n">
        <f aca="false">I47*$D$2</f>
        <v>119017.85466</v>
      </c>
      <c r="J48" s="7" t="n">
        <f aca="false">J47*$D$2</f>
        <v>30173.30268</v>
      </c>
      <c r="K48" s="7" t="n">
        <f aca="false">K47*$D$2</f>
        <v>149191.15734</v>
      </c>
      <c r="L48" s="7" t="n">
        <f aca="false">L47*$D$2</f>
        <v>26260.267925</v>
      </c>
      <c r="M48" s="7" t="n">
        <f aca="false">M47*$D$2</f>
        <v>13633.15088</v>
      </c>
      <c r="N48" s="7" t="n">
        <f aca="false">N47*$D$2</f>
        <v>0.15868</v>
      </c>
      <c r="O48" s="7" t="n">
        <f aca="false">O47*$D$2</f>
        <v>0</v>
      </c>
      <c r="P48" s="7" t="n">
        <f aca="false">P47*$D$2</f>
        <v>13632.9922</v>
      </c>
      <c r="Q48" s="7" t="n">
        <f aca="false">Q47*$D$2</f>
        <v>10730.635825</v>
      </c>
      <c r="R48" s="7" t="n">
        <f aca="false">R47*$D$2</f>
        <v>3644.60191</v>
      </c>
      <c r="S48" s="7" t="n">
        <f aca="false">S47*$D$2</f>
        <v>28008.229935</v>
      </c>
      <c r="T48" s="7" t="n">
        <v>0</v>
      </c>
      <c r="U48" s="7" t="n">
        <f aca="false">U47*$D$2</f>
        <v>398.6835</v>
      </c>
      <c r="V48" s="7" t="n">
        <f aca="false">V47*$D$2</f>
        <v>69461.81297</v>
      </c>
      <c r="W48" s="7" t="n">
        <f aca="false">W47*$D$2</f>
        <v>97720.122585</v>
      </c>
      <c r="X48" s="7" t="n">
        <f aca="false">X47*$D$2</f>
        <v>3913.034755</v>
      </c>
      <c r="Y48" s="7" t="n">
        <f aca="false">Y47*$D$2</f>
        <v>101633.15734</v>
      </c>
      <c r="Z48" s="11"/>
      <c r="AA48" s="12"/>
      <c r="AB48" s="12"/>
      <c r="AC48" s="13"/>
      <c r="AD48" s="107"/>
    </row>
    <row r="49" customFormat="false" ht="3" hidden="false" customHeight="true" outlineLevel="0" collapsed="false">
      <c r="A49" s="30"/>
      <c r="B49" s="30"/>
      <c r="C49" s="32"/>
      <c r="D49" s="30"/>
      <c r="E49" s="32"/>
      <c r="F49" s="30"/>
      <c r="G49" s="30"/>
      <c r="H49" s="33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2"/>
      <c r="U49" s="30"/>
      <c r="V49" s="30"/>
      <c r="W49" s="30"/>
      <c r="X49" s="30"/>
      <c r="Y49" s="30"/>
      <c r="Z49" s="11"/>
      <c r="AA49" s="12"/>
      <c r="AB49" s="12"/>
      <c r="AC49" s="13"/>
      <c r="AD49" s="107"/>
    </row>
  </sheetData>
  <mergeCells count="2">
    <mergeCell ref="K2:V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H31" activePane="bottomRight" state="frozen"/>
      <selection pane="topLeft" activeCell="A1" activeCellId="0" sqref="A1"/>
      <selection pane="topRight" activeCell="H1" activeCellId="0" sqref="H1"/>
      <selection pane="bottomLeft" activeCell="A31" activeCellId="0" sqref="A31"/>
      <selection pane="bottomRight" activeCell="AC33" activeCellId="0" sqref="AC33"/>
    </sheetView>
  </sheetViews>
  <sheetFormatPr defaultColWidth="9.328125" defaultRowHeight="11.1" zeroHeight="false" outlineLevelRow="0" outlineLevelCol="0"/>
  <cols>
    <col collapsed="false" customWidth="true" hidden="false" outlineLevel="0" max="1" min="1" style="44" width="7.16"/>
    <col collapsed="false" customWidth="true" hidden="false" outlineLevel="0" max="2" min="2" style="44" width="7.82"/>
    <col collapsed="false" customWidth="true" hidden="false" outlineLevel="0" max="3" min="3" style="45" width="7.66"/>
    <col collapsed="false" customWidth="true" hidden="false" outlineLevel="0" max="4" min="4" style="44" width="6.99"/>
    <col collapsed="false" customWidth="true" hidden="false" outlineLevel="0" max="5" min="5" style="45" width="7.66"/>
    <col collapsed="false" customWidth="true" hidden="false" outlineLevel="0" max="6" min="6" style="44" width="7.66"/>
    <col collapsed="false" customWidth="true" hidden="false" outlineLevel="0" max="7" min="7" style="44" width="7.16"/>
    <col collapsed="false" customWidth="true" hidden="false" outlineLevel="0" max="8" min="8" style="48" width="6.66"/>
    <col collapsed="false" customWidth="true" hidden="false" outlineLevel="0" max="9" min="9" style="44" width="7.99"/>
    <col collapsed="false" customWidth="true" hidden="false" outlineLevel="0" max="10" min="10" style="44" width="6.66"/>
    <col collapsed="false" customWidth="true" hidden="false" outlineLevel="0" max="12" min="11" style="44" width="7.16"/>
    <col collapsed="false" customWidth="true" hidden="false" outlineLevel="0" max="13" min="13" style="47" width="6.16"/>
    <col collapsed="false" customWidth="true" hidden="true" outlineLevel="0" max="14" min="14" style="47" width="7.32"/>
    <col collapsed="false" customWidth="true" hidden="true" outlineLevel="0" max="15" min="15" style="47" width="6.49"/>
    <col collapsed="false" customWidth="true" hidden="true" outlineLevel="0" max="16" min="16" style="44" width="7.16"/>
    <col collapsed="false" customWidth="true" hidden="false" outlineLevel="0" max="17" min="17" style="44" width="6.32"/>
    <col collapsed="false" customWidth="true" hidden="false" outlineLevel="0" max="18" min="18" style="44" width="5.82"/>
    <col collapsed="false" customWidth="true" hidden="false" outlineLevel="0" max="19" min="19" style="45" width="6.82"/>
    <col collapsed="false" customWidth="true" hidden="false" outlineLevel="0" max="20" min="20" style="44" width="7.66"/>
    <col collapsed="false" customWidth="true" hidden="false" outlineLevel="0" max="21" min="21" style="44" width="5.82"/>
    <col collapsed="false" customWidth="true" hidden="false" outlineLevel="0" max="22" min="22" style="45" width="6.66"/>
    <col collapsed="false" customWidth="true" hidden="false" outlineLevel="0" max="24" min="23" style="44" width="7.82"/>
    <col collapsed="false" customWidth="true" hidden="false" outlineLevel="0" max="25" min="25" style="48" width="8.16"/>
    <col collapsed="false" customWidth="true" hidden="false" outlineLevel="0" max="26" min="26" style="46" width="4.32"/>
    <col collapsed="false" customWidth="true" hidden="false" outlineLevel="0" max="27" min="27" style="49" width="4.66"/>
    <col collapsed="false" customWidth="true" hidden="false" outlineLevel="0" max="28" min="28" style="50" width="4.66"/>
    <col collapsed="false" customWidth="true" hidden="false" outlineLevel="0" max="29" min="29" style="44" width="5.66"/>
    <col collapsed="false" customWidth="false" hidden="false" outlineLevel="0" max="257" min="30" style="44" width="9.32"/>
  </cols>
  <sheetData>
    <row r="1" customFormat="false" ht="14.1" hidden="false" customHeight="true" outlineLevel="0" collapsed="false">
      <c r="A1" s="51"/>
      <c r="B1" s="51"/>
      <c r="C1" s="52"/>
      <c r="D1" s="51"/>
      <c r="E1" s="52"/>
      <c r="F1" s="51"/>
      <c r="G1" s="51"/>
      <c r="H1" s="55"/>
      <c r="I1" s="51"/>
      <c r="J1" s="51"/>
      <c r="K1" s="54" t="s">
        <v>0</v>
      </c>
      <c r="L1" s="51"/>
      <c r="M1" s="51"/>
      <c r="N1" s="51"/>
      <c r="O1" s="51"/>
      <c r="P1" s="51"/>
      <c r="Q1" s="51"/>
      <c r="R1" s="51"/>
      <c r="S1" s="52"/>
      <c r="T1" s="51"/>
      <c r="U1" s="51"/>
      <c r="V1" s="52"/>
      <c r="W1" s="51"/>
      <c r="X1" s="51"/>
      <c r="Y1" s="55"/>
      <c r="Z1" s="56"/>
      <c r="AA1" s="57"/>
      <c r="AB1" s="58"/>
      <c r="AC1" s="88"/>
      <c r="AD1" s="88"/>
    </row>
    <row r="2" customFormat="false" ht="14.1" hidden="false" customHeight="true" outlineLevel="0" collapsed="false">
      <c r="A2" s="51" t="s">
        <v>1</v>
      </c>
      <c r="B2" s="51"/>
      <c r="C2" s="52"/>
      <c r="D2" s="59" t="n">
        <v>1.9835</v>
      </c>
      <c r="E2" s="52"/>
      <c r="F2" s="51"/>
      <c r="G2" s="51"/>
      <c r="H2" s="55"/>
      <c r="I2" s="51"/>
      <c r="J2" s="51"/>
      <c r="K2" s="60" t="s">
        <v>65</v>
      </c>
      <c r="L2" s="60"/>
      <c r="M2" s="60"/>
      <c r="N2" s="60"/>
      <c r="O2" s="60"/>
      <c r="P2" s="60"/>
      <c r="Q2" s="60"/>
      <c r="R2" s="60"/>
      <c r="S2" s="60"/>
      <c r="T2" s="60"/>
      <c r="U2" s="51"/>
      <c r="V2" s="52"/>
      <c r="W2" s="51"/>
      <c r="X2" s="51"/>
      <c r="Y2" s="55"/>
      <c r="Z2" s="56"/>
      <c r="AA2" s="57"/>
      <c r="AB2" s="58"/>
      <c r="AC2" s="88"/>
      <c r="AD2" s="88"/>
    </row>
    <row r="3" customFormat="false" ht="11.1" hidden="false" customHeight="true" outlineLevel="0" collapsed="false">
      <c r="A3" s="51"/>
      <c r="B3" s="51"/>
      <c r="C3" s="52"/>
      <c r="D3" s="61"/>
      <c r="E3" s="52"/>
      <c r="F3" s="51"/>
      <c r="G3" s="51"/>
      <c r="H3" s="55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51"/>
      <c r="U3" s="51"/>
      <c r="V3" s="52"/>
      <c r="W3" s="51"/>
      <c r="X3" s="51"/>
      <c r="Y3" s="55"/>
      <c r="Z3" s="56"/>
      <c r="AA3" s="57"/>
      <c r="AB3" s="58"/>
      <c r="AC3" s="88"/>
      <c r="AD3" s="88"/>
    </row>
    <row r="4" customFormat="false" ht="11.1" hidden="false" customHeight="true" outlineLevel="0" collapsed="false">
      <c r="A4" s="62" t="s">
        <v>3</v>
      </c>
      <c r="B4" s="62" t="s">
        <v>4</v>
      </c>
      <c r="C4" s="63" t="s">
        <v>4</v>
      </c>
      <c r="D4" s="62" t="s">
        <v>5</v>
      </c>
      <c r="E4" s="63" t="s">
        <v>6</v>
      </c>
      <c r="F4" s="62" t="s">
        <v>7</v>
      </c>
      <c r="G4" s="62" t="s">
        <v>8</v>
      </c>
      <c r="H4" s="110" t="s">
        <v>9</v>
      </c>
      <c r="I4" s="62" t="s">
        <v>10</v>
      </c>
      <c r="J4" s="62" t="s">
        <v>11</v>
      </c>
      <c r="K4" s="62" t="s">
        <v>12</v>
      </c>
      <c r="L4" s="62" t="s">
        <v>11</v>
      </c>
      <c r="M4" s="62" t="s">
        <v>13</v>
      </c>
      <c r="N4" s="62"/>
      <c r="O4" s="62"/>
      <c r="P4" s="62"/>
      <c r="Q4" s="62" t="s">
        <v>14</v>
      </c>
      <c r="R4" s="62" t="s">
        <v>15</v>
      </c>
      <c r="S4" s="62" t="s">
        <v>12</v>
      </c>
      <c r="T4" s="63" t="s">
        <v>16</v>
      </c>
      <c r="U4" s="62" t="s">
        <v>17</v>
      </c>
      <c r="V4" s="62" t="s">
        <v>18</v>
      </c>
      <c r="W4" s="62" t="s">
        <v>10</v>
      </c>
      <c r="X4" s="62" t="s">
        <v>11</v>
      </c>
      <c r="Y4" s="62" t="s">
        <v>12</v>
      </c>
      <c r="Z4" s="65" t="s">
        <v>19</v>
      </c>
      <c r="AA4" s="66" t="s">
        <v>20</v>
      </c>
      <c r="AB4" s="66" t="s">
        <v>21</v>
      </c>
      <c r="AC4" s="66" t="s">
        <v>3</v>
      </c>
      <c r="AD4" s="88" t="s">
        <v>66</v>
      </c>
      <c r="AE4" s="88"/>
    </row>
    <row r="5" customFormat="false" ht="11.1" hidden="false" customHeight="true" outlineLevel="0" collapsed="false">
      <c r="A5" s="67" t="s">
        <v>67</v>
      </c>
      <c r="B5" s="62" t="s">
        <v>23</v>
      </c>
      <c r="C5" s="63" t="s">
        <v>5</v>
      </c>
      <c r="D5" s="62" t="s">
        <v>24</v>
      </c>
      <c r="E5" s="63" t="s">
        <v>25</v>
      </c>
      <c r="F5" s="62" t="s">
        <v>26</v>
      </c>
      <c r="G5" s="62" t="s">
        <v>27</v>
      </c>
      <c r="H5" s="110" t="s">
        <v>28</v>
      </c>
      <c r="I5" s="62" t="s">
        <v>29</v>
      </c>
      <c r="J5" s="62" t="s">
        <v>29</v>
      </c>
      <c r="K5" s="62" t="s">
        <v>29</v>
      </c>
      <c r="L5" s="62" t="s">
        <v>30</v>
      </c>
      <c r="M5" s="62" t="s">
        <v>31</v>
      </c>
      <c r="N5" s="62" t="s">
        <v>32</v>
      </c>
      <c r="O5" s="62" t="s">
        <v>33</v>
      </c>
      <c r="P5" s="62" t="s">
        <v>34</v>
      </c>
      <c r="Q5" s="62" t="s">
        <v>35</v>
      </c>
      <c r="R5" s="62" t="s">
        <v>36</v>
      </c>
      <c r="S5" s="62" t="s">
        <v>16</v>
      </c>
      <c r="T5" s="63" t="s">
        <v>37</v>
      </c>
      <c r="U5" s="62" t="s">
        <v>38</v>
      </c>
      <c r="V5" s="62" t="s">
        <v>39</v>
      </c>
      <c r="W5" s="62" t="s">
        <v>40</v>
      </c>
      <c r="X5" s="62" t="s">
        <v>40</v>
      </c>
      <c r="Y5" s="62" t="s">
        <v>40</v>
      </c>
      <c r="Z5" s="68"/>
      <c r="AA5" s="66" t="s">
        <v>41</v>
      </c>
      <c r="AB5" s="66" t="s">
        <v>41</v>
      </c>
      <c r="AC5" s="69" t="s">
        <v>67</v>
      </c>
      <c r="AD5" s="88" t="s">
        <v>68</v>
      </c>
      <c r="AE5" s="88"/>
    </row>
    <row r="6" customFormat="false" ht="11.1" hidden="false" customHeight="true" outlineLevel="0" collapsed="false">
      <c r="A6" s="70"/>
      <c r="B6" s="70"/>
      <c r="C6" s="71"/>
      <c r="D6" s="70"/>
      <c r="E6" s="71"/>
      <c r="F6" s="70"/>
      <c r="G6" s="70"/>
      <c r="H6" s="111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1"/>
      <c r="U6" s="70"/>
      <c r="V6" s="70"/>
      <c r="W6" s="70"/>
      <c r="X6" s="70"/>
      <c r="Y6" s="70"/>
      <c r="Z6" s="56"/>
      <c r="AA6" s="58"/>
      <c r="AB6" s="58"/>
      <c r="AC6" s="58"/>
      <c r="AD6" s="92"/>
      <c r="AE6" s="92"/>
      <c r="AF6" s="93"/>
    </row>
    <row r="7" customFormat="false" ht="11.1" hidden="false" customHeight="true" outlineLevel="0" collapsed="false">
      <c r="A7" s="51" t="s">
        <v>42</v>
      </c>
      <c r="B7" s="51"/>
      <c r="C7" s="52"/>
      <c r="D7" s="52"/>
      <c r="E7" s="52"/>
      <c r="F7" s="52" t="n">
        <f aca="false">APR!F44</f>
        <v>9175.19536173431</v>
      </c>
      <c r="G7" s="52" t="n">
        <f aca="false">APR!G44</f>
        <v>35627.72</v>
      </c>
      <c r="H7" s="55" t="n">
        <f aca="false">APR!H44</f>
        <v>2003.37</v>
      </c>
      <c r="I7" s="52" t="n">
        <f aca="false">APR!I44</f>
        <v>37631.09</v>
      </c>
      <c r="J7" s="52" t="n">
        <f aca="false">APR!J44</f>
        <v>4109.3211066297</v>
      </c>
      <c r="K7" s="52" t="n">
        <f aca="false">APR!K44</f>
        <v>41740.4111066297</v>
      </c>
      <c r="L7" s="52" t="n">
        <f aca="false">APR!L44</f>
        <v>3638.84536173431</v>
      </c>
      <c r="M7" s="52" t="n">
        <f aca="false">APR!M44</f>
        <v>4824.02</v>
      </c>
      <c r="N7" s="52" t="n">
        <f aca="false">APR!N44</f>
        <v>0</v>
      </c>
      <c r="O7" s="52" t="n">
        <f aca="false">APR!O44</f>
        <v>0</v>
      </c>
      <c r="P7" s="52" t="n">
        <f aca="false">APR!P44</f>
        <v>4824.02</v>
      </c>
      <c r="Q7" s="52" t="n">
        <f aca="false">APR!Q44</f>
        <v>2690.6</v>
      </c>
      <c r="R7" s="52" t="n">
        <f aca="false">APR!R44</f>
        <v>1372.09</v>
      </c>
      <c r="S7" s="52" t="n">
        <f aca="false">APR!S44</f>
        <v>8886.71</v>
      </c>
      <c r="T7" s="52" t="n">
        <f aca="false">APR!T44</f>
        <v>0</v>
      </c>
      <c r="U7" s="52" t="n">
        <f aca="false">APR!U44</f>
        <v>201</v>
      </c>
      <c r="V7" s="52" t="n">
        <f aca="false">APR!V44</f>
        <v>23007.03</v>
      </c>
      <c r="W7" s="52" t="n">
        <f aca="false">APR!W44</f>
        <v>32094.74</v>
      </c>
      <c r="X7" s="52" t="n">
        <f aca="false">APR!X44</f>
        <v>470.475744895387</v>
      </c>
      <c r="Y7" s="52" t="n">
        <f aca="false">APR!Y44</f>
        <v>32565.2157448954</v>
      </c>
      <c r="Z7" s="56"/>
      <c r="AA7" s="57"/>
      <c r="AB7" s="57"/>
      <c r="AC7" s="58"/>
      <c r="AD7" s="92"/>
      <c r="AE7" s="93"/>
      <c r="AF7" s="93"/>
    </row>
    <row r="8" s="45" customFormat="true" ht="11.1" hidden="false" customHeight="true" outlineLevel="0" collapsed="false">
      <c r="A8" s="52" t="s">
        <v>43</v>
      </c>
      <c r="B8" s="73" t="n">
        <f aca="false">APR!B39</f>
        <v>6922.05</v>
      </c>
      <c r="C8" s="52" t="n">
        <f aca="false">APR!C39</f>
        <v>372514</v>
      </c>
      <c r="D8" s="52" t="n">
        <f aca="false">APR!D48</f>
        <v>47558</v>
      </c>
      <c r="E8" s="52" t="n">
        <f aca="false">APR!E48</f>
        <v>220514</v>
      </c>
      <c r="F8" s="52" t="n">
        <f aca="false">APR!F47</f>
        <v>23976.8086715402</v>
      </c>
      <c r="G8" s="52" t="n">
        <f aca="false">APR!G47</f>
        <v>57479.22</v>
      </c>
      <c r="H8" s="55" t="n">
        <f aca="false">APR!H47</f>
        <v>2723.84</v>
      </c>
      <c r="I8" s="52" t="n">
        <f aca="false">APR!I47</f>
        <v>60003.96</v>
      </c>
      <c r="J8" s="52" t="n">
        <f aca="false">APR!J47</f>
        <v>15212.1515906226</v>
      </c>
      <c r="K8" s="52" t="n">
        <f aca="false">APR!K47</f>
        <v>75216.1115906226</v>
      </c>
      <c r="L8" s="52" t="n">
        <f aca="false">APR!L47</f>
        <v>13239.3586715402</v>
      </c>
      <c r="M8" s="52" t="n">
        <f aca="false">APR!M47</f>
        <v>6873.28</v>
      </c>
      <c r="N8" s="52" t="n">
        <f aca="false">APR!N47</f>
        <v>0.08</v>
      </c>
      <c r="O8" s="52" t="n">
        <f aca="false">APR!O47</f>
        <v>0</v>
      </c>
      <c r="P8" s="52" t="n">
        <f aca="false">APR!P47</f>
        <v>6873.2</v>
      </c>
      <c r="Q8" s="52" t="n">
        <f aca="false">APR!Q47</f>
        <v>5409.95</v>
      </c>
      <c r="R8" s="52" t="n">
        <f aca="false">APR!R47</f>
        <v>1837.46</v>
      </c>
      <c r="S8" s="52" t="n">
        <f aca="false">APR!S47</f>
        <v>14120.61</v>
      </c>
      <c r="T8" s="52" t="n">
        <f aca="false">APR!T47</f>
        <v>0</v>
      </c>
      <c r="U8" s="52" t="n">
        <f aca="false">APR!U47</f>
        <v>201</v>
      </c>
      <c r="V8" s="52" t="n">
        <f aca="false">APR!V47</f>
        <v>35019.82</v>
      </c>
      <c r="W8" s="52" t="n">
        <f aca="false">APR!W47</f>
        <v>49266.51</v>
      </c>
      <c r="X8" s="52" t="n">
        <f aca="false">APR!X47</f>
        <v>1972.79291908243</v>
      </c>
      <c r="Y8" s="52" t="n">
        <f aca="false">APR!Y47</f>
        <v>51239.3029190824</v>
      </c>
      <c r="Z8" s="56" t="n">
        <f aca="false">APR!Z47</f>
        <v>6.21</v>
      </c>
      <c r="AA8" s="57"/>
      <c r="AB8" s="57"/>
      <c r="AC8" s="58"/>
      <c r="AD8" s="94"/>
      <c r="AE8" s="92"/>
      <c r="AF8" s="94"/>
    </row>
    <row r="9" customFormat="false" ht="3" hidden="false" customHeight="true" outlineLevel="0" collapsed="false">
      <c r="A9" s="74"/>
      <c r="B9" s="75"/>
      <c r="C9" s="76"/>
      <c r="D9" s="74"/>
      <c r="E9" s="76"/>
      <c r="F9" s="74"/>
      <c r="G9" s="74"/>
      <c r="H9" s="112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6"/>
      <c r="U9" s="74"/>
      <c r="V9" s="74"/>
      <c r="W9" s="74"/>
      <c r="X9" s="74"/>
      <c r="Y9" s="74"/>
      <c r="Z9" s="78"/>
      <c r="AA9" s="79"/>
      <c r="AB9" s="79"/>
      <c r="AC9" s="80"/>
      <c r="AD9" s="92"/>
      <c r="AE9" s="92"/>
      <c r="AF9" s="93"/>
    </row>
    <row r="10" customFormat="false" ht="11.1" hidden="false" customHeight="true" outlineLevel="0" collapsed="false">
      <c r="A10" s="58" t="n">
        <v>1</v>
      </c>
      <c r="B10" s="73" t="n">
        <v>6921.96</v>
      </c>
      <c r="C10" s="52" t="n">
        <v>371681</v>
      </c>
      <c r="D10" s="57" t="n">
        <f aca="false">C10-C8</f>
        <v>-833</v>
      </c>
      <c r="E10" s="52" t="n">
        <f aca="false">C10-152000</f>
        <v>219681</v>
      </c>
      <c r="F10" s="51" t="n">
        <f aca="false">D10/$D$2</f>
        <v>-419.964708847996</v>
      </c>
      <c r="G10" s="51" t="n">
        <v>664.97</v>
      </c>
      <c r="H10" s="55" t="n">
        <v>31.84</v>
      </c>
      <c r="I10" s="51" t="n">
        <f aca="false">G10+H10</f>
        <v>696.81</v>
      </c>
      <c r="J10" s="81" t="n">
        <f aca="false">IF(L10&gt;0,L10,0)</f>
        <v>0</v>
      </c>
      <c r="K10" s="51" t="n">
        <f aca="false">I10+J10</f>
        <v>696.81</v>
      </c>
      <c r="L10" s="51" t="n">
        <f aca="false">F10-(I10-W10)</f>
        <v>-77.774708847996</v>
      </c>
      <c r="M10" s="51" t="n">
        <v>241.93</v>
      </c>
      <c r="N10" s="51" t="n">
        <v>0</v>
      </c>
      <c r="O10" s="51" t="n">
        <v>0</v>
      </c>
      <c r="P10" s="6" t="n">
        <f aca="false">M10-(N10+O10)</f>
        <v>241.93</v>
      </c>
      <c r="Q10" s="51" t="n">
        <v>93.17</v>
      </c>
      <c r="R10" s="51" t="n">
        <v>85.9</v>
      </c>
      <c r="S10" s="51" t="n">
        <f aca="false">SUM(P10:R10)</f>
        <v>421</v>
      </c>
      <c r="T10" s="52" t="n">
        <v>0</v>
      </c>
      <c r="U10" s="51" t="n">
        <v>18</v>
      </c>
      <c r="V10" s="51" t="n">
        <v>600</v>
      </c>
      <c r="W10" s="6" t="n">
        <f aca="false">N10+O10+S10+U10+V10</f>
        <v>1039</v>
      </c>
      <c r="X10" s="51" t="n">
        <f aca="false">IF(L10&lt;0,L10*-1,0)</f>
        <v>77.774708847996</v>
      </c>
      <c r="Y10" s="51" t="n">
        <f aca="false">W10+X10</f>
        <v>1116.774708848</v>
      </c>
      <c r="Z10" s="56" t="n">
        <v>0</v>
      </c>
      <c r="AA10" s="57" t="n">
        <v>63</v>
      </c>
      <c r="AB10" s="57" t="n">
        <v>30</v>
      </c>
      <c r="AC10" s="58" t="n">
        <v>1</v>
      </c>
      <c r="AD10" s="12" t="n">
        <v>0</v>
      </c>
      <c r="AE10" s="94"/>
      <c r="AF10" s="93"/>
    </row>
    <row r="11" customFormat="false" ht="11.1" hidden="false" customHeight="true" outlineLevel="0" collapsed="false">
      <c r="A11" s="58" t="n">
        <f aca="false">A10+1</f>
        <v>2</v>
      </c>
      <c r="B11" s="73" t="n">
        <v>6921.6</v>
      </c>
      <c r="C11" s="52" t="n">
        <v>370542</v>
      </c>
      <c r="D11" s="57" t="n">
        <f aca="false">C11-C10</f>
        <v>-1139</v>
      </c>
      <c r="E11" s="52" t="n">
        <f aca="false">C11-152000</f>
        <v>218542</v>
      </c>
      <c r="F11" s="51" t="n">
        <f aca="false">D11/$D$2</f>
        <v>-574.237459037056</v>
      </c>
      <c r="G11" s="51" t="n">
        <v>628.75</v>
      </c>
      <c r="H11" s="55" t="n">
        <v>6.19</v>
      </c>
      <c r="I11" s="51" t="n">
        <f aca="false">G11+H11</f>
        <v>634.94</v>
      </c>
      <c r="J11" s="81" t="n">
        <f aca="false">IF(L11&gt;0,L11,0)</f>
        <v>0</v>
      </c>
      <c r="K11" s="51" t="n">
        <f aca="false">I11+J11</f>
        <v>634.94</v>
      </c>
      <c r="L11" s="51" t="n">
        <f aca="false">F11-(I11-W11)</f>
        <v>-85.1774590370558</v>
      </c>
      <c r="M11" s="51" t="n">
        <v>241.25</v>
      </c>
      <c r="N11" s="51" t="n">
        <v>0</v>
      </c>
      <c r="O11" s="51" t="n">
        <v>0</v>
      </c>
      <c r="P11" s="6" t="n">
        <f aca="false">M11-(N11+O11)</f>
        <v>241.25</v>
      </c>
      <c r="Q11" s="51" t="n">
        <v>153.2</v>
      </c>
      <c r="R11" s="51" t="n">
        <v>89.55</v>
      </c>
      <c r="S11" s="51" t="n">
        <f aca="false">SUM(P11:R11)</f>
        <v>484</v>
      </c>
      <c r="T11" s="52" t="n">
        <v>0</v>
      </c>
      <c r="U11" s="51" t="n">
        <v>40</v>
      </c>
      <c r="V11" s="51" t="n">
        <v>600</v>
      </c>
      <c r="W11" s="6" t="n">
        <f aca="false">N11+O11+S11+U11+V11</f>
        <v>1124</v>
      </c>
      <c r="X11" s="51" t="n">
        <f aca="false">IF(L11&lt;0,L11*-1,0)</f>
        <v>85.1774590370558</v>
      </c>
      <c r="Y11" s="51" t="n">
        <f aca="false">W11+X11</f>
        <v>1209.17745903706</v>
      </c>
      <c r="Z11" s="56" t="n">
        <v>0</v>
      </c>
      <c r="AA11" s="57" t="n">
        <v>65</v>
      </c>
      <c r="AB11" s="57" t="n">
        <v>31</v>
      </c>
      <c r="AC11" s="58" t="n">
        <f aca="false">AC10+1</f>
        <v>2</v>
      </c>
      <c r="AD11" s="12" t="n">
        <v>0</v>
      </c>
      <c r="AE11" s="94"/>
      <c r="AF11" s="93"/>
    </row>
    <row r="12" customFormat="false" ht="11.1" hidden="false" customHeight="true" outlineLevel="0" collapsed="false">
      <c r="A12" s="58" t="n">
        <f aca="false">A11+1</f>
        <v>3</v>
      </c>
      <c r="B12" s="73" t="n">
        <v>6921.35</v>
      </c>
      <c r="C12" s="52" t="n">
        <v>369447</v>
      </c>
      <c r="D12" s="57" t="n">
        <f aca="false">C12-C11</f>
        <v>-1095</v>
      </c>
      <c r="E12" s="52" t="n">
        <f aca="false">C12-152000</f>
        <v>217447</v>
      </c>
      <c r="F12" s="51" t="n">
        <f aca="false">D12/$D$2</f>
        <v>-552.054449205949</v>
      </c>
      <c r="G12" s="51" t="n">
        <v>661.46</v>
      </c>
      <c r="H12" s="55" t="n">
        <v>0</v>
      </c>
      <c r="I12" s="51" t="n">
        <f aca="false">G12+H12</f>
        <v>661.46</v>
      </c>
      <c r="J12" s="81" t="n">
        <f aca="false">IF(L12&gt;0,L12,0)</f>
        <v>0</v>
      </c>
      <c r="K12" s="51" t="n">
        <f aca="false">I12+J12</f>
        <v>661.46</v>
      </c>
      <c r="L12" s="51" t="n">
        <f aca="false">F12-(I12-W12)</f>
        <v>-54.5144492059491</v>
      </c>
      <c r="M12" s="51" t="n">
        <v>241</v>
      </c>
      <c r="N12" s="51" t="n">
        <v>0</v>
      </c>
      <c r="O12" s="51" t="n">
        <v>0</v>
      </c>
      <c r="P12" s="6" t="n">
        <f aca="false">M12-(N12+O12)</f>
        <v>241</v>
      </c>
      <c r="Q12" s="51" t="n">
        <v>182.33</v>
      </c>
      <c r="R12" s="51" t="n">
        <v>90.67</v>
      </c>
      <c r="S12" s="51" t="n">
        <f aca="false">SUM(P12:R12)</f>
        <v>514</v>
      </c>
      <c r="T12" s="52" t="n">
        <v>0</v>
      </c>
      <c r="U12" s="51" t="n">
        <v>45</v>
      </c>
      <c r="V12" s="51" t="n">
        <v>600</v>
      </c>
      <c r="W12" s="6" t="n">
        <f aca="false">N12+O12+S12+U12+V12</f>
        <v>1159</v>
      </c>
      <c r="X12" s="51" t="n">
        <f aca="false">IF(L12&lt;0,L12*-1,0)</f>
        <v>54.5144492059491</v>
      </c>
      <c r="Y12" s="51" t="n">
        <f aca="false">W12+X12</f>
        <v>1213.51444920595</v>
      </c>
      <c r="Z12" s="56" t="n">
        <v>0</v>
      </c>
      <c r="AA12" s="57" t="n">
        <v>66</v>
      </c>
      <c r="AB12" s="57" t="n">
        <v>32</v>
      </c>
      <c r="AC12" s="58" t="n">
        <f aca="false">AC11+1</f>
        <v>3</v>
      </c>
      <c r="AD12" s="12" t="n">
        <v>0</v>
      </c>
      <c r="AE12" s="94"/>
      <c r="AF12" s="93"/>
    </row>
    <row r="13" customFormat="false" ht="11.1" hidden="false" customHeight="true" outlineLevel="0" collapsed="false">
      <c r="A13" s="58" t="n">
        <f aca="false">A12+1</f>
        <v>4</v>
      </c>
      <c r="B13" s="73" t="n">
        <v>6921.13</v>
      </c>
      <c r="C13" s="52" t="n">
        <v>368484</v>
      </c>
      <c r="D13" s="57" t="n">
        <f aca="false">C13-C12</f>
        <v>-963</v>
      </c>
      <c r="E13" s="52" t="n">
        <f aca="false">C13-152000</f>
        <v>216484</v>
      </c>
      <c r="F13" s="51" t="n">
        <f aca="false">D13/$D$2</f>
        <v>-485.505419712629</v>
      </c>
      <c r="G13" s="51" t="n">
        <v>712.77</v>
      </c>
      <c r="H13" s="55" t="n">
        <v>0</v>
      </c>
      <c r="I13" s="51" t="n">
        <f aca="false">G13+H13</f>
        <v>712.77</v>
      </c>
      <c r="J13" s="81" t="n">
        <f aca="false">IF(L13&gt;0,L13,0)</f>
        <v>0</v>
      </c>
      <c r="K13" s="51" t="n">
        <f aca="false">I13+J13</f>
        <v>712.77</v>
      </c>
      <c r="L13" s="51" t="n">
        <f aca="false">F13-(I13-W13)</f>
        <v>-31.2754197126292</v>
      </c>
      <c r="M13" s="51" t="n">
        <v>240.89</v>
      </c>
      <c r="N13" s="51" t="n">
        <v>0</v>
      </c>
      <c r="O13" s="51" t="n">
        <v>0</v>
      </c>
      <c r="P13" s="6" t="n">
        <f aca="false">M13-(N13+O13)</f>
        <v>240.89</v>
      </c>
      <c r="Q13" s="51" t="n">
        <v>182.59</v>
      </c>
      <c r="R13" s="51" t="n">
        <v>90.52</v>
      </c>
      <c r="S13" s="51" t="n">
        <f aca="false">SUM(P13:R13)</f>
        <v>514</v>
      </c>
      <c r="T13" s="52" t="n">
        <v>0</v>
      </c>
      <c r="U13" s="51" t="n">
        <v>53</v>
      </c>
      <c r="V13" s="51" t="n">
        <v>600</v>
      </c>
      <c r="W13" s="6" t="n">
        <f aca="false">N13+O13+S13+U13+V13</f>
        <v>1167</v>
      </c>
      <c r="X13" s="51" t="n">
        <f aca="false">IF(L13&lt;0,L13*-1,0)</f>
        <v>31.2754197126292</v>
      </c>
      <c r="Y13" s="51" t="n">
        <f aca="false">W13+X13</f>
        <v>1198.27541971263</v>
      </c>
      <c r="Z13" s="56" t="n">
        <v>0</v>
      </c>
      <c r="AA13" s="57" t="n">
        <v>60</v>
      </c>
      <c r="AB13" s="57" t="n">
        <v>33</v>
      </c>
      <c r="AC13" s="58" t="n">
        <f aca="false">AC12+1</f>
        <v>4</v>
      </c>
      <c r="AD13" s="12" t="n">
        <v>0</v>
      </c>
      <c r="AE13" s="94"/>
      <c r="AF13" s="93"/>
    </row>
    <row r="14" customFormat="false" ht="11.1" hidden="false" customHeight="true" outlineLevel="0" collapsed="false">
      <c r="A14" s="58" t="n">
        <f aca="false">A13+1</f>
        <v>5</v>
      </c>
      <c r="B14" s="73" t="n">
        <v>3920.96</v>
      </c>
      <c r="C14" s="52" t="n">
        <v>367741</v>
      </c>
      <c r="D14" s="57" t="n">
        <f aca="false">C14-C13</f>
        <v>-743</v>
      </c>
      <c r="E14" s="52" t="n">
        <f aca="false">C14-152000</f>
        <v>215741</v>
      </c>
      <c r="F14" s="51" t="n">
        <f aca="false">D14/$D$2</f>
        <v>-374.590370557096</v>
      </c>
      <c r="G14" s="51" t="n">
        <v>830.97</v>
      </c>
      <c r="H14" s="55" t="n">
        <v>0</v>
      </c>
      <c r="I14" s="51" t="n">
        <f aca="false">G14+H14</f>
        <v>830.97</v>
      </c>
      <c r="J14" s="81" t="n">
        <f aca="false">IF(L14&gt;0,L14,0)</f>
        <v>0</v>
      </c>
      <c r="K14" s="51" t="n">
        <f aca="false">I14+J14</f>
        <v>830.97</v>
      </c>
      <c r="L14" s="51" t="n">
        <f aca="false">F14-(I14-W14)</f>
        <v>-39.5603705570961</v>
      </c>
      <c r="M14" s="51" t="n">
        <v>240.76</v>
      </c>
      <c r="N14" s="51" t="n">
        <v>0</v>
      </c>
      <c r="O14" s="51" t="n">
        <v>0</v>
      </c>
      <c r="P14" s="6" t="n">
        <f aca="false">M14-(N14+O14)</f>
        <v>240.76</v>
      </c>
      <c r="Q14" s="51" t="n">
        <v>182.11</v>
      </c>
      <c r="R14" s="51" t="n">
        <v>91.13</v>
      </c>
      <c r="S14" s="51" t="n">
        <f aca="false">SUM(P14:R14)</f>
        <v>514</v>
      </c>
      <c r="T14" s="52" t="n">
        <v>0</v>
      </c>
      <c r="U14" s="51" t="n">
        <v>52</v>
      </c>
      <c r="V14" s="51" t="n">
        <v>600</v>
      </c>
      <c r="W14" s="6" t="n">
        <f aca="false">N14+O14+S14+U14+V14</f>
        <v>1166</v>
      </c>
      <c r="X14" s="51" t="n">
        <f aca="false">IF(L14&lt;0,L14*-1,0)</f>
        <v>39.5603705570961</v>
      </c>
      <c r="Y14" s="51" t="n">
        <f aca="false">W14+X14</f>
        <v>1205.5603705571</v>
      </c>
      <c r="Z14" s="56" t="n">
        <v>0</v>
      </c>
      <c r="AA14" s="57" t="n">
        <v>70</v>
      </c>
      <c r="AB14" s="57" t="n">
        <v>33</v>
      </c>
      <c r="AC14" s="58" t="n">
        <f aca="false">AC13+1</f>
        <v>5</v>
      </c>
      <c r="AD14" s="12" t="n">
        <v>0</v>
      </c>
      <c r="AE14" s="94"/>
      <c r="AF14" s="93"/>
    </row>
    <row r="15" customFormat="false" ht="11.1" hidden="false" customHeight="true" outlineLevel="0" collapsed="false">
      <c r="A15" s="58" t="n">
        <f aca="false">A14+1</f>
        <v>6</v>
      </c>
      <c r="B15" s="73" t="n">
        <v>6920.9</v>
      </c>
      <c r="C15" s="52" t="n">
        <v>367481</v>
      </c>
      <c r="D15" s="57" t="n">
        <f aca="false">C15-C14</f>
        <v>-260</v>
      </c>
      <c r="E15" s="52" t="n">
        <f aca="false">C15-152000</f>
        <v>215481</v>
      </c>
      <c r="F15" s="51" t="n">
        <f aca="false">D15/$D$2</f>
        <v>-131.081421729266</v>
      </c>
      <c r="G15" s="51" t="n">
        <v>1057.11</v>
      </c>
      <c r="H15" s="55" t="n">
        <v>0</v>
      </c>
      <c r="I15" s="51" t="n">
        <f aca="false">G15+H15</f>
        <v>1057.11</v>
      </c>
      <c r="J15" s="81" t="n">
        <f aca="false">IF(L15&gt;0,L15,0)</f>
        <v>0</v>
      </c>
      <c r="K15" s="51" t="n">
        <f aca="false">I15+J15</f>
        <v>1057.11</v>
      </c>
      <c r="L15" s="51" t="n">
        <f aca="false">F15-(I15-W15)</f>
        <v>-12.1914217292664</v>
      </c>
      <c r="M15" s="51" t="n">
        <v>240.38</v>
      </c>
      <c r="N15" s="51" t="n">
        <v>0</v>
      </c>
      <c r="O15" s="51" t="n">
        <v>0</v>
      </c>
      <c r="P15" s="6" t="n">
        <f aca="false">M15-(N15+O15)</f>
        <v>240.38</v>
      </c>
      <c r="Q15" s="51" t="n">
        <v>181.54</v>
      </c>
      <c r="R15" s="51" t="n">
        <v>91.08</v>
      </c>
      <c r="S15" s="51" t="n">
        <f aca="false">SUM(P15:R15)</f>
        <v>513</v>
      </c>
      <c r="T15" s="52" t="n">
        <v>0</v>
      </c>
      <c r="U15" s="51" t="n">
        <v>63</v>
      </c>
      <c r="V15" s="51" t="n">
        <v>600</v>
      </c>
      <c r="W15" s="6" t="n">
        <f aca="false">N15+O15+S15+U15+V15</f>
        <v>1176</v>
      </c>
      <c r="X15" s="51" t="n">
        <f aca="false">IF(L15&lt;0,L15*-1,0)</f>
        <v>12.1914217292664</v>
      </c>
      <c r="Y15" s="51" t="n">
        <f aca="false">W15+X15</f>
        <v>1188.19142172927</v>
      </c>
      <c r="Z15" s="56" t="n">
        <v>0</v>
      </c>
      <c r="AA15" s="57" t="n">
        <v>73</v>
      </c>
      <c r="AB15" s="57" t="n">
        <v>38</v>
      </c>
      <c r="AC15" s="58" t="n">
        <f aca="false">AC14+1</f>
        <v>6</v>
      </c>
      <c r="AD15" s="12" t="n">
        <v>0</v>
      </c>
      <c r="AE15" s="94"/>
      <c r="AF15" s="93"/>
    </row>
    <row r="16" customFormat="false" ht="11.1" hidden="false" customHeight="true" outlineLevel="0" collapsed="false">
      <c r="A16" s="58" t="n">
        <f aca="false">A15+1</f>
        <v>7</v>
      </c>
      <c r="B16" s="73" t="n">
        <v>6920.98</v>
      </c>
      <c r="C16" s="52" t="n">
        <v>367828</v>
      </c>
      <c r="D16" s="57" t="n">
        <f aca="false">C16-C15</f>
        <v>347</v>
      </c>
      <c r="E16" s="52" t="n">
        <f aca="false">C16-152000</f>
        <v>215828</v>
      </c>
      <c r="F16" s="51" t="n">
        <f aca="false">D16/$D$2</f>
        <v>174.943282077136</v>
      </c>
      <c r="G16" s="51" t="n">
        <v>1352.27</v>
      </c>
      <c r="H16" s="55" t="n">
        <v>0</v>
      </c>
      <c r="I16" s="51" t="n">
        <f aca="false">G16+H16</f>
        <v>1352.27</v>
      </c>
      <c r="J16" s="81" t="n">
        <f aca="false">IF(L16&gt;0,L16,0)</f>
        <v>12.6732820771364</v>
      </c>
      <c r="K16" s="51" t="n">
        <f aca="false">I16+J16</f>
        <v>1364.94328207714</v>
      </c>
      <c r="L16" s="51" t="n">
        <f aca="false">F16-(I16-W16)</f>
        <v>12.6732820771364</v>
      </c>
      <c r="M16" s="51" t="n">
        <v>240.35</v>
      </c>
      <c r="N16" s="51" t="n">
        <v>0</v>
      </c>
      <c r="O16" s="51" t="n">
        <v>0</v>
      </c>
      <c r="P16" s="6" t="n">
        <f aca="false">M16-(N16+O16)</f>
        <v>240.35</v>
      </c>
      <c r="Q16" s="51" t="n">
        <v>181.45</v>
      </c>
      <c r="R16" s="51" t="n">
        <v>91.2</v>
      </c>
      <c r="S16" s="51" t="n">
        <f aca="false">SUM(P16:R16)</f>
        <v>513</v>
      </c>
      <c r="T16" s="52" t="n">
        <v>0</v>
      </c>
      <c r="U16" s="51" t="n">
        <v>77</v>
      </c>
      <c r="V16" s="51" t="n">
        <v>600</v>
      </c>
      <c r="W16" s="6" t="n">
        <f aca="false">N16+O16+S16+U16+V16</f>
        <v>1190</v>
      </c>
      <c r="X16" s="51" t="n">
        <f aca="false">IF(L16&lt;0,L16*-1,0)</f>
        <v>0</v>
      </c>
      <c r="Y16" s="51" t="n">
        <f aca="false">W16+X16</f>
        <v>1190</v>
      </c>
      <c r="Z16" s="56" t="n">
        <v>0</v>
      </c>
      <c r="AA16" s="57" t="n">
        <v>78</v>
      </c>
      <c r="AB16" s="57" t="n">
        <v>40</v>
      </c>
      <c r="AC16" s="58" t="n">
        <f aca="false">AC15+1</f>
        <v>7</v>
      </c>
      <c r="AD16" s="12" t="n">
        <v>0</v>
      </c>
      <c r="AE16" s="94"/>
      <c r="AF16" s="93"/>
    </row>
    <row r="17" customFormat="false" ht="11.1" hidden="false" customHeight="true" outlineLevel="0" collapsed="false">
      <c r="A17" s="58" t="n">
        <f aca="false">A16+1</f>
        <v>8</v>
      </c>
      <c r="B17" s="73" t="n">
        <v>6921.15</v>
      </c>
      <c r="C17" s="52" t="n">
        <v>368572</v>
      </c>
      <c r="D17" s="57" t="n">
        <f aca="false">C17-C16</f>
        <v>744</v>
      </c>
      <c r="E17" s="52" t="n">
        <f aca="false">C17-152000</f>
        <v>216572</v>
      </c>
      <c r="F17" s="51" t="n">
        <f aca="false">D17/$D$2</f>
        <v>375.094529871439</v>
      </c>
      <c r="G17" s="51" t="n">
        <v>1495.2</v>
      </c>
      <c r="H17" s="55" t="n">
        <v>0</v>
      </c>
      <c r="I17" s="51" t="n">
        <f aca="false">G17+H17</f>
        <v>1495.2</v>
      </c>
      <c r="J17" s="81" t="n">
        <f aca="false">IF(L17&gt;0,L17,0)</f>
        <v>63.8945298714393</v>
      </c>
      <c r="K17" s="51" t="n">
        <f aca="false">I17+J17</f>
        <v>1559.09452987144</v>
      </c>
      <c r="L17" s="51" t="n">
        <f aca="false">F17-(I17-W17)</f>
        <v>63.8945298714393</v>
      </c>
      <c r="M17" s="51" t="n">
        <v>240.61</v>
      </c>
      <c r="N17" s="51" t="n">
        <v>0</v>
      </c>
      <c r="O17" s="51" t="n">
        <v>0</v>
      </c>
      <c r="P17" s="6" t="n">
        <f aca="false">M17-(N17+O17)</f>
        <v>240.61</v>
      </c>
      <c r="Q17" s="51" t="n">
        <v>181.72</v>
      </c>
      <c r="R17" s="51" t="n">
        <v>90.67</v>
      </c>
      <c r="S17" s="51" t="n">
        <f aca="false">SUM(P17:R17)</f>
        <v>513</v>
      </c>
      <c r="T17" s="52" t="n">
        <v>0</v>
      </c>
      <c r="U17" s="51" t="n">
        <v>71</v>
      </c>
      <c r="V17" s="51" t="n">
        <v>600</v>
      </c>
      <c r="W17" s="6" t="n">
        <f aca="false">N17+O17+S17+U17+V17</f>
        <v>1184</v>
      </c>
      <c r="X17" s="51" t="n">
        <f aca="false">IF(L17&lt;0,L17*-1,0)</f>
        <v>0</v>
      </c>
      <c r="Y17" s="51" t="n">
        <f aca="false">W17+X17</f>
        <v>1184</v>
      </c>
      <c r="Z17" s="56" t="n">
        <v>0</v>
      </c>
      <c r="AA17" s="57" t="n">
        <v>77</v>
      </c>
      <c r="AB17" s="57" t="n">
        <v>42</v>
      </c>
      <c r="AC17" s="58" t="n">
        <f aca="false">AC16+1</f>
        <v>8</v>
      </c>
      <c r="AD17" s="12" t="n">
        <v>0</v>
      </c>
      <c r="AE17" s="94"/>
      <c r="AF17" s="93"/>
    </row>
    <row r="18" customFormat="false" ht="11.1" hidden="false" customHeight="true" outlineLevel="0" collapsed="false">
      <c r="A18" s="58" t="n">
        <f aca="false">A17+1</f>
        <v>9</v>
      </c>
      <c r="B18" s="73" t="n">
        <v>6921.38</v>
      </c>
      <c r="C18" s="52" t="n">
        <v>369579</v>
      </c>
      <c r="D18" s="57" t="n">
        <f aca="false">C18-C17</f>
        <v>1007</v>
      </c>
      <c r="E18" s="52" t="n">
        <f aca="false">C18-152000</f>
        <v>217579</v>
      </c>
      <c r="F18" s="51" t="n">
        <f aca="false">D18/$D$2</f>
        <v>507.688429543736</v>
      </c>
      <c r="G18" s="51" t="n">
        <v>1747.38</v>
      </c>
      <c r="H18" s="55" t="n">
        <v>0</v>
      </c>
      <c r="I18" s="51" t="n">
        <f aca="false">G18+H18</f>
        <v>1747.38</v>
      </c>
      <c r="J18" s="81" t="n">
        <f aca="false">IF(L18&gt;0,L18,0)</f>
        <v>0</v>
      </c>
      <c r="K18" s="51" t="n">
        <f aca="false">I18+J18</f>
        <v>1747.38</v>
      </c>
      <c r="L18" s="51" t="n">
        <f aca="false">F18-(I18-W18)</f>
        <v>-48.6915704562643</v>
      </c>
      <c r="M18" s="51" t="n">
        <v>240.89</v>
      </c>
      <c r="N18" s="51" t="n">
        <v>0</v>
      </c>
      <c r="O18" s="51" t="n">
        <v>0</v>
      </c>
      <c r="P18" s="6" t="n">
        <f aca="false">M18-(N18+O18)</f>
        <v>240.89</v>
      </c>
      <c r="Q18" s="51" t="n">
        <v>181.75</v>
      </c>
      <c r="R18" s="51" t="n">
        <v>91.36</v>
      </c>
      <c r="S18" s="51" t="n">
        <f aca="false">SUM(P18:R18)</f>
        <v>514</v>
      </c>
      <c r="T18" s="52" t="n">
        <v>0</v>
      </c>
      <c r="U18" s="51" t="n">
        <v>77</v>
      </c>
      <c r="V18" s="51" t="n">
        <v>600</v>
      </c>
      <c r="W18" s="6" t="n">
        <f aca="false">N18+O18+S18+U18+V18</f>
        <v>1191</v>
      </c>
      <c r="X18" s="51" t="n">
        <f aca="false">IF(L18&lt;0,L18*-1,0)</f>
        <v>48.6915704562643</v>
      </c>
      <c r="Y18" s="51" t="n">
        <f aca="false">W18+X18</f>
        <v>1239.69157045626</v>
      </c>
      <c r="Z18" s="56" t="n">
        <v>0</v>
      </c>
      <c r="AA18" s="57" t="n">
        <v>77</v>
      </c>
      <c r="AB18" s="57" t="n">
        <v>42</v>
      </c>
      <c r="AC18" s="58" t="n">
        <f aca="false">AC17+1</f>
        <v>9</v>
      </c>
      <c r="AD18" s="12" t="n">
        <v>0</v>
      </c>
      <c r="AE18" s="94"/>
      <c r="AF18" s="93"/>
    </row>
    <row r="19" customFormat="false" ht="11.1" hidden="false" customHeight="true" outlineLevel="0" collapsed="false">
      <c r="A19" s="58" t="n">
        <f aca="false">A18+1</f>
        <v>10</v>
      </c>
      <c r="B19" s="73" t="n">
        <v>6921.65</v>
      </c>
      <c r="C19" s="52" t="n">
        <v>370761</v>
      </c>
      <c r="D19" s="57" t="n">
        <f aca="false">C19-C18</f>
        <v>1182</v>
      </c>
      <c r="E19" s="52" t="n">
        <f aca="false">C19-152000</f>
        <v>218761</v>
      </c>
      <c r="F19" s="51" t="n">
        <f aca="false">D19/$D$2</f>
        <v>595.916309553819</v>
      </c>
      <c r="G19" s="51" t="n">
        <v>1765.53</v>
      </c>
      <c r="H19" s="55" t="n">
        <v>16.76</v>
      </c>
      <c r="I19" s="51" t="n">
        <f aca="false">G19+H19</f>
        <v>1782.29</v>
      </c>
      <c r="J19" s="81" t="n">
        <f aca="false">IF(L19&gt;0,L19,0)</f>
        <v>0</v>
      </c>
      <c r="K19" s="51" t="n">
        <f aca="false">I19+J19</f>
        <v>1782.29</v>
      </c>
      <c r="L19" s="51" t="n">
        <f aca="false">F19-(I19-W19)</f>
        <v>-23.3736904461809</v>
      </c>
      <c r="M19" s="51" t="n">
        <v>241</v>
      </c>
      <c r="N19" s="51" t="n">
        <v>0</v>
      </c>
      <c r="O19" s="51" t="n">
        <v>0</v>
      </c>
      <c r="P19" s="6" t="n">
        <f aca="false">M19-(N19+O19)</f>
        <v>241</v>
      </c>
      <c r="Q19" s="51" t="n">
        <v>171.54</v>
      </c>
      <c r="R19" s="51" t="n">
        <v>88.46</v>
      </c>
      <c r="S19" s="51" t="n">
        <f aca="false">SUM(P19:R19)</f>
        <v>501</v>
      </c>
      <c r="T19" s="52" t="n">
        <v>0</v>
      </c>
      <c r="U19" s="51" t="n">
        <v>62</v>
      </c>
      <c r="V19" s="51" t="n">
        <v>600</v>
      </c>
      <c r="W19" s="6" t="n">
        <f aca="false">N19+O19+S19+U19+V19</f>
        <v>1163</v>
      </c>
      <c r="X19" s="51" t="n">
        <f aca="false">IF(L19&lt;0,L19*-1,0)</f>
        <v>23.3736904461809</v>
      </c>
      <c r="Y19" s="51" t="n">
        <f aca="false">W19+X19</f>
        <v>1186.37369044618</v>
      </c>
      <c r="Z19" s="56" t="n">
        <v>0</v>
      </c>
      <c r="AA19" s="57" t="n">
        <v>69</v>
      </c>
      <c r="AB19" s="57" t="n">
        <v>48</v>
      </c>
      <c r="AC19" s="58" t="n">
        <f aca="false">AC18+1</f>
        <v>10</v>
      </c>
      <c r="AD19" s="12" t="n">
        <v>0</v>
      </c>
      <c r="AE19" s="94"/>
      <c r="AF19" s="93"/>
    </row>
    <row r="20" customFormat="false" ht="11.1" hidden="false" customHeight="true" outlineLevel="0" collapsed="false">
      <c r="A20" s="58" t="n">
        <f aca="false">A19+1</f>
        <v>11</v>
      </c>
      <c r="B20" s="73" t="n">
        <v>6921.81</v>
      </c>
      <c r="C20" s="52" t="n">
        <v>371462</v>
      </c>
      <c r="D20" s="57" t="n">
        <f aca="false">C20-C19</f>
        <v>701</v>
      </c>
      <c r="E20" s="52" t="n">
        <f aca="false">C20-152000</f>
        <v>219462</v>
      </c>
      <c r="F20" s="51" t="n">
        <f aca="false">D20/$D$2</f>
        <v>353.415679354676</v>
      </c>
      <c r="G20" s="51" t="n">
        <v>1688.3</v>
      </c>
      <c r="H20" s="55" t="n">
        <v>17.6</v>
      </c>
      <c r="I20" s="51" t="n">
        <f aca="false">G20+H20</f>
        <v>1705.9</v>
      </c>
      <c r="J20" s="81" t="n">
        <f aca="false">IF(L20&gt;0,L20,0)</f>
        <v>0</v>
      </c>
      <c r="K20" s="51" t="n">
        <f aca="false">I20+J20</f>
        <v>1705.9</v>
      </c>
      <c r="L20" s="51" t="n">
        <f aca="false">F20-(I20-W20)</f>
        <v>-183.484320645324</v>
      </c>
      <c r="M20" s="51" t="n">
        <v>241.14</v>
      </c>
      <c r="N20" s="51" t="n">
        <v>0</v>
      </c>
      <c r="O20" s="51" t="n">
        <v>0</v>
      </c>
      <c r="P20" s="6" t="n">
        <f aca="false">M20-(N20+O20)</f>
        <v>241.14</v>
      </c>
      <c r="Q20" s="51" t="n">
        <v>166.63</v>
      </c>
      <c r="R20" s="51" t="n">
        <v>87.23</v>
      </c>
      <c r="S20" s="51" t="n">
        <f aca="false">SUM(P20:R20)</f>
        <v>495</v>
      </c>
      <c r="T20" s="52" t="n">
        <v>0</v>
      </c>
      <c r="U20" s="51" t="n">
        <v>74</v>
      </c>
      <c r="V20" s="51" t="n">
        <v>600</v>
      </c>
      <c r="W20" s="6" t="n">
        <f aca="false">N20+O20+S20+U20+V20</f>
        <v>1169</v>
      </c>
      <c r="X20" s="51" t="n">
        <f aca="false">IF(L20&lt;0,L20*-1,0)</f>
        <v>183.484320645324</v>
      </c>
      <c r="Y20" s="51" t="n">
        <f aca="false">W20+X20</f>
        <v>1352.48432064532</v>
      </c>
      <c r="Z20" s="56" t="n">
        <v>0</v>
      </c>
      <c r="AA20" s="57" t="n">
        <v>66</v>
      </c>
      <c r="AB20" s="57" t="n">
        <v>37</v>
      </c>
      <c r="AC20" s="58" t="n">
        <f aca="false">AC19+1</f>
        <v>11</v>
      </c>
      <c r="AD20" s="12" t="n">
        <v>0</v>
      </c>
      <c r="AE20" s="94"/>
      <c r="AF20" s="93"/>
    </row>
    <row r="21" customFormat="false" ht="11.1" hidden="false" customHeight="true" outlineLevel="0" collapsed="false">
      <c r="A21" s="58" t="n">
        <f aca="false">A20+1</f>
        <v>12</v>
      </c>
      <c r="B21" s="73" t="n">
        <v>6921.83</v>
      </c>
      <c r="C21" s="52" t="n">
        <v>371549</v>
      </c>
      <c r="D21" s="57" t="n">
        <f aca="false">C21-C20</f>
        <v>87</v>
      </c>
      <c r="E21" s="52" t="n">
        <f aca="false">C21-152000</f>
        <v>219549</v>
      </c>
      <c r="F21" s="51" t="n">
        <f aca="false">D21/$D$2</f>
        <v>43.8618603478699</v>
      </c>
      <c r="G21" s="51" t="n">
        <v>1402.59</v>
      </c>
      <c r="H21" s="55" t="n">
        <v>10.24</v>
      </c>
      <c r="I21" s="51" t="n">
        <f aca="false">G21+H21</f>
        <v>1412.83</v>
      </c>
      <c r="J21" s="81" t="n">
        <f aca="false">IF(L21&gt;0,L21,0)</f>
        <v>0</v>
      </c>
      <c r="K21" s="51" t="n">
        <f aca="false">I21+J21</f>
        <v>1412.83</v>
      </c>
      <c r="L21" s="51" t="n">
        <f aca="false">F21-(I21-W21)</f>
        <v>-217.96813965213</v>
      </c>
      <c r="M21" s="51" t="n">
        <v>241.11</v>
      </c>
      <c r="N21" s="51" t="n">
        <v>0</v>
      </c>
      <c r="O21" s="51" t="n">
        <v>0</v>
      </c>
      <c r="P21" s="6" t="n">
        <f aca="false">M21-(N21+O21)</f>
        <v>241.11</v>
      </c>
      <c r="Q21" s="51" t="n">
        <v>167.56</v>
      </c>
      <c r="R21" s="51" t="n">
        <v>87.33</v>
      </c>
      <c r="S21" s="51" t="n">
        <f aca="false">SUM(P21:R21)</f>
        <v>496</v>
      </c>
      <c r="T21" s="52" t="n">
        <v>0</v>
      </c>
      <c r="U21" s="51" t="n">
        <v>55</v>
      </c>
      <c r="V21" s="51" t="n">
        <v>600</v>
      </c>
      <c r="W21" s="6" t="n">
        <f aca="false">N21+O21+S21+U21+V21</f>
        <v>1151</v>
      </c>
      <c r="X21" s="51" t="n">
        <f aca="false">IF(L21&lt;0,L21*-1,0)</f>
        <v>217.96813965213</v>
      </c>
      <c r="Y21" s="51" t="n">
        <f aca="false">W21+X21</f>
        <v>1368.96813965213</v>
      </c>
      <c r="Z21" s="56" t="n">
        <v>0</v>
      </c>
      <c r="AA21" s="57" t="n">
        <v>48</v>
      </c>
      <c r="AB21" s="57" t="n">
        <v>31</v>
      </c>
      <c r="AC21" s="58" t="n">
        <f aca="false">AC20+1</f>
        <v>12</v>
      </c>
      <c r="AD21" s="12" t="n">
        <v>0</v>
      </c>
      <c r="AE21" s="94"/>
      <c r="AF21" s="93"/>
    </row>
    <row r="22" customFormat="false" ht="11.1" hidden="false" customHeight="true" outlineLevel="0" collapsed="false">
      <c r="A22" s="58" t="n">
        <f aca="false">A21+1</f>
        <v>13</v>
      </c>
      <c r="B22" s="73" t="n">
        <v>6921.77</v>
      </c>
      <c r="C22" s="52" t="n">
        <v>371286</v>
      </c>
      <c r="D22" s="57" t="n">
        <f aca="false">C22-C21</f>
        <v>-263</v>
      </c>
      <c r="E22" s="52" t="n">
        <f aca="false">C22-152000</f>
        <v>219286</v>
      </c>
      <c r="F22" s="51" t="n">
        <f aca="false">D22/$D$2</f>
        <v>-132.593899672296</v>
      </c>
      <c r="G22" s="51" t="n">
        <v>1143.57</v>
      </c>
      <c r="H22" s="55" t="n">
        <v>3.41</v>
      </c>
      <c r="I22" s="51" t="n">
        <f aca="false">G22+H22</f>
        <v>1146.98</v>
      </c>
      <c r="J22" s="81" t="n">
        <f aca="false">IF(L22&gt;0,L22,0)</f>
        <v>0</v>
      </c>
      <c r="K22" s="51" t="n">
        <f aca="false">I22+J22</f>
        <v>1146.98</v>
      </c>
      <c r="L22" s="51" t="n">
        <f aca="false">F22-(I22-W22)</f>
        <v>-114.573899672296</v>
      </c>
      <c r="M22" s="51" t="n">
        <v>241.08</v>
      </c>
      <c r="N22" s="51" t="n">
        <v>0</v>
      </c>
      <c r="O22" s="51" t="n">
        <v>0</v>
      </c>
      <c r="P22" s="6" t="n">
        <f aca="false">M22-(N22+O22)</f>
        <v>241.08</v>
      </c>
      <c r="Q22" s="51" t="n">
        <v>167.81</v>
      </c>
      <c r="R22" s="51" t="n">
        <v>88.11</v>
      </c>
      <c r="S22" s="51" t="n">
        <f aca="false">SUM(P22:R22)</f>
        <v>497</v>
      </c>
      <c r="T22" s="52" t="n">
        <v>0</v>
      </c>
      <c r="U22" s="51" t="n">
        <v>68</v>
      </c>
      <c r="V22" s="51" t="n">
        <v>600</v>
      </c>
      <c r="W22" s="6" t="n">
        <f aca="false">N22+O22+S22+U22+V22</f>
        <v>1165</v>
      </c>
      <c r="X22" s="51" t="n">
        <f aca="false">IF(L22&lt;0,L22*-1,0)</f>
        <v>114.573899672296</v>
      </c>
      <c r="Y22" s="51" t="n">
        <f aca="false">W22+X22</f>
        <v>1279.5738996723</v>
      </c>
      <c r="Z22" s="56" t="n">
        <v>0.06</v>
      </c>
      <c r="AA22" s="57" t="n">
        <v>55</v>
      </c>
      <c r="AB22" s="57" t="n">
        <v>26</v>
      </c>
      <c r="AC22" s="58" t="n">
        <f aca="false">AC21+1</f>
        <v>13</v>
      </c>
      <c r="AD22" s="12" t="n">
        <v>0</v>
      </c>
      <c r="AE22" s="94"/>
      <c r="AF22" s="93"/>
    </row>
    <row r="23" customFormat="false" ht="11.1" hidden="false" customHeight="true" outlineLevel="0" collapsed="false">
      <c r="A23" s="58" t="n">
        <f aca="false">A22+1</f>
        <v>14</v>
      </c>
      <c r="B23" s="73" t="n">
        <v>6921.68</v>
      </c>
      <c r="C23" s="52" t="n">
        <v>370892</v>
      </c>
      <c r="D23" s="57" t="n">
        <f aca="false">C23-C22</f>
        <v>-394</v>
      </c>
      <c r="E23" s="52" t="n">
        <f aca="false">C23-152000</f>
        <v>218892</v>
      </c>
      <c r="F23" s="51" t="n">
        <f aca="false">D23/$D$2</f>
        <v>-198.638769851273</v>
      </c>
      <c r="G23" s="51" t="n">
        <v>1028</v>
      </c>
      <c r="H23" s="55" t="n">
        <v>0</v>
      </c>
      <c r="I23" s="51" t="n">
        <f aca="false">G23+H23</f>
        <v>1028</v>
      </c>
      <c r="J23" s="81" t="n">
        <f aca="false">IF(L23&gt;0,L23,0)</f>
        <v>0</v>
      </c>
      <c r="K23" s="51" t="n">
        <f aca="false">I23+J23</f>
        <v>1028</v>
      </c>
      <c r="L23" s="51" t="n">
        <f aca="false">F23-(I23-W23)</f>
        <v>-65.638769851273</v>
      </c>
      <c r="M23" s="51" t="n">
        <v>241</v>
      </c>
      <c r="N23" s="51" t="n">
        <v>0</v>
      </c>
      <c r="O23" s="51" t="n">
        <v>0</v>
      </c>
      <c r="P23" s="6" t="n">
        <f aca="false">M23-(N23+O23)</f>
        <v>241</v>
      </c>
      <c r="Q23" s="51" t="n">
        <v>168.66</v>
      </c>
      <c r="R23" s="51" t="n">
        <v>87.34</v>
      </c>
      <c r="S23" s="51" t="n">
        <f aca="false">SUM(P23:R23)</f>
        <v>497</v>
      </c>
      <c r="T23" s="52" t="n">
        <v>0</v>
      </c>
      <c r="U23" s="51" t="n">
        <v>64</v>
      </c>
      <c r="V23" s="51" t="n">
        <v>600</v>
      </c>
      <c r="W23" s="6" t="n">
        <f aca="false">N23+O23+S23+U23+V23</f>
        <v>1161</v>
      </c>
      <c r="X23" s="51" t="n">
        <f aca="false">IF(L23&lt;0,L23*-1,0)</f>
        <v>65.638769851273</v>
      </c>
      <c r="Y23" s="51" t="n">
        <f aca="false">W23+X23</f>
        <v>1226.63876985127</v>
      </c>
      <c r="Z23" s="56" t="n">
        <v>0</v>
      </c>
      <c r="AA23" s="57" t="n">
        <v>61</v>
      </c>
      <c r="AB23" s="57" t="n">
        <v>27</v>
      </c>
      <c r="AC23" s="58" t="n">
        <f aca="false">AC22+1</f>
        <v>14</v>
      </c>
      <c r="AD23" s="12" t="n">
        <v>0</v>
      </c>
      <c r="AE23" s="94"/>
      <c r="AF23" s="93"/>
    </row>
    <row r="24" customFormat="false" ht="11.1" hidden="false" customHeight="true" outlineLevel="0" collapsed="false">
      <c r="A24" s="58" t="n">
        <f aca="false">A23+1</f>
        <v>15</v>
      </c>
      <c r="B24" s="73" t="n">
        <v>6921.73</v>
      </c>
      <c r="C24" s="52" t="n">
        <v>371111</v>
      </c>
      <c r="D24" s="57" t="n">
        <f aca="false">C24-C23</f>
        <v>219</v>
      </c>
      <c r="E24" s="52" t="n">
        <f aca="false">C24-152000</f>
        <v>219111</v>
      </c>
      <c r="F24" s="51" t="n">
        <f aca="false">D24/$D$2</f>
        <v>110.41088984119</v>
      </c>
      <c r="G24" s="51" t="n">
        <v>917.75</v>
      </c>
      <c r="H24" s="55" t="n">
        <v>0</v>
      </c>
      <c r="I24" s="51" t="n">
        <f aca="false">G24+H24</f>
        <v>917.75</v>
      </c>
      <c r="J24" s="81" t="n">
        <f aca="false">IF(L24&gt;0,L24,0)</f>
        <v>7.66088984118981</v>
      </c>
      <c r="K24" s="104" t="n">
        <f aca="false">I24+J24</f>
        <v>925.41088984119</v>
      </c>
      <c r="L24" s="51" t="n">
        <f aca="false">F24-(I24-W24)</f>
        <v>7.66088984118981</v>
      </c>
      <c r="M24" s="51" t="n">
        <v>241.02</v>
      </c>
      <c r="N24" s="51" t="n">
        <v>0</v>
      </c>
      <c r="O24" s="51" t="n">
        <v>0</v>
      </c>
      <c r="P24" s="6" t="n">
        <f aca="false">M24-(N24+O24)</f>
        <v>241.02</v>
      </c>
      <c r="Q24" s="51" t="n">
        <v>168.5</v>
      </c>
      <c r="R24" s="51" t="n">
        <v>87.48</v>
      </c>
      <c r="S24" s="51" t="n">
        <f aca="false">SUM(P24:R24)</f>
        <v>497</v>
      </c>
      <c r="T24" s="52" t="n">
        <v>0</v>
      </c>
      <c r="U24" s="51" t="n">
        <v>56</v>
      </c>
      <c r="V24" s="51" t="n">
        <v>262</v>
      </c>
      <c r="W24" s="6" t="n">
        <f aca="false">N24+O24+S24+U24+V24</f>
        <v>815</v>
      </c>
      <c r="X24" s="51" t="n">
        <f aca="false">IF(L24&lt;0,L24*-1,0)</f>
        <v>0</v>
      </c>
      <c r="Y24" s="51" t="n">
        <f aca="false">W24+X24</f>
        <v>815</v>
      </c>
      <c r="Z24" s="56" t="n">
        <v>0</v>
      </c>
      <c r="AA24" s="57" t="n">
        <v>64</v>
      </c>
      <c r="AB24" s="57" t="n">
        <v>27</v>
      </c>
      <c r="AC24" s="58" t="n">
        <f aca="false">AC23+1</f>
        <v>15</v>
      </c>
      <c r="AD24" s="12" t="n">
        <v>0</v>
      </c>
      <c r="AE24" s="94"/>
      <c r="AF24" s="93"/>
    </row>
    <row r="25" customFormat="false" ht="11.1" hidden="false" customHeight="true" outlineLevel="0" collapsed="false">
      <c r="A25" s="58" t="n">
        <f aca="false">A24+1</f>
        <v>16</v>
      </c>
      <c r="B25" s="73" t="n">
        <v>6921.73</v>
      </c>
      <c r="C25" s="52" t="n">
        <v>371111</v>
      </c>
      <c r="D25" s="57" t="n">
        <f aca="false">C25-C24</f>
        <v>0</v>
      </c>
      <c r="E25" s="52" t="n">
        <f aca="false">C25-152000</f>
        <v>219111</v>
      </c>
      <c r="F25" s="51" t="n">
        <f aca="false">D25/$D$2</f>
        <v>0</v>
      </c>
      <c r="G25" s="51" t="n">
        <v>788.93</v>
      </c>
      <c r="H25" s="55" t="n">
        <v>0</v>
      </c>
      <c r="I25" s="51" t="n">
        <f aca="false">G25+H25</f>
        <v>788.93</v>
      </c>
      <c r="J25" s="81" t="n">
        <f aca="false">IF(L25&gt;0,L25,0)</f>
        <v>0</v>
      </c>
      <c r="K25" s="51" t="n">
        <f aca="false">I25+J25</f>
        <v>788.93</v>
      </c>
      <c r="L25" s="51" t="n">
        <f aca="false">F25-(I25-W25)</f>
        <v>-32.9299999999999</v>
      </c>
      <c r="M25" s="51" t="n">
        <v>241</v>
      </c>
      <c r="N25" s="51" t="n">
        <v>0</v>
      </c>
      <c r="O25" s="51" t="n">
        <v>0</v>
      </c>
      <c r="P25" s="6" t="n">
        <f aca="false">M25-(N25+O25)</f>
        <v>241</v>
      </c>
      <c r="Q25" s="51" t="n">
        <v>168.73</v>
      </c>
      <c r="R25" s="51" t="n">
        <v>87.27</v>
      </c>
      <c r="S25" s="51" t="n">
        <f aca="false">SUM(P25:R25)</f>
        <v>497</v>
      </c>
      <c r="T25" s="52" t="n">
        <v>0</v>
      </c>
      <c r="U25" s="51" t="n">
        <v>56</v>
      </c>
      <c r="V25" s="51" t="n">
        <v>203</v>
      </c>
      <c r="W25" s="6" t="n">
        <f aca="false">N25+O25+S25+U25+V25</f>
        <v>756</v>
      </c>
      <c r="X25" s="51" t="n">
        <f aca="false">IF(L25&lt;0,L25*-1,0)</f>
        <v>32.9299999999999</v>
      </c>
      <c r="Y25" s="51" t="n">
        <f aca="false">W25+X25</f>
        <v>788.93</v>
      </c>
      <c r="Z25" s="56" t="n">
        <v>0.02</v>
      </c>
      <c r="AA25" s="57" t="n">
        <v>56</v>
      </c>
      <c r="AB25" s="57" t="n">
        <v>25</v>
      </c>
      <c r="AC25" s="58" t="n">
        <f aca="false">AC24+1</f>
        <v>16</v>
      </c>
      <c r="AD25" s="12" t="n">
        <v>0</v>
      </c>
      <c r="AE25" s="94"/>
      <c r="AF25" s="93"/>
    </row>
    <row r="26" customFormat="false" ht="11.1" hidden="false" customHeight="true" outlineLevel="0" collapsed="false">
      <c r="A26" s="58" t="n">
        <f aca="false">A25+1</f>
        <v>17</v>
      </c>
      <c r="B26" s="73" t="n">
        <v>6921.7</v>
      </c>
      <c r="C26" s="52" t="n">
        <v>370980</v>
      </c>
      <c r="D26" s="57" t="n">
        <f aca="false">C26-C25</f>
        <v>-131</v>
      </c>
      <c r="E26" s="52" t="n">
        <f aca="false">C26-152000</f>
        <v>218980</v>
      </c>
      <c r="F26" s="51" t="n">
        <f aca="false">D26/$D$2</f>
        <v>-66.0448701789766</v>
      </c>
      <c r="G26" s="51" t="n">
        <v>728.61</v>
      </c>
      <c r="H26" s="55" t="n">
        <v>0</v>
      </c>
      <c r="I26" s="51" t="n">
        <f aca="false">G26+H26</f>
        <v>728.61</v>
      </c>
      <c r="J26" s="81" t="n">
        <f aca="false">IF(L26&gt;0,L26,0)</f>
        <v>0</v>
      </c>
      <c r="K26" s="104" t="n">
        <f aca="false">I26+J26</f>
        <v>728.61</v>
      </c>
      <c r="L26" s="51" t="n">
        <f aca="false">F26-(I26-W26)</f>
        <v>-74.6548701789766</v>
      </c>
      <c r="M26" s="51" t="n">
        <v>234.8</v>
      </c>
      <c r="N26" s="51" t="n">
        <v>0</v>
      </c>
      <c r="O26" s="51" t="n">
        <v>0</v>
      </c>
      <c r="P26" s="6" t="n">
        <f aca="false">M26-(N26+O26)</f>
        <v>234.8</v>
      </c>
      <c r="Q26" s="51" t="n">
        <v>168.85</v>
      </c>
      <c r="R26" s="51" t="n">
        <v>86.35</v>
      </c>
      <c r="S26" s="51" t="n">
        <f aca="false">SUM(P26:R26)</f>
        <v>490</v>
      </c>
      <c r="T26" s="52" t="n">
        <v>0</v>
      </c>
      <c r="U26" s="51" t="n">
        <v>65</v>
      </c>
      <c r="V26" s="51" t="n">
        <v>165</v>
      </c>
      <c r="W26" s="6" t="n">
        <f aca="false">N26+O26+S26+U26+V26</f>
        <v>720</v>
      </c>
      <c r="X26" s="51" t="n">
        <f aca="false">IF(L26&lt;0,L26*-1,0)</f>
        <v>74.6548701789766</v>
      </c>
      <c r="Y26" s="51" t="n">
        <f aca="false">W26+X26</f>
        <v>794.654870178977</v>
      </c>
      <c r="Z26" s="56" t="n">
        <v>0.01</v>
      </c>
      <c r="AA26" s="57" t="n">
        <v>64</v>
      </c>
      <c r="AB26" s="57" t="n">
        <v>24</v>
      </c>
      <c r="AC26" s="58" t="n">
        <f aca="false">AC25+1</f>
        <v>17</v>
      </c>
      <c r="AD26" s="12" t="n">
        <v>0</v>
      </c>
      <c r="AE26" s="94"/>
      <c r="AF26" s="93"/>
    </row>
    <row r="27" customFormat="false" ht="11.1" hidden="false" customHeight="true" outlineLevel="0" collapsed="false">
      <c r="A27" s="58" t="n">
        <f aca="false">A26+1</f>
        <v>18</v>
      </c>
      <c r="B27" s="73" t="n">
        <v>6921.68</v>
      </c>
      <c r="C27" s="52" t="n">
        <v>370892</v>
      </c>
      <c r="D27" s="57" t="n">
        <f aca="false">C27-C26</f>
        <v>-88</v>
      </c>
      <c r="E27" s="52" t="n">
        <f aca="false">C27-152000</f>
        <v>218892</v>
      </c>
      <c r="F27" s="51" t="n">
        <f aca="false">D27/$D$2</f>
        <v>-44.3660196622133</v>
      </c>
      <c r="G27" s="51" t="n">
        <v>687.98</v>
      </c>
      <c r="H27" s="55" t="n">
        <v>0</v>
      </c>
      <c r="I27" s="51" t="n">
        <f aca="false">G27+H27</f>
        <v>687.98</v>
      </c>
      <c r="J27" s="81" t="n">
        <f aca="false">IF(L27&gt;0,L27,0)</f>
        <v>0</v>
      </c>
      <c r="K27" s="51" t="n">
        <f aca="false">I27+J27</f>
        <v>687.98</v>
      </c>
      <c r="L27" s="51" t="n">
        <f aca="false">F27-(I27-W27)</f>
        <v>-70.3460196622133</v>
      </c>
      <c r="M27" s="51" t="n">
        <v>225.59</v>
      </c>
      <c r="N27" s="51" t="n">
        <v>0</v>
      </c>
      <c r="O27" s="51" t="n">
        <v>0</v>
      </c>
      <c r="P27" s="6" t="n">
        <f aca="false">M27-(N27+O27)</f>
        <v>225.59</v>
      </c>
      <c r="Q27" s="51" t="n">
        <v>168.86</v>
      </c>
      <c r="R27" s="51" t="n">
        <v>85.55</v>
      </c>
      <c r="S27" s="51" t="n">
        <f aca="false">SUM(P27:R27)</f>
        <v>480</v>
      </c>
      <c r="T27" s="52" t="n">
        <v>0</v>
      </c>
      <c r="U27" s="51" t="n">
        <v>56</v>
      </c>
      <c r="V27" s="51" t="n">
        <v>126</v>
      </c>
      <c r="W27" s="6" t="n">
        <f aca="false">N27+O27+S27+U27+V27</f>
        <v>662</v>
      </c>
      <c r="X27" s="51" t="n">
        <f aca="false">IF(L27&lt;0,L27*-1,0)</f>
        <v>70.3460196622133</v>
      </c>
      <c r="Y27" s="51" t="n">
        <f aca="false">W27+X27</f>
        <v>732.346019662213</v>
      </c>
      <c r="Z27" s="56" t="n">
        <v>0.04</v>
      </c>
      <c r="AA27" s="57" t="n">
        <v>64</v>
      </c>
      <c r="AB27" s="57" t="n">
        <v>30</v>
      </c>
      <c r="AC27" s="58" t="n">
        <f aca="false">AC26+1</f>
        <v>18</v>
      </c>
      <c r="AD27" s="12" t="n">
        <v>0</v>
      </c>
      <c r="AE27" s="94"/>
      <c r="AF27" s="93"/>
    </row>
    <row r="28" customFormat="false" ht="11.1" hidden="false" customHeight="true" outlineLevel="0" collapsed="false">
      <c r="A28" s="58" t="n">
        <f aca="false">A27+1</f>
        <v>19</v>
      </c>
      <c r="B28" s="73" t="n">
        <v>6921.6</v>
      </c>
      <c r="C28" s="99" t="n">
        <v>371418</v>
      </c>
      <c r="D28" s="57" t="n">
        <f aca="false">C28-C27</f>
        <v>526</v>
      </c>
      <c r="E28" s="52" t="n">
        <f aca="false">C28-152000</f>
        <v>219418</v>
      </c>
      <c r="F28" s="51" t="n">
        <f aca="false">D28/$D$2</f>
        <v>265.187799344593</v>
      </c>
      <c r="G28" s="51" t="n">
        <v>802.58</v>
      </c>
      <c r="H28" s="55" t="n">
        <v>0</v>
      </c>
      <c r="I28" s="51" t="n">
        <f aca="false">G28+H28</f>
        <v>802.58</v>
      </c>
      <c r="J28" s="81" t="n">
        <f aca="false">IF(L28&gt;0,L28,0)</f>
        <v>103.607799344593</v>
      </c>
      <c r="K28" s="51" t="n">
        <f aca="false">I28+J28</f>
        <v>906.187799344593</v>
      </c>
      <c r="L28" s="51" t="n">
        <f aca="false">F28-(I28-W28)</f>
        <v>103.607799344593</v>
      </c>
      <c r="M28" s="51" t="n">
        <v>226.11</v>
      </c>
      <c r="N28" s="51" t="n">
        <v>0</v>
      </c>
      <c r="O28" s="51" t="n">
        <v>0</v>
      </c>
      <c r="P28" s="6" t="n">
        <f aca="false">M28-(N28+O28)</f>
        <v>226.11</v>
      </c>
      <c r="Q28" s="51" t="n">
        <v>169.4</v>
      </c>
      <c r="R28" s="51" t="n">
        <v>85.49</v>
      </c>
      <c r="S28" s="51" t="n">
        <f aca="false">SUM(P28:R28)</f>
        <v>481</v>
      </c>
      <c r="T28" s="52" t="n">
        <v>0</v>
      </c>
      <c r="U28" s="51" t="n">
        <v>34</v>
      </c>
      <c r="V28" s="51" t="n">
        <v>126</v>
      </c>
      <c r="W28" s="6" t="n">
        <f aca="false">N28+O28+S28+U28+V28</f>
        <v>641</v>
      </c>
      <c r="X28" s="51" t="n">
        <f aca="false">IF(L28&lt;0,L28*-1,0)</f>
        <v>0</v>
      </c>
      <c r="Y28" s="51" t="n">
        <f aca="false">W28+X28</f>
        <v>641</v>
      </c>
      <c r="Z28" s="56" t="n">
        <v>0</v>
      </c>
      <c r="AA28" s="57" t="n">
        <v>70</v>
      </c>
      <c r="AB28" s="57" t="n">
        <v>38</v>
      </c>
      <c r="AC28" s="58" t="n">
        <f aca="false">AC27+1</f>
        <v>19</v>
      </c>
      <c r="AD28" s="12" t="n">
        <v>0</v>
      </c>
      <c r="AE28" s="94"/>
      <c r="AF28" s="93"/>
    </row>
    <row r="29" customFormat="false" ht="11.1" hidden="false" customHeight="true" outlineLevel="0" collapsed="false">
      <c r="A29" s="58" t="n">
        <f aca="false">A28+1</f>
        <v>20</v>
      </c>
      <c r="B29" s="73" t="n">
        <v>6922.01</v>
      </c>
      <c r="C29" s="52" t="n">
        <v>372338</v>
      </c>
      <c r="D29" s="57" t="n">
        <f aca="false">C29-C28</f>
        <v>920</v>
      </c>
      <c r="E29" s="52" t="n">
        <f aca="false">C29-152000</f>
        <v>220338</v>
      </c>
      <c r="F29" s="51" t="n">
        <f aca="false">D29/$D$2</f>
        <v>463.826569195866</v>
      </c>
      <c r="G29" s="51" t="n">
        <v>953.46</v>
      </c>
      <c r="H29" s="55" t="n">
        <v>0</v>
      </c>
      <c r="I29" s="51" t="n">
        <f aca="false">G29+H29</f>
        <v>953.46</v>
      </c>
      <c r="J29" s="81" t="n">
        <f aca="false">IF(L29&gt;0,L29,0)</f>
        <v>185.366569195866</v>
      </c>
      <c r="K29" s="51" t="n">
        <f aca="false">I29+J29</f>
        <v>1138.82656919587</v>
      </c>
      <c r="L29" s="51" t="n">
        <f aca="false">F29-(I29-W29)</f>
        <v>185.366569195866</v>
      </c>
      <c r="M29" s="51" t="n">
        <v>226.28</v>
      </c>
      <c r="N29" s="51" t="n">
        <v>0</v>
      </c>
      <c r="O29" s="51" t="n">
        <v>0</v>
      </c>
      <c r="P29" s="6" t="n">
        <f aca="false">M29-(N29+O29)</f>
        <v>226.28</v>
      </c>
      <c r="Q29" s="51" t="n">
        <v>169.09</v>
      </c>
      <c r="R29" s="51" t="n">
        <v>85.63</v>
      </c>
      <c r="S29" s="51" t="n">
        <f aca="false">SUM(P29:R29)</f>
        <v>481</v>
      </c>
      <c r="T29" s="52" t="n">
        <v>0</v>
      </c>
      <c r="U29" s="51" t="n">
        <v>68</v>
      </c>
      <c r="V29" s="51" t="n">
        <v>126</v>
      </c>
      <c r="W29" s="6" t="n">
        <f aca="false">N29+O29+S29+U29+V29</f>
        <v>675</v>
      </c>
      <c r="X29" s="51" t="n">
        <f aca="false">IF(L29&lt;0,L29*-1,0)</f>
        <v>0</v>
      </c>
      <c r="Y29" s="51" t="n">
        <f aca="false">W29+X29</f>
        <v>675</v>
      </c>
      <c r="Z29" s="56" t="n">
        <v>0</v>
      </c>
      <c r="AA29" s="57" t="n">
        <v>72</v>
      </c>
      <c r="AB29" s="57" t="n">
        <v>43</v>
      </c>
      <c r="AC29" s="58" t="n">
        <f aca="false">AC28+1</f>
        <v>20</v>
      </c>
      <c r="AD29" s="12" t="n">
        <v>0</v>
      </c>
      <c r="AE29" s="94"/>
      <c r="AF29" s="93"/>
    </row>
    <row r="30" customFormat="false" ht="11.1" hidden="false" customHeight="true" outlineLevel="0" collapsed="false">
      <c r="A30" s="58" t="n">
        <f aca="false">A29+1</f>
        <v>21</v>
      </c>
      <c r="B30" s="113" t="n">
        <v>6922.21</v>
      </c>
      <c r="C30" s="52" t="n">
        <v>373221</v>
      </c>
      <c r="D30" s="57" t="n">
        <f aca="false">C30-C29</f>
        <v>883</v>
      </c>
      <c r="E30" s="52" t="n">
        <f aca="false">C30-152000</f>
        <v>221221</v>
      </c>
      <c r="F30" s="51" t="n">
        <f aca="false">D30/$D$2</f>
        <v>445.172674565163</v>
      </c>
      <c r="G30" s="51" t="n">
        <v>1153.13</v>
      </c>
      <c r="H30" s="55" t="n">
        <v>0</v>
      </c>
      <c r="I30" s="51" t="n">
        <f aca="false">G30+H30</f>
        <v>1153.13</v>
      </c>
      <c r="J30" s="81" t="n">
        <f aca="false">IF(L30&gt;0,L30,0)</f>
        <v>0</v>
      </c>
      <c r="K30" s="51" t="n">
        <f aca="false">I30+J30</f>
        <v>1153.13</v>
      </c>
      <c r="L30" s="51" t="n">
        <f aca="false">F30-(I30-W30)</f>
        <v>-33.9573254348375</v>
      </c>
      <c r="M30" s="51" t="n">
        <v>226.71</v>
      </c>
      <c r="N30" s="51" t="n">
        <v>0</v>
      </c>
      <c r="O30" s="51" t="n">
        <v>0</v>
      </c>
      <c r="P30" s="6" t="n">
        <f aca="false">M30-(N30+O30)</f>
        <v>226.71</v>
      </c>
      <c r="Q30" s="51" t="n">
        <v>177.12</v>
      </c>
      <c r="R30" s="51" t="n">
        <v>85.17</v>
      </c>
      <c r="S30" s="51" t="n">
        <f aca="false">SUM(P30:R30)</f>
        <v>489</v>
      </c>
      <c r="T30" s="52" t="n">
        <v>0</v>
      </c>
      <c r="U30" s="51" t="n">
        <v>59</v>
      </c>
      <c r="V30" s="51" t="n">
        <v>126</v>
      </c>
      <c r="W30" s="6" t="n">
        <f aca="false">N30+O30+S30+U30+V30</f>
        <v>674</v>
      </c>
      <c r="X30" s="51" t="n">
        <f aca="false">IF(L30&lt;0,L30*-1,0)</f>
        <v>33.9573254348375</v>
      </c>
      <c r="Y30" s="51" t="n">
        <f aca="false">W30+X30</f>
        <v>707.957325434837</v>
      </c>
      <c r="Z30" s="56" t="n">
        <v>0</v>
      </c>
      <c r="AA30" s="57" t="n">
        <v>72</v>
      </c>
      <c r="AB30" s="57" t="n">
        <v>46</v>
      </c>
      <c r="AC30" s="58" t="n">
        <f aca="false">AC29+1</f>
        <v>21</v>
      </c>
      <c r="AD30" s="12" t="n">
        <v>0</v>
      </c>
      <c r="AE30" s="94"/>
      <c r="AF30" s="93"/>
    </row>
    <row r="31" customFormat="false" ht="11.1" hidden="false" customHeight="true" outlineLevel="0" collapsed="false">
      <c r="A31" s="58" t="n">
        <f aca="false">A30+1</f>
        <v>22</v>
      </c>
      <c r="B31" s="73" t="n">
        <v>6922.46</v>
      </c>
      <c r="C31" s="52" t="n">
        <v>374325</v>
      </c>
      <c r="D31" s="57" t="n">
        <f aca="false">C31-C30</f>
        <v>1104</v>
      </c>
      <c r="E31" s="52" t="n">
        <f aca="false">C31-152000</f>
        <v>222325</v>
      </c>
      <c r="F31" s="51" t="n">
        <f aca="false">D31/$D$2</f>
        <v>556.591883035039</v>
      </c>
      <c r="G31" s="51" t="n">
        <v>1294.6</v>
      </c>
      <c r="H31" s="55" t="n">
        <v>0</v>
      </c>
      <c r="I31" s="51" t="n">
        <f aca="false">G31+H31</f>
        <v>1294.6</v>
      </c>
      <c r="J31" s="81" t="n">
        <f aca="false">IF(L31&gt;0,L31,0)</f>
        <v>0</v>
      </c>
      <c r="K31" s="51" t="n">
        <f aca="false">I31+J31</f>
        <v>1294.6</v>
      </c>
      <c r="L31" s="51" t="n">
        <f aca="false">F31-(I31-W31)</f>
        <v>-86.0081169649609</v>
      </c>
      <c r="M31" s="51" t="n">
        <v>226.98</v>
      </c>
      <c r="N31" s="51" t="n">
        <v>0</v>
      </c>
      <c r="O31" s="51" t="n">
        <v>0</v>
      </c>
      <c r="P31" s="6" t="n">
        <f aca="false">M31-(N31+O31)</f>
        <v>226.98</v>
      </c>
      <c r="Q31" s="51" t="n">
        <v>178.17</v>
      </c>
      <c r="R31" s="51" t="n">
        <v>85.85</v>
      </c>
      <c r="S31" s="104" t="n">
        <f aca="false">SUM(P31:R31)</f>
        <v>491</v>
      </c>
      <c r="T31" s="52" t="n">
        <v>0</v>
      </c>
      <c r="U31" s="51" t="n">
        <v>44</v>
      </c>
      <c r="V31" s="51" t="n">
        <v>117</v>
      </c>
      <c r="W31" s="6" t="n">
        <f aca="false">N31+O31+S31+U31+V31</f>
        <v>652</v>
      </c>
      <c r="X31" s="51" t="n">
        <f aca="false">IF(L31&lt;0,L31*-1,0)</f>
        <v>86.0081169649609</v>
      </c>
      <c r="Y31" s="51" t="n">
        <f aca="false">W31+X31</f>
        <v>738.008116964961</v>
      </c>
      <c r="Z31" s="56" t="n">
        <v>0</v>
      </c>
      <c r="AA31" s="57" t="n">
        <v>76</v>
      </c>
      <c r="AB31" s="57" t="n">
        <v>41</v>
      </c>
      <c r="AC31" s="58" t="n">
        <f aca="false">AC30+1</f>
        <v>22</v>
      </c>
      <c r="AD31" s="12" t="n">
        <v>0</v>
      </c>
      <c r="AE31" s="94"/>
      <c r="AF31" s="93"/>
    </row>
    <row r="32" customFormat="false" ht="11.1" hidden="false" customHeight="true" outlineLevel="0" collapsed="false">
      <c r="A32" s="58" t="n">
        <f aca="false">A31+1</f>
        <v>23</v>
      </c>
      <c r="B32" s="73" t="n">
        <v>6922.77</v>
      </c>
      <c r="C32" s="52" t="n">
        <v>375693</v>
      </c>
      <c r="D32" s="57" t="n">
        <f aca="false">C32-C31</f>
        <v>1368</v>
      </c>
      <c r="E32" s="52" t="n">
        <f aca="false">C32-152000</f>
        <v>223693</v>
      </c>
      <c r="F32" s="51" t="n">
        <f aca="false">D32/$D$2</f>
        <v>689.689942021679</v>
      </c>
      <c r="G32" s="51" t="n">
        <v>1329.6</v>
      </c>
      <c r="H32" s="55" t="n">
        <v>0</v>
      </c>
      <c r="I32" s="51" t="n">
        <f aca="false">G32+H32</f>
        <v>1329.6</v>
      </c>
      <c r="J32" s="81" t="n">
        <f aca="false">IF(L32&gt;0,L32,0)</f>
        <v>0</v>
      </c>
      <c r="K32" s="51" t="n">
        <f aca="false">I32+J32</f>
        <v>1329.6</v>
      </c>
      <c r="L32" s="51" t="n">
        <f aca="false">F32-(I32-W32)</f>
        <v>-75.9100579783211</v>
      </c>
      <c r="M32" s="51" t="n">
        <v>227.1</v>
      </c>
      <c r="N32" s="51" t="n">
        <v>0</v>
      </c>
      <c r="O32" s="51" t="n">
        <v>0</v>
      </c>
      <c r="P32" s="6" t="n">
        <f aca="false">M32-(N32+O32)</f>
        <v>227.1</v>
      </c>
      <c r="Q32" s="51" t="n">
        <v>172.95</v>
      </c>
      <c r="R32" s="51" t="n">
        <v>85.95</v>
      </c>
      <c r="S32" s="51" t="n">
        <f aca="false">SUM(P32:R32)</f>
        <v>486</v>
      </c>
      <c r="T32" s="52" t="n">
        <f aca="false">T31+AD32</f>
        <v>843.6</v>
      </c>
      <c r="U32" s="51" t="n">
        <v>0</v>
      </c>
      <c r="V32" s="51" t="n">
        <v>78</v>
      </c>
      <c r="W32" s="6" t="n">
        <f aca="false">N32+O32+S32+U32+V32</f>
        <v>564</v>
      </c>
      <c r="X32" s="51" t="n">
        <f aca="false">IF(L32&lt;0,L32*-1,0)</f>
        <v>75.9100579783211</v>
      </c>
      <c r="Y32" s="51" t="n">
        <f aca="false">W32+X32</f>
        <v>639.910057978321</v>
      </c>
      <c r="Z32" s="56" t="n">
        <v>0</v>
      </c>
      <c r="AA32" s="57" t="n">
        <v>73</v>
      </c>
      <c r="AB32" s="57" t="n">
        <v>40</v>
      </c>
      <c r="AC32" s="58" t="n">
        <f aca="false">AC31+1</f>
        <v>23</v>
      </c>
      <c r="AD32" s="12" t="n">
        <f aca="false">IF(I32&gt;S32,I32-S32,I32-S32)</f>
        <v>843.6</v>
      </c>
      <c r="AE32" s="94"/>
      <c r="AF32" s="93"/>
    </row>
    <row r="33" customFormat="false" ht="11.1" hidden="false" customHeight="true" outlineLevel="0" collapsed="false">
      <c r="A33" s="58" t="n">
        <f aca="false">A32+1</f>
        <v>24</v>
      </c>
      <c r="B33" s="73" t="n">
        <v>6923.05</v>
      </c>
      <c r="C33" s="52" t="n">
        <v>376931</v>
      </c>
      <c r="D33" s="57" t="n">
        <f aca="false">C33-C32</f>
        <v>1238</v>
      </c>
      <c r="E33" s="52" t="n">
        <f aca="false">C33-152000</f>
        <v>224931</v>
      </c>
      <c r="F33" s="51" t="n">
        <f aca="false">D33/$D$2</f>
        <v>624.149231157046</v>
      </c>
      <c r="G33" s="51" t="n">
        <v>1296.01</v>
      </c>
      <c r="H33" s="55" t="n">
        <v>0</v>
      </c>
      <c r="I33" s="51" t="n">
        <f aca="false">G33+H33</f>
        <v>1296.01</v>
      </c>
      <c r="J33" s="81" t="n">
        <f aca="false">IF(L33&gt;0,L33,0)</f>
        <v>0</v>
      </c>
      <c r="K33" s="51" t="n">
        <f aca="false">I33+J33</f>
        <v>1296.01</v>
      </c>
      <c r="L33" s="51" t="n">
        <f aca="false">F33-(I33-W33)</f>
        <v>-83.8607688429544</v>
      </c>
      <c r="M33" s="51" t="n">
        <v>227.99</v>
      </c>
      <c r="N33" s="51" t="n">
        <v>0</v>
      </c>
      <c r="O33" s="51" t="n">
        <v>0</v>
      </c>
      <c r="P33" s="6" t="n">
        <f aca="false">M33-(N33+O33)</f>
        <v>227.99</v>
      </c>
      <c r="Q33" s="51" t="n">
        <v>173.28</v>
      </c>
      <c r="R33" s="51" t="n">
        <v>85.73</v>
      </c>
      <c r="S33" s="51" t="n">
        <f aca="false">SUM(P33:R33)</f>
        <v>487</v>
      </c>
      <c r="T33" s="52" t="n">
        <f aca="false">T32+AD33</f>
        <v>1652.61</v>
      </c>
      <c r="U33" s="51" t="n">
        <v>23</v>
      </c>
      <c r="V33" s="51" t="n">
        <v>78</v>
      </c>
      <c r="W33" s="6" t="n">
        <f aca="false">N33+O33+S33+U33+V33</f>
        <v>588</v>
      </c>
      <c r="X33" s="51" t="n">
        <f aca="false">IF(L33&lt;0,L33*-1,0)</f>
        <v>83.8607688429544</v>
      </c>
      <c r="Y33" s="51" t="n">
        <f aca="false">W33+X33</f>
        <v>671.860768842954</v>
      </c>
      <c r="Z33" s="56" t="n">
        <v>0</v>
      </c>
      <c r="AA33" s="57" t="n">
        <v>74</v>
      </c>
      <c r="AB33" s="57" t="n">
        <v>33</v>
      </c>
      <c r="AC33" s="58" t="n">
        <f aca="false">AC32+1</f>
        <v>24</v>
      </c>
      <c r="AD33" s="12" t="n">
        <f aca="false">IF(I33&gt;S33,I33-S33,I33-S33)</f>
        <v>809.01</v>
      </c>
      <c r="AE33" s="94"/>
      <c r="AF33" s="93"/>
    </row>
    <row r="34" customFormat="false" ht="11.1" hidden="false" customHeight="true" outlineLevel="0" collapsed="false">
      <c r="A34" s="58" t="n">
        <f aca="false">A33+1</f>
        <v>25</v>
      </c>
      <c r="B34" s="73" t="n">
        <v>6923.3</v>
      </c>
      <c r="C34" s="52" t="n">
        <v>378044</v>
      </c>
      <c r="D34" s="57" t="n">
        <f aca="false">C34-C33</f>
        <v>1113</v>
      </c>
      <c r="E34" s="52" t="n">
        <f aca="false">C34-152000</f>
        <v>226044</v>
      </c>
      <c r="F34" s="51" t="n">
        <f aca="false">D34/$D$2</f>
        <v>561.129316864129</v>
      </c>
      <c r="G34" s="51" t="n">
        <v>1241.64</v>
      </c>
      <c r="H34" s="55" t="n">
        <v>0</v>
      </c>
      <c r="I34" s="51" t="n">
        <f aca="false">G34+H34</f>
        <v>1241.64</v>
      </c>
      <c r="J34" s="81" t="n">
        <f aca="false">IF(L34&gt;0,L34,0)</f>
        <v>0</v>
      </c>
      <c r="K34" s="51" t="n">
        <f aca="false">I34+J34</f>
        <v>1241.64</v>
      </c>
      <c r="L34" s="51" t="n">
        <f aca="false">F34-(I34-W34)</f>
        <v>-72.5106831358711</v>
      </c>
      <c r="M34" s="51" t="n">
        <v>228.52</v>
      </c>
      <c r="N34" s="51" t="n">
        <v>0</v>
      </c>
      <c r="O34" s="51" t="n">
        <v>0</v>
      </c>
      <c r="P34" s="6" t="n">
        <f aca="false">M34-(N34+O34)</f>
        <v>228.52</v>
      </c>
      <c r="Q34" s="51" t="n">
        <v>173.51</v>
      </c>
      <c r="R34" s="51" t="n">
        <v>85.97</v>
      </c>
      <c r="S34" s="51" t="n">
        <f aca="false">SUM(P34:R34)</f>
        <v>488</v>
      </c>
      <c r="T34" s="52" t="n">
        <f aca="false">T33+AD34</f>
        <v>2406.25</v>
      </c>
      <c r="U34" s="51" t="n">
        <v>42</v>
      </c>
      <c r="V34" s="51" t="n">
        <v>78</v>
      </c>
      <c r="W34" s="6" t="n">
        <f aca="false">N34+O34+S34+U34+V34</f>
        <v>608</v>
      </c>
      <c r="X34" s="51" t="n">
        <f aca="false">IF(L34&lt;0,L34*-1,0)</f>
        <v>72.5106831358711</v>
      </c>
      <c r="Y34" s="51" t="n">
        <f aca="false">W34+X34</f>
        <v>680.510683135871</v>
      </c>
      <c r="Z34" s="56" t="n">
        <v>0</v>
      </c>
      <c r="AA34" s="57" t="n">
        <v>74</v>
      </c>
      <c r="AB34" s="57" t="n">
        <v>35</v>
      </c>
      <c r="AC34" s="58" t="n">
        <f aca="false">AC33+1</f>
        <v>25</v>
      </c>
      <c r="AD34" s="12" t="n">
        <f aca="false">IF(I34&gt;S34,I34-S34,I34-S34)</f>
        <v>753.64</v>
      </c>
      <c r="AE34" s="94"/>
      <c r="AF34" s="93"/>
    </row>
    <row r="35" customFormat="false" ht="11.1" hidden="false" customHeight="true" outlineLevel="0" collapsed="false">
      <c r="A35" s="58" t="n">
        <f aca="false">A34+1</f>
        <v>26</v>
      </c>
      <c r="B35" s="73" t="n">
        <v>6923.49</v>
      </c>
      <c r="C35" s="52" t="n">
        <v>378890</v>
      </c>
      <c r="D35" s="57" t="n">
        <f aca="false">C35-C34</f>
        <v>846</v>
      </c>
      <c r="E35" s="52" t="n">
        <f aca="false">C35-152000</f>
        <v>226890</v>
      </c>
      <c r="F35" s="51" t="n">
        <f aca="false">D35/$D$2</f>
        <v>426.518779934459</v>
      </c>
      <c r="G35" s="51" t="n">
        <v>1068.22</v>
      </c>
      <c r="H35" s="55" t="n">
        <v>0</v>
      </c>
      <c r="I35" s="51" t="n">
        <f aca="false">G35+H35</f>
        <v>1068.22</v>
      </c>
      <c r="J35" s="81" t="n">
        <f aca="false">IF(L35&gt;0,L35,0)</f>
        <v>0</v>
      </c>
      <c r="K35" s="51" t="n">
        <f aca="false">I35+J35</f>
        <v>1068.22</v>
      </c>
      <c r="L35" s="51" t="n">
        <f aca="false">F35-(I35-W35)</f>
        <v>-36.3012200655407</v>
      </c>
      <c r="M35" s="51" t="n">
        <v>228.62</v>
      </c>
      <c r="N35" s="51" t="n">
        <v>0</v>
      </c>
      <c r="O35" s="51" t="n">
        <v>0</v>
      </c>
      <c r="P35" s="6" t="n">
        <f aca="false">M35-(N35+O35)</f>
        <v>228.62</v>
      </c>
      <c r="Q35" s="51" t="n">
        <v>173.12</v>
      </c>
      <c r="R35" s="51" t="n">
        <v>85.66</v>
      </c>
      <c r="S35" s="51" t="n">
        <f aca="false">SUM(P35:R35)</f>
        <v>487.4</v>
      </c>
      <c r="T35" s="52" t="n">
        <f aca="false">T34+AD35</f>
        <v>2987.07</v>
      </c>
      <c r="U35" s="51" t="n">
        <v>40</v>
      </c>
      <c r="V35" s="51" t="n">
        <v>78</v>
      </c>
      <c r="W35" s="6" t="n">
        <f aca="false">N35+O35+S35+U35+V35</f>
        <v>605.4</v>
      </c>
      <c r="X35" s="51" t="n">
        <f aca="false">IF(L35&lt;0,L35*-1,0)</f>
        <v>36.3012200655407</v>
      </c>
      <c r="Y35" s="51" t="n">
        <f aca="false">W35+X35</f>
        <v>641.701220065541</v>
      </c>
      <c r="Z35" s="56" t="n">
        <v>0</v>
      </c>
      <c r="AA35" s="57" t="n">
        <v>74</v>
      </c>
      <c r="AB35" s="57" t="n">
        <v>35</v>
      </c>
      <c r="AC35" s="58" t="n">
        <f aca="false">AC34+1</f>
        <v>26</v>
      </c>
      <c r="AD35" s="12" t="n">
        <f aca="false">IF(I35&gt;S35,I35-S35,I35-S35)</f>
        <v>580.82</v>
      </c>
      <c r="AE35" s="94"/>
      <c r="AF35" s="93"/>
    </row>
    <row r="36" customFormat="false" ht="11.1" hidden="false" customHeight="true" outlineLevel="0" collapsed="false">
      <c r="A36" s="58" t="n">
        <f aca="false">A35+1</f>
        <v>27</v>
      </c>
      <c r="B36" s="73" t="n">
        <v>6923.68</v>
      </c>
      <c r="C36" s="52" t="n">
        <v>379735</v>
      </c>
      <c r="D36" s="57" t="n">
        <f aca="false">C36-C35</f>
        <v>845</v>
      </c>
      <c r="E36" s="52" t="n">
        <f aca="false">C36-152000</f>
        <v>227735</v>
      </c>
      <c r="F36" s="51" t="n">
        <f aca="false">D36/$D$2</f>
        <v>426.014620620116</v>
      </c>
      <c r="G36" s="51" t="n">
        <v>1022.69</v>
      </c>
      <c r="H36" s="55" t="n">
        <v>0</v>
      </c>
      <c r="I36" s="51" t="n">
        <f aca="false">G36+H36</f>
        <v>1022.69</v>
      </c>
      <c r="J36" s="81" t="n">
        <f aca="false">IF(L36&gt;0,L36,0)</f>
        <v>2.32462062011587</v>
      </c>
      <c r="K36" s="51" t="n">
        <f aca="false">I36+J36</f>
        <v>1025.01462062012</v>
      </c>
      <c r="L36" s="51" t="n">
        <f aca="false">F36-(I36-W36)</f>
        <v>2.32462062011587</v>
      </c>
      <c r="M36" s="51" t="n">
        <v>228.94</v>
      </c>
      <c r="N36" s="51" t="n">
        <v>0</v>
      </c>
      <c r="O36" s="51" t="n">
        <v>0</v>
      </c>
      <c r="P36" s="6" t="n">
        <f aca="false">M36-(N36+O36)</f>
        <v>228.94</v>
      </c>
      <c r="Q36" s="51" t="n">
        <v>173.95</v>
      </c>
      <c r="R36" s="51" t="n">
        <v>86.11</v>
      </c>
      <c r="S36" s="51" t="n">
        <f aca="false">SUM(P36:R36)</f>
        <v>489</v>
      </c>
      <c r="T36" s="52" t="n">
        <f aca="false">T35+AD36</f>
        <v>3520.76</v>
      </c>
      <c r="U36" s="51" t="n">
        <v>32</v>
      </c>
      <c r="V36" s="51" t="n">
        <v>78</v>
      </c>
      <c r="W36" s="6" t="n">
        <f aca="false">N36+O36+S36+U36+V36</f>
        <v>599</v>
      </c>
      <c r="X36" s="51" t="n">
        <f aca="false">IF(L36&lt;0,L36*-1,0)</f>
        <v>0</v>
      </c>
      <c r="Y36" s="51" t="n">
        <f aca="false">W36+X36</f>
        <v>599</v>
      </c>
      <c r="Z36" s="56" t="n">
        <v>0</v>
      </c>
      <c r="AA36" s="57" t="n">
        <v>71</v>
      </c>
      <c r="AB36" s="57" t="n">
        <v>37</v>
      </c>
      <c r="AC36" s="58" t="n">
        <f aca="false">AC35+1</f>
        <v>27</v>
      </c>
      <c r="AD36" s="12" t="n">
        <f aca="false">IF(I36&gt;S36,I36-S36,I36-S36)</f>
        <v>533.69</v>
      </c>
      <c r="AE36" s="94"/>
      <c r="AF36" s="93"/>
    </row>
    <row r="37" customFormat="false" ht="11.1" hidden="false" customHeight="true" outlineLevel="0" collapsed="false">
      <c r="A37" s="58" t="n">
        <v>28</v>
      </c>
      <c r="B37" s="73" t="n">
        <v>6923.86</v>
      </c>
      <c r="C37" s="52" t="n">
        <v>380537</v>
      </c>
      <c r="D37" s="57" t="n">
        <f aca="false">C37-C36</f>
        <v>802</v>
      </c>
      <c r="E37" s="52" t="n">
        <f aca="false">C37-152000</f>
        <v>228537</v>
      </c>
      <c r="F37" s="51" t="n">
        <f aca="false">D37/$D$2</f>
        <v>404.335770103353</v>
      </c>
      <c r="G37" s="51" t="n">
        <v>1117.18</v>
      </c>
      <c r="H37" s="55" t="n">
        <v>0</v>
      </c>
      <c r="I37" s="51" t="n">
        <f aca="false">G37+H37</f>
        <v>1117.18</v>
      </c>
      <c r="J37" s="81" t="n">
        <f aca="false">IF(L37&gt;0,L37,0)</f>
        <v>0</v>
      </c>
      <c r="K37" s="51" t="n">
        <f aca="false">I37+J37</f>
        <v>1117.18</v>
      </c>
      <c r="L37" s="51" t="n">
        <f aca="false">F37-(I37-W37)</f>
        <v>-109.844229896647</v>
      </c>
      <c r="M37" s="51" t="n">
        <v>229.27</v>
      </c>
      <c r="N37" s="51" t="n">
        <v>0</v>
      </c>
      <c r="O37" s="51" t="n">
        <v>0</v>
      </c>
      <c r="P37" s="6" t="n">
        <f aca="false">M37-(N37+O37)</f>
        <v>229.27</v>
      </c>
      <c r="Q37" s="51" t="n">
        <v>174.29</v>
      </c>
      <c r="R37" s="51" t="n">
        <v>85.44</v>
      </c>
      <c r="S37" s="51" t="n">
        <f aca="false">SUM(P37:R37)</f>
        <v>489</v>
      </c>
      <c r="T37" s="52" t="n">
        <f aca="false">T36+AD37</f>
        <v>4148.94</v>
      </c>
      <c r="U37" s="51" t="n">
        <v>36</v>
      </c>
      <c r="V37" s="51" t="n">
        <v>78</v>
      </c>
      <c r="W37" s="6" t="n">
        <f aca="false">N37+O37+S37+U37+V37</f>
        <v>603</v>
      </c>
      <c r="X37" s="51" t="n">
        <f aca="false">IF(L37&lt;0,L37*-1,0)</f>
        <v>109.844229896647</v>
      </c>
      <c r="Y37" s="51" t="n">
        <f aca="false">W37+X37</f>
        <v>712.844229896647</v>
      </c>
      <c r="Z37" s="56" t="n">
        <v>0</v>
      </c>
      <c r="AA37" s="57" t="n">
        <v>70</v>
      </c>
      <c r="AB37" s="57" t="n">
        <v>36</v>
      </c>
      <c r="AC37" s="58" t="n">
        <v>28</v>
      </c>
      <c r="AD37" s="12" t="n">
        <f aca="false">IF(I37&gt;S37,I37-S37,I37-S37)</f>
        <v>628.18</v>
      </c>
      <c r="AE37" s="94"/>
      <c r="AF37" s="93"/>
    </row>
    <row r="38" customFormat="false" ht="11.1" hidden="false" customHeight="true" outlineLevel="0" collapsed="false">
      <c r="A38" s="58" t="n">
        <v>29</v>
      </c>
      <c r="B38" s="73" t="n">
        <v>6924.11</v>
      </c>
      <c r="C38" s="52" t="n">
        <v>381653</v>
      </c>
      <c r="D38" s="57" t="n">
        <f aca="false">C38-C37</f>
        <v>1116</v>
      </c>
      <c r="E38" s="52" t="n">
        <f aca="false">C38-152000</f>
        <v>229653</v>
      </c>
      <c r="F38" s="51" t="n">
        <f aca="false">D38/$D$2</f>
        <v>562.641794807159</v>
      </c>
      <c r="G38" s="51" t="n">
        <v>1152.98</v>
      </c>
      <c r="H38" s="55" t="n">
        <v>0</v>
      </c>
      <c r="I38" s="51" t="n">
        <f aca="false">G38+H38</f>
        <v>1152.98</v>
      </c>
      <c r="J38" s="81" t="n">
        <f aca="false">IF(L38&gt;0,L38,0)</f>
        <v>12.661794807159</v>
      </c>
      <c r="K38" s="51" t="n">
        <f aca="false">I38+J38</f>
        <v>1165.64179480716</v>
      </c>
      <c r="L38" s="51" t="n">
        <f aca="false">F38-(I38-W38)</f>
        <v>12.661794807159</v>
      </c>
      <c r="M38" s="51" t="n">
        <v>229.91</v>
      </c>
      <c r="N38" s="51" t="n">
        <v>0</v>
      </c>
      <c r="O38" s="51" t="n">
        <v>0</v>
      </c>
      <c r="P38" s="6" t="n">
        <f aca="false">M38-(N38+O38)</f>
        <v>229.91</v>
      </c>
      <c r="Q38" s="51" t="n">
        <v>174.52</v>
      </c>
      <c r="R38" s="51" t="n">
        <v>85.57</v>
      </c>
      <c r="S38" s="51" t="n">
        <f aca="false">SUM(P38:R38)</f>
        <v>490</v>
      </c>
      <c r="T38" s="52" t="n">
        <f aca="false">T37+AD38</f>
        <v>4811.92</v>
      </c>
      <c r="U38" s="51" t="n">
        <v>35</v>
      </c>
      <c r="V38" s="51" t="n">
        <v>78</v>
      </c>
      <c r="W38" s="6" t="n">
        <f aca="false">N38+O38+S38+U38+V38</f>
        <v>603</v>
      </c>
      <c r="X38" s="51" t="n">
        <f aca="false">IF(L38&lt;0,L38*-1,0)</f>
        <v>0</v>
      </c>
      <c r="Y38" s="51" t="n">
        <f aca="false">W38+X38</f>
        <v>603</v>
      </c>
      <c r="Z38" s="56" t="n">
        <v>0</v>
      </c>
      <c r="AA38" s="57" t="n">
        <v>70</v>
      </c>
      <c r="AB38" s="57" t="n">
        <v>39</v>
      </c>
      <c r="AC38" s="58" t="n">
        <v>29</v>
      </c>
      <c r="AD38" s="12" t="n">
        <f aca="false">IF(I38&gt;S38,I38-S38,I38-S38)</f>
        <v>662.98</v>
      </c>
      <c r="AE38" s="94"/>
      <c r="AF38" s="93"/>
    </row>
    <row r="39" customFormat="false" ht="11.1" hidden="false" customHeight="true" outlineLevel="0" collapsed="false">
      <c r="A39" s="58" t="n">
        <v>30</v>
      </c>
      <c r="B39" s="73" t="n">
        <v>6924.21</v>
      </c>
      <c r="C39" s="52" t="n">
        <v>382102</v>
      </c>
      <c r="D39" s="57" t="n">
        <f aca="false">C39-C38</f>
        <v>449</v>
      </c>
      <c r="E39" s="52" t="n">
        <f aca="false">C39-152000</f>
        <v>230102</v>
      </c>
      <c r="F39" s="51" t="n">
        <f aca="false">D39/$D$2</f>
        <v>226.367532140156</v>
      </c>
      <c r="G39" s="51" t="n">
        <v>1043.54</v>
      </c>
      <c r="H39" s="55" t="n">
        <v>0</v>
      </c>
      <c r="I39" s="51" t="n">
        <f aca="false">G39+H39</f>
        <v>1043.54</v>
      </c>
      <c r="J39" s="81" t="n">
        <f aca="false">IF(L39&gt;0,L39,0)</f>
        <v>0</v>
      </c>
      <c r="K39" s="51" t="n">
        <f aca="false">I39+J39</f>
        <v>1043.54</v>
      </c>
      <c r="L39" s="51" t="n">
        <f aca="false">F39-(I39-W39)</f>
        <v>-165.172467859844</v>
      </c>
      <c r="M39" s="51" t="n">
        <v>230.18</v>
      </c>
      <c r="N39" s="51" t="n">
        <v>0</v>
      </c>
      <c r="O39" s="51" t="n">
        <v>0</v>
      </c>
      <c r="P39" s="6" t="n">
        <f aca="false">M39-(N39+O39)</f>
        <v>230.18</v>
      </c>
      <c r="Q39" s="51" t="n">
        <v>174.57</v>
      </c>
      <c r="R39" s="51" t="n">
        <v>85.25</v>
      </c>
      <c r="S39" s="51" t="n">
        <f aca="false">SUM(P39:R39)</f>
        <v>490</v>
      </c>
      <c r="T39" s="52" t="n">
        <f aca="false">T38</f>
        <v>4811.92</v>
      </c>
      <c r="U39" s="51" t="n">
        <v>31</v>
      </c>
      <c r="V39" s="51" t="n">
        <v>131</v>
      </c>
      <c r="W39" s="6" t="n">
        <f aca="false">N39+O39+S39+U39+V39</f>
        <v>652</v>
      </c>
      <c r="X39" s="51" t="n">
        <f aca="false">IF(L39&lt;0,L39*-1,0)</f>
        <v>165.172467859844</v>
      </c>
      <c r="Y39" s="51" t="n">
        <f aca="false">W39+X39</f>
        <v>817.172467859844</v>
      </c>
      <c r="Z39" s="56" t="n">
        <v>0</v>
      </c>
      <c r="AA39" s="57" t="n">
        <v>68</v>
      </c>
      <c r="AB39" s="57" t="n">
        <v>41</v>
      </c>
      <c r="AC39" s="58" t="n">
        <v>30</v>
      </c>
      <c r="AD39" s="12" t="n">
        <v>0</v>
      </c>
      <c r="AE39" s="94"/>
      <c r="AF39" s="93"/>
    </row>
    <row r="40" customFormat="false" ht="11.1" hidden="false" customHeight="true" outlineLevel="0" collapsed="false">
      <c r="A40" s="58" t="n">
        <v>31</v>
      </c>
      <c r="B40" s="73" t="n">
        <v>6924.25</v>
      </c>
      <c r="C40" s="52" t="n">
        <v>382281</v>
      </c>
      <c r="D40" s="57" t="n">
        <f aca="false">C40-C39</f>
        <v>179</v>
      </c>
      <c r="E40" s="52" t="n">
        <f aca="false">C40-152000</f>
        <v>230281</v>
      </c>
      <c r="F40" s="51" t="n">
        <f aca="false">D40/$D$2</f>
        <v>90.2445172674565</v>
      </c>
      <c r="G40" s="51" t="n">
        <v>911.06</v>
      </c>
      <c r="H40" s="55" t="n">
        <v>0</v>
      </c>
      <c r="I40" s="51" t="n">
        <f aca="false">G40+H40</f>
        <v>911.06</v>
      </c>
      <c r="J40" s="81" t="n">
        <f aca="false">IF(L40&gt;0,L40,0)</f>
        <v>0</v>
      </c>
      <c r="K40" s="51" t="n">
        <f aca="false">I40+J40</f>
        <v>911.06</v>
      </c>
      <c r="L40" s="51" t="n">
        <f aca="false">F40-(I40-W40)</f>
        <v>-97.8154827325434</v>
      </c>
      <c r="M40" s="51" t="n">
        <v>230.18</v>
      </c>
      <c r="N40" s="51" t="n">
        <v>0</v>
      </c>
      <c r="O40" s="51" t="n">
        <v>0</v>
      </c>
      <c r="P40" s="6" t="n">
        <f aca="false">M40-(N40+O40)</f>
        <v>230.18</v>
      </c>
      <c r="Q40" s="51" t="n">
        <v>177.87</v>
      </c>
      <c r="R40" s="51" t="n">
        <v>86.95</v>
      </c>
      <c r="S40" s="51" t="n">
        <f aca="false">SUM(P40:R40)</f>
        <v>495</v>
      </c>
      <c r="T40" s="52" t="n">
        <f aca="false">T39</f>
        <v>4811.92</v>
      </c>
      <c r="U40" s="51" t="n">
        <v>29</v>
      </c>
      <c r="V40" s="51" t="n">
        <v>199</v>
      </c>
      <c r="W40" s="6" t="n">
        <f aca="false">N40+O40+S40+U40+V40</f>
        <v>723</v>
      </c>
      <c r="X40" s="51" t="n">
        <f aca="false">IF(L40&lt;0,L40*-1,0)</f>
        <v>97.8154827325434</v>
      </c>
      <c r="Y40" s="51" t="n">
        <f aca="false">W40+X40</f>
        <v>820.815482732543</v>
      </c>
      <c r="Z40" s="56" t="n">
        <v>0</v>
      </c>
      <c r="AA40" s="57" t="n">
        <v>70</v>
      </c>
      <c r="AB40" s="57" t="n">
        <v>30</v>
      </c>
      <c r="AC40" s="58" t="n">
        <v>31</v>
      </c>
      <c r="AD40" s="12" t="n">
        <v>0</v>
      </c>
      <c r="AE40" s="94"/>
      <c r="AF40" s="93"/>
    </row>
    <row r="41" customFormat="false" ht="3" hidden="false" customHeight="true" outlineLevel="0" collapsed="false">
      <c r="A41" s="74"/>
      <c r="B41" s="74"/>
      <c r="C41" s="76"/>
      <c r="D41" s="74"/>
      <c r="E41" s="76"/>
      <c r="F41" s="74"/>
      <c r="G41" s="74"/>
      <c r="H41" s="112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6"/>
      <c r="U41" s="74"/>
      <c r="V41" s="74"/>
      <c r="W41" s="74"/>
      <c r="X41" s="74"/>
      <c r="Y41" s="74"/>
      <c r="Z41" s="78"/>
      <c r="AA41" s="79"/>
      <c r="AB41" s="79"/>
      <c r="AC41" s="80"/>
      <c r="AD41" s="92"/>
      <c r="AE41" s="92"/>
      <c r="AF41" s="93"/>
    </row>
    <row r="42" customFormat="false" ht="11.1" hidden="false" customHeight="true" outlineLevel="0" collapsed="false">
      <c r="A42" s="51" t="s">
        <v>44</v>
      </c>
      <c r="B42" s="51"/>
      <c r="C42" s="52"/>
      <c r="D42" s="52"/>
      <c r="E42" s="52"/>
      <c r="F42" s="52" t="n">
        <f aca="false">SUM(F10:F40)</f>
        <v>4924.12402319133</v>
      </c>
      <c r="G42" s="52" t="n">
        <f aca="false">SUM(G10:G40)</f>
        <v>33688.83</v>
      </c>
      <c r="H42" s="55" t="n">
        <f aca="false">SUM(H10:H40)</f>
        <v>86.04</v>
      </c>
      <c r="I42" s="52" t="n">
        <f aca="false">SUM(I10:I40)</f>
        <v>33774.87</v>
      </c>
      <c r="J42" s="52" t="n">
        <f aca="false">SUM(J10:J40)</f>
        <v>388.189485757499</v>
      </c>
      <c r="K42" s="52" t="n">
        <f aca="false">SUM(K10:K40)</f>
        <v>34163.0594857575</v>
      </c>
      <c r="L42" s="52" t="n">
        <f aca="false">SUM(L10:L40)</f>
        <v>-1505.34597680867</v>
      </c>
      <c r="M42" s="52" t="n">
        <f aca="false">SUM(M10:M40)</f>
        <v>7282.59</v>
      </c>
      <c r="N42" s="52" t="n">
        <f aca="false">SUM(N10:N40)</f>
        <v>0</v>
      </c>
      <c r="O42" s="52" t="n">
        <f aca="false">SUM(O10:O40)</f>
        <v>0</v>
      </c>
      <c r="P42" s="52" t="n">
        <f aca="false">SUM(P10:P40)</f>
        <v>7282.59</v>
      </c>
      <c r="Q42" s="52" t="n">
        <f aca="false">SUM(Q10:Q40)</f>
        <v>5298.84</v>
      </c>
      <c r="R42" s="52" t="n">
        <f aca="false">SUM(R10:R40)</f>
        <v>2711.97</v>
      </c>
      <c r="S42" s="52" t="n">
        <f aca="false">SUM(S10:S40)</f>
        <v>15293.4</v>
      </c>
      <c r="T42" s="52"/>
      <c r="U42" s="52" t="n">
        <f aca="false">SUM(U10:U40)</f>
        <v>1525</v>
      </c>
      <c r="V42" s="52" t="n">
        <f aca="false">SUM(V10:V40)</f>
        <v>10527</v>
      </c>
      <c r="W42" s="52" t="n">
        <f aca="false">SUM(W10:W40)</f>
        <v>27345.4</v>
      </c>
      <c r="X42" s="52" t="n">
        <f aca="false">SUM(X10:X40)</f>
        <v>1893.53546256617</v>
      </c>
      <c r="Y42" s="52" t="n">
        <f aca="false">SUM(Y10:Y40)</f>
        <v>29238.9354625662</v>
      </c>
      <c r="Z42" s="56" t="n">
        <f aca="false">SUM(Z10:Z40)</f>
        <v>0.13</v>
      </c>
      <c r="AA42" s="57" t="n">
        <f aca="false">AVERAGE(AA10:AA40)</f>
        <v>68.0645161290323</v>
      </c>
      <c r="AB42" s="57" t="n">
        <f aca="false">AVERAGE(AB10:AB40)</f>
        <v>35.1612903225806</v>
      </c>
      <c r="AC42" s="58" t="s">
        <v>69</v>
      </c>
      <c r="AD42" s="92"/>
      <c r="AE42" s="92"/>
      <c r="AF42" s="93"/>
    </row>
    <row r="43" customFormat="false" ht="11.1" hidden="false" customHeight="true" outlineLevel="0" collapsed="false">
      <c r="A43" s="51" t="s">
        <v>46</v>
      </c>
      <c r="B43" s="51"/>
      <c r="C43" s="52"/>
      <c r="D43" s="52" t="n">
        <f aca="false">SUM(D10:D40)</f>
        <v>9767</v>
      </c>
      <c r="E43" s="52"/>
      <c r="F43" s="52" t="n">
        <f aca="false">F42*$D$2</f>
        <v>9767</v>
      </c>
      <c r="G43" s="52" t="n">
        <f aca="false">G42*$D$2</f>
        <v>66821.794305</v>
      </c>
      <c r="H43" s="55" t="n">
        <f aca="false">H42*$D$2</f>
        <v>170.66034</v>
      </c>
      <c r="I43" s="52" t="n">
        <f aca="false">I42*$D$2</f>
        <v>66992.454645</v>
      </c>
      <c r="J43" s="52" t="n">
        <f aca="false">J42*$D$2</f>
        <v>769.973844999999</v>
      </c>
      <c r="K43" s="52" t="n">
        <f aca="false">K42*$D$2</f>
        <v>67762.42849</v>
      </c>
      <c r="L43" s="52" t="n">
        <f aca="false">L42*$D$2</f>
        <v>-2985.853745</v>
      </c>
      <c r="M43" s="52" t="n">
        <f aca="false">M42*$D$2</f>
        <v>14445.017265</v>
      </c>
      <c r="N43" s="52" t="n">
        <f aca="false">N42*$D$2</f>
        <v>0</v>
      </c>
      <c r="O43" s="52" t="n">
        <f aca="false">O42*$D$2</f>
        <v>0</v>
      </c>
      <c r="P43" s="52" t="n">
        <f aca="false">P42*$D$2</f>
        <v>14445.017265</v>
      </c>
      <c r="Q43" s="52" t="n">
        <f aca="false">Q42*$D$2</f>
        <v>10510.24914</v>
      </c>
      <c r="R43" s="52" t="n">
        <f aca="false">R42*$D$2</f>
        <v>5379.192495</v>
      </c>
      <c r="S43" s="52" t="n">
        <f aca="false">S42*$D$2</f>
        <v>30334.4589</v>
      </c>
      <c r="T43" s="52"/>
      <c r="U43" s="52" t="n">
        <f aca="false">U42*$D$2</f>
        <v>3024.8375</v>
      </c>
      <c r="V43" s="52" t="n">
        <f aca="false">V42*$D$2</f>
        <v>20880.3045</v>
      </c>
      <c r="W43" s="114" t="n">
        <f aca="false">W42*$D$2</f>
        <v>54239.6009</v>
      </c>
      <c r="X43" s="52" t="n">
        <f aca="false">X42*$D$2</f>
        <v>3755.82759</v>
      </c>
      <c r="Y43" s="52" t="n">
        <f aca="false">Y42*$D$2</f>
        <v>57995.42849</v>
      </c>
      <c r="Z43" s="56"/>
      <c r="AA43" s="57" t="n">
        <f aca="false">MAX(AA10:AA40)</f>
        <v>78</v>
      </c>
      <c r="AB43" s="57" t="n">
        <f aca="false">MAX(AB10:AB40)</f>
        <v>48</v>
      </c>
      <c r="AC43" s="58" t="s">
        <v>47</v>
      </c>
      <c r="AD43" s="92"/>
      <c r="AE43" s="92"/>
      <c r="AF43" s="93"/>
    </row>
    <row r="44" customFormat="false" ht="3" hidden="false" customHeight="true" outlineLevel="0" collapsed="false">
      <c r="A44" s="74"/>
      <c r="B44" s="74"/>
      <c r="C44" s="76"/>
      <c r="D44" s="76"/>
      <c r="E44" s="76"/>
      <c r="F44" s="76"/>
      <c r="G44" s="76"/>
      <c r="H44" s="112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56"/>
      <c r="AA44" s="57"/>
      <c r="AB44" s="57"/>
      <c r="AC44" s="58"/>
      <c r="AD44" s="92"/>
      <c r="AE44" s="92"/>
      <c r="AF44" s="93"/>
    </row>
    <row r="45" customFormat="false" ht="11.1" hidden="false" customHeight="true" outlineLevel="0" collapsed="false">
      <c r="A45" s="51" t="s">
        <v>48</v>
      </c>
      <c r="B45" s="51"/>
      <c r="C45" s="52"/>
      <c r="D45" s="52"/>
      <c r="E45" s="52"/>
      <c r="F45" s="52" t="n">
        <f aca="false">F7+F42</f>
        <v>14099.3193849256</v>
      </c>
      <c r="G45" s="52" t="n">
        <f aca="false">G7+G42</f>
        <v>69316.55</v>
      </c>
      <c r="H45" s="55" t="n">
        <f aca="false">H7+H42</f>
        <v>2089.41</v>
      </c>
      <c r="I45" s="52" t="n">
        <f aca="false">I7+I42</f>
        <v>71405.96</v>
      </c>
      <c r="J45" s="52" t="n">
        <f aca="false">J7+J42</f>
        <v>4497.51059238719</v>
      </c>
      <c r="K45" s="52" t="n">
        <f aca="false">K7+K42</f>
        <v>75903.4705923872</v>
      </c>
      <c r="L45" s="52" t="n">
        <f aca="false">L7+L42</f>
        <v>2133.49938492564</v>
      </c>
      <c r="M45" s="52" t="n">
        <f aca="false">M7+M42</f>
        <v>12106.61</v>
      </c>
      <c r="N45" s="52" t="n">
        <f aca="false">N7+N42</f>
        <v>0</v>
      </c>
      <c r="O45" s="52" t="n">
        <f aca="false">O7+O42</f>
        <v>0</v>
      </c>
      <c r="P45" s="52" t="n">
        <f aca="false">P7+P42</f>
        <v>12106.61</v>
      </c>
      <c r="Q45" s="52" t="n">
        <f aca="false">Q7+Q42</f>
        <v>7989.44</v>
      </c>
      <c r="R45" s="52" t="n">
        <f aca="false">R7+R42</f>
        <v>4084.06</v>
      </c>
      <c r="S45" s="52" t="n">
        <f aca="false">S7+S42</f>
        <v>24180.11</v>
      </c>
      <c r="T45" s="52" t="n">
        <f aca="false">T40+T42</f>
        <v>4811.92</v>
      </c>
      <c r="U45" s="52" t="n">
        <f aca="false">U7+U42</f>
        <v>1726</v>
      </c>
      <c r="V45" s="52" t="n">
        <f aca="false">V7+V42</f>
        <v>33534.03</v>
      </c>
      <c r="W45" s="52" t="n">
        <f aca="false">W7+W42</f>
        <v>59440.14</v>
      </c>
      <c r="X45" s="52" t="n">
        <f aca="false">X7+X42</f>
        <v>2364.01120746156</v>
      </c>
      <c r="Y45" s="52" t="n">
        <f aca="false">Y7+Y42</f>
        <v>61804.1512074616</v>
      </c>
      <c r="Z45" s="56"/>
      <c r="AA45" s="57" t="n">
        <f aca="false">MIN(AA10:AA40)</f>
        <v>48</v>
      </c>
      <c r="AB45" s="57" t="n">
        <f aca="false">MIN(AB10:AB40)</f>
        <v>24</v>
      </c>
      <c r="AC45" s="58" t="s">
        <v>49</v>
      </c>
      <c r="AD45" s="92"/>
      <c r="AE45" s="92"/>
      <c r="AF45" s="93"/>
    </row>
    <row r="46" customFormat="false" ht="11.1" hidden="false" customHeight="true" outlineLevel="0" collapsed="false">
      <c r="A46" s="51" t="s">
        <v>50</v>
      </c>
      <c r="B46" s="51"/>
      <c r="C46" s="52"/>
      <c r="D46" s="52"/>
      <c r="E46" s="52"/>
      <c r="F46" s="52" t="n">
        <f aca="false">F45*$D$2</f>
        <v>27966</v>
      </c>
      <c r="G46" s="52" t="n">
        <f aca="false">G45*$D$2</f>
        <v>137489.376925</v>
      </c>
      <c r="H46" s="55" t="n">
        <f aca="false">H45*$D$2</f>
        <v>4144.344735</v>
      </c>
      <c r="I46" s="52" t="n">
        <f aca="false">I45*$D$2</f>
        <v>141633.72166</v>
      </c>
      <c r="J46" s="52" t="n">
        <f aca="false">J45*$D$2</f>
        <v>8920.81226</v>
      </c>
      <c r="K46" s="52" t="n">
        <f aca="false">K45*$D$2</f>
        <v>150554.53392</v>
      </c>
      <c r="L46" s="52" t="n">
        <f aca="false">L45*$D$2</f>
        <v>4231.79603</v>
      </c>
      <c r="M46" s="52" t="n">
        <f aca="false">M45*$D$2</f>
        <v>24013.460935</v>
      </c>
      <c r="N46" s="52" t="n">
        <f aca="false">N45*$D$2</f>
        <v>0</v>
      </c>
      <c r="O46" s="52" t="n">
        <f aca="false">O45*$D$2</f>
        <v>0</v>
      </c>
      <c r="P46" s="52" t="n">
        <f aca="false">P45*$D$2</f>
        <v>24013.460935</v>
      </c>
      <c r="Q46" s="52" t="n">
        <f aca="false">Q45*$D$2</f>
        <v>15847.05424</v>
      </c>
      <c r="R46" s="52" t="n">
        <f aca="false">R45*$D$2</f>
        <v>8100.73301</v>
      </c>
      <c r="S46" s="52" t="n">
        <f aca="false">S45*$D$2</f>
        <v>47961.248185</v>
      </c>
      <c r="T46" s="52" t="n">
        <f aca="false">T45*$D$2</f>
        <v>9544.44332</v>
      </c>
      <c r="U46" s="52" t="n">
        <f aca="false">U45*$D$2</f>
        <v>3423.521</v>
      </c>
      <c r="V46" s="52" t="n">
        <f aca="false">V45*$D$2</f>
        <v>66514.748505</v>
      </c>
      <c r="W46" s="52" t="n">
        <f aca="false">W45*$D$2</f>
        <v>117899.51769</v>
      </c>
      <c r="X46" s="52" t="n">
        <f aca="false">X45*$D$2</f>
        <v>4689.01623</v>
      </c>
      <c r="Y46" s="52" t="n">
        <f aca="false">Y45*$D$2</f>
        <v>122588.53392</v>
      </c>
      <c r="Z46" s="56"/>
      <c r="AA46" s="57"/>
      <c r="AB46" s="57"/>
      <c r="AC46" s="58"/>
      <c r="AD46" s="92"/>
      <c r="AE46" s="92"/>
      <c r="AF46" s="93"/>
    </row>
    <row r="47" customFormat="false" ht="3" hidden="false" customHeight="true" outlineLevel="0" collapsed="false">
      <c r="A47" s="74"/>
      <c r="B47" s="74"/>
      <c r="C47" s="76"/>
      <c r="D47" s="76"/>
      <c r="E47" s="76"/>
      <c r="F47" s="76"/>
      <c r="G47" s="76"/>
      <c r="H47" s="112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8"/>
      <c r="AA47" s="57"/>
      <c r="AB47" s="57"/>
      <c r="AC47" s="58"/>
      <c r="AD47" s="92"/>
      <c r="AE47" s="92"/>
      <c r="AF47" s="93"/>
    </row>
    <row r="48" customFormat="false" ht="11.1" hidden="false" customHeight="true" outlineLevel="0" collapsed="false">
      <c r="A48" s="51" t="s">
        <v>51</v>
      </c>
      <c r="B48" s="51"/>
      <c r="C48" s="52"/>
      <c r="D48" s="52"/>
      <c r="E48" s="52"/>
      <c r="F48" s="52" t="n">
        <f aca="false">F8+F42</f>
        <v>28900.9326947315</v>
      </c>
      <c r="G48" s="52" t="n">
        <f aca="false">G8+G42</f>
        <v>91168.05</v>
      </c>
      <c r="H48" s="55" t="n">
        <f aca="false">H8+H42</f>
        <v>2809.88</v>
      </c>
      <c r="I48" s="52" t="n">
        <f aca="false">I8+I42</f>
        <v>93778.83</v>
      </c>
      <c r="J48" s="52" t="n">
        <f aca="false">J8+J42</f>
        <v>15600.3410763801</v>
      </c>
      <c r="K48" s="52" t="n">
        <f aca="false">K8+K42</f>
        <v>109379.17107638</v>
      </c>
      <c r="L48" s="52" t="n">
        <f aca="false">L8+L42</f>
        <v>11734.0126947315</v>
      </c>
      <c r="M48" s="52" t="n">
        <f aca="false">M8+M42</f>
        <v>14155.87</v>
      </c>
      <c r="N48" s="52" t="n">
        <f aca="false">N8+N42</f>
        <v>0.08</v>
      </c>
      <c r="O48" s="52" t="n">
        <f aca="false">O8+O42</f>
        <v>0</v>
      </c>
      <c r="P48" s="52" t="n">
        <f aca="false">P8+P42</f>
        <v>14155.79</v>
      </c>
      <c r="Q48" s="52" t="n">
        <f aca="false">Q8+Q42</f>
        <v>10708.79</v>
      </c>
      <c r="R48" s="52" t="n">
        <f aca="false">R8+R42</f>
        <v>4549.43</v>
      </c>
      <c r="S48" s="52" t="n">
        <f aca="false">S8+S42</f>
        <v>29414.01</v>
      </c>
      <c r="T48" s="52"/>
      <c r="U48" s="52" t="n">
        <f aca="false">U8+U42</f>
        <v>1726</v>
      </c>
      <c r="V48" s="52" t="n">
        <f aca="false">V8+V42</f>
        <v>45546.82</v>
      </c>
      <c r="W48" s="52" t="n">
        <f aca="false">W8+W42</f>
        <v>76611.91</v>
      </c>
      <c r="X48" s="52" t="n">
        <f aca="false">X8+X42</f>
        <v>3866.3283816486</v>
      </c>
      <c r="Y48" s="52" t="n">
        <f aca="false">Y8+Y42</f>
        <v>80478.2383816486</v>
      </c>
      <c r="Z48" s="56" t="n">
        <f aca="false">Z8+Z42</f>
        <v>6.34</v>
      </c>
      <c r="AA48" s="57"/>
      <c r="AB48" s="57"/>
      <c r="AC48" s="58"/>
      <c r="AD48" s="92"/>
      <c r="AE48" s="92"/>
      <c r="AF48" s="93"/>
    </row>
    <row r="49" customFormat="false" ht="11.1" hidden="false" customHeight="true" outlineLevel="0" collapsed="false">
      <c r="A49" s="51" t="s">
        <v>52</v>
      </c>
      <c r="B49" s="51"/>
      <c r="C49" s="52"/>
      <c r="D49" s="52" t="n">
        <f aca="false">D8+D43</f>
        <v>57325</v>
      </c>
      <c r="E49" s="52" t="n">
        <f aca="false">E40</f>
        <v>230281</v>
      </c>
      <c r="F49" s="52" t="n">
        <f aca="false">F48*$D$2</f>
        <v>57325</v>
      </c>
      <c r="G49" s="52" t="n">
        <f aca="false">G48*$D$2</f>
        <v>180831.827175</v>
      </c>
      <c r="H49" s="55" t="n">
        <f aca="false">H48*$D$2</f>
        <v>5573.39698</v>
      </c>
      <c r="I49" s="52" t="n">
        <f aca="false">I48*$D$2</f>
        <v>186010.309305</v>
      </c>
      <c r="J49" s="52" t="n">
        <f aca="false">J48*$D$2</f>
        <v>30943.276525</v>
      </c>
      <c r="K49" s="52" t="n">
        <f aca="false">K48*$D$2</f>
        <v>216953.58583</v>
      </c>
      <c r="L49" s="52" t="n">
        <f aca="false">L48*$D$2</f>
        <v>23274.41418</v>
      </c>
      <c r="M49" s="52" t="n">
        <f aca="false">M48*$D$2</f>
        <v>28078.168145</v>
      </c>
      <c r="N49" s="52" t="n">
        <f aca="false">N48*$D$2</f>
        <v>0.15868</v>
      </c>
      <c r="O49" s="52" t="n">
        <f aca="false">O48*$D$2</f>
        <v>0</v>
      </c>
      <c r="P49" s="52" t="n">
        <f aca="false">P48*$D$2</f>
        <v>28078.009465</v>
      </c>
      <c r="Q49" s="52" t="n">
        <f aca="false">Q48*$D$2</f>
        <v>21240.884965</v>
      </c>
      <c r="R49" s="52" t="n">
        <f aca="false">R48*$D$2</f>
        <v>9023.794405</v>
      </c>
      <c r="S49" s="52" t="n">
        <f aca="false">S48*$D$2</f>
        <v>58342.688835</v>
      </c>
      <c r="T49" s="52" t="n">
        <f aca="false">T48*$D$2</f>
        <v>0</v>
      </c>
      <c r="U49" s="52" t="n">
        <f aca="false">U48*$D$2</f>
        <v>3423.521</v>
      </c>
      <c r="V49" s="52" t="n">
        <f aca="false">V48*$D$2</f>
        <v>90342.11747</v>
      </c>
      <c r="W49" s="52" t="n">
        <f aca="false">W48*$D$2</f>
        <v>151959.723485</v>
      </c>
      <c r="X49" s="52" t="n">
        <f aca="false">X48*$D$2</f>
        <v>7668.862345</v>
      </c>
      <c r="Y49" s="52" t="n">
        <f aca="false">Y48*$D$2</f>
        <v>159628.58583</v>
      </c>
      <c r="Z49" s="56"/>
      <c r="AA49" s="57"/>
      <c r="AB49" s="57"/>
      <c r="AC49" s="58"/>
      <c r="AD49" s="92"/>
      <c r="AE49" s="92"/>
      <c r="AF49" s="93"/>
    </row>
    <row r="50" customFormat="false" ht="3" hidden="false" customHeight="true" outlineLevel="0" collapsed="false">
      <c r="A50" s="74"/>
      <c r="B50" s="74"/>
      <c r="C50" s="76"/>
      <c r="D50" s="74"/>
      <c r="E50" s="76"/>
      <c r="F50" s="115"/>
      <c r="G50" s="115"/>
      <c r="H50" s="112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6"/>
      <c r="U50" s="74"/>
      <c r="V50" s="74"/>
      <c r="W50" s="74"/>
      <c r="X50" s="74"/>
      <c r="Y50" s="74"/>
      <c r="Z50" s="56"/>
      <c r="AA50" s="57"/>
      <c r="AB50" s="57"/>
      <c r="AC50" s="58"/>
      <c r="AD50" s="92"/>
      <c r="AE50" s="92"/>
      <c r="AF50" s="93"/>
    </row>
    <row r="51" customFormat="false" ht="11.1" hidden="false" customHeight="true" outlineLevel="0" collapsed="false">
      <c r="A51" s="82"/>
      <c r="B51" s="55"/>
      <c r="C51" s="52"/>
      <c r="D51" s="52" t="s">
        <v>70</v>
      </c>
      <c r="E51" s="45" t="e">
        <f aca="false">#REF!-#REF!</f>
        <v>#REF!</v>
      </c>
      <c r="F51" s="116" t="s">
        <v>71</v>
      </c>
      <c r="G51" s="117"/>
      <c r="I51" s="82"/>
      <c r="J51" s="82"/>
      <c r="K51" s="82"/>
      <c r="L51" s="82"/>
      <c r="M51" s="81"/>
      <c r="N51" s="81"/>
      <c r="O51" s="81"/>
      <c r="P51" s="82"/>
      <c r="Q51" s="82"/>
      <c r="R51" s="82"/>
      <c r="S51" s="52"/>
      <c r="T51" s="82"/>
      <c r="U51" s="52"/>
      <c r="V51" s="52"/>
      <c r="W51" s="82"/>
      <c r="X51" s="82"/>
      <c r="Y51" s="55"/>
      <c r="Z51" s="56"/>
      <c r="AA51" s="57"/>
      <c r="AB51" s="58"/>
      <c r="AC51" s="97"/>
      <c r="AD51" s="97"/>
    </row>
    <row r="52" customFormat="false" ht="11.1" hidden="false" customHeight="true" outlineLevel="0" collapsed="false">
      <c r="A52" s="82"/>
      <c r="B52" s="0"/>
      <c r="C52" s="52"/>
      <c r="D52" s="0"/>
      <c r="E52" s="52"/>
      <c r="F52" s="82"/>
      <c r="G52" s="118"/>
      <c r="H52" s="119"/>
      <c r="I52" s="120"/>
      <c r="J52" s="82"/>
      <c r="K52" s="82"/>
      <c r="L52" s="82"/>
      <c r="M52" s="81"/>
      <c r="N52" s="81"/>
      <c r="O52" s="81"/>
      <c r="P52" s="82"/>
      <c r="Q52" s="82"/>
      <c r="R52" s="82"/>
      <c r="S52" s="52"/>
      <c r="T52" s="82"/>
      <c r="U52" s="82"/>
      <c r="V52" s="52"/>
      <c r="W52" s="82"/>
      <c r="X52" s="82"/>
      <c r="Y52" s="55"/>
      <c r="Z52" s="56"/>
      <c r="AA52" s="57"/>
      <c r="AB52" s="58"/>
      <c r="AC52" s="97"/>
      <c r="AD52" s="97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D28" activePane="bottomRight" state="frozen"/>
      <selection pane="topLeft" activeCell="A1" activeCellId="0" sqref="A1"/>
      <selection pane="topRight" activeCell="D1" activeCellId="0" sqref="D1"/>
      <selection pane="bottomLeft" activeCell="A28" activeCellId="0" sqref="A28"/>
      <selection pane="bottomRight" activeCell="AB40" activeCellId="0" sqref="AB40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5.66"/>
    <col collapsed="false" customWidth="true" hidden="false" outlineLevel="0" max="2" min="2" style="0" width="7.82"/>
    <col collapsed="false" customWidth="true" hidden="false" outlineLevel="0" max="3" min="3" style="1" width="7.66"/>
    <col collapsed="false" customWidth="true" hidden="false" outlineLevel="0" max="4" min="4" style="0" width="6.99"/>
    <col collapsed="false" customWidth="true" hidden="false" outlineLevel="0" max="5" min="5" style="1" width="7.66"/>
    <col collapsed="false" customWidth="true" hidden="false" outlineLevel="0" max="6" min="6" style="0" width="7.66"/>
    <col collapsed="false" customWidth="true" hidden="false" outlineLevel="0" max="7" min="7" style="0" width="7.16"/>
    <col collapsed="false" customWidth="true" hidden="false" outlineLevel="0" max="8" min="8" style="2" width="6.82"/>
    <col collapsed="false" customWidth="true" hidden="false" outlineLevel="0" max="9" min="9" style="0" width="7.99"/>
    <col collapsed="false" customWidth="true" hidden="false" outlineLevel="0" max="10" min="10" style="0" width="6.66"/>
    <col collapsed="false" customWidth="true" hidden="false" outlineLevel="0" max="12" min="11" style="0" width="7.16"/>
    <col collapsed="false" customWidth="true" hidden="false" outlineLevel="0" max="13" min="13" style="3" width="6.16"/>
    <col collapsed="false" customWidth="true" hidden="true" outlineLevel="0" max="14" min="14" style="3" width="7.32"/>
    <col collapsed="false" customWidth="true" hidden="true" outlineLevel="0" max="15" min="15" style="3" width="6.49"/>
    <col collapsed="false" customWidth="true" hidden="true" outlineLevel="0" max="16" min="16" style="0" width="7.16"/>
    <col collapsed="false" customWidth="true" hidden="false" outlineLevel="0" max="17" min="17" style="0" width="6.32"/>
    <col collapsed="false" customWidth="true" hidden="false" outlineLevel="0" max="18" min="18" style="0" width="5.82"/>
    <col collapsed="false" customWidth="true" hidden="false" outlineLevel="0" max="19" min="19" style="1" width="6.82"/>
    <col collapsed="false" customWidth="true" hidden="false" outlineLevel="0" max="20" min="20" style="0" width="7.66"/>
    <col collapsed="false" customWidth="true" hidden="false" outlineLevel="0" max="21" min="21" style="0" width="5.99"/>
    <col collapsed="false" customWidth="true" hidden="false" outlineLevel="0" max="22" min="22" style="1" width="6.66"/>
    <col collapsed="false" customWidth="true" hidden="false" outlineLevel="0" max="24" min="23" style="0" width="7.82"/>
    <col collapsed="false" customWidth="true" hidden="false" outlineLevel="0" max="25" min="25" style="106" width="8.16"/>
    <col collapsed="false" customWidth="true" hidden="false" outlineLevel="0" max="26" min="26" style="2" width="4.66"/>
    <col collapsed="false" customWidth="true" hidden="false" outlineLevel="0" max="27" min="27" style="4" width="4.66"/>
    <col collapsed="false" customWidth="true" hidden="false" outlineLevel="0" max="28" min="28" style="5" width="4.66"/>
    <col collapsed="false" customWidth="true" hidden="false" outlineLevel="0" max="29" min="29" style="0" width="5.66"/>
  </cols>
  <sheetData>
    <row r="1" customFormat="false" ht="14.1" hidden="false" customHeight="true" outlineLevel="0" collapsed="false">
      <c r="A1" s="6"/>
      <c r="B1" s="6"/>
      <c r="C1" s="7"/>
      <c r="D1" s="6"/>
      <c r="E1" s="7"/>
      <c r="F1" s="6"/>
      <c r="G1" s="6"/>
      <c r="H1" s="11"/>
      <c r="I1" s="6"/>
      <c r="J1" s="6"/>
      <c r="K1" s="9" t="s">
        <v>0</v>
      </c>
      <c r="L1" s="6"/>
      <c r="M1" s="6"/>
      <c r="N1" s="6"/>
      <c r="O1" s="6"/>
      <c r="P1" s="6"/>
      <c r="Q1" s="6"/>
      <c r="R1" s="6"/>
      <c r="S1" s="7"/>
      <c r="T1" s="6"/>
      <c r="U1" s="6"/>
      <c r="V1" s="7"/>
      <c r="W1" s="6"/>
      <c r="X1" s="6"/>
      <c r="Y1" s="10"/>
      <c r="Z1" s="11"/>
      <c r="AA1" s="12"/>
      <c r="AB1" s="13"/>
      <c r="AC1" s="107"/>
      <c r="AD1" s="107"/>
    </row>
    <row r="2" customFormat="false" ht="14.1" hidden="false" customHeight="true" outlineLevel="0" collapsed="false">
      <c r="A2" s="6" t="s">
        <v>1</v>
      </c>
      <c r="B2" s="6"/>
      <c r="C2" s="7"/>
      <c r="D2" s="14" t="n">
        <v>1.9835</v>
      </c>
      <c r="E2" s="7"/>
      <c r="F2" s="6"/>
      <c r="G2" s="6"/>
      <c r="H2" s="11"/>
      <c r="I2" s="6"/>
      <c r="J2" s="6"/>
      <c r="K2" s="108" t="s">
        <v>72</v>
      </c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6"/>
      <c r="X2" s="6"/>
      <c r="Y2" s="10"/>
      <c r="Z2" s="11"/>
      <c r="AA2" s="12"/>
      <c r="AB2" s="13"/>
      <c r="AC2" s="107"/>
      <c r="AD2" s="107"/>
    </row>
    <row r="3" customFormat="false" ht="11.1" hidden="false" customHeight="true" outlineLevel="0" collapsed="false">
      <c r="A3" s="6"/>
      <c r="B3" s="6"/>
      <c r="C3" s="7"/>
      <c r="D3" s="15"/>
      <c r="E3" s="7"/>
      <c r="F3" s="6"/>
      <c r="G3" s="6"/>
      <c r="H3" s="11"/>
      <c r="I3" s="6"/>
      <c r="J3" s="6"/>
      <c r="K3" s="6"/>
      <c r="L3" s="6"/>
      <c r="M3" s="6"/>
      <c r="N3" s="6"/>
      <c r="O3" s="6"/>
      <c r="P3" s="6"/>
      <c r="Q3" s="6"/>
      <c r="R3" s="6"/>
      <c r="S3" s="7"/>
      <c r="T3" s="6"/>
      <c r="U3" s="6"/>
      <c r="V3" s="7"/>
      <c r="W3" s="6"/>
      <c r="X3" s="6"/>
      <c r="Y3" s="10"/>
      <c r="Z3" s="11"/>
      <c r="AA3" s="12"/>
      <c r="AB3" s="13"/>
      <c r="AC3" s="107"/>
      <c r="AD3" s="107"/>
    </row>
    <row r="4" customFormat="false" ht="11.1" hidden="false" customHeight="true" outlineLevel="0" collapsed="false">
      <c r="A4" s="16" t="s">
        <v>3</v>
      </c>
      <c r="B4" s="16" t="s">
        <v>4</v>
      </c>
      <c r="C4" s="17" t="s">
        <v>4</v>
      </c>
      <c r="D4" s="16" t="s">
        <v>5</v>
      </c>
      <c r="E4" s="17" t="s">
        <v>6</v>
      </c>
      <c r="F4" s="16" t="s">
        <v>7</v>
      </c>
      <c r="G4" s="16" t="s">
        <v>8</v>
      </c>
      <c r="H4" s="20" t="s">
        <v>9</v>
      </c>
      <c r="I4" s="16" t="s">
        <v>10</v>
      </c>
      <c r="J4" s="16" t="s">
        <v>11</v>
      </c>
      <c r="K4" s="16" t="s">
        <v>12</v>
      </c>
      <c r="L4" s="16" t="s">
        <v>11</v>
      </c>
      <c r="M4" s="19" t="s">
        <v>13</v>
      </c>
      <c r="N4" s="19"/>
      <c r="O4" s="19"/>
      <c r="P4" s="19"/>
      <c r="Q4" s="16" t="s">
        <v>14</v>
      </c>
      <c r="R4" s="16" t="s">
        <v>15</v>
      </c>
      <c r="S4" s="16" t="s">
        <v>12</v>
      </c>
      <c r="T4" s="17" t="s">
        <v>16</v>
      </c>
      <c r="U4" s="16" t="s">
        <v>17</v>
      </c>
      <c r="V4" s="16" t="s">
        <v>18</v>
      </c>
      <c r="W4" s="16" t="s">
        <v>10</v>
      </c>
      <c r="X4" s="16" t="s">
        <v>11</v>
      </c>
      <c r="Y4" s="16" t="s">
        <v>12</v>
      </c>
      <c r="Z4" s="20" t="s">
        <v>19</v>
      </c>
      <c r="AA4" s="21" t="s">
        <v>20</v>
      </c>
      <c r="AB4" s="21" t="s">
        <v>21</v>
      </c>
      <c r="AC4" s="21" t="s">
        <v>3</v>
      </c>
      <c r="AD4" s="121" t="s">
        <v>73</v>
      </c>
      <c r="AE4" s="107"/>
    </row>
    <row r="5" customFormat="false" ht="11.1" hidden="false" customHeight="true" outlineLevel="0" collapsed="false">
      <c r="A5" s="22" t="s">
        <v>74</v>
      </c>
      <c r="B5" s="16" t="s">
        <v>23</v>
      </c>
      <c r="C5" s="17" t="s">
        <v>5</v>
      </c>
      <c r="D5" s="16" t="s">
        <v>24</v>
      </c>
      <c r="E5" s="17" t="s">
        <v>25</v>
      </c>
      <c r="F5" s="16" t="s">
        <v>26</v>
      </c>
      <c r="G5" s="16" t="s">
        <v>27</v>
      </c>
      <c r="H5" s="20" t="s">
        <v>28</v>
      </c>
      <c r="I5" s="16" t="s">
        <v>29</v>
      </c>
      <c r="J5" s="16" t="s">
        <v>29</v>
      </c>
      <c r="K5" s="16" t="s">
        <v>29</v>
      </c>
      <c r="L5" s="16" t="s">
        <v>30</v>
      </c>
      <c r="M5" s="16" t="s">
        <v>31</v>
      </c>
      <c r="N5" s="16" t="s">
        <v>32</v>
      </c>
      <c r="O5" s="16" t="s">
        <v>33</v>
      </c>
      <c r="P5" s="16" t="s">
        <v>64</v>
      </c>
      <c r="Q5" s="16" t="s">
        <v>35</v>
      </c>
      <c r="R5" s="16" t="s">
        <v>36</v>
      </c>
      <c r="S5" s="16" t="s">
        <v>16</v>
      </c>
      <c r="T5" s="17" t="s">
        <v>37</v>
      </c>
      <c r="U5" s="16" t="s">
        <v>38</v>
      </c>
      <c r="V5" s="16" t="s">
        <v>39</v>
      </c>
      <c r="W5" s="16" t="s">
        <v>40</v>
      </c>
      <c r="X5" s="16" t="s">
        <v>40</v>
      </c>
      <c r="Y5" s="16" t="s">
        <v>40</v>
      </c>
      <c r="Z5" s="24"/>
      <c r="AA5" s="21" t="s">
        <v>41</v>
      </c>
      <c r="AB5" s="21" t="s">
        <v>41</v>
      </c>
      <c r="AC5" s="25" t="s">
        <v>74</v>
      </c>
      <c r="AD5" s="121" t="s">
        <v>75</v>
      </c>
      <c r="AE5" s="107"/>
    </row>
    <row r="6" customFormat="false" ht="11.1" hidden="false" customHeight="true" outlineLevel="0" collapsed="false">
      <c r="A6" s="26"/>
      <c r="B6" s="26"/>
      <c r="C6" s="27"/>
      <c r="D6" s="26"/>
      <c r="E6" s="27"/>
      <c r="F6" s="26"/>
      <c r="G6" s="26"/>
      <c r="H6" s="122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7"/>
      <c r="U6" s="26"/>
      <c r="V6" s="26"/>
      <c r="W6" s="26"/>
      <c r="X6" s="26"/>
      <c r="Y6" s="26"/>
      <c r="Z6" s="11"/>
      <c r="AA6" s="13"/>
      <c r="AB6" s="13"/>
      <c r="AC6" s="13"/>
      <c r="AF6" s="123"/>
    </row>
    <row r="7" customFormat="false" ht="11.1" hidden="false" customHeight="true" outlineLevel="0" collapsed="false">
      <c r="A7" s="6" t="s">
        <v>42</v>
      </c>
      <c r="B7" s="6"/>
      <c r="C7" s="7"/>
      <c r="D7" s="7"/>
      <c r="E7" s="7"/>
      <c r="F7" s="7" t="n">
        <f aca="false">MAY!F45</f>
        <v>14099.3193849256</v>
      </c>
      <c r="G7" s="7" t="n">
        <f aca="false">MAY!G45</f>
        <v>69316.55</v>
      </c>
      <c r="H7" s="11" t="n">
        <f aca="false">MAY!H45</f>
        <v>2089.41</v>
      </c>
      <c r="I7" s="7" t="n">
        <f aca="false">MAY!I45</f>
        <v>71405.96</v>
      </c>
      <c r="J7" s="7" t="n">
        <f aca="false">MAY!J45</f>
        <v>4497.51059238719</v>
      </c>
      <c r="K7" s="7" t="n">
        <f aca="false">MAY!K45</f>
        <v>75903.4705923872</v>
      </c>
      <c r="L7" s="7" t="n">
        <f aca="false">MAY!L45</f>
        <v>2133.49938492564</v>
      </c>
      <c r="M7" s="7" t="n">
        <f aca="false">MAY!M45</f>
        <v>12106.61</v>
      </c>
      <c r="N7" s="7" t="n">
        <f aca="false">MAY!N45</f>
        <v>0</v>
      </c>
      <c r="O7" s="7" t="n">
        <f aca="false">MAY!O45</f>
        <v>0</v>
      </c>
      <c r="P7" s="7" t="n">
        <f aca="false">MAY!P45</f>
        <v>12106.61</v>
      </c>
      <c r="Q7" s="7" t="n">
        <f aca="false">MAY!Q45</f>
        <v>7989.44</v>
      </c>
      <c r="R7" s="7" t="n">
        <f aca="false">MAY!R45</f>
        <v>4084.06</v>
      </c>
      <c r="S7" s="7" t="n">
        <f aca="false">MAY!S45</f>
        <v>24180.11</v>
      </c>
      <c r="T7" s="7" t="n">
        <f aca="false">MAY!T45</f>
        <v>4811.92</v>
      </c>
      <c r="U7" s="7" t="n">
        <f aca="false">MAY!U45</f>
        <v>1726</v>
      </c>
      <c r="V7" s="7" t="n">
        <f aca="false">MAY!V45</f>
        <v>33534.03</v>
      </c>
      <c r="W7" s="7" t="n">
        <f aca="false">MAY!W45</f>
        <v>59440.14</v>
      </c>
      <c r="X7" s="7" t="n">
        <f aca="false">MAY!X45</f>
        <v>2364.01120746156</v>
      </c>
      <c r="Y7" s="7" t="n">
        <f aca="false">MAY!Y45</f>
        <v>61804.1512074616</v>
      </c>
      <c r="Z7" s="11"/>
      <c r="AA7" s="12"/>
      <c r="AB7" s="12"/>
      <c r="AC7" s="13"/>
      <c r="AD7" s="124"/>
      <c r="AF7" s="125"/>
    </row>
    <row r="8" s="1" customFormat="true" ht="11.1" hidden="false" customHeight="true" outlineLevel="0" collapsed="false">
      <c r="A8" s="7" t="s">
        <v>43</v>
      </c>
      <c r="B8" s="29" t="n">
        <f aca="false">MAY!B40</f>
        <v>6924.25</v>
      </c>
      <c r="C8" s="7" t="n">
        <f aca="false">MAY!C40</f>
        <v>382281</v>
      </c>
      <c r="D8" s="7" t="n">
        <f aca="false">MAY!D49</f>
        <v>57325</v>
      </c>
      <c r="E8" s="7" t="n">
        <f aca="false">MAY!E49</f>
        <v>230281</v>
      </c>
      <c r="F8" s="7" t="n">
        <f aca="false">MAY!F48</f>
        <v>28900.9326947315</v>
      </c>
      <c r="G8" s="7" t="n">
        <f aca="false">MAY!G48</f>
        <v>91168.05</v>
      </c>
      <c r="H8" s="11" t="n">
        <f aca="false">MAY!H48</f>
        <v>2809.88</v>
      </c>
      <c r="I8" s="7" t="n">
        <f aca="false">MAY!I48</f>
        <v>93778.83</v>
      </c>
      <c r="J8" s="7" t="n">
        <f aca="false">MAY!J48</f>
        <v>15600.3410763801</v>
      </c>
      <c r="K8" s="7" t="n">
        <f aca="false">MAY!K48</f>
        <v>109379.17107638</v>
      </c>
      <c r="L8" s="7" t="n">
        <f aca="false">MAY!L48</f>
        <v>11734.0126947315</v>
      </c>
      <c r="M8" s="7" t="n">
        <f aca="false">MAY!M48</f>
        <v>14155.87</v>
      </c>
      <c r="N8" s="7" t="n">
        <f aca="false">MAY!N48</f>
        <v>0.08</v>
      </c>
      <c r="O8" s="7" t="n">
        <f aca="false">MAY!O48</f>
        <v>0</v>
      </c>
      <c r="P8" s="7" t="n">
        <f aca="false">MAY!P48</f>
        <v>14155.79</v>
      </c>
      <c r="Q8" s="7" t="n">
        <f aca="false">MAY!Q48</f>
        <v>10708.79</v>
      </c>
      <c r="R8" s="7" t="n">
        <f aca="false">MAY!R48</f>
        <v>4549.43</v>
      </c>
      <c r="S8" s="7" t="n">
        <f aca="false">MAY!S48</f>
        <v>29414.01</v>
      </c>
      <c r="T8" s="7" t="n">
        <f aca="false">MAY!T48</f>
        <v>0</v>
      </c>
      <c r="U8" s="7" t="n">
        <f aca="false">MAY!U48</f>
        <v>1726</v>
      </c>
      <c r="V8" s="7" t="n">
        <f aca="false">MAY!V48</f>
        <v>45546.82</v>
      </c>
      <c r="W8" s="7" t="n">
        <f aca="false">MAY!W48</f>
        <v>76611.91</v>
      </c>
      <c r="X8" s="7" t="n">
        <f aca="false">MAY!X48</f>
        <v>3866.3283816486</v>
      </c>
      <c r="Y8" s="7" t="n">
        <f aca="false">MAY!Y48</f>
        <v>80478.2383816486</v>
      </c>
      <c r="Z8" s="11" t="n">
        <f aca="false">MAY!Z48</f>
        <v>6.34</v>
      </c>
      <c r="AA8" s="12"/>
      <c r="AB8" s="12"/>
      <c r="AC8" s="13"/>
      <c r="AD8" s="126"/>
      <c r="AE8" s="126"/>
    </row>
    <row r="9" customFormat="false" ht="3" hidden="false" customHeight="true" outlineLevel="0" collapsed="false">
      <c r="A9" s="30"/>
      <c r="B9" s="31"/>
      <c r="C9" s="32"/>
      <c r="D9" s="30"/>
      <c r="E9" s="32"/>
      <c r="F9" s="30"/>
      <c r="G9" s="30"/>
      <c r="H9" s="34"/>
      <c r="I9" s="30"/>
      <c r="J9" s="30"/>
      <c r="K9" s="30"/>
      <c r="L9" s="30"/>
      <c r="M9" s="30"/>
      <c r="N9" s="30"/>
      <c r="O9" s="30" t="n">
        <v>0</v>
      </c>
      <c r="P9" s="30"/>
      <c r="Q9" s="30"/>
      <c r="R9" s="30" t="n">
        <v>0</v>
      </c>
      <c r="S9" s="30"/>
      <c r="T9" s="32"/>
      <c r="U9" s="30"/>
      <c r="V9" s="30"/>
      <c r="W9" s="30"/>
      <c r="X9" s="30"/>
      <c r="Y9" s="30"/>
      <c r="Z9" s="34"/>
      <c r="AA9" s="35"/>
      <c r="AB9" s="35"/>
      <c r="AC9" s="36"/>
      <c r="AD9" s="107"/>
      <c r="AE9" s="107"/>
    </row>
    <row r="10" customFormat="false" ht="11.1" hidden="false" customHeight="true" outlineLevel="0" collapsed="false">
      <c r="A10" s="13" t="n">
        <v>1</v>
      </c>
      <c r="B10" s="29" t="n">
        <v>6924.25</v>
      </c>
      <c r="C10" s="7" t="n">
        <v>382281</v>
      </c>
      <c r="D10" s="12" t="n">
        <f aca="false">C10-C8</f>
        <v>0</v>
      </c>
      <c r="E10" s="7" t="n">
        <f aca="false">C10-152000</f>
        <v>230281</v>
      </c>
      <c r="F10" s="6" t="n">
        <f aca="false">D10/$D$2</f>
        <v>0</v>
      </c>
      <c r="G10" s="6" t="n">
        <v>838.53</v>
      </c>
      <c r="H10" s="11" t="n">
        <v>0</v>
      </c>
      <c r="I10" s="6" t="n">
        <f aca="false">G10+H10</f>
        <v>838.53</v>
      </c>
      <c r="J10" s="109" t="n">
        <f aca="false">IF(L10&gt;0,L10,0)</f>
        <v>0</v>
      </c>
      <c r="K10" s="6" t="n">
        <f aca="false">I10+J10</f>
        <v>838.53</v>
      </c>
      <c r="L10" s="6" t="n">
        <f aca="false">F10-(I10-W10)</f>
        <v>-97.8399999999999</v>
      </c>
      <c r="M10" s="6" t="n">
        <v>230.2</v>
      </c>
      <c r="N10" s="6" t="n">
        <v>0</v>
      </c>
      <c r="O10" s="51" t="n">
        <v>0</v>
      </c>
      <c r="P10" s="6" t="n">
        <f aca="false">M10-(N10+O10)</f>
        <v>230.2</v>
      </c>
      <c r="Q10" s="6" t="n">
        <v>181.16</v>
      </c>
      <c r="R10" s="6" t="n">
        <v>87.64</v>
      </c>
      <c r="S10" s="6" t="n">
        <f aca="false">SUM(P10:R10)</f>
        <v>499</v>
      </c>
      <c r="T10" s="7" t="n">
        <f aca="false">T7+AD10</f>
        <v>4811.92</v>
      </c>
      <c r="U10" s="6" t="n">
        <v>44</v>
      </c>
      <c r="V10" s="6" t="n">
        <v>197.69</v>
      </c>
      <c r="W10" s="6" t="n">
        <f aca="false">N10+O10+S10+U10+V10</f>
        <v>740.69</v>
      </c>
      <c r="X10" s="6" t="n">
        <f aca="false">IF(L10&lt;0,L10*-1,0)</f>
        <v>97.8399999999999</v>
      </c>
      <c r="Y10" s="6" t="n">
        <f aca="false">W10+X10</f>
        <v>838.53</v>
      </c>
      <c r="Z10" s="11" t="n">
        <v>0</v>
      </c>
      <c r="AA10" s="12" t="n">
        <v>72</v>
      </c>
      <c r="AB10" s="12" t="n">
        <v>36</v>
      </c>
      <c r="AC10" s="13" t="n">
        <v>1</v>
      </c>
      <c r="AD10" s="12" t="n">
        <v>0</v>
      </c>
      <c r="AE10" s="12"/>
      <c r="AF10" s="127"/>
      <c r="AG10" s="6"/>
    </row>
    <row r="11" customFormat="false" ht="11.1" hidden="false" customHeight="true" outlineLevel="0" collapsed="false">
      <c r="A11" s="13" t="n">
        <f aca="false">A10+1</f>
        <v>2</v>
      </c>
      <c r="B11" s="29" t="n">
        <v>6924.25</v>
      </c>
      <c r="C11" s="7" t="n">
        <v>382281</v>
      </c>
      <c r="D11" s="12" t="n">
        <f aca="false">C11-C10</f>
        <v>0</v>
      </c>
      <c r="E11" s="7" t="n">
        <f aca="false">C11-152000</f>
        <v>230281</v>
      </c>
      <c r="F11" s="6" t="n">
        <f aca="false">D11/$D$2</f>
        <v>0</v>
      </c>
      <c r="G11" s="6" t="n">
        <v>782.53</v>
      </c>
      <c r="H11" s="11" t="n">
        <v>0</v>
      </c>
      <c r="I11" s="6" t="n">
        <f aca="false">G11+H11</f>
        <v>782.53</v>
      </c>
      <c r="J11" s="109" t="n">
        <f aca="false">IF(L11&gt;0,L11,0)</f>
        <v>0</v>
      </c>
      <c r="K11" s="6" t="n">
        <f aca="false">I11+J11</f>
        <v>782.53</v>
      </c>
      <c r="L11" s="6" t="n">
        <f aca="false">F11-(I11-W11)</f>
        <v>-79.9399999999999</v>
      </c>
      <c r="M11" s="6" t="n">
        <v>230.18</v>
      </c>
      <c r="N11" s="6" t="n">
        <v>0</v>
      </c>
      <c r="O11" s="51" t="n">
        <v>0</v>
      </c>
      <c r="P11" s="6" t="n">
        <f aca="false">M11-(N11+O11)</f>
        <v>230.18</v>
      </c>
      <c r="Q11" s="6" t="n">
        <v>181.18</v>
      </c>
      <c r="R11" s="6" t="n">
        <v>87.64</v>
      </c>
      <c r="S11" s="6" t="n">
        <f aca="false">SUM(P11:R11)</f>
        <v>499</v>
      </c>
      <c r="T11" s="52" t="n">
        <f aca="false">T10+AD11</f>
        <v>4811.92</v>
      </c>
      <c r="U11" s="6" t="n">
        <v>39</v>
      </c>
      <c r="V11" s="6" t="n">
        <v>164.59</v>
      </c>
      <c r="W11" s="6" t="n">
        <f aca="false">N11+O11+S11+U11+V11</f>
        <v>702.59</v>
      </c>
      <c r="X11" s="6" t="n">
        <f aca="false">IF(L11&lt;0,L11*-1,0)</f>
        <v>79.9399999999999</v>
      </c>
      <c r="Y11" s="6" t="n">
        <f aca="false">W11+X11</f>
        <v>782.53</v>
      </c>
      <c r="Z11" s="11" t="n">
        <v>0</v>
      </c>
      <c r="AA11" s="12" t="n">
        <v>74</v>
      </c>
      <c r="AB11" s="12" t="n">
        <v>38</v>
      </c>
      <c r="AC11" s="13" t="n">
        <f aca="false">AC10+1</f>
        <v>2</v>
      </c>
      <c r="AD11" s="12" t="n">
        <v>0</v>
      </c>
      <c r="AE11" s="12"/>
      <c r="AG11" s="6"/>
    </row>
    <row r="12" customFormat="false" ht="11.1" hidden="false" customHeight="true" outlineLevel="0" collapsed="false">
      <c r="A12" s="13" t="n">
        <f aca="false">A11+1</f>
        <v>3</v>
      </c>
      <c r="B12" s="29" t="n">
        <v>6924.25</v>
      </c>
      <c r="C12" s="7" t="n">
        <v>382281</v>
      </c>
      <c r="D12" s="12" t="n">
        <f aca="false">C12-C11</f>
        <v>0</v>
      </c>
      <c r="E12" s="7" t="n">
        <f aca="false">C12-152000</f>
        <v>230281</v>
      </c>
      <c r="F12" s="6" t="n">
        <f aca="false">D12/$D$2</f>
        <v>0</v>
      </c>
      <c r="G12" s="6" t="n">
        <v>703.9</v>
      </c>
      <c r="H12" s="11" t="n">
        <v>0</v>
      </c>
      <c r="I12" s="6" t="n">
        <f aca="false">G12+H12</f>
        <v>703.9</v>
      </c>
      <c r="J12" s="109" t="n">
        <f aca="false">IF(L12&gt;0,L12,0)</f>
        <v>0</v>
      </c>
      <c r="K12" s="6" t="n">
        <f aca="false">I12+J12</f>
        <v>703.9</v>
      </c>
      <c r="L12" s="6" t="n">
        <f aca="false">F12-(I12-W12)</f>
        <v>-45.12</v>
      </c>
      <c r="M12" s="6" t="n">
        <v>230.2</v>
      </c>
      <c r="N12" s="6" t="n">
        <v>0</v>
      </c>
      <c r="O12" s="6" t="n">
        <v>0</v>
      </c>
      <c r="P12" s="6" t="n">
        <f aca="false">M12-(N12+O12)</f>
        <v>230.2</v>
      </c>
      <c r="Q12" s="6" t="n">
        <v>180.92</v>
      </c>
      <c r="R12" s="6" t="n">
        <v>87.88</v>
      </c>
      <c r="S12" s="6" t="n">
        <f aca="false">SUM(P12:R12)</f>
        <v>499</v>
      </c>
      <c r="T12" s="52" t="n">
        <f aca="false">T11+AD12</f>
        <v>4811.92</v>
      </c>
      <c r="U12" s="6" t="n">
        <v>39</v>
      </c>
      <c r="V12" s="6" t="n">
        <v>120.78</v>
      </c>
      <c r="W12" s="6" t="n">
        <f aca="false">N12+O12+S12+U12+V12</f>
        <v>658.78</v>
      </c>
      <c r="X12" s="6" t="n">
        <f aca="false">IF(L12&lt;0,L12*-1,0)</f>
        <v>45.12</v>
      </c>
      <c r="Y12" s="6" t="n">
        <f aca="false">W12+X12</f>
        <v>703.9</v>
      </c>
      <c r="Z12" s="11" t="n">
        <v>0</v>
      </c>
      <c r="AA12" s="12" t="n">
        <v>75</v>
      </c>
      <c r="AB12" s="12" t="n">
        <v>42</v>
      </c>
      <c r="AC12" s="13" t="n">
        <f aca="false">AC11+1</f>
        <v>3</v>
      </c>
      <c r="AD12" s="12" t="n">
        <v>0</v>
      </c>
      <c r="AE12" s="12"/>
      <c r="AG12" s="6"/>
    </row>
    <row r="13" customFormat="false" ht="11.1" hidden="false" customHeight="true" outlineLevel="0" collapsed="false">
      <c r="A13" s="13" t="n">
        <f aca="false">A12+1</f>
        <v>4</v>
      </c>
      <c r="B13" s="29" t="n">
        <v>6924.25</v>
      </c>
      <c r="C13" s="7" t="n">
        <v>382281</v>
      </c>
      <c r="D13" s="12" t="n">
        <f aca="false">C13-C12</f>
        <v>0</v>
      </c>
      <c r="E13" s="7" t="n">
        <f aca="false">C13-152000</f>
        <v>230281</v>
      </c>
      <c r="F13" s="6" t="n">
        <f aca="false">D13/$D$2</f>
        <v>0</v>
      </c>
      <c r="G13" s="6" t="n">
        <v>634.7</v>
      </c>
      <c r="H13" s="11" t="n">
        <v>0</v>
      </c>
      <c r="I13" s="6" t="n">
        <f aca="false">G13+H13</f>
        <v>634.7</v>
      </c>
      <c r="J13" s="109" t="n">
        <f aca="false">IF(L13&gt;0,L13,0)</f>
        <v>26.91</v>
      </c>
      <c r="K13" s="6" t="n">
        <f aca="false">I13+J13</f>
        <v>661.61</v>
      </c>
      <c r="L13" s="6" t="n">
        <f aca="false">F13-(I13-W13)</f>
        <v>26.91</v>
      </c>
      <c r="M13" s="6" t="n">
        <v>230.2</v>
      </c>
      <c r="N13" s="6" t="n">
        <v>0</v>
      </c>
      <c r="O13" s="6" t="n">
        <v>0</v>
      </c>
      <c r="P13" s="6" t="n">
        <f aca="false">M13-(N13+O13)</f>
        <v>230.2</v>
      </c>
      <c r="Q13" s="6" t="n">
        <v>181.38</v>
      </c>
      <c r="R13" s="6" t="n">
        <v>88.42</v>
      </c>
      <c r="S13" s="6" t="n">
        <f aca="false">SUM(P13:R13)</f>
        <v>500</v>
      </c>
      <c r="T13" s="52" t="n">
        <f aca="false">T12+AD13</f>
        <v>4811.92</v>
      </c>
      <c r="U13" s="6" t="n">
        <v>41</v>
      </c>
      <c r="V13" s="6" t="n">
        <v>120.61</v>
      </c>
      <c r="W13" s="6" t="n">
        <f aca="false">N13+O13+S13+U13+V13</f>
        <v>661.61</v>
      </c>
      <c r="X13" s="6" t="n">
        <f aca="false">IF(L13&lt;0,L13*-1,0)</f>
        <v>0</v>
      </c>
      <c r="Y13" s="6" t="n">
        <f aca="false">W13+X13</f>
        <v>661.61</v>
      </c>
      <c r="Z13" s="11" t="n">
        <v>0</v>
      </c>
      <c r="AA13" s="12" t="n">
        <v>74</v>
      </c>
      <c r="AB13" s="12" t="n">
        <v>40</v>
      </c>
      <c r="AC13" s="13" t="n">
        <f aca="false">AC12+1</f>
        <v>4</v>
      </c>
      <c r="AD13" s="12" t="n">
        <v>0</v>
      </c>
      <c r="AE13" s="12"/>
      <c r="AG13" s="6"/>
    </row>
    <row r="14" customFormat="false" ht="11.1" hidden="false" customHeight="true" outlineLevel="0" collapsed="false">
      <c r="A14" s="13" t="n">
        <f aca="false">A13+1</f>
        <v>5</v>
      </c>
      <c r="B14" s="29" t="n">
        <v>6924.2</v>
      </c>
      <c r="C14" s="7" t="n">
        <v>382057</v>
      </c>
      <c r="D14" s="12" t="n">
        <f aca="false">C14-C13</f>
        <v>-224</v>
      </c>
      <c r="E14" s="7" t="n">
        <f aca="false">C14-152000</f>
        <v>230057</v>
      </c>
      <c r="F14" s="6" t="n">
        <f aca="false">D14/$D$2</f>
        <v>-112.931686412906</v>
      </c>
      <c r="G14" s="6" t="n">
        <v>571.52</v>
      </c>
      <c r="H14" s="11" t="n">
        <v>0</v>
      </c>
      <c r="I14" s="6" t="n">
        <f aca="false">G14+H14</f>
        <v>571.52</v>
      </c>
      <c r="J14" s="109" t="n">
        <f aca="false">IF(L14&gt;0,L14,0)</f>
        <v>0</v>
      </c>
      <c r="K14" s="6" t="n">
        <f aca="false">I14+J14</f>
        <v>571.52</v>
      </c>
      <c r="L14" s="6" t="n">
        <f aca="false">F14-(I14-W14)</f>
        <v>-26.8416864129064</v>
      </c>
      <c r="M14" s="6" t="n">
        <v>230.2</v>
      </c>
      <c r="N14" s="6" t="n">
        <v>0</v>
      </c>
      <c r="O14" s="6" t="n">
        <v>0</v>
      </c>
      <c r="P14" s="6" t="n">
        <f aca="false">M14-(N14+O14)</f>
        <v>230.2</v>
      </c>
      <c r="Q14" s="6" t="n">
        <v>181.43</v>
      </c>
      <c r="R14" s="6" t="n">
        <v>88.37</v>
      </c>
      <c r="S14" s="6" t="n">
        <f aca="false">SUM(P14:R14)</f>
        <v>500</v>
      </c>
      <c r="T14" s="52" t="n">
        <f aca="false">T13+AD14</f>
        <v>4811.92</v>
      </c>
      <c r="U14" s="6" t="n">
        <v>37</v>
      </c>
      <c r="V14" s="6" t="n">
        <v>120.61</v>
      </c>
      <c r="W14" s="6" t="n">
        <f aca="false">N14+O14+S14+U14+V14</f>
        <v>657.61</v>
      </c>
      <c r="X14" s="6" t="n">
        <f aca="false">IF(L14&lt;0,L14*-1,0)</f>
        <v>26.8416864129064</v>
      </c>
      <c r="Y14" s="6" t="n">
        <f aca="false">W14+X14</f>
        <v>684.451686412907</v>
      </c>
      <c r="Z14" s="11" t="n">
        <v>0</v>
      </c>
      <c r="AA14" s="12" t="n">
        <v>75</v>
      </c>
      <c r="AB14" s="12" t="n">
        <v>42</v>
      </c>
      <c r="AC14" s="13" t="n">
        <v>5</v>
      </c>
      <c r="AD14" s="12" t="n">
        <v>0</v>
      </c>
      <c r="AE14" s="12"/>
      <c r="AG14" s="6"/>
    </row>
    <row r="15" customFormat="false" ht="11.1" hidden="false" customHeight="true" outlineLevel="0" collapsed="false">
      <c r="A15" s="13" t="n">
        <f aca="false">A14+1</f>
        <v>6</v>
      </c>
      <c r="B15" s="29" t="n">
        <v>6924.17</v>
      </c>
      <c r="C15" s="7" t="n">
        <v>381923</v>
      </c>
      <c r="D15" s="12" t="n">
        <f aca="false">C15-C14</f>
        <v>-134</v>
      </c>
      <c r="E15" s="7" t="n">
        <f aca="false">C15-152000</f>
        <v>229923</v>
      </c>
      <c r="F15" s="6" t="n">
        <f aca="false">D15/$D$2</f>
        <v>-67.5573481220066</v>
      </c>
      <c r="G15" s="6" t="n">
        <v>579.19</v>
      </c>
      <c r="H15" s="11" t="n">
        <v>0</v>
      </c>
      <c r="I15" s="6" t="n">
        <f aca="false">G15+H15</f>
        <v>579.19</v>
      </c>
      <c r="J15" s="109" t="n">
        <f aca="false">IF(L15&gt;0,L15,0)</f>
        <v>0</v>
      </c>
      <c r="K15" s="6" t="n">
        <f aca="false">I15+J15</f>
        <v>579.19</v>
      </c>
      <c r="L15" s="6" t="n">
        <f aca="false">F15-(I15-W15)</f>
        <v>-11.8373481220066</v>
      </c>
      <c r="M15" s="6" t="n">
        <v>230.15</v>
      </c>
      <c r="N15" s="6" t="n">
        <v>0</v>
      </c>
      <c r="O15" s="6" t="n">
        <v>0</v>
      </c>
      <c r="P15" s="6" t="n">
        <f aca="false">M15-(N15+O15)</f>
        <v>230.15</v>
      </c>
      <c r="Q15" s="6" t="n">
        <v>181.33</v>
      </c>
      <c r="R15" s="6" t="n">
        <v>88.52</v>
      </c>
      <c r="S15" s="6" t="n">
        <f aca="false">SUM(P15:R15)</f>
        <v>500</v>
      </c>
      <c r="T15" s="52" t="n">
        <f aca="false">T14+AD15</f>
        <v>4811.92</v>
      </c>
      <c r="U15" s="6" t="n">
        <v>38</v>
      </c>
      <c r="V15" s="6" t="n">
        <v>96.91</v>
      </c>
      <c r="W15" s="6" t="n">
        <f aca="false">N15+O15+S15+U15+V15</f>
        <v>634.91</v>
      </c>
      <c r="X15" s="6" t="n">
        <f aca="false">IF(L15&lt;0,L15*-1,0)</f>
        <v>11.8373481220066</v>
      </c>
      <c r="Y15" s="6" t="n">
        <f aca="false">W15+X15</f>
        <v>646.747348122007</v>
      </c>
      <c r="Z15" s="11" t="n">
        <v>0</v>
      </c>
      <c r="AA15" s="12" t="n">
        <v>77</v>
      </c>
      <c r="AB15" s="12" t="n">
        <v>40</v>
      </c>
      <c r="AC15" s="13" t="n">
        <f aca="false">AC14+1</f>
        <v>6</v>
      </c>
      <c r="AD15" s="12" t="n">
        <v>0</v>
      </c>
      <c r="AE15" s="12"/>
      <c r="AG15" s="6"/>
    </row>
    <row r="16" customFormat="false" ht="11.1" hidden="false" customHeight="true" outlineLevel="0" collapsed="false">
      <c r="A16" s="13" t="n">
        <f aca="false">A15+1</f>
        <v>7</v>
      </c>
      <c r="B16" s="29" t="n">
        <v>6924.16</v>
      </c>
      <c r="C16" s="7" t="n">
        <v>381878</v>
      </c>
      <c r="D16" s="12" t="n">
        <f aca="false">C16-C15</f>
        <v>-45</v>
      </c>
      <c r="E16" s="7" t="n">
        <f aca="false">C16-152000</f>
        <v>229878</v>
      </c>
      <c r="F16" s="6" t="n">
        <f aca="false">D16/$D$2</f>
        <v>-22.68716914545</v>
      </c>
      <c r="G16" s="6" t="n">
        <v>544.03</v>
      </c>
      <c r="H16" s="11" t="n">
        <v>0</v>
      </c>
      <c r="I16" s="6" t="n">
        <f aca="false">G16+H16</f>
        <v>544.03</v>
      </c>
      <c r="J16" s="109" t="n">
        <f aca="false">IF(L16&gt;0,L16,0)</f>
        <v>33.9828308545501</v>
      </c>
      <c r="K16" s="6" t="n">
        <f aca="false">I16+J16</f>
        <v>578.01283085455</v>
      </c>
      <c r="L16" s="6" t="n">
        <f aca="false">F16-(I16-W16)</f>
        <v>33.9828308545501</v>
      </c>
      <c r="M16" s="6" t="n">
        <v>208.53</v>
      </c>
      <c r="N16" s="6" t="n">
        <v>0</v>
      </c>
      <c r="O16" s="6" t="n">
        <v>0</v>
      </c>
      <c r="P16" s="6" t="n">
        <f aca="false">M16-(N16+O16)</f>
        <v>208.53</v>
      </c>
      <c r="Q16" s="6" t="n">
        <v>180.95</v>
      </c>
      <c r="R16" s="6" t="n">
        <v>87.52</v>
      </c>
      <c r="S16" s="6" t="n">
        <f aca="false">SUM(P16:R16)</f>
        <v>477</v>
      </c>
      <c r="T16" s="52" t="n">
        <f aca="false">T15+AD16</f>
        <v>4878.95</v>
      </c>
      <c r="U16" s="6" t="n">
        <v>41</v>
      </c>
      <c r="V16" s="6" t="n">
        <v>82.7</v>
      </c>
      <c r="W16" s="6" t="n">
        <f aca="false">N16+O16+S16+U16+V16</f>
        <v>600.7</v>
      </c>
      <c r="X16" s="6" t="n">
        <f aca="false">IF(L16&lt;0,L16*-1,0)</f>
        <v>0</v>
      </c>
      <c r="Y16" s="6" t="n">
        <f aca="false">W16+X16</f>
        <v>600.7</v>
      </c>
      <c r="Z16" s="11" t="n">
        <v>0.02</v>
      </c>
      <c r="AA16" s="12" t="n">
        <v>74</v>
      </c>
      <c r="AB16" s="12" t="n">
        <v>50</v>
      </c>
      <c r="AC16" s="13" t="n">
        <f aca="false">AC15+1</f>
        <v>7</v>
      </c>
      <c r="AD16" s="12" t="n">
        <f aca="false">IF(I16&gt;S16,I16-S16,I16-S16)</f>
        <v>67.03</v>
      </c>
      <c r="AE16" s="12"/>
      <c r="AG16" s="6"/>
    </row>
    <row r="17" customFormat="false" ht="11.1" hidden="false" customHeight="true" outlineLevel="0" collapsed="false">
      <c r="A17" s="13" t="n">
        <f aca="false">A16+1</f>
        <v>8</v>
      </c>
      <c r="B17" s="29" t="n">
        <v>6924.15</v>
      </c>
      <c r="C17" s="7" t="n">
        <v>381833</v>
      </c>
      <c r="D17" s="12" t="n">
        <f aca="false">C17-C16</f>
        <v>-45</v>
      </c>
      <c r="E17" s="7" t="n">
        <f aca="false">C17-152000</f>
        <v>229833</v>
      </c>
      <c r="F17" s="6" t="n">
        <f aca="false">D17/$D$2</f>
        <v>-22.68716914545</v>
      </c>
      <c r="G17" s="6" t="n">
        <v>536.31</v>
      </c>
      <c r="H17" s="11" t="n">
        <v>0</v>
      </c>
      <c r="I17" s="6" t="n">
        <f aca="false">G17+H17</f>
        <v>536.31</v>
      </c>
      <c r="J17" s="109" t="n">
        <f aca="false">IF(L17&gt;0,L17,0)</f>
        <v>13.8328308545501</v>
      </c>
      <c r="K17" s="6" t="n">
        <f aca="false">I17+J17</f>
        <v>550.14283085455</v>
      </c>
      <c r="L17" s="6" t="n">
        <f aca="false">F17-(I17-W17)</f>
        <v>13.8328308545501</v>
      </c>
      <c r="M17" s="6" t="n">
        <v>182.26</v>
      </c>
      <c r="N17" s="6" t="n">
        <v>0</v>
      </c>
      <c r="O17" s="6" t="n">
        <v>0</v>
      </c>
      <c r="P17" s="6" t="n">
        <f aca="false">M17-(N17+O17)</f>
        <v>182.26</v>
      </c>
      <c r="Q17" s="6" t="n">
        <v>180.72</v>
      </c>
      <c r="R17" s="6" t="n">
        <v>88.02</v>
      </c>
      <c r="S17" s="6" t="n">
        <f aca="false">SUM(P17:R17)</f>
        <v>451</v>
      </c>
      <c r="T17" s="52" t="n">
        <f aca="false">T16+AD17</f>
        <v>4964.26</v>
      </c>
      <c r="U17" s="6" t="n">
        <v>39</v>
      </c>
      <c r="V17" s="6" t="n">
        <v>82.83</v>
      </c>
      <c r="W17" s="6" t="n">
        <f aca="false">N17+O17+S17+U17+V17</f>
        <v>572.83</v>
      </c>
      <c r="X17" s="6" t="n">
        <f aca="false">IF(L17&lt;0,L17*-1,0)</f>
        <v>0</v>
      </c>
      <c r="Y17" s="6" t="n">
        <f aca="false">W17+X17</f>
        <v>572.83</v>
      </c>
      <c r="Z17" s="11" t="n">
        <v>0</v>
      </c>
      <c r="AA17" s="12" t="n">
        <v>75</v>
      </c>
      <c r="AB17" s="12" t="n">
        <v>47</v>
      </c>
      <c r="AC17" s="13" t="n">
        <f aca="false">AC16+1</f>
        <v>8</v>
      </c>
      <c r="AD17" s="12" t="n">
        <f aca="false">IF(I17&gt;S17,I17-S17,I17-S17)</f>
        <v>85.31</v>
      </c>
      <c r="AE17" s="12"/>
      <c r="AG17" s="6"/>
    </row>
    <row r="18" customFormat="false" ht="11.1" hidden="false" customHeight="true" outlineLevel="0" collapsed="false">
      <c r="A18" s="13" t="n">
        <f aca="false">A17+1</f>
        <v>9</v>
      </c>
      <c r="B18" s="29" t="n">
        <v>6924.12</v>
      </c>
      <c r="C18" s="7" t="n">
        <v>381698</v>
      </c>
      <c r="D18" s="12" t="n">
        <f aca="false">C18-C17</f>
        <v>-135</v>
      </c>
      <c r="E18" s="7" t="n">
        <f aca="false">C18-152000</f>
        <v>229698</v>
      </c>
      <c r="F18" s="6" t="n">
        <f aca="false">D18/$D$2</f>
        <v>-68.0615074363499</v>
      </c>
      <c r="G18" s="6" t="n">
        <v>528.59</v>
      </c>
      <c r="H18" s="11" t="n">
        <v>0</v>
      </c>
      <c r="I18" s="6" t="n">
        <f aca="false">G18+H18</f>
        <v>528.59</v>
      </c>
      <c r="J18" s="109" t="n">
        <f aca="false">IF(L18&gt;0,L18,0)</f>
        <v>0</v>
      </c>
      <c r="K18" s="6" t="n">
        <f aca="false">I18+J18</f>
        <v>528.59</v>
      </c>
      <c r="L18" s="6" t="n">
        <f aca="false">F18-(I18-W18)</f>
        <v>-21.9215074363499</v>
      </c>
      <c r="M18" s="6" t="n">
        <v>181.92</v>
      </c>
      <c r="N18" s="6" t="n">
        <v>0</v>
      </c>
      <c r="O18" s="6" t="n">
        <v>0</v>
      </c>
      <c r="P18" s="6" t="n">
        <f aca="false">M18-(N18+O18)</f>
        <v>181.92</v>
      </c>
      <c r="Q18" s="6" t="n">
        <v>181.04</v>
      </c>
      <c r="R18" s="6" t="n">
        <v>88.04</v>
      </c>
      <c r="S18" s="6" t="n">
        <f aca="false">SUM(P18:R18)</f>
        <v>451</v>
      </c>
      <c r="T18" s="52" t="n">
        <f aca="false">T17+AD18</f>
        <v>5041.85</v>
      </c>
      <c r="U18" s="6" t="n">
        <v>41</v>
      </c>
      <c r="V18" s="6" t="n">
        <v>82.73</v>
      </c>
      <c r="W18" s="6" t="n">
        <f aca="false">N18+O18+S18+U18+V18</f>
        <v>574.73</v>
      </c>
      <c r="X18" s="6" t="n">
        <f aca="false">IF(L18&lt;0,L18*-1,0)</f>
        <v>21.9215074363499</v>
      </c>
      <c r="Y18" s="6" t="n">
        <f aca="false">W18+X18</f>
        <v>596.65150743635</v>
      </c>
      <c r="Z18" s="11" t="n">
        <v>0</v>
      </c>
      <c r="AA18" s="12" t="n">
        <v>73</v>
      </c>
      <c r="AB18" s="12" t="n">
        <v>46</v>
      </c>
      <c r="AC18" s="13" t="n">
        <f aca="false">AC17+1</f>
        <v>9</v>
      </c>
      <c r="AD18" s="12" t="n">
        <f aca="false">IF(I18&gt;S18,I18-S18,I18-S18)</f>
        <v>77.59</v>
      </c>
      <c r="AE18" s="12"/>
      <c r="AG18" s="6"/>
    </row>
    <row r="19" customFormat="false" ht="11.1" hidden="false" customHeight="true" outlineLevel="0" collapsed="false">
      <c r="A19" s="13" t="n">
        <f aca="false">A18+1</f>
        <v>10</v>
      </c>
      <c r="B19" s="29" t="n">
        <v>6924.08</v>
      </c>
      <c r="C19" s="7" t="n">
        <v>381519</v>
      </c>
      <c r="D19" s="12" t="n">
        <f aca="false">C19-C18</f>
        <v>-179</v>
      </c>
      <c r="E19" s="7" t="n">
        <f aca="false">C19-152000</f>
        <v>229519</v>
      </c>
      <c r="F19" s="6" t="n">
        <f aca="false">D19/$D$2</f>
        <v>-90.2445172674565</v>
      </c>
      <c r="G19" s="6" t="n">
        <v>488.49</v>
      </c>
      <c r="H19" s="11" t="n">
        <v>0</v>
      </c>
      <c r="I19" s="6" t="n">
        <f aca="false">G19+H19</f>
        <v>488.49</v>
      </c>
      <c r="J19" s="109" t="n">
        <f aca="false">IF(L19&gt;0,L19,0)</f>
        <v>0</v>
      </c>
      <c r="K19" s="6" t="n">
        <f aca="false">I19+J19</f>
        <v>488.49</v>
      </c>
      <c r="L19" s="6" t="n">
        <f aca="false">F19-(I19-W19)</f>
        <v>-6.81451726745657</v>
      </c>
      <c r="M19" s="6" t="n">
        <v>182.18</v>
      </c>
      <c r="N19" s="6" t="n">
        <v>0</v>
      </c>
      <c r="O19" s="6" t="n">
        <v>0</v>
      </c>
      <c r="P19" s="6" t="n">
        <f aca="false">M19-(N19+O19)</f>
        <v>182.18</v>
      </c>
      <c r="Q19" s="6" t="n">
        <v>180.75</v>
      </c>
      <c r="R19" s="6" t="n">
        <v>88.07</v>
      </c>
      <c r="S19" s="6" t="n">
        <f aca="false">SUM(P19:R19)</f>
        <v>451</v>
      </c>
      <c r="T19" s="52" t="n">
        <f aca="false">T18+AD19</f>
        <v>5079.34</v>
      </c>
      <c r="U19" s="6" t="n">
        <v>38</v>
      </c>
      <c r="V19" s="6" t="n">
        <v>82.92</v>
      </c>
      <c r="W19" s="6" t="n">
        <f aca="false">N19+O19+S19+U19+V19</f>
        <v>571.92</v>
      </c>
      <c r="X19" s="6" t="n">
        <f aca="false">IF(L19&lt;0,L19*-1,0)</f>
        <v>6.81451726745657</v>
      </c>
      <c r="Y19" s="6" t="n">
        <f aca="false">W19+X19</f>
        <v>578.734517267457</v>
      </c>
      <c r="Z19" s="11" t="n">
        <v>0</v>
      </c>
      <c r="AA19" s="12" t="n">
        <v>72</v>
      </c>
      <c r="AB19" s="12" t="n">
        <v>44</v>
      </c>
      <c r="AC19" s="13" t="n">
        <f aca="false">AC18+1</f>
        <v>10</v>
      </c>
      <c r="AD19" s="12" t="n">
        <f aca="false">IF(I19&gt;S19,I19-S19,I19-S19)</f>
        <v>37.49</v>
      </c>
      <c r="AE19" s="12"/>
      <c r="AG19" s="6"/>
    </row>
    <row r="20" customFormat="false" ht="11.1" hidden="false" customHeight="true" outlineLevel="0" collapsed="false">
      <c r="A20" s="13" t="n">
        <f aca="false">A19+1</f>
        <v>11</v>
      </c>
      <c r="B20" s="29" t="n">
        <v>6924.04</v>
      </c>
      <c r="C20" s="7" t="n">
        <v>381339</v>
      </c>
      <c r="D20" s="12" t="n">
        <f aca="false">C20-C19</f>
        <v>-180</v>
      </c>
      <c r="E20" s="7" t="n">
        <f aca="false">C20-152000</f>
        <v>229339</v>
      </c>
      <c r="F20" s="6" t="n">
        <f aca="false">D20/$D$2</f>
        <v>-90.7486765817998</v>
      </c>
      <c r="G20" s="6" t="n">
        <v>466</v>
      </c>
      <c r="H20" s="11" t="n">
        <v>0</v>
      </c>
      <c r="I20" s="6" t="n">
        <f aca="false">G20+H20</f>
        <v>466</v>
      </c>
      <c r="J20" s="109" t="n">
        <f aca="false">IF(L20&gt;0,L20,0)</f>
        <v>20.4313234182002</v>
      </c>
      <c r="K20" s="6" t="n">
        <f aca="false">I20+J20</f>
        <v>486.4313234182</v>
      </c>
      <c r="L20" s="6" t="n">
        <f aca="false">F20-(I20-W20)</f>
        <v>20.4313234182002</v>
      </c>
      <c r="M20" s="6" t="n">
        <v>182.07</v>
      </c>
      <c r="N20" s="6" t="n">
        <v>0</v>
      </c>
      <c r="O20" s="6" t="n">
        <v>0</v>
      </c>
      <c r="P20" s="6" t="n">
        <f aca="false">M20-(N20+O20)</f>
        <v>182.07</v>
      </c>
      <c r="Q20" s="6" t="n">
        <v>180.79</v>
      </c>
      <c r="R20" s="6" t="n">
        <v>88.14</v>
      </c>
      <c r="S20" s="6" t="n">
        <f aca="false">SUM(P20:R20)</f>
        <v>451</v>
      </c>
      <c r="T20" s="52" t="n">
        <f aca="false">T19+AD20</f>
        <v>5094.34</v>
      </c>
      <c r="U20" s="6" t="n">
        <v>45</v>
      </c>
      <c r="V20" s="6" t="n">
        <v>81.18</v>
      </c>
      <c r="W20" s="6" t="n">
        <f aca="false">N20+O20+S20+U20+V20</f>
        <v>577.18</v>
      </c>
      <c r="X20" s="6" t="n">
        <f aca="false">IF(L20&lt;0,L20*-1,0)</f>
        <v>0</v>
      </c>
      <c r="Y20" s="6" t="n">
        <f aca="false">W20+X20</f>
        <v>577.18</v>
      </c>
      <c r="Z20" s="11" t="n">
        <v>0</v>
      </c>
      <c r="AA20" s="12" t="n">
        <v>75</v>
      </c>
      <c r="AB20" s="12" t="n">
        <v>42</v>
      </c>
      <c r="AC20" s="13" t="n">
        <f aca="false">AC19+1</f>
        <v>11</v>
      </c>
      <c r="AD20" s="12" t="n">
        <f aca="false">IF(I20&gt;S20,I20-S20,I20-S20)</f>
        <v>15</v>
      </c>
      <c r="AE20" s="12"/>
      <c r="AG20" s="6"/>
    </row>
    <row r="21" customFormat="false" ht="11.1" hidden="false" customHeight="true" outlineLevel="0" collapsed="false">
      <c r="A21" s="13" t="n">
        <f aca="false">A20+1</f>
        <v>12</v>
      </c>
      <c r="B21" s="29" t="n">
        <v>6923.98</v>
      </c>
      <c r="C21" s="7" t="n">
        <v>381071</v>
      </c>
      <c r="D21" s="12" t="n">
        <f aca="false">C21-C20</f>
        <v>-268</v>
      </c>
      <c r="E21" s="7" t="n">
        <f aca="false">C21-152000</f>
        <v>229071</v>
      </c>
      <c r="F21" s="6" t="n">
        <f aca="false">D21/$D$2</f>
        <v>-135.114696244013</v>
      </c>
      <c r="G21" s="6" t="n">
        <v>454.52</v>
      </c>
      <c r="H21" s="11" t="n">
        <v>0</v>
      </c>
      <c r="I21" s="6" t="n">
        <f aca="false">G21+H21</f>
        <v>454.52</v>
      </c>
      <c r="J21" s="109" t="n">
        <f aca="false">IF(L21&gt;0,L21,0)</f>
        <v>0</v>
      </c>
      <c r="K21" s="6" t="n">
        <f aca="false">I21+J21</f>
        <v>454.52</v>
      </c>
      <c r="L21" s="6" t="n">
        <f aca="false">F21-(I21-W21)</f>
        <v>-31.1046962440131</v>
      </c>
      <c r="M21" s="6" t="n">
        <v>170.76</v>
      </c>
      <c r="N21" s="6" t="n">
        <v>0</v>
      </c>
      <c r="O21" s="6" t="n">
        <v>0</v>
      </c>
      <c r="P21" s="6" t="n">
        <f aca="false">M21-(N21+O21)</f>
        <v>170.76</v>
      </c>
      <c r="Q21" s="6" t="n">
        <v>180.45</v>
      </c>
      <c r="R21" s="6" t="n">
        <v>87.79</v>
      </c>
      <c r="S21" s="6" t="n">
        <f aca="false">SUM(P21:R21)</f>
        <v>439</v>
      </c>
      <c r="T21" s="52" t="n">
        <f aca="false">T20+AD21</f>
        <v>5109.86</v>
      </c>
      <c r="U21" s="6" t="n">
        <v>40</v>
      </c>
      <c r="V21" s="6" t="n">
        <v>79.53</v>
      </c>
      <c r="W21" s="6" t="n">
        <f aca="false">N21+O21+S21+U21+V21</f>
        <v>558.53</v>
      </c>
      <c r="X21" s="6" t="n">
        <f aca="false">IF(L21&lt;0,L21*-1,0)</f>
        <v>31.1046962440131</v>
      </c>
      <c r="Y21" s="6" t="n">
        <f aca="false">W21+X21</f>
        <v>589.634696244013</v>
      </c>
      <c r="Z21" s="11" t="n">
        <v>0</v>
      </c>
      <c r="AA21" s="12" t="n">
        <v>75</v>
      </c>
      <c r="AB21" s="12" t="n">
        <v>42</v>
      </c>
      <c r="AC21" s="13" t="n">
        <f aca="false">AC20+1</f>
        <v>12</v>
      </c>
      <c r="AD21" s="12" t="n">
        <f aca="false">IF(I21&gt;S21,I21-S21,I21-S21)</f>
        <v>15.52</v>
      </c>
      <c r="AE21" s="12"/>
      <c r="AG21" s="6"/>
    </row>
    <row r="22" customFormat="false" ht="11.1" hidden="false" customHeight="true" outlineLevel="0" collapsed="false">
      <c r="A22" s="13" t="n">
        <f aca="false">A21+1</f>
        <v>13</v>
      </c>
      <c r="B22" s="29" t="n">
        <v>6923.91</v>
      </c>
      <c r="C22" s="7" t="n">
        <v>380759</v>
      </c>
      <c r="D22" s="12" t="n">
        <f aca="false">C22-C21</f>
        <v>-312</v>
      </c>
      <c r="E22" s="7" t="n">
        <f aca="false">C22-152000</f>
        <v>228759</v>
      </c>
      <c r="F22" s="6" t="n">
        <f aca="false">D22/$D$2</f>
        <v>-157.29770607512</v>
      </c>
      <c r="G22" s="6" t="n">
        <v>458.37</v>
      </c>
      <c r="H22" s="11" t="n">
        <v>0</v>
      </c>
      <c r="I22" s="6" t="n">
        <f aca="false">G22+H22</f>
        <v>458.37</v>
      </c>
      <c r="J22" s="109" t="n">
        <f aca="false">IF(L22&gt;0,L22,0)</f>
        <v>0</v>
      </c>
      <c r="K22" s="6" t="n">
        <f aca="false">I22+J22</f>
        <v>458.37</v>
      </c>
      <c r="L22" s="6" t="n">
        <f aca="false">F22-(I22-W22)</f>
        <v>-57.1577060751198</v>
      </c>
      <c r="M22" s="6" t="n">
        <v>164.32</v>
      </c>
      <c r="N22" s="6" t="n">
        <v>0</v>
      </c>
      <c r="O22" s="6" t="n">
        <v>0</v>
      </c>
      <c r="P22" s="6" t="n">
        <f aca="false">M22-(N22+O22)</f>
        <v>164.32</v>
      </c>
      <c r="Q22" s="6" t="n">
        <v>180.54</v>
      </c>
      <c r="R22" s="6" t="n">
        <v>88.14</v>
      </c>
      <c r="S22" s="6" t="n">
        <f aca="false">SUM(P22:R22)</f>
        <v>433</v>
      </c>
      <c r="T22" s="52" t="n">
        <f aca="false">T21+AD22</f>
        <v>5135.23</v>
      </c>
      <c r="U22" s="6" t="n">
        <v>46</v>
      </c>
      <c r="V22" s="6" t="n">
        <v>79.51</v>
      </c>
      <c r="W22" s="6" t="n">
        <f aca="false">N22+O22+S22+U22+V22</f>
        <v>558.51</v>
      </c>
      <c r="X22" s="6" t="n">
        <f aca="false">IF(L22&lt;0,L22*-1,0)</f>
        <v>57.1577060751198</v>
      </c>
      <c r="Y22" s="6" t="n">
        <f aca="false">W22+X22</f>
        <v>615.66770607512</v>
      </c>
      <c r="Z22" s="11" t="n">
        <v>0</v>
      </c>
      <c r="AA22" s="12" t="n">
        <v>73</v>
      </c>
      <c r="AB22" s="12" t="n">
        <v>43</v>
      </c>
      <c r="AC22" s="13" t="n">
        <f aca="false">AC21+1</f>
        <v>13</v>
      </c>
      <c r="AD22" s="12" t="n">
        <f aca="false">IF(I22&gt;S22,I22-S22,I22-S22)</f>
        <v>25.37</v>
      </c>
      <c r="AE22" s="12"/>
      <c r="AG22" s="6"/>
    </row>
    <row r="23" customFormat="false" ht="11.1" hidden="false" customHeight="true" outlineLevel="0" collapsed="false">
      <c r="A23" s="13" t="n">
        <f aca="false">A22+1</f>
        <v>14</v>
      </c>
      <c r="B23" s="29" t="n">
        <v>6923.84</v>
      </c>
      <c r="C23" s="7" t="n">
        <v>380448</v>
      </c>
      <c r="D23" s="12" t="n">
        <f aca="false">C23-C22</f>
        <v>-311</v>
      </c>
      <c r="E23" s="7" t="n">
        <f aca="false">C23-152000</f>
        <v>228448</v>
      </c>
      <c r="F23" s="6" t="n">
        <f aca="false">D23/$D$2</f>
        <v>-156.793546760776</v>
      </c>
      <c r="G23" s="6" t="n">
        <v>424.4</v>
      </c>
      <c r="H23" s="11" t="n">
        <v>0</v>
      </c>
      <c r="I23" s="6" t="n">
        <f aca="false">G23+H23</f>
        <v>424.4</v>
      </c>
      <c r="J23" s="109" t="n">
        <f aca="false">IF(L23&gt;0,L23,0)</f>
        <v>0</v>
      </c>
      <c r="K23" s="6" t="n">
        <f aca="false">I23+J23</f>
        <v>424.4</v>
      </c>
      <c r="L23" s="6" t="n">
        <f aca="false">F23-(I23-W23)</f>
        <v>-20.6735467607764</v>
      </c>
      <c r="M23" s="6" t="n">
        <v>164.49</v>
      </c>
      <c r="N23" s="6" t="n">
        <v>0</v>
      </c>
      <c r="O23" s="6" t="n">
        <v>0</v>
      </c>
      <c r="P23" s="6" t="n">
        <f aca="false">M23-(N23+O23)</f>
        <v>164.49</v>
      </c>
      <c r="Q23" s="6" t="n">
        <v>180.55</v>
      </c>
      <c r="R23" s="6" t="n">
        <v>87.96</v>
      </c>
      <c r="S23" s="6" t="n">
        <f aca="false">SUM(P23:R23)</f>
        <v>433</v>
      </c>
      <c r="T23" s="52" t="n">
        <f aca="false">T22+AD23</f>
        <v>5126.63</v>
      </c>
      <c r="U23" s="6" t="n">
        <v>48</v>
      </c>
      <c r="V23" s="6" t="n">
        <v>79.52</v>
      </c>
      <c r="W23" s="6" t="n">
        <f aca="false">N23+O23+S23+U23+V23</f>
        <v>560.52</v>
      </c>
      <c r="X23" s="6" t="n">
        <f aca="false">IF(L23&lt;0,L23*-1,0)</f>
        <v>20.6735467607764</v>
      </c>
      <c r="Y23" s="6" t="n">
        <f aca="false">W23+X23</f>
        <v>581.193546760776</v>
      </c>
      <c r="Z23" s="11" t="n">
        <v>0</v>
      </c>
      <c r="AA23" s="12" t="n">
        <v>77</v>
      </c>
      <c r="AB23" s="12" t="n">
        <v>45</v>
      </c>
      <c r="AC23" s="13" t="n">
        <f aca="false">AC22+1</f>
        <v>14</v>
      </c>
      <c r="AD23" s="12" t="n">
        <f aca="false">IF(I23&gt;S23,I23-S23,I23-S23)</f>
        <v>-8.60000000000002</v>
      </c>
      <c r="AE23" s="12"/>
      <c r="AG23" s="6"/>
    </row>
    <row r="24" customFormat="false" ht="11.1" hidden="false" customHeight="true" outlineLevel="0" collapsed="false">
      <c r="A24" s="13" t="n">
        <f aca="false">A23+1</f>
        <v>15</v>
      </c>
      <c r="B24" s="29" t="n">
        <v>6923.78</v>
      </c>
      <c r="C24" s="7" t="n">
        <v>380181</v>
      </c>
      <c r="D24" s="12" t="n">
        <f aca="false">C24-C23</f>
        <v>-267</v>
      </c>
      <c r="E24" s="7" t="n">
        <f aca="false">C24-152000</f>
        <v>228181</v>
      </c>
      <c r="F24" s="6" t="n">
        <f aca="false">D24/$D$2</f>
        <v>-134.61053692967</v>
      </c>
      <c r="G24" s="6" t="n">
        <v>427.99</v>
      </c>
      <c r="H24" s="11" t="n">
        <v>0</v>
      </c>
      <c r="I24" s="6" t="n">
        <f aca="false">G24+H24</f>
        <v>427.99</v>
      </c>
      <c r="J24" s="109" t="n">
        <f aca="false">IF(L24&gt;0,L24,0)</f>
        <v>0</v>
      </c>
      <c r="K24" s="6" t="n">
        <f aca="false">I24+J24</f>
        <v>427.99</v>
      </c>
      <c r="L24" s="6" t="n">
        <f aca="false">F24-(I24-W24)</f>
        <v>-1.2005369296698</v>
      </c>
      <c r="M24" s="6" t="n">
        <v>164.37</v>
      </c>
      <c r="N24" s="6" t="n">
        <v>0</v>
      </c>
      <c r="O24" s="6" t="n">
        <v>0</v>
      </c>
      <c r="P24" s="6" t="n">
        <f aca="false">M24-(N24+O24)</f>
        <v>164.37</v>
      </c>
      <c r="Q24" s="6" t="n">
        <v>179.63</v>
      </c>
      <c r="R24" s="6" t="n">
        <v>88</v>
      </c>
      <c r="S24" s="6" t="n">
        <f aca="false">SUM(P24:R24)</f>
        <v>432</v>
      </c>
      <c r="T24" s="52" t="n">
        <f aca="false">T23+AD24</f>
        <v>5122.62</v>
      </c>
      <c r="U24" s="6" t="n">
        <v>50</v>
      </c>
      <c r="V24" s="6" t="n">
        <v>79.4</v>
      </c>
      <c r="W24" s="6" t="n">
        <f aca="false">N24+O24+S24+U24+V24</f>
        <v>561.4</v>
      </c>
      <c r="X24" s="6" t="n">
        <f aca="false">IF(L24&lt;0,L24*-1,0)</f>
        <v>1.2005369296698</v>
      </c>
      <c r="Y24" s="6" t="n">
        <f aca="false">W24+X24</f>
        <v>562.60053692967</v>
      </c>
      <c r="Z24" s="11" t="n">
        <v>0</v>
      </c>
      <c r="AA24" s="12" t="n">
        <v>83</v>
      </c>
      <c r="AB24" s="12" t="n">
        <v>45</v>
      </c>
      <c r="AC24" s="13" t="n">
        <f aca="false">AC23+1</f>
        <v>15</v>
      </c>
      <c r="AD24" s="12" t="n">
        <f aca="false">IF(I24&gt;S24,I24-S24,I24-S24)</f>
        <v>-4.00999999999999</v>
      </c>
      <c r="AE24" s="12"/>
      <c r="AG24" s="6"/>
    </row>
    <row r="25" customFormat="false" ht="11.1" hidden="false" customHeight="true" outlineLevel="0" collapsed="false">
      <c r="A25" s="13" t="n">
        <f aca="false">A24+1</f>
        <v>16</v>
      </c>
      <c r="B25" s="29" t="n">
        <v>6923.71</v>
      </c>
      <c r="C25" s="7" t="n">
        <v>379869</v>
      </c>
      <c r="D25" s="12" t="n">
        <f aca="false">C25-C24</f>
        <v>-312</v>
      </c>
      <c r="E25" s="7" t="n">
        <f aca="false">C25-152000</f>
        <v>227869</v>
      </c>
      <c r="F25" s="6" t="n">
        <f aca="false">D25/$D$2</f>
        <v>-157.29770607512</v>
      </c>
      <c r="G25" s="6" t="n">
        <v>436.35</v>
      </c>
      <c r="H25" s="11" t="n">
        <v>0</v>
      </c>
      <c r="I25" s="6" t="n">
        <f aca="false">G25+H25</f>
        <v>436.35</v>
      </c>
      <c r="J25" s="109" t="n">
        <f aca="false">IF(L25&gt;0,L25,0)</f>
        <v>0</v>
      </c>
      <c r="K25" s="6" t="n">
        <f aca="false">I25+J25</f>
        <v>436.35</v>
      </c>
      <c r="L25" s="6" t="n">
        <f aca="false">F25-(I25-W25)</f>
        <v>-28.5177060751198</v>
      </c>
      <c r="M25" s="6" t="n">
        <v>164.63</v>
      </c>
      <c r="N25" s="6" t="n">
        <v>0</v>
      </c>
      <c r="O25" s="6" t="n">
        <v>0</v>
      </c>
      <c r="P25" s="6" t="n">
        <f aca="false">M25-(N25+O25)</f>
        <v>164.63</v>
      </c>
      <c r="Q25" s="6" t="n">
        <v>179.66</v>
      </c>
      <c r="R25" s="6" t="n">
        <v>86.71</v>
      </c>
      <c r="S25" s="6" t="n">
        <f aca="false">SUM(P25:R25)</f>
        <v>431</v>
      </c>
      <c r="T25" s="52" t="n">
        <f aca="false">T24+AD25</f>
        <v>5127.97</v>
      </c>
      <c r="U25" s="6" t="n">
        <v>55</v>
      </c>
      <c r="V25" s="6" t="n">
        <v>79.13</v>
      </c>
      <c r="W25" s="6" t="n">
        <f aca="false">N25+O25+S25+U25+V25</f>
        <v>565.13</v>
      </c>
      <c r="X25" s="6" t="n">
        <f aca="false">IF(L25&lt;0,L25*-1,0)</f>
        <v>28.5177060751198</v>
      </c>
      <c r="Y25" s="6" t="n">
        <f aca="false">W25+X25</f>
        <v>593.64770607512</v>
      </c>
      <c r="Z25" s="11" t="n">
        <v>0</v>
      </c>
      <c r="AA25" s="12" t="n">
        <v>83</v>
      </c>
      <c r="AB25" s="12" t="n">
        <v>48</v>
      </c>
      <c r="AC25" s="13" t="n">
        <f aca="false">AC24+1</f>
        <v>16</v>
      </c>
      <c r="AD25" s="12" t="n">
        <f aca="false">IF(I25&gt;S25,I25-S25,I25-S25)</f>
        <v>5.35000000000002</v>
      </c>
      <c r="AE25" s="12"/>
      <c r="AG25" s="6"/>
    </row>
    <row r="26" customFormat="false" ht="11.1" hidden="false" customHeight="true" outlineLevel="0" collapsed="false">
      <c r="A26" s="13" t="n">
        <f aca="false">A25+1</f>
        <v>17</v>
      </c>
      <c r="B26" s="29" t="n">
        <v>6923.64</v>
      </c>
      <c r="C26" s="7" t="n">
        <v>379557</v>
      </c>
      <c r="D26" s="12" t="n">
        <f aca="false">C26-C25</f>
        <v>-312</v>
      </c>
      <c r="E26" s="7" t="n">
        <f aca="false">C26-152000</f>
        <v>227557</v>
      </c>
      <c r="F26" s="6" t="n">
        <f aca="false">D26/$D$2</f>
        <v>-157.29770607512</v>
      </c>
      <c r="G26" s="6" t="n">
        <v>443.92</v>
      </c>
      <c r="H26" s="11" t="n">
        <v>0</v>
      </c>
      <c r="I26" s="6" t="n">
        <f aca="false">G26+H26</f>
        <v>443.92</v>
      </c>
      <c r="J26" s="109" t="n">
        <f aca="false">IF(L26&gt;0,L26,0)</f>
        <v>0</v>
      </c>
      <c r="K26" s="6" t="n">
        <f aca="false">I26+J26</f>
        <v>443.92</v>
      </c>
      <c r="L26" s="6" t="n">
        <f aca="false">F26-(I26-W26)</f>
        <v>-21.9077060751198</v>
      </c>
      <c r="M26" s="6" t="n">
        <v>164.52</v>
      </c>
      <c r="N26" s="6" t="n">
        <v>0</v>
      </c>
      <c r="O26" s="6" t="n">
        <v>0</v>
      </c>
      <c r="P26" s="6" t="n">
        <f aca="false">M26-(N26+O26)</f>
        <v>164.52</v>
      </c>
      <c r="Q26" s="6" t="n">
        <v>178.72</v>
      </c>
      <c r="R26" s="6" t="n">
        <v>85.76</v>
      </c>
      <c r="S26" s="6" t="n">
        <f aca="false">SUM(P26:R26)</f>
        <v>429</v>
      </c>
      <c r="T26" s="52" t="n">
        <f aca="false">T25+AD26</f>
        <v>5142.89</v>
      </c>
      <c r="U26" s="6" t="n">
        <v>71</v>
      </c>
      <c r="V26" s="6" t="n">
        <v>79.31</v>
      </c>
      <c r="W26" s="6" t="n">
        <f aca="false">N26+O26+S26+U26+V26</f>
        <v>579.31</v>
      </c>
      <c r="X26" s="6" t="n">
        <f aca="false">IF(L26&lt;0,L26*-1,0)</f>
        <v>21.9077060751198</v>
      </c>
      <c r="Y26" s="6" t="n">
        <f aca="false">W26+X26</f>
        <v>601.21770607512</v>
      </c>
      <c r="Z26" s="11" t="n">
        <v>0</v>
      </c>
      <c r="AA26" s="12" t="n">
        <v>86</v>
      </c>
      <c r="AB26" s="12" t="n">
        <v>54</v>
      </c>
      <c r="AC26" s="13" t="n">
        <f aca="false">AC25+1</f>
        <v>17</v>
      </c>
      <c r="AD26" s="12" t="n">
        <f aca="false">IF(I26&gt;S26,I26-S26,I26-S26)</f>
        <v>14.92</v>
      </c>
      <c r="AE26" s="12"/>
      <c r="AG26" s="6"/>
    </row>
    <row r="27" customFormat="false" ht="11.1" hidden="false" customHeight="true" outlineLevel="0" collapsed="false">
      <c r="A27" s="13" t="n">
        <f aca="false">A26+1</f>
        <v>18</v>
      </c>
      <c r="B27" s="29" t="n">
        <v>6923.57</v>
      </c>
      <c r="C27" s="7" t="n">
        <v>379246</v>
      </c>
      <c r="D27" s="12" t="n">
        <f aca="false">C27-C26</f>
        <v>-311</v>
      </c>
      <c r="E27" s="7" t="n">
        <f aca="false">C27-152000</f>
        <v>227246</v>
      </c>
      <c r="F27" s="6" t="n">
        <f aca="false">D27/$D$2</f>
        <v>-156.793546760776</v>
      </c>
      <c r="G27" s="6" t="n">
        <v>420.19</v>
      </c>
      <c r="H27" s="11" t="n">
        <v>0</v>
      </c>
      <c r="I27" s="6" t="n">
        <f aca="false">G27+H27</f>
        <v>420.19</v>
      </c>
      <c r="J27" s="109" t="n">
        <f aca="false">IF(L27&gt;0,L27,0)</f>
        <v>0</v>
      </c>
      <c r="K27" s="6" t="n">
        <f aca="false">I27+J27</f>
        <v>420.19</v>
      </c>
      <c r="L27" s="6" t="n">
        <f aca="false">F27-(I27-W27)</f>
        <v>-5.84354676077641</v>
      </c>
      <c r="M27" s="6" t="n">
        <v>164.51</v>
      </c>
      <c r="N27" s="6" t="n">
        <v>0</v>
      </c>
      <c r="O27" s="6" t="n">
        <v>0</v>
      </c>
      <c r="P27" s="6" t="n">
        <f aca="false">M27-(N27+O27)</f>
        <v>164.51</v>
      </c>
      <c r="Q27" s="6" t="n">
        <v>180.95</v>
      </c>
      <c r="R27" s="6" t="n">
        <v>85.54</v>
      </c>
      <c r="S27" s="6" t="n">
        <f aca="false">SUM(P27:R27)</f>
        <v>431</v>
      </c>
      <c r="T27" s="52" t="n">
        <f aca="false">T26+AD27</f>
        <v>5132.08</v>
      </c>
      <c r="U27" s="6" t="n">
        <v>61</v>
      </c>
      <c r="V27" s="6" t="n">
        <v>79.14</v>
      </c>
      <c r="W27" s="6" t="n">
        <f aca="false">N27+O27+S27+U27+V27</f>
        <v>571.14</v>
      </c>
      <c r="X27" s="6" t="n">
        <f aca="false">IF(L27&lt;0,L27*-1,0)</f>
        <v>5.84354676077641</v>
      </c>
      <c r="Y27" s="6" t="n">
        <f aca="false">W27+X27</f>
        <v>576.983546760776</v>
      </c>
      <c r="Z27" s="11" t="n">
        <v>0</v>
      </c>
      <c r="AA27" s="12" t="n">
        <v>87</v>
      </c>
      <c r="AB27" s="12" t="n">
        <v>55</v>
      </c>
      <c r="AC27" s="13" t="n">
        <f aca="false">AC26+1</f>
        <v>18</v>
      </c>
      <c r="AD27" s="12" t="n">
        <f aca="false">IF(I27&gt;S27,I27-S27,I27-S27)</f>
        <v>-10.81</v>
      </c>
      <c r="AE27" s="12"/>
      <c r="AG27" s="6"/>
    </row>
    <row r="28" customFormat="false" ht="11.1" hidden="false" customHeight="true" outlineLevel="0" collapsed="false">
      <c r="A28" s="13" t="n">
        <f aca="false">A27+1</f>
        <v>19</v>
      </c>
      <c r="B28" s="29" t="n">
        <v>6923.47</v>
      </c>
      <c r="C28" s="7" t="n">
        <v>378801</v>
      </c>
      <c r="D28" s="12" t="n">
        <f aca="false">C28-C27</f>
        <v>-445</v>
      </c>
      <c r="E28" s="7" t="n">
        <f aca="false">C28-152000</f>
        <v>226801</v>
      </c>
      <c r="F28" s="6" t="n">
        <f aca="false">D28/$D$2</f>
        <v>-224.350894882783</v>
      </c>
      <c r="G28" s="6" t="n">
        <v>397.19</v>
      </c>
      <c r="H28" s="11" t="n">
        <v>0</v>
      </c>
      <c r="I28" s="6" t="n">
        <f aca="false">G28+H28</f>
        <v>397.19</v>
      </c>
      <c r="J28" s="109" t="n">
        <f aca="false">IF(L28&gt;0,L28,0)</f>
        <v>0</v>
      </c>
      <c r="K28" s="6" t="n">
        <f aca="false">I28+J28</f>
        <v>397.19</v>
      </c>
      <c r="L28" s="6" t="n">
        <f aca="false">F28-(I28-W28)</f>
        <v>-47.4508948827829</v>
      </c>
      <c r="M28" s="6" t="n">
        <v>164.89</v>
      </c>
      <c r="N28" s="6" t="n">
        <v>0</v>
      </c>
      <c r="O28" s="6" t="n">
        <v>0</v>
      </c>
      <c r="P28" s="6" t="n">
        <f aca="false">M28-(N28+O28)</f>
        <v>164.89</v>
      </c>
      <c r="Q28" s="6" t="n">
        <v>181.55</v>
      </c>
      <c r="R28" s="6" t="n">
        <v>85.56</v>
      </c>
      <c r="S28" s="6" t="n">
        <f aca="false">SUM(P28:R28)</f>
        <v>432</v>
      </c>
      <c r="T28" s="52" t="n">
        <f aca="false">T27+AD28</f>
        <v>5097.27</v>
      </c>
      <c r="U28" s="6" t="n">
        <v>63</v>
      </c>
      <c r="V28" s="6" t="n">
        <v>79.09</v>
      </c>
      <c r="W28" s="6" t="n">
        <f aca="false">N28+O28+S28+U28+V28</f>
        <v>574.09</v>
      </c>
      <c r="X28" s="6" t="n">
        <f aca="false">IF(L28&lt;0,L28*-1,0)</f>
        <v>47.4508948827829</v>
      </c>
      <c r="Y28" s="6" t="n">
        <f aca="false">W28+X28</f>
        <v>621.540894882783</v>
      </c>
      <c r="Z28" s="11" t="n">
        <v>0</v>
      </c>
      <c r="AA28" s="12" t="n">
        <v>88</v>
      </c>
      <c r="AB28" s="12" t="n">
        <v>56</v>
      </c>
      <c r="AC28" s="13" t="n">
        <f aca="false">AC27+1</f>
        <v>19</v>
      </c>
      <c r="AD28" s="12" t="n">
        <f aca="false">IF(I28&gt;S28,I28-S28,I28-S28)</f>
        <v>-34.81</v>
      </c>
      <c r="AE28" s="12"/>
      <c r="AG28" s="6"/>
    </row>
    <row r="29" customFormat="false" ht="11.1" hidden="false" customHeight="true" outlineLevel="0" collapsed="false">
      <c r="A29" s="13" t="n">
        <f aca="false">A28+1</f>
        <v>20</v>
      </c>
      <c r="B29" s="29" t="n">
        <v>6923.45</v>
      </c>
      <c r="C29" s="7" t="n">
        <v>378712</v>
      </c>
      <c r="D29" s="12" t="n">
        <f aca="false">C29-C28</f>
        <v>-89</v>
      </c>
      <c r="E29" s="7" t="n">
        <f aca="false">C29-152000</f>
        <v>226712</v>
      </c>
      <c r="F29" s="6" t="n">
        <f aca="false">D29/$D$2</f>
        <v>-44.8701789765566</v>
      </c>
      <c r="G29" s="6" t="n">
        <v>370.51</v>
      </c>
      <c r="H29" s="11" t="n">
        <v>0</v>
      </c>
      <c r="I29" s="6" t="n">
        <f aca="false">G29+H29</f>
        <v>370.51</v>
      </c>
      <c r="J29" s="109" t="n">
        <f aca="false">IF(L29&gt;0,L29,0)</f>
        <v>178.679821023443</v>
      </c>
      <c r="K29" s="6" t="n">
        <f aca="false">I29+J29</f>
        <v>549.189821023443</v>
      </c>
      <c r="L29" s="6" t="n">
        <f aca="false">F29-(I29-W29)</f>
        <v>178.679821023443</v>
      </c>
      <c r="M29" s="6" t="n">
        <v>164.64</v>
      </c>
      <c r="N29" s="6" t="n">
        <v>0</v>
      </c>
      <c r="O29" s="128" t="n">
        <v>0</v>
      </c>
      <c r="P29" s="6" t="n">
        <f aca="false">M29-(N29+O29)</f>
        <v>164.64</v>
      </c>
      <c r="Q29" s="6" t="n">
        <v>181.62</v>
      </c>
      <c r="R29" s="6" t="n">
        <v>85.74</v>
      </c>
      <c r="S29" s="6" t="n">
        <f aca="false">SUM(P29:R29)</f>
        <v>432</v>
      </c>
      <c r="T29" s="52" t="n">
        <f aca="false">T28+AD29</f>
        <v>5035.78</v>
      </c>
      <c r="U29" s="6" t="n">
        <v>83</v>
      </c>
      <c r="V29" s="6" t="n">
        <v>79.06</v>
      </c>
      <c r="W29" s="6" t="n">
        <f aca="false">N29+O29+S29+U29+V29</f>
        <v>594.06</v>
      </c>
      <c r="X29" s="6" t="n">
        <f aca="false">IF(L29&lt;0,L29*-1,0)</f>
        <v>0</v>
      </c>
      <c r="Y29" s="6" t="n">
        <f aca="false">W29+X29</f>
        <v>594.06</v>
      </c>
      <c r="Z29" s="11" t="n">
        <v>0</v>
      </c>
      <c r="AA29" s="12" t="n">
        <v>77</v>
      </c>
      <c r="AB29" s="12" t="n">
        <v>54</v>
      </c>
      <c r="AC29" s="13" t="n">
        <f aca="false">AC28+1</f>
        <v>20</v>
      </c>
      <c r="AD29" s="12" t="n">
        <f aca="false">IF(I29&gt;S29,I29-S29,I29-S29)</f>
        <v>-61.49</v>
      </c>
      <c r="AE29" s="12"/>
      <c r="AG29" s="6"/>
    </row>
    <row r="30" customFormat="false" ht="11.1" hidden="false" customHeight="true" outlineLevel="0" collapsed="false">
      <c r="A30" s="13" t="n">
        <f aca="false">A29+1</f>
        <v>21</v>
      </c>
      <c r="B30" s="29" t="n">
        <v>6923.21</v>
      </c>
      <c r="C30" s="7" t="n">
        <v>377643</v>
      </c>
      <c r="D30" s="12" t="n">
        <f aca="false">C30-C29</f>
        <v>-1069</v>
      </c>
      <c r="E30" s="7" t="n">
        <f aca="false">C30-152000</f>
        <v>225643</v>
      </c>
      <c r="F30" s="6" t="n">
        <f aca="false">D30/$D$2</f>
        <v>-538.946307033022</v>
      </c>
      <c r="G30" s="6" t="n">
        <v>342.21</v>
      </c>
      <c r="H30" s="11" t="n">
        <v>0</v>
      </c>
      <c r="I30" s="6" t="n">
        <f aca="false">G30+H30</f>
        <v>342.21</v>
      </c>
      <c r="J30" s="109" t="n">
        <f aca="false">IF(L30&gt;0,L30,0)</f>
        <v>0</v>
      </c>
      <c r="K30" s="6" t="n">
        <f aca="false">I30+J30</f>
        <v>342.21</v>
      </c>
      <c r="L30" s="6" t="n">
        <f aca="false">F30-(I30-W30)</f>
        <v>-295.016307033022</v>
      </c>
      <c r="M30" s="6" t="n">
        <v>163.96</v>
      </c>
      <c r="N30" s="6" t="n">
        <v>0</v>
      </c>
      <c r="O30" s="6" t="n">
        <v>0</v>
      </c>
      <c r="P30" s="6" t="n">
        <f aca="false">M30-(N30+O30)</f>
        <v>163.96</v>
      </c>
      <c r="Q30" s="6" t="n">
        <v>181.24</v>
      </c>
      <c r="R30" s="6" t="n">
        <v>84.8</v>
      </c>
      <c r="S30" s="6" t="n">
        <f aca="false">SUM(P30:R30)</f>
        <v>430</v>
      </c>
      <c r="T30" s="52" t="n">
        <f aca="false">T29+AD30</f>
        <v>4947.99</v>
      </c>
      <c r="U30" s="6" t="n">
        <v>77</v>
      </c>
      <c r="V30" s="6" t="n">
        <v>79.14</v>
      </c>
      <c r="W30" s="6" t="n">
        <f aca="false">N30+O30+S30+U30+V30</f>
        <v>586.14</v>
      </c>
      <c r="X30" s="6" t="n">
        <f aca="false">IF(L30&lt;0,L30*-1,0)</f>
        <v>295.016307033022</v>
      </c>
      <c r="Y30" s="6" t="n">
        <f aca="false">W30+X30</f>
        <v>881.156307033022</v>
      </c>
      <c r="Z30" s="11" t="n">
        <v>0</v>
      </c>
      <c r="AA30" s="12" t="n">
        <v>78</v>
      </c>
      <c r="AB30" s="12" t="n">
        <v>50</v>
      </c>
      <c r="AC30" s="13" t="n">
        <f aca="false">AC29+1</f>
        <v>21</v>
      </c>
      <c r="AD30" s="12" t="n">
        <f aca="false">IF(I30&gt;S30,I30-S30,I30-S30)</f>
        <v>-87.79</v>
      </c>
      <c r="AE30" s="12"/>
      <c r="AG30" s="6"/>
    </row>
    <row r="31" customFormat="false" ht="11.1" hidden="false" customHeight="true" outlineLevel="0" collapsed="false">
      <c r="A31" s="13" t="n">
        <f aca="false">A30+1</f>
        <v>22</v>
      </c>
      <c r="B31" s="29" t="n">
        <v>6923.03</v>
      </c>
      <c r="C31" s="7" t="n">
        <v>376842</v>
      </c>
      <c r="D31" s="12" t="n">
        <f aca="false">C31-C30</f>
        <v>-801</v>
      </c>
      <c r="E31" s="7" t="n">
        <f aca="false">C31-152000</f>
        <v>224842</v>
      </c>
      <c r="F31" s="6" t="n">
        <f aca="false">D31/$D$2</f>
        <v>-403.831610789009</v>
      </c>
      <c r="G31" s="6" t="n">
        <v>300.96</v>
      </c>
      <c r="H31" s="11" t="n">
        <v>0</v>
      </c>
      <c r="I31" s="6" t="n">
        <f aca="false">G31+H31</f>
        <v>300.96</v>
      </c>
      <c r="J31" s="109" t="n">
        <f aca="false">IF(L31&gt;0,L31,0)</f>
        <v>0</v>
      </c>
      <c r="K31" s="6" t="n">
        <f aca="false">I31+J31</f>
        <v>300.96</v>
      </c>
      <c r="L31" s="6" t="n">
        <f aca="false">F31-(I31-W31)</f>
        <v>-127.941610789009</v>
      </c>
      <c r="M31" s="6" t="n">
        <v>163.77</v>
      </c>
      <c r="N31" s="6" t="n">
        <v>0</v>
      </c>
      <c r="O31" s="6" t="n">
        <v>0</v>
      </c>
      <c r="P31" s="6" t="n">
        <f aca="false">M31-(N31+O31)</f>
        <v>163.77</v>
      </c>
      <c r="Q31" s="6" t="n">
        <v>180.87</v>
      </c>
      <c r="R31" s="6" t="n">
        <v>86.36</v>
      </c>
      <c r="S31" s="6" t="n">
        <f aca="false">SUM(P31:R31)</f>
        <v>431</v>
      </c>
      <c r="T31" s="52" t="n">
        <f aca="false">T30+AD31</f>
        <v>4817.95</v>
      </c>
      <c r="U31" s="6" t="n">
        <v>67</v>
      </c>
      <c r="V31" s="6" t="n">
        <v>78.85</v>
      </c>
      <c r="W31" s="6" t="n">
        <f aca="false">N31+O31+S31+U31+V31</f>
        <v>576.85</v>
      </c>
      <c r="X31" s="6" t="n">
        <f aca="false">IF(L31&lt;0,L31*-1,0)</f>
        <v>127.941610789009</v>
      </c>
      <c r="Y31" s="6" t="n">
        <f aca="false">W31+X31</f>
        <v>704.791610789009</v>
      </c>
      <c r="Z31" s="11" t="n">
        <v>0</v>
      </c>
      <c r="AA31" s="12" t="n">
        <v>71</v>
      </c>
      <c r="AB31" s="12" t="n">
        <v>45</v>
      </c>
      <c r="AC31" s="13" t="n">
        <f aca="false">AC30+1</f>
        <v>22</v>
      </c>
      <c r="AD31" s="12" t="n">
        <f aca="false">IF(I31&gt;S31,I31-S31,I31-S31)</f>
        <v>-130.04</v>
      </c>
      <c r="AE31" s="12"/>
      <c r="AG31" s="6"/>
    </row>
    <row r="32" customFormat="false" ht="11.1" hidden="false" customHeight="true" outlineLevel="0" collapsed="false">
      <c r="A32" s="13" t="n">
        <f aca="false">A31+1</f>
        <v>23</v>
      </c>
      <c r="B32" s="29" t="n">
        <v>6922.86</v>
      </c>
      <c r="C32" s="7" t="n">
        <v>376091</v>
      </c>
      <c r="D32" s="12" t="n">
        <f aca="false">C32-C31</f>
        <v>-751</v>
      </c>
      <c r="E32" s="7" t="n">
        <f aca="false">C32-152000</f>
        <v>224091</v>
      </c>
      <c r="F32" s="6" t="n">
        <f aca="false">D32/$D$2</f>
        <v>-378.623645071843</v>
      </c>
      <c r="G32" s="6" t="n">
        <v>261.43</v>
      </c>
      <c r="H32" s="11" t="n">
        <v>0</v>
      </c>
      <c r="I32" s="6" t="n">
        <f aca="false">G32+H32</f>
        <v>261.43</v>
      </c>
      <c r="J32" s="109" t="n">
        <f aca="false">IF(L32&gt;0,L32,0)</f>
        <v>0</v>
      </c>
      <c r="K32" s="6" t="n">
        <f aca="false">I32+J32</f>
        <v>261.43</v>
      </c>
      <c r="L32" s="6" t="n">
        <f aca="false">F32-(I32-W32)</f>
        <v>-57.4736450718427</v>
      </c>
      <c r="M32" s="6" t="n">
        <v>163.73</v>
      </c>
      <c r="N32" s="6" t="n">
        <v>0</v>
      </c>
      <c r="O32" s="6" t="n">
        <v>0</v>
      </c>
      <c r="P32" s="6" t="n">
        <f aca="false">M32-(N32+O32)</f>
        <v>163.73</v>
      </c>
      <c r="Q32" s="6" t="n">
        <v>180.8</v>
      </c>
      <c r="R32" s="6" t="n">
        <v>85.47</v>
      </c>
      <c r="S32" s="6" t="n">
        <f aca="false">SUM(P32:R32)</f>
        <v>430</v>
      </c>
      <c r="T32" s="52" t="n">
        <f aca="false">T31+AD32</f>
        <v>4649.38</v>
      </c>
      <c r="U32" s="6" t="n">
        <v>74</v>
      </c>
      <c r="V32" s="6" t="n">
        <v>78.58</v>
      </c>
      <c r="W32" s="6" t="n">
        <f aca="false">N32+O32+S32+U32+V32</f>
        <v>582.58</v>
      </c>
      <c r="X32" s="6" t="n">
        <f aca="false">IF(L32&lt;0,L32*-1,0)</f>
        <v>57.4736450718427</v>
      </c>
      <c r="Y32" s="6" t="n">
        <f aca="false">W32+X32</f>
        <v>640.053645071843</v>
      </c>
      <c r="Z32" s="11" t="n">
        <v>0</v>
      </c>
      <c r="AA32" s="12" t="n">
        <v>76</v>
      </c>
      <c r="AB32" s="12" t="n">
        <v>42</v>
      </c>
      <c r="AC32" s="13" t="n">
        <f aca="false">AC31+1</f>
        <v>23</v>
      </c>
      <c r="AD32" s="12" t="n">
        <f aca="false">IF(I32&gt;S32,I32-S32,I32-S32)</f>
        <v>-168.57</v>
      </c>
      <c r="AE32" s="12"/>
      <c r="AG32" s="6"/>
    </row>
    <row r="33" customFormat="false" ht="11.1" hidden="false" customHeight="true" outlineLevel="0" collapsed="false">
      <c r="A33" s="13" t="n">
        <f aca="false">A32+1</f>
        <v>24</v>
      </c>
      <c r="B33" s="29" t="n">
        <v>6922.69</v>
      </c>
      <c r="C33" s="7" t="n">
        <v>375340</v>
      </c>
      <c r="D33" s="12" t="n">
        <f aca="false">C33-C32</f>
        <v>-751</v>
      </c>
      <c r="E33" s="7" t="n">
        <f aca="false">C33-152000</f>
        <v>223340</v>
      </c>
      <c r="F33" s="6" t="n">
        <f aca="false">D33/$D$2</f>
        <v>-378.623645071843</v>
      </c>
      <c r="G33" s="6" t="n">
        <v>239.39</v>
      </c>
      <c r="H33" s="11" t="n">
        <v>0</v>
      </c>
      <c r="I33" s="6" t="n">
        <f aca="false">G33+H33</f>
        <v>239.39</v>
      </c>
      <c r="J33" s="109" t="n">
        <f aca="false">IF(L33&gt;0,L33,0)</f>
        <v>0</v>
      </c>
      <c r="K33" s="6" t="n">
        <f aca="false">I33+J33</f>
        <v>239.39</v>
      </c>
      <c r="L33" s="6" t="n">
        <f aca="false">F33-(I33-W33)</f>
        <v>-35.4936450718427</v>
      </c>
      <c r="M33" s="6" t="n">
        <v>163.64</v>
      </c>
      <c r="N33" s="6" t="n">
        <v>0</v>
      </c>
      <c r="O33" s="6" t="n">
        <v>0</v>
      </c>
      <c r="P33" s="6" t="n">
        <f aca="false">M33-(N33+O33)</f>
        <v>163.64</v>
      </c>
      <c r="Q33" s="6" t="n">
        <v>180.23</v>
      </c>
      <c r="R33" s="6" t="n">
        <v>85.13</v>
      </c>
      <c r="S33" s="6" t="n">
        <f aca="false">SUM(P33:R33)</f>
        <v>429</v>
      </c>
      <c r="T33" s="52" t="n">
        <f aca="false">T32+AD33</f>
        <v>4459.77</v>
      </c>
      <c r="U33" s="6" t="n">
        <v>75</v>
      </c>
      <c r="V33" s="6" t="n">
        <v>78.52</v>
      </c>
      <c r="W33" s="6" t="n">
        <f aca="false">N33+O33+S33+U33+V33</f>
        <v>582.52</v>
      </c>
      <c r="X33" s="6" t="n">
        <f aca="false">IF(L33&lt;0,L33*-1,0)</f>
        <v>35.4936450718427</v>
      </c>
      <c r="Y33" s="6" t="n">
        <f aca="false">W33+X33</f>
        <v>618.013645071843</v>
      </c>
      <c r="Z33" s="11" t="n">
        <v>0</v>
      </c>
      <c r="AA33" s="12" t="n">
        <v>75</v>
      </c>
      <c r="AB33" s="12" t="n">
        <v>44</v>
      </c>
      <c r="AC33" s="13" t="n">
        <f aca="false">AC32+1</f>
        <v>24</v>
      </c>
      <c r="AD33" s="12" t="n">
        <f aca="false">IF(I33&gt;S33,I33-S33,I33-S33)</f>
        <v>-189.61</v>
      </c>
      <c r="AE33" s="12"/>
      <c r="AG33" s="6"/>
    </row>
    <row r="34" customFormat="false" ht="11.1" hidden="false" customHeight="true" outlineLevel="0" collapsed="false">
      <c r="A34" s="13" t="n">
        <f aca="false">A33+1</f>
        <v>25</v>
      </c>
      <c r="B34" s="29" t="n">
        <v>6922.51</v>
      </c>
      <c r="C34" s="7" t="n">
        <v>374545</v>
      </c>
      <c r="D34" s="12" t="n">
        <f aca="false">C34-C33</f>
        <v>-795</v>
      </c>
      <c r="E34" s="7" t="n">
        <f aca="false">C34-152000</f>
        <v>222545</v>
      </c>
      <c r="F34" s="6" t="n">
        <f aca="false">D34/$D$2</f>
        <v>-400.806654902949</v>
      </c>
      <c r="G34" s="6" t="n">
        <v>229.79</v>
      </c>
      <c r="H34" s="11" t="n">
        <v>0</v>
      </c>
      <c r="I34" s="6" t="n">
        <f aca="false">G34+H34</f>
        <v>229.79</v>
      </c>
      <c r="J34" s="109" t="n">
        <f aca="false">IF(L34&gt;0,L34,0)</f>
        <v>0</v>
      </c>
      <c r="K34" s="6" t="n">
        <f aca="false">I34+J34</f>
        <v>229.79</v>
      </c>
      <c r="L34" s="6" t="n">
        <f aca="false">F34-(I34-W34)</f>
        <v>-44.1166549029493</v>
      </c>
      <c r="M34" s="6" t="n">
        <v>163.39</v>
      </c>
      <c r="N34" s="6" t="n">
        <v>0</v>
      </c>
      <c r="O34" s="6" t="n">
        <v>0</v>
      </c>
      <c r="P34" s="6" t="n">
        <f aca="false">M34-(N34+O34)</f>
        <v>163.39</v>
      </c>
      <c r="Q34" s="6" t="n">
        <v>180.23</v>
      </c>
      <c r="R34" s="6" t="n">
        <v>85.39</v>
      </c>
      <c r="S34" s="6" t="n">
        <f aca="false">SUM(P34:R34)</f>
        <v>429.01</v>
      </c>
      <c r="T34" s="52" t="n">
        <f aca="false">T33+AD34</f>
        <v>4260.55</v>
      </c>
      <c r="U34" s="6" t="n">
        <v>79</v>
      </c>
      <c r="V34" s="6" t="n">
        <v>78.47</v>
      </c>
      <c r="W34" s="6" t="n">
        <f aca="false">N34+O34+S34+U34+V34</f>
        <v>586.48</v>
      </c>
      <c r="X34" s="6" t="n">
        <f aca="false">IF(L34&lt;0,L34*-1,0)</f>
        <v>44.1166549029493</v>
      </c>
      <c r="Y34" s="6" t="n">
        <f aca="false">W34+X34</f>
        <v>630.596654902949</v>
      </c>
      <c r="Z34" s="11" t="n">
        <v>0</v>
      </c>
      <c r="AA34" s="12" t="n">
        <v>73</v>
      </c>
      <c r="AB34" s="12" t="n">
        <v>43</v>
      </c>
      <c r="AC34" s="13" t="n">
        <f aca="false">AC33+1</f>
        <v>25</v>
      </c>
      <c r="AD34" s="12" t="n">
        <f aca="false">IF(I34&gt;S34,I34-S34,I34-S34)</f>
        <v>-199.22</v>
      </c>
      <c r="AE34" s="12"/>
      <c r="AG34" s="6"/>
    </row>
    <row r="35" customFormat="false" ht="11.1" hidden="false" customHeight="true" outlineLevel="0" collapsed="false">
      <c r="A35" s="13" t="n">
        <f aca="false">A34+1</f>
        <v>26</v>
      </c>
      <c r="B35" s="29" t="n">
        <v>6922.31</v>
      </c>
      <c r="C35" s="7" t="n">
        <v>373662</v>
      </c>
      <c r="D35" s="12" t="n">
        <f aca="false">C35-C34</f>
        <v>-883</v>
      </c>
      <c r="E35" s="7" t="n">
        <f aca="false">C35-152000</f>
        <v>221662</v>
      </c>
      <c r="F35" s="6" t="n">
        <f aca="false">D35/$D$2</f>
        <v>-445.172674565163</v>
      </c>
      <c r="G35" s="6" t="n">
        <v>218.81</v>
      </c>
      <c r="H35" s="11" t="n">
        <v>0</v>
      </c>
      <c r="I35" s="6" t="n">
        <f aca="false">G35+H35</f>
        <v>218.81</v>
      </c>
      <c r="J35" s="109" t="n">
        <f aca="false">IF(L35&gt;0,L35,0)</f>
        <v>0</v>
      </c>
      <c r="K35" s="6" t="n">
        <f aca="false">I35+J35</f>
        <v>218.81</v>
      </c>
      <c r="L35" s="6" t="n">
        <f aca="false">F35-(I35-W35)</f>
        <v>-76.5226745651626</v>
      </c>
      <c r="M35" s="6" t="n">
        <v>163.05</v>
      </c>
      <c r="N35" s="6" t="n">
        <v>0</v>
      </c>
      <c r="O35" s="6" t="n">
        <v>0</v>
      </c>
      <c r="P35" s="6" t="n">
        <f aca="false">M35-(N35+O35)</f>
        <v>163.05</v>
      </c>
      <c r="Q35" s="6" t="n">
        <v>180.18</v>
      </c>
      <c r="R35" s="6" t="n">
        <v>86.77</v>
      </c>
      <c r="S35" s="6" t="n">
        <f aca="false">SUM(P35:R35)</f>
        <v>430</v>
      </c>
      <c r="T35" s="52" t="n">
        <f aca="false">T34+AD35</f>
        <v>4049.36</v>
      </c>
      <c r="U35" s="129" t="n">
        <v>79</v>
      </c>
      <c r="V35" s="6" t="n">
        <v>78.46</v>
      </c>
      <c r="W35" s="6" t="n">
        <f aca="false">N35+O35+S35+U35+V35</f>
        <v>587.46</v>
      </c>
      <c r="X35" s="6" t="n">
        <f aca="false">IF(L35&lt;0,L35*-1,0)</f>
        <v>76.5226745651626</v>
      </c>
      <c r="Y35" s="6" t="n">
        <f aca="false">W35+X35</f>
        <v>663.982674565163</v>
      </c>
      <c r="Z35" s="11" t="n">
        <v>0</v>
      </c>
      <c r="AA35" s="12" t="n">
        <v>75</v>
      </c>
      <c r="AB35" s="12" t="n">
        <v>42</v>
      </c>
      <c r="AC35" s="13" t="n">
        <f aca="false">AC34+1</f>
        <v>26</v>
      </c>
      <c r="AD35" s="12" t="n">
        <f aca="false">IF(I35&gt;S35,I35-S35,I35-S35)</f>
        <v>-211.19</v>
      </c>
      <c r="AE35" s="12"/>
      <c r="AG35" s="3"/>
    </row>
    <row r="36" customFormat="false" ht="11.1" hidden="false" customHeight="true" outlineLevel="0" collapsed="false">
      <c r="A36" s="13" t="n">
        <f aca="false">A35+1</f>
        <v>27</v>
      </c>
      <c r="B36" s="29" t="n">
        <v>6922.11</v>
      </c>
      <c r="C36" s="7" t="n">
        <v>372338</v>
      </c>
      <c r="D36" s="12" t="n">
        <f aca="false">C36-C35</f>
        <v>-1324</v>
      </c>
      <c r="E36" s="7" t="n">
        <f aca="false">C36-152000</f>
        <v>220338</v>
      </c>
      <c r="F36" s="6" t="n">
        <f aca="false">D36/$D$2</f>
        <v>-667.506932190572</v>
      </c>
      <c r="G36" s="6" t="n">
        <v>186.88</v>
      </c>
      <c r="H36" s="11" t="n">
        <v>0</v>
      </c>
      <c r="I36" s="6" t="n">
        <f aca="false">G36+H36</f>
        <v>186.88</v>
      </c>
      <c r="J36" s="109" t="n">
        <f aca="false">IF(L36&gt;0,L36,0)</f>
        <v>0</v>
      </c>
      <c r="K36" s="6" t="n">
        <f aca="false">I36+J36</f>
        <v>186.88</v>
      </c>
      <c r="L36" s="6" t="n">
        <f aca="false">F36-(I36-W36)</f>
        <v>-259.946932190572</v>
      </c>
      <c r="M36" s="6" t="n">
        <v>162.8</v>
      </c>
      <c r="N36" s="6" t="n">
        <v>0</v>
      </c>
      <c r="O36" s="6" t="n">
        <v>0</v>
      </c>
      <c r="P36" s="6" t="n">
        <f aca="false">M36-(N36+O36)</f>
        <v>162.8</v>
      </c>
      <c r="Q36" s="6" t="n">
        <v>180.27</v>
      </c>
      <c r="R36" s="6" t="n">
        <v>88.93</v>
      </c>
      <c r="S36" s="6" t="n">
        <f aca="false">SUM(P36:R36)</f>
        <v>432</v>
      </c>
      <c r="T36" s="52" t="n">
        <f aca="false">T35+AD36</f>
        <v>3804.24</v>
      </c>
      <c r="U36" s="6" t="n">
        <v>84</v>
      </c>
      <c r="V36" s="6" t="n">
        <v>78.44</v>
      </c>
      <c r="W36" s="6" t="n">
        <f aca="false">N36+O36+S36+U36+V36</f>
        <v>594.44</v>
      </c>
      <c r="X36" s="6" t="n">
        <f aca="false">IF(L36&lt;0,L36*-1,0)</f>
        <v>259.946932190572</v>
      </c>
      <c r="Y36" s="6" t="n">
        <f aca="false">W36+X36</f>
        <v>854.386932190572</v>
      </c>
      <c r="Z36" s="11" t="n">
        <v>0</v>
      </c>
      <c r="AA36" s="12" t="n">
        <v>77</v>
      </c>
      <c r="AB36" s="12" t="n">
        <v>44</v>
      </c>
      <c r="AC36" s="13" t="n">
        <f aca="false">AC35+1</f>
        <v>27</v>
      </c>
      <c r="AD36" s="12" t="n">
        <f aca="false">IF(I36&gt;S36,I36-S36,I36-S36)</f>
        <v>-245.12</v>
      </c>
      <c r="AE36" s="12"/>
      <c r="AG36" s="6"/>
    </row>
    <row r="37" customFormat="false" ht="11.1" hidden="false" customHeight="true" outlineLevel="0" collapsed="false">
      <c r="A37" s="13" t="n">
        <f aca="false">A36+1</f>
        <v>28</v>
      </c>
      <c r="B37" s="29" t="n">
        <v>6921.91</v>
      </c>
      <c r="C37" s="7" t="n">
        <v>371899</v>
      </c>
      <c r="D37" s="12" t="n">
        <f aca="false">C37-C36</f>
        <v>-439</v>
      </c>
      <c r="E37" s="7" t="n">
        <f aca="false">C37-152000</f>
        <v>219899</v>
      </c>
      <c r="F37" s="6" t="n">
        <f aca="false">D37/$D$2</f>
        <v>-221.325938996723</v>
      </c>
      <c r="G37" s="6" t="n">
        <v>176.79</v>
      </c>
      <c r="H37" s="11" t="n">
        <v>0</v>
      </c>
      <c r="I37" s="6" t="n">
        <f aca="false">G37+H37</f>
        <v>176.79</v>
      </c>
      <c r="J37" s="109" t="n">
        <f aca="false">IF(L37&gt;0,L37,0)</f>
        <v>194.324061003277</v>
      </c>
      <c r="K37" s="6" t="n">
        <f aca="false">I37+J37</f>
        <v>371.114061003277</v>
      </c>
      <c r="L37" s="6" t="n">
        <f aca="false">F37-(I37-W37)</f>
        <v>194.324061003277</v>
      </c>
      <c r="M37" s="6" t="n">
        <v>162.58</v>
      </c>
      <c r="N37" s="6" t="n">
        <v>0</v>
      </c>
      <c r="O37" s="6" t="n">
        <v>0</v>
      </c>
      <c r="P37" s="6" t="n">
        <f aca="false">M37-(N37+O37)</f>
        <v>162.58</v>
      </c>
      <c r="Q37" s="6" t="n">
        <v>179.87</v>
      </c>
      <c r="R37" s="6" t="n">
        <v>89.55</v>
      </c>
      <c r="S37" s="6" t="n">
        <f aca="false">SUM(P37:R37)</f>
        <v>432</v>
      </c>
      <c r="T37" s="52" t="n">
        <f aca="false">T36+AD37</f>
        <v>3549.03</v>
      </c>
      <c r="U37" s="6" t="n">
        <v>82</v>
      </c>
      <c r="V37" s="6" t="n">
        <v>78.44</v>
      </c>
      <c r="W37" s="6" t="n">
        <f aca="false">N37+O37+S37+U37+V37</f>
        <v>592.44</v>
      </c>
      <c r="X37" s="6" t="n">
        <f aca="false">IF(L37&lt;0,L37*-1,0)</f>
        <v>0</v>
      </c>
      <c r="Y37" s="6" t="n">
        <f aca="false">W37+X37</f>
        <v>592.44</v>
      </c>
      <c r="Z37" s="11" t="n">
        <v>0</v>
      </c>
      <c r="AA37" s="12" t="n">
        <v>78</v>
      </c>
      <c r="AB37" s="12" t="n">
        <v>50</v>
      </c>
      <c r="AC37" s="13" t="n">
        <f aca="false">AC36+1</f>
        <v>28</v>
      </c>
      <c r="AD37" s="12" t="n">
        <f aca="false">IF(I37&gt;S37,I37-S37,I37-S37)</f>
        <v>-255.21</v>
      </c>
      <c r="AE37" s="12"/>
      <c r="AG37" s="6"/>
    </row>
    <row r="38" customFormat="false" ht="11.1" hidden="false" customHeight="true" outlineLevel="0" collapsed="false">
      <c r="A38" s="13" t="n">
        <f aca="false">A37+1</f>
        <v>29</v>
      </c>
      <c r="B38" s="29" t="n">
        <v>6921.69</v>
      </c>
      <c r="C38" s="7" t="n">
        <v>370936</v>
      </c>
      <c r="D38" s="12" t="n">
        <f aca="false">C38-C37</f>
        <v>-963</v>
      </c>
      <c r="E38" s="7" t="n">
        <f aca="false">C38-152000</f>
        <v>218936</v>
      </c>
      <c r="F38" s="6" t="n">
        <f aca="false">D38/$D$2</f>
        <v>-485.505419712629</v>
      </c>
      <c r="G38" s="6" t="n">
        <v>174.19</v>
      </c>
      <c r="H38" s="11" t="n">
        <v>0</v>
      </c>
      <c r="I38" s="6" t="n">
        <f aca="false">G38+H38</f>
        <v>174.19</v>
      </c>
      <c r="J38" s="109" t="n">
        <f aca="false">IF(L38&gt;0,L38,0)</f>
        <v>0</v>
      </c>
      <c r="K38" s="6" t="n">
        <f aca="false">I38+J38</f>
        <v>174.19</v>
      </c>
      <c r="L38" s="6" t="n">
        <f aca="false">F38-(I38-W38)</f>
        <v>-76.2454197126291</v>
      </c>
      <c r="M38" s="6" t="n">
        <v>162.58</v>
      </c>
      <c r="N38" s="6" t="n">
        <v>0</v>
      </c>
      <c r="O38" s="6" t="n">
        <v>0</v>
      </c>
      <c r="P38" s="6" t="n">
        <f aca="false">M38-(N38+O38)</f>
        <v>162.58</v>
      </c>
      <c r="Q38" s="6" t="n">
        <v>179.67</v>
      </c>
      <c r="R38" s="6" t="n">
        <v>91.75</v>
      </c>
      <c r="S38" s="6" t="n">
        <f aca="false">SUM(P38:R38)</f>
        <v>434</v>
      </c>
      <c r="T38" s="52" t="n">
        <f aca="false">T37+AD38</f>
        <v>3289.22</v>
      </c>
      <c r="U38" s="6" t="n">
        <v>71</v>
      </c>
      <c r="V38" s="6" t="n">
        <v>78.45</v>
      </c>
      <c r="W38" s="6" t="n">
        <f aca="false">N38+O38+S38+U38+V38</f>
        <v>583.45</v>
      </c>
      <c r="X38" s="6" t="n">
        <f aca="false">IF(L38&lt;0,L38*-1,0)</f>
        <v>76.2454197126291</v>
      </c>
      <c r="Y38" s="6" t="n">
        <f aca="false">W38+X38</f>
        <v>659.695419712629</v>
      </c>
      <c r="Z38" s="11" t="n">
        <v>0</v>
      </c>
      <c r="AA38" s="12" t="n">
        <v>83</v>
      </c>
      <c r="AB38" s="12" t="n">
        <v>50</v>
      </c>
      <c r="AC38" s="13" t="n">
        <f aca="false">AC37+1</f>
        <v>29</v>
      </c>
      <c r="AD38" s="12" t="n">
        <f aca="false">IF(I38&gt;S38,I38-S38,I38-S38)</f>
        <v>-259.81</v>
      </c>
      <c r="AE38" s="12"/>
      <c r="AG38" s="6"/>
    </row>
    <row r="39" customFormat="false" ht="11.1" hidden="false" customHeight="true" outlineLevel="0" collapsed="false">
      <c r="A39" s="13" t="n">
        <v>30</v>
      </c>
      <c r="B39" s="29" t="n">
        <v>6921.5</v>
      </c>
      <c r="C39" s="7" t="n">
        <v>370104</v>
      </c>
      <c r="D39" s="12" t="n">
        <f aca="false">C39-C38</f>
        <v>-832</v>
      </c>
      <c r="E39" s="7" t="n">
        <f aca="false">C39-152000</f>
        <v>218104</v>
      </c>
      <c r="F39" s="6" t="n">
        <f aca="false">D39/$D$2</f>
        <v>-419.460549533653</v>
      </c>
      <c r="G39" s="6" t="n">
        <v>170.73</v>
      </c>
      <c r="H39" s="11" t="n">
        <v>0</v>
      </c>
      <c r="I39" s="6" t="n">
        <f aca="false">G39+H39</f>
        <v>170.73</v>
      </c>
      <c r="J39" s="109" t="n">
        <f aca="false">IF(L39&gt;0,L39,0)</f>
        <v>4.19945046634734</v>
      </c>
      <c r="K39" s="6" t="n">
        <f aca="false">I39+J39</f>
        <v>174.929450466347</v>
      </c>
      <c r="L39" s="6" t="n">
        <f aca="false">F39-(I39-W39)</f>
        <v>4.19945046634734</v>
      </c>
      <c r="M39" s="6" t="n">
        <v>162.36</v>
      </c>
      <c r="N39" s="6" t="n">
        <v>0</v>
      </c>
      <c r="O39" s="6" t="n">
        <v>0</v>
      </c>
      <c r="P39" s="6" t="n">
        <f aca="false">M39-(N39+O39)</f>
        <v>162.36</v>
      </c>
      <c r="Q39" s="6" t="n">
        <v>179.56</v>
      </c>
      <c r="R39" s="6" t="n">
        <v>92.08</v>
      </c>
      <c r="S39" s="6" t="n">
        <f aca="false">SUM(P39:R39)</f>
        <v>434</v>
      </c>
      <c r="T39" s="52" t="n">
        <f aca="false">T38+AD39</f>
        <v>3025.95</v>
      </c>
      <c r="U39" s="6" t="n">
        <v>82</v>
      </c>
      <c r="V39" s="6" t="n">
        <v>78.39</v>
      </c>
      <c r="W39" s="6" t="n">
        <f aca="false">N39+O39+S39+U39+V39</f>
        <v>594.39</v>
      </c>
      <c r="X39" s="6" t="n">
        <f aca="false">IF(L39&lt;0,L39*-1,0)</f>
        <v>0</v>
      </c>
      <c r="Y39" s="6" t="n">
        <f aca="false">W39+X39</f>
        <v>594.39</v>
      </c>
      <c r="Z39" s="11" t="n">
        <v>0</v>
      </c>
      <c r="AA39" s="12" t="n">
        <v>87</v>
      </c>
      <c r="AB39" s="12" t="n">
        <v>51</v>
      </c>
      <c r="AC39" s="13" t="n">
        <v>30</v>
      </c>
      <c r="AD39" s="12" t="n">
        <f aca="false">IF(I39&gt;S39,I39-S39,I39-S39)</f>
        <v>-263.27</v>
      </c>
      <c r="AE39" s="12"/>
      <c r="AG39" s="6"/>
    </row>
    <row r="40" customFormat="false" ht="3" hidden="false" customHeight="true" outlineLevel="0" collapsed="false">
      <c r="A40" s="30"/>
      <c r="B40" s="30"/>
      <c r="C40" s="32"/>
      <c r="D40" s="30"/>
      <c r="E40" s="32"/>
      <c r="F40" s="30"/>
      <c r="G40" s="30"/>
      <c r="H40" s="34" t="n">
        <v>0.29</v>
      </c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2"/>
      <c r="U40" s="30"/>
      <c r="V40" s="30"/>
      <c r="W40" s="30"/>
      <c r="X40" s="30"/>
      <c r="Y40" s="30"/>
      <c r="Z40" s="34"/>
      <c r="AA40" s="35"/>
      <c r="AB40" s="35"/>
      <c r="AC40" s="36"/>
      <c r="AD40" s="107"/>
      <c r="AE40" s="107"/>
    </row>
    <row r="41" customFormat="false" ht="11.1" hidden="false" customHeight="true" outlineLevel="0" collapsed="false">
      <c r="A41" s="6" t="s">
        <v>44</v>
      </c>
      <c r="B41" s="6"/>
      <c r="C41" s="7"/>
      <c r="D41" s="7"/>
      <c r="E41" s="7"/>
      <c r="F41" s="7" t="n">
        <f aca="false">SUM(F10:F39)</f>
        <v>-6139.14797075876</v>
      </c>
      <c r="G41" s="7" t="n">
        <f aca="false">SUM(G10:G39)</f>
        <v>12808.41</v>
      </c>
      <c r="H41" s="11" t="n">
        <f aca="false">SUM(H10:H39)</f>
        <v>0</v>
      </c>
      <c r="I41" s="7" t="n">
        <f aca="false">SUM(I10:I39)</f>
        <v>12808.41</v>
      </c>
      <c r="J41" s="7" t="n">
        <f aca="false">SUM(J10:J39)</f>
        <v>472.360317620368</v>
      </c>
      <c r="K41" s="7" t="n">
        <f aca="false">SUM(K10:K39)</f>
        <v>13280.7703176204</v>
      </c>
      <c r="L41" s="7" t="n">
        <f aca="false">SUM(L10:L39)</f>
        <v>-1004.56797075876</v>
      </c>
      <c r="M41" s="7" t="n">
        <f aca="false">SUM(M10:M39)</f>
        <v>5437.08</v>
      </c>
      <c r="N41" s="7" t="n">
        <f aca="false">SUM(N10:N39)</f>
        <v>0</v>
      </c>
      <c r="O41" s="7" t="n">
        <f aca="false">SUM(O10:O39)</f>
        <v>0</v>
      </c>
      <c r="P41" s="7" t="n">
        <f aca="false">SUM(P10:P39)</f>
        <v>5437.08</v>
      </c>
      <c r="Q41" s="7" t="n">
        <f aca="false">SUM(Q10:Q39)</f>
        <v>5418.24</v>
      </c>
      <c r="R41" s="7" t="n">
        <f aca="false">SUM(R10:R39)</f>
        <v>2625.69</v>
      </c>
      <c r="S41" s="7" t="n">
        <f aca="false">SUM(S10:S39)</f>
        <v>13481.01</v>
      </c>
      <c r="T41" s="7"/>
      <c r="U41" s="7" t="n">
        <f aca="false">SUM(U10:U39)</f>
        <v>1729</v>
      </c>
      <c r="V41" s="7" t="n">
        <f aca="false">SUM(V10:V39)</f>
        <v>2732.98</v>
      </c>
      <c r="W41" s="7" t="n">
        <f aca="false">SUM(W10:W39)</f>
        <v>17942.99</v>
      </c>
      <c r="X41" s="7" t="n">
        <f aca="false">SUM(X10:X39)</f>
        <v>1476.92828837913</v>
      </c>
      <c r="Y41" s="7" t="n">
        <f aca="false">SUM(Y10:Y39)</f>
        <v>19419.9182883791</v>
      </c>
      <c r="Z41" s="11" t="n">
        <f aca="false">SUM(Z10:Z39)</f>
        <v>0.02</v>
      </c>
      <c r="AA41" s="12" t="n">
        <f aca="false">AVERAGE(AA10:AA39)</f>
        <v>77.2666666666667</v>
      </c>
      <c r="AB41" s="12" t="n">
        <f aca="false">AVERAGE(AB10:AB39)</f>
        <v>45.6666666666667</v>
      </c>
      <c r="AC41" s="13" t="s">
        <v>69</v>
      </c>
      <c r="AD41" s="107"/>
      <c r="AE41" s="107"/>
    </row>
    <row r="42" customFormat="false" ht="11.1" hidden="false" customHeight="true" outlineLevel="0" collapsed="false">
      <c r="A42" s="6" t="s">
        <v>46</v>
      </c>
      <c r="B42" s="6"/>
      <c r="C42" s="7"/>
      <c r="D42" s="7" t="n">
        <f aca="false">SUM(D10:D39)</f>
        <v>-12177</v>
      </c>
      <c r="E42" s="7"/>
      <c r="F42" s="7" t="n">
        <f aca="false">F41*$D$2</f>
        <v>-12177</v>
      </c>
      <c r="G42" s="7" t="n">
        <f aca="false">G41*$D$2</f>
        <v>25405.481235</v>
      </c>
      <c r="H42" s="11" t="n">
        <f aca="false">H41*$D$2</f>
        <v>0</v>
      </c>
      <c r="I42" s="7" t="n">
        <f aca="false">I41*$D$2</f>
        <v>25405.481235</v>
      </c>
      <c r="J42" s="7" t="n">
        <f aca="false">J41*$D$2</f>
        <v>936.926690000001</v>
      </c>
      <c r="K42" s="7" t="n">
        <f aca="false">K41*$D$2</f>
        <v>26342.407925</v>
      </c>
      <c r="L42" s="7" t="n">
        <f aca="false">L41*$D$2</f>
        <v>-1992.56057</v>
      </c>
      <c r="M42" s="7" t="n">
        <f aca="false">M41*$D$2</f>
        <v>10784.44818</v>
      </c>
      <c r="N42" s="7" t="n">
        <f aca="false">N41*$D$2</f>
        <v>0</v>
      </c>
      <c r="O42" s="7" t="n">
        <f aca="false">O41*$D$2</f>
        <v>0</v>
      </c>
      <c r="P42" s="7" t="n">
        <f aca="false">P41*$D$2</f>
        <v>10784.44818</v>
      </c>
      <c r="Q42" s="7" t="n">
        <f aca="false">Q41*$D$2</f>
        <v>10747.07904</v>
      </c>
      <c r="R42" s="7" t="n">
        <f aca="false">R41*$D$2</f>
        <v>5208.056115</v>
      </c>
      <c r="S42" s="7" t="n">
        <f aca="false">S41*$D$2</f>
        <v>26739.583335</v>
      </c>
      <c r="T42" s="7"/>
      <c r="U42" s="7" t="n">
        <f aca="false">U41*$D$2</f>
        <v>3429.4715</v>
      </c>
      <c r="V42" s="7" t="n">
        <f aca="false">V41*$D$2</f>
        <v>5420.86583</v>
      </c>
      <c r="W42" s="7" t="n">
        <f aca="false">W41*$D$2</f>
        <v>35589.920665</v>
      </c>
      <c r="X42" s="7" t="n">
        <f aca="false">X41*$D$2</f>
        <v>2929.48726</v>
      </c>
      <c r="Y42" s="7" t="n">
        <f aca="false">Y41*$D$2</f>
        <v>38519.407925</v>
      </c>
      <c r="Z42" s="11"/>
      <c r="AA42" s="12" t="n">
        <f aca="false">MAX(AA10:AA39)</f>
        <v>88</v>
      </c>
      <c r="AB42" s="12" t="n">
        <f aca="false">MAX(AB10:AB39)</f>
        <v>56</v>
      </c>
      <c r="AC42" s="13" t="s">
        <v>47</v>
      </c>
      <c r="AD42" s="107"/>
      <c r="AE42" s="107"/>
    </row>
    <row r="43" customFormat="false" ht="3" hidden="false" customHeight="true" outlineLevel="0" collapsed="false">
      <c r="A43" s="30"/>
      <c r="B43" s="30"/>
      <c r="C43" s="32"/>
      <c r="D43" s="32"/>
      <c r="E43" s="32"/>
      <c r="F43" s="32"/>
      <c r="G43" s="32"/>
      <c r="H43" s="34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11"/>
      <c r="AA43" s="12"/>
      <c r="AB43" s="12"/>
      <c r="AC43" s="13"/>
      <c r="AD43" s="107"/>
      <c r="AE43" s="107"/>
    </row>
    <row r="44" customFormat="false" ht="11.1" hidden="false" customHeight="true" outlineLevel="0" collapsed="false">
      <c r="A44" s="6" t="s">
        <v>48</v>
      </c>
      <c r="B44" s="6"/>
      <c r="C44" s="7"/>
      <c r="D44" s="7"/>
      <c r="E44" s="7"/>
      <c r="F44" s="7" t="n">
        <f aca="false">F7+F41</f>
        <v>7960.17141416688</v>
      </c>
      <c r="G44" s="7" t="n">
        <f aca="false">G7+G41</f>
        <v>82124.96</v>
      </c>
      <c r="H44" s="11" t="n">
        <f aca="false">H7+H41</f>
        <v>2089.41</v>
      </c>
      <c r="I44" s="7" t="n">
        <f aca="false">I7+I41</f>
        <v>84214.37</v>
      </c>
      <c r="J44" s="7" t="n">
        <f aca="false">J7+J41</f>
        <v>4969.87091000756</v>
      </c>
      <c r="K44" s="7" t="n">
        <f aca="false">K7+K41</f>
        <v>89184.2409100076</v>
      </c>
      <c r="L44" s="7" t="n">
        <f aca="false">L7+L41</f>
        <v>1128.93141416688</v>
      </c>
      <c r="M44" s="7" t="n">
        <f aca="false">M7+M41</f>
        <v>17543.69</v>
      </c>
      <c r="N44" s="7" t="n">
        <f aca="false">N7+N41</f>
        <v>0</v>
      </c>
      <c r="O44" s="7" t="n">
        <f aca="false">O7+O41</f>
        <v>0</v>
      </c>
      <c r="P44" s="7" t="n">
        <f aca="false">P7+P41</f>
        <v>17543.69</v>
      </c>
      <c r="Q44" s="7" t="n">
        <f aca="false">Q7+Q41</f>
        <v>13407.68</v>
      </c>
      <c r="R44" s="7" t="n">
        <f aca="false">R7+R41</f>
        <v>6709.75</v>
      </c>
      <c r="S44" s="7" t="n">
        <f aca="false">S7+S41</f>
        <v>37661.12</v>
      </c>
      <c r="T44" s="130" t="n">
        <f aca="false">T39</f>
        <v>3025.95</v>
      </c>
      <c r="U44" s="7" t="n">
        <f aca="false">U7+U41</f>
        <v>3455</v>
      </c>
      <c r="V44" s="7" t="n">
        <f aca="false">V7+V41</f>
        <v>36267.01</v>
      </c>
      <c r="W44" s="7" t="n">
        <f aca="false">W7+W41</f>
        <v>77383.13</v>
      </c>
      <c r="X44" s="7" t="n">
        <f aca="false">X7+X41</f>
        <v>3840.93949584069</v>
      </c>
      <c r="Y44" s="7" t="n">
        <f aca="false">Y7+Y41</f>
        <v>81224.0694958407</v>
      </c>
      <c r="Z44" s="11"/>
      <c r="AA44" s="12" t="n">
        <f aca="false">MIN(AA10:AA39)</f>
        <v>71</v>
      </c>
      <c r="AB44" s="12" t="n">
        <f aca="false">MIN(AB10:AB39)</f>
        <v>36</v>
      </c>
      <c r="AC44" s="13" t="s">
        <v>49</v>
      </c>
      <c r="AD44" s="107"/>
      <c r="AE44" s="107"/>
    </row>
    <row r="45" customFormat="false" ht="11.1" hidden="false" customHeight="true" outlineLevel="0" collapsed="false">
      <c r="A45" s="6" t="s">
        <v>50</v>
      </c>
      <c r="B45" s="6"/>
      <c r="C45" s="7"/>
      <c r="D45" s="7"/>
      <c r="E45" s="7"/>
      <c r="F45" s="7" t="n">
        <f aca="false">F44*$D$2</f>
        <v>15789</v>
      </c>
      <c r="G45" s="7" t="n">
        <f aca="false">G44*$D$2</f>
        <v>162894.85816</v>
      </c>
      <c r="H45" s="11" t="n">
        <f aca="false">H44*$D$2</f>
        <v>4144.344735</v>
      </c>
      <c r="I45" s="7" t="n">
        <f aca="false">I44*$D$2</f>
        <v>167039.202895</v>
      </c>
      <c r="J45" s="7" t="n">
        <f aca="false">J44*$D$2</f>
        <v>9857.73895</v>
      </c>
      <c r="K45" s="7" t="n">
        <f aca="false">K44*$D$2</f>
        <v>176896.941845</v>
      </c>
      <c r="L45" s="7" t="n">
        <f aca="false">L44*$D$2</f>
        <v>2239.23546</v>
      </c>
      <c r="M45" s="7" t="n">
        <f aca="false">M44*$D$2</f>
        <v>34797.909115</v>
      </c>
      <c r="N45" s="7" t="n">
        <f aca="false">N44*$D$2</f>
        <v>0</v>
      </c>
      <c r="O45" s="7" t="n">
        <f aca="false">O44*$D$2</f>
        <v>0</v>
      </c>
      <c r="P45" s="7" t="n">
        <f aca="false">P44*$D$2</f>
        <v>34797.909115</v>
      </c>
      <c r="Q45" s="7" t="n">
        <f aca="false">Q44*$D$2</f>
        <v>26594.13328</v>
      </c>
      <c r="R45" s="7" t="n">
        <f aca="false">R44*$D$2</f>
        <v>13308.789125</v>
      </c>
      <c r="S45" s="7" t="n">
        <f aca="false">S44*$D$2</f>
        <v>74700.83152</v>
      </c>
      <c r="T45" s="7" t="n">
        <f aca="false">T44*$D$2</f>
        <v>6001.971825</v>
      </c>
      <c r="U45" s="7" t="n">
        <f aca="false">U44*$D$2</f>
        <v>6852.9925</v>
      </c>
      <c r="V45" s="7" t="n">
        <f aca="false">V44*$D$2</f>
        <v>71935.614335</v>
      </c>
      <c r="W45" s="7" t="n">
        <f aca="false">W44*$D$2</f>
        <v>153489.438355</v>
      </c>
      <c r="X45" s="7" t="n">
        <f aca="false">X44*$D$2</f>
        <v>7618.50349</v>
      </c>
      <c r="Y45" s="7" t="n">
        <f aca="false">Y44*$D$2</f>
        <v>161107.941845</v>
      </c>
      <c r="Z45" s="11"/>
      <c r="AA45" s="12"/>
      <c r="AB45" s="12"/>
      <c r="AC45" s="13"/>
      <c r="AD45" s="107"/>
      <c r="AE45" s="107"/>
    </row>
    <row r="46" customFormat="false" ht="3" hidden="false" customHeight="true" outlineLevel="0" collapsed="false">
      <c r="A46" s="30"/>
      <c r="B46" s="30"/>
      <c r="C46" s="32"/>
      <c r="D46" s="32"/>
      <c r="E46" s="32"/>
      <c r="F46" s="32"/>
      <c r="G46" s="32"/>
      <c r="H46" s="34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4"/>
      <c r="AA46" s="12"/>
      <c r="AB46" s="12"/>
      <c r="AC46" s="13"/>
      <c r="AD46" s="107"/>
      <c r="AE46" s="107"/>
    </row>
    <row r="47" customFormat="false" ht="11.1" hidden="false" customHeight="true" outlineLevel="0" collapsed="false">
      <c r="A47" s="6" t="s">
        <v>51</v>
      </c>
      <c r="B47" s="6"/>
      <c r="C47" s="7"/>
      <c r="D47" s="7"/>
      <c r="E47" s="7"/>
      <c r="F47" s="7" t="n">
        <f aca="false">F8+F41</f>
        <v>22761.7847239728</v>
      </c>
      <c r="G47" s="7" t="n">
        <f aca="false">G8+G41</f>
        <v>103976.46</v>
      </c>
      <c r="H47" s="11" t="n">
        <f aca="false">H8+H41</f>
        <v>2809.88</v>
      </c>
      <c r="I47" s="7" t="n">
        <f aca="false">I8+I41</f>
        <v>106587.24</v>
      </c>
      <c r="J47" s="7" t="n">
        <f aca="false">J8+J41</f>
        <v>16072.7013940005</v>
      </c>
      <c r="K47" s="7" t="n">
        <f aca="false">K8+K41</f>
        <v>122659.941394001</v>
      </c>
      <c r="L47" s="7" t="n">
        <f aca="false">L8+L41</f>
        <v>10729.4447239728</v>
      </c>
      <c r="M47" s="7" t="n">
        <f aca="false">M8+M41</f>
        <v>19592.95</v>
      </c>
      <c r="N47" s="7" t="n">
        <f aca="false">N8+N41</f>
        <v>0.08</v>
      </c>
      <c r="O47" s="7" t="n">
        <f aca="false">O8+O41</f>
        <v>0</v>
      </c>
      <c r="P47" s="7" t="n">
        <f aca="false">P8+P41</f>
        <v>19592.87</v>
      </c>
      <c r="Q47" s="7" t="n">
        <f aca="false">Q8+Q41</f>
        <v>16127.03</v>
      </c>
      <c r="R47" s="7" t="n">
        <f aca="false">R8+R41</f>
        <v>7175.12</v>
      </c>
      <c r="S47" s="7" t="n">
        <f aca="false">S8+S41</f>
        <v>42895.02</v>
      </c>
      <c r="T47" s="7" t="n">
        <f aca="false">T39</f>
        <v>3025.95</v>
      </c>
      <c r="U47" s="7" t="n">
        <f aca="false">U8+U41</f>
        <v>3455</v>
      </c>
      <c r="V47" s="7" t="n">
        <f aca="false">V8+V41</f>
        <v>48279.8</v>
      </c>
      <c r="W47" s="7" t="n">
        <f aca="false">W8+W41</f>
        <v>94554.9</v>
      </c>
      <c r="X47" s="7" t="n">
        <f aca="false">X8+X41</f>
        <v>5343.25667002773</v>
      </c>
      <c r="Y47" s="7" t="n">
        <f aca="false">Y8+Y41</f>
        <v>99898.1566700277</v>
      </c>
      <c r="Z47" s="11" t="n">
        <f aca="false">Z8+Z41</f>
        <v>6.36</v>
      </c>
      <c r="AA47" s="12"/>
      <c r="AB47" s="12"/>
      <c r="AC47" s="13"/>
      <c r="AD47" s="107"/>
      <c r="AE47" s="107"/>
    </row>
    <row r="48" customFormat="false" ht="11.1" hidden="false" customHeight="true" outlineLevel="0" collapsed="false">
      <c r="A48" s="6" t="s">
        <v>52</v>
      </c>
      <c r="B48" s="6"/>
      <c r="C48" s="7"/>
      <c r="D48" s="7" t="n">
        <f aca="false">D8+D42</f>
        <v>45148</v>
      </c>
      <c r="E48" s="7" t="n">
        <f aca="false">E39</f>
        <v>218104</v>
      </c>
      <c r="F48" s="7" t="n">
        <f aca="false">F47*$D$2</f>
        <v>45148</v>
      </c>
      <c r="G48" s="7" t="n">
        <f aca="false">G47*$D$2</f>
        <v>206237.30841</v>
      </c>
      <c r="H48" s="11" t="n">
        <f aca="false">H47*$D$2</f>
        <v>5573.39698</v>
      </c>
      <c r="I48" s="7" t="n">
        <f aca="false">I47*$D$2</f>
        <v>211415.79054</v>
      </c>
      <c r="J48" s="7" t="n">
        <f aca="false">J47*$D$2</f>
        <v>31880.203215</v>
      </c>
      <c r="K48" s="7" t="n">
        <f aca="false">K47*$D$2</f>
        <v>243295.993755</v>
      </c>
      <c r="L48" s="7" t="n">
        <f aca="false">L47*$D$2</f>
        <v>21281.85361</v>
      </c>
      <c r="M48" s="7" t="n">
        <f aca="false">M47*$D$2</f>
        <v>38862.616325</v>
      </c>
      <c r="N48" s="7" t="n">
        <f aca="false">N47*$D$2</f>
        <v>0.15868</v>
      </c>
      <c r="O48" s="7" t="n">
        <f aca="false">O47*$D$2</f>
        <v>0</v>
      </c>
      <c r="P48" s="7" t="n">
        <f aca="false">P47*$D$2</f>
        <v>38862.457645</v>
      </c>
      <c r="Q48" s="7" t="n">
        <f aca="false">Q47*$D$2</f>
        <v>31987.964005</v>
      </c>
      <c r="R48" s="7" t="n">
        <f aca="false">R47*$D$2</f>
        <v>14231.85052</v>
      </c>
      <c r="S48" s="7" t="n">
        <f aca="false">S47*$D$2</f>
        <v>85082.27217</v>
      </c>
      <c r="T48" s="7" t="n">
        <f aca="false">T47*$D$2</f>
        <v>6001.971825</v>
      </c>
      <c r="U48" s="7" t="n">
        <f aca="false">U47*$D$2</f>
        <v>6852.9925</v>
      </c>
      <c r="V48" s="7" t="n">
        <f aca="false">V47*$D$2</f>
        <v>95762.9833</v>
      </c>
      <c r="W48" s="7" t="n">
        <f aca="false">W47*$D$2</f>
        <v>187549.64415</v>
      </c>
      <c r="X48" s="7" t="n">
        <f aca="false">X47*$D$2</f>
        <v>10598.349605</v>
      </c>
      <c r="Y48" s="7" t="n">
        <f aca="false">Y47*$D$2</f>
        <v>198147.993755</v>
      </c>
      <c r="Z48" s="11"/>
      <c r="AA48" s="12"/>
      <c r="AB48" s="12"/>
      <c r="AC48" s="13"/>
      <c r="AD48" s="107"/>
      <c r="AE48" s="107"/>
    </row>
    <row r="49" customFormat="false" ht="3" hidden="false" customHeight="true" outlineLevel="0" collapsed="false">
      <c r="A49" s="30"/>
      <c r="B49" s="30"/>
      <c r="C49" s="32"/>
      <c r="D49" s="30"/>
      <c r="E49" s="32"/>
      <c r="F49" s="30"/>
      <c r="G49" s="30"/>
      <c r="H49" s="34"/>
      <c r="I49" s="30"/>
      <c r="J49" s="30"/>
      <c r="K49" s="131"/>
      <c r="L49" s="30"/>
      <c r="M49" s="30"/>
      <c r="N49" s="30"/>
      <c r="O49" s="30"/>
      <c r="P49" s="30"/>
      <c r="Q49" s="30"/>
      <c r="R49" s="30"/>
      <c r="S49" s="30"/>
      <c r="T49" s="32"/>
      <c r="U49" s="30"/>
      <c r="V49" s="30"/>
      <c r="W49" s="30"/>
      <c r="X49" s="30"/>
      <c r="Y49" s="30"/>
      <c r="Z49" s="11"/>
      <c r="AA49" s="12"/>
      <c r="AB49" s="12"/>
      <c r="AC49" s="13"/>
      <c r="AD49" s="107"/>
      <c r="AE49" s="107"/>
    </row>
    <row r="50" customFormat="false" ht="11.1" hidden="false" customHeight="true" outlineLevel="0" collapsed="false">
      <c r="A50" s="39"/>
      <c r="B50" s="55"/>
      <c r="C50" s="52"/>
      <c r="D50" s="52"/>
      <c r="E50" s="132"/>
      <c r="F50" s="133"/>
      <c r="G50" s="82"/>
      <c r="H50" s="11"/>
      <c r="I50" s="39"/>
      <c r="J50" s="39"/>
      <c r="K50" s="42"/>
      <c r="L50" s="39"/>
      <c r="M50" s="37"/>
      <c r="N50" s="37"/>
      <c r="O50" s="37"/>
      <c r="P50" s="39"/>
      <c r="Q50" s="39"/>
      <c r="R50" s="39"/>
      <c r="S50" s="7"/>
      <c r="T50" s="7"/>
      <c r="U50" s="39"/>
      <c r="V50" s="7"/>
      <c r="W50" s="39"/>
      <c r="X50" s="39"/>
      <c r="Y50" s="10"/>
      <c r="Z50" s="11"/>
      <c r="AA50" s="12"/>
      <c r="AB50" s="13"/>
      <c r="AC50" s="134"/>
      <c r="AD50" s="134"/>
    </row>
    <row r="51" customFormat="false" ht="11.1" hidden="false" customHeight="true" outlineLevel="0" collapsed="false">
      <c r="R51" s="39"/>
      <c r="S51" s="7"/>
    </row>
    <row r="52" customFormat="false" ht="11.1" hidden="false" customHeight="true" outlineLevel="0" collapsed="false">
      <c r="B52" s="41"/>
    </row>
  </sheetData>
  <mergeCells count="2">
    <mergeCell ref="K2:V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W51"/>
  <sheetViews>
    <sheetView showFormulas="false" showGridLines="true" showRowColHeaders="true" showZeros="true" rightToLeft="false" tabSelected="false" showOutlineSymbols="true" defaultGridColor="true" view="normal" topLeftCell="D5" colorId="64" zoomScale="100" zoomScaleNormal="100" zoomScalePageLayoutView="100" workbookViewId="0">
      <selection pane="topLeft" activeCell="S43" activeCellId="0" sqref="S43"/>
    </sheetView>
  </sheetViews>
  <sheetFormatPr defaultColWidth="9.328125" defaultRowHeight="11.1" zeroHeight="false" outlineLevelRow="0" outlineLevelCol="0"/>
  <cols>
    <col collapsed="false" customWidth="true" hidden="false" outlineLevel="0" max="1" min="1" style="44" width="5.66"/>
    <col collapsed="false" customWidth="true" hidden="false" outlineLevel="0" max="2" min="2" style="44" width="7.82"/>
    <col collapsed="false" customWidth="true" hidden="false" outlineLevel="0" max="3" min="3" style="45" width="7.66"/>
    <col collapsed="false" customWidth="true" hidden="false" outlineLevel="0" max="4" min="4" style="44" width="6.99"/>
    <col collapsed="false" customWidth="true" hidden="false" outlineLevel="0" max="5" min="5" style="45" width="7.66"/>
    <col collapsed="false" customWidth="true" hidden="false" outlineLevel="0" max="6" min="6" style="44" width="7.66"/>
    <col collapsed="false" customWidth="true" hidden="false" outlineLevel="0" max="7" min="7" style="44" width="7.16"/>
    <col collapsed="false" customWidth="true" hidden="false" outlineLevel="0" max="8" min="8" style="46" width="6.82"/>
    <col collapsed="false" customWidth="true" hidden="false" outlineLevel="0" max="9" min="9" style="44" width="7.99"/>
    <col collapsed="false" customWidth="true" hidden="false" outlineLevel="0" max="10" min="10" style="44" width="6.66"/>
    <col collapsed="false" customWidth="true" hidden="false" outlineLevel="0" max="12" min="11" style="44" width="7.16"/>
    <col collapsed="false" customWidth="true" hidden="false" outlineLevel="0" max="13" min="13" style="47" width="6.16"/>
    <col collapsed="false" customWidth="true" hidden="true" outlineLevel="0" max="14" min="14" style="47" width="7.32"/>
    <col collapsed="false" customWidth="true" hidden="true" outlineLevel="0" max="15" min="15" style="47" width="6.49"/>
    <col collapsed="false" customWidth="true" hidden="true" outlineLevel="0" max="16" min="16" style="44" width="7.16"/>
    <col collapsed="false" customWidth="true" hidden="false" outlineLevel="0" max="17" min="17" style="44" width="6.32"/>
    <col collapsed="false" customWidth="true" hidden="false" outlineLevel="0" max="18" min="18" style="44" width="5.82"/>
    <col collapsed="false" customWidth="true" hidden="false" outlineLevel="0" max="19" min="19" style="45" width="6.82"/>
    <col collapsed="false" customWidth="true" hidden="false" outlineLevel="0" max="20" min="20" style="44" width="6.32"/>
    <col collapsed="false" customWidth="true" hidden="false" outlineLevel="0" max="21" min="21" style="44" width="5.99"/>
    <col collapsed="false" customWidth="true" hidden="false" outlineLevel="0" max="22" min="22" style="45" width="6.66"/>
    <col collapsed="false" customWidth="true" hidden="false" outlineLevel="0" max="24" min="23" style="44" width="7.82"/>
    <col collapsed="false" customWidth="true" hidden="false" outlineLevel="0" max="25" min="25" style="48" width="8.16"/>
    <col collapsed="false" customWidth="true" hidden="false" outlineLevel="0" max="27" min="26" style="49" width="4.66"/>
    <col collapsed="false" customWidth="true" hidden="false" outlineLevel="0" max="28" min="28" style="50" width="4.66"/>
    <col collapsed="false" customWidth="true" hidden="false" outlineLevel="0" max="29" min="29" style="44" width="5.66"/>
    <col collapsed="false" customWidth="false" hidden="false" outlineLevel="0" max="257" min="30" style="44" width="9.32"/>
  </cols>
  <sheetData>
    <row r="1" customFormat="false" ht="14.1" hidden="false" customHeight="true" outlineLevel="0" collapsed="false">
      <c r="A1" s="51"/>
      <c r="B1" s="51"/>
      <c r="C1" s="52"/>
      <c r="D1" s="51"/>
      <c r="E1" s="52"/>
      <c r="F1" s="51"/>
      <c r="G1" s="51"/>
      <c r="H1" s="56"/>
      <c r="I1" s="51"/>
      <c r="J1" s="51"/>
      <c r="K1" s="54" t="s">
        <v>0</v>
      </c>
      <c r="L1" s="51"/>
      <c r="M1" s="51"/>
      <c r="N1" s="51"/>
      <c r="O1" s="51"/>
      <c r="P1" s="51"/>
      <c r="Q1" s="51"/>
      <c r="R1" s="51"/>
      <c r="S1" s="52"/>
      <c r="T1" s="51"/>
      <c r="U1" s="51"/>
      <c r="V1" s="52"/>
      <c r="W1" s="51"/>
      <c r="X1" s="51"/>
      <c r="Y1" s="55"/>
      <c r="Z1" s="57"/>
      <c r="AA1" s="57"/>
      <c r="AB1" s="58"/>
      <c r="AC1" s="88"/>
      <c r="AD1" s="88"/>
    </row>
    <row r="2" customFormat="false" ht="14.1" hidden="false" customHeight="true" outlineLevel="0" collapsed="false">
      <c r="A2" s="51" t="s">
        <v>1</v>
      </c>
      <c r="B2" s="51"/>
      <c r="C2" s="52"/>
      <c r="D2" s="59" t="n">
        <v>1.9835</v>
      </c>
      <c r="E2" s="52"/>
      <c r="F2" s="51"/>
      <c r="G2" s="51"/>
      <c r="H2" s="56"/>
      <c r="I2" s="51"/>
      <c r="J2" s="51"/>
      <c r="K2" s="60" t="s">
        <v>76</v>
      </c>
      <c r="L2" s="60"/>
      <c r="M2" s="60"/>
      <c r="N2" s="60"/>
      <c r="O2" s="60"/>
      <c r="P2" s="60"/>
      <c r="Q2" s="60"/>
      <c r="R2" s="60"/>
      <c r="S2" s="60"/>
      <c r="T2" s="60"/>
      <c r="U2" s="51"/>
      <c r="V2" s="52"/>
      <c r="W2" s="51"/>
      <c r="X2" s="51"/>
      <c r="Y2" s="55"/>
      <c r="Z2" s="57"/>
      <c r="AA2" s="57"/>
      <c r="AB2" s="58"/>
      <c r="AC2" s="88"/>
      <c r="AD2" s="88"/>
    </row>
    <row r="3" customFormat="false" ht="11.1" hidden="false" customHeight="true" outlineLevel="0" collapsed="false">
      <c r="A3" s="51"/>
      <c r="B3" s="51"/>
      <c r="C3" s="52"/>
      <c r="D3" s="61"/>
      <c r="E3" s="52"/>
      <c r="F3" s="51"/>
      <c r="G3" s="51"/>
      <c r="H3" s="56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51"/>
      <c r="U3" s="51"/>
      <c r="V3" s="52"/>
      <c r="W3" s="51"/>
      <c r="X3" s="51"/>
      <c r="Y3" s="55"/>
      <c r="Z3" s="57"/>
      <c r="AA3" s="57"/>
      <c r="AB3" s="58"/>
      <c r="AC3" s="88"/>
      <c r="AD3" s="88"/>
    </row>
    <row r="4" customFormat="false" ht="11.1" hidden="false" customHeight="true" outlineLevel="0" collapsed="false">
      <c r="A4" s="62" t="s">
        <v>3</v>
      </c>
      <c r="B4" s="62" t="s">
        <v>4</v>
      </c>
      <c r="C4" s="63" t="s">
        <v>4</v>
      </c>
      <c r="D4" s="62" t="s">
        <v>5</v>
      </c>
      <c r="E4" s="63" t="s">
        <v>6</v>
      </c>
      <c r="F4" s="62" t="s">
        <v>7</v>
      </c>
      <c r="G4" s="62" t="s">
        <v>8</v>
      </c>
      <c r="H4" s="65" t="s">
        <v>9</v>
      </c>
      <c r="I4" s="62" t="s">
        <v>10</v>
      </c>
      <c r="J4" s="62" t="s">
        <v>11</v>
      </c>
      <c r="K4" s="62" t="s">
        <v>12</v>
      </c>
      <c r="L4" s="62" t="s">
        <v>11</v>
      </c>
      <c r="M4" s="62" t="s">
        <v>13</v>
      </c>
      <c r="N4" s="62"/>
      <c r="O4" s="62"/>
      <c r="P4" s="62"/>
      <c r="Q4" s="62" t="s">
        <v>14</v>
      </c>
      <c r="R4" s="62" t="s">
        <v>15</v>
      </c>
      <c r="S4" s="62" t="s">
        <v>12</v>
      </c>
      <c r="T4" s="63" t="s">
        <v>16</v>
      </c>
      <c r="U4" s="62" t="s">
        <v>17</v>
      </c>
      <c r="V4" s="62" t="s">
        <v>18</v>
      </c>
      <c r="W4" s="62" t="s">
        <v>10</v>
      </c>
      <c r="X4" s="62" t="s">
        <v>11</v>
      </c>
      <c r="Y4" s="62" t="s">
        <v>12</v>
      </c>
      <c r="Z4" s="110" t="s">
        <v>19</v>
      </c>
      <c r="AA4" s="66" t="s">
        <v>20</v>
      </c>
      <c r="AB4" s="66" t="s">
        <v>21</v>
      </c>
      <c r="AC4" s="66" t="s">
        <v>3</v>
      </c>
      <c r="AD4" s="88"/>
      <c r="AE4" s="88"/>
    </row>
    <row r="5" customFormat="false" ht="11.1" hidden="false" customHeight="true" outlineLevel="0" collapsed="false">
      <c r="A5" s="67" t="s">
        <v>77</v>
      </c>
      <c r="B5" s="62" t="s">
        <v>23</v>
      </c>
      <c r="C5" s="63" t="s">
        <v>5</v>
      </c>
      <c r="D5" s="62" t="s">
        <v>24</v>
      </c>
      <c r="E5" s="63" t="s">
        <v>25</v>
      </c>
      <c r="F5" s="62" t="s">
        <v>26</v>
      </c>
      <c r="G5" s="62" t="s">
        <v>27</v>
      </c>
      <c r="H5" s="65" t="s">
        <v>28</v>
      </c>
      <c r="I5" s="62" t="s">
        <v>29</v>
      </c>
      <c r="J5" s="62" t="s">
        <v>29</v>
      </c>
      <c r="K5" s="62" t="s">
        <v>29</v>
      </c>
      <c r="L5" s="62" t="s">
        <v>30</v>
      </c>
      <c r="M5" s="62" t="s">
        <v>31</v>
      </c>
      <c r="N5" s="62" t="s">
        <v>32</v>
      </c>
      <c r="O5" s="62" t="s">
        <v>33</v>
      </c>
      <c r="P5" s="62" t="s">
        <v>34</v>
      </c>
      <c r="Q5" s="62" t="s">
        <v>35</v>
      </c>
      <c r="R5" s="62" t="s">
        <v>36</v>
      </c>
      <c r="S5" s="62" t="s">
        <v>16</v>
      </c>
      <c r="T5" s="63" t="s">
        <v>37</v>
      </c>
      <c r="U5" s="62" t="s">
        <v>38</v>
      </c>
      <c r="V5" s="62" t="s">
        <v>39</v>
      </c>
      <c r="W5" s="62" t="s">
        <v>40</v>
      </c>
      <c r="X5" s="62" t="s">
        <v>40</v>
      </c>
      <c r="Y5" s="62" t="s">
        <v>40</v>
      </c>
      <c r="Z5" s="135"/>
      <c r="AA5" s="66" t="s">
        <v>41</v>
      </c>
      <c r="AB5" s="66" t="s">
        <v>41</v>
      </c>
      <c r="AC5" s="69" t="s">
        <v>77</v>
      </c>
      <c r="AD5" s="88"/>
      <c r="AE5" s="88"/>
    </row>
    <row r="6" customFormat="false" ht="11.1" hidden="false" customHeight="true" outlineLevel="0" collapsed="false">
      <c r="A6" s="70"/>
      <c r="B6" s="70"/>
      <c r="C6" s="71"/>
      <c r="D6" s="70"/>
      <c r="E6" s="71"/>
      <c r="F6" s="70"/>
      <c r="G6" s="70"/>
      <c r="H6" s="90"/>
      <c r="I6" s="70"/>
      <c r="J6" s="70"/>
      <c r="K6" s="70"/>
      <c r="L6" s="70"/>
      <c r="M6" s="70"/>
      <c r="N6" s="70"/>
      <c r="O6" s="70"/>
      <c r="P6" s="70"/>
      <c r="Q6" s="70"/>
      <c r="R6" s="136"/>
      <c r="S6" s="70"/>
      <c r="T6" s="137"/>
      <c r="U6" s="70"/>
      <c r="V6" s="70"/>
      <c r="W6" s="70"/>
      <c r="X6" s="70"/>
      <c r="Y6" s="70"/>
      <c r="Z6" s="55"/>
      <c r="AA6" s="58"/>
      <c r="AB6" s="58"/>
      <c r="AC6" s="58"/>
      <c r="AD6" s="92"/>
      <c r="AE6" s="92"/>
      <c r="AF6" s="93"/>
    </row>
    <row r="7" customFormat="false" ht="11.1" hidden="false" customHeight="true" outlineLevel="0" collapsed="false">
      <c r="A7" s="51" t="s">
        <v>42</v>
      </c>
      <c r="B7" s="51"/>
      <c r="C7" s="52"/>
      <c r="D7" s="52"/>
      <c r="E7" s="52"/>
      <c r="F7" s="52" t="n">
        <f aca="false">JUN!F44</f>
        <v>7960.17141416688</v>
      </c>
      <c r="G7" s="52" t="n">
        <f aca="false">JUN!G44</f>
        <v>82124.96</v>
      </c>
      <c r="H7" s="56" t="n">
        <f aca="false">JUN!H44</f>
        <v>2089.41</v>
      </c>
      <c r="I7" s="52" t="n">
        <f aca="false">JUN!I44</f>
        <v>84214.37</v>
      </c>
      <c r="J7" s="52" t="n">
        <f aca="false">JUN!J44</f>
        <v>4969.87091000756</v>
      </c>
      <c r="K7" s="52" t="n">
        <f aca="false">JUN!K44</f>
        <v>89184.2409100076</v>
      </c>
      <c r="L7" s="52" t="n">
        <f aca="false">JUN!L44</f>
        <v>1128.93141416688</v>
      </c>
      <c r="M7" s="52" t="n">
        <f aca="false">JUN!M44</f>
        <v>17543.69</v>
      </c>
      <c r="N7" s="52" t="n">
        <f aca="false">JUN!N44</f>
        <v>0</v>
      </c>
      <c r="O7" s="52" t="n">
        <f aca="false">JUN!O44</f>
        <v>0</v>
      </c>
      <c r="P7" s="52" t="n">
        <f aca="false">JUN!P44</f>
        <v>17543.69</v>
      </c>
      <c r="Q7" s="52" t="n">
        <f aca="false">JUN!Q44</f>
        <v>13407.68</v>
      </c>
      <c r="R7" s="52" t="n">
        <f aca="false">JUN!R44</f>
        <v>6709.75</v>
      </c>
      <c r="S7" s="52" t="n">
        <f aca="false">JUN!S44</f>
        <v>37661.12</v>
      </c>
      <c r="T7" s="52" t="n">
        <f aca="false">JUN!T44</f>
        <v>3025.95</v>
      </c>
      <c r="U7" s="52" t="n">
        <f aca="false">JUN!U44</f>
        <v>3455</v>
      </c>
      <c r="V7" s="52" t="n">
        <f aca="false">JUN!V44</f>
        <v>36267.01</v>
      </c>
      <c r="W7" s="52" t="n">
        <f aca="false">JUN!W44</f>
        <v>77383.13</v>
      </c>
      <c r="X7" s="52" t="n">
        <f aca="false">JUN!X44</f>
        <v>3840.93949584069</v>
      </c>
      <c r="Y7" s="52" t="n">
        <f aca="false">JUN!Y44</f>
        <v>81224.0694958407</v>
      </c>
      <c r="Z7" s="55"/>
      <c r="AA7" s="57"/>
      <c r="AB7" s="57"/>
      <c r="AC7" s="58"/>
      <c r="AD7" s="92"/>
      <c r="AE7" s="93"/>
      <c r="AF7" s="93"/>
    </row>
    <row r="8" s="45" customFormat="true" ht="11.1" hidden="false" customHeight="true" outlineLevel="0" collapsed="false">
      <c r="A8" s="52" t="s">
        <v>43</v>
      </c>
      <c r="B8" s="73" t="n">
        <f aca="false">JUN!B39</f>
        <v>6921.5</v>
      </c>
      <c r="C8" s="52" t="n">
        <f aca="false">JUN!C39</f>
        <v>370104</v>
      </c>
      <c r="D8" s="52" t="n">
        <f aca="false">JUN!D48</f>
        <v>45148</v>
      </c>
      <c r="E8" s="52" t="n">
        <f aca="false">JUN!E48</f>
        <v>218104</v>
      </c>
      <c r="F8" s="52" t="n">
        <f aca="false">JUN!F47</f>
        <v>22761.7847239728</v>
      </c>
      <c r="G8" s="52" t="n">
        <f aca="false">JUN!G47</f>
        <v>103976.46</v>
      </c>
      <c r="H8" s="56" t="n">
        <f aca="false">JUN!H47</f>
        <v>2809.88</v>
      </c>
      <c r="I8" s="52" t="n">
        <f aca="false">JUN!I47</f>
        <v>106587.24</v>
      </c>
      <c r="J8" s="52" t="n">
        <f aca="false">JUN!J47</f>
        <v>16072.7013940005</v>
      </c>
      <c r="K8" s="52" t="n">
        <f aca="false">JUN!K47</f>
        <v>122659.941394001</v>
      </c>
      <c r="L8" s="52" t="n">
        <f aca="false">JUN!L47</f>
        <v>10729.4447239728</v>
      </c>
      <c r="M8" s="52" t="n">
        <f aca="false">JUN!M47</f>
        <v>19592.95</v>
      </c>
      <c r="N8" s="52" t="n">
        <f aca="false">JUN!N47</f>
        <v>0.08</v>
      </c>
      <c r="O8" s="52" t="n">
        <f aca="false">JUN!O47</f>
        <v>0</v>
      </c>
      <c r="P8" s="52" t="n">
        <f aca="false">JUN!P47</f>
        <v>19592.87</v>
      </c>
      <c r="Q8" s="52" t="n">
        <f aca="false">JUN!Q47</f>
        <v>16127.03</v>
      </c>
      <c r="R8" s="52" t="n">
        <f aca="false">JUN!R47</f>
        <v>7175.12</v>
      </c>
      <c r="S8" s="52" t="n">
        <f aca="false">JUN!S47</f>
        <v>42895.02</v>
      </c>
      <c r="T8" s="52" t="n">
        <f aca="false">JUN!T47</f>
        <v>3025.95</v>
      </c>
      <c r="U8" s="52" t="n">
        <f aca="false">JUN!U47</f>
        <v>3455</v>
      </c>
      <c r="V8" s="52" t="n">
        <f aca="false">JUN!V47</f>
        <v>48279.8</v>
      </c>
      <c r="W8" s="52" t="n">
        <f aca="false">JUN!W47</f>
        <v>94554.9</v>
      </c>
      <c r="X8" s="52" t="n">
        <f aca="false">JUN!X47</f>
        <v>5343.25667002773</v>
      </c>
      <c r="Y8" s="52" t="n">
        <f aca="false">JUN!Y47</f>
        <v>99898.1566700277</v>
      </c>
      <c r="Z8" s="81" t="n">
        <f aca="false">JUN!Z47</f>
        <v>6.36</v>
      </c>
      <c r="AA8" s="57"/>
      <c r="AB8" s="57"/>
      <c r="AC8" s="58"/>
      <c r="AD8" s="94"/>
      <c r="AE8" s="92"/>
      <c r="AF8" s="94"/>
    </row>
    <row r="9" customFormat="false" ht="3" hidden="false" customHeight="true" outlineLevel="0" collapsed="false">
      <c r="A9" s="74"/>
      <c r="B9" s="75"/>
      <c r="C9" s="76"/>
      <c r="D9" s="74"/>
      <c r="E9" s="76"/>
      <c r="F9" s="74"/>
      <c r="G9" s="74"/>
      <c r="H9" s="78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6"/>
      <c r="U9" s="74"/>
      <c r="V9" s="74"/>
      <c r="W9" s="74"/>
      <c r="X9" s="74"/>
      <c r="Y9" s="74"/>
      <c r="Z9" s="112"/>
      <c r="AA9" s="79"/>
      <c r="AB9" s="79"/>
      <c r="AC9" s="80"/>
      <c r="AD9" s="92"/>
      <c r="AE9" s="92"/>
      <c r="AF9" s="93"/>
    </row>
    <row r="10" customFormat="false" ht="11.1" hidden="false" customHeight="true" outlineLevel="0" collapsed="false">
      <c r="A10" s="58" t="n">
        <v>1</v>
      </c>
      <c r="B10" s="73" t="n">
        <v>6921.31</v>
      </c>
      <c r="C10" s="52" t="n">
        <v>369272</v>
      </c>
      <c r="D10" s="57" t="n">
        <f aca="false">C10-C8</f>
        <v>-832</v>
      </c>
      <c r="E10" s="52" t="n">
        <f aca="false">C10-152000</f>
        <v>217272</v>
      </c>
      <c r="F10" s="51" t="n">
        <f aca="false">D10/$D$2</f>
        <v>-419.460549533653</v>
      </c>
      <c r="G10" s="51" t="n">
        <v>195.52</v>
      </c>
      <c r="H10" s="56" t="n">
        <v>0</v>
      </c>
      <c r="I10" s="51" t="n">
        <f aca="false">G10+H10</f>
        <v>195.52</v>
      </c>
      <c r="J10" s="81" t="n">
        <f aca="false">IF(L10&gt;0,L10,0)</f>
        <v>0</v>
      </c>
      <c r="K10" s="51" t="n">
        <f aca="false">I10+J10</f>
        <v>195.52</v>
      </c>
      <c r="L10" s="51" t="n">
        <f aca="false">F10-(I10-W10)</f>
        <v>-33.9205495336525</v>
      </c>
      <c r="M10" s="51" t="n">
        <v>162.21</v>
      </c>
      <c r="N10" s="51" t="n">
        <v>0</v>
      </c>
      <c r="O10" s="51" t="n">
        <v>0</v>
      </c>
      <c r="P10" s="6" t="n">
        <f aca="false">M10-(N10+O10)</f>
        <v>162.21</v>
      </c>
      <c r="Q10" s="51" t="n">
        <v>162.21</v>
      </c>
      <c r="R10" s="51" t="n">
        <v>92.3</v>
      </c>
      <c r="S10" s="51" t="n">
        <f aca="false">SUM(P10:R10)</f>
        <v>416.72</v>
      </c>
      <c r="T10" s="52" t="n">
        <f aca="false">(I10-S10)+T7</f>
        <v>2804.75</v>
      </c>
      <c r="U10" s="51" t="n">
        <v>86</v>
      </c>
      <c r="V10" s="51" t="n">
        <v>78.34</v>
      </c>
      <c r="W10" s="6" t="n">
        <f aca="false">N10+O10+S10+U10+V10</f>
        <v>581.06</v>
      </c>
      <c r="X10" s="51" t="n">
        <f aca="false">IF(L10&lt;0,L10*-1,0)</f>
        <v>33.9205495336525</v>
      </c>
      <c r="Y10" s="51" t="n">
        <f aca="false">W10+X10</f>
        <v>614.980549533653</v>
      </c>
      <c r="Z10" s="55" t="n">
        <v>0</v>
      </c>
      <c r="AA10" s="138" t="n">
        <v>86</v>
      </c>
      <c r="AB10" s="138" t="n">
        <v>47</v>
      </c>
      <c r="AC10" s="58" t="n">
        <v>1</v>
      </c>
      <c r="AD10" s="12" t="n">
        <f aca="false">IF(I10&gt;S10,I10-S10,I10-S10)</f>
        <v>-221.2</v>
      </c>
      <c r="AE10" s="12"/>
      <c r="AF10" s="127"/>
      <c r="AG10" s="6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</row>
    <row r="11" customFormat="false" ht="11.1" hidden="false" customHeight="true" outlineLevel="0" collapsed="false">
      <c r="A11" s="58" t="n">
        <f aca="false">A10+1</f>
        <v>2</v>
      </c>
      <c r="B11" s="73" t="n">
        <v>6921.11</v>
      </c>
      <c r="C11" s="52" t="n">
        <v>368396</v>
      </c>
      <c r="D11" s="57" t="n">
        <f aca="false">C11-C10</f>
        <v>-876</v>
      </c>
      <c r="E11" s="52" t="n">
        <f aca="false">C11-152000</f>
        <v>216396</v>
      </c>
      <c r="F11" s="51" t="n">
        <f aca="false">D11/$D$2</f>
        <v>-441.643559364759</v>
      </c>
      <c r="G11" s="51" t="n">
        <v>193.44</v>
      </c>
      <c r="H11" s="56" t="n">
        <v>0</v>
      </c>
      <c r="I11" s="51" t="n">
        <f aca="false">G11+H11</f>
        <v>193.44</v>
      </c>
      <c r="J11" s="81" t="n">
        <f aca="false">IF(L11&gt;0,L11,0)</f>
        <v>0</v>
      </c>
      <c r="K11" s="51" t="n">
        <f aca="false">I11+J11</f>
        <v>193.44</v>
      </c>
      <c r="L11" s="51" t="n">
        <f aca="false">F11-(I11-W11)</f>
        <v>-57.8735593647592</v>
      </c>
      <c r="M11" s="51" t="n">
        <v>162.02</v>
      </c>
      <c r="N11" s="51" t="n">
        <v>0</v>
      </c>
      <c r="O11" s="51" t="n">
        <v>0</v>
      </c>
      <c r="P11" s="6" t="n">
        <f aca="false">M11-(N11+O11)</f>
        <v>162.02</v>
      </c>
      <c r="Q11" s="51" t="n">
        <v>162.02</v>
      </c>
      <c r="R11" s="51" t="n">
        <v>92.1</v>
      </c>
      <c r="S11" s="51" t="n">
        <f aca="false">SUM(P11:R11)</f>
        <v>416.14</v>
      </c>
      <c r="T11" s="52" t="n">
        <f aca="false">(I11-S11)+T10</f>
        <v>2582.05</v>
      </c>
      <c r="U11" s="51" t="n">
        <v>83</v>
      </c>
      <c r="V11" s="51" t="n">
        <v>78.07</v>
      </c>
      <c r="W11" s="6" t="n">
        <f aca="false">N11+O11+S11+U11+V11</f>
        <v>577.21</v>
      </c>
      <c r="X11" s="51" t="n">
        <f aca="false">IF(L11&lt;0,L11*-1,0)</f>
        <v>57.8735593647592</v>
      </c>
      <c r="Y11" s="51" t="n">
        <f aca="false">W11+X11</f>
        <v>635.083559364759</v>
      </c>
      <c r="Z11" s="55" t="n">
        <v>0</v>
      </c>
      <c r="AA11" s="57" t="n">
        <v>88</v>
      </c>
      <c r="AB11" s="57" t="n">
        <v>48</v>
      </c>
      <c r="AC11" s="58" t="n">
        <f aca="false">AC10+1</f>
        <v>2</v>
      </c>
      <c r="AD11" s="12" t="n">
        <f aca="false">IF(I11&gt;S11,I11-S11,I11-S11)</f>
        <v>-222.7</v>
      </c>
      <c r="AE11" s="12"/>
      <c r="AF11" s="0"/>
      <c r="AG11" s="6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</row>
    <row r="12" customFormat="false" ht="11.1" hidden="false" customHeight="true" outlineLevel="0" collapsed="false">
      <c r="A12" s="58" t="n">
        <f aca="false">A11+1</f>
        <v>3</v>
      </c>
      <c r="B12" s="73" t="n">
        <v>6920.91</v>
      </c>
      <c r="C12" s="52" t="n">
        <v>367524</v>
      </c>
      <c r="D12" s="57" t="n">
        <f aca="false">C12-C11</f>
        <v>-872</v>
      </c>
      <c r="E12" s="52" t="n">
        <f aca="false">C12-152000</f>
        <v>215524</v>
      </c>
      <c r="F12" s="51" t="n">
        <f aca="false">D12/$D$2</f>
        <v>-439.626922107386</v>
      </c>
      <c r="G12" s="51" t="n">
        <v>189.96</v>
      </c>
      <c r="H12" s="56" t="n">
        <v>0</v>
      </c>
      <c r="I12" s="51" t="n">
        <f aca="false">G12+H12</f>
        <v>189.96</v>
      </c>
      <c r="J12" s="81" t="n">
        <f aca="false">IF(L12&gt;0,L12,0)</f>
        <v>0</v>
      </c>
      <c r="K12" s="51" t="n">
        <f aca="false">I12+J12</f>
        <v>189.96</v>
      </c>
      <c r="L12" s="51" t="n">
        <f aca="false">F12-(I12-W12)</f>
        <v>-55.026922107386</v>
      </c>
      <c r="M12" s="51" t="n">
        <v>161.69</v>
      </c>
      <c r="N12" s="51" t="n">
        <v>0</v>
      </c>
      <c r="O12" s="51" t="n">
        <v>0</v>
      </c>
      <c r="P12" s="6" t="n">
        <f aca="false">M12-(N12+O12)</f>
        <v>161.69</v>
      </c>
      <c r="Q12" s="51" t="n">
        <v>161.69</v>
      </c>
      <c r="R12" s="51" t="n">
        <v>92.71</v>
      </c>
      <c r="S12" s="51" t="n">
        <f aca="false">SUM(P12:R12)</f>
        <v>416.09</v>
      </c>
      <c r="T12" s="52" t="n">
        <f aca="false">(I12-S12)+T11</f>
        <v>2355.92</v>
      </c>
      <c r="U12" s="51" t="n">
        <v>81</v>
      </c>
      <c r="V12" s="51" t="n">
        <v>77.47</v>
      </c>
      <c r="W12" s="6" t="n">
        <f aca="false">N12+O12+S12+U12+V12</f>
        <v>574.56</v>
      </c>
      <c r="X12" s="51" t="n">
        <f aca="false">IF(L12&lt;0,L12*-1,0)</f>
        <v>55.026922107386</v>
      </c>
      <c r="Y12" s="51" t="n">
        <f aca="false">W12+X12</f>
        <v>629.586922107386</v>
      </c>
      <c r="Z12" s="55" t="n">
        <v>0</v>
      </c>
      <c r="AA12" s="57" t="n">
        <v>91</v>
      </c>
      <c r="AB12" s="57" t="n">
        <v>47</v>
      </c>
      <c r="AC12" s="58" t="n">
        <f aca="false">AC11+1</f>
        <v>3</v>
      </c>
      <c r="AD12" s="12" t="n">
        <f aca="false">IF(I12&gt;S12,I12-S12,I12-S12)</f>
        <v>-226.13</v>
      </c>
      <c r="AE12" s="12"/>
      <c r="AF12" s="0"/>
      <c r="AG12" s="6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</row>
    <row r="13" customFormat="false" ht="11.1" hidden="false" customHeight="true" outlineLevel="0" collapsed="false">
      <c r="A13" s="58" t="n">
        <f aca="false">A12+1</f>
        <v>4</v>
      </c>
      <c r="B13" s="73" t="n">
        <v>6920.7</v>
      </c>
      <c r="C13" s="52" t="n">
        <v>366612</v>
      </c>
      <c r="D13" s="57" t="n">
        <f aca="false">C13-C12</f>
        <v>-912</v>
      </c>
      <c r="E13" s="52" t="n">
        <f aca="false">C13-152000</f>
        <v>214612</v>
      </c>
      <c r="F13" s="51" t="n">
        <f aca="false">D13/$D$2</f>
        <v>-459.793294681119</v>
      </c>
      <c r="G13" s="51" t="n">
        <v>182.32</v>
      </c>
      <c r="H13" s="56" t="n">
        <v>0</v>
      </c>
      <c r="I13" s="51" t="n">
        <f aca="false">G13+H13</f>
        <v>182.32</v>
      </c>
      <c r="J13" s="81" t="n">
        <f aca="false">IF(L13&gt;0,L13,0)</f>
        <v>0</v>
      </c>
      <c r="K13" s="51" t="n">
        <f aca="false">I13+J13</f>
        <v>182.32</v>
      </c>
      <c r="L13" s="51" t="n">
        <f aca="false">F13-(I13-W13)</f>
        <v>-67.9132946811192</v>
      </c>
      <c r="M13" s="51" t="n">
        <v>161.53</v>
      </c>
      <c r="N13" s="51" t="n">
        <v>0</v>
      </c>
      <c r="O13" s="51" t="n">
        <v>0</v>
      </c>
      <c r="P13" s="6" t="n">
        <f aca="false">M13-(N13+O13)</f>
        <v>161.53</v>
      </c>
      <c r="Q13" s="51" t="n">
        <v>161.53</v>
      </c>
      <c r="R13" s="51" t="n">
        <v>92.68</v>
      </c>
      <c r="S13" s="51" t="n">
        <f aca="false">SUM(P13:R13)</f>
        <v>415.74</v>
      </c>
      <c r="T13" s="52" t="n">
        <f aca="false">(I13-S13)+T12</f>
        <v>2122.5</v>
      </c>
      <c r="U13" s="51" t="n">
        <v>81</v>
      </c>
      <c r="V13" s="51" t="n">
        <v>77.46</v>
      </c>
      <c r="W13" s="6" t="n">
        <f aca="false">N13+O13+S13+U13+V13</f>
        <v>574.2</v>
      </c>
      <c r="X13" s="51" t="n">
        <f aca="false">IF(L13&lt;0,L13*-1,0)</f>
        <v>67.9132946811192</v>
      </c>
      <c r="Y13" s="51" t="n">
        <f aca="false">W13+X13</f>
        <v>642.113294681119</v>
      </c>
      <c r="Z13" s="55" t="n">
        <v>0</v>
      </c>
      <c r="AA13" s="57" t="n">
        <v>92</v>
      </c>
      <c r="AB13" s="57" t="n">
        <v>49</v>
      </c>
      <c r="AC13" s="58" t="n">
        <f aca="false">AC12+1</f>
        <v>4</v>
      </c>
      <c r="AD13" s="12" t="n">
        <f aca="false">IF(I13&gt;S13,I13-S13,I13-S13)</f>
        <v>-233.42</v>
      </c>
      <c r="AE13" s="12"/>
      <c r="AF13" s="0"/>
      <c r="AG13" s="6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</row>
    <row r="14" customFormat="false" ht="11.1" hidden="false" customHeight="true" outlineLevel="0" collapsed="false">
      <c r="A14" s="58" t="n">
        <f aca="false">A13+1</f>
        <v>5</v>
      </c>
      <c r="B14" s="73" t="n">
        <v>6920.5</v>
      </c>
      <c r="C14" s="52" t="n">
        <v>365744</v>
      </c>
      <c r="D14" s="57" t="n">
        <f aca="false">C14-C13</f>
        <v>-868</v>
      </c>
      <c r="E14" s="52" t="n">
        <f aca="false">C14-152000</f>
        <v>213744</v>
      </c>
      <c r="F14" s="51" t="n">
        <f aca="false">D14/$D$2</f>
        <v>-437.610284850013</v>
      </c>
      <c r="G14" s="51" t="n">
        <v>179.98</v>
      </c>
      <c r="H14" s="56" t="n">
        <v>0</v>
      </c>
      <c r="I14" s="51" t="n">
        <f aca="false">G14+H14</f>
        <v>179.98</v>
      </c>
      <c r="J14" s="81" t="n">
        <f aca="false">IF(L14&gt;0,L14,0)</f>
        <v>0</v>
      </c>
      <c r="K14" s="51" t="n">
        <f aca="false">I14+J14</f>
        <v>179.98</v>
      </c>
      <c r="L14" s="51" t="n">
        <f aca="false">F14-(I14-W14)</f>
        <v>-24.7502848500127</v>
      </c>
      <c r="M14" s="51" t="n">
        <v>172.48</v>
      </c>
      <c r="N14" s="51" t="n">
        <v>0</v>
      </c>
      <c r="O14" s="51" t="n">
        <v>0</v>
      </c>
      <c r="P14" s="6" t="n">
        <f aca="false">M14-(N14+O14)</f>
        <v>172.48</v>
      </c>
      <c r="Q14" s="51" t="n">
        <v>172.48</v>
      </c>
      <c r="R14" s="51" t="n">
        <v>92.46</v>
      </c>
      <c r="S14" s="51" t="n">
        <f aca="false">SUM(P14:R14)</f>
        <v>437.42</v>
      </c>
      <c r="T14" s="52" t="n">
        <f aca="false">(I14-S14)+T13</f>
        <v>1865.06</v>
      </c>
      <c r="U14" s="51" t="n">
        <v>78</v>
      </c>
      <c r="V14" s="51" t="n">
        <v>77.42</v>
      </c>
      <c r="W14" s="6" t="n">
        <f aca="false">N14+O14+S14+U14+V14</f>
        <v>592.84</v>
      </c>
      <c r="X14" s="51" t="n">
        <f aca="false">IF(L14&lt;0,L14*-1,0)</f>
        <v>24.7502848500127</v>
      </c>
      <c r="Y14" s="51" t="n">
        <f aca="false">W14+X14</f>
        <v>617.590284850013</v>
      </c>
      <c r="Z14" s="55" t="n">
        <v>0</v>
      </c>
      <c r="AA14" s="57" t="n">
        <v>94</v>
      </c>
      <c r="AB14" s="57" t="n">
        <v>57</v>
      </c>
      <c r="AC14" s="58" t="n">
        <f aca="false">AC13+1</f>
        <v>5</v>
      </c>
      <c r="AD14" s="12" t="n">
        <f aca="false">IF(I14&gt;S14,I14-S14,I14-S14)</f>
        <v>-257.44</v>
      </c>
      <c r="AE14" s="12"/>
      <c r="AF14" s="0"/>
      <c r="AG14" s="6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</row>
    <row r="15" customFormat="false" ht="11.1" hidden="false" customHeight="true" outlineLevel="0" collapsed="false">
      <c r="A15" s="58" t="n">
        <f aca="false">A14+1</f>
        <v>6</v>
      </c>
      <c r="B15" s="73" t="n">
        <v>6920.34</v>
      </c>
      <c r="C15" s="52" t="n">
        <v>365049</v>
      </c>
      <c r="D15" s="57" t="n">
        <f aca="false">C15-C14</f>
        <v>-695</v>
      </c>
      <c r="E15" s="52" t="n">
        <f aca="false">C15-152000</f>
        <v>213049</v>
      </c>
      <c r="F15" s="51" t="n">
        <f aca="false">D15/$D$2</f>
        <v>-350.390723468616</v>
      </c>
      <c r="G15" s="51" t="n">
        <v>172.82</v>
      </c>
      <c r="H15" s="56" t="n">
        <v>0</v>
      </c>
      <c r="I15" s="51" t="n">
        <f aca="false">G15+H15</f>
        <v>172.82</v>
      </c>
      <c r="J15" s="81" t="n">
        <f aca="false">IF(L15&gt;0,L15,0)</f>
        <v>99.8192765313839</v>
      </c>
      <c r="K15" s="51" t="n">
        <f aca="false">I15+J15</f>
        <v>272.639276531384</v>
      </c>
      <c r="L15" s="51" t="n">
        <f aca="false">F15-(I15-W15)</f>
        <v>99.8192765313839</v>
      </c>
      <c r="M15" s="51" t="n">
        <v>186.04</v>
      </c>
      <c r="N15" s="51" t="n">
        <v>0</v>
      </c>
      <c r="O15" s="51" t="n">
        <v>0</v>
      </c>
      <c r="P15" s="6" t="n">
        <f aca="false">M15-(N15+O15)</f>
        <v>186.04</v>
      </c>
      <c r="Q15" s="51" t="n">
        <v>186.04</v>
      </c>
      <c r="R15" s="51" t="n">
        <v>92.2</v>
      </c>
      <c r="S15" s="51" t="n">
        <f aca="false">SUM(P15:R15)</f>
        <v>464.28</v>
      </c>
      <c r="T15" s="52" t="n">
        <f aca="false">(I15-S15)+T14</f>
        <v>1573.6</v>
      </c>
      <c r="U15" s="51" t="n">
        <v>80</v>
      </c>
      <c r="V15" s="51" t="n">
        <v>78.75</v>
      </c>
      <c r="W15" s="6" t="n">
        <f aca="false">N15+O15+S15+U15+V15</f>
        <v>623.03</v>
      </c>
      <c r="X15" s="51" t="n">
        <f aca="false">IF(L15&lt;0,L15*-1,0)</f>
        <v>0</v>
      </c>
      <c r="Y15" s="51" t="n">
        <f aca="false">W15+X15</f>
        <v>623.03</v>
      </c>
      <c r="Z15" s="55" t="n">
        <v>0</v>
      </c>
      <c r="AA15" s="57" t="n">
        <v>86</v>
      </c>
      <c r="AB15" s="57" t="n">
        <v>57</v>
      </c>
      <c r="AC15" s="58" t="n">
        <f aca="false">AC14+1</f>
        <v>6</v>
      </c>
      <c r="AD15" s="12" t="n">
        <f aca="false">IF(I15&gt;S15,I15-S15,I15-S15)</f>
        <v>-291.46</v>
      </c>
      <c r="AE15" s="12"/>
      <c r="AF15" s="0"/>
      <c r="AG15" s="6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</row>
    <row r="16" customFormat="false" ht="11.1" hidden="false" customHeight="true" outlineLevel="0" collapsed="false">
      <c r="A16" s="58" t="n">
        <f aca="false">A15+1</f>
        <v>7</v>
      </c>
      <c r="B16" s="73" t="n">
        <v>6920.09</v>
      </c>
      <c r="C16" s="52" t="n">
        <v>363964</v>
      </c>
      <c r="D16" s="57" t="n">
        <f aca="false">C16-C15</f>
        <v>-1085</v>
      </c>
      <c r="E16" s="52" t="n">
        <f aca="false">C16-152000</f>
        <v>211964</v>
      </c>
      <c r="F16" s="51" t="n">
        <f aca="false">D16/$D$2</f>
        <v>-547.012856062516</v>
      </c>
      <c r="G16" s="51" t="n">
        <v>169.5</v>
      </c>
      <c r="H16" s="56" t="n">
        <v>0</v>
      </c>
      <c r="I16" s="51" t="n">
        <f aca="false">G16+H16</f>
        <v>169.5</v>
      </c>
      <c r="J16" s="81" t="n">
        <f aca="false">IF(L16&gt;0,L16,0)</f>
        <v>0</v>
      </c>
      <c r="K16" s="51" t="n">
        <f aca="false">I16+J16</f>
        <v>169.5</v>
      </c>
      <c r="L16" s="51" t="n">
        <f aca="false">F16-(I16-W16)</f>
        <v>-86.5428560625157</v>
      </c>
      <c r="M16" s="51" t="n">
        <v>194.08</v>
      </c>
      <c r="N16" s="51" t="n">
        <v>0</v>
      </c>
      <c r="O16" s="51" t="n">
        <v>0</v>
      </c>
      <c r="P16" s="6" t="n">
        <f aca="false">M16-(N16+O16)</f>
        <v>194.08</v>
      </c>
      <c r="Q16" s="51" t="n">
        <v>194.08</v>
      </c>
      <c r="R16" s="51" t="n">
        <v>92</v>
      </c>
      <c r="S16" s="51" t="n">
        <f aca="false">SUM(P16:R16)</f>
        <v>480.16</v>
      </c>
      <c r="T16" s="52" t="n">
        <f aca="false">(I16-S16)+T15</f>
        <v>1262.94</v>
      </c>
      <c r="U16" s="51" t="n">
        <v>70</v>
      </c>
      <c r="V16" s="51" t="n">
        <v>79.81</v>
      </c>
      <c r="W16" s="6" t="n">
        <f aca="false">N16+O16+S16+U16+V16</f>
        <v>629.97</v>
      </c>
      <c r="X16" s="51" t="n">
        <f aca="false">IF(L16&lt;0,L16*-1,0)</f>
        <v>86.5428560625157</v>
      </c>
      <c r="Y16" s="51" t="n">
        <f aca="false">W16+X16</f>
        <v>716.512856062516</v>
      </c>
      <c r="Z16" s="55" t="n">
        <v>0</v>
      </c>
      <c r="AA16" s="138" t="n">
        <v>87</v>
      </c>
      <c r="AB16" s="138" t="n">
        <v>58</v>
      </c>
      <c r="AC16" s="58" t="n">
        <f aca="false">AC15+1</f>
        <v>7</v>
      </c>
      <c r="AD16" s="12" t="n">
        <f aca="false">IF(I16&gt;S16,I16-S16,I16-S16)</f>
        <v>-310.66</v>
      </c>
      <c r="AE16" s="12"/>
      <c r="AF16" s="0"/>
      <c r="AG16" s="6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</row>
    <row r="17" customFormat="false" ht="11.1" hidden="false" customHeight="true" outlineLevel="0" collapsed="false">
      <c r="A17" s="58" t="n">
        <f aca="false">A16+1</f>
        <v>8</v>
      </c>
      <c r="B17" s="73" t="n">
        <v>6919.84</v>
      </c>
      <c r="C17" s="52" t="n">
        <v>362884</v>
      </c>
      <c r="D17" s="57" t="n">
        <f aca="false">C17-C16</f>
        <v>-1080</v>
      </c>
      <c r="E17" s="52" t="n">
        <f aca="false">C17-152000</f>
        <v>210884</v>
      </c>
      <c r="F17" s="51" t="n">
        <f aca="false">D17/$D$2</f>
        <v>-544.492059490799</v>
      </c>
      <c r="G17" s="51" t="n">
        <v>159.47</v>
      </c>
      <c r="H17" s="56" t="n">
        <v>0</v>
      </c>
      <c r="I17" s="51" t="n">
        <f aca="false">G17+H17</f>
        <v>159.47</v>
      </c>
      <c r="J17" s="81" t="n">
        <f aca="false">IF(L17&gt;0,L17,0)</f>
        <v>0</v>
      </c>
      <c r="K17" s="51" t="n">
        <f aca="false">I17+J17</f>
        <v>159.47</v>
      </c>
      <c r="L17" s="51" t="n">
        <f aca="false">F17-(I17-W17)</f>
        <v>-58.2620594907991</v>
      </c>
      <c r="M17" s="51" t="n">
        <v>200.6</v>
      </c>
      <c r="N17" s="51" t="n">
        <v>0</v>
      </c>
      <c r="O17" s="51" t="n">
        <v>0</v>
      </c>
      <c r="P17" s="6" t="n">
        <f aca="false">M17-(N17+O17)</f>
        <v>200.6</v>
      </c>
      <c r="Q17" s="51" t="n">
        <v>200.6</v>
      </c>
      <c r="R17" s="51" t="n">
        <v>91.92</v>
      </c>
      <c r="S17" s="51" t="n">
        <f aca="false">SUM(P17:R17)</f>
        <v>493.12</v>
      </c>
      <c r="T17" s="52" t="n">
        <f aca="false">(I17-S17)+T16</f>
        <v>929.29</v>
      </c>
      <c r="U17" s="51" t="n">
        <v>73</v>
      </c>
      <c r="V17" s="51" t="n">
        <v>79.58</v>
      </c>
      <c r="W17" s="6" t="n">
        <f aca="false">N17+O17+S17+U17+V17</f>
        <v>645.7</v>
      </c>
      <c r="X17" s="51" t="n">
        <f aca="false">IF(L17&lt;0,L17*-1,0)</f>
        <v>58.2620594907991</v>
      </c>
      <c r="Y17" s="51" t="n">
        <f aca="false">W17+X17</f>
        <v>703.962059490799</v>
      </c>
      <c r="Z17" s="55" t="n">
        <v>0</v>
      </c>
      <c r="AA17" s="57" t="n">
        <v>89</v>
      </c>
      <c r="AB17" s="57" t="n">
        <v>61</v>
      </c>
      <c r="AC17" s="58" t="n">
        <f aca="false">AC16+1</f>
        <v>8</v>
      </c>
      <c r="AD17" s="12" t="n">
        <f aca="false">IF(I17&gt;S17,I17-S17,I17-S17)</f>
        <v>-333.65</v>
      </c>
      <c r="AE17" s="12"/>
      <c r="AF17" s="0"/>
      <c r="AG17" s="6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</row>
    <row r="18" customFormat="false" ht="11.1" hidden="false" customHeight="true" outlineLevel="0" collapsed="false">
      <c r="A18" s="58" t="n">
        <f aca="false">A17+1</f>
        <v>9</v>
      </c>
      <c r="B18" s="73" t="n">
        <v>6919.59</v>
      </c>
      <c r="C18" s="52" t="n">
        <v>361808</v>
      </c>
      <c r="D18" s="57" t="n">
        <f aca="false">C18-C17</f>
        <v>-1076</v>
      </c>
      <c r="E18" s="52" t="n">
        <f aca="false">C18-152000</f>
        <v>209808</v>
      </c>
      <c r="F18" s="51" t="n">
        <f aca="false">D18/$D$2</f>
        <v>-542.475422233426</v>
      </c>
      <c r="G18" s="51" t="n">
        <v>158.65</v>
      </c>
      <c r="H18" s="56" t="n">
        <v>0</v>
      </c>
      <c r="I18" s="51" t="n">
        <f aca="false">G18+H18</f>
        <v>158.65</v>
      </c>
      <c r="J18" s="81" t="n">
        <f aca="false">IF(L18&gt;0,L18,0)</f>
        <v>0</v>
      </c>
      <c r="K18" s="51" t="n">
        <f aca="false">I18+J18</f>
        <v>158.65</v>
      </c>
      <c r="L18" s="51" t="n">
        <f aca="false">F18-(I18-W18)</f>
        <v>-46.6654222334257</v>
      </c>
      <c r="M18" s="51" t="n">
        <v>200.26</v>
      </c>
      <c r="N18" s="51" t="n">
        <v>0</v>
      </c>
      <c r="O18" s="51" t="n">
        <v>0</v>
      </c>
      <c r="P18" s="6" t="n">
        <f aca="false">M18-(N18+O18)</f>
        <v>200.26</v>
      </c>
      <c r="Q18" s="51" t="n">
        <v>200.26</v>
      </c>
      <c r="R18" s="51" t="n">
        <v>91.42</v>
      </c>
      <c r="S18" s="51" t="n">
        <f aca="false">SUM(P18:R18)</f>
        <v>491.94</v>
      </c>
      <c r="T18" s="52" t="n">
        <f aca="false">(I18-S18)+T17</f>
        <v>596</v>
      </c>
      <c r="U18" s="51" t="n">
        <v>83</v>
      </c>
      <c r="V18" s="51" t="n">
        <v>79.52</v>
      </c>
      <c r="W18" s="6" t="n">
        <f aca="false">N18+O18+S18+U18+V18</f>
        <v>654.46</v>
      </c>
      <c r="X18" s="51" t="n">
        <f aca="false">IF(L18&lt;0,L18*-1,0)</f>
        <v>46.6654222334257</v>
      </c>
      <c r="Y18" s="51" t="n">
        <f aca="false">W18+X18</f>
        <v>701.125422233426</v>
      </c>
      <c r="Z18" s="55" t="n">
        <v>0</v>
      </c>
      <c r="AA18" s="82" t="n">
        <v>88</v>
      </c>
      <c r="AB18" s="57" t="n">
        <v>58</v>
      </c>
      <c r="AC18" s="58" t="n">
        <f aca="false">AC17+1</f>
        <v>9</v>
      </c>
      <c r="AD18" s="12" t="n">
        <f aca="false">IF(I18&gt;S18,I18-S18,I18-S18)</f>
        <v>-333.29</v>
      </c>
      <c r="AE18" s="12"/>
      <c r="AF18" s="0"/>
      <c r="AG18" s="6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</row>
    <row r="19" customFormat="false" ht="11.1" hidden="false" customHeight="true" outlineLevel="0" collapsed="false">
      <c r="A19" s="58" t="n">
        <f aca="false">A18+1</f>
        <v>10</v>
      </c>
      <c r="B19" s="73" t="n">
        <v>6919.4</v>
      </c>
      <c r="C19" s="52" t="n">
        <v>360989</v>
      </c>
      <c r="D19" s="57" t="n">
        <f aca="false">C19-C18</f>
        <v>-819</v>
      </c>
      <c r="E19" s="52" t="n">
        <f aca="false">C19-152000</f>
        <v>208989</v>
      </c>
      <c r="F19" s="51" t="n">
        <f aca="false">D19/$D$2</f>
        <v>-412.906478447189</v>
      </c>
      <c r="G19" s="51" t="n">
        <v>150.85</v>
      </c>
      <c r="H19" s="56" t="n">
        <v>0</v>
      </c>
      <c r="I19" s="51" t="n">
        <f aca="false">G19+H19</f>
        <v>150.85</v>
      </c>
      <c r="J19" s="81" t="n">
        <f aca="false">IF(L19&gt;0,L19,0)</f>
        <v>82.2235215528107</v>
      </c>
      <c r="K19" s="51" t="n">
        <f aca="false">I19+J19</f>
        <v>233.073521552811</v>
      </c>
      <c r="L19" s="51" t="n">
        <f aca="false">F19-(I19-W19)</f>
        <v>82.2235215528107</v>
      </c>
      <c r="M19" s="51" t="n">
        <v>199.84</v>
      </c>
      <c r="N19" s="51" t="n">
        <v>0</v>
      </c>
      <c r="O19" s="51" t="n">
        <v>0</v>
      </c>
      <c r="P19" s="6" t="n">
        <f aca="false">M19-(N19+O19)</f>
        <v>199.84</v>
      </c>
      <c r="Q19" s="51" t="n">
        <v>199.84</v>
      </c>
      <c r="R19" s="51" t="n">
        <v>91.86</v>
      </c>
      <c r="S19" s="51" t="n">
        <f aca="false">SUM(P19:R19)</f>
        <v>491.54</v>
      </c>
      <c r="T19" s="52" t="n">
        <f aca="false">(I19-S19)+T18</f>
        <v>255.31</v>
      </c>
      <c r="U19" s="51" t="n">
        <v>75</v>
      </c>
      <c r="V19" s="51" t="n">
        <v>79.44</v>
      </c>
      <c r="W19" s="6" t="n">
        <f aca="false">N19+O19+S19+U19+V19</f>
        <v>645.98</v>
      </c>
      <c r="X19" s="51" t="n">
        <f aca="false">IF(L19&lt;0,L19*-1,0)</f>
        <v>0</v>
      </c>
      <c r="Y19" s="51" t="n">
        <f aca="false">W19+X19</f>
        <v>645.98</v>
      </c>
      <c r="Z19" s="55" t="n">
        <v>0</v>
      </c>
      <c r="AA19" s="57" t="n">
        <v>82</v>
      </c>
      <c r="AB19" s="57" t="n">
        <v>52</v>
      </c>
      <c r="AC19" s="58" t="n">
        <f aca="false">AC18+1</f>
        <v>10</v>
      </c>
      <c r="AD19" s="12" t="n">
        <f aca="false">IF(I19&gt;S19,I19-S19,I19-S19)</f>
        <v>-340.69</v>
      </c>
      <c r="AE19" s="12"/>
      <c r="AF19" s="0"/>
      <c r="AG19" s="6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</row>
    <row r="20" customFormat="false" ht="11.1" hidden="false" customHeight="true" outlineLevel="0" collapsed="false">
      <c r="A20" s="58" t="n">
        <f aca="false">A19+1</f>
        <v>11</v>
      </c>
      <c r="B20" s="73" t="n">
        <v>6919.22</v>
      </c>
      <c r="C20" s="52" t="n">
        <v>360214</v>
      </c>
      <c r="D20" s="57" t="n">
        <f aca="false">C20-C19</f>
        <v>-775</v>
      </c>
      <c r="E20" s="52" t="n">
        <f aca="false">C20-152000</f>
        <v>208214</v>
      </c>
      <c r="F20" s="51" t="n">
        <f aca="false">D20/$D$2</f>
        <v>-390.723468616083</v>
      </c>
      <c r="G20" s="51" t="n">
        <v>171.27</v>
      </c>
      <c r="H20" s="56" t="n">
        <v>0</v>
      </c>
      <c r="I20" s="51" t="n">
        <f aca="false">G20+H20</f>
        <v>171.27</v>
      </c>
      <c r="J20" s="81" t="n">
        <f aca="false">IF(L20&gt;0,L20,0)</f>
        <v>84.2665313839174</v>
      </c>
      <c r="K20" s="51" t="n">
        <f aca="false">I20+J20</f>
        <v>255.536531383917</v>
      </c>
      <c r="L20" s="51" t="n">
        <f aca="false">F20-(I20-W20)</f>
        <v>84.2665313839174</v>
      </c>
      <c r="M20" s="51" t="n">
        <v>199.81</v>
      </c>
      <c r="N20" s="51" t="n">
        <v>0</v>
      </c>
      <c r="O20" s="51" t="n">
        <v>0</v>
      </c>
      <c r="P20" s="6" t="n">
        <f aca="false">M20-(N20+O20)</f>
        <v>199.81</v>
      </c>
      <c r="Q20" s="51" t="n">
        <v>199.81</v>
      </c>
      <c r="R20" s="51" t="n">
        <v>92.29</v>
      </c>
      <c r="S20" s="51" t="n">
        <f aca="false">SUM(P20:R20)</f>
        <v>491.91</v>
      </c>
      <c r="T20" s="52" t="n">
        <f aca="false">(I20-S20)+T19</f>
        <v>-65.3299999999997</v>
      </c>
      <c r="U20" s="51" t="n">
        <v>75</v>
      </c>
      <c r="V20" s="51" t="n">
        <v>79.35</v>
      </c>
      <c r="W20" s="6" t="n">
        <f aca="false">N20+O20+S20+U20+V20</f>
        <v>646.26</v>
      </c>
      <c r="X20" s="51" t="n">
        <f aca="false">IF(L20&lt;0,L20*-1,0)</f>
        <v>0</v>
      </c>
      <c r="Y20" s="51" t="n">
        <f aca="false">W20+X20</f>
        <v>646.26</v>
      </c>
      <c r="Z20" s="55" t="n">
        <v>0.2</v>
      </c>
      <c r="AA20" s="57" t="n">
        <v>71</v>
      </c>
      <c r="AB20" s="57" t="n">
        <v>53</v>
      </c>
      <c r="AC20" s="58" t="n">
        <f aca="false">AC19+1</f>
        <v>11</v>
      </c>
      <c r="AD20" s="12" t="n">
        <f aca="false">IF(I20&gt;S20,I20-S20,I20-S20)</f>
        <v>-320.64</v>
      </c>
      <c r="AE20" s="12"/>
      <c r="AF20" s="0"/>
      <c r="AG20" s="6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</row>
    <row r="21" customFormat="false" ht="11.1" hidden="false" customHeight="true" outlineLevel="0" collapsed="false">
      <c r="A21" s="58" t="n">
        <f aca="false">A20+1</f>
        <v>12</v>
      </c>
      <c r="B21" s="73" t="n">
        <v>6919.02</v>
      </c>
      <c r="C21" s="52" t="n">
        <v>359353</v>
      </c>
      <c r="D21" s="57" t="n">
        <f aca="false">C21-C20</f>
        <v>-861</v>
      </c>
      <c r="E21" s="52" t="n">
        <f aca="false">C21-152000</f>
        <v>207353</v>
      </c>
      <c r="F21" s="51" t="n">
        <f aca="false">D21/$D$2</f>
        <v>-434.081169649609</v>
      </c>
      <c r="G21" s="51" t="n">
        <v>200.3</v>
      </c>
      <c r="H21" s="56" t="n">
        <v>0</v>
      </c>
      <c r="I21" s="51" t="n">
        <f aca="false">G21+H21</f>
        <v>200.3</v>
      </c>
      <c r="J21" s="81" t="n">
        <f aca="false">IF(L21&gt;0,L21,0)</f>
        <v>0</v>
      </c>
      <c r="K21" s="51" t="n">
        <f aca="false">I21+J21</f>
        <v>200.3</v>
      </c>
      <c r="L21" s="51" t="n">
        <f aca="false">F21-(I21-W21)</f>
        <v>-9.67116964960923</v>
      </c>
      <c r="M21" s="51" t="n">
        <v>199.8</v>
      </c>
      <c r="N21" s="51" t="n">
        <v>0</v>
      </c>
      <c r="O21" s="51" t="n">
        <v>0</v>
      </c>
      <c r="P21" s="6" t="n">
        <f aca="false">M21-(N21+O21)</f>
        <v>199.8</v>
      </c>
      <c r="Q21" s="51" t="n">
        <v>199.8</v>
      </c>
      <c r="R21" s="51" t="n">
        <v>92.06</v>
      </c>
      <c r="S21" s="51" t="n">
        <f aca="false">SUM(P21:R21)</f>
        <v>491.66</v>
      </c>
      <c r="T21" s="52" t="n">
        <f aca="false">(I21-S21)+T20</f>
        <v>-356.69</v>
      </c>
      <c r="U21" s="51" t="n">
        <v>54</v>
      </c>
      <c r="V21" s="51" t="n">
        <v>79.05</v>
      </c>
      <c r="W21" s="6" t="n">
        <f aca="false">N21+O21+S21+U21+V21</f>
        <v>624.71</v>
      </c>
      <c r="X21" s="51" t="n">
        <f aca="false">IF(L21&lt;0,L21*-1,0)</f>
        <v>9.67116964960923</v>
      </c>
      <c r="Y21" s="51" t="n">
        <f aca="false">W21+X21</f>
        <v>634.381169649609</v>
      </c>
      <c r="Z21" s="55" t="n">
        <v>0</v>
      </c>
      <c r="AA21" s="57" t="n">
        <v>78</v>
      </c>
      <c r="AB21" s="57" t="n">
        <v>56</v>
      </c>
      <c r="AC21" s="58" t="n">
        <f aca="false">AC20+1</f>
        <v>12</v>
      </c>
      <c r="AD21" s="12" t="n">
        <f aca="false">IF(I21&gt;S21,I21-S21,I21-S21)</f>
        <v>-291.36</v>
      </c>
      <c r="AE21" s="12"/>
      <c r="AF21" s="0"/>
      <c r="AG21" s="6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</row>
    <row r="22" customFormat="false" ht="11.1" hidden="false" customHeight="true" outlineLevel="0" collapsed="false">
      <c r="A22" s="58" t="n">
        <f aca="false">A21+1</f>
        <v>13</v>
      </c>
      <c r="B22" s="73" t="n">
        <v>6918.81</v>
      </c>
      <c r="C22" s="52" t="n">
        <v>358455</v>
      </c>
      <c r="D22" s="57" t="n">
        <f aca="false">C22-C21</f>
        <v>-898</v>
      </c>
      <c r="E22" s="52" t="n">
        <f aca="false">C22-152000</f>
        <v>206455</v>
      </c>
      <c r="F22" s="51" t="n">
        <f aca="false">D22/$D$2</f>
        <v>-452.735064280313</v>
      </c>
      <c r="G22" s="51" t="n">
        <v>188.77</v>
      </c>
      <c r="H22" s="56" t="n">
        <v>0</v>
      </c>
      <c r="I22" s="51" t="n">
        <f aca="false">G22+H22</f>
        <v>188.77</v>
      </c>
      <c r="J22" s="81" t="n">
        <f aca="false">IF(L22&gt;0,L22,0)</f>
        <v>0</v>
      </c>
      <c r="K22" s="51" t="n">
        <f aca="false">I22+J22</f>
        <v>188.77</v>
      </c>
      <c r="L22" s="51" t="n">
        <f aca="false">F22-(I22-W22)</f>
        <v>-14.1650642803125</v>
      </c>
      <c r="M22" s="51" t="n">
        <v>199.8</v>
      </c>
      <c r="N22" s="51" t="n">
        <v>0</v>
      </c>
      <c r="O22" s="51" t="n">
        <v>0</v>
      </c>
      <c r="P22" s="6" t="n">
        <f aca="false">M22-(N22+O22)</f>
        <v>199.8</v>
      </c>
      <c r="Q22" s="51" t="n">
        <v>199.8</v>
      </c>
      <c r="R22" s="51" t="n">
        <v>92.27</v>
      </c>
      <c r="S22" s="51" t="n">
        <f aca="false">SUM(P22:R22)</f>
        <v>491.87</v>
      </c>
      <c r="T22" s="52" t="n">
        <f aca="false">(I22-S22)+T21</f>
        <v>-659.79</v>
      </c>
      <c r="U22" s="51" t="n">
        <v>57</v>
      </c>
      <c r="V22" s="51" t="n">
        <v>78.47</v>
      </c>
      <c r="W22" s="6" t="n">
        <f aca="false">N22+O22+S22+U22+V22</f>
        <v>627.34</v>
      </c>
      <c r="X22" s="51" t="n">
        <f aca="false">IF(L22&lt;0,L22*-1,0)</f>
        <v>14.1650642803125</v>
      </c>
      <c r="Y22" s="51" t="n">
        <f aca="false">W22+X22</f>
        <v>641.505064280313</v>
      </c>
      <c r="Z22" s="55" t="n">
        <v>0</v>
      </c>
      <c r="AA22" s="57" t="n">
        <v>85</v>
      </c>
      <c r="AB22" s="57" t="n">
        <v>51</v>
      </c>
      <c r="AC22" s="58" t="n">
        <f aca="false">AC21+1</f>
        <v>13</v>
      </c>
      <c r="AD22" s="12" t="n">
        <f aca="false">IF(I22&gt;S22,I22-S22,I22-S22)</f>
        <v>-303.1</v>
      </c>
      <c r="AE22" s="12"/>
      <c r="AF22" s="0"/>
      <c r="AG22" s="6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</row>
    <row r="23" customFormat="false" ht="11.1" hidden="false" customHeight="true" outlineLevel="0" collapsed="false">
      <c r="A23" s="58" t="n">
        <f aca="false">A22+1</f>
        <v>14</v>
      </c>
      <c r="B23" s="73" t="n">
        <v>6918.54</v>
      </c>
      <c r="C23" s="52" t="n">
        <v>357301</v>
      </c>
      <c r="D23" s="57" t="n">
        <f aca="false">C23-C22</f>
        <v>-1154</v>
      </c>
      <c r="E23" s="52" t="n">
        <f aca="false">C23-152000</f>
        <v>205301</v>
      </c>
      <c r="F23" s="51" t="n">
        <f aca="false">D23/$D$2</f>
        <v>-581.799848752206</v>
      </c>
      <c r="G23" s="51" t="n">
        <v>165.4</v>
      </c>
      <c r="H23" s="56" t="n">
        <v>0</v>
      </c>
      <c r="I23" s="51" t="n">
        <f aca="false">G23+H23</f>
        <v>165.4</v>
      </c>
      <c r="J23" s="81" t="n">
        <f aca="false">IF(L23&gt;0,L23,0)</f>
        <v>0</v>
      </c>
      <c r="K23" s="51" t="n">
        <f aca="false">I23+J23</f>
        <v>165.4</v>
      </c>
      <c r="L23" s="51" t="n">
        <f aca="false">F23-(I23-W23)</f>
        <v>-102.729848752206</v>
      </c>
      <c r="M23" s="51" t="n">
        <v>206.29</v>
      </c>
      <c r="N23" s="51" t="n">
        <v>0</v>
      </c>
      <c r="O23" s="51" t="n">
        <v>0</v>
      </c>
      <c r="P23" s="6" t="n">
        <f aca="false">M23-(N23+O23)</f>
        <v>206.29</v>
      </c>
      <c r="Q23" s="51" t="n">
        <v>206.29</v>
      </c>
      <c r="R23" s="51" t="n">
        <v>92.31</v>
      </c>
      <c r="S23" s="51" t="n">
        <f aca="false">SUM(P23:R23)</f>
        <v>504.89</v>
      </c>
      <c r="T23" s="52" t="n">
        <f aca="false">(I23-S23)+T22</f>
        <v>-999.28</v>
      </c>
      <c r="U23" s="51" t="n">
        <v>55</v>
      </c>
      <c r="V23" s="51" t="n">
        <v>84.58</v>
      </c>
      <c r="W23" s="6" t="n">
        <f aca="false">N23+O23+S23+U23+V23</f>
        <v>644.47</v>
      </c>
      <c r="X23" s="51" t="n">
        <f aca="false">IF(L23&lt;0,L23*-1,0)</f>
        <v>102.729848752206</v>
      </c>
      <c r="Y23" s="51" t="n">
        <f aca="false">W23+X23</f>
        <v>747.199848752206</v>
      </c>
      <c r="Z23" s="55" t="n">
        <v>0</v>
      </c>
      <c r="AA23" s="57" t="n">
        <v>83</v>
      </c>
      <c r="AB23" s="57" t="n">
        <v>52</v>
      </c>
      <c r="AC23" s="58" t="n">
        <f aca="false">AC22+1</f>
        <v>14</v>
      </c>
      <c r="AD23" s="12" t="n">
        <f aca="false">IF(I23&gt;S23,I23-S23,I23-S23)</f>
        <v>-339.49</v>
      </c>
      <c r="AE23" s="12"/>
      <c r="AF23" s="0"/>
      <c r="AG23" s="6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</row>
    <row r="24" customFormat="false" ht="11.1" hidden="false" customHeight="true" outlineLevel="0" collapsed="false">
      <c r="A24" s="58" t="n">
        <f aca="false">A23+1</f>
        <v>15</v>
      </c>
      <c r="B24" s="73" t="n">
        <v>6918.26</v>
      </c>
      <c r="C24" s="52" t="n">
        <v>356105</v>
      </c>
      <c r="D24" s="57" t="n">
        <f aca="false">C24-C23</f>
        <v>-1196</v>
      </c>
      <c r="E24" s="52" t="n">
        <f aca="false">C24-152000</f>
        <v>204105</v>
      </c>
      <c r="F24" s="51" t="n">
        <f aca="false">D24/$D$2</f>
        <v>-602.974539954626</v>
      </c>
      <c r="G24" s="51" t="n">
        <v>155.4</v>
      </c>
      <c r="H24" s="56" t="n">
        <v>0</v>
      </c>
      <c r="I24" s="51" t="n">
        <f aca="false">G24+H24</f>
        <v>155.4</v>
      </c>
      <c r="J24" s="81" t="n">
        <f aca="false">IF(L24&gt;0,L24,0)</f>
        <v>0</v>
      </c>
      <c r="K24" s="51" t="n">
        <f aca="false">I24+J24</f>
        <v>155.4</v>
      </c>
      <c r="L24" s="51" t="n">
        <f aca="false">F24-(I24-W24)</f>
        <v>-95.4545399546257</v>
      </c>
      <c r="M24" s="51" t="n">
        <v>209.45</v>
      </c>
      <c r="N24" s="51" t="n">
        <v>0</v>
      </c>
      <c r="O24" s="51" t="n">
        <v>0</v>
      </c>
      <c r="P24" s="6" t="n">
        <f aca="false">M24-(N24+O24)</f>
        <v>209.45</v>
      </c>
      <c r="Q24" s="51" t="n">
        <v>209.45</v>
      </c>
      <c r="R24" s="51" t="n">
        <v>92.15</v>
      </c>
      <c r="S24" s="51" t="n">
        <f aca="false">SUM(P24:R24)</f>
        <v>511.05</v>
      </c>
      <c r="T24" s="52" t="n">
        <f aca="false">(I24-S24)+T23</f>
        <v>-1354.93</v>
      </c>
      <c r="U24" s="51" t="n">
        <v>64</v>
      </c>
      <c r="V24" s="51" t="n">
        <v>87.87</v>
      </c>
      <c r="W24" s="6" t="n">
        <f aca="false">N24+O24+S24+U24+V24</f>
        <v>662.92</v>
      </c>
      <c r="X24" s="51" t="n">
        <f aca="false">IF(L24&lt;0,L24*-1,0)</f>
        <v>95.4545399546257</v>
      </c>
      <c r="Y24" s="51" t="n">
        <f aca="false">W24+X24</f>
        <v>758.374539954626</v>
      </c>
      <c r="Z24" s="55" t="n">
        <v>0</v>
      </c>
      <c r="AA24" s="82" t="n">
        <v>86</v>
      </c>
      <c r="AB24" s="57" t="n">
        <v>53</v>
      </c>
      <c r="AC24" s="58" t="n">
        <f aca="false">AC23+1</f>
        <v>15</v>
      </c>
      <c r="AD24" s="12" t="n">
        <f aca="false">IF(I24&gt;S24,I24-S24,I24-S24)</f>
        <v>-355.65</v>
      </c>
      <c r="AE24" s="12"/>
      <c r="AF24" s="0"/>
      <c r="AG24" s="6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</row>
    <row r="25" customFormat="false" ht="11.1" hidden="false" customHeight="true" outlineLevel="0" collapsed="false">
      <c r="A25" s="58" t="n">
        <f aca="false">A24+1</f>
        <v>16</v>
      </c>
      <c r="B25" s="73" t="n">
        <v>6917.98</v>
      </c>
      <c r="C25" s="52" t="n">
        <v>354909</v>
      </c>
      <c r="D25" s="57" t="n">
        <f aca="false">C25-C24</f>
        <v>-1196</v>
      </c>
      <c r="E25" s="52" t="n">
        <f aca="false">C25-152000</f>
        <v>202909</v>
      </c>
      <c r="F25" s="51" t="n">
        <f aca="false">D25/$D$2</f>
        <v>-602.974539954626</v>
      </c>
      <c r="G25" s="51" t="n">
        <v>146.29</v>
      </c>
      <c r="H25" s="56" t="n">
        <v>0</v>
      </c>
      <c r="I25" s="51" t="n">
        <f aca="false">G25+H25</f>
        <v>146.29</v>
      </c>
      <c r="J25" s="81" t="n">
        <f aca="false">IF(L25&gt;0,L25,0)</f>
        <v>0</v>
      </c>
      <c r="K25" s="51" t="n">
        <f aca="false">I25+J25</f>
        <v>146.29</v>
      </c>
      <c r="L25" s="51" t="n">
        <f aca="false">F25-(I25-W25)</f>
        <v>-86.9245399546258</v>
      </c>
      <c r="M25" s="51" t="n">
        <v>208.91</v>
      </c>
      <c r="N25" s="51" t="n">
        <v>0</v>
      </c>
      <c r="O25" s="51" t="n">
        <v>0</v>
      </c>
      <c r="P25" s="6" t="n">
        <f aca="false">M25-(N25+O25)</f>
        <v>208.91</v>
      </c>
      <c r="Q25" s="51" t="n">
        <v>208.91</v>
      </c>
      <c r="R25" s="51" t="n">
        <v>91.85</v>
      </c>
      <c r="S25" s="51" t="n">
        <f aca="false">SUM(P25:R25)</f>
        <v>509.67</v>
      </c>
      <c r="T25" s="52" t="n">
        <f aca="false">(I25-S25)+T24</f>
        <v>-1718.31</v>
      </c>
      <c r="U25" s="51" t="n">
        <v>65</v>
      </c>
      <c r="V25" s="51" t="n">
        <v>87.67</v>
      </c>
      <c r="W25" s="6" t="n">
        <f aca="false">N25+O25+S25+U25+V25</f>
        <v>662.34</v>
      </c>
      <c r="X25" s="51" t="n">
        <f aca="false">IF(L25&lt;0,L25*-1,0)</f>
        <v>86.9245399546258</v>
      </c>
      <c r="Y25" s="51" t="n">
        <f aca="false">W25+X25</f>
        <v>749.264539954626</v>
      </c>
      <c r="Z25" s="55" t="n">
        <v>0</v>
      </c>
      <c r="AA25" s="82" t="n">
        <v>81</v>
      </c>
      <c r="AB25" s="57" t="n">
        <v>51</v>
      </c>
      <c r="AC25" s="58" t="n">
        <f aca="false">AC24+1</f>
        <v>16</v>
      </c>
      <c r="AD25" s="12" t="n">
        <f aca="false">IF(I25&gt;S25,I25-S25,I25-S25)</f>
        <v>-363.38</v>
      </c>
      <c r="AE25" s="12"/>
      <c r="AF25" s="0"/>
      <c r="AG25" s="6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</row>
    <row r="26" customFormat="false" ht="11.1" hidden="false" customHeight="true" outlineLevel="0" collapsed="false">
      <c r="A26" s="58" t="n">
        <f aca="false">A25+1</f>
        <v>17</v>
      </c>
      <c r="B26" s="73" t="n">
        <v>6917.7</v>
      </c>
      <c r="C26" s="52" t="n">
        <v>353722</v>
      </c>
      <c r="D26" s="57" t="n">
        <f aca="false">C26-C25</f>
        <v>-1187</v>
      </c>
      <c r="E26" s="52" t="n">
        <f aca="false">C26-152000</f>
        <v>201722</v>
      </c>
      <c r="F26" s="51" t="n">
        <f aca="false">D26/$D$2</f>
        <v>-598.437106125536</v>
      </c>
      <c r="G26" s="51" t="n">
        <v>139.27</v>
      </c>
      <c r="H26" s="56" t="n">
        <v>0</v>
      </c>
      <c r="I26" s="51" t="n">
        <f aca="false">G26+H26</f>
        <v>139.27</v>
      </c>
      <c r="J26" s="81" t="n">
        <f aca="false">IF(L26&gt;0,L26,0)</f>
        <v>0</v>
      </c>
      <c r="K26" s="51" t="n">
        <f aca="false">I26+J26</f>
        <v>139.27</v>
      </c>
      <c r="L26" s="51" t="n">
        <f aca="false">F26-(I26-W26)</f>
        <v>-82.6471061255358</v>
      </c>
      <c r="M26" s="51" t="n">
        <v>208.56</v>
      </c>
      <c r="N26" s="51" t="n">
        <v>0</v>
      </c>
      <c r="O26" s="51" t="n">
        <v>0</v>
      </c>
      <c r="P26" s="6" t="n">
        <f aca="false">M26-(N26+O26)</f>
        <v>208.56</v>
      </c>
      <c r="Q26" s="51" t="n">
        <v>208.56</v>
      </c>
      <c r="R26" s="51" t="n">
        <v>91.62</v>
      </c>
      <c r="S26" s="51" t="n">
        <f aca="false">SUM(P26:R26)</f>
        <v>508.74</v>
      </c>
      <c r="T26" s="52" t="n">
        <f aca="false">(I26-S26)+T25</f>
        <v>-2087.78</v>
      </c>
      <c r="U26" s="51" t="n">
        <v>59</v>
      </c>
      <c r="V26" s="51" t="n">
        <v>87.32</v>
      </c>
      <c r="W26" s="6" t="n">
        <f aca="false">N26+O26+S26+U26+V26</f>
        <v>655.06</v>
      </c>
      <c r="X26" s="51" t="n">
        <f aca="false">IF(L26&lt;0,L26*-1,0)</f>
        <v>82.6471061255358</v>
      </c>
      <c r="Y26" s="51" t="n">
        <f aca="false">W26+X26</f>
        <v>737.707106125536</v>
      </c>
      <c r="Z26" s="55" t="n">
        <v>0</v>
      </c>
      <c r="AA26" s="82" t="n">
        <v>85</v>
      </c>
      <c r="AB26" s="57" t="n">
        <v>52</v>
      </c>
      <c r="AC26" s="58" t="n">
        <f aca="false">AC25+1</f>
        <v>17</v>
      </c>
      <c r="AD26" s="12" t="n">
        <f aca="false">IF(I26&gt;S26,I26-S26,I26-S26)</f>
        <v>-369.47</v>
      </c>
      <c r="AE26" s="12"/>
      <c r="AF26" s="0"/>
      <c r="AG26" s="6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</row>
    <row r="27" customFormat="false" ht="11.1" hidden="false" customHeight="true" outlineLevel="0" collapsed="false">
      <c r="A27" s="58" t="n">
        <f aca="false">A26+1</f>
        <v>18</v>
      </c>
      <c r="B27" s="73" t="n">
        <v>6917.42</v>
      </c>
      <c r="C27" s="52" t="n">
        <v>352353</v>
      </c>
      <c r="D27" s="57" t="n">
        <f aca="false">C27-C26</f>
        <v>-1369</v>
      </c>
      <c r="E27" s="52" t="n">
        <f aca="false">C27-152000</f>
        <v>200353</v>
      </c>
      <c r="F27" s="51" t="n">
        <f aca="false">D27/$D$2</f>
        <v>-690.194101336022</v>
      </c>
      <c r="G27" s="51" t="n">
        <v>132.4</v>
      </c>
      <c r="H27" s="56" t="n">
        <v>0</v>
      </c>
      <c r="I27" s="51" t="n">
        <f aca="false">G27+H27</f>
        <v>132.4</v>
      </c>
      <c r="J27" s="81" t="n">
        <f aca="false">IF(L27&gt;0,L27,0)</f>
        <v>0</v>
      </c>
      <c r="K27" s="51" t="n">
        <f aca="false">I27+J27</f>
        <v>132.4</v>
      </c>
      <c r="L27" s="51" t="n">
        <f aca="false">F27-(I27-W27)</f>
        <v>-151.474101336022</v>
      </c>
      <c r="M27" s="51" t="n">
        <v>208.28</v>
      </c>
      <c r="N27" s="51" t="n">
        <v>0</v>
      </c>
      <c r="O27" s="51" t="n">
        <v>0</v>
      </c>
      <c r="P27" s="6" t="n">
        <f aca="false">M27-(N27+O27)</f>
        <v>208.28</v>
      </c>
      <c r="Q27" s="51" t="n">
        <v>208.28</v>
      </c>
      <c r="R27" s="51" t="n">
        <v>92.39</v>
      </c>
      <c r="S27" s="51" t="n">
        <f aca="false">SUM(P27:R27)</f>
        <v>508.95</v>
      </c>
      <c r="T27" s="52" t="n">
        <f aca="false">(I27-S27)+T26</f>
        <v>-2464.33</v>
      </c>
      <c r="U27" s="51" t="n">
        <v>75</v>
      </c>
      <c r="V27" s="51" t="n">
        <v>87.17</v>
      </c>
      <c r="W27" s="6" t="n">
        <f aca="false">N27+O27+S27+U27+V27</f>
        <v>671.12</v>
      </c>
      <c r="X27" s="51" t="n">
        <f aca="false">IF(L27&lt;0,L27*-1,0)</f>
        <v>151.474101336022</v>
      </c>
      <c r="Y27" s="51" t="n">
        <f aca="false">W27+X27</f>
        <v>822.594101336022</v>
      </c>
      <c r="Z27" s="55" t="n">
        <v>0</v>
      </c>
      <c r="AA27" s="82" t="n">
        <v>87</v>
      </c>
      <c r="AB27" s="57" t="n">
        <v>53</v>
      </c>
      <c r="AC27" s="58" t="n">
        <f aca="false">AC26+1</f>
        <v>18</v>
      </c>
      <c r="AD27" s="12" t="n">
        <f aca="false">IF(I27&gt;S27,I27-S27,I27-S27)</f>
        <v>-376.55</v>
      </c>
      <c r="AE27" s="12"/>
      <c r="AF27" s="0"/>
      <c r="AG27" s="6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</row>
    <row r="28" customFormat="false" ht="11.1" hidden="false" customHeight="true" outlineLevel="0" collapsed="false">
      <c r="A28" s="58" t="n">
        <f aca="false">A27+1</f>
        <v>19</v>
      </c>
      <c r="B28" s="73" t="n">
        <v>6917.19</v>
      </c>
      <c r="C28" s="52" t="n">
        <v>351559</v>
      </c>
      <c r="D28" s="57" t="n">
        <f aca="false">C28-C27</f>
        <v>-794</v>
      </c>
      <c r="E28" s="52" t="n">
        <f aca="false">C28-152000</f>
        <v>199559</v>
      </c>
      <c r="F28" s="51" t="n">
        <f aca="false">D28/$D$2</f>
        <v>-400.302495588606</v>
      </c>
      <c r="G28" s="51" t="n">
        <v>124.53</v>
      </c>
      <c r="H28" s="56" t="n">
        <v>0</v>
      </c>
      <c r="I28" s="51" t="n">
        <f aca="false">G28+H28</f>
        <v>124.53</v>
      </c>
      <c r="J28" s="81" t="n">
        <f aca="false">IF(L28&gt;0,L28,0)</f>
        <v>143.387504411394</v>
      </c>
      <c r="K28" s="51" t="n">
        <f aca="false">I28+J28</f>
        <v>267.917504411394</v>
      </c>
      <c r="L28" s="51" t="n">
        <f aca="false">F28-(I28-W28)</f>
        <v>143.387504411394</v>
      </c>
      <c r="M28" s="51" t="n">
        <v>208.17</v>
      </c>
      <c r="N28" s="51" t="n">
        <v>0</v>
      </c>
      <c r="O28" s="51" t="n">
        <v>0</v>
      </c>
      <c r="P28" s="6" t="n">
        <f aca="false">M28-(N28+O28)</f>
        <v>208.17</v>
      </c>
      <c r="Q28" s="51" t="n">
        <v>208.17</v>
      </c>
      <c r="R28" s="51" t="n">
        <v>91.88</v>
      </c>
      <c r="S28" s="51" t="n">
        <f aca="false">SUM(P28:R28)</f>
        <v>508.22</v>
      </c>
      <c r="T28" s="52" t="n">
        <f aca="false">(I28-S28)+T27</f>
        <v>-2848.02</v>
      </c>
      <c r="U28" s="51" t="n">
        <v>73</v>
      </c>
      <c r="V28" s="51" t="n">
        <v>87</v>
      </c>
      <c r="W28" s="6" t="n">
        <f aca="false">N28+O28+S28+U28+V28</f>
        <v>668.22</v>
      </c>
      <c r="X28" s="51" t="n">
        <f aca="false">IF(L28&lt;0,L28*-1,0)</f>
        <v>0</v>
      </c>
      <c r="Y28" s="51" t="n">
        <f aca="false">W28+X28</f>
        <v>668.22</v>
      </c>
      <c r="Z28" s="55" t="n">
        <v>0</v>
      </c>
      <c r="AA28" s="82" t="n">
        <v>90</v>
      </c>
      <c r="AB28" s="57" t="n">
        <v>57</v>
      </c>
      <c r="AC28" s="58" t="n">
        <f aca="false">AC27+1</f>
        <v>19</v>
      </c>
      <c r="AD28" s="12" t="n">
        <f aca="false">IF(I28&gt;S28,I28-S28,I28-S28)</f>
        <v>-383.69</v>
      </c>
      <c r="AE28" s="12"/>
      <c r="AF28" s="0"/>
      <c r="AG28" s="6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</row>
    <row r="29" customFormat="false" ht="11.1" hidden="false" customHeight="true" outlineLevel="0" collapsed="false">
      <c r="A29" s="58" t="n">
        <f aca="false">A28+1</f>
        <v>20</v>
      </c>
      <c r="B29" s="73" t="n">
        <v>6916.92</v>
      </c>
      <c r="C29" s="52" t="n">
        <v>350417</v>
      </c>
      <c r="D29" s="57" t="n">
        <f aca="false">C29-C28</f>
        <v>-1142</v>
      </c>
      <c r="E29" s="52" t="n">
        <f aca="false">C29-152000</f>
        <v>198417</v>
      </c>
      <c r="F29" s="51" t="n">
        <f aca="false">D29/$D$2</f>
        <v>-575.749936980086</v>
      </c>
      <c r="G29" s="51" t="n">
        <v>120</v>
      </c>
      <c r="H29" s="56" t="n">
        <v>0</v>
      </c>
      <c r="I29" s="51" t="n">
        <f aca="false">G29+H29</f>
        <v>120</v>
      </c>
      <c r="J29" s="81" t="n">
        <f aca="false">IF(L29&gt;0,L29,0)</f>
        <v>0</v>
      </c>
      <c r="K29" s="51" t="n">
        <f aca="false">I29+J29</f>
        <v>120</v>
      </c>
      <c r="L29" s="51" t="n">
        <f aca="false">F29-(I29-W29)</f>
        <v>-30.6899369800858</v>
      </c>
      <c r="M29" s="51" t="n">
        <v>207.58</v>
      </c>
      <c r="N29" s="51" t="n">
        <v>0</v>
      </c>
      <c r="O29" s="51" t="n">
        <v>0</v>
      </c>
      <c r="P29" s="6" t="n">
        <f aca="false">M29-(N29+O29)</f>
        <v>207.58</v>
      </c>
      <c r="Q29" s="51" t="n">
        <v>207.58</v>
      </c>
      <c r="R29" s="51" t="n">
        <v>91.96</v>
      </c>
      <c r="S29" s="51" t="n">
        <f aca="false">SUM(P29:R29)</f>
        <v>507.12</v>
      </c>
      <c r="T29" s="52" t="n">
        <f aca="false">(I29-S29)+T28</f>
        <v>-3235.14</v>
      </c>
      <c r="U29" s="51" t="n">
        <v>71</v>
      </c>
      <c r="V29" s="51" t="n">
        <v>86.94</v>
      </c>
      <c r="W29" s="6" t="n">
        <f aca="false">N29+O29+S29+U29+V29</f>
        <v>665.06</v>
      </c>
      <c r="X29" s="51" t="n">
        <f aca="false">IF(L29&lt;0,L29*-1,0)</f>
        <v>30.6899369800858</v>
      </c>
      <c r="Y29" s="51" t="n">
        <f aca="false">W29+X29</f>
        <v>695.749936980086</v>
      </c>
      <c r="Z29" s="55" t="n">
        <v>0.08</v>
      </c>
      <c r="AA29" s="82" t="n">
        <v>84</v>
      </c>
      <c r="AB29" s="57" t="n">
        <v>57</v>
      </c>
      <c r="AC29" s="58" t="n">
        <f aca="false">AC28+1</f>
        <v>20</v>
      </c>
      <c r="AD29" s="12" t="n">
        <f aca="false">IF(I29&gt;S29,I29-S29,I29-S29)</f>
        <v>-387.12</v>
      </c>
      <c r="AE29" s="12"/>
      <c r="AF29" s="0"/>
      <c r="AG29" s="6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</row>
    <row r="30" customFormat="false" ht="11.1" hidden="false" customHeight="true" outlineLevel="0" collapsed="false">
      <c r="A30" s="58" t="n">
        <f aca="false">A29+1</f>
        <v>21</v>
      </c>
      <c r="B30" s="73" t="n">
        <v>6916.71</v>
      </c>
      <c r="C30" s="52" t="n">
        <v>349534</v>
      </c>
      <c r="D30" s="57" t="n">
        <f aca="false">C30-C29</f>
        <v>-883</v>
      </c>
      <c r="E30" s="52" t="n">
        <f aca="false">C30-152000</f>
        <v>197534</v>
      </c>
      <c r="F30" s="51" t="n">
        <f aca="false">D30/$D$2</f>
        <v>-445.172674565163</v>
      </c>
      <c r="G30" s="51" t="n">
        <v>121.81</v>
      </c>
      <c r="H30" s="56" t="n">
        <v>0</v>
      </c>
      <c r="I30" s="51" t="n">
        <f aca="false">G30+H30</f>
        <v>121.81</v>
      </c>
      <c r="J30" s="81" t="n">
        <f aca="false">IF(L30&gt;0,L30,0)</f>
        <v>94.8873254348376</v>
      </c>
      <c r="K30" s="51" t="n">
        <f aca="false">I30+J30</f>
        <v>216.697325434838</v>
      </c>
      <c r="L30" s="51" t="n">
        <f aca="false">F30-(I30-W30)</f>
        <v>94.8873254348376</v>
      </c>
      <c r="M30" s="51" t="n">
        <v>207.13</v>
      </c>
      <c r="N30" s="51" t="n">
        <v>0</v>
      </c>
      <c r="O30" s="51" t="n">
        <v>0</v>
      </c>
      <c r="P30" s="6" t="n">
        <f aca="false">M30-(N30+O30)</f>
        <v>207.13</v>
      </c>
      <c r="Q30" s="51" t="n">
        <v>207.15</v>
      </c>
      <c r="R30" s="51" t="n">
        <v>91.64</v>
      </c>
      <c r="S30" s="51" t="n">
        <f aca="false">SUM(P30:R30)</f>
        <v>505.92</v>
      </c>
      <c r="T30" s="52" t="n">
        <f aca="false">(I30-S30)+T29</f>
        <v>-3619.25</v>
      </c>
      <c r="U30" s="51" t="n">
        <v>69</v>
      </c>
      <c r="V30" s="51" t="n">
        <v>86.95</v>
      </c>
      <c r="W30" s="6" t="n">
        <f aca="false">N30+O30+S30+U30+V30</f>
        <v>661.87</v>
      </c>
      <c r="X30" s="51" t="n">
        <f aca="false">IF(L30&lt;0,L30*-1,0)</f>
        <v>0</v>
      </c>
      <c r="Y30" s="51" t="n">
        <f aca="false">W30+X30</f>
        <v>661.87</v>
      </c>
      <c r="Z30" s="55" t="n">
        <v>0.04</v>
      </c>
      <c r="AA30" s="57" t="n">
        <v>82</v>
      </c>
      <c r="AB30" s="57" t="n">
        <v>56</v>
      </c>
      <c r="AC30" s="58" t="n">
        <f aca="false">AC29+1</f>
        <v>21</v>
      </c>
      <c r="AD30" s="12" t="n">
        <f aca="false">IF(I30&gt;S30,I30-S30,I30-S30)</f>
        <v>-384.11</v>
      </c>
      <c r="AE30" s="12"/>
      <c r="AF30" s="0"/>
      <c r="AG30" s="6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</row>
    <row r="31" customFormat="false" ht="11.1" hidden="false" customHeight="true" outlineLevel="0" collapsed="false">
      <c r="A31" s="58" t="n">
        <f aca="false">A30+1</f>
        <v>22</v>
      </c>
      <c r="B31" s="73" t="n">
        <v>6916.51</v>
      </c>
      <c r="C31" s="52" t="n">
        <v>348692</v>
      </c>
      <c r="D31" s="57" t="n">
        <f aca="false">C31-C30</f>
        <v>-842</v>
      </c>
      <c r="E31" s="52" t="n">
        <f aca="false">C31-152000</f>
        <v>196692</v>
      </c>
      <c r="F31" s="51" t="n">
        <f aca="false">D31/$D$2</f>
        <v>-424.502142677086</v>
      </c>
      <c r="G31" s="51" t="n">
        <v>121.47</v>
      </c>
      <c r="H31" s="56" t="n">
        <v>0</v>
      </c>
      <c r="I31" s="51" t="n">
        <f aca="false">G31+H31</f>
        <v>121.47</v>
      </c>
      <c r="J31" s="81" t="n">
        <f aca="false">IF(L31&gt;0,L31,0)</f>
        <v>108.957857322914</v>
      </c>
      <c r="K31" s="51" t="n">
        <f aca="false">I31+J31</f>
        <v>230.427857322914</v>
      </c>
      <c r="L31" s="51" t="n">
        <f aca="false">F31-(I31-W31)</f>
        <v>108.957857322914</v>
      </c>
      <c r="M31" s="51" t="n">
        <v>206.91</v>
      </c>
      <c r="N31" s="51" t="n">
        <v>0</v>
      </c>
      <c r="O31" s="51" t="n">
        <v>0</v>
      </c>
      <c r="P31" s="6" t="n">
        <f aca="false">M31-(N31+O31)</f>
        <v>206.91</v>
      </c>
      <c r="Q31" s="51" t="n">
        <v>206.91</v>
      </c>
      <c r="R31" s="51" t="n">
        <v>91.02</v>
      </c>
      <c r="S31" s="51" t="n">
        <f aca="false">SUM(P31:R31)</f>
        <v>504.84</v>
      </c>
      <c r="T31" s="52" t="n">
        <f aca="false">(I31-S31)+T30</f>
        <v>-4002.62</v>
      </c>
      <c r="U31" s="51" t="n">
        <v>63</v>
      </c>
      <c r="V31" s="51" t="n">
        <v>87.09</v>
      </c>
      <c r="W31" s="6" t="n">
        <f aca="false">N31+O31+S31+U31+V31</f>
        <v>654.93</v>
      </c>
      <c r="X31" s="51" t="n">
        <f aca="false">IF(L31&lt;0,L31*-1,0)</f>
        <v>0</v>
      </c>
      <c r="Y31" s="51" t="n">
        <f aca="false">W31+X31</f>
        <v>654.93</v>
      </c>
      <c r="Z31" s="55" t="n">
        <v>0.34</v>
      </c>
      <c r="AA31" s="57" t="n">
        <v>82</v>
      </c>
      <c r="AB31" s="57" t="n">
        <v>54</v>
      </c>
      <c r="AC31" s="58" t="n">
        <f aca="false">AC30+1</f>
        <v>22</v>
      </c>
      <c r="AD31" s="12" t="n">
        <f aca="false">IF(I31&gt;S31,I31-S31,I31-S31)</f>
        <v>-383.37</v>
      </c>
      <c r="AE31" s="12"/>
      <c r="AF31" s="0"/>
      <c r="AG31" s="6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</row>
    <row r="32" customFormat="false" ht="11.1" hidden="false" customHeight="true" outlineLevel="0" collapsed="false">
      <c r="A32" s="58" t="n">
        <f aca="false">A31+1</f>
        <v>23</v>
      </c>
      <c r="B32" s="73" t="n">
        <v>6916.31</v>
      </c>
      <c r="C32" s="52" t="n">
        <v>347851</v>
      </c>
      <c r="D32" s="57" t="n">
        <f aca="false">C32-C31</f>
        <v>-841</v>
      </c>
      <c r="E32" s="52" t="n">
        <f aca="false">C32-152000</f>
        <v>195851</v>
      </c>
      <c r="F32" s="51" t="n">
        <f aca="false">D32/$D$2</f>
        <v>-423.997983362743</v>
      </c>
      <c r="G32" s="51" t="n">
        <v>158.33</v>
      </c>
      <c r="H32" s="56" t="n">
        <v>0</v>
      </c>
      <c r="I32" s="51" t="n">
        <f aca="false">G32+H32</f>
        <v>158.33</v>
      </c>
      <c r="J32" s="81" t="n">
        <f aca="false">IF(L32&gt;0,L32,0)</f>
        <v>68.7020166372573</v>
      </c>
      <c r="K32" s="51" t="n">
        <f aca="false">I32+J32</f>
        <v>227.032016637257</v>
      </c>
      <c r="L32" s="51" t="n">
        <f aca="false">F32-(I32-W32)</f>
        <v>68.7020166372573</v>
      </c>
      <c r="M32" s="51" t="n">
        <v>206.57</v>
      </c>
      <c r="N32" s="51" t="n">
        <v>0</v>
      </c>
      <c r="O32" s="51" t="n">
        <v>0</v>
      </c>
      <c r="P32" s="6" t="n">
        <f aca="false">M32-(N32+O32)</f>
        <v>206.57</v>
      </c>
      <c r="Q32" s="51" t="n">
        <v>206.57</v>
      </c>
      <c r="R32" s="51" t="n">
        <v>91.61</v>
      </c>
      <c r="S32" s="51" t="n">
        <f aca="false">SUM(P32:R32)</f>
        <v>504.75</v>
      </c>
      <c r="T32" s="52" t="n">
        <f aca="false">(I32-S32)+T31</f>
        <v>-4349.04</v>
      </c>
      <c r="U32" s="51" t="n">
        <v>59</v>
      </c>
      <c r="V32" s="51" t="n">
        <v>87.28</v>
      </c>
      <c r="W32" s="6" t="n">
        <f aca="false">N32+O32+S32+U32+V32</f>
        <v>651.03</v>
      </c>
      <c r="X32" s="51" t="n">
        <f aca="false">IF(L32&lt;0,L32*-1,0)</f>
        <v>0</v>
      </c>
      <c r="Y32" s="51" t="n">
        <f aca="false">W32+X32</f>
        <v>651.03</v>
      </c>
      <c r="Z32" s="55" t="n">
        <v>0.98</v>
      </c>
      <c r="AA32" s="57" t="n">
        <v>85</v>
      </c>
      <c r="AB32" s="82" t="n">
        <v>54</v>
      </c>
      <c r="AC32" s="58" t="n">
        <f aca="false">AC31+1</f>
        <v>23</v>
      </c>
      <c r="AD32" s="12" t="n">
        <f aca="false">IF(I32&gt;S32,I32-S32,I32-S32)</f>
        <v>-346.42</v>
      </c>
      <c r="AE32" s="12"/>
      <c r="AF32" s="0"/>
      <c r="AG32" s="6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</row>
    <row r="33" customFormat="false" ht="11.1" hidden="false" customHeight="true" outlineLevel="0" collapsed="false">
      <c r="A33" s="58" t="n">
        <f aca="false">A32+1</f>
        <v>24</v>
      </c>
      <c r="B33" s="73" t="n">
        <v>6916.2</v>
      </c>
      <c r="C33" s="52" t="n">
        <v>347338</v>
      </c>
      <c r="D33" s="57" t="n">
        <f aca="false">C33-C32</f>
        <v>-513</v>
      </c>
      <c r="E33" s="52" t="n">
        <f aca="false">C33-152000</f>
        <v>195338</v>
      </c>
      <c r="F33" s="51" t="n">
        <f aca="false">D33/$D$2</f>
        <v>-258.63372825813</v>
      </c>
      <c r="G33" s="51" t="n">
        <v>321.12</v>
      </c>
      <c r="H33" s="56" t="n">
        <v>0</v>
      </c>
      <c r="I33" s="51" t="n">
        <f aca="false">G33+H33</f>
        <v>321.12</v>
      </c>
      <c r="J33" s="81" t="n">
        <f aca="false">IF(L33&gt;0,L33,0)</f>
        <v>49.1262717418705</v>
      </c>
      <c r="K33" s="51" t="n">
        <f aca="false">I33+J33</f>
        <v>370.246271741871</v>
      </c>
      <c r="L33" s="51" t="n">
        <f aca="false">F33-(I33-W33)</f>
        <v>49.1262717418705</v>
      </c>
      <c r="M33" s="51" t="n">
        <v>206.18</v>
      </c>
      <c r="N33" s="51" t="n">
        <v>0</v>
      </c>
      <c r="O33" s="51" t="n">
        <v>0</v>
      </c>
      <c r="P33" s="6" t="n">
        <f aca="false">M33-(N33+O33)</f>
        <v>206.18</v>
      </c>
      <c r="Q33" s="51" t="n">
        <v>206.18</v>
      </c>
      <c r="R33" s="51" t="n">
        <v>91.57</v>
      </c>
      <c r="S33" s="51" t="n">
        <f aca="false">SUM(P33:R33)</f>
        <v>503.93</v>
      </c>
      <c r="T33" s="52" t="n">
        <f aca="false">(I33-S33)+T32</f>
        <v>-4531.85</v>
      </c>
      <c r="U33" s="51" t="n">
        <v>38</v>
      </c>
      <c r="V33" s="51" t="n">
        <v>86.95</v>
      </c>
      <c r="W33" s="6" t="n">
        <f aca="false">N33+O33+S33+U33+V33</f>
        <v>628.88</v>
      </c>
      <c r="X33" s="51" t="n">
        <f aca="false">IF(L33&lt;0,L33*-1,0)</f>
        <v>0</v>
      </c>
      <c r="Y33" s="51" t="n">
        <f aca="false">W33+X33</f>
        <v>628.88</v>
      </c>
      <c r="Z33" s="55" t="n">
        <v>0.01</v>
      </c>
      <c r="AA33" s="57" t="n">
        <v>76</v>
      </c>
      <c r="AB33" s="82" t="n">
        <v>52</v>
      </c>
      <c r="AC33" s="58" t="n">
        <f aca="false">AC32+1</f>
        <v>24</v>
      </c>
      <c r="AD33" s="12" t="n">
        <f aca="false">IF(I33&gt;S33,I33-S33,I33-S33)</f>
        <v>-182.81</v>
      </c>
      <c r="AE33" s="12"/>
      <c r="AF33" s="0"/>
      <c r="AG33" s="6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</row>
    <row r="34" customFormat="false" ht="11.1" hidden="false" customHeight="true" outlineLevel="0" collapsed="false">
      <c r="A34" s="58" t="n">
        <f aca="false">A33+1</f>
        <v>25</v>
      </c>
      <c r="B34" s="73" t="n">
        <v>6916</v>
      </c>
      <c r="C34" s="52" t="n">
        <v>346547</v>
      </c>
      <c r="D34" s="57" t="n">
        <f aca="false">C34-C33</f>
        <v>-791</v>
      </c>
      <c r="E34" s="52" t="n">
        <f aca="false">C34-152000</f>
        <v>194547</v>
      </c>
      <c r="F34" s="51" t="n">
        <f aca="false">D34/$D$2</f>
        <v>-398.790017645576</v>
      </c>
      <c r="G34" s="51" t="n">
        <v>316.66</v>
      </c>
      <c r="H34" s="56" t="n">
        <v>0</v>
      </c>
      <c r="I34" s="51" t="n">
        <f aca="false">G34+H34</f>
        <v>316.66</v>
      </c>
      <c r="J34" s="81" t="n">
        <f aca="false">IF(L34&gt;0,L34,0)</f>
        <v>0</v>
      </c>
      <c r="K34" s="51" t="n">
        <f aca="false">I34+J34</f>
        <v>316.66</v>
      </c>
      <c r="L34" s="51" t="n">
        <f aca="false">F34-(I34-W34)</f>
        <v>-77.360017645576</v>
      </c>
      <c r="M34" s="51" t="n">
        <v>205.77</v>
      </c>
      <c r="N34" s="51" t="n">
        <v>0</v>
      </c>
      <c r="O34" s="51" t="n">
        <v>0</v>
      </c>
      <c r="P34" s="6" t="n">
        <f aca="false">M34-(N34+O34)</f>
        <v>205.77</v>
      </c>
      <c r="Q34" s="51" t="n">
        <v>205.77</v>
      </c>
      <c r="R34" s="51" t="n">
        <v>91.59</v>
      </c>
      <c r="S34" s="51" t="n">
        <f aca="false">SUM(P34:R34)</f>
        <v>503.13</v>
      </c>
      <c r="T34" s="52" t="n">
        <f aca="false">(I34-S34)+T33</f>
        <v>-4718.32</v>
      </c>
      <c r="U34" s="51" t="n">
        <v>48</v>
      </c>
      <c r="V34" s="51" t="n">
        <v>86.96</v>
      </c>
      <c r="W34" s="6" t="n">
        <f aca="false">N34+O34+S34+U34+V34</f>
        <v>638.09</v>
      </c>
      <c r="X34" s="51" t="n">
        <f aca="false">IF(L34&lt;0,L34*-1,0)</f>
        <v>77.360017645576</v>
      </c>
      <c r="Y34" s="51" t="n">
        <f aca="false">W34+X34</f>
        <v>715.450017645576</v>
      </c>
      <c r="Z34" s="55" t="n">
        <v>0.05</v>
      </c>
      <c r="AA34" s="57" t="n">
        <v>79</v>
      </c>
      <c r="AB34" s="82" t="n">
        <v>50</v>
      </c>
      <c r="AC34" s="58" t="n">
        <f aca="false">AC33+1</f>
        <v>25</v>
      </c>
      <c r="AD34" s="12" t="n">
        <f aca="false">IF(I34&gt;S34,I34-S34,I34-S34)</f>
        <v>-186.47</v>
      </c>
      <c r="AE34" s="12"/>
      <c r="AF34" s="0"/>
      <c r="AG34" s="6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</row>
    <row r="35" customFormat="false" ht="11.1" hidden="false" customHeight="true" outlineLevel="0" collapsed="false">
      <c r="A35" s="58" t="n">
        <f aca="false">A34+1</f>
        <v>26</v>
      </c>
      <c r="B35" s="73" t="n">
        <v>6915.85</v>
      </c>
      <c r="C35" s="52" t="n">
        <v>345920</v>
      </c>
      <c r="D35" s="57" t="n">
        <f aca="false">C35-C34</f>
        <v>-627</v>
      </c>
      <c r="E35" s="52" t="n">
        <f aca="false">C35-152000</f>
        <v>193920</v>
      </c>
      <c r="F35" s="51" t="n">
        <f aca="false">D35/$D$2</f>
        <v>-316.107890093269</v>
      </c>
      <c r="G35" s="51" t="n">
        <v>233.51</v>
      </c>
      <c r="H35" s="56" t="n">
        <v>0</v>
      </c>
      <c r="I35" s="51" t="n">
        <f aca="false">G35+H35</f>
        <v>233.51</v>
      </c>
      <c r="J35" s="81" t="n">
        <f aca="false">IF(L35&gt;0,L35,0)</f>
        <v>72.5221099067305</v>
      </c>
      <c r="K35" s="51" t="n">
        <f aca="false">I35+J35</f>
        <v>306.03210990673</v>
      </c>
      <c r="L35" s="51" t="n">
        <f aca="false">F35-(I35-W35)</f>
        <v>72.5221099067305</v>
      </c>
      <c r="M35" s="51" t="n">
        <v>205.6</v>
      </c>
      <c r="N35" s="51" t="n">
        <v>0</v>
      </c>
      <c r="O35" s="51" t="n">
        <v>0</v>
      </c>
      <c r="P35" s="6" t="n">
        <f aca="false">M35-(N35+O35)</f>
        <v>205.6</v>
      </c>
      <c r="Q35" s="51" t="n">
        <v>205.6</v>
      </c>
      <c r="R35" s="51" t="n">
        <v>91.41</v>
      </c>
      <c r="S35" s="51" t="n">
        <f aca="false">SUM(P35:R35)</f>
        <v>502.61</v>
      </c>
      <c r="T35" s="52" t="n">
        <f aca="false">(I35-S35)+T34</f>
        <v>-4987.42</v>
      </c>
      <c r="U35" s="51" t="n">
        <v>32</v>
      </c>
      <c r="V35" s="51" t="n">
        <v>87.53</v>
      </c>
      <c r="W35" s="6" t="n">
        <f aca="false">N35+O35+S35+U35+V35</f>
        <v>622.14</v>
      </c>
      <c r="X35" s="51" t="n">
        <f aca="false">IF(L35&lt;0,L35*-1,0)</f>
        <v>0</v>
      </c>
      <c r="Y35" s="51" t="n">
        <f aca="false">W35+X35</f>
        <v>622.14</v>
      </c>
      <c r="Z35" s="55" t="n">
        <v>0.2</v>
      </c>
      <c r="AA35" s="57" t="n">
        <v>74</v>
      </c>
      <c r="AB35" s="57" t="n">
        <v>50</v>
      </c>
      <c r="AC35" s="58" t="n">
        <f aca="false">AC34+1</f>
        <v>26</v>
      </c>
      <c r="AD35" s="12" t="n">
        <f aca="false">IF(I35&gt;S35,I35-S35,I35-S35)</f>
        <v>-269.1</v>
      </c>
      <c r="AE35" s="12"/>
      <c r="AF35" s="0"/>
      <c r="AG35" s="3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</row>
    <row r="36" customFormat="false" ht="11.1" hidden="false" customHeight="true" outlineLevel="0" collapsed="false">
      <c r="A36" s="58" t="n">
        <f aca="false">A35+1</f>
        <v>27</v>
      </c>
      <c r="B36" s="73" t="n">
        <v>6915.69</v>
      </c>
      <c r="C36" s="52" t="n">
        <v>345253</v>
      </c>
      <c r="D36" s="57" t="n">
        <f aca="false">C36-C35</f>
        <v>-667</v>
      </c>
      <c r="E36" s="52" t="n">
        <f aca="false">C36-152000</f>
        <v>193253</v>
      </c>
      <c r="F36" s="51" t="n">
        <f aca="false">D36/$D$2</f>
        <v>-336.274262667003</v>
      </c>
      <c r="G36" s="51" t="n">
        <v>264.12</v>
      </c>
      <c r="H36" s="56" t="n">
        <v>0</v>
      </c>
      <c r="I36" s="51" t="n">
        <f aca="false">G36+H36</f>
        <v>264.12</v>
      </c>
      <c r="J36" s="81" t="n">
        <f aca="false">IF(L36&gt;0,L36,0)</f>
        <v>23.5057373329972</v>
      </c>
      <c r="K36" s="51" t="n">
        <f aca="false">I36+J36</f>
        <v>287.625737332997</v>
      </c>
      <c r="L36" s="51" t="n">
        <f aca="false">F36-(I36-W36)</f>
        <v>23.5057373329972</v>
      </c>
      <c r="M36" s="51" t="n">
        <v>205.56</v>
      </c>
      <c r="N36" s="51" t="n">
        <v>0</v>
      </c>
      <c r="O36" s="51" t="n">
        <v>0</v>
      </c>
      <c r="P36" s="6" t="n">
        <f aca="false">M36-(N36+O36)</f>
        <v>205.56</v>
      </c>
      <c r="Q36" s="51" t="n">
        <v>205.56</v>
      </c>
      <c r="R36" s="51" t="n">
        <v>89.62</v>
      </c>
      <c r="S36" s="51" t="n">
        <f aca="false">SUM(P36:R36)</f>
        <v>500.74</v>
      </c>
      <c r="T36" s="52" t="n">
        <f aca="false">(I36-S36)+T35</f>
        <v>-5224.04</v>
      </c>
      <c r="U36" s="51" t="n">
        <v>36</v>
      </c>
      <c r="V36" s="51" t="n">
        <v>87.16</v>
      </c>
      <c r="W36" s="6" t="n">
        <f aca="false">N36+O36+S36+U36+V36</f>
        <v>623.9</v>
      </c>
      <c r="X36" s="51" t="n">
        <f aca="false">IF(L36&lt;0,L36*-1,0)</f>
        <v>0</v>
      </c>
      <c r="Y36" s="51" t="n">
        <f aca="false">W36+X36</f>
        <v>623.9</v>
      </c>
      <c r="Z36" s="55" t="n">
        <v>0.01</v>
      </c>
      <c r="AA36" s="57" t="n">
        <v>78</v>
      </c>
      <c r="AB36" s="57" t="n">
        <v>51</v>
      </c>
      <c r="AC36" s="58" t="n">
        <f aca="false">AC35+1</f>
        <v>27</v>
      </c>
      <c r="AD36" s="12" t="n">
        <f aca="false">IF(I36&gt;S36,I36-S36,I36-S36)</f>
        <v>-236.62</v>
      </c>
      <c r="AE36" s="12"/>
      <c r="AF36" s="0"/>
      <c r="AG36" s="6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</row>
    <row r="37" customFormat="false" ht="11.1" hidden="false" customHeight="true" outlineLevel="0" collapsed="false">
      <c r="A37" s="58" t="n">
        <f aca="false">A36+1</f>
        <v>28</v>
      </c>
      <c r="B37" s="73" t="n">
        <v>6915.52</v>
      </c>
      <c r="C37" s="52" t="n">
        <v>344543</v>
      </c>
      <c r="D37" s="57" t="n">
        <f aca="false">C37-C36</f>
        <v>-710</v>
      </c>
      <c r="E37" s="52" t="n">
        <f aca="false">C37-152000</f>
        <v>192543</v>
      </c>
      <c r="F37" s="51" t="n">
        <f aca="false">D37/$D$2</f>
        <v>-357.953113183766</v>
      </c>
      <c r="G37" s="51" t="n">
        <v>252.99</v>
      </c>
      <c r="H37" s="56" t="n">
        <v>0</v>
      </c>
      <c r="I37" s="51" t="n">
        <f aca="false">G37+H37</f>
        <v>252.99</v>
      </c>
      <c r="J37" s="81" t="n">
        <f aca="false">IF(L37&gt;0,L37,0)</f>
        <v>15.766886816234</v>
      </c>
      <c r="K37" s="51" t="n">
        <f aca="false">I37+J37</f>
        <v>268.756886816234</v>
      </c>
      <c r="L37" s="51" t="n">
        <f aca="false">F37-(I37-W37)</f>
        <v>15.766886816234</v>
      </c>
      <c r="M37" s="51" t="n">
        <v>205.48</v>
      </c>
      <c r="N37" s="51" t="n">
        <v>0</v>
      </c>
      <c r="O37" s="51" t="n">
        <v>0</v>
      </c>
      <c r="P37" s="6" t="n">
        <f aca="false">M37-(N37+O37)</f>
        <v>205.48</v>
      </c>
      <c r="Q37" s="51" t="n">
        <v>205.48</v>
      </c>
      <c r="R37" s="51" t="n">
        <v>88.78</v>
      </c>
      <c r="S37" s="51" t="n">
        <f aca="false">SUM(P37:R37)</f>
        <v>499.74</v>
      </c>
      <c r="T37" s="52" t="n">
        <f aca="false">(I37-S37)+T36</f>
        <v>-5470.79</v>
      </c>
      <c r="U37" s="51" t="n">
        <v>40</v>
      </c>
      <c r="V37" s="51" t="n">
        <v>86.97</v>
      </c>
      <c r="W37" s="6" t="n">
        <f aca="false">N37+O37+S37+U37+V37</f>
        <v>626.71</v>
      </c>
      <c r="X37" s="51" t="n">
        <f aca="false">IF(L37&lt;0,L37*-1,0)</f>
        <v>0</v>
      </c>
      <c r="Y37" s="51" t="n">
        <f aca="false">W37+X37</f>
        <v>626.71</v>
      </c>
      <c r="Z37" s="55" t="n">
        <v>0</v>
      </c>
      <c r="AA37" s="57" t="n">
        <v>76</v>
      </c>
      <c r="AB37" s="57" t="n">
        <v>53</v>
      </c>
      <c r="AC37" s="58" t="n">
        <f aca="false">AC36+1</f>
        <v>28</v>
      </c>
      <c r="AD37" s="12" t="n">
        <f aca="false">IF(I37&gt;S37,I37-S37,I37-S37)</f>
        <v>-246.75</v>
      </c>
      <c r="AE37" s="12"/>
      <c r="AF37" s="0"/>
      <c r="AG37" s="6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</row>
    <row r="38" customFormat="false" ht="11.1" hidden="false" customHeight="true" outlineLevel="0" collapsed="false">
      <c r="A38" s="58" t="n">
        <f aca="false">A37+1</f>
        <v>29</v>
      </c>
      <c r="B38" s="73" t="n">
        <v>6915.35</v>
      </c>
      <c r="C38" s="52" t="n">
        <v>343833</v>
      </c>
      <c r="D38" s="57" t="n">
        <f aca="false">C38-C37</f>
        <v>-710</v>
      </c>
      <c r="E38" s="52" t="n">
        <f aca="false">C38-152000</f>
        <v>191833</v>
      </c>
      <c r="F38" s="51" t="n">
        <f aca="false">D38/$D$2</f>
        <v>-357.953113183766</v>
      </c>
      <c r="G38" s="51" t="n">
        <v>242.94</v>
      </c>
      <c r="H38" s="56" t="n">
        <v>0</v>
      </c>
      <c r="I38" s="51" t="n">
        <f aca="false">G38+H38</f>
        <v>242.94</v>
      </c>
      <c r="J38" s="81" t="n">
        <f aca="false">IF(L38&gt;0,L38,0)</f>
        <v>30.2968868162339</v>
      </c>
      <c r="K38" s="51" t="n">
        <f aca="false">I38+J38</f>
        <v>273.236886816234</v>
      </c>
      <c r="L38" s="51" t="n">
        <f aca="false">F38-(I38-W38)</f>
        <v>30.2968868162339</v>
      </c>
      <c r="M38" s="51" t="n">
        <v>205.48</v>
      </c>
      <c r="N38" s="51" t="n">
        <v>0</v>
      </c>
      <c r="O38" s="51" t="n">
        <v>0</v>
      </c>
      <c r="P38" s="6" t="n">
        <f aca="false">M38-(N38+O38)</f>
        <v>205.48</v>
      </c>
      <c r="Q38" s="51" t="n">
        <v>205.48</v>
      </c>
      <c r="R38" s="51" t="n">
        <v>88.22</v>
      </c>
      <c r="S38" s="51" t="n">
        <f aca="false">SUM(P38:R38)</f>
        <v>499.18</v>
      </c>
      <c r="T38" s="52" t="n">
        <f aca="false">(I38-S38)+T37</f>
        <v>-5727.03</v>
      </c>
      <c r="U38" s="51" t="n">
        <v>45</v>
      </c>
      <c r="V38" s="51" t="n">
        <v>87.01</v>
      </c>
      <c r="W38" s="6" t="n">
        <f aca="false">N38+O38+S38+U38+V38</f>
        <v>631.19</v>
      </c>
      <c r="X38" s="51" t="n">
        <f aca="false">IF(L38&lt;0,L38*-1,0)</f>
        <v>0</v>
      </c>
      <c r="Y38" s="51" t="n">
        <f aca="false">W38+X38</f>
        <v>631.19</v>
      </c>
      <c r="Z38" s="55" t="n">
        <v>0</v>
      </c>
      <c r="AA38" s="82" t="n">
        <v>71</v>
      </c>
      <c r="AB38" s="57" t="n">
        <v>52</v>
      </c>
      <c r="AC38" s="58" t="n">
        <f aca="false">AC37+1</f>
        <v>29</v>
      </c>
      <c r="AD38" s="12" t="n">
        <f aca="false">IF(I38&gt;S38,I38-S38,I38-S38)</f>
        <v>-256.24</v>
      </c>
      <c r="AE38" s="12"/>
      <c r="AF38" s="0"/>
      <c r="AG38" s="6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</row>
    <row r="39" customFormat="false" ht="11.1" hidden="false" customHeight="true" outlineLevel="0" collapsed="false">
      <c r="A39" s="58" t="n">
        <v>30</v>
      </c>
      <c r="B39" s="73" t="n">
        <v>6915.18</v>
      </c>
      <c r="C39" s="52" t="n">
        <v>343124</v>
      </c>
      <c r="D39" s="57" t="n">
        <f aca="false">C39-C38</f>
        <v>-709</v>
      </c>
      <c r="E39" s="52" t="n">
        <f aca="false">C39-152000</f>
        <v>191124</v>
      </c>
      <c r="F39" s="51" t="n">
        <f aca="false">D39/$D$2</f>
        <v>-357.448953869423</v>
      </c>
      <c r="G39" s="51" t="n">
        <v>290.24</v>
      </c>
      <c r="H39" s="56" t="n">
        <v>0</v>
      </c>
      <c r="I39" s="51" t="n">
        <f aca="false">G39+H39</f>
        <v>290.24</v>
      </c>
      <c r="J39" s="81" t="n">
        <f aca="false">IF(L39&gt;0,L39,0)</f>
        <v>0</v>
      </c>
      <c r="K39" s="51" t="n">
        <f aca="false">I39+J39</f>
        <v>290.24</v>
      </c>
      <c r="L39" s="51" t="n">
        <f aca="false">F39-(I39-W39)</f>
        <v>-22.0089538694227</v>
      </c>
      <c r="M39" s="51" t="n">
        <v>205.17</v>
      </c>
      <c r="N39" s="51" t="n">
        <v>0</v>
      </c>
      <c r="O39" s="51" t="n">
        <v>0</v>
      </c>
      <c r="P39" s="6" t="n">
        <f aca="false">M39-(N39+O39)</f>
        <v>205.17</v>
      </c>
      <c r="Q39" s="51" t="n">
        <v>205.17</v>
      </c>
      <c r="R39" s="51" t="n">
        <v>88.37</v>
      </c>
      <c r="S39" s="51" t="n">
        <f aca="false">SUM(P39:R39)</f>
        <v>498.71</v>
      </c>
      <c r="T39" s="52" t="n">
        <f aca="false">(I39-S39)+T38</f>
        <v>-5935.5</v>
      </c>
      <c r="U39" s="51" t="n">
        <v>40</v>
      </c>
      <c r="V39" s="51" t="n">
        <v>86.97</v>
      </c>
      <c r="W39" s="6" t="n">
        <f aca="false">N39+O39+S39+U39+V39</f>
        <v>625.68</v>
      </c>
      <c r="X39" s="51" t="n">
        <f aca="false">IF(L39&lt;0,L39*-1,0)</f>
        <v>22.0089538694227</v>
      </c>
      <c r="Y39" s="51" t="n">
        <f aca="false">W39+X39</f>
        <v>647.688953869423</v>
      </c>
      <c r="Z39" s="55" t="n">
        <v>0</v>
      </c>
      <c r="AA39" s="82" t="n">
        <v>82</v>
      </c>
      <c r="AB39" s="57" t="n">
        <v>49</v>
      </c>
      <c r="AC39" s="58" t="n">
        <v>30</v>
      </c>
      <c r="AD39" s="12" t="n">
        <f aca="false">IF(I39&gt;S39,I39-S39,I39-S39)</f>
        <v>-208.47</v>
      </c>
      <c r="AE39" s="12"/>
      <c r="AF39" s="0"/>
      <c r="AG39" s="6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</row>
    <row r="40" customFormat="false" ht="11.25" hidden="false" customHeight="true" outlineLevel="0" collapsed="false">
      <c r="A40" s="58" t="n">
        <v>31</v>
      </c>
      <c r="B40" s="73" t="n">
        <v>6915.04</v>
      </c>
      <c r="C40" s="52" t="n">
        <v>342539</v>
      </c>
      <c r="D40" s="57" t="n">
        <f aca="false">C40-C39</f>
        <v>-585</v>
      </c>
      <c r="E40" s="52" t="n">
        <f aca="false">C40-152000</f>
        <v>190539</v>
      </c>
      <c r="F40" s="51" t="n">
        <f aca="false">D40/$D$2</f>
        <v>-294.933198890849</v>
      </c>
      <c r="G40" s="51" t="n">
        <v>242.4</v>
      </c>
      <c r="H40" s="56" t="n">
        <v>0</v>
      </c>
      <c r="I40" s="51" t="n">
        <f aca="false">G40+H40</f>
        <v>242.4</v>
      </c>
      <c r="J40" s="81" t="n">
        <f aca="false">IF(L40&gt;0,L40,0)</f>
        <v>60.3568011091506</v>
      </c>
      <c r="K40" s="51" t="n">
        <f aca="false">I40+J40</f>
        <v>302.756801109151</v>
      </c>
      <c r="L40" s="51" t="n">
        <f aca="false">F40-(I40-W40)</f>
        <v>60.3568011091506</v>
      </c>
      <c r="M40" s="51" t="n">
        <v>186.68</v>
      </c>
      <c r="N40" s="51" t="n">
        <v>0</v>
      </c>
      <c r="O40" s="51" t="n">
        <v>0</v>
      </c>
      <c r="P40" s="6" t="n">
        <f aca="false">M40-(N40+O40)</f>
        <v>186.68</v>
      </c>
      <c r="Q40" s="51" t="n">
        <v>186.68</v>
      </c>
      <c r="R40" s="51" t="n">
        <v>89.11</v>
      </c>
      <c r="S40" s="51" t="n">
        <f aca="false">SUM(P40:R40)</f>
        <v>462.47</v>
      </c>
      <c r="T40" s="52" t="n">
        <f aca="false">(I40-S40)+T39</f>
        <v>-6155.57</v>
      </c>
      <c r="U40" s="51" t="n">
        <v>48</v>
      </c>
      <c r="V40" s="51" t="n">
        <v>87.22</v>
      </c>
      <c r="W40" s="6" t="n">
        <f aca="false">N40+O40+S40+U40+V40</f>
        <v>597.69</v>
      </c>
      <c r="X40" s="51" t="n">
        <f aca="false">IF(L40&lt;0,L40*-1,0)</f>
        <v>0</v>
      </c>
      <c r="Y40" s="51" t="n">
        <f aca="false">W40+X40</f>
        <v>597.69</v>
      </c>
      <c r="Z40" s="55" t="n">
        <v>0.48</v>
      </c>
      <c r="AA40" s="82" t="n">
        <v>83</v>
      </c>
      <c r="AB40" s="57" t="n">
        <v>50</v>
      </c>
      <c r="AC40" s="58" t="n">
        <v>31</v>
      </c>
      <c r="AD40" s="12" t="n">
        <f aca="false">IF(I40&gt;S40,I40-S40,I40-S40)</f>
        <v>-220.07</v>
      </c>
      <c r="AE40" s="107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</row>
    <row r="41" customFormat="false" ht="3" hidden="false" customHeight="true" outlineLevel="0" collapsed="false">
      <c r="A41" s="74"/>
      <c r="B41" s="74"/>
      <c r="C41" s="76"/>
      <c r="D41" s="74"/>
      <c r="E41" s="76"/>
      <c r="F41" s="74"/>
      <c r="G41" s="74"/>
      <c r="H41" s="78"/>
      <c r="I41" s="74"/>
      <c r="J41" s="74"/>
      <c r="K41" s="74"/>
      <c r="L41" s="74"/>
      <c r="M41" s="74"/>
      <c r="N41" s="74"/>
      <c r="O41" s="74" t="n">
        <v>0</v>
      </c>
      <c r="P41" s="74"/>
      <c r="Q41" s="74"/>
      <c r="R41" s="74"/>
      <c r="S41" s="74"/>
      <c r="T41" s="76"/>
      <c r="U41" s="74"/>
      <c r="V41" s="74"/>
      <c r="W41" s="74"/>
      <c r="X41" s="74"/>
      <c r="Y41" s="74"/>
      <c r="Z41" s="112" t="n">
        <v>0</v>
      </c>
      <c r="AA41" s="79"/>
      <c r="AB41" s="79"/>
      <c r="AC41" s="80"/>
      <c r="AD41" s="92"/>
      <c r="AE41" s="92"/>
      <c r="AF41" s="93"/>
    </row>
    <row r="42" customFormat="false" ht="11.1" hidden="false" customHeight="true" outlineLevel="0" collapsed="false">
      <c r="A42" s="51" t="s">
        <v>44</v>
      </c>
      <c r="B42" s="51"/>
      <c r="C42" s="52"/>
      <c r="D42" s="52"/>
      <c r="E42" s="52"/>
      <c r="F42" s="52" t="n">
        <f aca="false">SUM(F10:F40)</f>
        <v>-13897.151499874</v>
      </c>
      <c r="G42" s="52" t="n">
        <f aca="false">SUM(G10:G40)</f>
        <v>5861.73</v>
      </c>
      <c r="H42" s="56" t="n">
        <f aca="false">SUM(H10:H40)</f>
        <v>0</v>
      </c>
      <c r="I42" s="52" t="n">
        <f aca="false">SUM(I10:I40)</f>
        <v>5861.73</v>
      </c>
      <c r="J42" s="52" t="n">
        <f aca="false">SUM(J10:J40)</f>
        <v>933.818726997732</v>
      </c>
      <c r="K42" s="52" t="n">
        <f aca="false">SUM(K10:K40)</f>
        <v>6795.54872699773</v>
      </c>
      <c r="L42" s="52" t="n">
        <f aca="false">SUM(L10:L40)</f>
        <v>-170.26149987396</v>
      </c>
      <c r="M42" s="52" t="n">
        <f aca="false">SUM(M10:M40)</f>
        <v>6103.93</v>
      </c>
      <c r="N42" s="52" t="n">
        <f aca="false">SUM(N10:N40)</f>
        <v>0</v>
      </c>
      <c r="O42" s="52" t="n">
        <f aca="false">SUM(O10:O40)</f>
        <v>0</v>
      </c>
      <c r="P42" s="52" t="n">
        <f aca="false">SUM(P10:P40)</f>
        <v>6103.93</v>
      </c>
      <c r="Q42" s="52" t="n">
        <f aca="false">SUM(Q10:Q40)</f>
        <v>6103.95</v>
      </c>
      <c r="R42" s="52" t="n">
        <f aca="false">SUM(R10:R40)</f>
        <v>2835.37</v>
      </c>
      <c r="S42" s="52" t="n">
        <f aca="false">SUM(S10:S40)</f>
        <v>15043.25</v>
      </c>
      <c r="T42" s="52"/>
      <c r="U42" s="52" t="n">
        <f aca="false">SUM(U10:U40)</f>
        <v>1956</v>
      </c>
      <c r="V42" s="52" t="n">
        <f aca="false">SUM(V10:V40)</f>
        <v>2589.37</v>
      </c>
      <c r="W42" s="52" t="n">
        <f aca="false">SUM(W10:W40)</f>
        <v>19588.62</v>
      </c>
      <c r="X42" s="52" t="n">
        <f aca="false">SUM(X10:X40)</f>
        <v>1104.08022687169</v>
      </c>
      <c r="Y42" s="52" t="n">
        <f aca="false">SUM(Y10:Y40)</f>
        <v>20692.7002268717</v>
      </c>
      <c r="Z42" s="55" t="n">
        <f aca="false">SUM(Z10:Z40)</f>
        <v>2.39</v>
      </c>
      <c r="AA42" s="57" t="n">
        <f aca="false">AVERAGE(AA10:AA40)</f>
        <v>83.258064516129</v>
      </c>
      <c r="AB42" s="57" t="n">
        <f aca="false">AVERAGE(AB10:AB40)</f>
        <v>52.9032258064516</v>
      </c>
      <c r="AC42" s="58" t="s">
        <v>69</v>
      </c>
      <c r="AD42" s="92"/>
      <c r="AE42" s="92"/>
      <c r="AF42" s="93"/>
    </row>
    <row r="43" customFormat="false" ht="11.1" hidden="false" customHeight="true" outlineLevel="0" collapsed="false">
      <c r="A43" s="51" t="s">
        <v>46</v>
      </c>
      <c r="B43" s="51"/>
      <c r="C43" s="52"/>
      <c r="D43" s="52" t="n">
        <f aca="false">SUM(D10:D40)</f>
        <v>-27565</v>
      </c>
      <c r="E43" s="52"/>
      <c r="F43" s="52" t="n">
        <f aca="false">F42*$D$2</f>
        <v>-27565</v>
      </c>
      <c r="G43" s="52" t="n">
        <f aca="false">G42*$D$2</f>
        <v>11626.741455</v>
      </c>
      <c r="H43" s="56" t="n">
        <f aca="false">H42*$D$2</f>
        <v>0</v>
      </c>
      <c r="I43" s="52" t="n">
        <f aca="false">I42*$D$2</f>
        <v>11626.741455</v>
      </c>
      <c r="J43" s="52" t="n">
        <f aca="false">J42*$D$2</f>
        <v>1852.229445</v>
      </c>
      <c r="K43" s="52" t="n">
        <f aca="false">K42*$D$2</f>
        <v>13478.9709</v>
      </c>
      <c r="L43" s="52" t="n">
        <f aca="false">L42*$D$2</f>
        <v>-337.713684999999</v>
      </c>
      <c r="M43" s="52" t="n">
        <f aca="false">M42*$D$2</f>
        <v>12107.145155</v>
      </c>
      <c r="N43" s="52" t="n">
        <f aca="false">N42*$D$2</f>
        <v>0</v>
      </c>
      <c r="O43" s="52" t="n">
        <f aca="false">O42*$D$2</f>
        <v>0</v>
      </c>
      <c r="P43" s="52" t="n">
        <f aca="false">P42*$D$2</f>
        <v>12107.145155</v>
      </c>
      <c r="Q43" s="52" t="n">
        <f aca="false">Q42*$D$2</f>
        <v>12107.184825</v>
      </c>
      <c r="R43" s="52" t="n">
        <f aca="false">R42*$D$2</f>
        <v>5623.956395</v>
      </c>
      <c r="S43" s="52" t="n">
        <f aca="false">S42*$D$2</f>
        <v>29838.286375</v>
      </c>
      <c r="T43" s="52"/>
      <c r="U43" s="52" t="n">
        <f aca="false">U42*$D$2</f>
        <v>3879.726</v>
      </c>
      <c r="V43" s="52" t="n">
        <f aca="false">V42*$D$2</f>
        <v>5136.015395</v>
      </c>
      <c r="W43" s="52" t="n">
        <f aca="false">W42*$D$2</f>
        <v>38854.02777</v>
      </c>
      <c r="X43" s="52" t="n">
        <f aca="false">X42*$D$2</f>
        <v>2189.94313</v>
      </c>
      <c r="Y43" s="52" t="n">
        <f aca="false">Y42*$D$2</f>
        <v>41043.9709</v>
      </c>
      <c r="Z43" s="55"/>
      <c r="AA43" s="57" t="n">
        <f aca="false">MAX(AA10:AA40)</f>
        <v>94</v>
      </c>
      <c r="AB43" s="57" t="n">
        <f aca="false">MAX(AB10:AB40)</f>
        <v>61</v>
      </c>
      <c r="AC43" s="58" t="s">
        <v>47</v>
      </c>
      <c r="AD43" s="92"/>
      <c r="AE43" s="92"/>
      <c r="AF43" s="93"/>
    </row>
    <row r="44" customFormat="false" ht="3" hidden="false" customHeight="true" outlineLevel="0" collapsed="false">
      <c r="A44" s="74"/>
      <c r="B44" s="74"/>
      <c r="C44" s="76"/>
      <c r="D44" s="76"/>
      <c r="E44" s="76"/>
      <c r="F44" s="76"/>
      <c r="G44" s="76"/>
      <c r="H44" s="78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55"/>
      <c r="AA44" s="57"/>
      <c r="AB44" s="57"/>
      <c r="AC44" s="58"/>
      <c r="AD44" s="92"/>
      <c r="AE44" s="92"/>
      <c r="AF44" s="93"/>
    </row>
    <row r="45" customFormat="false" ht="11.1" hidden="false" customHeight="true" outlineLevel="0" collapsed="false">
      <c r="A45" s="51" t="s">
        <v>48</v>
      </c>
      <c r="B45" s="51"/>
      <c r="C45" s="52"/>
      <c r="D45" s="52"/>
      <c r="E45" s="52"/>
      <c r="F45" s="52" t="n">
        <f aca="false">F7+F42</f>
        <v>-5936.98008570709</v>
      </c>
      <c r="G45" s="52" t="n">
        <f aca="false">G7+G42</f>
        <v>87986.69</v>
      </c>
      <c r="H45" s="56" t="n">
        <f aca="false">H7+H42</f>
        <v>2089.41</v>
      </c>
      <c r="I45" s="52" t="n">
        <f aca="false">I7+I42</f>
        <v>90076.1</v>
      </c>
      <c r="J45" s="52" t="n">
        <f aca="false">J7+J42</f>
        <v>5903.6896370053</v>
      </c>
      <c r="K45" s="52" t="n">
        <f aca="false">K7+K42</f>
        <v>95979.7896370053</v>
      </c>
      <c r="L45" s="52" t="n">
        <f aca="false">L7+L42</f>
        <v>958.669914292917</v>
      </c>
      <c r="M45" s="52" t="n">
        <f aca="false">M7+M42</f>
        <v>23647.62</v>
      </c>
      <c r="N45" s="52" t="n">
        <f aca="false">N7+N42</f>
        <v>0</v>
      </c>
      <c r="O45" s="52" t="n">
        <f aca="false">O7+O42</f>
        <v>0</v>
      </c>
      <c r="P45" s="52" t="n">
        <f aca="false">P7+P42</f>
        <v>23647.62</v>
      </c>
      <c r="Q45" s="52" t="n">
        <f aca="false">Q7+Q42</f>
        <v>19511.63</v>
      </c>
      <c r="R45" s="52" t="n">
        <f aca="false">R7+R42</f>
        <v>9545.12</v>
      </c>
      <c r="S45" s="52" t="n">
        <f aca="false">S7+S42</f>
        <v>52704.37</v>
      </c>
      <c r="T45" s="139" t="n">
        <f aca="false">T40</f>
        <v>-6155.57</v>
      </c>
      <c r="U45" s="52" t="n">
        <f aca="false">U7+U42</f>
        <v>5411</v>
      </c>
      <c r="V45" s="52" t="n">
        <f aca="false">V7+V42</f>
        <v>38856.38</v>
      </c>
      <c r="W45" s="52" t="n">
        <f aca="false">W7+W42</f>
        <v>96971.75</v>
      </c>
      <c r="X45" s="52" t="n">
        <f aca="false">X7+X42</f>
        <v>4945.01972271238</v>
      </c>
      <c r="Y45" s="52" t="n">
        <f aca="false">Y7+Y42</f>
        <v>101916.769722712</v>
      </c>
      <c r="Z45" s="55"/>
      <c r="AA45" s="57" t="n">
        <f aca="false">MIN(AA10:AA40)</f>
        <v>71</v>
      </c>
      <c r="AB45" s="57" t="n">
        <f aca="false">MIN(AB10:AB40)</f>
        <v>47</v>
      </c>
      <c r="AC45" s="58" t="s">
        <v>49</v>
      </c>
      <c r="AD45" s="92"/>
      <c r="AE45" s="92"/>
      <c r="AF45" s="93"/>
    </row>
    <row r="46" customFormat="false" ht="11.1" hidden="false" customHeight="true" outlineLevel="0" collapsed="false">
      <c r="A46" s="51" t="s">
        <v>50</v>
      </c>
      <c r="B46" s="51"/>
      <c r="C46" s="52"/>
      <c r="D46" s="52"/>
      <c r="E46" s="52"/>
      <c r="F46" s="52" t="n">
        <f aca="false">F45*$D$2</f>
        <v>-11776</v>
      </c>
      <c r="G46" s="52" t="n">
        <f aca="false">G45*$D$2</f>
        <v>174521.599615</v>
      </c>
      <c r="H46" s="56" t="n">
        <f aca="false">H45*$D$2</f>
        <v>4144.344735</v>
      </c>
      <c r="I46" s="52" t="n">
        <f aca="false">I45*$D$2</f>
        <v>178665.94435</v>
      </c>
      <c r="J46" s="52" t="n">
        <f aca="false">J45*$D$2</f>
        <v>11709.968395</v>
      </c>
      <c r="K46" s="52" t="n">
        <f aca="false">K45*$D$2</f>
        <v>190375.912745</v>
      </c>
      <c r="L46" s="52" t="n">
        <f aca="false">L45*$D$2</f>
        <v>1901.521775</v>
      </c>
      <c r="M46" s="52" t="n">
        <f aca="false">M45*$D$2</f>
        <v>46905.05427</v>
      </c>
      <c r="N46" s="52" t="n">
        <f aca="false">N45*$D$2</f>
        <v>0</v>
      </c>
      <c r="O46" s="52" t="n">
        <f aca="false">O45*$D$2</f>
        <v>0</v>
      </c>
      <c r="P46" s="52" t="n">
        <f aca="false">P45*$D$2</f>
        <v>46905.05427</v>
      </c>
      <c r="Q46" s="52" t="n">
        <f aca="false">Q45*$D$2</f>
        <v>38701.318105</v>
      </c>
      <c r="R46" s="52" t="n">
        <f aca="false">R45*$D$2</f>
        <v>18932.74552</v>
      </c>
      <c r="S46" s="52" t="n">
        <f aca="false">S45*$D$2</f>
        <v>104539.117895</v>
      </c>
      <c r="T46" s="52" t="n">
        <f aca="false">T45*$D$2</f>
        <v>-12209.573095</v>
      </c>
      <c r="U46" s="52" t="n">
        <f aca="false">U45*$D$2</f>
        <v>10732.7185</v>
      </c>
      <c r="V46" s="52" t="n">
        <f aca="false">V45*$D$2</f>
        <v>77071.62973</v>
      </c>
      <c r="W46" s="52" t="n">
        <f aca="false">W45*$D$2</f>
        <v>192343.466125</v>
      </c>
      <c r="X46" s="52" t="n">
        <f aca="false">X45*$D$2</f>
        <v>9808.44662</v>
      </c>
      <c r="Y46" s="52" t="n">
        <f aca="false">Y45*$D$2</f>
        <v>202151.912745</v>
      </c>
      <c r="Z46" s="55"/>
      <c r="AA46" s="57"/>
      <c r="AB46" s="57"/>
      <c r="AC46" s="58"/>
      <c r="AD46" s="92"/>
      <c r="AE46" s="92"/>
      <c r="AF46" s="93"/>
    </row>
    <row r="47" customFormat="false" ht="3" hidden="false" customHeight="true" outlineLevel="0" collapsed="false">
      <c r="A47" s="74"/>
      <c r="B47" s="74"/>
      <c r="C47" s="76"/>
      <c r="D47" s="76"/>
      <c r="E47" s="76"/>
      <c r="F47" s="76"/>
      <c r="G47" s="76"/>
      <c r="H47" s="78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112"/>
      <c r="AA47" s="57"/>
      <c r="AB47" s="57"/>
      <c r="AC47" s="58"/>
      <c r="AD47" s="92"/>
      <c r="AE47" s="92"/>
      <c r="AF47" s="93"/>
    </row>
    <row r="48" customFormat="false" ht="11.1" hidden="false" customHeight="true" outlineLevel="0" collapsed="false">
      <c r="A48" s="51" t="s">
        <v>51</v>
      </c>
      <c r="B48" s="51"/>
      <c r="C48" s="52"/>
      <c r="D48" s="52"/>
      <c r="E48" s="52"/>
      <c r="F48" s="52" t="n">
        <f aca="false">F8+F42</f>
        <v>8864.63322409881</v>
      </c>
      <c r="G48" s="52" t="n">
        <f aca="false">G8+G42</f>
        <v>109838.19</v>
      </c>
      <c r="H48" s="56" t="n">
        <f aca="false">H8+H42</f>
        <v>2809.88</v>
      </c>
      <c r="I48" s="52" t="n">
        <f aca="false">I8+I42</f>
        <v>112448.97</v>
      </c>
      <c r="J48" s="52" t="n">
        <f aca="false">J8+J42</f>
        <v>17006.5201209982</v>
      </c>
      <c r="K48" s="52" t="n">
        <f aca="false">K8+K42</f>
        <v>129455.490120998</v>
      </c>
      <c r="L48" s="52" t="n">
        <f aca="false">L8+L42</f>
        <v>10559.1832240988</v>
      </c>
      <c r="M48" s="52" t="n">
        <f aca="false">M8+M42</f>
        <v>25696.88</v>
      </c>
      <c r="N48" s="52" t="n">
        <f aca="false">N8+N42</f>
        <v>0.08</v>
      </c>
      <c r="O48" s="52" t="n">
        <f aca="false">O8+O42</f>
        <v>0</v>
      </c>
      <c r="P48" s="52" t="n">
        <f aca="false">P8+P42</f>
        <v>25696.8</v>
      </c>
      <c r="Q48" s="52" t="n">
        <f aca="false">Q8+Q42</f>
        <v>22230.98</v>
      </c>
      <c r="R48" s="52" t="n">
        <f aca="false">R8+R42</f>
        <v>10010.49</v>
      </c>
      <c r="S48" s="52" t="n">
        <f aca="false">S8+S42</f>
        <v>57938.27</v>
      </c>
      <c r="T48" s="52" t="n">
        <f aca="false">T45</f>
        <v>-6155.57</v>
      </c>
      <c r="U48" s="52" t="n">
        <f aca="false">U8+U42</f>
        <v>5411</v>
      </c>
      <c r="V48" s="52" t="n">
        <f aca="false">V8+V42</f>
        <v>50869.17</v>
      </c>
      <c r="W48" s="52" t="n">
        <f aca="false">W8+W42</f>
        <v>114143.52</v>
      </c>
      <c r="X48" s="52" t="n">
        <f aca="false">X8+X42</f>
        <v>6447.33689689942</v>
      </c>
      <c r="Y48" s="52" t="n">
        <f aca="false">Y8+Y42</f>
        <v>120590.856896899</v>
      </c>
      <c r="Z48" s="55" t="n">
        <f aca="false">Z8+Z42</f>
        <v>8.75</v>
      </c>
      <c r="AA48" s="57"/>
      <c r="AB48" s="57"/>
      <c r="AC48" s="58"/>
      <c r="AD48" s="92"/>
      <c r="AE48" s="92"/>
      <c r="AF48" s="93"/>
    </row>
    <row r="49" customFormat="false" ht="11.1" hidden="false" customHeight="true" outlineLevel="0" collapsed="false">
      <c r="A49" s="51" t="s">
        <v>52</v>
      </c>
      <c r="B49" s="51"/>
      <c r="C49" s="52"/>
      <c r="D49" s="52" t="n">
        <f aca="false">D8+D43</f>
        <v>17583</v>
      </c>
      <c r="E49" s="52" t="n">
        <f aca="false">E40</f>
        <v>190539</v>
      </c>
      <c r="F49" s="52" t="n">
        <f aca="false">F48*$D$2</f>
        <v>17583</v>
      </c>
      <c r="G49" s="52" t="n">
        <f aca="false">G48*$D$2</f>
        <v>217864.049865</v>
      </c>
      <c r="H49" s="56" t="n">
        <f aca="false">H48*$D$2</f>
        <v>5573.39698</v>
      </c>
      <c r="I49" s="52" t="n">
        <f aca="false">I48*$D$2</f>
        <v>223042.531995</v>
      </c>
      <c r="J49" s="52" t="n">
        <f aca="false">J48*$D$2</f>
        <v>33732.43266</v>
      </c>
      <c r="K49" s="52" t="n">
        <f aca="false">K48*$D$2</f>
        <v>256774.964655</v>
      </c>
      <c r="L49" s="52" t="n">
        <f aca="false">L48*$D$2</f>
        <v>20944.139925</v>
      </c>
      <c r="M49" s="52" t="n">
        <f aca="false">M48*$D$2</f>
        <v>50969.76148</v>
      </c>
      <c r="N49" s="52" t="n">
        <f aca="false">N48*$D$2</f>
        <v>0.15868</v>
      </c>
      <c r="O49" s="52" t="n">
        <f aca="false">O48*$D$2</f>
        <v>0</v>
      </c>
      <c r="P49" s="52" t="n">
        <f aca="false">P48*$D$2</f>
        <v>50969.6028</v>
      </c>
      <c r="Q49" s="52" t="n">
        <f aca="false">Q48*$D$2</f>
        <v>44095.14883</v>
      </c>
      <c r="R49" s="52" t="n">
        <f aca="false">R48*$D$2</f>
        <v>19855.806915</v>
      </c>
      <c r="S49" s="52" t="n">
        <f aca="false">S48*$D$2</f>
        <v>114920.558545</v>
      </c>
      <c r="T49" s="52" t="n">
        <f aca="false">T48*$D$2</f>
        <v>-12209.573095</v>
      </c>
      <c r="U49" s="52" t="n">
        <f aca="false">U48*$D$2</f>
        <v>10732.7185</v>
      </c>
      <c r="V49" s="52" t="n">
        <f aca="false">V48*$D$2</f>
        <v>100898.998695</v>
      </c>
      <c r="W49" s="52" t="n">
        <f aca="false">W48*$D$2</f>
        <v>226403.67192</v>
      </c>
      <c r="X49" s="52" t="n">
        <f aca="false">X48*$D$2</f>
        <v>12788.292735</v>
      </c>
      <c r="Y49" s="52" t="n">
        <f aca="false">Y48*$D$2</f>
        <v>239191.964655</v>
      </c>
      <c r="Z49" s="55"/>
      <c r="AA49" s="57"/>
      <c r="AB49" s="57"/>
      <c r="AC49" s="58"/>
      <c r="AD49" s="92"/>
      <c r="AE49" s="92"/>
      <c r="AF49" s="93"/>
    </row>
    <row r="50" customFormat="false" ht="3" hidden="false" customHeight="true" outlineLevel="0" collapsed="false">
      <c r="A50" s="74"/>
      <c r="B50" s="74"/>
      <c r="C50" s="76"/>
      <c r="D50" s="74"/>
      <c r="E50" s="76"/>
      <c r="F50" s="74"/>
      <c r="G50" s="74"/>
      <c r="H50" s="78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6"/>
      <c r="U50" s="74"/>
      <c r="V50" s="74"/>
      <c r="W50" s="74"/>
      <c r="X50" s="74"/>
      <c r="Y50" s="74"/>
      <c r="Z50" s="55"/>
      <c r="AA50" s="57"/>
      <c r="AB50" s="57"/>
      <c r="AC50" s="58"/>
      <c r="AD50" s="92"/>
      <c r="AE50" s="92"/>
      <c r="AF50" s="93"/>
    </row>
    <row r="51" customFormat="false" ht="11.1" hidden="false" customHeight="true" outlineLevel="0" collapsed="false">
      <c r="A51" s="82"/>
      <c r="B51" s="82"/>
      <c r="C51" s="52"/>
      <c r="D51" s="82"/>
      <c r="E51" s="52"/>
      <c r="F51" s="82"/>
      <c r="G51" s="85"/>
      <c r="H51" s="56"/>
      <c r="I51" s="82"/>
      <c r="J51" s="82"/>
      <c r="K51" s="82"/>
      <c r="L51" s="82"/>
      <c r="M51" s="81"/>
      <c r="N51" s="81"/>
      <c r="O51" s="81"/>
      <c r="P51" s="82"/>
      <c r="Q51" s="82"/>
      <c r="R51" s="82"/>
      <c r="S51" s="52"/>
      <c r="T51" s="82"/>
      <c r="U51" s="82"/>
      <c r="V51" s="52"/>
      <c r="W51" s="82"/>
      <c r="X51" s="82"/>
      <c r="Y51" s="55"/>
      <c r="Z51" s="57"/>
      <c r="AA51" s="57"/>
      <c r="AB51" s="58"/>
      <c r="AC51" s="97"/>
      <c r="AD51" s="97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W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9" topLeftCell="D15" activePane="bottomRight" state="frozen"/>
      <selection pane="topLeft" activeCell="A1" activeCellId="0" sqref="A1"/>
      <selection pane="topRight" activeCell="D1" activeCellId="0" sqref="D1"/>
      <selection pane="bottomLeft" activeCell="A15" activeCellId="0" sqref="A15"/>
      <selection pane="bottomRight" activeCell="S25" activeCellId="0" sqref="S25"/>
    </sheetView>
  </sheetViews>
  <sheetFormatPr defaultColWidth="9.328125" defaultRowHeight="11.1" zeroHeight="false" outlineLevelRow="0" outlineLevelCol="0"/>
  <cols>
    <col collapsed="false" customWidth="true" hidden="false" outlineLevel="0" max="1" min="1" style="44" width="5.66"/>
    <col collapsed="false" customWidth="true" hidden="false" outlineLevel="0" max="2" min="2" style="44" width="7.82"/>
    <col collapsed="false" customWidth="true" hidden="false" outlineLevel="0" max="3" min="3" style="45" width="7.66"/>
    <col collapsed="false" customWidth="true" hidden="false" outlineLevel="0" max="4" min="4" style="44" width="6.99"/>
    <col collapsed="false" customWidth="true" hidden="false" outlineLevel="0" max="5" min="5" style="45" width="7.66"/>
    <col collapsed="false" customWidth="true" hidden="false" outlineLevel="0" max="6" min="6" style="44" width="7.66"/>
    <col collapsed="false" customWidth="true" hidden="false" outlineLevel="0" max="7" min="7" style="44" width="7.16"/>
    <col collapsed="false" customWidth="true" hidden="false" outlineLevel="0" max="8" min="8" style="140" width="6.66"/>
    <col collapsed="false" customWidth="true" hidden="false" outlineLevel="0" max="9" min="9" style="44" width="7.99"/>
    <col collapsed="false" customWidth="true" hidden="false" outlineLevel="0" max="10" min="10" style="44" width="6.66"/>
    <col collapsed="false" customWidth="true" hidden="false" outlineLevel="0" max="12" min="11" style="44" width="7.16"/>
    <col collapsed="false" customWidth="true" hidden="false" outlineLevel="0" max="13" min="13" style="47" width="6.16"/>
    <col collapsed="false" customWidth="true" hidden="true" outlineLevel="0" max="14" min="14" style="47" width="7.32"/>
    <col collapsed="false" customWidth="true" hidden="true" outlineLevel="0" max="15" min="15" style="47" width="6.49"/>
    <col collapsed="false" customWidth="true" hidden="true" outlineLevel="0" max="16" min="16" style="44" width="7.16"/>
    <col collapsed="false" customWidth="true" hidden="false" outlineLevel="0" max="17" min="17" style="44" width="6.32"/>
    <col collapsed="false" customWidth="true" hidden="false" outlineLevel="0" max="18" min="18" style="44" width="5.82"/>
    <col collapsed="false" customWidth="true" hidden="false" outlineLevel="0" max="19" min="19" style="45" width="6.82"/>
    <col collapsed="false" customWidth="true" hidden="false" outlineLevel="0" max="20" min="20" style="44" width="7.66"/>
    <col collapsed="false" customWidth="true" hidden="false" outlineLevel="0" max="21" min="21" style="44" width="5.99"/>
    <col collapsed="false" customWidth="true" hidden="false" outlineLevel="0" max="22" min="22" style="45" width="6.66"/>
    <col collapsed="false" customWidth="true" hidden="false" outlineLevel="0" max="24" min="23" style="44" width="7.82"/>
    <col collapsed="false" customWidth="true" hidden="false" outlineLevel="0" max="25" min="25" style="48" width="8.16"/>
    <col collapsed="false" customWidth="true" hidden="false" outlineLevel="0" max="26" min="26" style="46" width="4.66"/>
    <col collapsed="false" customWidth="true" hidden="false" outlineLevel="0" max="27" min="27" style="49" width="4.66"/>
    <col collapsed="false" customWidth="true" hidden="false" outlineLevel="0" max="28" min="28" style="50" width="4.66"/>
    <col collapsed="false" customWidth="true" hidden="false" outlineLevel="0" max="29" min="29" style="44" width="5.66"/>
    <col collapsed="false" customWidth="false" hidden="false" outlineLevel="0" max="257" min="30" style="44" width="9.32"/>
  </cols>
  <sheetData>
    <row r="1" customFormat="false" ht="14.1" hidden="false" customHeight="true" outlineLevel="0" collapsed="false">
      <c r="A1" s="51"/>
      <c r="B1" s="51"/>
      <c r="C1" s="52"/>
      <c r="D1" s="51"/>
      <c r="E1" s="52"/>
      <c r="F1" s="51"/>
      <c r="G1" s="51"/>
      <c r="H1" s="53"/>
      <c r="I1" s="51"/>
      <c r="J1" s="51"/>
      <c r="K1" s="54" t="s">
        <v>0</v>
      </c>
      <c r="L1" s="51"/>
      <c r="M1" s="51"/>
      <c r="N1" s="51"/>
      <c r="O1" s="51"/>
      <c r="P1" s="51"/>
      <c r="Q1" s="51"/>
      <c r="R1" s="51"/>
      <c r="S1" s="52"/>
      <c r="T1" s="51"/>
      <c r="U1" s="51"/>
      <c r="V1" s="52"/>
      <c r="W1" s="51"/>
      <c r="X1" s="51"/>
      <c r="Y1" s="55"/>
      <c r="Z1" s="56"/>
      <c r="AA1" s="57"/>
      <c r="AB1" s="58"/>
      <c r="AC1" s="88"/>
      <c r="AD1" s="88"/>
    </row>
    <row r="2" customFormat="false" ht="14.1" hidden="false" customHeight="true" outlineLevel="0" collapsed="false">
      <c r="A2" s="51" t="s">
        <v>1</v>
      </c>
      <c r="B2" s="51"/>
      <c r="C2" s="52"/>
      <c r="D2" s="59" t="n">
        <v>1.9835</v>
      </c>
      <c r="E2" s="52"/>
      <c r="F2" s="51"/>
      <c r="G2" s="51"/>
      <c r="H2" s="53"/>
      <c r="I2" s="51"/>
      <c r="J2" s="51"/>
      <c r="K2" s="60" t="s">
        <v>78</v>
      </c>
      <c r="L2" s="60"/>
      <c r="M2" s="60"/>
      <c r="N2" s="60"/>
      <c r="O2" s="60"/>
      <c r="P2" s="60"/>
      <c r="Q2" s="60"/>
      <c r="R2" s="60"/>
      <c r="S2" s="60"/>
      <c r="T2" s="60"/>
      <c r="U2" s="51"/>
      <c r="V2" s="52"/>
      <c r="W2" s="51"/>
      <c r="X2" s="51"/>
      <c r="Y2" s="55"/>
      <c r="Z2" s="56"/>
      <c r="AA2" s="57"/>
      <c r="AB2" s="58"/>
      <c r="AC2" s="88"/>
      <c r="AD2" s="88"/>
    </row>
    <row r="3" customFormat="false" ht="11.1" hidden="false" customHeight="true" outlineLevel="0" collapsed="false">
      <c r="A3" s="51"/>
      <c r="B3" s="51"/>
      <c r="C3" s="52"/>
      <c r="D3" s="61"/>
      <c r="E3" s="52"/>
      <c r="F3" s="51"/>
      <c r="G3" s="51"/>
      <c r="H3" s="53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51"/>
      <c r="U3" s="51"/>
      <c r="V3" s="52"/>
      <c r="W3" s="51"/>
      <c r="X3" s="51"/>
      <c r="Y3" s="55"/>
      <c r="Z3" s="56"/>
      <c r="AA3" s="57"/>
      <c r="AB3" s="58"/>
      <c r="AC3" s="88"/>
      <c r="AD3" s="88"/>
    </row>
    <row r="4" customFormat="false" ht="11.1" hidden="false" customHeight="true" outlineLevel="0" collapsed="false">
      <c r="A4" s="62" t="s">
        <v>3</v>
      </c>
      <c r="B4" s="62" t="s">
        <v>4</v>
      </c>
      <c r="C4" s="63" t="s">
        <v>4</v>
      </c>
      <c r="D4" s="62" t="s">
        <v>5</v>
      </c>
      <c r="E4" s="63" t="s">
        <v>6</v>
      </c>
      <c r="F4" s="62" t="s">
        <v>7</v>
      </c>
      <c r="G4" s="62" t="s">
        <v>8</v>
      </c>
      <c r="H4" s="64" t="s">
        <v>9</v>
      </c>
      <c r="I4" s="62" t="s">
        <v>10</v>
      </c>
      <c r="J4" s="62" t="s">
        <v>11</v>
      </c>
      <c r="K4" s="62" t="s">
        <v>12</v>
      </c>
      <c r="L4" s="62" t="s">
        <v>11</v>
      </c>
      <c r="M4" s="62" t="s">
        <v>13</v>
      </c>
      <c r="N4" s="62"/>
      <c r="O4" s="62"/>
      <c r="P4" s="62"/>
      <c r="Q4" s="62" t="s">
        <v>14</v>
      </c>
      <c r="R4" s="62" t="s">
        <v>15</v>
      </c>
      <c r="S4" s="62" t="s">
        <v>12</v>
      </c>
      <c r="T4" s="63" t="s">
        <v>16</v>
      </c>
      <c r="U4" s="62" t="s">
        <v>17</v>
      </c>
      <c r="V4" s="62" t="s">
        <v>18</v>
      </c>
      <c r="W4" s="62" t="s">
        <v>10</v>
      </c>
      <c r="X4" s="62" t="s">
        <v>11</v>
      </c>
      <c r="Y4" s="62" t="s">
        <v>12</v>
      </c>
      <c r="Z4" s="65" t="s">
        <v>19</v>
      </c>
      <c r="AA4" s="66" t="s">
        <v>20</v>
      </c>
      <c r="AB4" s="66" t="s">
        <v>21</v>
      </c>
      <c r="AC4" s="66" t="s">
        <v>3</v>
      </c>
      <c r="AD4" s="141" t="s">
        <v>73</v>
      </c>
      <c r="AE4" s="88"/>
    </row>
    <row r="5" customFormat="false" ht="11.1" hidden="false" customHeight="true" outlineLevel="0" collapsed="false">
      <c r="A5" s="67" t="s">
        <v>79</v>
      </c>
      <c r="B5" s="62" t="s">
        <v>23</v>
      </c>
      <c r="C5" s="63" t="s">
        <v>5</v>
      </c>
      <c r="D5" s="62" t="s">
        <v>24</v>
      </c>
      <c r="E5" s="63" t="s">
        <v>25</v>
      </c>
      <c r="F5" s="62" t="s">
        <v>26</v>
      </c>
      <c r="G5" s="62" t="s">
        <v>27</v>
      </c>
      <c r="H5" s="64" t="s">
        <v>28</v>
      </c>
      <c r="I5" s="62" t="s">
        <v>29</v>
      </c>
      <c r="J5" s="62" t="s">
        <v>29</v>
      </c>
      <c r="K5" s="62" t="s">
        <v>29</v>
      </c>
      <c r="L5" s="62" t="s">
        <v>30</v>
      </c>
      <c r="M5" s="62" t="s">
        <v>31</v>
      </c>
      <c r="N5" s="62" t="s">
        <v>32</v>
      </c>
      <c r="O5" s="62" t="s">
        <v>33</v>
      </c>
      <c r="P5" s="62" t="s">
        <v>34</v>
      </c>
      <c r="Q5" s="62" t="s">
        <v>35</v>
      </c>
      <c r="R5" s="62" t="s">
        <v>36</v>
      </c>
      <c r="S5" s="62" t="s">
        <v>16</v>
      </c>
      <c r="T5" s="63" t="s">
        <v>37</v>
      </c>
      <c r="U5" s="62" t="s">
        <v>38</v>
      </c>
      <c r="V5" s="62" t="s">
        <v>39</v>
      </c>
      <c r="W5" s="62" t="s">
        <v>40</v>
      </c>
      <c r="X5" s="62" t="s">
        <v>40</v>
      </c>
      <c r="Y5" s="62" t="s">
        <v>40</v>
      </c>
      <c r="Z5" s="68"/>
      <c r="AA5" s="66" t="s">
        <v>41</v>
      </c>
      <c r="AB5" s="66" t="s">
        <v>41</v>
      </c>
      <c r="AC5" s="69" t="s">
        <v>79</v>
      </c>
      <c r="AD5" s="141" t="s">
        <v>80</v>
      </c>
      <c r="AE5" s="88"/>
      <c r="AG5" s="142"/>
      <c r="AH5" s="142"/>
    </row>
    <row r="6" customFormat="false" ht="11.1" hidden="false" customHeight="true" outlineLevel="0" collapsed="false">
      <c r="A6" s="70"/>
      <c r="B6" s="70"/>
      <c r="C6" s="71"/>
      <c r="D6" s="70"/>
      <c r="E6" s="71"/>
      <c r="F6" s="70"/>
      <c r="G6" s="70"/>
      <c r="H6" s="72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1"/>
      <c r="U6" s="70"/>
      <c r="V6" s="70"/>
      <c r="W6" s="70"/>
      <c r="X6" s="70"/>
      <c r="Y6" s="70"/>
      <c r="Z6" s="56"/>
      <c r="AA6" s="58"/>
      <c r="AB6" s="58"/>
      <c r="AC6" s="58"/>
      <c r="AD6" s="92"/>
      <c r="AE6" s="92"/>
      <c r="AF6" s="93"/>
      <c r="AG6" s="142"/>
      <c r="AH6" s="142"/>
    </row>
    <row r="7" customFormat="false" ht="11.1" hidden="false" customHeight="true" outlineLevel="0" collapsed="false">
      <c r="A7" s="51" t="s">
        <v>42</v>
      </c>
      <c r="B7" s="51"/>
      <c r="C7" s="52"/>
      <c r="D7" s="52"/>
      <c r="E7" s="52"/>
      <c r="F7" s="52" t="n">
        <f aca="false">JUL!F45</f>
        <v>-5936.98008570709</v>
      </c>
      <c r="G7" s="52" t="n">
        <f aca="false">JUL!G45</f>
        <v>87986.69</v>
      </c>
      <c r="H7" s="52" t="n">
        <f aca="false">JUL!H45</f>
        <v>2089.41</v>
      </c>
      <c r="I7" s="52" t="n">
        <f aca="false">JUL!I45</f>
        <v>90076.1</v>
      </c>
      <c r="J7" s="52" t="n">
        <f aca="false">JUL!J45</f>
        <v>5903.6896370053</v>
      </c>
      <c r="K7" s="52" t="n">
        <f aca="false">JUL!K45</f>
        <v>95979.7896370053</v>
      </c>
      <c r="L7" s="52" t="n">
        <f aca="false">JUL!L45</f>
        <v>958.669914292917</v>
      </c>
      <c r="M7" s="52" t="n">
        <f aca="false">JUL!M45</f>
        <v>23647.62</v>
      </c>
      <c r="N7" s="52" t="n">
        <f aca="false">JUL!N45</f>
        <v>0</v>
      </c>
      <c r="O7" s="52" t="n">
        <f aca="false">JUL!O45</f>
        <v>0</v>
      </c>
      <c r="P7" s="52" t="n">
        <f aca="false">JUL!P45</f>
        <v>23647.62</v>
      </c>
      <c r="Q7" s="52" t="n">
        <f aca="false">JUL!Q45</f>
        <v>19511.63</v>
      </c>
      <c r="R7" s="52" t="n">
        <f aca="false">JUL!R45</f>
        <v>9545.12</v>
      </c>
      <c r="S7" s="52" t="n">
        <f aca="false">JUL!S45</f>
        <v>52704.37</v>
      </c>
      <c r="T7" s="52" t="n">
        <f aca="false">JUL!T45</f>
        <v>-6155.57</v>
      </c>
      <c r="U7" s="52" t="n">
        <f aca="false">JUL!U45</f>
        <v>5411</v>
      </c>
      <c r="V7" s="52" t="n">
        <f aca="false">JUL!V45</f>
        <v>38856.38</v>
      </c>
      <c r="W7" s="52" t="n">
        <f aca="false">JUL!W45</f>
        <v>96971.75</v>
      </c>
      <c r="X7" s="52" t="n">
        <f aca="false">JUL!X45</f>
        <v>4945.01972271238</v>
      </c>
      <c r="Y7" s="52" t="n">
        <f aca="false">JUL!Y45</f>
        <v>101916.769722712</v>
      </c>
      <c r="Z7" s="56"/>
      <c r="AA7" s="57"/>
      <c r="AB7" s="57"/>
      <c r="AC7" s="58"/>
      <c r="AD7" s="92"/>
      <c r="AE7" s="93"/>
      <c r="AF7" s="93"/>
    </row>
    <row r="8" s="45" customFormat="true" ht="11.1" hidden="false" customHeight="true" outlineLevel="0" collapsed="false">
      <c r="A8" s="52" t="s">
        <v>43</v>
      </c>
      <c r="B8" s="73" t="n">
        <f aca="false">JUL!B40</f>
        <v>6915.04</v>
      </c>
      <c r="C8" s="52" t="n">
        <f aca="false">JUL!C40</f>
        <v>342539</v>
      </c>
      <c r="D8" s="52" t="n">
        <f aca="false">JUL!D49</f>
        <v>17583</v>
      </c>
      <c r="E8" s="52" t="n">
        <f aca="false">JUL!E49</f>
        <v>190539</v>
      </c>
      <c r="F8" s="52" t="n">
        <f aca="false">JUL!F48</f>
        <v>8864.63322409881</v>
      </c>
      <c r="G8" s="52" t="n">
        <f aca="false">JUL!G48</f>
        <v>109838.19</v>
      </c>
      <c r="H8" s="57" t="n">
        <f aca="false">JUL!H48</f>
        <v>2809.88</v>
      </c>
      <c r="I8" s="52" t="n">
        <f aca="false">JUL!I48</f>
        <v>112448.97</v>
      </c>
      <c r="J8" s="52" t="n">
        <f aca="false">JUL!J48</f>
        <v>17006.5201209982</v>
      </c>
      <c r="K8" s="52" t="n">
        <f aca="false">JUL!K48</f>
        <v>129455.490120998</v>
      </c>
      <c r="L8" s="52" t="n">
        <f aca="false">JUL!L48</f>
        <v>10559.1832240988</v>
      </c>
      <c r="M8" s="52" t="n">
        <f aca="false">JUL!M48</f>
        <v>25696.88</v>
      </c>
      <c r="N8" s="52" t="n">
        <f aca="false">JUL!N48</f>
        <v>0.08</v>
      </c>
      <c r="O8" s="52" t="n">
        <f aca="false">JUL!O48</f>
        <v>0</v>
      </c>
      <c r="P8" s="52" t="n">
        <f aca="false">JUL!P48</f>
        <v>25696.8</v>
      </c>
      <c r="Q8" s="52" t="n">
        <f aca="false">JUL!Q48</f>
        <v>22230.98</v>
      </c>
      <c r="R8" s="52" t="n">
        <f aca="false">JUL!R48</f>
        <v>10010.49</v>
      </c>
      <c r="S8" s="52" t="n">
        <f aca="false">JUL!S48</f>
        <v>57938.27</v>
      </c>
      <c r="T8" s="52" t="n">
        <f aca="false">JUL!T48</f>
        <v>-6155.57</v>
      </c>
      <c r="U8" s="52" t="n">
        <f aca="false">JUL!U48</f>
        <v>5411</v>
      </c>
      <c r="V8" s="52" t="n">
        <f aca="false">JUL!V48</f>
        <v>50869.17</v>
      </c>
      <c r="W8" s="52" t="n">
        <f aca="false">JUL!W48</f>
        <v>114143.52</v>
      </c>
      <c r="X8" s="52" t="n">
        <f aca="false">JUL!X48</f>
        <v>6447.33689689942</v>
      </c>
      <c r="Y8" s="52" t="n">
        <f aca="false">JUL!Y48</f>
        <v>120590.856896899</v>
      </c>
      <c r="Z8" s="56" t="n">
        <f aca="false">JUL!Z48</f>
        <v>8.75</v>
      </c>
      <c r="AA8" s="57"/>
      <c r="AB8" s="57"/>
      <c r="AC8" s="58"/>
      <c r="AD8" s="94"/>
      <c r="AE8" s="92"/>
      <c r="AF8" s="94"/>
    </row>
    <row r="9" customFormat="false" ht="3" hidden="false" customHeight="true" outlineLevel="0" collapsed="false">
      <c r="A9" s="74"/>
      <c r="B9" s="75"/>
      <c r="C9" s="76"/>
      <c r="D9" s="74"/>
      <c r="E9" s="76"/>
      <c r="F9" s="74"/>
      <c r="G9" s="74"/>
      <c r="H9" s="77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6"/>
      <c r="U9" s="74"/>
      <c r="V9" s="74"/>
      <c r="W9" s="74"/>
      <c r="X9" s="74"/>
      <c r="Y9" s="74"/>
      <c r="Z9" s="78"/>
      <c r="AA9" s="79"/>
      <c r="AB9" s="79"/>
      <c r="AC9" s="80"/>
      <c r="AD9" s="80"/>
      <c r="AE9" s="92"/>
      <c r="AF9" s="93"/>
    </row>
    <row r="10" customFormat="false" ht="11.1" hidden="false" customHeight="true" outlineLevel="0" collapsed="false">
      <c r="A10" s="58" t="n">
        <v>1</v>
      </c>
      <c r="B10" s="73" t="n">
        <v>6914.95</v>
      </c>
      <c r="C10" s="52" t="n">
        <v>342165</v>
      </c>
      <c r="D10" s="57" t="n">
        <f aca="false">C10-C8</f>
        <v>-374</v>
      </c>
      <c r="E10" s="52" t="n">
        <f aca="false">C10-152000</f>
        <v>190165</v>
      </c>
      <c r="F10" s="51" t="n">
        <f aca="false">D10/$D$2</f>
        <v>-188.555583564406</v>
      </c>
      <c r="G10" s="51" t="n">
        <v>268.13</v>
      </c>
      <c r="H10" s="53" t="n">
        <v>0</v>
      </c>
      <c r="I10" s="51" t="n">
        <f aca="false">G10+H10</f>
        <v>268.13</v>
      </c>
      <c r="J10" s="81" t="n">
        <f aca="false">IF(L10&gt;0,L10,0)</f>
        <v>111.794416435594</v>
      </c>
      <c r="K10" s="51" t="n">
        <f aca="false">I10+J10</f>
        <v>379.924416435594</v>
      </c>
      <c r="L10" s="51" t="n">
        <f aca="false">F10-(I10-W10)</f>
        <v>111.794416435594</v>
      </c>
      <c r="M10" s="51" t="n">
        <v>145.25</v>
      </c>
      <c r="N10" s="87" t="n">
        <v>0</v>
      </c>
      <c r="O10" s="51" t="n">
        <v>0</v>
      </c>
      <c r="P10" s="6" t="n">
        <f aca="false">M10-(N10+O10)</f>
        <v>145.25</v>
      </c>
      <c r="Q10" s="51" t="n">
        <v>210.93</v>
      </c>
      <c r="R10" s="51" t="n">
        <v>85.82</v>
      </c>
      <c r="S10" s="51" t="n">
        <f aca="false">SUM(P10:R10)</f>
        <v>442</v>
      </c>
      <c r="T10" s="52" t="n">
        <f aca="false">(I10-S10)+T7</f>
        <v>-6329.44</v>
      </c>
      <c r="U10" s="51" t="n">
        <v>39</v>
      </c>
      <c r="V10" s="51" t="n">
        <v>87.48</v>
      </c>
      <c r="W10" s="6" t="n">
        <f aca="false">N10+O10+S10+U10+V10</f>
        <v>568.48</v>
      </c>
      <c r="X10" s="51" t="n">
        <f aca="false">IF(L10&lt;0,L10*-1,0)</f>
        <v>0</v>
      </c>
      <c r="Y10" s="51" t="n">
        <f aca="false">W10+X10</f>
        <v>568.48</v>
      </c>
      <c r="Z10" s="56" t="n">
        <v>0.22</v>
      </c>
      <c r="AA10" s="57" t="n">
        <v>84</v>
      </c>
      <c r="AB10" s="57" t="n">
        <v>54</v>
      </c>
      <c r="AC10" s="58" t="n">
        <v>1</v>
      </c>
      <c r="AD10" s="93" t="n">
        <f aca="false">IF(I10&gt;S10,I10-S10,I10-S10)</f>
        <v>-173.87</v>
      </c>
      <c r="AE10" s="12"/>
      <c r="AF10" s="127"/>
      <c r="AG10" s="6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</row>
    <row r="11" customFormat="false" ht="11.1" hidden="false" customHeight="true" outlineLevel="0" collapsed="false">
      <c r="A11" s="58" t="n">
        <f aca="false">A10+1</f>
        <v>2</v>
      </c>
      <c r="B11" s="73" t="n">
        <v>6914.86</v>
      </c>
      <c r="C11" s="52" t="n">
        <v>341792</v>
      </c>
      <c r="D11" s="57" t="n">
        <f aca="false">C11-C10</f>
        <v>-373</v>
      </c>
      <c r="E11" s="52" t="n">
        <f aca="false">C11-152000</f>
        <v>189792</v>
      </c>
      <c r="F11" s="51" t="n">
        <f aca="false">D11/$D$2</f>
        <v>-188.051424250063</v>
      </c>
      <c r="G11" s="51" t="n">
        <v>337.52</v>
      </c>
      <c r="H11" s="53" t="n">
        <v>0</v>
      </c>
      <c r="I11" s="51" t="n">
        <f aca="false">G11+H11</f>
        <v>337.52</v>
      </c>
      <c r="J11" s="81" t="n">
        <f aca="false">IF(L11&gt;0,L11,0)</f>
        <v>16.278575749937</v>
      </c>
      <c r="K11" s="51" t="n">
        <f aca="false">I11+J11</f>
        <v>353.798575749937</v>
      </c>
      <c r="L11" s="51" t="n">
        <f aca="false">F11-(I11-W11)</f>
        <v>16.278575749937</v>
      </c>
      <c r="M11" s="51" t="n">
        <v>131.22</v>
      </c>
      <c r="N11" s="87" t="n">
        <v>0</v>
      </c>
      <c r="O11" s="51" t="n">
        <v>0</v>
      </c>
      <c r="P11" s="6" t="n">
        <f aca="false">M11-(N11+O11)</f>
        <v>131.22</v>
      </c>
      <c r="Q11" s="51" t="n">
        <v>211.25</v>
      </c>
      <c r="R11" s="51" t="n">
        <v>80.53</v>
      </c>
      <c r="S11" s="51" t="n">
        <f aca="false">SUM(P11:R11)</f>
        <v>423</v>
      </c>
      <c r="T11" s="52" t="n">
        <f aca="false">(I11-S11)+T10</f>
        <v>-6414.92</v>
      </c>
      <c r="U11" s="51" t="n">
        <v>31</v>
      </c>
      <c r="V11" s="51" t="n">
        <v>87.85</v>
      </c>
      <c r="W11" s="6" t="n">
        <f aca="false">N11+O11+S11+U11+V11</f>
        <v>541.85</v>
      </c>
      <c r="X11" s="51" t="n">
        <f aca="false">IF(L11&lt;0,L11*-1,0)</f>
        <v>0</v>
      </c>
      <c r="Y11" s="51" t="n">
        <f aca="false">W11+X11</f>
        <v>541.85</v>
      </c>
      <c r="Z11" s="56" t="n">
        <v>0</v>
      </c>
      <c r="AA11" s="57" t="n">
        <v>83</v>
      </c>
      <c r="AB11" s="57" t="n">
        <v>50</v>
      </c>
      <c r="AC11" s="58" t="n">
        <f aca="false">AC10+1</f>
        <v>2</v>
      </c>
      <c r="AD11" s="93" t="n">
        <f aca="false">IF(I11&gt;S11,I11-S11,I11-S11)</f>
        <v>-85.48</v>
      </c>
      <c r="AE11" s="12"/>
      <c r="AF11" s="0"/>
      <c r="AG11" s="6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</row>
    <row r="12" customFormat="false" ht="11.1" hidden="false" customHeight="true" outlineLevel="0" collapsed="false">
      <c r="A12" s="58" t="n">
        <f aca="false">A11+1</f>
        <v>3</v>
      </c>
      <c r="B12" s="73" t="n">
        <v>6914.72</v>
      </c>
      <c r="C12" s="52" t="n">
        <v>341213</v>
      </c>
      <c r="D12" s="57" t="n">
        <f aca="false">C12-C11</f>
        <v>-579</v>
      </c>
      <c r="E12" s="52" t="n">
        <f aca="false">C12-152000</f>
        <v>189213</v>
      </c>
      <c r="F12" s="51" t="n">
        <f aca="false">D12/$D$2</f>
        <v>-291.908243004789</v>
      </c>
      <c r="G12" s="51" t="n">
        <v>266.2</v>
      </c>
      <c r="H12" s="53" t="n">
        <v>0</v>
      </c>
      <c r="I12" s="51" t="n">
        <f aca="false">G12+H12</f>
        <v>266.2</v>
      </c>
      <c r="J12" s="81" t="n">
        <f aca="false">IF(L12&gt;0,L12,0)</f>
        <v>0</v>
      </c>
      <c r="K12" s="51" t="n">
        <f aca="false">I12+J12</f>
        <v>266.2</v>
      </c>
      <c r="L12" s="51" t="n">
        <f aca="false">F12-(I12-W12)</f>
        <v>-0.708243004789495</v>
      </c>
      <c r="M12" s="51" t="n">
        <v>131.12</v>
      </c>
      <c r="N12" s="87" t="n">
        <v>0</v>
      </c>
      <c r="O12" s="51" t="n">
        <v>0</v>
      </c>
      <c r="P12" s="6" t="n">
        <f aca="false">M12-(N12+O12)</f>
        <v>131.12</v>
      </c>
      <c r="Q12" s="51" t="n">
        <v>211.42</v>
      </c>
      <c r="R12" s="51" t="n">
        <v>78.46</v>
      </c>
      <c r="S12" s="51" t="n">
        <f aca="false">SUM(P12:R12)</f>
        <v>421</v>
      </c>
      <c r="T12" s="52" t="n">
        <f aca="false">(I12-S12)+T11</f>
        <v>-6569.72</v>
      </c>
      <c r="U12" s="51" t="n">
        <v>29</v>
      </c>
      <c r="V12" s="51" t="n">
        <v>107.4</v>
      </c>
      <c r="W12" s="6" t="n">
        <f aca="false">N12+O12+S12+U12+V12</f>
        <v>557.4</v>
      </c>
      <c r="X12" s="51" t="n">
        <f aca="false">IF(L12&lt;0,L12*-1,0)</f>
        <v>0.708243004789495</v>
      </c>
      <c r="Y12" s="51" t="n">
        <f aca="false">W12+X12</f>
        <v>558.10824300479</v>
      </c>
      <c r="Z12" s="56" t="n">
        <v>0</v>
      </c>
      <c r="AA12" s="57" t="n">
        <v>81</v>
      </c>
      <c r="AB12" s="57" t="n">
        <v>50</v>
      </c>
      <c r="AC12" s="58" t="n">
        <f aca="false">AC11+1</f>
        <v>3</v>
      </c>
      <c r="AD12" s="93" t="n">
        <f aca="false">IF(I12&gt;S12,I12-S12,I12-S12)</f>
        <v>-154.8</v>
      </c>
      <c r="AE12" s="12"/>
      <c r="AF12" s="0"/>
      <c r="AG12" s="6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</row>
    <row r="13" customFormat="false" ht="11.1" hidden="false" customHeight="true" outlineLevel="0" collapsed="false">
      <c r="A13" s="58" t="n">
        <f aca="false">A12+1</f>
        <v>4</v>
      </c>
      <c r="B13" s="73" t="n">
        <v>6914.52</v>
      </c>
      <c r="C13" s="52" t="n">
        <v>340384</v>
      </c>
      <c r="D13" s="57" t="n">
        <f aca="false">C13-C12</f>
        <v>-829</v>
      </c>
      <c r="E13" s="52" t="n">
        <f aca="false">C13-152000</f>
        <v>188384</v>
      </c>
      <c r="F13" s="51" t="n">
        <f aca="false">D13/$D$2</f>
        <v>-417.948071590623</v>
      </c>
      <c r="G13" s="51" t="n">
        <v>224.02</v>
      </c>
      <c r="H13" s="53" t="n">
        <v>0</v>
      </c>
      <c r="I13" s="51" t="n">
        <f aca="false">G13+H13</f>
        <v>224.02</v>
      </c>
      <c r="J13" s="81" t="n">
        <f aca="false">IF(L13&gt;0,L13,0)</f>
        <v>0</v>
      </c>
      <c r="K13" s="51" t="n">
        <f aca="false">I13+J13</f>
        <v>224.02</v>
      </c>
      <c r="L13" s="51" t="n">
        <f aca="false">F13-(I13-W13)</f>
        <v>-102.968071590623</v>
      </c>
      <c r="M13" s="51" t="n">
        <v>130.88</v>
      </c>
      <c r="N13" s="87" t="n">
        <v>0</v>
      </c>
      <c r="O13" s="51" t="n">
        <v>0</v>
      </c>
      <c r="P13" s="6" t="n">
        <f aca="false">M13-(N13+O13)</f>
        <v>130.88</v>
      </c>
      <c r="Q13" s="51" t="n">
        <v>211.47</v>
      </c>
      <c r="R13" s="51" t="n">
        <v>77.65</v>
      </c>
      <c r="S13" s="51" t="n">
        <f aca="false">SUM(P13:R13)</f>
        <v>420</v>
      </c>
      <c r="T13" s="52" t="n">
        <f aca="false">(I13-S13)+T12</f>
        <v>-6765.7</v>
      </c>
      <c r="U13" s="51" t="n">
        <v>31</v>
      </c>
      <c r="V13" s="51" t="n">
        <v>88</v>
      </c>
      <c r="W13" s="6" t="n">
        <f aca="false">N13+O13+S13+U13+V13</f>
        <v>539</v>
      </c>
      <c r="X13" s="51" t="n">
        <f aca="false">IF(L13&lt;0,L13*-1,0)</f>
        <v>102.968071590623</v>
      </c>
      <c r="Y13" s="51" t="n">
        <f aca="false">W13+X13</f>
        <v>641.968071590623</v>
      </c>
      <c r="Z13" s="56" t="n">
        <v>0</v>
      </c>
      <c r="AA13" s="57" t="n">
        <v>80</v>
      </c>
      <c r="AB13" s="57" t="n">
        <v>50</v>
      </c>
      <c r="AC13" s="58" t="n">
        <f aca="false">AC12+1</f>
        <v>4</v>
      </c>
      <c r="AD13" s="93" t="n">
        <f aca="false">IF(I13&gt;S13,I13-S13,I13-S13)</f>
        <v>-195.98</v>
      </c>
      <c r="AE13" s="12"/>
      <c r="AF13" s="0"/>
      <c r="AG13" s="6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</row>
    <row r="14" customFormat="false" ht="11.1" hidden="false" customHeight="true" outlineLevel="0" collapsed="false">
      <c r="A14" s="58" t="n">
        <f aca="false">A13+1</f>
        <v>5</v>
      </c>
      <c r="B14" s="73" t="n">
        <v>6914.32</v>
      </c>
      <c r="C14" s="52" t="n">
        <v>339556</v>
      </c>
      <c r="D14" s="57" t="n">
        <f aca="false">C14-C13</f>
        <v>-828</v>
      </c>
      <c r="E14" s="52" t="n">
        <f aca="false">C14-152000</f>
        <v>187556</v>
      </c>
      <c r="F14" s="51" t="n">
        <f aca="false">D14/$D$2</f>
        <v>-417.443912276279</v>
      </c>
      <c r="G14" s="51" t="n">
        <v>203.24</v>
      </c>
      <c r="H14" s="53" t="n">
        <v>0</v>
      </c>
      <c r="I14" s="51" t="n">
        <f aca="false">G14+H14</f>
        <v>203.24</v>
      </c>
      <c r="J14" s="81" t="n">
        <f aca="false">IF(L14&gt;0,L14,0)</f>
        <v>0</v>
      </c>
      <c r="K14" s="51" t="n">
        <f aca="false">I14+J14</f>
        <v>203.24</v>
      </c>
      <c r="L14" s="51" t="n">
        <f aca="false">F14-(I14-W14)</f>
        <v>-77.6039122762793</v>
      </c>
      <c r="M14" s="51" t="n">
        <v>130.54</v>
      </c>
      <c r="N14" s="87" t="n">
        <v>0</v>
      </c>
      <c r="O14" s="51" t="n">
        <v>0</v>
      </c>
      <c r="P14" s="6" t="n">
        <f aca="false">M14-(N14+O14)</f>
        <v>130.54</v>
      </c>
      <c r="Q14" s="51" t="n">
        <v>211.29</v>
      </c>
      <c r="R14" s="51" t="n">
        <v>78.17</v>
      </c>
      <c r="S14" s="51" t="n">
        <f aca="false">SUM(P14:R14)</f>
        <v>420</v>
      </c>
      <c r="T14" s="52" t="n">
        <f aca="false">(I14-S14)+T13</f>
        <v>-6982.46</v>
      </c>
      <c r="U14" s="51" t="n">
        <v>35</v>
      </c>
      <c r="V14" s="51" t="n">
        <v>88.08</v>
      </c>
      <c r="W14" s="6" t="n">
        <f aca="false">N14+O14+S14+U14+V14</f>
        <v>543.08</v>
      </c>
      <c r="X14" s="51" t="n">
        <f aca="false">IF(L14&lt;0,L14*-1,0)</f>
        <v>77.6039122762793</v>
      </c>
      <c r="Y14" s="51" t="n">
        <f aca="false">W14+X14</f>
        <v>620.683912276279</v>
      </c>
      <c r="Z14" s="56" t="n">
        <v>0</v>
      </c>
      <c r="AA14" s="57" t="n">
        <v>81</v>
      </c>
      <c r="AB14" s="57" t="n">
        <v>50</v>
      </c>
      <c r="AC14" s="58" t="n">
        <f aca="false">AC13+1</f>
        <v>5</v>
      </c>
      <c r="AD14" s="93" t="n">
        <f aca="false">IF(I14&gt;S14,I14-S14,I14-S14)</f>
        <v>-216.76</v>
      </c>
      <c r="AE14" s="12"/>
      <c r="AF14" s="0"/>
      <c r="AG14" s="6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</row>
    <row r="15" customFormat="false" ht="11.1" hidden="false" customHeight="true" outlineLevel="0" collapsed="false">
      <c r="A15" s="58" t="n">
        <f aca="false">A14+1</f>
        <v>6</v>
      </c>
      <c r="B15" s="73" t="n">
        <v>6914.12</v>
      </c>
      <c r="C15" s="52" t="n">
        <v>338728</v>
      </c>
      <c r="D15" s="57" t="n">
        <f aca="false">C15-C14</f>
        <v>-828</v>
      </c>
      <c r="E15" s="52" t="n">
        <f aca="false">C15-152000</f>
        <v>186728</v>
      </c>
      <c r="F15" s="51" t="n">
        <f aca="false">D15/$D$2</f>
        <v>-417.443912276279</v>
      </c>
      <c r="G15" s="51" t="n">
        <v>188.56</v>
      </c>
      <c r="H15" s="53" t="n">
        <v>0</v>
      </c>
      <c r="I15" s="51" t="n">
        <f aca="false">G15+H15</f>
        <v>188.56</v>
      </c>
      <c r="J15" s="81" t="n">
        <f aca="false">IF(L15&gt;0,L15,0)</f>
        <v>0</v>
      </c>
      <c r="K15" s="51" t="n">
        <f aca="false">I15+J15</f>
        <v>188.56</v>
      </c>
      <c r="L15" s="51" t="n">
        <f aca="false">F15-(I15-W15)</f>
        <v>-60.8039122762793</v>
      </c>
      <c r="M15" s="51" t="n">
        <v>130.28</v>
      </c>
      <c r="N15" s="87" t="n">
        <v>0</v>
      </c>
      <c r="O15" s="51" t="n">
        <v>0</v>
      </c>
      <c r="P15" s="6" t="n">
        <f aca="false">M15-(N15+O15)</f>
        <v>130.28</v>
      </c>
      <c r="Q15" s="51" t="n">
        <v>210.87</v>
      </c>
      <c r="R15" s="51" t="n">
        <v>77.85</v>
      </c>
      <c r="S15" s="51" t="n">
        <f aca="false">SUM(P15:R15)</f>
        <v>419</v>
      </c>
      <c r="T15" s="52" t="n">
        <f aca="false">(I15-S15)+T14</f>
        <v>-7212.9</v>
      </c>
      <c r="U15" s="51" t="n">
        <v>38</v>
      </c>
      <c r="V15" s="51" t="n">
        <v>88.2</v>
      </c>
      <c r="W15" s="6" t="n">
        <f aca="false">N15+O15+S15+U15+V15</f>
        <v>545.2</v>
      </c>
      <c r="X15" s="51" t="n">
        <f aca="false">IF(L15&lt;0,L15*-1,0)</f>
        <v>60.8039122762793</v>
      </c>
      <c r="Y15" s="51" t="n">
        <f aca="false">W15+X15</f>
        <v>606.003912276279</v>
      </c>
      <c r="Z15" s="56" t="n">
        <v>0</v>
      </c>
      <c r="AA15" s="57" t="n">
        <v>82</v>
      </c>
      <c r="AB15" s="57" t="n">
        <v>49</v>
      </c>
      <c r="AC15" s="58" t="n">
        <f aca="false">AC14+1</f>
        <v>6</v>
      </c>
      <c r="AD15" s="93" t="n">
        <f aca="false">IF(I15&gt;S15,I15-S15,I15-S15)</f>
        <v>-230.44</v>
      </c>
      <c r="AE15" s="12"/>
      <c r="AF15" s="0"/>
      <c r="AG15" s="6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</row>
    <row r="16" customFormat="false" ht="11.1" hidden="false" customHeight="true" outlineLevel="0" collapsed="false">
      <c r="A16" s="58" t="n">
        <f aca="false">A15+1</f>
        <v>7</v>
      </c>
      <c r="B16" s="73" t="n">
        <v>6913.98</v>
      </c>
      <c r="C16" s="52" t="n">
        <v>338148</v>
      </c>
      <c r="D16" s="57" t="n">
        <f aca="false">C16-C15</f>
        <v>-580</v>
      </c>
      <c r="E16" s="52" t="n">
        <f aca="false">C16-152000</f>
        <v>186148</v>
      </c>
      <c r="F16" s="51" t="n">
        <f aca="false">D16/$D$2</f>
        <v>-292.412402319133</v>
      </c>
      <c r="G16" s="51" t="n">
        <v>180.86</v>
      </c>
      <c r="H16" s="53" t="n">
        <v>0</v>
      </c>
      <c r="I16" s="51" t="n">
        <f aca="false">G16+H16</f>
        <v>180.86</v>
      </c>
      <c r="J16" s="81" t="n">
        <f aca="false">IF(L16&gt;0,L16,0)</f>
        <v>74.2175976808671</v>
      </c>
      <c r="K16" s="51" t="n">
        <f aca="false">I16+J16</f>
        <v>255.077597680867</v>
      </c>
      <c r="L16" s="51" t="n">
        <f aca="false">F16-(I16-W16)</f>
        <v>74.2175976808671</v>
      </c>
      <c r="M16" s="51" t="n">
        <v>130.2</v>
      </c>
      <c r="N16" s="87" t="n">
        <v>0</v>
      </c>
      <c r="O16" s="51" t="n">
        <v>0</v>
      </c>
      <c r="P16" s="6" t="n">
        <f aca="false">M16-(N16+O16)</f>
        <v>130.2</v>
      </c>
      <c r="Q16" s="51" t="n">
        <v>210.54</v>
      </c>
      <c r="R16" s="51" t="n">
        <v>79.26</v>
      </c>
      <c r="S16" s="51" t="n">
        <f aca="false">SUM(P16:R16)</f>
        <v>420</v>
      </c>
      <c r="T16" s="52" t="n">
        <f aca="false">(I16-S16)+T15</f>
        <v>-7452.04</v>
      </c>
      <c r="U16" s="51" t="n">
        <v>39</v>
      </c>
      <c r="V16" s="51" t="n">
        <v>88.49</v>
      </c>
      <c r="W16" s="6" t="n">
        <f aca="false">N16+O16+S16+U16+V16</f>
        <v>547.49</v>
      </c>
      <c r="X16" s="51" t="n">
        <f aca="false">IF(L16&lt;0,L16*-1,0)</f>
        <v>0</v>
      </c>
      <c r="Y16" s="51" t="n">
        <f aca="false">W16+X16</f>
        <v>547.49</v>
      </c>
      <c r="Z16" s="56" t="n">
        <v>0</v>
      </c>
      <c r="AA16" s="57" t="n">
        <v>81</v>
      </c>
      <c r="AB16" s="57" t="n">
        <v>51</v>
      </c>
      <c r="AC16" s="58" t="n">
        <f aca="false">AC15+1</f>
        <v>7</v>
      </c>
      <c r="AD16" s="93" t="n">
        <f aca="false">IF(I16&gt;S16,I16-S16,I16-S16)</f>
        <v>-239.14</v>
      </c>
      <c r="AE16" s="12"/>
      <c r="AF16" s="0"/>
      <c r="AG16" s="6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</row>
    <row r="17" customFormat="false" ht="11.1" hidden="false" customHeight="true" outlineLevel="0" collapsed="false">
      <c r="A17" s="58" t="n">
        <f aca="false">A16+1</f>
        <v>8</v>
      </c>
      <c r="B17" s="73" t="n">
        <v>6913.78</v>
      </c>
      <c r="C17" s="52" t="n">
        <v>337327</v>
      </c>
      <c r="D17" s="57" t="n">
        <f aca="false">C17-C16</f>
        <v>-821</v>
      </c>
      <c r="E17" s="52" t="n">
        <f aca="false">C17-152000</f>
        <v>185327</v>
      </c>
      <c r="F17" s="51" t="n">
        <f aca="false">D17/$D$2</f>
        <v>-413.914797075876</v>
      </c>
      <c r="G17" s="51" t="n">
        <v>170.87</v>
      </c>
      <c r="H17" s="53" t="n">
        <v>0</v>
      </c>
      <c r="I17" s="51" t="n">
        <f aca="false">G17+H17</f>
        <v>170.87</v>
      </c>
      <c r="J17" s="81" t="n">
        <f aca="false">IF(L17&gt;0,L17,0)</f>
        <v>0</v>
      </c>
      <c r="K17" s="51" t="n">
        <f aca="false">I17+J17</f>
        <v>170.87</v>
      </c>
      <c r="L17" s="51" t="n">
        <f aca="false">F17-(I17-W17)</f>
        <v>-19.884797075876</v>
      </c>
      <c r="M17" s="51" t="n">
        <v>130.17</v>
      </c>
      <c r="N17" s="87" t="n">
        <v>0</v>
      </c>
      <c r="O17" s="51" t="n">
        <v>0</v>
      </c>
      <c r="P17" s="6" t="n">
        <f aca="false">M17-(N17+O17)</f>
        <v>130.17</v>
      </c>
      <c r="Q17" s="51" t="n">
        <v>209.91</v>
      </c>
      <c r="R17" s="51" t="n">
        <v>79.92</v>
      </c>
      <c r="S17" s="51" t="n">
        <f aca="false">SUM(P17:R17)</f>
        <v>420</v>
      </c>
      <c r="T17" s="52" t="n">
        <f aca="false">(I17-S17)+T16</f>
        <v>-7701.17</v>
      </c>
      <c r="U17" s="51" t="n">
        <v>56</v>
      </c>
      <c r="V17" s="51" t="n">
        <v>88.9</v>
      </c>
      <c r="W17" s="6" t="n">
        <f aca="false">N17+O17+S17+U17+V17</f>
        <v>564.9</v>
      </c>
      <c r="X17" s="51" t="n">
        <f aca="false">IF(L17&lt;0,L17*-1,0)</f>
        <v>19.884797075876</v>
      </c>
      <c r="Y17" s="51" t="n">
        <f aca="false">W17+X17</f>
        <v>584.784797075876</v>
      </c>
      <c r="Z17" s="56" t="n">
        <v>0</v>
      </c>
      <c r="AA17" s="57" t="n">
        <v>82</v>
      </c>
      <c r="AB17" s="57" t="n">
        <v>50</v>
      </c>
      <c r="AC17" s="58" t="n">
        <f aca="false">AC16+1</f>
        <v>8</v>
      </c>
      <c r="AD17" s="93" t="n">
        <f aca="false">IF(I17&gt;S17,I17-S17,I17-S17)</f>
        <v>-249.13</v>
      </c>
      <c r="AE17" s="12"/>
      <c r="AF17" s="0"/>
      <c r="AG17" s="6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</row>
    <row r="18" customFormat="false" ht="11.1" hidden="false" customHeight="true" outlineLevel="0" collapsed="false">
      <c r="A18" s="58" t="n">
        <f aca="false">A17+1</f>
        <v>9</v>
      </c>
      <c r="B18" s="73" t="n">
        <v>6913.57</v>
      </c>
      <c r="C18" s="52" t="n">
        <v>336464</v>
      </c>
      <c r="D18" s="57" t="n">
        <f aca="false">C18-C17</f>
        <v>-863</v>
      </c>
      <c r="E18" s="52" t="n">
        <f aca="false">C18-152000</f>
        <v>184464</v>
      </c>
      <c r="F18" s="51" t="n">
        <f aca="false">D18/$D$2</f>
        <v>-435.089488278296</v>
      </c>
      <c r="G18" s="51" t="n">
        <v>165.53</v>
      </c>
      <c r="H18" s="53" t="n">
        <v>0</v>
      </c>
      <c r="I18" s="51" t="n">
        <f aca="false">G18+H18</f>
        <v>165.53</v>
      </c>
      <c r="J18" s="81" t="n">
        <f aca="false">IF(L18&gt;0,L18,0)</f>
        <v>0</v>
      </c>
      <c r="K18" s="51" t="n">
        <f aca="false">I18+J18</f>
        <v>165.53</v>
      </c>
      <c r="L18" s="51" t="n">
        <f aca="false">F18-(I18-W18)</f>
        <v>-48.5294882782959</v>
      </c>
      <c r="M18" s="51" t="n">
        <v>129.28</v>
      </c>
      <c r="N18" s="87" t="n">
        <v>0</v>
      </c>
      <c r="O18" s="51" t="n">
        <v>0</v>
      </c>
      <c r="P18" s="6" t="n">
        <f aca="false">M18-(N18+O18)</f>
        <v>129.28</v>
      </c>
      <c r="Q18" s="51" t="n">
        <v>209.68</v>
      </c>
      <c r="R18" s="51" t="n">
        <v>80.04</v>
      </c>
      <c r="S18" s="51" t="n">
        <f aca="false">SUM(P18:R18)</f>
        <v>419</v>
      </c>
      <c r="T18" s="52" t="n">
        <f aca="false">(I18-S18)+T17</f>
        <v>-7954.64</v>
      </c>
      <c r="U18" s="51" t="n">
        <v>44</v>
      </c>
      <c r="V18" s="51" t="n">
        <v>89.09</v>
      </c>
      <c r="W18" s="6" t="n">
        <f aca="false">N18+O18+S18+U18+V18</f>
        <v>552.09</v>
      </c>
      <c r="X18" s="51" t="n">
        <f aca="false">IF(L18&lt;0,L18*-1,0)</f>
        <v>48.5294882782959</v>
      </c>
      <c r="Y18" s="51" t="n">
        <f aca="false">W18+X18</f>
        <v>600.619488278296</v>
      </c>
      <c r="Z18" s="56" t="n">
        <v>0</v>
      </c>
      <c r="AA18" s="82" t="n">
        <v>80</v>
      </c>
      <c r="AB18" s="57" t="n">
        <v>52</v>
      </c>
      <c r="AC18" s="58" t="n">
        <f aca="false">AC17+1</f>
        <v>9</v>
      </c>
      <c r="AD18" s="93" t="n">
        <f aca="false">IF(I18&gt;S18,I18-S18,I18-S18)</f>
        <v>-253.47</v>
      </c>
      <c r="AE18" s="12"/>
      <c r="AF18" s="0"/>
      <c r="AG18" s="6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</row>
    <row r="19" customFormat="false" ht="11.1" hidden="false" customHeight="true" outlineLevel="0" collapsed="false">
      <c r="A19" s="58" t="n">
        <f aca="false">A18+1</f>
        <v>10</v>
      </c>
      <c r="B19" s="73" t="n">
        <v>6913.39</v>
      </c>
      <c r="C19" s="52" t="n">
        <v>335724</v>
      </c>
      <c r="D19" s="57" t="n">
        <f aca="false">C19-C18</f>
        <v>-740</v>
      </c>
      <c r="E19" s="52" t="n">
        <f aca="false">C19-152000</f>
        <v>183724</v>
      </c>
      <c r="F19" s="51" t="n">
        <f aca="false">D19/$D$2</f>
        <v>-373.077892614066</v>
      </c>
      <c r="G19" s="51" t="n">
        <v>165</v>
      </c>
      <c r="H19" s="53" t="n">
        <v>0</v>
      </c>
      <c r="I19" s="51" t="n">
        <f aca="false">G19+H19</f>
        <v>165</v>
      </c>
      <c r="J19" s="81" t="n">
        <v>0</v>
      </c>
      <c r="K19" s="51" t="n">
        <f aca="false">I19+J19</f>
        <v>165</v>
      </c>
      <c r="L19" s="51" t="n">
        <f aca="false">F19-(I19-W19)</f>
        <v>32.002107385934</v>
      </c>
      <c r="M19" s="51" t="n">
        <v>135.36</v>
      </c>
      <c r="N19" s="87" t="n">
        <v>0</v>
      </c>
      <c r="O19" s="51" t="n">
        <v>0</v>
      </c>
      <c r="P19" s="6" t="n">
        <f aca="false">M19-(N19+O19)</f>
        <v>135.36</v>
      </c>
      <c r="Q19" s="51" t="n">
        <v>209.05</v>
      </c>
      <c r="R19" s="51" t="n">
        <v>80.59</v>
      </c>
      <c r="S19" s="51" t="n">
        <f aca="false">SUM(P19:R19)</f>
        <v>425</v>
      </c>
      <c r="T19" s="52" t="n">
        <f aca="false">(I19-S19)+T18</f>
        <v>-8214.64</v>
      </c>
      <c r="U19" s="51" t="n">
        <v>56</v>
      </c>
      <c r="V19" s="51" t="n">
        <v>89.08</v>
      </c>
      <c r="W19" s="6" t="n">
        <f aca="false">N19+O19+S19+U19+V19</f>
        <v>570.08</v>
      </c>
      <c r="X19" s="51" t="n">
        <f aca="false">IF(L19&lt;0,L19*-1,0)</f>
        <v>0</v>
      </c>
      <c r="Y19" s="51" t="n">
        <f aca="false">W19+X19</f>
        <v>570.08</v>
      </c>
      <c r="Z19" s="56" t="n">
        <v>0</v>
      </c>
      <c r="AA19" s="57" t="n">
        <v>74</v>
      </c>
      <c r="AB19" s="57" t="n">
        <v>54</v>
      </c>
      <c r="AC19" s="58" t="n">
        <f aca="false">AC18+1</f>
        <v>10</v>
      </c>
      <c r="AD19" s="93" t="n">
        <f aca="false">IF(I19&gt;S19,I19-S19,I19-S19)</f>
        <v>-260</v>
      </c>
      <c r="AE19" s="12"/>
      <c r="AF19" s="0"/>
      <c r="AG19" s="6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</row>
    <row r="20" customFormat="false" ht="11.1" hidden="false" customHeight="true" outlineLevel="0" collapsed="false">
      <c r="A20" s="58" t="n">
        <v>11</v>
      </c>
      <c r="B20" s="73" t="n">
        <v>6913.19</v>
      </c>
      <c r="C20" s="52" t="n">
        <v>334902</v>
      </c>
      <c r="D20" s="57" t="n">
        <f aca="false">C20-C19</f>
        <v>-822</v>
      </c>
      <c r="E20" s="52" t="n">
        <f aca="false">C20-152000</f>
        <v>182902</v>
      </c>
      <c r="F20" s="51" t="n">
        <f aca="false">D20/$D$2</f>
        <v>-414.418956390219</v>
      </c>
      <c r="G20" s="51" t="n">
        <v>165</v>
      </c>
      <c r="H20" s="53" t="n">
        <v>0</v>
      </c>
      <c r="I20" s="51" t="n">
        <f aca="false">G20+H20</f>
        <v>165</v>
      </c>
      <c r="J20" s="81" t="n">
        <f aca="false">IF(L20&gt;0,L20,0)</f>
        <v>0</v>
      </c>
      <c r="K20" s="51" t="n">
        <f aca="false">I20+J20</f>
        <v>165</v>
      </c>
      <c r="L20" s="51" t="n">
        <f aca="false">F20-(I20-W20)</f>
        <v>-0.318956390219284</v>
      </c>
      <c r="M20" s="51" t="n">
        <v>141.22</v>
      </c>
      <c r="N20" s="87" t="n">
        <v>0</v>
      </c>
      <c r="O20" s="51" t="n">
        <v>0</v>
      </c>
      <c r="P20" s="6" t="n">
        <f aca="false">M20-(N20+O20)</f>
        <v>141.22</v>
      </c>
      <c r="Q20" s="51" t="n">
        <v>208.41</v>
      </c>
      <c r="R20" s="51" t="n">
        <v>80.37</v>
      </c>
      <c r="S20" s="51" t="n">
        <f aca="false">SUM(P20:R20)</f>
        <v>430</v>
      </c>
      <c r="T20" s="52" t="n">
        <f aca="false">(I20-S20)+T19</f>
        <v>-8479.64</v>
      </c>
      <c r="U20" s="51" t="n">
        <v>60</v>
      </c>
      <c r="V20" s="51" t="n">
        <v>89.1</v>
      </c>
      <c r="W20" s="6" t="n">
        <f aca="false">N20+O20+S20+U20+V20</f>
        <v>579.1</v>
      </c>
      <c r="X20" s="51" t="n">
        <f aca="false">IF(L20&lt;0,L20*-1,0)</f>
        <v>0.318956390219284</v>
      </c>
      <c r="Y20" s="51" t="n">
        <f aca="false">W20+X20</f>
        <v>579.418956390219</v>
      </c>
      <c r="Z20" s="56" t="n">
        <v>0</v>
      </c>
      <c r="AA20" s="57" t="n">
        <v>79</v>
      </c>
      <c r="AB20" s="57" t="n">
        <v>54</v>
      </c>
      <c r="AC20" s="58" t="n">
        <v>11</v>
      </c>
      <c r="AD20" s="93" t="n">
        <f aca="false">IF(I20&gt;S20,I20-S20,I20-S20)</f>
        <v>-265</v>
      </c>
      <c r="AE20" s="12"/>
      <c r="AF20" s="0"/>
      <c r="AG20" s="6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</row>
    <row r="21" customFormat="false" ht="11.1" hidden="false" customHeight="true" outlineLevel="0" collapsed="false">
      <c r="A21" s="58" t="n">
        <v>12</v>
      </c>
      <c r="B21" s="73" t="n">
        <v>6913</v>
      </c>
      <c r="C21" s="52" t="n">
        <v>334121</v>
      </c>
      <c r="D21" s="57" t="n">
        <f aca="false">C21-C20</f>
        <v>-781</v>
      </c>
      <c r="E21" s="52" t="n">
        <f aca="false">C21-152000</f>
        <v>182121</v>
      </c>
      <c r="F21" s="51" t="n">
        <f aca="false">D21/$D$2</f>
        <v>-393.748424502143</v>
      </c>
      <c r="G21" s="51" t="n">
        <v>174.96</v>
      </c>
      <c r="H21" s="53" t="n">
        <v>0</v>
      </c>
      <c r="I21" s="51" t="n">
        <f aca="false">G21+H21</f>
        <v>174.96</v>
      </c>
      <c r="J21" s="81" t="n">
        <f aca="false">IF(L21&gt;0,L21,0)</f>
        <v>13.3915754978573</v>
      </c>
      <c r="K21" s="51" t="n">
        <f aca="false">I21+J21</f>
        <v>188.351575497857</v>
      </c>
      <c r="L21" s="51" t="n">
        <f aca="false">F21-(I21-W21)</f>
        <v>13.3915754978573</v>
      </c>
      <c r="M21" s="51" t="n">
        <v>140.2</v>
      </c>
      <c r="N21" s="87" t="n">
        <v>0</v>
      </c>
      <c r="O21" s="51" t="n">
        <v>0</v>
      </c>
      <c r="P21" s="6" t="n">
        <f aca="false">M21-(N21+O21)</f>
        <v>140.2</v>
      </c>
      <c r="Q21" s="51" t="n">
        <v>208.1</v>
      </c>
      <c r="R21" s="51" t="n">
        <v>80.7</v>
      </c>
      <c r="S21" s="51" t="n">
        <f aca="false">SUM(P21:R21)</f>
        <v>429</v>
      </c>
      <c r="T21" s="52" t="n">
        <f aca="false">(I21-S21)+T20</f>
        <v>-8733.68</v>
      </c>
      <c r="U21" s="51" t="n">
        <v>64</v>
      </c>
      <c r="V21" s="51" t="n">
        <v>89.1</v>
      </c>
      <c r="W21" s="6" t="n">
        <f aca="false">N21+O21+S21+U21+V21</f>
        <v>582.1</v>
      </c>
      <c r="X21" s="51" t="n">
        <f aca="false">IF(L21&lt;0,L21*-1,0)</f>
        <v>0</v>
      </c>
      <c r="Y21" s="51" t="n">
        <f aca="false">W21+X21</f>
        <v>582.1</v>
      </c>
      <c r="Z21" s="56" t="n">
        <v>0</v>
      </c>
      <c r="AA21" s="57" t="n">
        <v>80</v>
      </c>
      <c r="AB21" s="57" t="n">
        <v>53</v>
      </c>
      <c r="AC21" s="58" t="n">
        <v>12</v>
      </c>
      <c r="AD21" s="93" t="n">
        <f aca="false">IF(I21&gt;S21,I21-S21,I21-S21)</f>
        <v>-254.04</v>
      </c>
      <c r="AE21" s="12"/>
      <c r="AF21" s="0"/>
      <c r="AG21" s="6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</row>
    <row r="22" customFormat="false" ht="11.1" hidden="false" customHeight="true" outlineLevel="0" collapsed="false">
      <c r="A22" s="58" t="n">
        <v>13</v>
      </c>
      <c r="B22" s="73" t="n">
        <v>6912.79</v>
      </c>
      <c r="C22" s="52" t="n">
        <v>333265</v>
      </c>
      <c r="D22" s="57" t="n">
        <f aca="false">C22-C21</f>
        <v>-856</v>
      </c>
      <c r="E22" s="52" t="n">
        <f aca="false">C22-152000</f>
        <v>181265</v>
      </c>
      <c r="F22" s="51" t="n">
        <f aca="false">D22/$D$2</f>
        <v>-431.560373077893</v>
      </c>
      <c r="G22" s="51" t="n">
        <v>181.21</v>
      </c>
      <c r="H22" s="53" t="n">
        <v>0</v>
      </c>
      <c r="I22" s="51" t="n">
        <f aca="false">G22+H22</f>
        <v>181.21</v>
      </c>
      <c r="J22" s="81" t="n">
        <f aca="false">IF(L22&gt;0,L22,0)</f>
        <v>0</v>
      </c>
      <c r="K22" s="51" t="n">
        <f aca="false">I22+J22</f>
        <v>181.21</v>
      </c>
      <c r="L22" s="51" t="n">
        <f aca="false">F22-(I22-W22)</f>
        <v>-37.6603730778926</v>
      </c>
      <c r="M22" s="51" t="n">
        <v>140.21</v>
      </c>
      <c r="N22" s="87" t="n">
        <v>0</v>
      </c>
      <c r="O22" s="51" t="n">
        <v>0</v>
      </c>
      <c r="P22" s="6" t="n">
        <f aca="false">M22-(N22+O22)</f>
        <v>140.21</v>
      </c>
      <c r="Q22" s="51" t="n">
        <v>208.04</v>
      </c>
      <c r="R22" s="51" t="n">
        <v>80.75</v>
      </c>
      <c r="S22" s="51" t="n">
        <f aca="false">SUM(P22:R22)</f>
        <v>429</v>
      </c>
      <c r="T22" s="52" t="n">
        <f aca="false">(I22-S22)+T21</f>
        <v>-8981.47</v>
      </c>
      <c r="U22" s="51" t="n">
        <v>57</v>
      </c>
      <c r="V22" s="51" t="n">
        <v>89.11</v>
      </c>
      <c r="W22" s="6" t="n">
        <f aca="false">N22+O22+S22+U22+V22</f>
        <v>575.11</v>
      </c>
      <c r="X22" s="51" t="n">
        <f aca="false">IF(L22&lt;0,L22*-1,0)</f>
        <v>37.6603730778926</v>
      </c>
      <c r="Y22" s="51" t="n">
        <f aca="false">W22+X22</f>
        <v>612.770373077893</v>
      </c>
      <c r="Z22" s="56" t="n">
        <v>0</v>
      </c>
      <c r="AA22" s="57" t="n">
        <v>78</v>
      </c>
      <c r="AB22" s="57" t="n">
        <v>52</v>
      </c>
      <c r="AC22" s="58" t="n">
        <v>13</v>
      </c>
      <c r="AD22" s="93" t="n">
        <f aca="false">IF(I22&gt;S22,I22-S22,I22-S22)</f>
        <v>-247.79</v>
      </c>
      <c r="AE22" s="12"/>
      <c r="AF22" s="0"/>
      <c r="AG22" s="6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</row>
    <row r="23" customFormat="false" ht="11.1" hidden="false" customHeight="true" outlineLevel="0" collapsed="false">
      <c r="A23" s="58" t="n">
        <v>14</v>
      </c>
      <c r="B23" s="73" t="n">
        <v>6912.57</v>
      </c>
      <c r="C23" s="52" t="n">
        <v>332368</v>
      </c>
      <c r="D23" s="57" t="n">
        <f aca="false">C23-C22</f>
        <v>-897</v>
      </c>
      <c r="E23" s="52" t="n">
        <f aca="false">C23-152000</f>
        <v>180368</v>
      </c>
      <c r="F23" s="51" t="n">
        <f aca="false">D23/$D$2</f>
        <v>-452.230904965969</v>
      </c>
      <c r="G23" s="51" t="n">
        <v>167.37</v>
      </c>
      <c r="H23" s="53" t="n">
        <v>0</v>
      </c>
      <c r="I23" s="51" t="n">
        <f aca="false">G23+H23</f>
        <v>167.37</v>
      </c>
      <c r="J23" s="81" t="n">
        <f aca="false">IF(L23&gt;0,L23,0)</f>
        <v>0</v>
      </c>
      <c r="K23" s="51" t="n">
        <f aca="false">I23+J23</f>
        <v>167.37</v>
      </c>
      <c r="L23" s="51" t="n">
        <f aca="false">F23-(I23-W23)</f>
        <v>-36.7709049659692</v>
      </c>
      <c r="M23" s="51" t="n">
        <v>149.81</v>
      </c>
      <c r="N23" s="87" t="n">
        <v>0</v>
      </c>
      <c r="O23" s="51" t="n">
        <v>0</v>
      </c>
      <c r="P23" s="6" t="n">
        <f aca="false">M23-(N23+O23)</f>
        <v>149.81</v>
      </c>
      <c r="Q23" s="51" t="n">
        <v>207.79</v>
      </c>
      <c r="R23" s="51" t="n">
        <v>80.4</v>
      </c>
      <c r="S23" s="51" t="n">
        <f aca="false">SUM(P23:R23)</f>
        <v>438</v>
      </c>
      <c r="T23" s="52" t="n">
        <f aca="false">(I23-S23)+T22</f>
        <v>-9252.1</v>
      </c>
      <c r="U23" s="51" t="n">
        <v>56</v>
      </c>
      <c r="V23" s="51" t="n">
        <v>88.83</v>
      </c>
      <c r="W23" s="6" t="n">
        <f aca="false">N23+O23+S23+U23+V23</f>
        <v>582.83</v>
      </c>
      <c r="X23" s="51" t="n">
        <f aca="false">IF(L23&lt;0,L23*-1,0)</f>
        <v>36.7709049659692</v>
      </c>
      <c r="Y23" s="51" t="n">
        <f aca="false">W23+X23</f>
        <v>619.600904965969</v>
      </c>
      <c r="Z23" s="56" t="n">
        <v>0</v>
      </c>
      <c r="AA23" s="57" t="n">
        <v>78</v>
      </c>
      <c r="AB23" s="57" t="n">
        <v>50</v>
      </c>
      <c r="AC23" s="58" t="n">
        <v>14</v>
      </c>
      <c r="AD23" s="93" t="n">
        <f aca="false">IF(I23&gt;S23,I23-S23,I23-S23)</f>
        <v>-270.63</v>
      </c>
      <c r="AE23" s="12"/>
      <c r="AF23" s="0"/>
      <c r="AG23" s="6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</row>
    <row r="24" customFormat="false" ht="11.1" hidden="false" customHeight="true" outlineLevel="0" collapsed="false">
      <c r="A24" s="58" t="n">
        <v>15</v>
      </c>
      <c r="B24" s="73" t="n">
        <v>6912.35</v>
      </c>
      <c r="C24" s="52" t="n">
        <v>331471</v>
      </c>
      <c r="D24" s="57" t="n">
        <f aca="false">C24-C23</f>
        <v>-897</v>
      </c>
      <c r="E24" s="52" t="n">
        <f aca="false">C24-152000</f>
        <v>179471</v>
      </c>
      <c r="F24" s="51" t="n">
        <f aca="false">D24/$D$2</f>
        <v>-452.230904965969</v>
      </c>
      <c r="G24" s="51" t="n">
        <v>160.55</v>
      </c>
      <c r="H24" s="53" t="n">
        <v>0</v>
      </c>
      <c r="I24" s="51" t="n">
        <f aca="false">G24+H24</f>
        <v>160.55</v>
      </c>
      <c r="J24" s="81" t="n">
        <f aca="false">IF(L24&gt;0,L24,0)</f>
        <v>0</v>
      </c>
      <c r="K24" s="51" t="n">
        <f aca="false">I24+J24</f>
        <v>160.55</v>
      </c>
      <c r="L24" s="51" t="n">
        <f aca="false">F24-(I24-W24)</f>
        <v>-28.9909049659693</v>
      </c>
      <c r="M24" s="51" t="n">
        <v>155.05</v>
      </c>
      <c r="N24" s="87" t="n">
        <v>0</v>
      </c>
      <c r="O24" s="51" t="n">
        <v>0</v>
      </c>
      <c r="P24" s="6" t="n">
        <f aca="false">M24-(N24+O24)</f>
        <v>155.05</v>
      </c>
      <c r="Q24" s="51" t="n">
        <v>207.31</v>
      </c>
      <c r="R24" s="51" t="n">
        <v>80.64</v>
      </c>
      <c r="S24" s="51" t="n">
        <f aca="false">SUM(P24:R24)</f>
        <v>443</v>
      </c>
      <c r="T24" s="52" t="n">
        <f aca="false">(I24-S24)+T23</f>
        <v>-9534.55</v>
      </c>
      <c r="U24" s="51" t="n">
        <v>52</v>
      </c>
      <c r="V24" s="51" t="n">
        <v>88.79</v>
      </c>
      <c r="W24" s="6" t="n">
        <f aca="false">N24+O24+S24+U24+V24</f>
        <v>583.79</v>
      </c>
      <c r="X24" s="51" t="n">
        <f aca="false">IF(L24&lt;0,L24*-1,0)</f>
        <v>28.9909049659693</v>
      </c>
      <c r="Y24" s="51" t="n">
        <f aca="false">W24+X24</f>
        <v>612.780904965969</v>
      </c>
      <c r="Z24" s="56" t="n">
        <v>0</v>
      </c>
      <c r="AA24" s="57" t="n">
        <v>74</v>
      </c>
      <c r="AB24" s="57" t="n">
        <v>51</v>
      </c>
      <c r="AC24" s="58" t="n">
        <v>15</v>
      </c>
      <c r="AD24" s="93" t="n">
        <f aca="false">IF(I24&gt;S24,I24-S24,I24-S24)</f>
        <v>-282.45</v>
      </c>
      <c r="AE24" s="12"/>
      <c r="AF24" s="0"/>
      <c r="AG24" s="6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</row>
    <row r="25" customFormat="false" ht="11.1" hidden="false" customHeight="true" outlineLevel="0" collapsed="false">
      <c r="A25" s="58" t="n">
        <v>16</v>
      </c>
      <c r="B25" s="73" t="n">
        <v>6912.09</v>
      </c>
      <c r="C25" s="52" t="n">
        <v>330411</v>
      </c>
      <c r="D25" s="57" t="n">
        <f aca="false">C25-C24</f>
        <v>-1060</v>
      </c>
      <c r="E25" s="52" t="n">
        <f aca="false">C25-152000</f>
        <v>178411</v>
      </c>
      <c r="F25" s="51" t="n">
        <f aca="false">D25/$D$2</f>
        <v>-534.408873203932</v>
      </c>
      <c r="G25" s="51" t="n">
        <v>159.5</v>
      </c>
      <c r="H25" s="53" t="n">
        <v>0</v>
      </c>
      <c r="I25" s="51" t="n">
        <f aca="false">G25+H25</f>
        <v>159.5</v>
      </c>
      <c r="J25" s="81" t="n">
        <f aca="false">IF(L25&gt;0,L25,0)</f>
        <v>0</v>
      </c>
      <c r="K25" s="51" t="n">
        <f aca="false">I25+J25</f>
        <v>159.5</v>
      </c>
      <c r="L25" s="51" t="n">
        <f aca="false">F25-(I25-W25)</f>
        <v>-94.9488732039324</v>
      </c>
      <c r="M25" s="51" t="n">
        <v>161.97</v>
      </c>
      <c r="N25" s="87" t="n">
        <v>0</v>
      </c>
      <c r="O25" s="51" t="n">
        <v>0</v>
      </c>
      <c r="P25" s="6" t="n">
        <f aca="false">M25-(N25+O25)</f>
        <v>161.97</v>
      </c>
      <c r="Q25" s="51" t="n">
        <v>206.64</v>
      </c>
      <c r="R25" s="51" t="n">
        <v>80.39</v>
      </c>
      <c r="S25" s="51" t="n">
        <f aca="false">SUM(P25:R25)</f>
        <v>449</v>
      </c>
      <c r="T25" s="52" t="n">
        <f aca="false">(I25-S25)+T24</f>
        <v>-9824.05</v>
      </c>
      <c r="U25" s="51" t="n">
        <v>61</v>
      </c>
      <c r="V25" s="51" t="n">
        <v>88.96</v>
      </c>
      <c r="W25" s="6" t="n">
        <f aca="false">N25+O25+S25+U25+V25</f>
        <v>598.96</v>
      </c>
      <c r="X25" s="51" t="n">
        <f aca="false">IF(L25&lt;0,L25*-1,0)</f>
        <v>94.9488732039324</v>
      </c>
      <c r="Y25" s="51" t="n">
        <f aca="false">W25+X25</f>
        <v>693.908873203932</v>
      </c>
      <c r="Z25" s="56" t="n">
        <v>0</v>
      </c>
      <c r="AA25" s="57" t="n">
        <v>79</v>
      </c>
      <c r="AB25" s="57" t="n">
        <v>50</v>
      </c>
      <c r="AC25" s="58" t="n">
        <v>16</v>
      </c>
      <c r="AD25" s="93" t="n">
        <f aca="false">IF(I25&gt;S25,I25-S25,I25-S25)</f>
        <v>-289.5</v>
      </c>
      <c r="AE25" s="12"/>
      <c r="AF25" s="0"/>
      <c r="AG25" s="6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</row>
    <row r="26" customFormat="false" ht="11.1" hidden="false" customHeight="true" outlineLevel="0" collapsed="false">
      <c r="A26" s="58" t="n">
        <v>17</v>
      </c>
      <c r="B26" s="73" t="n">
        <v>6911.91</v>
      </c>
      <c r="C26" s="52" t="n">
        <v>329680</v>
      </c>
      <c r="D26" s="57" t="n">
        <f aca="false">C26-C25</f>
        <v>-731</v>
      </c>
      <c r="E26" s="52" t="n">
        <f aca="false">C26-152000</f>
        <v>177680</v>
      </c>
      <c r="F26" s="51" t="n">
        <f aca="false">D26/$D$2</f>
        <v>-368.540458784976</v>
      </c>
      <c r="G26" s="51" t="n">
        <v>159.34</v>
      </c>
      <c r="H26" s="53" t="n">
        <v>0</v>
      </c>
      <c r="I26" s="51" t="n">
        <f aca="false">G26+H26</f>
        <v>159.34</v>
      </c>
      <c r="J26" s="81" t="n">
        <f aca="false">IF(L26&gt;0,L26,0)</f>
        <v>83.1295412150239</v>
      </c>
      <c r="K26" s="51" t="n">
        <f aca="false">I26+J26</f>
        <v>242.469541215024</v>
      </c>
      <c r="L26" s="51" t="n">
        <f aca="false">F26-(I26-W26)</f>
        <v>83.1295412150239</v>
      </c>
      <c r="M26" s="51" t="n">
        <v>175.74</v>
      </c>
      <c r="N26" s="87" t="n">
        <v>0</v>
      </c>
      <c r="O26" s="51" t="n">
        <v>0</v>
      </c>
      <c r="P26" s="6" t="n">
        <f aca="false">M26-(N26+O26)</f>
        <v>175.74</v>
      </c>
      <c r="Q26" s="51" t="n">
        <v>206.47</v>
      </c>
      <c r="R26" s="51" t="n">
        <v>81.79</v>
      </c>
      <c r="S26" s="51" t="n">
        <f aca="false">SUM(P26:R26)</f>
        <v>464</v>
      </c>
      <c r="T26" s="52" t="n">
        <f aca="false">(I26-S26)+T25</f>
        <v>-10128.71</v>
      </c>
      <c r="U26" s="51" t="n">
        <v>58</v>
      </c>
      <c r="V26" s="51" t="n">
        <v>89.01</v>
      </c>
      <c r="W26" s="6" t="n">
        <f aca="false">N26+O26+S26+U26+V26</f>
        <v>611.01</v>
      </c>
      <c r="X26" s="51" t="n">
        <f aca="false">IF(L26&lt;0,L26*-1,0)</f>
        <v>0</v>
      </c>
      <c r="Y26" s="51" t="n">
        <f aca="false">W26+X26</f>
        <v>611.01</v>
      </c>
      <c r="Z26" s="56" t="n">
        <v>0.3</v>
      </c>
      <c r="AA26" s="57" t="n">
        <v>76</v>
      </c>
      <c r="AB26" s="57" t="n">
        <v>49</v>
      </c>
      <c r="AC26" s="58" t="n">
        <v>17</v>
      </c>
      <c r="AD26" s="93" t="n">
        <f aca="false">IF(I26&gt;S26,I26-S26,I26-S26)</f>
        <v>-304.66</v>
      </c>
      <c r="AE26" s="12"/>
      <c r="AF26" s="0"/>
      <c r="AG26" s="6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</row>
    <row r="27" customFormat="false" ht="11.1" hidden="false" customHeight="true" outlineLevel="0" collapsed="false">
      <c r="A27" s="58" t="n">
        <v>18</v>
      </c>
      <c r="B27" s="73" t="n">
        <v>6911.73</v>
      </c>
      <c r="C27" s="52" t="n">
        <v>328952</v>
      </c>
      <c r="D27" s="57" t="n">
        <f aca="false">C27-C26</f>
        <v>-728</v>
      </c>
      <c r="E27" s="52" t="n">
        <f aca="false">C27-152000</f>
        <v>176952</v>
      </c>
      <c r="F27" s="51" t="n">
        <f aca="false">D27/$D$2</f>
        <v>-367.027980841946</v>
      </c>
      <c r="G27" s="51" t="n">
        <v>198</v>
      </c>
      <c r="H27" s="53" t="n">
        <v>0</v>
      </c>
      <c r="I27" s="51" t="n">
        <f aca="false">G27+H27</f>
        <v>198</v>
      </c>
      <c r="J27" s="81" t="n">
        <f aca="false">IF(L27&gt;0,L27,0)</f>
        <v>40.362019158054</v>
      </c>
      <c r="K27" s="51" t="n">
        <f aca="false">I27+J27</f>
        <v>238.362019158054</v>
      </c>
      <c r="L27" s="51" t="n">
        <f aca="false">F27-(I27-W27)</f>
        <v>40.362019158054</v>
      </c>
      <c r="M27" s="51" t="n">
        <v>175.3</v>
      </c>
      <c r="N27" s="87" t="n">
        <v>0</v>
      </c>
      <c r="O27" s="51" t="n">
        <v>0</v>
      </c>
      <c r="P27" s="6" t="n">
        <f aca="false">M27-(N27+O27)</f>
        <v>175.3</v>
      </c>
      <c r="Q27" s="51" t="n">
        <v>206.05</v>
      </c>
      <c r="R27" s="51" t="n">
        <v>82.65</v>
      </c>
      <c r="S27" s="51" t="n">
        <f aca="false">SUM(P27:R27)</f>
        <v>464</v>
      </c>
      <c r="T27" s="52" t="n">
        <f aca="false">(I27-S27)+T26</f>
        <v>-10394.71</v>
      </c>
      <c r="U27" s="51" t="n">
        <v>52</v>
      </c>
      <c r="V27" s="51" t="n">
        <v>89.39</v>
      </c>
      <c r="W27" s="6" t="n">
        <f aca="false">N27+O27+S27+U27+V27</f>
        <v>605.39</v>
      </c>
      <c r="X27" s="51" t="n">
        <f aca="false">IF(L27&lt;0,L27*-1,0)</f>
        <v>0</v>
      </c>
      <c r="Y27" s="51" t="n">
        <f aca="false">W27+X27</f>
        <v>605.39</v>
      </c>
      <c r="Z27" s="56" t="n">
        <v>0</v>
      </c>
      <c r="AA27" s="57" t="n">
        <v>71</v>
      </c>
      <c r="AB27" s="57" t="n">
        <v>48</v>
      </c>
      <c r="AC27" s="58" t="n">
        <v>18</v>
      </c>
      <c r="AD27" s="93" t="n">
        <f aca="false">IF(I27&gt;S27,I27-S27,I27-S27)</f>
        <v>-266</v>
      </c>
      <c r="AE27" s="12"/>
      <c r="AF27" s="0"/>
      <c r="AG27" s="6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</row>
    <row r="28" customFormat="false" ht="11.1" hidden="false" customHeight="true" outlineLevel="0" collapsed="false">
      <c r="A28" s="58" t="n">
        <v>19</v>
      </c>
      <c r="B28" s="73" t="n">
        <v>6911.54</v>
      </c>
      <c r="C28" s="52" t="n">
        <v>328184</v>
      </c>
      <c r="D28" s="57" t="n">
        <f aca="false">C28-C27</f>
        <v>-768</v>
      </c>
      <c r="E28" s="52" t="n">
        <f aca="false">C28-152000</f>
        <v>176184</v>
      </c>
      <c r="F28" s="51" t="n">
        <f aca="false">D28/$D$2</f>
        <v>-387.194353415679</v>
      </c>
      <c r="G28" s="51" t="n">
        <v>250.91</v>
      </c>
      <c r="H28" s="53" t="n">
        <v>0</v>
      </c>
      <c r="I28" s="51" t="n">
        <f aca="false">G28+H28</f>
        <v>250.91</v>
      </c>
      <c r="J28" s="81" t="n">
        <f aca="false">IF(L28&gt;0,L28,0)</f>
        <v>0</v>
      </c>
      <c r="K28" s="51" t="n">
        <f aca="false">I28+J28</f>
        <v>250.91</v>
      </c>
      <c r="L28" s="51" t="n">
        <f aca="false">F28-(I28-W28)</f>
        <v>-31.0943534156793</v>
      </c>
      <c r="M28" s="51" t="n">
        <v>175.09</v>
      </c>
      <c r="N28" s="87" t="n">
        <v>0</v>
      </c>
      <c r="O28" s="51" t="n">
        <v>0</v>
      </c>
      <c r="P28" s="6" t="n">
        <f aca="false">M28-(N28+O28)</f>
        <v>175.09</v>
      </c>
      <c r="Q28" s="51" t="n">
        <v>205.75</v>
      </c>
      <c r="R28" s="104" t="n">
        <v>83.16</v>
      </c>
      <c r="S28" s="51" t="n">
        <f aca="false">SUM(P28:R28)</f>
        <v>464</v>
      </c>
      <c r="T28" s="52" t="n">
        <f aca="false">(I28-S28)+T27</f>
        <v>-10607.8</v>
      </c>
      <c r="U28" s="51" t="n">
        <v>54</v>
      </c>
      <c r="V28" s="51" t="n">
        <v>89.01</v>
      </c>
      <c r="W28" s="6" t="n">
        <f aca="false">N28+O28+S28+U28+V28</f>
        <v>607.01</v>
      </c>
      <c r="X28" s="51" t="n">
        <f aca="false">IF(L28&lt;0,L28*-1,0)</f>
        <v>31.0943534156793</v>
      </c>
      <c r="Y28" s="51" t="n">
        <f aca="false">W28+X28</f>
        <v>638.104353415679</v>
      </c>
      <c r="Z28" s="56" t="n">
        <v>0.02</v>
      </c>
      <c r="AA28" s="57" t="n">
        <v>74</v>
      </c>
      <c r="AB28" s="57" t="n">
        <v>48</v>
      </c>
      <c r="AC28" s="58" t="n">
        <v>19</v>
      </c>
      <c r="AD28" s="93" t="n">
        <f aca="false">IF(I28&gt;S28,I28-S28,I28-S28)</f>
        <v>-213.09</v>
      </c>
      <c r="AE28" s="12"/>
      <c r="AF28" s="0"/>
      <c r="AG28" s="6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</row>
    <row r="29" customFormat="false" ht="11.1" hidden="false" customHeight="true" outlineLevel="0" collapsed="false">
      <c r="A29" s="58" t="n">
        <v>20</v>
      </c>
      <c r="B29" s="73" t="n">
        <v>6911.35</v>
      </c>
      <c r="C29" s="52" t="n">
        <v>327415</v>
      </c>
      <c r="D29" s="57" t="n">
        <f aca="false">C29-C28</f>
        <v>-769</v>
      </c>
      <c r="E29" s="52" t="n">
        <f aca="false">C29-152000</f>
        <v>175415</v>
      </c>
      <c r="F29" s="51" t="n">
        <f aca="false">D29/$D$2</f>
        <v>-387.698512730023</v>
      </c>
      <c r="G29" s="51" t="n">
        <v>189.16</v>
      </c>
      <c r="H29" s="53" t="n">
        <v>0</v>
      </c>
      <c r="I29" s="51" t="n">
        <f aca="false">G29+H29</f>
        <v>189.16</v>
      </c>
      <c r="J29" s="81" t="n">
        <f aca="false">IF(L29&gt;0,L29,0)</f>
        <v>25.3014872699773</v>
      </c>
      <c r="K29" s="51" t="n">
        <f aca="false">I29+J29</f>
        <v>214.461487269977</v>
      </c>
      <c r="L29" s="51" t="n">
        <f aca="false">F29-(I29-W29)</f>
        <v>25.3014872699773</v>
      </c>
      <c r="M29" s="51" t="n">
        <v>175.02</v>
      </c>
      <c r="N29" s="87" t="n">
        <v>0</v>
      </c>
      <c r="O29" s="51" t="n">
        <v>0</v>
      </c>
      <c r="P29" s="6" t="n">
        <f aca="false">M29-(N29+O29)</f>
        <v>175.02</v>
      </c>
      <c r="Q29" s="51" t="n">
        <v>205.38</v>
      </c>
      <c r="R29" s="104" t="n">
        <v>82.6</v>
      </c>
      <c r="S29" s="51" t="n">
        <f aca="false">SUM(P29:R29)</f>
        <v>463</v>
      </c>
      <c r="T29" s="52" t="n">
        <f aca="false">(I29-S29)+T28</f>
        <v>-10881.64</v>
      </c>
      <c r="U29" s="51" t="n">
        <v>50</v>
      </c>
      <c r="V29" s="51" t="n">
        <v>89.16</v>
      </c>
      <c r="W29" s="6" t="n">
        <f aca="false">N29+O29+S29+U29+V29</f>
        <v>602.16</v>
      </c>
      <c r="X29" s="51" t="n">
        <f aca="false">IF(L29&lt;0,L29*-1,0)</f>
        <v>0</v>
      </c>
      <c r="Y29" s="51" t="n">
        <f aca="false">W29+X29</f>
        <v>602.16</v>
      </c>
      <c r="Z29" s="56" t="n">
        <v>0.12</v>
      </c>
      <c r="AA29" s="57" t="n">
        <v>63</v>
      </c>
      <c r="AB29" s="57" t="n">
        <v>48</v>
      </c>
      <c r="AC29" s="58" t="n">
        <v>20</v>
      </c>
      <c r="AD29" s="93" t="n">
        <f aca="false">IF(I29&gt;S29,I29-S29,I29-S29)</f>
        <v>-273.84</v>
      </c>
      <c r="AE29" s="12"/>
      <c r="AF29" s="0"/>
      <c r="AG29" s="6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</row>
    <row r="30" customFormat="false" ht="11.1" hidden="false" customHeight="true" outlineLevel="0" collapsed="false">
      <c r="A30" s="58" t="n">
        <v>21</v>
      </c>
      <c r="B30" s="73" t="n">
        <v>6911.15</v>
      </c>
      <c r="C30" s="52" t="n">
        <v>326606</v>
      </c>
      <c r="D30" s="57" t="n">
        <f aca="false">C30-C29</f>
        <v>-809</v>
      </c>
      <c r="E30" s="52" t="n">
        <f aca="false">C30-152000</f>
        <v>174606</v>
      </c>
      <c r="F30" s="51" t="n">
        <f aca="false">D30/$D$2</f>
        <v>-407.864885303756</v>
      </c>
      <c r="G30" s="51" t="n">
        <v>196.81</v>
      </c>
      <c r="H30" s="53" t="n">
        <v>0</v>
      </c>
      <c r="I30" s="51" t="n">
        <f aca="false">G30+H30</f>
        <v>196.81</v>
      </c>
      <c r="J30" s="81" t="n">
        <f aca="false">IF(L30&gt;0,L30,0)</f>
        <v>0</v>
      </c>
      <c r="K30" s="51" t="n">
        <f aca="false">I30+J30</f>
        <v>196.81</v>
      </c>
      <c r="L30" s="51" t="n">
        <f aca="false">F30-(I30-W30)</f>
        <v>-16.554885303756</v>
      </c>
      <c r="M30" s="51" t="n">
        <v>175</v>
      </c>
      <c r="N30" s="87" t="n">
        <v>0</v>
      </c>
      <c r="O30" s="51" t="n">
        <v>0</v>
      </c>
      <c r="P30" s="6" t="n">
        <f aca="false">M30-(N30+O30)</f>
        <v>175</v>
      </c>
      <c r="Q30" s="51" t="n">
        <v>205.1</v>
      </c>
      <c r="R30" s="104" t="n">
        <v>82.9</v>
      </c>
      <c r="S30" s="51" t="n">
        <f aca="false">SUM(P30:R30)</f>
        <v>463</v>
      </c>
      <c r="T30" s="52" t="n">
        <f aca="false">(I30-S30)+T29</f>
        <v>-11147.83</v>
      </c>
      <c r="U30" s="51" t="n">
        <v>36</v>
      </c>
      <c r="V30" s="51" t="n">
        <v>89.12</v>
      </c>
      <c r="W30" s="6" t="n">
        <f aca="false">N30+O30+S30+U30+V30</f>
        <v>588.12</v>
      </c>
      <c r="X30" s="51" t="n">
        <f aca="false">IF(L30&lt;0,L30*-1,0)</f>
        <v>16.554885303756</v>
      </c>
      <c r="Y30" s="51" t="n">
        <f aca="false">W30+X30</f>
        <v>604.674885303756</v>
      </c>
      <c r="Z30" s="56" t="n">
        <v>0</v>
      </c>
      <c r="AA30" s="57" t="n">
        <v>75</v>
      </c>
      <c r="AB30" s="57" t="n">
        <v>45</v>
      </c>
      <c r="AC30" s="58" t="n">
        <v>21</v>
      </c>
      <c r="AD30" s="93" t="n">
        <f aca="false">IF(I30&gt;S30,I30-S30,I30-S30)</f>
        <v>-266.19</v>
      </c>
      <c r="AE30" s="12"/>
      <c r="AF30" s="0"/>
      <c r="AG30" s="6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</row>
    <row r="31" customFormat="false" ht="11.1" hidden="false" customHeight="true" outlineLevel="0" collapsed="false">
      <c r="A31" s="58" t="n">
        <v>22</v>
      </c>
      <c r="B31" s="73" t="n">
        <v>6910.92</v>
      </c>
      <c r="C31" s="52" t="n">
        <v>325678</v>
      </c>
      <c r="D31" s="57" t="n">
        <f aca="false">C31-C30</f>
        <v>-928</v>
      </c>
      <c r="E31" s="52" t="n">
        <f aca="false">C31-152000</f>
        <v>173678</v>
      </c>
      <c r="F31" s="51" t="n">
        <f aca="false">D31/$D$2</f>
        <v>-467.859843710613</v>
      </c>
      <c r="G31" s="51" t="n">
        <v>188.11</v>
      </c>
      <c r="H31" s="53" t="n">
        <v>0</v>
      </c>
      <c r="I31" s="51" t="n">
        <f aca="false">G31+H31</f>
        <v>188.11</v>
      </c>
      <c r="J31" s="81" t="n">
        <f aca="false">IF(L31&gt;0,L31,0)</f>
        <v>0</v>
      </c>
      <c r="K31" s="51" t="n">
        <f aca="false">I31+J31</f>
        <v>188.11</v>
      </c>
      <c r="L31" s="51" t="n">
        <f aca="false">F31-(I31-W31)</f>
        <v>-52.8598437106126</v>
      </c>
      <c r="M31" s="51" t="n">
        <v>174.76</v>
      </c>
      <c r="N31" s="87" t="n">
        <v>0</v>
      </c>
      <c r="O31" s="51" t="n">
        <v>0</v>
      </c>
      <c r="P31" s="6" t="n">
        <f aca="false">M31-(N31+O31)</f>
        <v>174.76</v>
      </c>
      <c r="Q31" s="51" t="n">
        <v>204.46</v>
      </c>
      <c r="R31" s="51" t="n">
        <v>83.78</v>
      </c>
      <c r="S31" s="51" t="n">
        <f aca="false">SUM(P31:R31)</f>
        <v>463</v>
      </c>
      <c r="T31" s="52" t="n">
        <f aca="false">(I31-S31)+T30</f>
        <v>-11422.72</v>
      </c>
      <c r="U31" s="51" t="n">
        <v>51</v>
      </c>
      <c r="V31" s="51" t="n">
        <v>89.11</v>
      </c>
      <c r="W31" s="6" t="n">
        <f aca="false">N31+O31+S31+U31+V31</f>
        <v>603.11</v>
      </c>
      <c r="X31" s="51" t="n">
        <f aca="false">IF(L31&lt;0,L31*-1,0)</f>
        <v>52.8598437106126</v>
      </c>
      <c r="Y31" s="51" t="n">
        <f aca="false">W31+X31</f>
        <v>655.969843710613</v>
      </c>
      <c r="Z31" s="56" t="n">
        <v>0</v>
      </c>
      <c r="AA31" s="57" t="n">
        <v>75</v>
      </c>
      <c r="AB31" s="57" t="n">
        <v>44</v>
      </c>
      <c r="AC31" s="58" t="n">
        <v>22</v>
      </c>
      <c r="AD31" s="93" t="n">
        <f aca="false">IF(I31&gt;S31,I31-S31,I31-S31)</f>
        <v>-274.89</v>
      </c>
      <c r="AE31" s="12"/>
      <c r="AF31" s="0"/>
      <c r="AG31" s="6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</row>
    <row r="32" customFormat="false" ht="11.1" hidden="false" customHeight="true" outlineLevel="0" collapsed="false">
      <c r="A32" s="58" t="n">
        <v>23</v>
      </c>
      <c r="B32" s="73" t="n">
        <v>6910.69</v>
      </c>
      <c r="C32" s="52" t="n">
        <v>324755</v>
      </c>
      <c r="D32" s="57" t="n">
        <f aca="false">C32-C31</f>
        <v>-923</v>
      </c>
      <c r="E32" s="52" t="n">
        <f aca="false">C32-152000</f>
        <v>172755</v>
      </c>
      <c r="F32" s="51" t="n">
        <f aca="false">D32/$D$2</f>
        <v>-465.339047138896</v>
      </c>
      <c r="G32" s="51" t="n">
        <v>168.61</v>
      </c>
      <c r="H32" s="53" t="n">
        <v>0</v>
      </c>
      <c r="I32" s="51" t="n">
        <f aca="false">G32+H32</f>
        <v>168.61</v>
      </c>
      <c r="J32" s="81" t="n">
        <f aca="false">IF(L32&gt;0,L32,0)</f>
        <v>0</v>
      </c>
      <c r="K32" s="51" t="n">
        <f aca="false">I32+J32</f>
        <v>168.61</v>
      </c>
      <c r="L32" s="51" t="n">
        <f aca="false">F32-(I32-W32)</f>
        <v>-36.8490471388959</v>
      </c>
      <c r="M32" s="51" t="n">
        <v>174.47</v>
      </c>
      <c r="N32" s="87" t="n">
        <v>0</v>
      </c>
      <c r="O32" s="51" t="n">
        <v>0</v>
      </c>
      <c r="P32" s="6" t="n">
        <f aca="false">M32-(N32+O32)</f>
        <v>174.47</v>
      </c>
      <c r="Q32" s="51" t="n">
        <v>203.64</v>
      </c>
      <c r="R32" s="51" t="n">
        <v>82.89</v>
      </c>
      <c r="S32" s="51" t="n">
        <f aca="false">SUM(P32:R32)</f>
        <v>461</v>
      </c>
      <c r="T32" s="52" t="n">
        <f aca="false">(I32-S32)+T31</f>
        <v>-11715.11</v>
      </c>
      <c r="U32" s="51" t="n">
        <v>53</v>
      </c>
      <c r="V32" s="51" t="n">
        <v>83.1</v>
      </c>
      <c r="W32" s="6" t="n">
        <f aca="false">N32+O32+S32+U32+V32</f>
        <v>597.1</v>
      </c>
      <c r="X32" s="51" t="n">
        <f aca="false">IF(L32&lt;0,L32*-1,0)</f>
        <v>36.8490471388959</v>
      </c>
      <c r="Y32" s="51" t="n">
        <f aca="false">W32+X32</f>
        <v>633.949047138896</v>
      </c>
      <c r="Z32" s="56" t="n">
        <v>0</v>
      </c>
      <c r="AA32" s="57" t="n">
        <v>76</v>
      </c>
      <c r="AB32" s="57" t="n">
        <v>44</v>
      </c>
      <c r="AC32" s="58" t="n">
        <v>23</v>
      </c>
      <c r="AD32" s="93" t="n">
        <f aca="false">IF(I32&gt;S32,I32-S32,I32-S32)</f>
        <v>-292.39</v>
      </c>
      <c r="AE32" s="12"/>
      <c r="AF32" s="0"/>
      <c r="AG32" s="6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</row>
    <row r="33" customFormat="false" ht="11.1" hidden="false" customHeight="true" outlineLevel="0" collapsed="false">
      <c r="A33" s="58" t="n">
        <v>24</v>
      </c>
      <c r="B33" s="73" t="n">
        <v>6910.45</v>
      </c>
      <c r="C33" s="52" t="n">
        <v>323792</v>
      </c>
      <c r="D33" s="57" t="n">
        <f aca="false">C33-C32</f>
        <v>-963</v>
      </c>
      <c r="E33" s="52" t="n">
        <f aca="false">C33-152000</f>
        <v>171792</v>
      </c>
      <c r="F33" s="51" t="n">
        <f aca="false">D33/$D$2</f>
        <v>-485.505419712629</v>
      </c>
      <c r="G33" s="51" t="n">
        <v>142.47</v>
      </c>
      <c r="H33" s="53" t="n">
        <v>0</v>
      </c>
      <c r="I33" s="51" t="n">
        <f aca="false">G33+H33</f>
        <v>142.47</v>
      </c>
      <c r="J33" s="81" t="n">
        <f aca="false">IF(L33&gt;0,L33,0)</f>
        <v>0</v>
      </c>
      <c r="K33" s="51" t="n">
        <f aca="false">I33+J33</f>
        <v>142.47</v>
      </c>
      <c r="L33" s="51" t="n">
        <f aca="false">F33-(I33-W33)</f>
        <v>-39.8954197126292</v>
      </c>
      <c r="M33" s="51" t="n">
        <v>174.03</v>
      </c>
      <c r="N33" s="87" t="n">
        <v>0</v>
      </c>
      <c r="O33" s="51" t="n">
        <v>0</v>
      </c>
      <c r="P33" s="6" t="n">
        <f aca="false">M33-(N33+O33)</f>
        <v>174.03</v>
      </c>
      <c r="Q33" s="51" t="n">
        <v>203.08</v>
      </c>
      <c r="R33" s="51" t="n">
        <v>82.89</v>
      </c>
      <c r="S33" s="51" t="n">
        <f aca="false">SUM(P33:R33)</f>
        <v>460</v>
      </c>
      <c r="T33" s="52" t="n">
        <f aca="false">(I33-S33)+T32</f>
        <v>-12032.64</v>
      </c>
      <c r="U33" s="51" t="n">
        <v>55</v>
      </c>
      <c r="V33" s="51" t="n">
        <v>73.08</v>
      </c>
      <c r="W33" s="6" t="n">
        <f aca="false">N33+O33+S33+U33+V33</f>
        <v>588.08</v>
      </c>
      <c r="X33" s="51" t="n">
        <f aca="false">IF(L33&lt;0,L33*-1,0)</f>
        <v>39.8954197126292</v>
      </c>
      <c r="Y33" s="51" t="n">
        <f aca="false">W33+X33</f>
        <v>627.975419712629</v>
      </c>
      <c r="Z33" s="56" t="n">
        <v>0</v>
      </c>
      <c r="AA33" s="57" t="n">
        <v>74</v>
      </c>
      <c r="AB33" s="57" t="n">
        <v>44</v>
      </c>
      <c r="AC33" s="58" t="n">
        <v>24</v>
      </c>
      <c r="AD33" s="93" t="n">
        <f aca="false">IF(I33&gt;S33,I33-S33,I33-S33)</f>
        <v>-317.53</v>
      </c>
      <c r="AE33" s="12"/>
      <c r="AF33" s="0"/>
      <c r="AG33" s="6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</row>
    <row r="34" customFormat="false" ht="11.1" hidden="false" customHeight="true" outlineLevel="0" collapsed="false">
      <c r="A34" s="58" t="n">
        <v>25</v>
      </c>
      <c r="B34" s="73" t="n">
        <v>6910.22</v>
      </c>
      <c r="C34" s="52" t="n">
        <v>322869</v>
      </c>
      <c r="D34" s="57" t="n">
        <f aca="false">C34-C33</f>
        <v>-923</v>
      </c>
      <c r="E34" s="52" t="n">
        <f aca="false">C34-152000</f>
        <v>170869</v>
      </c>
      <c r="F34" s="51" t="n">
        <f aca="false">D34/$D$2</f>
        <v>-465.339047138896</v>
      </c>
      <c r="G34" s="51" t="n">
        <v>108.28</v>
      </c>
      <c r="H34" s="53" t="n">
        <v>0</v>
      </c>
      <c r="I34" s="51" t="n">
        <f aca="false">G34+H34</f>
        <v>108.28</v>
      </c>
      <c r="J34" s="81" t="n">
        <f aca="false">IF(L34&gt;0,L34,0)</f>
        <v>0</v>
      </c>
      <c r="K34" s="51" t="n">
        <f aca="false">I34+J34</f>
        <v>108.28</v>
      </c>
      <c r="L34" s="51" t="n">
        <f aca="false">F34-(I34-W34)</f>
        <v>-1.2890471388958</v>
      </c>
      <c r="M34" s="51" t="n">
        <v>173.63</v>
      </c>
      <c r="N34" s="87" t="n">
        <v>0</v>
      </c>
      <c r="O34" s="51" t="n">
        <v>0</v>
      </c>
      <c r="P34" s="6" t="n">
        <f aca="false">M34-(N34+O34)</f>
        <v>173.63</v>
      </c>
      <c r="Q34" s="51" t="n">
        <v>203.7</v>
      </c>
      <c r="R34" s="51" t="n">
        <v>81.67</v>
      </c>
      <c r="S34" s="51" t="n">
        <f aca="false">SUM(P34:R34)</f>
        <v>459</v>
      </c>
      <c r="T34" s="52" t="n">
        <f aca="false">(I34-S34)+T33</f>
        <v>-12383.36</v>
      </c>
      <c r="U34" s="51" t="n">
        <v>44</v>
      </c>
      <c r="V34" s="51" t="n">
        <v>69.33</v>
      </c>
      <c r="W34" s="6" t="n">
        <f aca="false">N34+O34+S34+U34+V34</f>
        <v>572.33</v>
      </c>
      <c r="X34" s="51" t="n">
        <f aca="false">IF(L34&lt;0,L34*-1,0)</f>
        <v>1.2890471388958</v>
      </c>
      <c r="Y34" s="51" t="n">
        <f aca="false">W34+X34</f>
        <v>573.619047138896</v>
      </c>
      <c r="Z34" s="56" t="n">
        <v>0</v>
      </c>
      <c r="AA34" s="57" t="n">
        <v>75</v>
      </c>
      <c r="AB34" s="57" t="n">
        <v>43</v>
      </c>
      <c r="AC34" s="58" t="n">
        <v>25</v>
      </c>
      <c r="AD34" s="93" t="n">
        <f aca="false">IF(I34&gt;S34,I34-S34,I34-S34)</f>
        <v>-350.72</v>
      </c>
      <c r="AE34" s="12"/>
      <c r="AF34" s="0"/>
      <c r="AG34" s="6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</row>
    <row r="35" customFormat="false" ht="11.1" hidden="false" customHeight="true" outlineLevel="0" collapsed="false">
      <c r="A35" s="58" t="n">
        <v>26</v>
      </c>
      <c r="B35" s="73" t="n">
        <v>6909.99</v>
      </c>
      <c r="C35" s="52" t="n">
        <v>321947</v>
      </c>
      <c r="D35" s="57" t="n">
        <f aca="false">C35-C34</f>
        <v>-922</v>
      </c>
      <c r="E35" s="52" t="n">
        <f aca="false">C35-152000</f>
        <v>169947</v>
      </c>
      <c r="F35" s="51" t="n">
        <f aca="false">D35/$D$2</f>
        <v>-464.834887824553</v>
      </c>
      <c r="G35" s="51" t="n">
        <v>85.51</v>
      </c>
      <c r="H35" s="53" t="n">
        <v>0</v>
      </c>
      <c r="I35" s="51" t="n">
        <f aca="false">G35+H35</f>
        <v>85.51</v>
      </c>
      <c r="J35" s="81" t="n">
        <f aca="false">IF(L35&gt;0,L35,0)</f>
        <v>21.1351121754475</v>
      </c>
      <c r="K35" s="51" t="n">
        <f aca="false">I35+J35</f>
        <v>106.645112175448</v>
      </c>
      <c r="L35" s="51" t="n">
        <f aca="false">F35-(I35-W35)</f>
        <v>21.1351121754475</v>
      </c>
      <c r="M35" s="51" t="n">
        <v>173.23</v>
      </c>
      <c r="N35" s="87" t="n">
        <v>0</v>
      </c>
      <c r="O35" s="51" t="n">
        <v>0</v>
      </c>
      <c r="P35" s="6" t="n">
        <f aca="false">M35-(N35+O35)</f>
        <v>173.23</v>
      </c>
      <c r="Q35" s="51" t="n">
        <v>203.75</v>
      </c>
      <c r="R35" s="51" t="n">
        <v>77.01</v>
      </c>
      <c r="S35" s="51" t="n">
        <f aca="false">SUM(P35:R35)</f>
        <v>453.99</v>
      </c>
      <c r="T35" s="52" t="n">
        <f aca="false">(I35-S35)+T34</f>
        <v>-12751.84</v>
      </c>
      <c r="U35" s="51" t="n">
        <v>48</v>
      </c>
      <c r="V35" s="51" t="n">
        <v>69.49</v>
      </c>
      <c r="W35" s="6" t="n">
        <f aca="false">N35+O35+S35+U35+V35</f>
        <v>571.48</v>
      </c>
      <c r="X35" s="51" t="n">
        <f aca="false">IF(L35&lt;0,L35*-1,0)</f>
        <v>0</v>
      </c>
      <c r="Y35" s="51" t="n">
        <f aca="false">W35+X35</f>
        <v>571.48</v>
      </c>
      <c r="Z35" s="56" t="n">
        <v>0</v>
      </c>
      <c r="AA35" s="57" t="n">
        <v>75</v>
      </c>
      <c r="AB35" s="57" t="n">
        <v>43</v>
      </c>
      <c r="AC35" s="58" t="n">
        <v>26</v>
      </c>
      <c r="AD35" s="93" t="n">
        <f aca="false">IF(I35&gt;S35,I35-S35,I35-S35)</f>
        <v>-368.48</v>
      </c>
      <c r="AE35" s="12"/>
      <c r="AF35" s="0"/>
      <c r="AG35" s="3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</row>
    <row r="36" customFormat="false" ht="11.1" hidden="false" customHeight="true" outlineLevel="0" collapsed="false">
      <c r="A36" s="58" t="n">
        <v>27</v>
      </c>
      <c r="B36" s="73" t="n">
        <v>6909.75</v>
      </c>
      <c r="C36" s="52" t="n">
        <v>320991</v>
      </c>
      <c r="D36" s="57" t="n">
        <f aca="false">C36-C35</f>
        <v>-956</v>
      </c>
      <c r="E36" s="52" t="n">
        <f aca="false">C36-152000</f>
        <v>168991</v>
      </c>
      <c r="F36" s="51" t="n">
        <f aca="false">D36/$D$2</f>
        <v>-481.976304512226</v>
      </c>
      <c r="G36" s="51" t="n">
        <v>83</v>
      </c>
      <c r="H36" s="53" t="n">
        <v>0</v>
      </c>
      <c r="I36" s="51" t="n">
        <f aca="false">G36+H36</f>
        <v>83</v>
      </c>
      <c r="J36" s="81" t="n">
        <f aca="false">IF(L36&gt;0,L36,0)</f>
        <v>12.6636954877741</v>
      </c>
      <c r="K36" s="51" t="n">
        <f aca="false">I36+J36</f>
        <v>95.6636954877741</v>
      </c>
      <c r="L36" s="51" t="n">
        <f aca="false">F36-(I36-W36)</f>
        <v>12.6636954877741</v>
      </c>
      <c r="M36" s="51" t="n">
        <v>172.82</v>
      </c>
      <c r="N36" s="87" t="n">
        <v>0</v>
      </c>
      <c r="O36" s="51" t="n">
        <v>0</v>
      </c>
      <c r="P36" s="6" t="n">
        <f aca="false">M36-(N36+O36)</f>
        <v>172.82</v>
      </c>
      <c r="Q36" s="51" t="n">
        <v>203.31</v>
      </c>
      <c r="R36" s="51" t="n">
        <v>79.87</v>
      </c>
      <c r="S36" s="51" t="n">
        <f aca="false">SUM(P36:R36)</f>
        <v>456</v>
      </c>
      <c r="T36" s="52" t="n">
        <f aca="false">(I36-S36)+T35</f>
        <v>-13124.84</v>
      </c>
      <c r="U36" s="51" t="n">
        <v>52</v>
      </c>
      <c r="V36" s="51" t="n">
        <v>69.64</v>
      </c>
      <c r="W36" s="6" t="n">
        <f aca="false">N36+O36+S36+U36+V36</f>
        <v>577.64</v>
      </c>
      <c r="X36" s="51" t="n">
        <f aca="false">IF(L36&lt;0,L36*-1,0)</f>
        <v>0</v>
      </c>
      <c r="Y36" s="51" t="n">
        <f aca="false">W36+X36</f>
        <v>577.64</v>
      </c>
      <c r="Z36" s="56" t="n">
        <v>0</v>
      </c>
      <c r="AA36" s="57" t="n">
        <v>77</v>
      </c>
      <c r="AB36" s="57" t="n">
        <v>44</v>
      </c>
      <c r="AC36" s="58" t="n">
        <v>27</v>
      </c>
      <c r="AD36" s="93" t="n">
        <f aca="false">IF(I36&gt;S36,I36-S36,I36-S36)</f>
        <v>-373</v>
      </c>
      <c r="AE36" s="12"/>
      <c r="AF36" s="0"/>
      <c r="AG36" s="6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</row>
    <row r="37" customFormat="false" ht="11.1" hidden="false" customHeight="true" outlineLevel="0" collapsed="false">
      <c r="A37" s="143" t="n">
        <v>28</v>
      </c>
      <c r="B37" s="113" t="n">
        <v>6909.5</v>
      </c>
      <c r="C37" s="114" t="n">
        <v>319996</v>
      </c>
      <c r="D37" s="138" t="n">
        <f aca="false">C37-C36</f>
        <v>-995</v>
      </c>
      <c r="E37" s="114" t="n">
        <f aca="false">C37-152000</f>
        <v>167996</v>
      </c>
      <c r="F37" s="104" t="n">
        <f aca="false">D37/$D$2</f>
        <v>-501.638517771616</v>
      </c>
      <c r="G37" s="104" t="n">
        <v>82.01</v>
      </c>
      <c r="H37" s="144" t="n">
        <v>0</v>
      </c>
      <c r="I37" s="104" t="n">
        <f aca="false">G37+H37</f>
        <v>82.01</v>
      </c>
      <c r="J37" s="103" t="n">
        <f aca="false">IF(L37&gt;0,L37,0)</f>
        <v>0</v>
      </c>
      <c r="K37" s="104" t="n">
        <f aca="false">I37+J37</f>
        <v>82.01</v>
      </c>
      <c r="L37" s="104" t="n">
        <f aca="false">F37-(I37-W37)</f>
        <v>-1.18851777161575</v>
      </c>
      <c r="M37" s="104" t="n">
        <v>172.32</v>
      </c>
      <c r="N37" s="145" t="n">
        <v>0</v>
      </c>
      <c r="O37" s="104" t="n">
        <v>0</v>
      </c>
      <c r="P37" s="6" t="n">
        <f aca="false">M37-(N37+O37)</f>
        <v>172.32</v>
      </c>
      <c r="Q37" s="104" t="n">
        <v>202.72</v>
      </c>
      <c r="R37" s="104" t="n">
        <v>78.96</v>
      </c>
      <c r="S37" s="104" t="n">
        <f aca="false">SUM(P37:R37)</f>
        <v>454</v>
      </c>
      <c r="T37" s="114" t="n">
        <f aca="false">(I37-S37)+T36</f>
        <v>-13496.83</v>
      </c>
      <c r="U37" s="104" t="n">
        <v>53</v>
      </c>
      <c r="V37" s="51" t="n">
        <v>75.46</v>
      </c>
      <c r="W37" s="6" t="n">
        <f aca="false">N37+O37+S37+U37+V37</f>
        <v>582.46</v>
      </c>
      <c r="X37" s="104" t="n">
        <f aca="false">IF(L37&lt;0,L37*-1,0)</f>
        <v>1.18851777161575</v>
      </c>
      <c r="Y37" s="104" t="n">
        <f aca="false">W37+X37</f>
        <v>583.648517771616</v>
      </c>
      <c r="Z37" s="98" t="n">
        <v>0</v>
      </c>
      <c r="AA37" s="138" t="n">
        <v>80</v>
      </c>
      <c r="AB37" s="138" t="n">
        <v>43</v>
      </c>
      <c r="AC37" s="143" t="n">
        <v>28</v>
      </c>
      <c r="AD37" s="93" t="n">
        <f aca="false">IF(I37&gt;S37,I37-S37,I37-S37)</f>
        <v>-371.99</v>
      </c>
      <c r="AE37" s="12"/>
      <c r="AF37" s="0"/>
      <c r="AG37" s="6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</row>
    <row r="38" customFormat="false" ht="11.1" hidden="false" customHeight="true" outlineLevel="0" collapsed="false">
      <c r="A38" s="143" t="n">
        <v>29</v>
      </c>
      <c r="B38" s="113" t="n">
        <v>6909.25</v>
      </c>
      <c r="C38" s="114" t="n">
        <v>319001</v>
      </c>
      <c r="D38" s="138" t="n">
        <f aca="false">C38-C37</f>
        <v>-995</v>
      </c>
      <c r="E38" s="114" t="n">
        <f aca="false">C38-152000</f>
        <v>167001</v>
      </c>
      <c r="F38" s="104" t="n">
        <f aca="false">D38/$D$2</f>
        <v>-501.638517771616</v>
      </c>
      <c r="G38" s="104" t="n">
        <v>77.22</v>
      </c>
      <c r="H38" s="144" t="n">
        <v>0</v>
      </c>
      <c r="I38" s="104" t="n">
        <f aca="false">G38+H38</f>
        <v>77.22</v>
      </c>
      <c r="J38" s="103" t="n">
        <f aca="false">IF(L38&gt;0,L38,0)</f>
        <v>9.46148222838423</v>
      </c>
      <c r="K38" s="104" t="n">
        <f aca="false">I38+J38</f>
        <v>86.6814822283842</v>
      </c>
      <c r="L38" s="104" t="n">
        <f aca="false">F38-(I38-W38)</f>
        <v>9.46148222838423</v>
      </c>
      <c r="M38" s="104" t="n">
        <v>172.06</v>
      </c>
      <c r="N38" s="145" t="n">
        <v>0</v>
      </c>
      <c r="O38" s="104" t="n">
        <v>0</v>
      </c>
      <c r="P38" s="6" t="n">
        <f aca="false">M38-(N38+O38)</f>
        <v>172.06</v>
      </c>
      <c r="Q38" s="104" t="n">
        <v>202.12</v>
      </c>
      <c r="R38" s="104" t="n">
        <v>78.8</v>
      </c>
      <c r="S38" s="104" t="n">
        <f aca="false">SUM(P38:R38)</f>
        <v>452.98</v>
      </c>
      <c r="T38" s="114" t="n">
        <f aca="false">(I38-S38)+T37</f>
        <v>-13872.59</v>
      </c>
      <c r="U38" s="104" t="n">
        <v>56</v>
      </c>
      <c r="V38" s="51" t="n">
        <v>79.34</v>
      </c>
      <c r="W38" s="6" t="n">
        <f aca="false">N38+O38+S38+U38+V38</f>
        <v>588.32</v>
      </c>
      <c r="X38" s="104" t="n">
        <f aca="false">IF(L38&lt;0,L38*-1,0)</f>
        <v>0</v>
      </c>
      <c r="Y38" s="104" t="n">
        <f aca="false">W38+X38</f>
        <v>588.32</v>
      </c>
      <c r="Z38" s="98" t="n">
        <v>0</v>
      </c>
      <c r="AA38" s="138" t="n">
        <v>81</v>
      </c>
      <c r="AB38" s="138" t="n">
        <v>44</v>
      </c>
      <c r="AC38" s="143" t="n">
        <v>29</v>
      </c>
      <c r="AD38" s="93" t="n">
        <f aca="false">IF(I38&gt;S38,I38-S38,I38-S38)</f>
        <v>-375.76</v>
      </c>
      <c r="AE38" s="12"/>
      <c r="AF38" s="0"/>
      <c r="AG38" s="6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</row>
    <row r="39" customFormat="false" ht="11.1" hidden="false" customHeight="true" outlineLevel="0" collapsed="false">
      <c r="A39" s="143" t="n">
        <v>30</v>
      </c>
      <c r="B39" s="113" t="n">
        <v>6909.04</v>
      </c>
      <c r="C39" s="114" t="n">
        <v>318165</v>
      </c>
      <c r="D39" s="138" t="n">
        <f aca="false">C39-C38</f>
        <v>-836</v>
      </c>
      <c r="E39" s="114" t="n">
        <f aca="false">C39-152000</f>
        <v>166165</v>
      </c>
      <c r="F39" s="104" t="n">
        <f aca="false">D39/$D$2</f>
        <v>-421.477186791026</v>
      </c>
      <c r="G39" s="104" t="n">
        <v>72.02</v>
      </c>
      <c r="H39" s="144" t="n">
        <v>0</v>
      </c>
      <c r="I39" s="104" t="n">
        <f aca="false">G39+H39</f>
        <v>72.02</v>
      </c>
      <c r="J39" s="103" t="n">
        <f aca="false">IF(L39&gt;0,L39,0)</f>
        <v>107.852813208974</v>
      </c>
      <c r="K39" s="104" t="n">
        <f aca="false">I39+J39</f>
        <v>179.872813208974</v>
      </c>
      <c r="L39" s="104" t="n">
        <f aca="false">F39-(I39-W39)</f>
        <v>107.852813208974</v>
      </c>
      <c r="M39" s="104" t="n">
        <v>171.82</v>
      </c>
      <c r="N39" s="145" t="n">
        <v>0</v>
      </c>
      <c r="O39" s="104" t="n">
        <v>0</v>
      </c>
      <c r="P39" s="6" t="n">
        <f aca="false">M39-(N39+O39)</f>
        <v>171.82</v>
      </c>
      <c r="Q39" s="104" t="n">
        <v>201.67</v>
      </c>
      <c r="R39" s="104" t="n">
        <v>78.51</v>
      </c>
      <c r="S39" s="104" t="n">
        <f aca="false">SUM(P39:R39)</f>
        <v>452</v>
      </c>
      <c r="T39" s="114" t="n">
        <f aca="false">(I39-S39)+T38</f>
        <v>-14252.57</v>
      </c>
      <c r="U39" s="104" t="n">
        <v>70</v>
      </c>
      <c r="V39" s="51" t="n">
        <v>79.35</v>
      </c>
      <c r="W39" s="6" t="n">
        <f aca="false">N39+O39+S39+U39+V39</f>
        <v>601.35</v>
      </c>
      <c r="X39" s="104" t="n">
        <f aca="false">IF(L39&lt;0,L39*-1,0)</f>
        <v>0</v>
      </c>
      <c r="Y39" s="104" t="n">
        <f aca="false">W39+X39</f>
        <v>601.35</v>
      </c>
      <c r="Z39" s="98" t="n">
        <v>0</v>
      </c>
      <c r="AA39" s="138" t="n">
        <v>80</v>
      </c>
      <c r="AB39" s="138" t="n">
        <v>49</v>
      </c>
      <c r="AC39" s="143" t="n">
        <v>30</v>
      </c>
      <c r="AD39" s="93" t="n">
        <f aca="false">IF(I39&gt;S39,I39-S39,I39-S39)</f>
        <v>-379.98</v>
      </c>
      <c r="AE39" s="12"/>
      <c r="AF39" s="0"/>
      <c r="AG39" s="6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</row>
    <row r="40" customFormat="false" ht="11.25" hidden="false" customHeight="true" outlineLevel="0" collapsed="false">
      <c r="A40" s="143" t="n">
        <v>31</v>
      </c>
      <c r="B40" s="113" t="n">
        <v>6908.73</v>
      </c>
      <c r="C40" s="114" t="n">
        <v>316936</v>
      </c>
      <c r="D40" s="138" t="n">
        <f aca="false">C40-C39</f>
        <v>-1229</v>
      </c>
      <c r="E40" s="114" t="n">
        <f aca="false">C40-152000</f>
        <v>164936</v>
      </c>
      <c r="F40" s="104" t="n">
        <f aca="false">D40/$D$2</f>
        <v>-619.611797327956</v>
      </c>
      <c r="G40" s="104" t="n">
        <v>69.25</v>
      </c>
      <c r="H40" s="144" t="n">
        <v>0</v>
      </c>
      <c r="I40" s="104" t="n">
        <f aca="false">G40+H40</f>
        <v>69.25</v>
      </c>
      <c r="J40" s="103" t="n">
        <f aca="false">IF(L40&gt;0,L40,0)</f>
        <v>0</v>
      </c>
      <c r="K40" s="104" t="n">
        <f aca="false">I40+J40</f>
        <v>69.25</v>
      </c>
      <c r="L40" s="104" t="n">
        <f aca="false">F40-(I40-W40)</f>
        <v>-92.4917973279556</v>
      </c>
      <c r="M40" s="104" t="n">
        <v>171.37</v>
      </c>
      <c r="N40" s="145" t="n">
        <v>0</v>
      </c>
      <c r="O40" s="104" t="n">
        <v>0</v>
      </c>
      <c r="P40" s="6" t="n">
        <f aca="false">M40-(N40+O40)</f>
        <v>171.37</v>
      </c>
      <c r="Q40" s="104" t="n">
        <v>200.96</v>
      </c>
      <c r="R40" s="104" t="n">
        <v>78.67</v>
      </c>
      <c r="S40" s="104" t="n">
        <f aca="false">SUM(P40:R40)</f>
        <v>451</v>
      </c>
      <c r="T40" s="114" t="n">
        <f aca="false">(I40-S40)+T39</f>
        <v>-14634.32</v>
      </c>
      <c r="U40" s="104" t="n">
        <v>66</v>
      </c>
      <c r="V40" s="51" t="n">
        <v>79.37</v>
      </c>
      <c r="W40" s="6" t="n">
        <f aca="false">N40+O40+S40+U40+V40</f>
        <v>596.37</v>
      </c>
      <c r="X40" s="104" t="n">
        <f aca="false">IF(L40&lt;0,L40*-1,0)</f>
        <v>92.4917973279556</v>
      </c>
      <c r="Y40" s="104" t="n">
        <f aca="false">W40+X40</f>
        <v>688.861797327956</v>
      </c>
      <c r="Z40" s="98" t="n">
        <v>0</v>
      </c>
      <c r="AA40" s="138" t="n">
        <v>80</v>
      </c>
      <c r="AB40" s="138" t="n">
        <v>50</v>
      </c>
      <c r="AC40" s="143" t="n">
        <v>31</v>
      </c>
      <c r="AD40" s="93" t="n">
        <f aca="false">IF(I40&gt;S40,I40-S40,I40-S40)</f>
        <v>-381.75</v>
      </c>
      <c r="AE40" s="107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</row>
    <row r="41" customFormat="false" ht="3" hidden="false" customHeight="true" outlineLevel="0" collapsed="false">
      <c r="A41" s="74"/>
      <c r="B41" s="74"/>
      <c r="C41" s="76"/>
      <c r="D41" s="74"/>
      <c r="E41" s="76"/>
      <c r="F41" s="74"/>
      <c r="G41" s="74"/>
      <c r="H41" s="77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6"/>
      <c r="U41" s="74"/>
      <c r="V41" s="74"/>
      <c r="W41" s="74"/>
      <c r="X41" s="74"/>
      <c r="Y41" s="74"/>
      <c r="Z41" s="78"/>
      <c r="AA41" s="79"/>
      <c r="AB41" s="79"/>
      <c r="AC41" s="80"/>
      <c r="AD41" s="92"/>
      <c r="AE41" s="92"/>
      <c r="AF41" s="93"/>
    </row>
    <row r="42" customFormat="false" ht="11.1" hidden="false" customHeight="true" outlineLevel="0" collapsed="false">
      <c r="A42" s="51" t="s">
        <v>44</v>
      </c>
      <c r="B42" s="51"/>
      <c r="C42" s="52"/>
      <c r="D42" s="52"/>
      <c r="E42" s="52"/>
      <c r="F42" s="52" t="n">
        <f aca="false">SUM(F10:F40)</f>
        <v>-12907.9909251323</v>
      </c>
      <c r="G42" s="52" t="n">
        <f aca="false">SUM(G10:G40)</f>
        <v>5249.22</v>
      </c>
      <c r="H42" s="52" t="n">
        <f aca="false">SUM(H10:H40)</f>
        <v>0</v>
      </c>
      <c r="I42" s="52" t="n">
        <f aca="false">SUM(I10:I40)</f>
        <v>5249.22</v>
      </c>
      <c r="J42" s="52" t="n">
        <f aca="false">SUM(J10:J40)</f>
        <v>515.58831610789</v>
      </c>
      <c r="K42" s="52" t="n">
        <f aca="false">SUM(K10:K40)</f>
        <v>5764.80831610789</v>
      </c>
      <c r="L42" s="52" t="n">
        <f aca="false">SUM(L10:L40)</f>
        <v>-233.820925132341</v>
      </c>
      <c r="M42" s="52" t="n">
        <f aca="false">SUM(M10:M40)</f>
        <v>4819.42</v>
      </c>
      <c r="N42" s="52" t="n">
        <f aca="false">SUM(N10:N40)</f>
        <v>0</v>
      </c>
      <c r="O42" s="52" t="n">
        <f aca="false">SUM(O10:O40)</f>
        <v>0</v>
      </c>
      <c r="P42" s="52" t="n">
        <f aca="false">SUM(P10:P40)</f>
        <v>4819.42</v>
      </c>
      <c r="Q42" s="52" t="n">
        <f aca="false">SUM(Q10:Q40)</f>
        <v>6410.86</v>
      </c>
      <c r="R42" s="52" t="n">
        <f aca="false">SUM(R10:R40)</f>
        <v>2497.69</v>
      </c>
      <c r="S42" s="52" t="n">
        <f aca="false">SUM(S10:S40)</f>
        <v>13727.97</v>
      </c>
      <c r="T42" s="52"/>
      <c r="U42" s="52" t="n">
        <f aca="false">SUM(U10:U40)</f>
        <v>1546</v>
      </c>
      <c r="V42" s="52" t="n">
        <f aca="false">SUM(V10:V40)</f>
        <v>2649.42</v>
      </c>
      <c r="W42" s="52" t="n">
        <f aca="false">SUM(W10:W40)</f>
        <v>17923.39</v>
      </c>
      <c r="X42" s="52" t="n">
        <f aca="false">SUM(X10:X40)</f>
        <v>781.411348626165</v>
      </c>
      <c r="Y42" s="52" t="n">
        <f aca="false">SUM(Y10:Y40)</f>
        <v>18704.8013486262</v>
      </c>
      <c r="Z42" s="56" t="n">
        <f aca="false">SUM(Z10:Z40)</f>
        <v>0.66</v>
      </c>
      <c r="AA42" s="57" t="n">
        <f aca="false">AVERAGE(AA10:AA40)</f>
        <v>77.6774193548387</v>
      </c>
      <c r="AB42" s="57" t="n">
        <f aca="false">AVERAGE(AB10:AB40)</f>
        <v>48.5806451612903</v>
      </c>
      <c r="AC42" s="58" t="s">
        <v>69</v>
      </c>
      <c r="AD42" s="92"/>
      <c r="AE42" s="92"/>
      <c r="AF42" s="93"/>
    </row>
    <row r="43" customFormat="false" ht="11.1" hidden="false" customHeight="true" outlineLevel="0" collapsed="false">
      <c r="A43" s="51" t="s">
        <v>46</v>
      </c>
      <c r="B43" s="51"/>
      <c r="C43" s="52"/>
      <c r="D43" s="52" t="n">
        <f aca="false">SUM(D10:D40)</f>
        <v>-25603</v>
      </c>
      <c r="E43" s="52"/>
      <c r="F43" s="52" t="n">
        <f aca="false">F42*$D$2</f>
        <v>-25603</v>
      </c>
      <c r="G43" s="52" t="n">
        <f aca="false">G42*$D$2</f>
        <v>10411.82787</v>
      </c>
      <c r="H43" s="52" t="n">
        <f aca="false">H42*$D$2</f>
        <v>0</v>
      </c>
      <c r="I43" s="52" t="n">
        <f aca="false">I42*$D$2</f>
        <v>10411.82787</v>
      </c>
      <c r="J43" s="52" t="n">
        <f aca="false">J42*$D$2</f>
        <v>1022.669425</v>
      </c>
      <c r="K43" s="52" t="n">
        <f aca="false">K42*$D$2</f>
        <v>11434.497295</v>
      </c>
      <c r="L43" s="52" t="n">
        <f aca="false">L42*$D$2</f>
        <v>-463.783804999999</v>
      </c>
      <c r="M43" s="52" t="n">
        <f aca="false">M42*$D$2</f>
        <v>9559.31957</v>
      </c>
      <c r="N43" s="52" t="n">
        <f aca="false">N42*$D$2</f>
        <v>0</v>
      </c>
      <c r="O43" s="52" t="n">
        <f aca="false">O42*$D$2</f>
        <v>0</v>
      </c>
      <c r="P43" s="52" t="n">
        <f aca="false">P42*$D$2</f>
        <v>9559.31957</v>
      </c>
      <c r="Q43" s="52" t="n">
        <f aca="false">Q42*$D$2</f>
        <v>12715.94081</v>
      </c>
      <c r="R43" s="52" t="n">
        <f aca="false">R42*$D$2</f>
        <v>4954.168115</v>
      </c>
      <c r="S43" s="52" t="n">
        <f aca="false">S42*$D$2</f>
        <v>27229.428495</v>
      </c>
      <c r="T43" s="52"/>
      <c r="U43" s="52" t="n">
        <f aca="false">U42*$D$2</f>
        <v>3066.491</v>
      </c>
      <c r="V43" s="52" t="n">
        <f aca="false">V42*$D$2</f>
        <v>5255.12457</v>
      </c>
      <c r="W43" s="52" t="n">
        <f aca="false">W42*$D$2</f>
        <v>35551.044065</v>
      </c>
      <c r="X43" s="52" t="n">
        <f aca="false">X42*$D$2</f>
        <v>1549.92941</v>
      </c>
      <c r="Y43" s="52" t="n">
        <f aca="false">Y42*$D$2</f>
        <v>37100.973475</v>
      </c>
      <c r="Z43" s="56"/>
      <c r="AA43" s="57" t="n">
        <f aca="false">MAX(AA10:AA40)</f>
        <v>84</v>
      </c>
      <c r="AB43" s="57" t="n">
        <f aca="false">MAX(AB10:AB40)</f>
        <v>54</v>
      </c>
      <c r="AC43" s="58" t="s">
        <v>47</v>
      </c>
      <c r="AD43" s="92"/>
      <c r="AE43" s="92"/>
      <c r="AF43" s="93"/>
    </row>
    <row r="44" customFormat="false" ht="3" hidden="false" customHeight="true" outlineLevel="0" collapsed="false">
      <c r="A44" s="74"/>
      <c r="B44" s="74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56"/>
      <c r="AA44" s="57"/>
      <c r="AB44" s="57"/>
      <c r="AC44" s="58"/>
      <c r="AD44" s="92"/>
      <c r="AE44" s="92"/>
      <c r="AF44" s="93"/>
    </row>
    <row r="45" customFormat="false" ht="11.1" hidden="false" customHeight="true" outlineLevel="0" collapsed="false">
      <c r="A45" s="51" t="s">
        <v>48</v>
      </c>
      <c r="B45" s="51"/>
      <c r="C45" s="52"/>
      <c r="D45" s="52"/>
      <c r="E45" s="52"/>
      <c r="F45" s="52" t="n">
        <f aca="false">F7+F42</f>
        <v>-18844.9710108394</v>
      </c>
      <c r="G45" s="52" t="n">
        <f aca="false">G7+G42</f>
        <v>93235.91</v>
      </c>
      <c r="H45" s="52" t="n">
        <f aca="false">H7+H42</f>
        <v>2089.41</v>
      </c>
      <c r="I45" s="52" t="n">
        <f aca="false">I7+I42</f>
        <v>95325.32</v>
      </c>
      <c r="J45" s="52" t="n">
        <f aca="false">J7+J42</f>
        <v>6419.27795311319</v>
      </c>
      <c r="K45" s="52" t="n">
        <f aca="false">K7+K42</f>
        <v>101744.597953113</v>
      </c>
      <c r="L45" s="52" t="n">
        <f aca="false">L7+L42</f>
        <v>724.848989160576</v>
      </c>
      <c r="M45" s="52" t="n">
        <f aca="false">M7+M42</f>
        <v>28467.04</v>
      </c>
      <c r="N45" s="52" t="n">
        <f aca="false">N7+N42</f>
        <v>0</v>
      </c>
      <c r="O45" s="52" t="n">
        <f aca="false">O7+O42</f>
        <v>0</v>
      </c>
      <c r="P45" s="52" t="n">
        <f aca="false">P7+P42</f>
        <v>28467.04</v>
      </c>
      <c r="Q45" s="52" t="n">
        <f aca="false">Q7+Q42</f>
        <v>25922.49</v>
      </c>
      <c r="R45" s="52" t="n">
        <f aca="false">R7+R42</f>
        <v>12042.81</v>
      </c>
      <c r="S45" s="52" t="n">
        <f aca="false">S7+S42</f>
        <v>66432.34</v>
      </c>
      <c r="T45" s="139" t="n">
        <f aca="false">T40</f>
        <v>-14634.32</v>
      </c>
      <c r="U45" s="52" t="n">
        <f aca="false">U7+U42</f>
        <v>6957</v>
      </c>
      <c r="V45" s="52" t="n">
        <f aca="false">V7+V42</f>
        <v>41505.8</v>
      </c>
      <c r="W45" s="52" t="n">
        <f aca="false">W7+W42</f>
        <v>114895.14</v>
      </c>
      <c r="X45" s="52" t="n">
        <f aca="false">X7+X42</f>
        <v>5726.43107133854</v>
      </c>
      <c r="Y45" s="52" t="n">
        <f aca="false">Y7+Y42</f>
        <v>120621.571071339</v>
      </c>
      <c r="Z45" s="56"/>
      <c r="AA45" s="57" t="n">
        <f aca="false">MIN(AA10:AA40)</f>
        <v>63</v>
      </c>
      <c r="AB45" s="57" t="n">
        <f aca="false">MIN(AB10:AB40)</f>
        <v>43</v>
      </c>
      <c r="AC45" s="58" t="s">
        <v>49</v>
      </c>
      <c r="AD45" s="92"/>
      <c r="AE45" s="92"/>
      <c r="AF45" s="93"/>
    </row>
    <row r="46" customFormat="false" ht="11.1" hidden="false" customHeight="true" outlineLevel="0" collapsed="false">
      <c r="A46" s="51" t="s">
        <v>50</v>
      </c>
      <c r="B46" s="51"/>
      <c r="C46" s="52"/>
      <c r="D46" s="52"/>
      <c r="E46" s="52"/>
      <c r="F46" s="52" t="n">
        <f aca="false">F45*$D$2</f>
        <v>-37379</v>
      </c>
      <c r="G46" s="52" t="n">
        <f aca="false">G45*$D$2</f>
        <v>184933.427485</v>
      </c>
      <c r="H46" s="52" t="n">
        <f aca="false">H45*$D$2</f>
        <v>4144.344735</v>
      </c>
      <c r="I46" s="52" t="n">
        <f aca="false">I45*$D$2</f>
        <v>189077.77222</v>
      </c>
      <c r="J46" s="52" t="n">
        <f aca="false">J45*$D$2</f>
        <v>12732.63782</v>
      </c>
      <c r="K46" s="52" t="n">
        <f aca="false">K45*$D$2</f>
        <v>201810.41004</v>
      </c>
      <c r="L46" s="52" t="n">
        <f aca="false">L45*$D$2</f>
        <v>1437.73797</v>
      </c>
      <c r="M46" s="52" t="n">
        <f aca="false">M45*$D$2</f>
        <v>56464.37384</v>
      </c>
      <c r="N46" s="52" t="n">
        <f aca="false">N45*$D$2</f>
        <v>0</v>
      </c>
      <c r="O46" s="52" t="n">
        <f aca="false">O45*$D$2</f>
        <v>0</v>
      </c>
      <c r="P46" s="52" t="n">
        <f aca="false">P45*$D$2</f>
        <v>56464.37384</v>
      </c>
      <c r="Q46" s="52" t="n">
        <f aca="false">Q45*$D$2</f>
        <v>51417.258915</v>
      </c>
      <c r="R46" s="52" t="n">
        <f aca="false">R45*$D$2</f>
        <v>23886.913635</v>
      </c>
      <c r="S46" s="52" t="n">
        <f aca="false">S45*$D$2</f>
        <v>131768.54639</v>
      </c>
      <c r="T46" s="52" t="n">
        <f aca="false">T45*$D$2</f>
        <v>-29027.17372</v>
      </c>
      <c r="U46" s="52" t="n">
        <f aca="false">U45*$D$2</f>
        <v>13799.2095</v>
      </c>
      <c r="V46" s="52" t="n">
        <f aca="false">V45*$D$2</f>
        <v>82326.7543</v>
      </c>
      <c r="W46" s="52" t="n">
        <f aca="false">W45*$D$2</f>
        <v>227894.51019</v>
      </c>
      <c r="X46" s="52" t="n">
        <f aca="false">X45*$D$2</f>
        <v>11358.37603</v>
      </c>
      <c r="Y46" s="52" t="n">
        <f aca="false">Y45*$D$2</f>
        <v>239252.88622</v>
      </c>
      <c r="Z46" s="56"/>
      <c r="AA46" s="57"/>
      <c r="AB46" s="57"/>
      <c r="AC46" s="58"/>
      <c r="AD46" s="92"/>
      <c r="AE46" s="92"/>
      <c r="AF46" s="93"/>
    </row>
    <row r="47" customFormat="false" ht="3" hidden="false" customHeight="true" outlineLevel="0" collapsed="false">
      <c r="A47" s="74"/>
      <c r="B47" s="74"/>
      <c r="C47" s="76"/>
      <c r="D47" s="76"/>
      <c r="E47" s="76"/>
      <c r="F47" s="76"/>
      <c r="G47" s="76"/>
      <c r="H47" s="79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8"/>
      <c r="AA47" s="57"/>
      <c r="AB47" s="57"/>
      <c r="AC47" s="58"/>
      <c r="AD47" s="92"/>
      <c r="AE47" s="92"/>
      <c r="AF47" s="93"/>
    </row>
    <row r="48" customFormat="false" ht="11.1" hidden="false" customHeight="true" outlineLevel="0" collapsed="false">
      <c r="A48" s="51" t="s">
        <v>51</v>
      </c>
      <c r="B48" s="51"/>
      <c r="C48" s="52"/>
      <c r="D48" s="52"/>
      <c r="E48" s="52"/>
      <c r="F48" s="52" t="n">
        <f aca="false">F8+F42</f>
        <v>-4043.35770103353</v>
      </c>
      <c r="G48" s="52" t="n">
        <f aca="false">G8+G42</f>
        <v>115087.41</v>
      </c>
      <c r="H48" s="57" t="n">
        <f aca="false">H8+H42</f>
        <v>2809.88</v>
      </c>
      <c r="I48" s="52" t="n">
        <f aca="false">I8+I42</f>
        <v>117698.19</v>
      </c>
      <c r="J48" s="52" t="n">
        <f aca="false">J8+J42</f>
        <v>17522.1084371061</v>
      </c>
      <c r="K48" s="52" t="n">
        <f aca="false">K8+K42</f>
        <v>135220.298437106</v>
      </c>
      <c r="L48" s="52" t="n">
        <f aca="false">L8+L42</f>
        <v>10325.3622989665</v>
      </c>
      <c r="M48" s="52" t="n">
        <f aca="false">M8+M42</f>
        <v>30516.3</v>
      </c>
      <c r="N48" s="52" t="n">
        <f aca="false">N8+N42</f>
        <v>0.08</v>
      </c>
      <c r="O48" s="52" t="n">
        <f aca="false">O8+O42</f>
        <v>0</v>
      </c>
      <c r="P48" s="52" t="n">
        <f aca="false">P8+P42</f>
        <v>30516.22</v>
      </c>
      <c r="Q48" s="52" t="n">
        <f aca="false">Q8+Q42</f>
        <v>28641.84</v>
      </c>
      <c r="R48" s="52" t="n">
        <f aca="false">R8+R42</f>
        <v>12508.18</v>
      </c>
      <c r="S48" s="52" t="n">
        <f aca="false">S8+S42</f>
        <v>71666.24</v>
      </c>
      <c r="T48" s="52" t="n">
        <f aca="false">T45</f>
        <v>-14634.32</v>
      </c>
      <c r="U48" s="52" t="n">
        <f aca="false">U8+U42</f>
        <v>6957</v>
      </c>
      <c r="V48" s="52" t="n">
        <f aca="false">V8+V42</f>
        <v>53518.59</v>
      </c>
      <c r="W48" s="52" t="n">
        <f aca="false">W8+W42</f>
        <v>132066.91</v>
      </c>
      <c r="X48" s="52" t="n">
        <f aca="false">X8+X42</f>
        <v>7228.74824552559</v>
      </c>
      <c r="Y48" s="52" t="n">
        <f aca="false">Y8+Y42</f>
        <v>139295.658245526</v>
      </c>
      <c r="Z48" s="56" t="n">
        <f aca="false">Z8+Z42</f>
        <v>9.41</v>
      </c>
      <c r="AA48" s="57"/>
      <c r="AB48" s="57"/>
      <c r="AC48" s="58"/>
      <c r="AD48" s="92"/>
      <c r="AE48" s="92"/>
      <c r="AF48" s="93"/>
    </row>
    <row r="49" customFormat="false" ht="11.1" hidden="false" customHeight="true" outlineLevel="0" collapsed="false">
      <c r="A49" s="51" t="s">
        <v>52</v>
      </c>
      <c r="B49" s="51"/>
      <c r="C49" s="52"/>
      <c r="D49" s="52" t="n">
        <f aca="false">D8+D43</f>
        <v>-8020</v>
      </c>
      <c r="E49" s="52" t="n">
        <f aca="false">E40</f>
        <v>164936</v>
      </c>
      <c r="F49" s="52" t="n">
        <f aca="false">F48*$D$2</f>
        <v>-8020.00000000001</v>
      </c>
      <c r="G49" s="52" t="n">
        <f aca="false">G48*$D$2</f>
        <v>228275.877735</v>
      </c>
      <c r="H49" s="57" t="n">
        <f aca="false">H48*$D$2</f>
        <v>5573.39698</v>
      </c>
      <c r="I49" s="52" t="n">
        <f aca="false">I48*$D$2</f>
        <v>233454.359865</v>
      </c>
      <c r="J49" s="52" t="n">
        <f aca="false">J48*$D$2</f>
        <v>34755.102085</v>
      </c>
      <c r="K49" s="52" t="n">
        <f aca="false">K48*$D$2</f>
        <v>268209.46195</v>
      </c>
      <c r="L49" s="52" t="n">
        <f aca="false">L48*$D$2</f>
        <v>20480.35612</v>
      </c>
      <c r="M49" s="52" t="n">
        <f aca="false">M48*$D$2</f>
        <v>60529.08105</v>
      </c>
      <c r="N49" s="52" t="n">
        <f aca="false">N48*$D$2</f>
        <v>0.15868</v>
      </c>
      <c r="O49" s="52" t="n">
        <f aca="false">O48*$D$2</f>
        <v>0</v>
      </c>
      <c r="P49" s="52" t="n">
        <f aca="false">P48*$D$2</f>
        <v>60528.92237</v>
      </c>
      <c r="Q49" s="52" t="n">
        <f aca="false">Q48*$D$2</f>
        <v>56811.08964</v>
      </c>
      <c r="R49" s="52" t="n">
        <f aca="false">R48*$D$2</f>
        <v>24809.97503</v>
      </c>
      <c r="S49" s="52" t="n">
        <f aca="false">S48*$D$2</f>
        <v>142149.98704</v>
      </c>
      <c r="T49" s="52" t="n">
        <f aca="false">T48*$D$2</f>
        <v>-29027.17372</v>
      </c>
      <c r="U49" s="52" t="n">
        <f aca="false">U48*$D$2</f>
        <v>13799.2095</v>
      </c>
      <c r="V49" s="52" t="n">
        <f aca="false">V48*$D$2</f>
        <v>106154.123265</v>
      </c>
      <c r="W49" s="52" t="n">
        <f aca="false">W48*$D$2</f>
        <v>261954.715985</v>
      </c>
      <c r="X49" s="52" t="n">
        <f aca="false">X48*$D$2</f>
        <v>14338.222145</v>
      </c>
      <c r="Y49" s="52" t="n">
        <f aca="false">Y48*$D$2</f>
        <v>276292.93813</v>
      </c>
      <c r="Z49" s="56"/>
      <c r="AA49" s="57"/>
      <c r="AB49" s="57"/>
      <c r="AC49" s="58"/>
      <c r="AD49" s="92"/>
      <c r="AE49" s="92"/>
      <c r="AF49" s="93"/>
    </row>
    <row r="50" customFormat="false" ht="3" hidden="false" customHeight="true" outlineLevel="0" collapsed="false">
      <c r="A50" s="74"/>
      <c r="B50" s="74"/>
      <c r="C50" s="76"/>
      <c r="D50" s="74"/>
      <c r="E50" s="76"/>
      <c r="F50" s="74"/>
      <c r="G50" s="74"/>
      <c r="H50" s="77"/>
      <c r="I50" s="74"/>
      <c r="J50" s="74"/>
      <c r="K50" s="115"/>
      <c r="L50" s="74"/>
      <c r="M50" s="74"/>
      <c r="N50" s="74"/>
      <c r="O50" s="74"/>
      <c r="P50" s="74"/>
      <c r="Q50" s="74"/>
      <c r="R50" s="74"/>
      <c r="S50" s="74"/>
      <c r="T50" s="76"/>
      <c r="U50" s="74"/>
      <c r="V50" s="74"/>
      <c r="W50" s="74"/>
      <c r="X50" s="74"/>
      <c r="Y50" s="74"/>
      <c r="Z50" s="56"/>
      <c r="AA50" s="57"/>
      <c r="AB50" s="57"/>
      <c r="AC50" s="58"/>
      <c r="AD50" s="92"/>
      <c r="AE50" s="92"/>
      <c r="AF50" s="93"/>
    </row>
    <row r="51" customFormat="false" ht="11.1" hidden="false" customHeight="true" outlineLevel="0" collapsed="false">
      <c r="A51" s="82"/>
      <c r="B51" s="82"/>
      <c r="C51" s="52"/>
      <c r="D51" s="82"/>
      <c r="E51" s="52"/>
      <c r="F51" s="82"/>
      <c r="G51" s="85"/>
      <c r="H51" s="53"/>
      <c r="I51" s="82"/>
      <c r="J51" s="82"/>
      <c r="K51" s="82"/>
      <c r="L51" s="82"/>
      <c r="M51" s="81"/>
      <c r="N51" s="81"/>
      <c r="O51" s="81"/>
      <c r="P51" s="82"/>
      <c r="Q51" s="82"/>
      <c r="R51" s="82"/>
      <c r="S51" s="0"/>
      <c r="T51" s="52"/>
      <c r="V51" s="52"/>
      <c r="W51" s="82"/>
      <c r="X51" s="82"/>
      <c r="Y51" s="55"/>
      <c r="Z51" s="56"/>
      <c r="AA51" s="57"/>
      <c r="AB51" s="58"/>
      <c r="AC51" s="97"/>
      <c r="AD51" s="97"/>
    </row>
    <row r="52" customFormat="false" ht="11.1" hidden="false" customHeight="true" outlineLevel="0" collapsed="false">
      <c r="Q52" s="146"/>
      <c r="S52" s="52"/>
      <c r="T52" s="52"/>
    </row>
    <row r="53" customFormat="false" ht="11.1" hidden="false" customHeight="true" outlineLevel="0" collapsed="false">
      <c r="Q53" s="146"/>
      <c r="S53" s="52"/>
      <c r="T53" s="52"/>
    </row>
    <row r="54" customFormat="false" ht="11.1" hidden="false" customHeight="true" outlineLevel="0" collapsed="false">
      <c r="S54" s="52"/>
      <c r="T54" s="52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H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36" activePane="bottomRight" state="frozen"/>
      <selection pane="topLeft" activeCell="A1" activeCellId="0" sqref="A1"/>
      <selection pane="topRight" activeCell="B1" activeCellId="0" sqref="B1"/>
      <selection pane="bottomLeft" activeCell="A36" activeCellId="0" sqref="A36"/>
      <selection pane="bottomRight" activeCell="A50" activeCellId="0" sqref="A50"/>
    </sheetView>
  </sheetViews>
  <sheetFormatPr defaultColWidth="9.328125" defaultRowHeight="11.1" zeroHeight="false" outlineLevelRow="0" outlineLevelCol="0"/>
  <cols>
    <col collapsed="false" customWidth="true" hidden="false" outlineLevel="0" max="1" min="1" style="44" width="5.66"/>
    <col collapsed="false" customWidth="true" hidden="false" outlineLevel="0" max="2" min="2" style="44" width="7.82"/>
    <col collapsed="false" customWidth="true" hidden="false" outlineLevel="0" max="3" min="3" style="45" width="7.66"/>
    <col collapsed="false" customWidth="true" hidden="false" outlineLevel="0" max="4" min="4" style="44" width="6.99"/>
    <col collapsed="false" customWidth="true" hidden="false" outlineLevel="0" max="5" min="5" style="45" width="7.66"/>
    <col collapsed="false" customWidth="true" hidden="false" outlineLevel="0" max="6" min="6" style="44" width="7.66"/>
    <col collapsed="false" customWidth="true" hidden="false" outlineLevel="0" max="7" min="7" style="44" width="7.16"/>
    <col collapsed="false" customWidth="true" hidden="false" outlineLevel="0" max="8" min="8" style="140" width="6.66"/>
    <col collapsed="false" customWidth="true" hidden="false" outlineLevel="0" max="9" min="9" style="44" width="7.99"/>
    <col collapsed="false" customWidth="true" hidden="false" outlineLevel="0" max="10" min="10" style="44" width="6.66"/>
    <col collapsed="false" customWidth="true" hidden="false" outlineLevel="0" max="12" min="11" style="44" width="7.16"/>
    <col collapsed="false" customWidth="true" hidden="false" outlineLevel="0" max="13" min="13" style="47" width="6.82"/>
    <col collapsed="false" customWidth="true" hidden="true" outlineLevel="0" max="14" min="14" style="47" width="7.32"/>
    <col collapsed="false" customWidth="true" hidden="true" outlineLevel="0" max="15" min="15" style="47" width="6.49"/>
    <col collapsed="false" customWidth="true" hidden="true" outlineLevel="0" max="16" min="16" style="44" width="7.16"/>
    <col collapsed="false" customWidth="true" hidden="false" outlineLevel="0" max="17" min="17" style="44" width="6.16"/>
    <col collapsed="false" customWidth="true" hidden="false" outlineLevel="0" max="18" min="18" style="44" width="5.82"/>
    <col collapsed="false" customWidth="true" hidden="false" outlineLevel="0" max="19" min="19" style="45" width="6.82"/>
    <col collapsed="false" customWidth="true" hidden="false" outlineLevel="0" max="20" min="20" style="44" width="7.66"/>
    <col collapsed="false" customWidth="true" hidden="false" outlineLevel="0" max="21" min="21" style="44" width="5.99"/>
    <col collapsed="false" customWidth="true" hidden="false" outlineLevel="0" max="22" min="22" style="45" width="6.66"/>
    <col collapsed="false" customWidth="true" hidden="false" outlineLevel="0" max="24" min="23" style="44" width="7.82"/>
    <col collapsed="false" customWidth="true" hidden="false" outlineLevel="0" max="25" min="25" style="48" width="8.16"/>
    <col collapsed="false" customWidth="true" hidden="false" outlineLevel="0" max="26" min="26" style="46" width="5.32"/>
    <col collapsed="false" customWidth="true" hidden="false" outlineLevel="0" max="27" min="27" style="49" width="4.66"/>
    <col collapsed="false" customWidth="true" hidden="false" outlineLevel="0" max="28" min="28" style="50" width="4.66"/>
    <col collapsed="false" customWidth="true" hidden="false" outlineLevel="0" max="29" min="29" style="44" width="5.66"/>
    <col collapsed="false" customWidth="false" hidden="false" outlineLevel="0" max="30" min="30" style="48" width="9.32"/>
    <col collapsed="false" customWidth="false" hidden="false" outlineLevel="0" max="257" min="31" style="44" width="9.32"/>
  </cols>
  <sheetData>
    <row r="1" customFormat="false" ht="14.1" hidden="false" customHeight="true" outlineLevel="0" collapsed="false">
      <c r="A1" s="51"/>
      <c r="B1" s="51"/>
      <c r="C1" s="52"/>
      <c r="D1" s="51"/>
      <c r="E1" s="52"/>
      <c r="F1" s="51"/>
      <c r="G1" s="51"/>
      <c r="H1" s="53"/>
      <c r="I1" s="51"/>
      <c r="J1" s="51"/>
      <c r="K1" s="54" t="s">
        <v>0</v>
      </c>
      <c r="L1" s="51"/>
      <c r="M1" s="51"/>
      <c r="N1" s="51"/>
      <c r="O1" s="51"/>
      <c r="P1" s="51"/>
      <c r="Q1" s="51"/>
      <c r="R1" s="51"/>
      <c r="S1" s="52"/>
      <c r="T1" s="51"/>
      <c r="U1" s="51"/>
      <c r="V1" s="52"/>
      <c r="W1" s="51"/>
      <c r="X1" s="51"/>
      <c r="Y1" s="55"/>
      <c r="Z1" s="56"/>
      <c r="AA1" s="57"/>
      <c r="AB1" s="58"/>
      <c r="AC1" s="88"/>
      <c r="AD1" s="147"/>
    </row>
    <row r="2" customFormat="false" ht="14.1" hidden="false" customHeight="true" outlineLevel="0" collapsed="false">
      <c r="A2" s="51" t="s">
        <v>1</v>
      </c>
      <c r="B2" s="51"/>
      <c r="C2" s="52"/>
      <c r="D2" s="59" t="n">
        <v>1.9835</v>
      </c>
      <c r="E2" s="52"/>
      <c r="F2" s="51"/>
      <c r="G2" s="51"/>
      <c r="H2" s="53"/>
      <c r="I2" s="51"/>
      <c r="J2" s="51"/>
      <c r="K2" s="60" t="s">
        <v>81</v>
      </c>
      <c r="L2" s="60"/>
      <c r="M2" s="60"/>
      <c r="N2" s="60"/>
      <c r="O2" s="60"/>
      <c r="P2" s="60"/>
      <c r="Q2" s="60"/>
      <c r="R2" s="60"/>
      <c r="S2" s="60"/>
      <c r="T2" s="60"/>
      <c r="U2" s="51"/>
      <c r="V2" s="52"/>
      <c r="W2" s="51"/>
      <c r="X2" s="51"/>
      <c r="Y2" s="55"/>
      <c r="Z2" s="56"/>
      <c r="AA2" s="57"/>
      <c r="AB2" s="58"/>
      <c r="AC2" s="88"/>
      <c r="AD2" s="147"/>
    </row>
    <row r="3" customFormat="false" ht="11.1" hidden="false" customHeight="true" outlineLevel="0" collapsed="false">
      <c r="A3" s="51"/>
      <c r="B3" s="51"/>
      <c r="C3" s="52"/>
      <c r="D3" s="61"/>
      <c r="E3" s="52"/>
      <c r="F3" s="51"/>
      <c r="G3" s="51"/>
      <c r="H3" s="53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51"/>
      <c r="U3" s="51"/>
      <c r="V3" s="52"/>
      <c r="W3" s="51"/>
      <c r="X3" s="51"/>
      <c r="Y3" s="55"/>
      <c r="Z3" s="56"/>
      <c r="AA3" s="57"/>
      <c r="AB3" s="58"/>
      <c r="AC3" s="88"/>
      <c r="AD3" s="147"/>
    </row>
    <row r="4" customFormat="false" ht="11.1" hidden="false" customHeight="true" outlineLevel="0" collapsed="false">
      <c r="A4" s="62" t="s">
        <v>3</v>
      </c>
      <c r="B4" s="62" t="s">
        <v>4</v>
      </c>
      <c r="C4" s="63" t="s">
        <v>4</v>
      </c>
      <c r="D4" s="62" t="s">
        <v>5</v>
      </c>
      <c r="E4" s="63" t="s">
        <v>6</v>
      </c>
      <c r="F4" s="62" t="s">
        <v>7</v>
      </c>
      <c r="G4" s="62" t="s">
        <v>8</v>
      </c>
      <c r="H4" s="64" t="s">
        <v>9</v>
      </c>
      <c r="I4" s="62" t="s">
        <v>10</v>
      </c>
      <c r="J4" s="62" t="s">
        <v>11</v>
      </c>
      <c r="K4" s="62" t="s">
        <v>12</v>
      </c>
      <c r="L4" s="62" t="s">
        <v>11</v>
      </c>
      <c r="M4" s="62" t="s">
        <v>13</v>
      </c>
      <c r="N4" s="62"/>
      <c r="O4" s="62"/>
      <c r="P4" s="62"/>
      <c r="Q4" s="62" t="s">
        <v>14</v>
      </c>
      <c r="R4" s="62" t="s">
        <v>15</v>
      </c>
      <c r="S4" s="62" t="s">
        <v>12</v>
      </c>
      <c r="T4" s="63" t="s">
        <v>16</v>
      </c>
      <c r="U4" s="62" t="s">
        <v>17</v>
      </c>
      <c r="V4" s="62" t="s">
        <v>18</v>
      </c>
      <c r="W4" s="62" t="s">
        <v>10</v>
      </c>
      <c r="X4" s="62" t="s">
        <v>11</v>
      </c>
      <c r="Y4" s="62" t="s">
        <v>12</v>
      </c>
      <c r="Z4" s="65" t="s">
        <v>19</v>
      </c>
      <c r="AA4" s="66" t="s">
        <v>20</v>
      </c>
      <c r="AB4" s="66" t="s">
        <v>21</v>
      </c>
      <c r="AC4" s="66" t="s">
        <v>3</v>
      </c>
      <c r="AD4" s="148" t="s">
        <v>66</v>
      </c>
      <c r="AE4" s="88"/>
    </row>
    <row r="5" customFormat="false" ht="11.1" hidden="false" customHeight="true" outlineLevel="0" collapsed="false">
      <c r="A5" s="67" t="s">
        <v>82</v>
      </c>
      <c r="B5" s="62" t="s">
        <v>23</v>
      </c>
      <c r="C5" s="63" t="s">
        <v>5</v>
      </c>
      <c r="D5" s="62" t="s">
        <v>24</v>
      </c>
      <c r="E5" s="63" t="s">
        <v>25</v>
      </c>
      <c r="F5" s="62" t="s">
        <v>26</v>
      </c>
      <c r="G5" s="62" t="s">
        <v>27</v>
      </c>
      <c r="H5" s="64" t="s">
        <v>28</v>
      </c>
      <c r="I5" s="62" t="s">
        <v>29</v>
      </c>
      <c r="J5" s="62" t="s">
        <v>29</v>
      </c>
      <c r="K5" s="62" t="s">
        <v>29</v>
      </c>
      <c r="L5" s="62" t="s">
        <v>30</v>
      </c>
      <c r="M5" s="62" t="s">
        <v>31</v>
      </c>
      <c r="N5" s="62" t="s">
        <v>32</v>
      </c>
      <c r="O5" s="62" t="s">
        <v>33</v>
      </c>
      <c r="P5" s="62" t="s">
        <v>34</v>
      </c>
      <c r="Q5" s="62" t="s">
        <v>35</v>
      </c>
      <c r="R5" s="62" t="s">
        <v>36</v>
      </c>
      <c r="S5" s="62" t="s">
        <v>16</v>
      </c>
      <c r="T5" s="63" t="s">
        <v>37</v>
      </c>
      <c r="U5" s="62" t="s">
        <v>38</v>
      </c>
      <c r="V5" s="62" t="s">
        <v>39</v>
      </c>
      <c r="W5" s="62" t="s">
        <v>40</v>
      </c>
      <c r="X5" s="62" t="s">
        <v>40</v>
      </c>
      <c r="Y5" s="62" t="s">
        <v>40</v>
      </c>
      <c r="Z5" s="68"/>
      <c r="AA5" s="66" t="s">
        <v>41</v>
      </c>
      <c r="AB5" s="66" t="s">
        <v>41</v>
      </c>
      <c r="AC5" s="69" t="s">
        <v>82</v>
      </c>
      <c r="AD5" s="148" t="s">
        <v>68</v>
      </c>
      <c r="AE5" s="88"/>
      <c r="AG5" s="142"/>
      <c r="AH5" s="142"/>
    </row>
    <row r="6" customFormat="false" ht="11.1" hidden="false" customHeight="true" outlineLevel="0" collapsed="false">
      <c r="A6" s="70"/>
      <c r="B6" s="70"/>
      <c r="C6" s="149"/>
      <c r="D6" s="70"/>
      <c r="E6" s="71"/>
      <c r="F6" s="70"/>
      <c r="G6" s="70"/>
      <c r="H6" s="72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1"/>
      <c r="U6" s="70"/>
      <c r="V6" s="70"/>
      <c r="W6" s="70"/>
      <c r="X6" s="70"/>
      <c r="Y6" s="70"/>
      <c r="Z6" s="56"/>
      <c r="AA6" s="58"/>
      <c r="AB6" s="58"/>
      <c r="AC6" s="58"/>
      <c r="AD6" s="150"/>
      <c r="AE6" s="92"/>
      <c r="AF6" s="93"/>
      <c r="AG6" s="142"/>
      <c r="AH6" s="142"/>
    </row>
    <row r="7" customFormat="false" ht="11.1" hidden="false" customHeight="true" outlineLevel="0" collapsed="false">
      <c r="A7" s="51" t="s">
        <v>42</v>
      </c>
      <c r="B7" s="51"/>
      <c r="C7" s="151"/>
      <c r="D7" s="52"/>
      <c r="E7" s="52"/>
      <c r="F7" s="52" t="n">
        <f aca="false">AUG!F45</f>
        <v>-18844.9710108394</v>
      </c>
      <c r="G7" s="52" t="n">
        <f aca="false">AUG!G45</f>
        <v>93235.91</v>
      </c>
      <c r="H7" s="52" t="n">
        <f aca="false">AUG!H45</f>
        <v>2089.41</v>
      </c>
      <c r="I7" s="52" t="n">
        <f aca="false">AUG!I45</f>
        <v>95325.32</v>
      </c>
      <c r="J7" s="52" t="n">
        <f aca="false">AUG!J45</f>
        <v>6419.27795311319</v>
      </c>
      <c r="K7" s="52" t="n">
        <f aca="false">AUG!K45</f>
        <v>101744.597953113</v>
      </c>
      <c r="L7" s="52" t="n">
        <f aca="false">AUG!L45</f>
        <v>724.848989160576</v>
      </c>
      <c r="M7" s="52" t="n">
        <f aca="false">AUG!M45</f>
        <v>28467.04</v>
      </c>
      <c r="N7" s="52" t="n">
        <f aca="false">AUG!N45</f>
        <v>0</v>
      </c>
      <c r="O7" s="52" t="n">
        <f aca="false">AUG!O45</f>
        <v>0</v>
      </c>
      <c r="P7" s="52" t="n">
        <f aca="false">AUG!P45</f>
        <v>28467.04</v>
      </c>
      <c r="Q7" s="52" t="n">
        <f aca="false">AUG!Q45</f>
        <v>25922.49</v>
      </c>
      <c r="R7" s="52" t="n">
        <f aca="false">AUG!R45</f>
        <v>12042.81</v>
      </c>
      <c r="S7" s="52" t="n">
        <f aca="false">AUG!S45</f>
        <v>66432.34</v>
      </c>
      <c r="T7" s="52" t="n">
        <f aca="false">AUG!T45</f>
        <v>-14634.32</v>
      </c>
      <c r="U7" s="52" t="n">
        <f aca="false">AUG!U45</f>
        <v>6957</v>
      </c>
      <c r="V7" s="52" t="n">
        <f aca="false">AUG!V45</f>
        <v>41505.8</v>
      </c>
      <c r="W7" s="52" t="n">
        <f aca="false">AUG!W45</f>
        <v>114895.14</v>
      </c>
      <c r="X7" s="52" t="n">
        <f aca="false">AUG!X45</f>
        <v>5726.43107133854</v>
      </c>
      <c r="Y7" s="52" t="n">
        <f aca="false">AUG!Y45</f>
        <v>120621.571071339</v>
      </c>
      <c r="Z7" s="56"/>
      <c r="AA7" s="57"/>
      <c r="AB7" s="57"/>
      <c r="AC7" s="58"/>
      <c r="AD7" s="150"/>
      <c r="AE7" s="93"/>
      <c r="AF7" s="93"/>
    </row>
    <row r="8" s="45" customFormat="true" ht="11.1" hidden="false" customHeight="true" outlineLevel="0" collapsed="false">
      <c r="A8" s="52" t="s">
        <v>43</v>
      </c>
      <c r="B8" s="73" t="n">
        <f aca="false">AUG!B40</f>
        <v>6908.73</v>
      </c>
      <c r="C8" s="52" t="n">
        <f aca="false">AUG!C40</f>
        <v>316936</v>
      </c>
      <c r="D8" s="52" t="n">
        <f aca="false">AUG!D49</f>
        <v>-8020</v>
      </c>
      <c r="E8" s="52" t="n">
        <f aca="false">AUG!E49</f>
        <v>164936</v>
      </c>
      <c r="F8" s="52" t="n">
        <f aca="false">AUG!F48</f>
        <v>-4043.35770103353</v>
      </c>
      <c r="G8" s="52" t="n">
        <f aca="false">AUG!G48</f>
        <v>115087.41</v>
      </c>
      <c r="H8" s="52" t="n">
        <f aca="false">AUG!H48</f>
        <v>2809.88</v>
      </c>
      <c r="I8" s="52" t="n">
        <f aca="false">AUG!I48</f>
        <v>117698.19</v>
      </c>
      <c r="J8" s="52" t="n">
        <f aca="false">AUG!J48</f>
        <v>17522.1084371061</v>
      </c>
      <c r="K8" s="52" t="n">
        <f aca="false">AUG!K48</f>
        <v>135220.298437106</v>
      </c>
      <c r="L8" s="52" t="n">
        <f aca="false">AUG!L48</f>
        <v>10325.3622989665</v>
      </c>
      <c r="M8" s="52" t="n">
        <f aca="false">AUG!M48</f>
        <v>30516.3</v>
      </c>
      <c r="N8" s="52" t="n">
        <f aca="false">AUG!N48</f>
        <v>0.08</v>
      </c>
      <c r="O8" s="52" t="n">
        <f aca="false">AUG!O48</f>
        <v>0</v>
      </c>
      <c r="P8" s="52" t="n">
        <f aca="false">AUG!P48</f>
        <v>30516.22</v>
      </c>
      <c r="Q8" s="52" t="n">
        <f aca="false">AUG!Q48</f>
        <v>28641.84</v>
      </c>
      <c r="R8" s="52" t="n">
        <f aca="false">AUG!R48</f>
        <v>12508.18</v>
      </c>
      <c r="S8" s="52" t="n">
        <f aca="false">AUG!S48</f>
        <v>71666.24</v>
      </c>
      <c r="T8" s="52" t="n">
        <f aca="false">AUG!T48</f>
        <v>-14634.32</v>
      </c>
      <c r="U8" s="52" t="n">
        <f aca="false">AUG!U48</f>
        <v>6957</v>
      </c>
      <c r="V8" s="52" t="n">
        <f aca="false">AUG!V48</f>
        <v>53518.59</v>
      </c>
      <c r="W8" s="52" t="n">
        <f aca="false">AUG!W48</f>
        <v>132066.91</v>
      </c>
      <c r="X8" s="52" t="n">
        <f aca="false">AUG!X48</f>
        <v>7228.74824552559</v>
      </c>
      <c r="Y8" s="52" t="n">
        <f aca="false">AUG!Y48</f>
        <v>139295.658245526</v>
      </c>
      <c r="Z8" s="56" t="n">
        <f aca="false">AUG!Z48</f>
        <v>9.41</v>
      </c>
      <c r="AA8" s="57"/>
      <c r="AB8" s="57"/>
      <c r="AC8" s="58"/>
      <c r="AD8" s="150"/>
      <c r="AE8" s="92"/>
      <c r="AF8" s="94"/>
      <c r="AG8" s="44"/>
      <c r="AH8" s="44"/>
    </row>
    <row r="9" customFormat="false" ht="3" hidden="false" customHeight="true" outlineLevel="0" collapsed="false">
      <c r="A9" s="74"/>
      <c r="B9" s="75"/>
      <c r="C9" s="76"/>
      <c r="D9" s="74"/>
      <c r="E9" s="76"/>
      <c r="F9" s="74"/>
      <c r="G9" s="74"/>
      <c r="H9" s="77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6"/>
      <c r="U9" s="74"/>
      <c r="V9" s="74"/>
      <c r="W9" s="74"/>
      <c r="X9" s="74"/>
      <c r="Y9" s="74"/>
      <c r="Z9" s="78"/>
      <c r="AA9" s="79" t="n">
        <v>0</v>
      </c>
      <c r="AB9" s="79"/>
      <c r="AC9" s="80"/>
      <c r="AD9" s="152"/>
      <c r="AE9" s="92"/>
      <c r="AF9" s="93"/>
    </row>
    <row r="10" customFormat="false" ht="11.1" hidden="false" customHeight="true" outlineLevel="0" collapsed="false">
      <c r="A10" s="58" t="n">
        <v>1</v>
      </c>
      <c r="B10" s="73" t="n">
        <v>6908.48</v>
      </c>
      <c r="C10" s="52" t="n">
        <v>315952</v>
      </c>
      <c r="D10" s="57" t="n">
        <f aca="false">C10-C8</f>
        <v>-984</v>
      </c>
      <c r="E10" s="52" t="n">
        <f aca="false">C10-151978</f>
        <v>163974</v>
      </c>
      <c r="F10" s="51" t="n">
        <f aca="false">D10/$D$2</f>
        <v>-496.092765313839</v>
      </c>
      <c r="G10" s="51" t="n">
        <v>67.34</v>
      </c>
      <c r="H10" s="53" t="n">
        <v>0</v>
      </c>
      <c r="I10" s="51" t="n">
        <f aca="false">G10+H10</f>
        <v>67.34</v>
      </c>
      <c r="J10" s="81" t="n">
        <f aca="false">IF(L10&gt;0,L10,0)</f>
        <v>29.9372346861608</v>
      </c>
      <c r="K10" s="51" t="n">
        <f aca="false">I10+J10</f>
        <v>97.2772346861608</v>
      </c>
      <c r="L10" s="51" t="n">
        <f aca="false">F10-(I10-W10)</f>
        <v>29.9372346861608</v>
      </c>
      <c r="M10" s="51" t="n">
        <v>170.93</v>
      </c>
      <c r="N10" s="6" t="n">
        <v>0</v>
      </c>
      <c r="O10" s="51" t="n">
        <v>0</v>
      </c>
      <c r="P10" s="6" t="n">
        <f aca="false">M10-(N10+O10)</f>
        <v>170.93</v>
      </c>
      <c r="Q10" s="51" t="n">
        <v>200.41</v>
      </c>
      <c r="R10" s="51" t="n">
        <v>78.66</v>
      </c>
      <c r="S10" s="51" t="n">
        <f aca="false">SUM(P10:R10)</f>
        <v>450</v>
      </c>
      <c r="T10" s="52" t="n">
        <f aca="false">(I10-S10)+T7</f>
        <v>-15016.98</v>
      </c>
      <c r="U10" s="51" t="n">
        <v>64</v>
      </c>
      <c r="V10" s="51" t="n">
        <v>79.37</v>
      </c>
      <c r="W10" s="6" t="n">
        <f aca="false">N10+O10+S10+U10+V10</f>
        <v>593.37</v>
      </c>
      <c r="X10" s="51" t="n">
        <f aca="false">IF(L10&lt;0,L10*-1,0)</f>
        <v>0</v>
      </c>
      <c r="Y10" s="51" t="n">
        <f aca="false">W10+X10</f>
        <v>593.37</v>
      </c>
      <c r="Z10" s="56" t="n">
        <v>0</v>
      </c>
      <c r="AA10" s="57" t="n">
        <v>79</v>
      </c>
      <c r="AB10" s="57" t="n">
        <v>50</v>
      </c>
      <c r="AC10" s="58" t="n">
        <v>1</v>
      </c>
      <c r="AD10" s="150" t="n">
        <f aca="false">IF(I10&gt;S10,I10-S10,I10-S10)</f>
        <v>-382.66</v>
      </c>
      <c r="AE10" s="94"/>
      <c r="AF10" s="94"/>
    </row>
    <row r="11" customFormat="false" ht="11.1" hidden="false" customHeight="true" outlineLevel="0" collapsed="false">
      <c r="A11" s="58" t="n">
        <v>2</v>
      </c>
      <c r="B11" s="73" t="n">
        <v>6908.23</v>
      </c>
      <c r="C11" s="52" t="n">
        <v>314964</v>
      </c>
      <c r="D11" s="57" t="n">
        <f aca="false">C11-C10</f>
        <v>-988</v>
      </c>
      <c r="E11" s="52" t="n">
        <f aca="false">C11-151978</f>
        <v>162986</v>
      </c>
      <c r="F11" s="51" t="n">
        <f aca="false">D11/$D$2</f>
        <v>-498.109402571213</v>
      </c>
      <c r="G11" s="51" t="n">
        <v>64.83</v>
      </c>
      <c r="H11" s="53" t="n">
        <v>0</v>
      </c>
      <c r="I11" s="51" t="n">
        <f aca="false">G11+H11</f>
        <v>64.83</v>
      </c>
      <c r="J11" s="81" t="n">
        <f aca="false">IF(L11&gt;0,L11,0)</f>
        <v>35.5405974287875</v>
      </c>
      <c r="K11" s="51" t="n">
        <f aca="false">I11+J11</f>
        <v>100.370597428787</v>
      </c>
      <c r="L11" s="51" t="n">
        <f aca="false">F11-(I11-W11)</f>
        <v>35.5405974287875</v>
      </c>
      <c r="M11" s="51" t="n">
        <v>170.81</v>
      </c>
      <c r="N11" s="6" t="n">
        <v>0</v>
      </c>
      <c r="O11" s="51" t="n">
        <v>0</v>
      </c>
      <c r="P11" s="6" t="n">
        <f aca="false">M11-(N11+O11)</f>
        <v>170.81</v>
      </c>
      <c r="Q11" s="51" t="n">
        <v>199.43</v>
      </c>
      <c r="R11" s="51" t="n">
        <v>78.76</v>
      </c>
      <c r="S11" s="51" t="n">
        <f aca="false">SUM(P11:R11)</f>
        <v>449</v>
      </c>
      <c r="T11" s="52" t="n">
        <f aca="false">(I11-S11)+T10</f>
        <v>-15401.15</v>
      </c>
      <c r="U11" s="51" t="n">
        <v>70</v>
      </c>
      <c r="V11" s="51" t="n">
        <v>79.48</v>
      </c>
      <c r="W11" s="6" t="n">
        <f aca="false">N11+O11+S11+U11+V11</f>
        <v>598.48</v>
      </c>
      <c r="X11" s="51" t="n">
        <f aca="false">IF(L11&lt;0,L11*-1,0)</f>
        <v>0</v>
      </c>
      <c r="Y11" s="51" t="n">
        <f aca="false">W11+X11</f>
        <v>598.48</v>
      </c>
      <c r="Z11" s="56" t="n">
        <v>0</v>
      </c>
      <c r="AA11" s="57" t="n">
        <v>79</v>
      </c>
      <c r="AB11" s="57" t="n">
        <v>49</v>
      </c>
      <c r="AC11" s="58" t="n">
        <v>2</v>
      </c>
      <c r="AD11" s="150" t="n">
        <f aca="false">IF(I11&gt;S11,I11-S11,I11-S11)</f>
        <v>-384.17</v>
      </c>
      <c r="AE11" s="94"/>
      <c r="AF11" s="94"/>
    </row>
    <row r="12" customFormat="false" ht="11.1" hidden="false" customHeight="true" outlineLevel="0" collapsed="false">
      <c r="A12" s="58" t="n">
        <v>3</v>
      </c>
      <c r="B12" s="73" t="n">
        <v>6907.98</v>
      </c>
      <c r="C12" s="52" t="n">
        <v>313977</v>
      </c>
      <c r="D12" s="57" t="n">
        <f aca="false">C12-C11</f>
        <v>-987</v>
      </c>
      <c r="E12" s="52" t="n">
        <f aca="false">C12-151978</f>
        <v>161999</v>
      </c>
      <c r="F12" s="51" t="n">
        <f aca="false">D12/$D$2</f>
        <v>-497.605243256869</v>
      </c>
      <c r="G12" s="51" t="n">
        <v>64.41</v>
      </c>
      <c r="H12" s="53" t="n">
        <v>0</v>
      </c>
      <c r="I12" s="51" t="n">
        <f aca="false">G12+H12</f>
        <v>64.41</v>
      </c>
      <c r="J12" s="81" t="n">
        <f aca="false">IF(L12&gt;0,L12,0)</f>
        <v>31.4847567431308</v>
      </c>
      <c r="K12" s="51" t="n">
        <f aca="false">I12+J12</f>
        <v>95.8947567431308</v>
      </c>
      <c r="L12" s="51" t="n">
        <f aca="false">F12-(I12-W12)</f>
        <v>31.4847567431308</v>
      </c>
      <c r="M12" s="51" t="n">
        <v>170.56</v>
      </c>
      <c r="N12" s="6" t="n">
        <v>0</v>
      </c>
      <c r="O12" s="51" t="n">
        <v>0</v>
      </c>
      <c r="P12" s="6" t="n">
        <f aca="false">M12-(N12+O12)</f>
        <v>170.56</v>
      </c>
      <c r="Q12" s="51" t="n">
        <v>198.7</v>
      </c>
      <c r="R12" s="51" t="n">
        <v>77.74</v>
      </c>
      <c r="S12" s="51" t="n">
        <f aca="false">SUM(P12:R12)</f>
        <v>447</v>
      </c>
      <c r="T12" s="52" t="n">
        <f aca="false">(I12-S12)+T11</f>
        <v>-15783.74</v>
      </c>
      <c r="U12" s="51" t="n">
        <v>67</v>
      </c>
      <c r="V12" s="51" t="n">
        <v>79.5</v>
      </c>
      <c r="W12" s="6" t="n">
        <f aca="false">N12+O12+S12+U12+V12</f>
        <v>593.5</v>
      </c>
      <c r="X12" s="51" t="n">
        <f aca="false">IF(L12&lt;0,L12*-1,0)</f>
        <v>0</v>
      </c>
      <c r="Y12" s="51" t="n">
        <f aca="false">W12+X12</f>
        <v>593.5</v>
      </c>
      <c r="Z12" s="56" t="n">
        <v>0</v>
      </c>
      <c r="AA12" s="57" t="n">
        <v>77</v>
      </c>
      <c r="AB12" s="57" t="n">
        <v>50</v>
      </c>
      <c r="AC12" s="58" t="n">
        <v>3</v>
      </c>
      <c r="AD12" s="150" t="n">
        <f aca="false">IF(I12&gt;S12,I12-S12,I12-S12)</f>
        <v>-382.59</v>
      </c>
      <c r="AE12" s="94"/>
      <c r="AF12" s="94"/>
    </row>
    <row r="13" customFormat="false" ht="11.1" hidden="false" customHeight="true" outlineLevel="0" collapsed="false">
      <c r="A13" s="58" t="n">
        <v>4</v>
      </c>
      <c r="B13" s="73" t="n">
        <v>6907.73</v>
      </c>
      <c r="C13" s="52" t="n">
        <v>312998</v>
      </c>
      <c r="D13" s="57" t="n">
        <f aca="false">C13-C12</f>
        <v>-979</v>
      </c>
      <c r="E13" s="52" t="n">
        <f aca="false">C13-151978</f>
        <v>161020</v>
      </c>
      <c r="F13" s="51" t="n">
        <f aca="false">D13/$D$2</f>
        <v>-493.571968742123</v>
      </c>
      <c r="G13" s="51" t="n">
        <v>62.84</v>
      </c>
      <c r="H13" s="53" t="n">
        <v>0</v>
      </c>
      <c r="I13" s="51" t="n">
        <f aca="false">G13+H13</f>
        <v>62.84</v>
      </c>
      <c r="J13" s="81" t="n">
        <f aca="false">IF(L13&gt;0,L13,0)</f>
        <v>26.1080312578774</v>
      </c>
      <c r="K13" s="51" t="n">
        <f aca="false">I13+J13</f>
        <v>88.9480312578774</v>
      </c>
      <c r="L13" s="51" t="n">
        <f aca="false">F13-(I13-W13)</f>
        <v>26.1080312578774</v>
      </c>
      <c r="M13" s="51" t="n">
        <v>170.31</v>
      </c>
      <c r="N13" s="6" t="n">
        <v>0</v>
      </c>
      <c r="O13" s="51" t="n">
        <v>0</v>
      </c>
      <c r="P13" s="6" t="n">
        <f aca="false">M13-(N13+O13)</f>
        <v>170.31</v>
      </c>
      <c r="Q13" s="51" t="n">
        <v>198.06</v>
      </c>
      <c r="R13" s="51" t="n">
        <v>77.63</v>
      </c>
      <c r="S13" s="51" t="n">
        <f aca="false">SUM(P13:R13)</f>
        <v>446</v>
      </c>
      <c r="T13" s="52" t="n">
        <f aca="false">(I13-S13)+T12</f>
        <v>-16166.9</v>
      </c>
      <c r="U13" s="51" t="n">
        <v>57</v>
      </c>
      <c r="V13" s="51" t="n">
        <v>79.52</v>
      </c>
      <c r="W13" s="6" t="n">
        <f aca="false">N13+O13+S13+U13+V13</f>
        <v>582.52</v>
      </c>
      <c r="X13" s="51" t="n">
        <f aca="false">IF(L13&lt;0,L13*-1,0)</f>
        <v>0</v>
      </c>
      <c r="Y13" s="51" t="n">
        <f aca="false">W13+X13</f>
        <v>582.52</v>
      </c>
      <c r="Z13" s="56" t="n">
        <v>0</v>
      </c>
      <c r="AA13" s="57" t="n">
        <v>76</v>
      </c>
      <c r="AB13" s="57" t="n">
        <v>48</v>
      </c>
      <c r="AC13" s="58" t="n">
        <v>4</v>
      </c>
      <c r="AD13" s="150" t="n">
        <f aca="false">IF(I13&gt;S13,I13-S13,I13-S13)</f>
        <v>-383.16</v>
      </c>
      <c r="AE13" s="94"/>
      <c r="AF13" s="94"/>
    </row>
    <row r="14" customFormat="false" ht="11.1" hidden="false" customHeight="true" outlineLevel="0" collapsed="false">
      <c r="A14" s="58" t="n">
        <v>5</v>
      </c>
      <c r="B14" s="73" t="n">
        <v>6907.5</v>
      </c>
      <c r="C14" s="52" t="n">
        <v>312097</v>
      </c>
      <c r="D14" s="57" t="n">
        <f aca="false">C14-C13</f>
        <v>-901</v>
      </c>
      <c r="E14" s="52" t="n">
        <f aca="false">C14-151978</f>
        <v>160119</v>
      </c>
      <c r="F14" s="51" t="n">
        <f aca="false">D14/$D$2</f>
        <v>-454.247542223343</v>
      </c>
      <c r="G14" s="51" t="n">
        <v>70.83</v>
      </c>
      <c r="H14" s="53" t="n">
        <v>0</v>
      </c>
      <c r="I14" s="51" t="n">
        <f aca="false">G14+H14</f>
        <v>70.83</v>
      </c>
      <c r="J14" s="81" t="n">
        <f aca="false">IF(L14&gt;0,L14,0)</f>
        <v>72.4324577766574</v>
      </c>
      <c r="K14" s="51" t="n">
        <f aca="false">I14+J14</f>
        <v>143.262457776657</v>
      </c>
      <c r="L14" s="51" t="n">
        <f aca="false">F14-(I14-W14)</f>
        <v>72.4324577766574</v>
      </c>
      <c r="M14" s="51" t="n">
        <v>169.53</v>
      </c>
      <c r="N14" s="6" t="n">
        <v>0</v>
      </c>
      <c r="O14" s="51" t="n">
        <v>0</v>
      </c>
      <c r="P14" s="6" t="n">
        <f aca="false">M14-(N14+O14)</f>
        <v>169.53</v>
      </c>
      <c r="Q14" s="51" t="n">
        <v>197.22</v>
      </c>
      <c r="R14" s="51" t="n">
        <v>78.25</v>
      </c>
      <c r="S14" s="51" t="n">
        <f aca="false">SUM(P14:R14)</f>
        <v>445</v>
      </c>
      <c r="T14" s="52" t="n">
        <f aca="false">(I14-S14)+T13</f>
        <v>-16541.07</v>
      </c>
      <c r="U14" s="51" t="n">
        <v>73</v>
      </c>
      <c r="V14" s="51" t="n">
        <v>79.51</v>
      </c>
      <c r="W14" s="6" t="n">
        <f aca="false">N14+O14+S14+U14+V14</f>
        <v>597.51</v>
      </c>
      <c r="X14" s="51" t="n">
        <f aca="false">IF(L14&lt;0,L14*-1,0)</f>
        <v>0</v>
      </c>
      <c r="Y14" s="51" t="n">
        <f aca="false">W14+X14</f>
        <v>597.51</v>
      </c>
      <c r="Z14" s="56" t="n">
        <v>0</v>
      </c>
      <c r="AA14" s="57" t="n">
        <v>78</v>
      </c>
      <c r="AB14" s="57" t="n">
        <v>47</v>
      </c>
      <c r="AC14" s="58" t="n">
        <v>5</v>
      </c>
      <c r="AD14" s="150" t="n">
        <f aca="false">IF(I14&gt;S14,I14-S14,I14-S14)</f>
        <v>-374.17</v>
      </c>
      <c r="AE14" s="94"/>
      <c r="AF14" s="94"/>
    </row>
    <row r="15" customFormat="false" ht="11.1" hidden="false" customHeight="true" outlineLevel="0" collapsed="false">
      <c r="A15" s="58" t="n">
        <v>6</v>
      </c>
      <c r="B15" s="73" t="n">
        <v>6907.3</v>
      </c>
      <c r="C15" s="52" t="n">
        <v>311313</v>
      </c>
      <c r="D15" s="57" t="n">
        <f aca="false">C15-C14</f>
        <v>-784</v>
      </c>
      <c r="E15" s="52" t="n">
        <f aca="false">C15-151978</f>
        <v>159335</v>
      </c>
      <c r="F15" s="51" t="n">
        <f aca="false">D15/$D$2</f>
        <v>-395.260902445173</v>
      </c>
      <c r="G15" s="51" t="n">
        <v>69.82</v>
      </c>
      <c r="H15" s="53" t="n">
        <v>0</v>
      </c>
      <c r="I15" s="51" t="n">
        <f aca="false">G15+H15</f>
        <v>69.82</v>
      </c>
      <c r="J15" s="81" t="n">
        <f aca="false">IF(L15&gt;0,L15,0)</f>
        <v>31.4390975548273</v>
      </c>
      <c r="K15" s="51" t="n">
        <f aca="false">I15+J15</f>
        <v>101.259097554827</v>
      </c>
      <c r="L15" s="51" t="n">
        <f aca="false">F15-(I15-W15)</f>
        <v>31.4390975548273</v>
      </c>
      <c r="M15" s="51" t="n">
        <v>148.1</v>
      </c>
      <c r="N15" s="6" t="n">
        <v>0</v>
      </c>
      <c r="O15" s="51" t="n">
        <v>0</v>
      </c>
      <c r="P15" s="6" t="n">
        <f aca="false">M15-(N15+O15)</f>
        <v>148.1</v>
      </c>
      <c r="Q15" s="51" t="n">
        <v>127.94</v>
      </c>
      <c r="R15" s="51" t="n">
        <v>77.96</v>
      </c>
      <c r="S15" s="51" t="n">
        <f aca="false">SUM(P15:R15)</f>
        <v>354</v>
      </c>
      <c r="T15" s="52" t="n">
        <f aca="false">(I15-S15)+T14</f>
        <v>-16825.25</v>
      </c>
      <c r="U15" s="51" t="n">
        <v>63</v>
      </c>
      <c r="V15" s="51" t="n">
        <v>79.52</v>
      </c>
      <c r="W15" s="6" t="n">
        <f aca="false">N15+O15+S15+U15+V15</f>
        <v>496.52</v>
      </c>
      <c r="X15" s="51" t="n">
        <f aca="false">IF(L15&lt;0,L15*-1,0)</f>
        <v>0</v>
      </c>
      <c r="Y15" s="51" t="n">
        <f aca="false">W15+X15</f>
        <v>496.52</v>
      </c>
      <c r="Z15" s="56" t="n">
        <v>0</v>
      </c>
      <c r="AA15" s="57" t="n">
        <v>77</v>
      </c>
      <c r="AB15" s="57" t="n">
        <v>48</v>
      </c>
      <c r="AC15" s="58" t="n">
        <v>6</v>
      </c>
      <c r="AD15" s="150" t="n">
        <f aca="false">IF(I15&gt;S15,I15-S15,I15-S15)</f>
        <v>-284.18</v>
      </c>
      <c r="AE15" s="94"/>
      <c r="AF15" s="94"/>
    </row>
    <row r="16" customFormat="false" ht="11.1" hidden="false" customHeight="true" outlineLevel="0" collapsed="false">
      <c r="A16" s="58" t="n">
        <v>7</v>
      </c>
      <c r="B16" s="73" t="n">
        <v>6907.13</v>
      </c>
      <c r="C16" s="52" t="n">
        <v>310686</v>
      </c>
      <c r="D16" s="57" t="n">
        <f aca="false">C16-C15</f>
        <v>-627</v>
      </c>
      <c r="E16" s="52" t="n">
        <f aca="false">C16-151978</f>
        <v>158708</v>
      </c>
      <c r="F16" s="51" t="n">
        <f aca="false">D16/$D$2</f>
        <v>-316.107890093269</v>
      </c>
      <c r="G16" s="51" t="n">
        <v>64.82</v>
      </c>
      <c r="H16" s="53" t="n">
        <v>0</v>
      </c>
      <c r="I16" s="51" t="n">
        <f aca="false">G16+H16</f>
        <v>64.82</v>
      </c>
      <c r="J16" s="81" t="n">
        <f aca="false">IF(L16&gt;0,L16,0)</f>
        <v>67.6021099067305</v>
      </c>
      <c r="K16" s="51" t="n">
        <f aca="false">I16+J16</f>
        <v>132.422109906731</v>
      </c>
      <c r="L16" s="51" t="n">
        <f aca="false">F16-(I16-W16)</f>
        <v>67.6021099067305</v>
      </c>
      <c r="M16" s="51" t="n">
        <v>127.8</v>
      </c>
      <c r="N16" s="6" t="n">
        <v>0</v>
      </c>
      <c r="O16" s="51" t="n">
        <v>0</v>
      </c>
      <c r="P16" s="6" t="n">
        <f aca="false">M16-(N16+O16)</f>
        <v>127.8</v>
      </c>
      <c r="Q16" s="51" t="n">
        <v>97.62</v>
      </c>
      <c r="R16" s="51" t="n">
        <v>78.58</v>
      </c>
      <c r="S16" s="51" t="n">
        <f aca="false">SUM(P16:R16)</f>
        <v>304</v>
      </c>
      <c r="T16" s="52" t="n">
        <f aca="false">(I16-S16)+T15</f>
        <v>-17064.43</v>
      </c>
      <c r="U16" s="51" t="n">
        <v>65</v>
      </c>
      <c r="V16" s="51" t="n">
        <v>79.53</v>
      </c>
      <c r="W16" s="6" t="n">
        <f aca="false">N16+O16+S16+U16+V16</f>
        <v>448.53</v>
      </c>
      <c r="X16" s="51" t="n">
        <f aca="false">IF(L16&lt;0,L16*-1,0)</f>
        <v>0</v>
      </c>
      <c r="Y16" s="51" t="n">
        <f aca="false">W16+X16</f>
        <v>448.53</v>
      </c>
      <c r="Z16" s="56" t="n">
        <v>0</v>
      </c>
      <c r="AA16" s="57" t="n">
        <v>79</v>
      </c>
      <c r="AB16" s="57" t="n">
        <v>47</v>
      </c>
      <c r="AC16" s="58" t="n">
        <v>7</v>
      </c>
      <c r="AD16" s="150" t="n">
        <f aca="false">IF(I16&gt;S16,I16-S16,I16-S16)</f>
        <v>-239.18</v>
      </c>
      <c r="AE16" s="94"/>
      <c r="AF16" s="94"/>
    </row>
    <row r="17" customFormat="false" ht="11.1" hidden="false" customHeight="true" outlineLevel="0" collapsed="false">
      <c r="A17" s="58" t="n">
        <v>8</v>
      </c>
      <c r="B17" s="73" t="n">
        <v>6906.94</v>
      </c>
      <c r="C17" s="52" t="n">
        <v>309905</v>
      </c>
      <c r="D17" s="57" t="n">
        <f aca="false">C17-C16</f>
        <v>-781</v>
      </c>
      <c r="E17" s="52" t="n">
        <f aca="false">C17-151978</f>
        <v>157927</v>
      </c>
      <c r="F17" s="51" t="n">
        <f aca="false">D17/$D$2</f>
        <v>-393.748424502143</v>
      </c>
      <c r="G17" s="51" t="n">
        <v>59.64</v>
      </c>
      <c r="H17" s="53" t="n">
        <v>0</v>
      </c>
      <c r="I17" s="51" t="n">
        <f aca="false">G17+H17</f>
        <v>59.64</v>
      </c>
      <c r="J17" s="81" t="n">
        <f aca="false">IF(L17&gt;0,L17,0)</f>
        <v>0</v>
      </c>
      <c r="K17" s="51" t="n">
        <f aca="false">I17+J17</f>
        <v>59.64</v>
      </c>
      <c r="L17" s="51" t="n">
        <f aca="false">F17-(I17-W17)</f>
        <v>-0.698424502142643</v>
      </c>
      <c r="M17" s="51" t="n">
        <v>127.77</v>
      </c>
      <c r="N17" s="6" t="n">
        <v>0</v>
      </c>
      <c r="O17" s="51" t="n">
        <v>0</v>
      </c>
      <c r="P17" s="6" t="n">
        <f aca="false">M17-(N17+O17)</f>
        <v>127.77</v>
      </c>
      <c r="Q17" s="51" t="n">
        <v>98.35</v>
      </c>
      <c r="R17" s="51" t="n">
        <v>78.08</v>
      </c>
      <c r="S17" s="51" t="n">
        <f aca="false">SUM(P17:R17)</f>
        <v>304.2</v>
      </c>
      <c r="T17" s="52" t="n">
        <f aca="false">(I17-S17)+T16</f>
        <v>-17308.99</v>
      </c>
      <c r="U17" s="51" t="n">
        <v>69</v>
      </c>
      <c r="V17" s="51" t="n">
        <v>79.49</v>
      </c>
      <c r="W17" s="6" t="n">
        <f aca="false">N17+O17+S17+U17+V17</f>
        <v>452.69</v>
      </c>
      <c r="X17" s="51" t="n">
        <f aca="false">IF(L17&lt;0,L17*-1,0)</f>
        <v>0.698424502142643</v>
      </c>
      <c r="Y17" s="51" t="n">
        <f aca="false">W17+X17</f>
        <v>453.388424502143</v>
      </c>
      <c r="Z17" s="56" t="n">
        <v>0.02</v>
      </c>
      <c r="AA17" s="57" t="n">
        <v>66</v>
      </c>
      <c r="AB17" s="57" t="n">
        <v>51</v>
      </c>
      <c r="AC17" s="58" t="n">
        <v>8</v>
      </c>
      <c r="AD17" s="150" t="n">
        <f aca="false">IF(I17&gt;S17,I17-S17,I17-S17)</f>
        <v>-244.56</v>
      </c>
      <c r="AE17" s="94"/>
      <c r="AF17" s="94"/>
    </row>
    <row r="18" customFormat="false" ht="11.1" hidden="false" customHeight="true" outlineLevel="0" collapsed="false">
      <c r="A18" s="58" t="n">
        <v>9</v>
      </c>
      <c r="B18" s="73" t="n">
        <v>6906.74</v>
      </c>
      <c r="C18" s="52" t="n">
        <v>309127</v>
      </c>
      <c r="D18" s="57" t="n">
        <f aca="false">C18-C17</f>
        <v>-778</v>
      </c>
      <c r="E18" s="52" t="n">
        <f aca="false">C18-151978</f>
        <v>157149</v>
      </c>
      <c r="F18" s="51" t="n">
        <f aca="false">D18/$D$2</f>
        <v>-392.235946559113</v>
      </c>
      <c r="G18" s="51" t="n">
        <v>58.2</v>
      </c>
      <c r="H18" s="53" t="n">
        <v>0</v>
      </c>
      <c r="I18" s="51" t="n">
        <f aca="false">G18+H18</f>
        <v>58.2</v>
      </c>
      <c r="J18" s="81" t="n">
        <f aca="false">IF(L18&gt;0,L18,0)</f>
        <v>0.0940534408873077</v>
      </c>
      <c r="K18" s="51" t="n">
        <f aca="false">I18+J18</f>
        <v>58.2940534408873</v>
      </c>
      <c r="L18" s="51" t="n">
        <f aca="false">F18-(I18-W18)</f>
        <v>0.0940534408873077</v>
      </c>
      <c r="M18" s="51" t="n">
        <v>127.47</v>
      </c>
      <c r="N18" s="51" t="n">
        <v>0</v>
      </c>
      <c r="O18" s="51" t="n">
        <v>0</v>
      </c>
      <c r="P18" s="6" t="n">
        <f aca="false">M18-(N18+O18)</f>
        <v>127.47</v>
      </c>
      <c r="Q18" s="51" t="n">
        <v>97.94</v>
      </c>
      <c r="R18" s="51" t="n">
        <v>78.59</v>
      </c>
      <c r="S18" s="51" t="n">
        <f aca="false">SUM(P18:R18)</f>
        <v>304</v>
      </c>
      <c r="T18" s="52" t="n">
        <f aca="false">(I18-S18)+T17</f>
        <v>-17554.79</v>
      </c>
      <c r="U18" s="51" t="n">
        <v>67</v>
      </c>
      <c r="V18" s="51" t="n">
        <v>79.53</v>
      </c>
      <c r="W18" s="6" t="n">
        <f aca="false">N18+O18+S18+U18+V18</f>
        <v>450.53</v>
      </c>
      <c r="X18" s="51" t="n">
        <f aca="false">IF(L18&lt;0,L18*-1,0)</f>
        <v>0</v>
      </c>
      <c r="Y18" s="51" t="n">
        <f aca="false">W18+X18</f>
        <v>450.53</v>
      </c>
      <c r="Z18" s="56" t="n">
        <v>0</v>
      </c>
      <c r="AA18" s="57" t="n">
        <v>73</v>
      </c>
      <c r="AB18" s="57" t="n">
        <v>40</v>
      </c>
      <c r="AC18" s="58" t="n">
        <v>9</v>
      </c>
      <c r="AD18" s="150" t="n">
        <f aca="false">IF(I18&gt;S18,I18-S18,I18-S18)</f>
        <v>-245.8</v>
      </c>
      <c r="AE18" s="94"/>
      <c r="AF18" s="94"/>
    </row>
    <row r="19" customFormat="false" ht="11.1" hidden="false" customHeight="true" outlineLevel="0" collapsed="false">
      <c r="A19" s="58" t="n">
        <v>10</v>
      </c>
      <c r="B19" s="73" t="n">
        <v>6906.53</v>
      </c>
      <c r="C19" s="52" t="n">
        <v>308311</v>
      </c>
      <c r="D19" s="57" t="n">
        <f aca="false">C19-C18</f>
        <v>-816</v>
      </c>
      <c r="E19" s="52" t="n">
        <f aca="false">C19-151978</f>
        <v>156333</v>
      </c>
      <c r="F19" s="51" t="n">
        <f aca="false">D19/$D$2</f>
        <v>-411.394000504159</v>
      </c>
      <c r="G19" s="51" t="n">
        <v>58.08</v>
      </c>
      <c r="H19" s="53" t="n">
        <v>0.01</v>
      </c>
      <c r="I19" s="51" t="n">
        <f aca="false">G19+H19</f>
        <v>58.09</v>
      </c>
      <c r="J19" s="81" t="n">
        <f aca="false">IF(L19&gt;0,L19,0)</f>
        <v>0</v>
      </c>
      <c r="K19" s="51" t="n">
        <f aca="false">I19+J19</f>
        <v>58.09</v>
      </c>
      <c r="L19" s="51" t="n">
        <f aca="false">F19-(I19-W19)</f>
        <v>-19.9040005041593</v>
      </c>
      <c r="M19" s="51" t="n">
        <v>126.85</v>
      </c>
      <c r="N19" s="51" t="n">
        <v>0</v>
      </c>
      <c r="O19" s="51" t="n">
        <v>0</v>
      </c>
      <c r="P19" s="6" t="n">
        <f aca="false">M19-(N19+O19)</f>
        <v>126.85</v>
      </c>
      <c r="Q19" s="51" t="n">
        <v>97.96</v>
      </c>
      <c r="R19" s="51" t="n">
        <v>78.19</v>
      </c>
      <c r="S19" s="51" t="n">
        <f aca="false">SUM(P19:R19)</f>
        <v>303</v>
      </c>
      <c r="T19" s="52" t="n">
        <f aca="false">(I19-S19)+T18</f>
        <v>-17799.7</v>
      </c>
      <c r="U19" s="51" t="n">
        <v>67</v>
      </c>
      <c r="V19" s="51" t="n">
        <v>79.58</v>
      </c>
      <c r="W19" s="6" t="n">
        <f aca="false">N19+O19+S19+U19+V19</f>
        <v>449.58</v>
      </c>
      <c r="X19" s="51" t="n">
        <f aca="false">IF(L19&lt;0,L19*-1,0)</f>
        <v>19.9040005041593</v>
      </c>
      <c r="Y19" s="51" t="n">
        <f aca="false">W19+X19</f>
        <v>469.484000504159</v>
      </c>
      <c r="Z19" s="56" t="n">
        <v>0</v>
      </c>
      <c r="AA19" s="57" t="n">
        <v>68</v>
      </c>
      <c r="AB19" s="57" t="n">
        <v>42</v>
      </c>
      <c r="AC19" s="58" t="n">
        <v>10</v>
      </c>
      <c r="AD19" s="150" t="n">
        <f aca="false">IF(I19&gt;S19,I19-S19,I19-S19)</f>
        <v>-244.91</v>
      </c>
      <c r="AE19" s="94"/>
      <c r="AF19" s="94"/>
    </row>
    <row r="20" customFormat="false" ht="11.1" hidden="false" customHeight="true" outlineLevel="0" collapsed="false">
      <c r="A20" s="58" t="n">
        <v>11</v>
      </c>
      <c r="B20" s="73" t="n">
        <v>6906.37</v>
      </c>
      <c r="C20" s="52" t="n">
        <v>307689</v>
      </c>
      <c r="D20" s="57" t="n">
        <f aca="false">C20-C19</f>
        <v>-622</v>
      </c>
      <c r="E20" s="52" t="n">
        <f aca="false">C20-151978</f>
        <v>155711</v>
      </c>
      <c r="F20" s="51" t="n">
        <f aca="false">D20/$D$2</f>
        <v>-313.587093521553</v>
      </c>
      <c r="G20" s="51" t="n">
        <v>59.23</v>
      </c>
      <c r="H20" s="53" t="n">
        <v>0</v>
      </c>
      <c r="I20" s="51" t="n">
        <f aca="false">G20+H20</f>
        <v>59.23</v>
      </c>
      <c r="J20" s="81" t="n">
        <f aca="false">IF(L20&gt;0,L20,0)</f>
        <v>31.1229064784472</v>
      </c>
      <c r="K20" s="51" t="n">
        <f aca="false">I20+J20</f>
        <v>90.3529064784472</v>
      </c>
      <c r="L20" s="51" t="n">
        <f aca="false">F20-(I20-W20)</f>
        <v>31.1229064784472</v>
      </c>
      <c r="M20" s="51" t="n">
        <v>126.66</v>
      </c>
      <c r="N20" s="51" t="n">
        <v>0</v>
      </c>
      <c r="O20" s="51" t="n">
        <v>0</v>
      </c>
      <c r="P20" s="6" t="n">
        <f aca="false">M20-(N20+O20)</f>
        <v>126.66</v>
      </c>
      <c r="Q20" s="51" t="n">
        <v>97.88</v>
      </c>
      <c r="R20" s="51" t="n">
        <v>78.46</v>
      </c>
      <c r="S20" s="51" t="n">
        <f aca="false">SUM(P20:R20)</f>
        <v>303</v>
      </c>
      <c r="T20" s="52" t="n">
        <f aca="false">(I20-S20)+T19</f>
        <v>-18043.47</v>
      </c>
      <c r="U20" s="51" t="n">
        <v>59</v>
      </c>
      <c r="V20" s="51" t="n">
        <v>41.94</v>
      </c>
      <c r="W20" s="6" t="n">
        <f aca="false">N20+O20+S20+U20+V20</f>
        <v>403.94</v>
      </c>
      <c r="X20" s="51" t="n">
        <f aca="false">IF(L20&lt;0,L20*-1,0)</f>
        <v>0</v>
      </c>
      <c r="Y20" s="51" t="n">
        <f aca="false">W20+X20</f>
        <v>403.94</v>
      </c>
      <c r="Z20" s="56" t="n">
        <v>0</v>
      </c>
      <c r="AA20" s="57" t="n">
        <v>64</v>
      </c>
      <c r="AB20" s="57" t="n">
        <v>40</v>
      </c>
      <c r="AC20" s="58" t="n">
        <v>11</v>
      </c>
      <c r="AD20" s="150" t="n">
        <f aca="false">IF(I20&gt;S20,I20-S20,I20-S20)</f>
        <v>-243.77</v>
      </c>
      <c r="AE20" s="94"/>
      <c r="AF20" s="94"/>
    </row>
    <row r="21" customFormat="false" ht="11.1" hidden="false" customHeight="true" outlineLevel="0" collapsed="false">
      <c r="A21" s="58" t="n">
        <v>12</v>
      </c>
      <c r="B21" s="73" t="n">
        <v>6906.18</v>
      </c>
      <c r="C21" s="52" t="n">
        <v>306951</v>
      </c>
      <c r="D21" s="57" t="n">
        <f aca="false">C21-C20</f>
        <v>-738</v>
      </c>
      <c r="E21" s="52" t="n">
        <f aca="false">C21-151978</f>
        <v>154973</v>
      </c>
      <c r="F21" s="51" t="n">
        <f aca="false">D21/$D$2</f>
        <v>-372.069573985379</v>
      </c>
      <c r="G21" s="51" t="n">
        <v>59.34</v>
      </c>
      <c r="H21" s="53" t="n">
        <v>0</v>
      </c>
      <c r="I21" s="51" t="n">
        <f aca="false">G21+H21</f>
        <v>59.34</v>
      </c>
      <c r="J21" s="81" t="n">
        <f aca="false">IF(L21&gt;0,L21,0)</f>
        <v>0</v>
      </c>
      <c r="K21" s="51" t="n">
        <f aca="false">I21+J21</f>
        <v>59.34</v>
      </c>
      <c r="L21" s="51" t="n">
        <f aca="false">F21-(I21-W21)</f>
        <v>-35.0595739853794</v>
      </c>
      <c r="M21" s="51" t="n">
        <v>126.59</v>
      </c>
      <c r="N21" s="51" t="n">
        <v>0</v>
      </c>
      <c r="O21" s="51" t="n">
        <v>0</v>
      </c>
      <c r="P21" s="6" t="n">
        <f aca="false">M21-(N21+O21)</f>
        <v>126.59</v>
      </c>
      <c r="Q21" s="51" t="n">
        <v>97.64</v>
      </c>
      <c r="R21" s="51" t="n">
        <v>77.77</v>
      </c>
      <c r="S21" s="51" t="n">
        <f aca="false">SUM(P21:R21)</f>
        <v>302</v>
      </c>
      <c r="T21" s="52" t="n">
        <f aca="false">(I21-S21)+T20</f>
        <v>-18286.13</v>
      </c>
      <c r="U21" s="51" t="n">
        <v>55</v>
      </c>
      <c r="V21" s="51" t="n">
        <v>39.35</v>
      </c>
      <c r="W21" s="6" t="n">
        <f aca="false">N21+O21+S21+U21+V21</f>
        <v>396.35</v>
      </c>
      <c r="X21" s="51" t="n">
        <f aca="false">IF(L21&lt;0,L21*-1,0)</f>
        <v>35.0595739853794</v>
      </c>
      <c r="Y21" s="51" t="n">
        <f aca="false">W21+X21</f>
        <v>431.409573985379</v>
      </c>
      <c r="Z21" s="56" t="n">
        <v>0</v>
      </c>
      <c r="AA21" s="57" t="n">
        <v>56</v>
      </c>
      <c r="AB21" s="57" t="n">
        <v>41</v>
      </c>
      <c r="AC21" s="58" t="n">
        <v>12</v>
      </c>
      <c r="AD21" s="150" t="n">
        <f aca="false">IF(I21&gt;S21,I21-S21,I21-S21)</f>
        <v>-242.66</v>
      </c>
      <c r="AE21" s="94"/>
      <c r="AF21" s="94"/>
    </row>
    <row r="22" customFormat="false" ht="11.1" hidden="false" customHeight="true" outlineLevel="0" collapsed="false">
      <c r="A22" s="58" t="n">
        <v>13</v>
      </c>
      <c r="B22" s="73" t="n">
        <v>6906.03</v>
      </c>
      <c r="C22" s="52" t="n">
        <v>306368</v>
      </c>
      <c r="D22" s="57" t="n">
        <f aca="false">C22-C21</f>
        <v>-583</v>
      </c>
      <c r="E22" s="52" t="n">
        <f aca="false">C22-151978</f>
        <v>154390</v>
      </c>
      <c r="F22" s="51" t="n">
        <f aca="false">D22/$D$2</f>
        <v>-293.924880262163</v>
      </c>
      <c r="G22" s="51" t="n">
        <v>59.41</v>
      </c>
      <c r="H22" s="53" t="n">
        <v>0.01</v>
      </c>
      <c r="I22" s="51" t="n">
        <f aca="false">G22+H22</f>
        <v>59.42</v>
      </c>
      <c r="J22" s="81" t="n">
        <f aca="false">IF(L22&gt;0,L22,0)</f>
        <v>32.6451197378371</v>
      </c>
      <c r="K22" s="51" t="n">
        <f aca="false">I22+J22</f>
        <v>92.0651197378371</v>
      </c>
      <c r="L22" s="51" t="n">
        <f aca="false">F22-(I22-W22)</f>
        <v>32.6451197378371</v>
      </c>
      <c r="M22" s="51" t="n">
        <v>126.42</v>
      </c>
      <c r="N22" s="51" t="n">
        <v>0</v>
      </c>
      <c r="O22" s="51" t="n">
        <v>0</v>
      </c>
      <c r="P22" s="6" t="n">
        <f aca="false">M22-(N22+O22)</f>
        <v>126.42</v>
      </c>
      <c r="Q22" s="51" t="n">
        <v>97.42</v>
      </c>
      <c r="R22" s="51" t="n">
        <v>78.16</v>
      </c>
      <c r="S22" s="51" t="n">
        <f aca="false">SUM(P22:R22)</f>
        <v>302</v>
      </c>
      <c r="T22" s="52" t="n">
        <f aca="false">(I22-S22)+T21</f>
        <v>-18528.71</v>
      </c>
      <c r="U22" s="51" t="n">
        <v>43</v>
      </c>
      <c r="V22" s="51" t="n">
        <v>40.99</v>
      </c>
      <c r="W22" s="6" t="n">
        <f aca="false">N22+O22+S22+U22+V22</f>
        <v>385.99</v>
      </c>
      <c r="X22" s="51" t="n">
        <f aca="false">IF(L22&lt;0,L22*-1,0)</f>
        <v>0</v>
      </c>
      <c r="Y22" s="51" t="n">
        <f aca="false">W22+X22</f>
        <v>385.99</v>
      </c>
      <c r="Z22" s="56" t="n">
        <v>0</v>
      </c>
      <c r="AA22" s="57" t="n">
        <v>67</v>
      </c>
      <c r="AB22" s="57" t="n">
        <v>31</v>
      </c>
      <c r="AC22" s="58" t="n">
        <v>13</v>
      </c>
      <c r="AD22" s="150" t="n">
        <f aca="false">IF(I22&gt;S22,I22-S22,I22-S22)</f>
        <v>-242.58</v>
      </c>
      <c r="AE22" s="94"/>
      <c r="AF22" s="94"/>
    </row>
    <row r="23" customFormat="false" ht="11.1" hidden="false" customHeight="true" outlineLevel="0" collapsed="false">
      <c r="A23" s="58" t="n">
        <v>14</v>
      </c>
      <c r="B23" s="73" t="n">
        <v>6905.89</v>
      </c>
      <c r="C23" s="52" t="n">
        <v>305827</v>
      </c>
      <c r="D23" s="57" t="n">
        <f aca="false">C23-C22</f>
        <v>-541</v>
      </c>
      <c r="E23" s="52" t="n">
        <f aca="false">C23-151978</f>
        <v>153849</v>
      </c>
      <c r="F23" s="51" t="n">
        <f aca="false">D23/$D$2</f>
        <v>-272.750189059743</v>
      </c>
      <c r="G23" s="51" t="n">
        <v>59.38</v>
      </c>
      <c r="H23" s="53" t="n">
        <v>0.01</v>
      </c>
      <c r="I23" s="51" t="n">
        <f aca="false">G23+H23</f>
        <v>59.39</v>
      </c>
      <c r="J23" s="81" t="n">
        <f aca="false">IF(L23&gt;0,L23,0)</f>
        <v>40.0198109402571</v>
      </c>
      <c r="K23" s="51" t="n">
        <f aca="false">I23+J23</f>
        <v>99.4098109402571</v>
      </c>
      <c r="L23" s="51" t="n">
        <f aca="false">F23-(I23-W23)</f>
        <v>40.0198109402571</v>
      </c>
      <c r="M23" s="51" t="n">
        <v>126.15</v>
      </c>
      <c r="N23" s="51" t="n">
        <v>0</v>
      </c>
      <c r="O23" s="51" t="n">
        <v>0</v>
      </c>
      <c r="P23" s="6" t="n">
        <f aca="false">M23-(N23+O23)</f>
        <v>126.15</v>
      </c>
      <c r="Q23" s="51" t="n">
        <v>63.9</v>
      </c>
      <c r="R23" s="51" t="n">
        <v>77.95</v>
      </c>
      <c r="S23" s="51" t="n">
        <f aca="false">SUM(P23:R23)</f>
        <v>268</v>
      </c>
      <c r="T23" s="52" t="n">
        <f aca="false">(I23-S23)+T22</f>
        <v>-18737.32</v>
      </c>
      <c r="U23" s="51" t="n">
        <v>49</v>
      </c>
      <c r="V23" s="51" t="n">
        <v>55.16</v>
      </c>
      <c r="W23" s="6" t="n">
        <f aca="false">N23+O23+S23+U23+V23</f>
        <v>372.16</v>
      </c>
      <c r="X23" s="51" t="n">
        <f aca="false">IF(L23&lt;0,L23*-1,0)</f>
        <v>0</v>
      </c>
      <c r="Y23" s="51" t="n">
        <f aca="false">W23+X23</f>
        <v>372.16</v>
      </c>
      <c r="Z23" s="56" t="n">
        <v>0</v>
      </c>
      <c r="AA23" s="57" t="n">
        <v>70</v>
      </c>
      <c r="AB23" s="57" t="n">
        <v>35</v>
      </c>
      <c r="AC23" s="58" t="n">
        <v>14</v>
      </c>
      <c r="AD23" s="150" t="n">
        <f aca="false">IF(I23&gt;S23,I23-S23,I23-S23)</f>
        <v>-208.61</v>
      </c>
      <c r="AE23" s="94"/>
      <c r="AF23" s="94"/>
    </row>
    <row r="24" customFormat="false" ht="11.1" hidden="false" customHeight="true" outlineLevel="0" collapsed="false">
      <c r="A24" s="58" t="n">
        <v>15</v>
      </c>
      <c r="B24" s="73" t="n">
        <v>6905.79</v>
      </c>
      <c r="C24" s="52" t="n">
        <v>305441</v>
      </c>
      <c r="D24" s="57" t="n">
        <f aca="false">C24-C23</f>
        <v>-386</v>
      </c>
      <c r="E24" s="52" t="n">
        <f aca="false">C24-151978</f>
        <v>153463</v>
      </c>
      <c r="F24" s="51" t="n">
        <f aca="false">D24/$D$2</f>
        <v>-194.605495336526</v>
      </c>
      <c r="G24" s="51" t="n">
        <v>59.52</v>
      </c>
      <c r="H24" s="53" t="n">
        <v>0</v>
      </c>
      <c r="I24" s="51" t="n">
        <f aca="false">G24+H24</f>
        <v>59.52</v>
      </c>
      <c r="J24" s="81" t="n">
        <f aca="false">IF(L24&gt;0,L24,0)</f>
        <v>0</v>
      </c>
      <c r="K24" s="51" t="n">
        <f aca="false">I24+J24</f>
        <v>59.52</v>
      </c>
      <c r="L24" s="51" t="n">
        <f aca="false">F24-(I24-W24)</f>
        <v>-14.4554953365263</v>
      </c>
      <c r="M24" s="51" t="n">
        <v>73.85</v>
      </c>
      <c r="N24" s="51" t="n">
        <v>0</v>
      </c>
      <c r="O24" s="51" t="n">
        <v>0</v>
      </c>
      <c r="P24" s="6" t="n">
        <f aca="false">M24-(N24+O24)</f>
        <v>73.85</v>
      </c>
      <c r="Q24" s="51" t="n">
        <v>0</v>
      </c>
      <c r="R24" s="51" t="n">
        <v>40.15</v>
      </c>
      <c r="S24" s="51" t="n">
        <f aca="false">SUM(P24:R24)</f>
        <v>114</v>
      </c>
      <c r="T24" s="52" t="n">
        <f aca="false">(I24-S24)+T23</f>
        <v>-18791.8</v>
      </c>
      <c r="U24" s="51" t="n">
        <v>47</v>
      </c>
      <c r="V24" s="51" t="n">
        <v>78.67</v>
      </c>
      <c r="W24" s="6" t="n">
        <f aca="false">N24+O24+S24+U24+V24</f>
        <v>239.67</v>
      </c>
      <c r="X24" s="51" t="n">
        <f aca="false">IF(L24&lt;0,L24*-1,0)</f>
        <v>14.4554953365263</v>
      </c>
      <c r="Y24" s="51" t="n">
        <f aca="false">W24+X24</f>
        <v>254.125495336526</v>
      </c>
      <c r="Z24" s="56" t="n">
        <v>0</v>
      </c>
      <c r="AA24" s="57" t="n">
        <v>74</v>
      </c>
      <c r="AB24" s="57" t="n">
        <v>34</v>
      </c>
      <c r="AC24" s="58" t="n">
        <v>15</v>
      </c>
      <c r="AD24" s="150" t="n">
        <f aca="false">IF(I24&gt;S24,I24-S24,I24-S24)</f>
        <v>-54.48</v>
      </c>
      <c r="AE24" s="94"/>
      <c r="AF24" s="94"/>
    </row>
    <row r="25" customFormat="false" ht="11.1" hidden="false" customHeight="true" outlineLevel="0" collapsed="false">
      <c r="A25" s="58" t="n">
        <v>16</v>
      </c>
      <c r="B25" s="73" t="n">
        <v>6905.73</v>
      </c>
      <c r="C25" s="52" t="n">
        <v>305210</v>
      </c>
      <c r="D25" s="57" t="n">
        <f aca="false">C25-C24</f>
        <v>-231</v>
      </c>
      <c r="E25" s="52" t="n">
        <f aca="false">C25-151978</f>
        <v>153232</v>
      </c>
      <c r="F25" s="51" t="n">
        <f aca="false">D25/$D$2</f>
        <v>-116.46080161331</v>
      </c>
      <c r="G25" s="51" t="n">
        <v>59.49</v>
      </c>
      <c r="H25" s="53" t="n">
        <v>0</v>
      </c>
      <c r="I25" s="51" t="n">
        <f aca="false">G25+H25</f>
        <v>59.49</v>
      </c>
      <c r="J25" s="81" t="n">
        <f aca="false">IF(L25&gt;0,L25,0)</f>
        <v>21.9691983866902</v>
      </c>
      <c r="K25" s="51" t="n">
        <f aca="false">I25+J25</f>
        <v>81.4591983866902</v>
      </c>
      <c r="L25" s="51" t="n">
        <f aca="false">F25-(I25-W25)</f>
        <v>21.9691983866902</v>
      </c>
      <c r="M25" s="51" t="n">
        <v>43.5</v>
      </c>
      <c r="N25" s="51" t="n">
        <v>0</v>
      </c>
      <c r="O25" s="51" t="n">
        <v>0</v>
      </c>
      <c r="P25" s="6" t="n">
        <f aca="false">M25-(N25+O25)</f>
        <v>43.5</v>
      </c>
      <c r="Q25" s="51" t="n">
        <v>0</v>
      </c>
      <c r="R25" s="51" t="n">
        <v>32.5</v>
      </c>
      <c r="S25" s="51" t="n">
        <f aca="false">SUM(P25:R25)</f>
        <v>76</v>
      </c>
      <c r="T25" s="52" t="n">
        <f aca="false">(I25-S25)+T24</f>
        <v>-18808.31</v>
      </c>
      <c r="U25" s="51" t="n">
        <v>44</v>
      </c>
      <c r="V25" s="51" t="n">
        <v>77.92</v>
      </c>
      <c r="W25" s="6" t="n">
        <f aca="false">N25+O25+S25+U25+V25</f>
        <v>197.92</v>
      </c>
      <c r="X25" s="51" t="n">
        <f aca="false">IF(L25&lt;0,L25*-1,0)</f>
        <v>0</v>
      </c>
      <c r="Y25" s="51" t="n">
        <f aca="false">W25+X25</f>
        <v>197.92</v>
      </c>
      <c r="Z25" s="56" t="n">
        <v>0</v>
      </c>
      <c r="AA25" s="57" t="n">
        <v>73</v>
      </c>
      <c r="AB25" s="57" t="n">
        <v>41</v>
      </c>
      <c r="AC25" s="58" t="n">
        <v>16</v>
      </c>
      <c r="AD25" s="150" t="n">
        <f aca="false">IF(I25&gt;S25,I25-S25,I25-S25)</f>
        <v>-16.51</v>
      </c>
      <c r="AE25" s="94"/>
      <c r="AF25" s="94"/>
    </row>
    <row r="26" customFormat="false" ht="11.1" hidden="false" customHeight="true" outlineLevel="0" collapsed="false">
      <c r="A26" s="58" t="n">
        <v>17</v>
      </c>
      <c r="B26" s="73" t="n">
        <v>6905.67</v>
      </c>
      <c r="C26" s="52" t="n">
        <v>304979</v>
      </c>
      <c r="D26" s="57" t="n">
        <f aca="false">C26-C25</f>
        <v>-231</v>
      </c>
      <c r="E26" s="52" t="n">
        <f aca="false">C26-151978</f>
        <v>153001</v>
      </c>
      <c r="F26" s="51" t="n">
        <f aca="false">D26/$D$2</f>
        <v>-116.46080161331</v>
      </c>
      <c r="G26" s="51" t="n">
        <v>59.56</v>
      </c>
      <c r="H26" s="53" t="n">
        <v>0</v>
      </c>
      <c r="I26" s="51" t="n">
        <f aca="false">G26+H26</f>
        <v>59.56</v>
      </c>
      <c r="J26" s="81" t="n">
        <f aca="false">IF(L26&gt;0,L26,0)</f>
        <v>15.0091983866902</v>
      </c>
      <c r="K26" s="51" t="n">
        <f aca="false">I26+J26</f>
        <v>74.5691983866902</v>
      </c>
      <c r="L26" s="51" t="n">
        <f aca="false">F26-(I26-W26)</f>
        <v>15.0091983866902</v>
      </c>
      <c r="M26" s="51" t="n">
        <v>43.5</v>
      </c>
      <c r="N26" s="51" t="n">
        <v>0</v>
      </c>
      <c r="O26" s="51" t="n">
        <v>0</v>
      </c>
      <c r="P26" s="6" t="n">
        <f aca="false">M26-(N26+O26)</f>
        <v>43.5</v>
      </c>
      <c r="Q26" s="51" t="n">
        <v>0</v>
      </c>
      <c r="R26" s="51" t="n">
        <v>32.5</v>
      </c>
      <c r="S26" s="51" t="n">
        <f aca="false">SUM(P26:R26)</f>
        <v>76</v>
      </c>
      <c r="T26" s="52" t="n">
        <f aca="false">(I26-S26)+T25</f>
        <v>-18824.75</v>
      </c>
      <c r="U26" s="51" t="n">
        <v>37</v>
      </c>
      <c r="V26" s="51" t="n">
        <v>78.03</v>
      </c>
      <c r="W26" s="6" t="n">
        <f aca="false">N26+O26+S26+U26+V26</f>
        <v>191.03</v>
      </c>
      <c r="X26" s="51" t="n">
        <f aca="false">IF(L26&lt;0,L26*-1,0)</f>
        <v>0</v>
      </c>
      <c r="Y26" s="51" t="n">
        <f aca="false">W26+X26</f>
        <v>191.03</v>
      </c>
      <c r="Z26" s="56" t="n">
        <v>0</v>
      </c>
      <c r="AA26" s="57" t="n">
        <v>77</v>
      </c>
      <c r="AB26" s="57" t="n">
        <v>40</v>
      </c>
      <c r="AC26" s="58" t="n">
        <v>17</v>
      </c>
      <c r="AD26" s="150" t="n">
        <f aca="false">IF(I26&gt;S26,I26-S26,I26-S26)</f>
        <v>-16.44</v>
      </c>
      <c r="AE26" s="94"/>
      <c r="AF26" s="94"/>
    </row>
    <row r="27" customFormat="false" ht="11.1" hidden="false" customHeight="true" outlineLevel="0" collapsed="false">
      <c r="A27" s="58" t="n">
        <v>18</v>
      </c>
      <c r="B27" s="73" t="n">
        <v>6905.56</v>
      </c>
      <c r="C27" s="52" t="n">
        <v>304555</v>
      </c>
      <c r="D27" s="57" t="n">
        <f aca="false">C27-C26</f>
        <v>-424</v>
      </c>
      <c r="E27" s="52" t="n">
        <f aca="false">C27-151978</f>
        <v>152577</v>
      </c>
      <c r="F27" s="51" t="n">
        <f aca="false">D27/$D$2</f>
        <v>-213.763549281573</v>
      </c>
      <c r="G27" s="51" t="n">
        <v>59.54</v>
      </c>
      <c r="H27" s="53" t="n">
        <v>0</v>
      </c>
      <c r="I27" s="51" t="n">
        <f aca="false">G27+H27</f>
        <v>59.54</v>
      </c>
      <c r="J27" s="81" t="n">
        <f aca="false">IF(L27&gt;0,L27,0)</f>
        <v>0</v>
      </c>
      <c r="K27" s="51" t="n">
        <f aca="false">I27+J27</f>
        <v>59.54</v>
      </c>
      <c r="L27" s="51" t="n">
        <f aca="false">F27-(I27-W27)</f>
        <v>-74.933549281573</v>
      </c>
      <c r="M27" s="51" t="n">
        <v>43.5</v>
      </c>
      <c r="N27" s="51" t="n">
        <v>0</v>
      </c>
      <c r="O27" s="51" t="n">
        <v>0</v>
      </c>
      <c r="P27" s="6" t="n">
        <f aca="false">M27-(N27+O27)</f>
        <v>43.5</v>
      </c>
      <c r="Q27" s="51" t="n">
        <v>0</v>
      </c>
      <c r="R27" s="51" t="n">
        <v>31.5</v>
      </c>
      <c r="S27" s="51" t="n">
        <f aca="false">SUM(P27:R27)</f>
        <v>75</v>
      </c>
      <c r="T27" s="52" t="n">
        <f aca="false">(I27-S27)+T26</f>
        <v>-18840.21</v>
      </c>
      <c r="U27" s="51" t="n">
        <v>45</v>
      </c>
      <c r="V27" s="51" t="n">
        <v>78.37</v>
      </c>
      <c r="W27" s="6" t="n">
        <f aca="false">N27+O27+S27+U27+V27</f>
        <v>198.37</v>
      </c>
      <c r="X27" s="51" t="n">
        <f aca="false">IF(L27&lt;0,L27*-1,0)</f>
        <v>74.933549281573</v>
      </c>
      <c r="Y27" s="51" t="n">
        <f aca="false">W27+X27</f>
        <v>273.303549281573</v>
      </c>
      <c r="Z27" s="56" t="n">
        <v>0</v>
      </c>
      <c r="AA27" s="57" t="n">
        <v>73</v>
      </c>
      <c r="AB27" s="57" t="n">
        <v>45</v>
      </c>
      <c r="AC27" s="58" t="n">
        <v>18</v>
      </c>
      <c r="AD27" s="150" t="n">
        <f aca="false">IF(I27&gt;S27,I27-S27,I27-S27)</f>
        <v>-15.46</v>
      </c>
      <c r="AE27" s="94"/>
      <c r="AF27" s="94"/>
    </row>
    <row r="28" customFormat="false" ht="11.1" hidden="false" customHeight="true" outlineLevel="0" collapsed="false">
      <c r="A28" s="58" t="n">
        <v>19</v>
      </c>
      <c r="B28" s="73" t="n">
        <v>6905.51</v>
      </c>
      <c r="C28" s="52" t="n">
        <v>304323</v>
      </c>
      <c r="D28" s="57" t="n">
        <f aca="false">C28-C27</f>
        <v>-232</v>
      </c>
      <c r="E28" s="52" t="n">
        <f aca="false">C28-151978</f>
        <v>152345</v>
      </c>
      <c r="F28" s="51" t="n">
        <f aca="false">D28/$D$2</f>
        <v>-116.964960927653</v>
      </c>
      <c r="G28" s="51" t="n">
        <v>59.48</v>
      </c>
      <c r="H28" s="53" t="n">
        <v>0</v>
      </c>
      <c r="I28" s="51" t="n">
        <f aca="false">G28+H28</f>
        <v>59.48</v>
      </c>
      <c r="J28" s="81" t="n">
        <f aca="false">IF(L28&gt;0,L28,0)</f>
        <v>12.0050390723469</v>
      </c>
      <c r="K28" s="51" t="n">
        <f aca="false">I28+J28</f>
        <v>71.4850390723469</v>
      </c>
      <c r="L28" s="51" t="n">
        <f aca="false">F28-(I28-W28)</f>
        <v>12.0050390723469</v>
      </c>
      <c r="M28" s="51" t="n">
        <v>43.5</v>
      </c>
      <c r="N28" s="51" t="n">
        <v>0</v>
      </c>
      <c r="O28" s="51" t="n">
        <v>0</v>
      </c>
      <c r="P28" s="6" t="n">
        <f aca="false">M28-(N28+O28)</f>
        <v>43.5</v>
      </c>
      <c r="Q28" s="51" t="n">
        <v>0</v>
      </c>
      <c r="R28" s="51" t="n">
        <v>31.5</v>
      </c>
      <c r="S28" s="51" t="n">
        <f aca="false">SUM(P28:R28)</f>
        <v>75</v>
      </c>
      <c r="T28" s="52" t="n">
        <f aca="false">(I28-S28)+T27</f>
        <v>-18855.73</v>
      </c>
      <c r="U28" s="51" t="n">
        <v>35</v>
      </c>
      <c r="V28" s="51" t="n">
        <v>78.45</v>
      </c>
      <c r="W28" s="6" t="n">
        <f aca="false">N28+O28+S28+U28+V28</f>
        <v>188.45</v>
      </c>
      <c r="X28" s="51" t="n">
        <f aca="false">IF(L28&lt;0,L28*-1,0)</f>
        <v>0</v>
      </c>
      <c r="Y28" s="51" t="n">
        <f aca="false">W28+X28</f>
        <v>188.45</v>
      </c>
      <c r="Z28" s="56" t="n">
        <v>0</v>
      </c>
      <c r="AA28" s="57" t="n">
        <v>75</v>
      </c>
      <c r="AB28" s="57" t="n">
        <v>42</v>
      </c>
      <c r="AC28" s="58" t="n">
        <v>19</v>
      </c>
      <c r="AD28" s="150" t="n">
        <f aca="false">IF(I28&gt;S28,I28-S28,I28-S28)</f>
        <v>-15.52</v>
      </c>
      <c r="AE28" s="94"/>
      <c r="AF28" s="94"/>
    </row>
    <row r="29" customFormat="false" ht="11.1" hidden="false" customHeight="true" outlineLevel="0" collapsed="false">
      <c r="A29" s="58" t="n">
        <v>20</v>
      </c>
      <c r="B29" s="73" t="n">
        <v>6905.4</v>
      </c>
      <c r="C29" s="52" t="n">
        <v>303938</v>
      </c>
      <c r="D29" s="57" t="n">
        <f aca="false">C29-C28</f>
        <v>-385</v>
      </c>
      <c r="E29" s="52" t="n">
        <f aca="false">C29-151978</f>
        <v>151960</v>
      </c>
      <c r="F29" s="51" t="n">
        <f aca="false">D29/$D$2</f>
        <v>-194.101336022183</v>
      </c>
      <c r="G29" s="51" t="n">
        <v>59.57</v>
      </c>
      <c r="H29" s="53" t="n">
        <v>0</v>
      </c>
      <c r="I29" s="51" t="n">
        <f aca="false">G29+H29</f>
        <v>59.57</v>
      </c>
      <c r="J29" s="81" t="n">
        <f aca="false">IF(L29&gt;0,L29,0)</f>
        <v>0</v>
      </c>
      <c r="K29" s="51" t="n">
        <f aca="false">I29+J29</f>
        <v>59.57</v>
      </c>
      <c r="L29" s="51" t="n">
        <f aca="false">F29-(I29-W29)</f>
        <v>-60.231336022183</v>
      </c>
      <c r="M29" s="51" t="n">
        <v>43.5</v>
      </c>
      <c r="N29" s="51" t="n">
        <v>0</v>
      </c>
      <c r="O29" s="51" t="n">
        <v>0</v>
      </c>
      <c r="P29" s="6" t="n">
        <f aca="false">M29-(N29+O29)</f>
        <v>43.5</v>
      </c>
      <c r="Q29" s="51" t="n">
        <v>0</v>
      </c>
      <c r="R29" s="51" t="n">
        <v>31.5</v>
      </c>
      <c r="S29" s="51" t="n">
        <f aca="false">SUM(P29:R29)</f>
        <v>75</v>
      </c>
      <c r="T29" s="52" t="n">
        <f aca="false">(I29-S29)+T28</f>
        <v>-18871.16</v>
      </c>
      <c r="U29" s="51" t="n">
        <v>40</v>
      </c>
      <c r="V29" s="51" t="n">
        <v>78.44</v>
      </c>
      <c r="W29" s="6" t="n">
        <f aca="false">N29+O29+S29+U29+V29</f>
        <v>193.44</v>
      </c>
      <c r="X29" s="51" t="n">
        <f aca="false">IF(L29&lt;0,L29*-1,0)</f>
        <v>60.231336022183</v>
      </c>
      <c r="Y29" s="51" t="n">
        <f aca="false">W29+X29</f>
        <v>253.671336022183</v>
      </c>
      <c r="Z29" s="56" t="n">
        <v>0</v>
      </c>
      <c r="AA29" s="57" t="n">
        <v>59</v>
      </c>
      <c r="AB29" s="57" t="n">
        <v>37</v>
      </c>
      <c r="AC29" s="58" t="n">
        <v>20</v>
      </c>
      <c r="AD29" s="150" t="n">
        <f aca="false">IF(I29&gt;S29,I29-S29,I29-S29)</f>
        <v>-15.43</v>
      </c>
      <c r="AE29" s="94"/>
      <c r="AF29" s="94"/>
    </row>
    <row r="30" customFormat="false" ht="11.1" hidden="false" customHeight="true" outlineLevel="0" collapsed="false">
      <c r="A30" s="58" t="n">
        <v>21</v>
      </c>
      <c r="B30" s="73" t="n">
        <v>6905.33</v>
      </c>
      <c r="C30" s="52" t="n">
        <v>303668</v>
      </c>
      <c r="D30" s="57" t="n">
        <f aca="false">C30-C29</f>
        <v>-270</v>
      </c>
      <c r="E30" s="52" t="n">
        <f aca="false">C30-151978</f>
        <v>151690</v>
      </c>
      <c r="F30" s="51" t="n">
        <f aca="false">D30/$D$2</f>
        <v>-136.1230148727</v>
      </c>
      <c r="G30" s="51" t="n">
        <v>59.53</v>
      </c>
      <c r="H30" s="53" t="n">
        <v>0</v>
      </c>
      <c r="I30" s="51" t="n">
        <f aca="false">G30+H30</f>
        <v>59.53</v>
      </c>
      <c r="J30" s="81" t="n">
        <f aca="false">IF(L30&gt;0,L30,0)</f>
        <v>0</v>
      </c>
      <c r="K30" s="51" t="n">
        <f aca="false">I30+J30</f>
        <v>59.53</v>
      </c>
      <c r="L30" s="51" t="n">
        <f aca="false">F30-(I30-W30)</f>
        <v>-7.19301487269979</v>
      </c>
      <c r="M30" s="51" t="n">
        <v>43.5</v>
      </c>
      <c r="N30" s="51" t="n">
        <v>0</v>
      </c>
      <c r="O30" s="51" t="n">
        <v>0</v>
      </c>
      <c r="P30" s="6" t="n">
        <f aca="false">M30-(N30+O30)</f>
        <v>43.5</v>
      </c>
      <c r="Q30" s="51" t="n">
        <v>0</v>
      </c>
      <c r="R30" s="51" t="n">
        <v>30.5</v>
      </c>
      <c r="S30" s="51" t="n">
        <f aca="false">SUM(P30:R30)</f>
        <v>74</v>
      </c>
      <c r="T30" s="52" t="n">
        <f aca="false">(I30-S30)+T29</f>
        <v>-18885.63</v>
      </c>
      <c r="U30" s="51" t="n">
        <v>36</v>
      </c>
      <c r="V30" s="51" t="n">
        <v>78.46</v>
      </c>
      <c r="W30" s="6" t="n">
        <f aca="false">N30+O30+S30+U30+V30</f>
        <v>188.46</v>
      </c>
      <c r="X30" s="51" t="n">
        <f aca="false">IF(L30&lt;0,L30*-1,0)</f>
        <v>7.19301487269979</v>
      </c>
      <c r="Y30" s="51" t="n">
        <f aca="false">W30+X30</f>
        <v>195.6530148727</v>
      </c>
      <c r="Z30" s="56" t="n">
        <v>0</v>
      </c>
      <c r="AA30" s="57" t="n">
        <v>67</v>
      </c>
      <c r="AB30" s="57" t="n">
        <v>34</v>
      </c>
      <c r="AC30" s="58" t="n">
        <v>21</v>
      </c>
      <c r="AD30" s="150" t="n">
        <f aca="false">IF(I30&gt;S30,I30-S30,I30-S30)</f>
        <v>-14.47</v>
      </c>
      <c r="AE30" s="94"/>
      <c r="AF30" s="94"/>
    </row>
    <row r="31" customFormat="false" ht="11.1" hidden="false" customHeight="true" outlineLevel="0" collapsed="false">
      <c r="A31" s="58" t="n">
        <v>22</v>
      </c>
      <c r="B31" s="73" t="n">
        <v>6905.24</v>
      </c>
      <c r="C31" s="52" t="n">
        <v>303321</v>
      </c>
      <c r="D31" s="57" t="n">
        <f aca="false">C31-C30</f>
        <v>-347</v>
      </c>
      <c r="E31" s="52" t="n">
        <f aca="false">C31-151978</f>
        <v>151343</v>
      </c>
      <c r="F31" s="51" t="n">
        <f aca="false">D31/$D$2</f>
        <v>-174.943282077136</v>
      </c>
      <c r="G31" s="51" t="n">
        <v>59.63</v>
      </c>
      <c r="H31" s="53" t="n">
        <v>0</v>
      </c>
      <c r="I31" s="51" t="n">
        <f aca="false">G31+H31</f>
        <v>59.63</v>
      </c>
      <c r="J31" s="81" t="n">
        <f aca="false">IF(L31&gt;0,L31,0)</f>
        <v>0</v>
      </c>
      <c r="K31" s="51" t="n">
        <f aca="false">I31+J31</f>
        <v>59.63</v>
      </c>
      <c r="L31" s="51" t="n">
        <f aca="false">F31-(I31-W31)</f>
        <v>-47.1032820771364</v>
      </c>
      <c r="M31" s="51" t="n">
        <v>43.5</v>
      </c>
      <c r="N31" s="51" t="n">
        <v>0</v>
      </c>
      <c r="O31" s="51" t="n">
        <v>0</v>
      </c>
      <c r="P31" s="6" t="n">
        <f aca="false">M31-(N31+O31)</f>
        <v>43.5</v>
      </c>
      <c r="Q31" s="51" t="n">
        <v>0</v>
      </c>
      <c r="R31" s="51" t="n">
        <v>29.5</v>
      </c>
      <c r="S31" s="51" t="n">
        <f aca="false">SUM(P31:R31)</f>
        <v>73</v>
      </c>
      <c r="T31" s="52" t="n">
        <f aca="false">(I31-S31)+T30</f>
        <v>-18899</v>
      </c>
      <c r="U31" s="51" t="n">
        <v>36</v>
      </c>
      <c r="V31" s="51" t="n">
        <v>78.47</v>
      </c>
      <c r="W31" s="6" t="n">
        <f aca="false">N31+O31+S31+U31+V31</f>
        <v>187.47</v>
      </c>
      <c r="X31" s="51" t="n">
        <f aca="false">IF(L31&lt;0,L31*-1,0)</f>
        <v>47.1032820771364</v>
      </c>
      <c r="Y31" s="51" t="n">
        <f aca="false">W31+X31</f>
        <v>234.573282077136</v>
      </c>
      <c r="Z31" s="56" t="n">
        <v>0.16</v>
      </c>
      <c r="AA31" s="57" t="n">
        <v>74</v>
      </c>
      <c r="AB31" s="57" t="n">
        <v>35</v>
      </c>
      <c r="AC31" s="58" t="n">
        <v>22</v>
      </c>
      <c r="AD31" s="150" t="n">
        <f aca="false">IF(I31&gt;S31,I31-S31,I31-S31)</f>
        <v>-13.37</v>
      </c>
      <c r="AE31" s="94"/>
      <c r="AF31" s="94"/>
    </row>
    <row r="32" customFormat="false" ht="11.1" hidden="false" customHeight="true" outlineLevel="0" collapsed="false">
      <c r="A32" s="58" t="n">
        <v>23</v>
      </c>
      <c r="B32" s="73" t="n">
        <v>6905.16</v>
      </c>
      <c r="C32" s="52" t="n">
        <v>303013</v>
      </c>
      <c r="D32" s="57" t="n">
        <f aca="false">C32-C31</f>
        <v>-308</v>
      </c>
      <c r="E32" s="52" t="n">
        <f aca="false">C32-151978</f>
        <v>151035</v>
      </c>
      <c r="F32" s="51" t="n">
        <f aca="false">D32/$D$2</f>
        <v>-155.281068817746</v>
      </c>
      <c r="G32" s="51" t="n">
        <v>54.77</v>
      </c>
      <c r="H32" s="53" t="n">
        <v>0</v>
      </c>
      <c r="I32" s="51" t="n">
        <f aca="false">G32+H32</f>
        <v>54.77</v>
      </c>
      <c r="J32" s="81" t="n">
        <f aca="false">IF(L32&gt;0,L32,0)</f>
        <v>0</v>
      </c>
      <c r="K32" s="51" t="n">
        <f aca="false">I32+J32</f>
        <v>54.77</v>
      </c>
      <c r="L32" s="51" t="n">
        <f aca="false">F32-(I32-W32)</f>
        <v>-25.5910688177464</v>
      </c>
      <c r="M32" s="51" t="n">
        <v>43.5</v>
      </c>
      <c r="N32" s="51" t="n">
        <v>0</v>
      </c>
      <c r="O32" s="51" t="n">
        <v>0</v>
      </c>
      <c r="P32" s="6" t="n">
        <f aca="false">M32-(N32+O32)</f>
        <v>43.5</v>
      </c>
      <c r="Q32" s="51" t="n">
        <v>0</v>
      </c>
      <c r="R32" s="51" t="n">
        <v>29.5</v>
      </c>
      <c r="S32" s="51" t="n">
        <f aca="false">SUM(P32:R32)</f>
        <v>73</v>
      </c>
      <c r="T32" s="52" t="n">
        <f aca="false">(I32-S32)+T31</f>
        <v>-18917.23</v>
      </c>
      <c r="U32" s="51" t="n">
        <v>33</v>
      </c>
      <c r="V32" s="51" t="n">
        <v>78.46</v>
      </c>
      <c r="W32" s="6" t="n">
        <f aca="false">N32+O32+S32+U32+V32</f>
        <v>184.46</v>
      </c>
      <c r="X32" s="51" t="n">
        <f aca="false">IF(L32&lt;0,L32*-1,0)</f>
        <v>25.5910688177464</v>
      </c>
      <c r="Y32" s="51" t="n">
        <f aca="false">W32+X32</f>
        <v>210.051068817746</v>
      </c>
      <c r="Z32" s="56" t="n">
        <v>0</v>
      </c>
      <c r="AA32" s="57" t="n">
        <v>70</v>
      </c>
      <c r="AB32" s="57" t="n">
        <v>44</v>
      </c>
      <c r="AC32" s="58" t="n">
        <v>23</v>
      </c>
      <c r="AD32" s="150" t="n">
        <f aca="false">IF(I32&gt;S32,I32-S32,I32-S32)</f>
        <v>-18.23</v>
      </c>
      <c r="AE32" s="94"/>
      <c r="AF32" s="94"/>
    </row>
    <row r="33" customFormat="false" ht="11.1" hidden="false" customHeight="true" outlineLevel="0" collapsed="false">
      <c r="A33" s="58" t="n">
        <v>24</v>
      </c>
      <c r="B33" s="73" t="n">
        <v>6905.08</v>
      </c>
      <c r="C33" s="52" t="n">
        <v>302704</v>
      </c>
      <c r="D33" s="57" t="n">
        <f aca="false">C33-C32</f>
        <v>-309</v>
      </c>
      <c r="E33" s="52" t="n">
        <f aca="false">C33-151978</f>
        <v>150726</v>
      </c>
      <c r="F33" s="51" t="n">
        <f aca="false">D33/$D$2</f>
        <v>-155.78522813209</v>
      </c>
      <c r="G33" s="51" t="n">
        <v>51.6</v>
      </c>
      <c r="H33" s="53" t="n">
        <v>0</v>
      </c>
      <c r="I33" s="51" t="n">
        <f aca="false">G33+H33</f>
        <v>51.6</v>
      </c>
      <c r="J33" s="81" t="n">
        <f aca="false">IF(L33&gt;0,L33,0)</f>
        <v>0</v>
      </c>
      <c r="K33" s="51" t="n">
        <f aca="false">I33+J33</f>
        <v>51.6</v>
      </c>
      <c r="L33" s="51" t="n">
        <f aca="false">F33-(I33-W33)</f>
        <v>-16.9252281320898</v>
      </c>
      <c r="M33" s="51" t="n">
        <v>43.5</v>
      </c>
      <c r="N33" s="51" t="n">
        <v>0</v>
      </c>
      <c r="O33" s="51" t="n">
        <v>0</v>
      </c>
      <c r="P33" s="6" t="n">
        <f aca="false">M33-(N33+O33)</f>
        <v>43.5</v>
      </c>
      <c r="Q33" s="51" t="n">
        <v>0</v>
      </c>
      <c r="R33" s="51" t="n">
        <v>29.5</v>
      </c>
      <c r="S33" s="51" t="n">
        <f aca="false">SUM(P33:R33)</f>
        <v>73</v>
      </c>
      <c r="T33" s="52" t="n">
        <f aca="false">(I33-S33)+T32</f>
        <v>-18938.63</v>
      </c>
      <c r="U33" s="51" t="n">
        <v>39</v>
      </c>
      <c r="V33" s="51" t="n">
        <v>78.46</v>
      </c>
      <c r="W33" s="6" t="n">
        <f aca="false">N33+O33+S33+U33+V33</f>
        <v>190.46</v>
      </c>
      <c r="X33" s="51" t="n">
        <f aca="false">IF(L33&lt;0,L33*-1,0)</f>
        <v>16.9252281320898</v>
      </c>
      <c r="Y33" s="51" t="n">
        <f aca="false">W33+X33</f>
        <v>207.38522813209</v>
      </c>
      <c r="Z33" s="56" t="n">
        <v>0</v>
      </c>
      <c r="AA33" s="57" t="n">
        <v>69</v>
      </c>
      <c r="AB33" s="57" t="n">
        <v>40</v>
      </c>
      <c r="AC33" s="58" t="n">
        <v>24</v>
      </c>
      <c r="AD33" s="150" t="n">
        <f aca="false">IF(I33&gt;S33,I33-S33,I33-S33)</f>
        <v>-21.4</v>
      </c>
      <c r="AE33" s="94"/>
      <c r="AF33" s="94"/>
    </row>
    <row r="34" customFormat="false" ht="11.1" hidden="false" customHeight="true" outlineLevel="0" collapsed="false">
      <c r="A34" s="58" t="n">
        <v>25</v>
      </c>
      <c r="B34" s="73" t="n">
        <v>6905.01</v>
      </c>
      <c r="C34" s="52" t="n">
        <v>302434</v>
      </c>
      <c r="D34" s="57" t="n">
        <f aca="false">C34-C33</f>
        <v>-270</v>
      </c>
      <c r="E34" s="52" t="n">
        <f aca="false">C34-151978</f>
        <v>150456</v>
      </c>
      <c r="F34" s="51" t="n">
        <f aca="false">D34/$D$2</f>
        <v>-136.1230148727</v>
      </c>
      <c r="G34" s="51" t="n">
        <v>49.48</v>
      </c>
      <c r="H34" s="53" t="n">
        <v>0</v>
      </c>
      <c r="I34" s="51" t="n">
        <f aca="false">G34+H34</f>
        <v>49.48</v>
      </c>
      <c r="J34" s="81" t="n">
        <f aca="false">IF(L34&gt;0,L34,0)</f>
        <v>0</v>
      </c>
      <c r="K34" s="51" t="n">
        <f aca="false">I34+J34</f>
        <v>49.48</v>
      </c>
      <c r="L34" s="51" t="n">
        <f aca="false">F34-(I34-W34)</f>
        <v>-6.13301487269976</v>
      </c>
      <c r="M34" s="51" t="n">
        <v>43.5</v>
      </c>
      <c r="N34" s="51" t="n">
        <v>0</v>
      </c>
      <c r="O34" s="51" t="n">
        <v>0</v>
      </c>
      <c r="P34" s="6" t="n">
        <f aca="false">M34-(N34+O34)</f>
        <v>43.5</v>
      </c>
      <c r="Q34" s="51" t="n">
        <v>0</v>
      </c>
      <c r="R34" s="51" t="n">
        <v>29.5</v>
      </c>
      <c r="S34" s="51" t="n">
        <f aca="false">SUM(P34:R34)</f>
        <v>73</v>
      </c>
      <c r="T34" s="52" t="n">
        <f aca="false">(I34-S34)+T33</f>
        <v>-18962.15</v>
      </c>
      <c r="U34" s="51" t="n">
        <v>28</v>
      </c>
      <c r="V34" s="51" t="n">
        <v>78.47</v>
      </c>
      <c r="W34" s="6" t="n">
        <f aca="false">N34+O34+S34+U34+V34</f>
        <v>179.47</v>
      </c>
      <c r="X34" s="51" t="n">
        <f aca="false">IF(L34&lt;0,L34*-1,0)</f>
        <v>6.13301487269976</v>
      </c>
      <c r="Y34" s="51" t="n">
        <f aca="false">W34+X34</f>
        <v>185.6030148727</v>
      </c>
      <c r="Z34" s="56" t="n">
        <v>0</v>
      </c>
      <c r="AA34" s="57" t="n">
        <v>78</v>
      </c>
      <c r="AB34" s="57" t="n">
        <v>34</v>
      </c>
      <c r="AC34" s="58" t="n">
        <v>25</v>
      </c>
      <c r="AD34" s="150" t="n">
        <f aca="false">IF(I34&gt;S34,I34-S34,I34-S34)</f>
        <v>-23.52</v>
      </c>
      <c r="AE34" s="94"/>
      <c r="AF34" s="94"/>
    </row>
    <row r="35" customFormat="false" ht="11.1" hidden="false" customHeight="true" outlineLevel="0" collapsed="false">
      <c r="A35" s="58" t="n">
        <v>26</v>
      </c>
      <c r="B35" s="73" t="n">
        <v>6904.93</v>
      </c>
      <c r="C35" s="52" t="n">
        <v>302128</v>
      </c>
      <c r="D35" s="57" t="n">
        <f aca="false">C35-C34</f>
        <v>-306</v>
      </c>
      <c r="E35" s="52" t="n">
        <f aca="false">C35-151978</f>
        <v>150150</v>
      </c>
      <c r="F35" s="51" t="n">
        <f aca="false">D35/$D$2</f>
        <v>-154.27275018906</v>
      </c>
      <c r="G35" s="51" t="n">
        <v>49.08</v>
      </c>
      <c r="H35" s="53" t="n">
        <v>0</v>
      </c>
      <c r="I35" s="51" t="n">
        <f aca="false">G35+H35</f>
        <v>49.08</v>
      </c>
      <c r="J35" s="81" t="n">
        <f aca="false">IF(L35&gt;0,L35,0)</f>
        <v>0</v>
      </c>
      <c r="K35" s="51" t="n">
        <f aca="false">I35+J35</f>
        <v>49.08</v>
      </c>
      <c r="L35" s="51" t="n">
        <f aca="false">F35-(I35-W35)</f>
        <v>-28.8727501890597</v>
      </c>
      <c r="M35" s="51" t="n">
        <v>43</v>
      </c>
      <c r="N35" s="51" t="n">
        <v>0</v>
      </c>
      <c r="O35" s="51" t="n">
        <v>0</v>
      </c>
      <c r="P35" s="6" t="n">
        <f aca="false">M35-(N35+O35)</f>
        <v>43</v>
      </c>
      <c r="Q35" s="51" t="n">
        <v>0</v>
      </c>
      <c r="R35" s="51" t="n">
        <v>30</v>
      </c>
      <c r="S35" s="51" t="n">
        <f aca="false">SUM(P35:R35)</f>
        <v>73</v>
      </c>
      <c r="T35" s="52" t="n">
        <f aca="false">(I35-S35)+T34</f>
        <v>-18986.07</v>
      </c>
      <c r="U35" s="51" t="n">
        <v>23</v>
      </c>
      <c r="V35" s="51" t="n">
        <v>78.48</v>
      </c>
      <c r="W35" s="6" t="n">
        <f aca="false">N35+O35+S35+U35+V35</f>
        <v>174.48</v>
      </c>
      <c r="X35" s="51" t="n">
        <f aca="false">IF(L35&lt;0,L35*-1,0)</f>
        <v>28.8727501890597</v>
      </c>
      <c r="Y35" s="51" t="n">
        <f aca="false">W35+X35</f>
        <v>203.35275018906</v>
      </c>
      <c r="Z35" s="56" t="n">
        <v>0</v>
      </c>
      <c r="AA35" s="57" t="n">
        <v>77</v>
      </c>
      <c r="AB35" s="57" t="n">
        <v>32</v>
      </c>
      <c r="AC35" s="58" t="n">
        <v>26</v>
      </c>
      <c r="AD35" s="150" t="n">
        <f aca="false">IF(I35&gt;S35,I35-S35,I35-S35)</f>
        <v>-23.92</v>
      </c>
      <c r="AE35" s="94"/>
      <c r="AF35" s="94"/>
    </row>
    <row r="36" customFormat="false" ht="11.1" hidden="false" customHeight="true" outlineLevel="0" collapsed="false">
      <c r="A36" s="58" t="n">
        <v>27</v>
      </c>
      <c r="B36" s="73" t="n">
        <v>6904.85</v>
      </c>
      <c r="C36" s="52" t="n">
        <v>301822</v>
      </c>
      <c r="D36" s="57" t="n">
        <f aca="false">C36-C35</f>
        <v>-306</v>
      </c>
      <c r="E36" s="52" t="n">
        <f aca="false">C36-151978</f>
        <v>149844</v>
      </c>
      <c r="F36" s="51" t="n">
        <f aca="false">D36/$D$2</f>
        <v>-154.27275018906</v>
      </c>
      <c r="G36" s="51" t="n">
        <v>47.84</v>
      </c>
      <c r="H36" s="53" t="n">
        <v>0</v>
      </c>
      <c r="I36" s="51" t="n">
        <f aca="false">G36+H36</f>
        <v>47.84</v>
      </c>
      <c r="J36" s="81" t="n">
        <f aca="false">IF(L36&gt;0,L36,0)</f>
        <v>0</v>
      </c>
      <c r="K36" s="51" t="n">
        <f aca="false">I36+J36</f>
        <v>47.84</v>
      </c>
      <c r="L36" s="51" t="n">
        <f aca="false">F36-(I36-W36)</f>
        <v>-20.2727501890597</v>
      </c>
      <c r="M36" s="51" t="n">
        <v>42.5</v>
      </c>
      <c r="N36" s="51" t="n">
        <v>0</v>
      </c>
      <c r="O36" s="51" t="n">
        <v>0</v>
      </c>
      <c r="P36" s="6" t="n">
        <f aca="false">M36-(N36+O36)</f>
        <v>42.5</v>
      </c>
      <c r="Q36" s="51" t="n">
        <v>0</v>
      </c>
      <c r="R36" s="51" t="n">
        <v>29.5</v>
      </c>
      <c r="S36" s="51" t="n">
        <f aca="false">SUM(P36:R36)</f>
        <v>72</v>
      </c>
      <c r="T36" s="52" t="n">
        <f aca="false">(I36-S36)+T35</f>
        <v>-19010.23</v>
      </c>
      <c r="U36" s="51" t="n">
        <v>31</v>
      </c>
      <c r="V36" s="51" t="n">
        <v>78.84</v>
      </c>
      <c r="W36" s="6" t="n">
        <f aca="false">N36+O36+S36+U36+V36</f>
        <v>181.84</v>
      </c>
      <c r="X36" s="51" t="n">
        <f aca="false">IF(L36&lt;0,L36*-1,0)</f>
        <v>20.2727501890597</v>
      </c>
      <c r="Y36" s="51" t="n">
        <f aca="false">W36+X36</f>
        <v>202.11275018906</v>
      </c>
      <c r="Z36" s="56" t="n">
        <v>0</v>
      </c>
      <c r="AA36" s="57" t="n">
        <v>77</v>
      </c>
      <c r="AB36" s="57" t="n">
        <v>41</v>
      </c>
      <c r="AC36" s="58" t="n">
        <v>27</v>
      </c>
      <c r="AD36" s="150" t="n">
        <f aca="false">IF(I36&gt;S36,I36-S36,I36-S36)</f>
        <v>-24.16</v>
      </c>
      <c r="AE36" s="94"/>
      <c r="AF36" s="94"/>
    </row>
    <row r="37" customFormat="false" ht="11.1" hidden="false" customHeight="true" outlineLevel="0" collapsed="false">
      <c r="A37" s="58" t="n">
        <v>28</v>
      </c>
      <c r="B37" s="73" t="n">
        <v>6904.78</v>
      </c>
      <c r="C37" s="52" t="n">
        <v>301554</v>
      </c>
      <c r="D37" s="57" t="n">
        <f aca="false">C37-C36</f>
        <v>-268</v>
      </c>
      <c r="E37" s="52" t="n">
        <f aca="false">C37-151978</f>
        <v>149576</v>
      </c>
      <c r="F37" s="51" t="n">
        <f aca="false">D37/$D$2</f>
        <v>-135.114696244013</v>
      </c>
      <c r="G37" s="51" t="n">
        <v>45.84</v>
      </c>
      <c r="H37" s="53" t="n">
        <v>0</v>
      </c>
      <c r="I37" s="51" t="n">
        <f aca="false">G37+H37</f>
        <v>45.84</v>
      </c>
      <c r="J37" s="81" t="n">
        <f aca="false">IF(L37&gt;0,L37,0)</f>
        <v>0</v>
      </c>
      <c r="K37" s="51" t="n">
        <f aca="false">I37+J37</f>
        <v>45.84</v>
      </c>
      <c r="L37" s="51" t="n">
        <f aca="false">F37-(I37-W37)</f>
        <v>-7.45469624401312</v>
      </c>
      <c r="M37" s="51" t="n">
        <v>41.5</v>
      </c>
      <c r="N37" s="51" t="n">
        <v>0</v>
      </c>
      <c r="O37" s="51" t="n">
        <v>0</v>
      </c>
      <c r="P37" s="6" t="n">
        <f aca="false">M37-(N37+O37)</f>
        <v>41.5</v>
      </c>
      <c r="Q37" s="51" t="n">
        <v>0</v>
      </c>
      <c r="R37" s="51" t="n">
        <v>28.5</v>
      </c>
      <c r="S37" s="51" t="n">
        <f aca="false">SUM(P37:R37)</f>
        <v>70</v>
      </c>
      <c r="T37" s="52" t="n">
        <f aca="false">(I37-S37)+T36</f>
        <v>-19034.39</v>
      </c>
      <c r="U37" s="51" t="n">
        <v>25</v>
      </c>
      <c r="V37" s="51" t="n">
        <v>78.5</v>
      </c>
      <c r="W37" s="6" t="n">
        <f aca="false">N37+O37+S37+U37+V37</f>
        <v>173.5</v>
      </c>
      <c r="X37" s="51" t="n">
        <f aca="false">IF(L37&lt;0,L37*-1,0)</f>
        <v>7.45469624401312</v>
      </c>
      <c r="Y37" s="51" t="n">
        <f aca="false">W37+X37</f>
        <v>180.954696244013</v>
      </c>
      <c r="Z37" s="56" t="n">
        <v>0</v>
      </c>
      <c r="AA37" s="57" t="n">
        <v>79</v>
      </c>
      <c r="AB37" s="57" t="n">
        <v>44</v>
      </c>
      <c r="AC37" s="58" t="n">
        <v>28</v>
      </c>
      <c r="AD37" s="150" t="n">
        <f aca="false">IF(I37&gt;S37,I37-S37,I37-S37)</f>
        <v>-24.16</v>
      </c>
      <c r="AE37" s="94"/>
      <c r="AF37" s="94"/>
    </row>
    <row r="38" customFormat="false" ht="11.1" hidden="false" customHeight="true" outlineLevel="0" collapsed="false">
      <c r="A38" s="58" t="n">
        <v>29</v>
      </c>
      <c r="B38" s="73" t="n">
        <v>6904.7</v>
      </c>
      <c r="C38" s="52" t="n">
        <v>301248</v>
      </c>
      <c r="D38" s="57" t="n">
        <f aca="false">C38-C37</f>
        <v>-306</v>
      </c>
      <c r="E38" s="52" t="n">
        <f aca="false">C38-151978</f>
        <v>149270</v>
      </c>
      <c r="F38" s="51" t="n">
        <f aca="false">D38/$D$2</f>
        <v>-154.27275018906</v>
      </c>
      <c r="G38" s="51" t="n">
        <v>43.84</v>
      </c>
      <c r="H38" s="53" t="n">
        <v>0</v>
      </c>
      <c r="I38" s="51" t="n">
        <f aca="false">G38+H38</f>
        <v>43.84</v>
      </c>
      <c r="J38" s="81" t="n">
        <f aca="false">IF(L38&gt;0,L38,0)</f>
        <v>0</v>
      </c>
      <c r="K38" s="51" t="n">
        <f aca="false">I38+J38</f>
        <v>43.84</v>
      </c>
      <c r="L38" s="51" t="n">
        <f aca="false">F38-(I38-W38)</f>
        <v>-35.6127501890597</v>
      </c>
      <c r="M38" s="51" t="n">
        <v>40.5</v>
      </c>
      <c r="N38" s="51" t="n">
        <v>0</v>
      </c>
      <c r="O38" s="51" t="n">
        <v>0</v>
      </c>
      <c r="P38" s="6" t="n">
        <f aca="false">M38-(N38+O38)</f>
        <v>40.5</v>
      </c>
      <c r="Q38" s="51" t="n">
        <v>0</v>
      </c>
      <c r="R38" s="51" t="n">
        <v>27.5</v>
      </c>
      <c r="S38" s="51" t="n">
        <f aca="false">SUM(P38:R38)</f>
        <v>68</v>
      </c>
      <c r="T38" s="52" t="n">
        <f aca="false">(I38-S38)+T37</f>
        <v>-19058.55</v>
      </c>
      <c r="U38" s="51" t="n">
        <v>16</v>
      </c>
      <c r="V38" s="51" t="n">
        <v>78.5</v>
      </c>
      <c r="W38" s="6" t="n">
        <f aca="false">N38+O38+S38+U38+V38</f>
        <v>162.5</v>
      </c>
      <c r="X38" s="51" t="n">
        <f aca="false">IF(L38&lt;0,L38*-1,0)</f>
        <v>35.6127501890597</v>
      </c>
      <c r="Y38" s="51" t="n">
        <f aca="false">W38+X38</f>
        <v>198.11275018906</v>
      </c>
      <c r="Z38" s="56" t="n">
        <v>0</v>
      </c>
      <c r="AA38" s="57" t="n">
        <v>80</v>
      </c>
      <c r="AB38" s="57" t="n">
        <v>44</v>
      </c>
      <c r="AC38" s="58" t="n">
        <v>29</v>
      </c>
      <c r="AD38" s="150" t="n">
        <f aca="false">IF(I38&gt;S38,I38-S38,I38-S38)</f>
        <v>-24.16</v>
      </c>
      <c r="AE38" s="94"/>
      <c r="AF38" s="94"/>
    </row>
    <row r="39" customFormat="false" ht="11.1" hidden="false" customHeight="true" outlineLevel="0" collapsed="false">
      <c r="A39" s="58" t="n">
        <v>30</v>
      </c>
      <c r="B39" s="73" t="n">
        <v>6904.62</v>
      </c>
      <c r="C39" s="52" t="n">
        <v>300942</v>
      </c>
      <c r="D39" s="57" t="n">
        <f aca="false">C39-C38</f>
        <v>-306</v>
      </c>
      <c r="E39" s="52" t="n">
        <f aca="false">C39-151978</f>
        <v>148964</v>
      </c>
      <c r="F39" s="51" t="n">
        <f aca="false">D39/$D$2</f>
        <v>-154.27275018906</v>
      </c>
      <c r="G39" s="51" t="n">
        <v>41.84</v>
      </c>
      <c r="H39" s="53" t="n">
        <v>0</v>
      </c>
      <c r="I39" s="51" t="n">
        <f aca="false">G39+H39</f>
        <v>41.84</v>
      </c>
      <c r="J39" s="81" t="n">
        <f aca="false">IF(L39&gt;0,L39,0)</f>
        <v>0</v>
      </c>
      <c r="K39" s="51" t="n">
        <f aca="false">I39+J39</f>
        <v>41.84</v>
      </c>
      <c r="L39" s="51" t="n">
        <f aca="false">F39-(I39-W39)</f>
        <v>-24.6127501890597</v>
      </c>
      <c r="M39" s="51" t="n">
        <v>40.5</v>
      </c>
      <c r="N39" s="51" t="n">
        <v>0</v>
      </c>
      <c r="O39" s="51" t="n">
        <v>0</v>
      </c>
      <c r="P39" s="6" t="n">
        <f aca="false">M39-(N39+O39)</f>
        <v>40.5</v>
      </c>
      <c r="Q39" s="51" t="n">
        <v>0</v>
      </c>
      <c r="R39" s="51" t="n">
        <v>27.5</v>
      </c>
      <c r="S39" s="51" t="n">
        <f aca="false">SUM(P39:R39)</f>
        <v>68</v>
      </c>
      <c r="T39" s="52" t="n">
        <f aca="false">(I39-S39)+T38</f>
        <v>-19084.71</v>
      </c>
      <c r="U39" s="51" t="n">
        <v>25</v>
      </c>
      <c r="V39" s="51" t="n">
        <v>78.5</v>
      </c>
      <c r="W39" s="6" t="n">
        <f aca="false">N39+O39+S39+U39+V39</f>
        <v>171.5</v>
      </c>
      <c r="X39" s="51" t="n">
        <f aca="false">IF(L39&lt;0,L39*-1,0)</f>
        <v>24.6127501890597</v>
      </c>
      <c r="Y39" s="51" t="n">
        <f aca="false">W39+X39</f>
        <v>196.11275018906</v>
      </c>
      <c r="Z39" s="56" t="n">
        <v>0</v>
      </c>
      <c r="AA39" s="138" t="n">
        <v>74</v>
      </c>
      <c r="AB39" s="57" t="n">
        <v>44</v>
      </c>
      <c r="AC39" s="58" t="n">
        <v>30</v>
      </c>
      <c r="AD39" s="150" t="n">
        <f aca="false">IF(I39&gt;S39,I39-S39,I39-S39)</f>
        <v>-26.16</v>
      </c>
      <c r="AE39" s="94"/>
      <c r="AF39" s="94"/>
    </row>
    <row r="40" customFormat="false" ht="3" hidden="false" customHeight="true" outlineLevel="0" collapsed="false">
      <c r="A40" s="74"/>
      <c r="B40" s="74"/>
      <c r="C40" s="76"/>
      <c r="D40" s="74"/>
      <c r="E40" s="76"/>
      <c r="F40" s="74"/>
      <c r="G40" s="74"/>
      <c r="H40" s="77"/>
      <c r="I40" s="74"/>
      <c r="J40" s="74"/>
      <c r="K40" s="74"/>
      <c r="L40" s="74"/>
      <c r="M40" s="74"/>
      <c r="N40" s="74" t="n">
        <v>0</v>
      </c>
      <c r="O40" s="74"/>
      <c r="P40" s="74"/>
      <c r="Q40" s="74"/>
      <c r="R40" s="74"/>
      <c r="S40" s="74"/>
      <c r="T40" s="76"/>
      <c r="U40" s="74"/>
      <c r="V40" s="74"/>
      <c r="W40" s="74"/>
      <c r="X40" s="74"/>
      <c r="Y40" s="74"/>
      <c r="Z40" s="78"/>
      <c r="AA40" s="79"/>
      <c r="AB40" s="79"/>
      <c r="AC40" s="80"/>
      <c r="AD40" s="152"/>
      <c r="AE40" s="92"/>
      <c r="AF40" s="93"/>
    </row>
    <row r="41" customFormat="false" ht="11.1" hidden="false" customHeight="true" outlineLevel="0" collapsed="false">
      <c r="A41" s="51" t="s">
        <v>44</v>
      </c>
      <c r="B41" s="51"/>
      <c r="C41" s="52"/>
      <c r="D41" s="52"/>
      <c r="E41" s="52"/>
      <c r="F41" s="52" t="n">
        <f aca="false">SUM(F10:F39)</f>
        <v>-8063.52407360726</v>
      </c>
      <c r="G41" s="52" t="n">
        <f aca="false">SUM(G10:G39)</f>
        <v>1738.78</v>
      </c>
      <c r="H41" s="52" t="n">
        <f aca="false">SUM(H10:H39)</f>
        <v>0.03</v>
      </c>
      <c r="I41" s="52" t="n">
        <f aca="false">SUM(I10:I39)</f>
        <v>1738.81</v>
      </c>
      <c r="J41" s="52" t="n">
        <f aca="false">SUM(J10:J39)</f>
        <v>447.409611797328</v>
      </c>
      <c r="K41" s="52" t="n">
        <f aca="false">SUM(K10:K39)</f>
        <v>2186.21961179733</v>
      </c>
      <c r="L41" s="52" t="n">
        <f aca="false">SUM(L10:L39)</f>
        <v>22.35592639274</v>
      </c>
      <c r="M41" s="52" t="n">
        <f aca="false">SUM(M10:M39)</f>
        <v>2732.8</v>
      </c>
      <c r="N41" s="52" t="n">
        <f aca="false">SUM(N10:N40)</f>
        <v>0</v>
      </c>
      <c r="O41" s="52" t="n">
        <f aca="false">SUM(O10:O39)</f>
        <v>0</v>
      </c>
      <c r="P41" s="52" t="n">
        <f aca="false">SUM(P10:P39)</f>
        <v>2732.8</v>
      </c>
      <c r="Q41" s="52" t="n">
        <f aca="false">SUM(Q10:Q39)</f>
        <v>1870.47</v>
      </c>
      <c r="R41" s="52" t="n">
        <f aca="false">SUM(R10:R39)</f>
        <v>1585.93</v>
      </c>
      <c r="S41" s="52" t="n">
        <f aca="false">SUM(S10:S39)</f>
        <v>6189.2</v>
      </c>
      <c r="T41" s="52"/>
      <c r="U41" s="52" t="n">
        <f aca="false">SUM(U10:U39)</f>
        <v>1408</v>
      </c>
      <c r="V41" s="52" t="n">
        <f aca="false">SUM(V10:V40)</f>
        <v>2227.49</v>
      </c>
      <c r="W41" s="52" t="n">
        <f aca="false">SUM(W10:W39)</f>
        <v>9824.69</v>
      </c>
      <c r="X41" s="52" t="n">
        <f aca="false">SUM(X10:X39)</f>
        <v>425.053685404588</v>
      </c>
      <c r="Y41" s="52" t="n">
        <f aca="false">SUM(Y10:Y39)</f>
        <v>10249.7436854046</v>
      </c>
      <c r="Z41" s="56" t="n">
        <f aca="false">SUM(Z10:Z39)</f>
        <v>0.18</v>
      </c>
      <c r="AA41" s="57" t="n">
        <f aca="false">AVERAGE(AA10:AA39)</f>
        <v>72.8333333333333</v>
      </c>
      <c r="AB41" s="57" t="n">
        <f aca="false">AVERAGE(AB10:AB39)</f>
        <v>41.6666666666667</v>
      </c>
      <c r="AC41" s="58" t="s">
        <v>69</v>
      </c>
      <c r="AD41" s="150"/>
      <c r="AE41" s="92"/>
      <c r="AF41" s="93"/>
    </row>
    <row r="42" customFormat="false" ht="11.1" hidden="false" customHeight="true" outlineLevel="0" collapsed="false">
      <c r="A42" s="51" t="s">
        <v>46</v>
      </c>
      <c r="B42" s="51"/>
      <c r="C42" s="52"/>
      <c r="D42" s="52" t="n">
        <f aca="false">SUM(D10:D40)</f>
        <v>-15994</v>
      </c>
      <c r="E42" s="52"/>
      <c r="F42" s="52" t="n">
        <f aca="false">F41*$D$2</f>
        <v>-15994</v>
      </c>
      <c r="G42" s="52" t="n">
        <f aca="false">G41*$D$2</f>
        <v>3448.87013</v>
      </c>
      <c r="H42" s="52" t="n">
        <f aca="false">H41*$D$2</f>
        <v>0.059505</v>
      </c>
      <c r="I42" s="52" t="n">
        <f aca="false">I41*$D$2</f>
        <v>3448.929635</v>
      </c>
      <c r="J42" s="52" t="n">
        <f aca="false">J41*$D$2</f>
        <v>887.436965</v>
      </c>
      <c r="K42" s="52" t="n">
        <f aca="false">K41*$D$2</f>
        <v>4336.3666</v>
      </c>
      <c r="L42" s="52" t="n">
        <f aca="false">L41*$D$2</f>
        <v>44.3429799999999</v>
      </c>
      <c r="M42" s="52" t="n">
        <f aca="false">M41*$D$2</f>
        <v>5420.5088</v>
      </c>
      <c r="N42" s="52" t="n">
        <f aca="false">N41*$D$2</f>
        <v>0</v>
      </c>
      <c r="O42" s="52" t="n">
        <f aca="false">O41*$D$2</f>
        <v>0</v>
      </c>
      <c r="P42" s="52" t="n">
        <f aca="false">P41*$D$2</f>
        <v>5420.5088</v>
      </c>
      <c r="Q42" s="52" t="n">
        <f aca="false">Q41*$D$2</f>
        <v>3710.077245</v>
      </c>
      <c r="R42" s="52" t="n">
        <f aca="false">R41*$D$2</f>
        <v>3145.692155</v>
      </c>
      <c r="S42" s="52" t="n">
        <f aca="false">S41*$D$2</f>
        <v>12276.2782</v>
      </c>
      <c r="T42" s="52"/>
      <c r="U42" s="52" t="n">
        <f aca="false">U41*$D$2</f>
        <v>2792.768</v>
      </c>
      <c r="V42" s="52" t="n">
        <f aca="false">V41*$D$2</f>
        <v>4418.226415</v>
      </c>
      <c r="W42" s="52" t="n">
        <f aca="false">W41*$D$2</f>
        <v>19487.272615</v>
      </c>
      <c r="X42" s="52" t="n">
        <f aca="false">X41*$D$2</f>
        <v>843.093985</v>
      </c>
      <c r="Y42" s="52" t="n">
        <f aca="false">Y41*$D$2</f>
        <v>20330.3666</v>
      </c>
      <c r="Z42" s="56"/>
      <c r="AA42" s="57" t="n">
        <f aca="false">MAX(AA10:AA39)</f>
        <v>80</v>
      </c>
      <c r="AB42" s="57" t="n">
        <f aca="false">MAX(AB10:AB39)</f>
        <v>51</v>
      </c>
      <c r="AC42" s="58" t="s">
        <v>47</v>
      </c>
      <c r="AD42" s="150"/>
      <c r="AE42" s="92"/>
      <c r="AF42" s="93"/>
    </row>
    <row r="43" customFormat="false" ht="3" hidden="false" customHeight="true" outlineLevel="0" collapsed="false">
      <c r="A43" s="74"/>
      <c r="B43" s="74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112"/>
      <c r="AE43" s="92"/>
      <c r="AF43" s="93"/>
    </row>
    <row r="44" customFormat="false" ht="11.1" hidden="false" customHeight="true" outlineLevel="0" collapsed="false">
      <c r="A44" s="51" t="s">
        <v>48</v>
      </c>
      <c r="B44" s="51"/>
      <c r="C44" s="52"/>
      <c r="D44" s="52"/>
      <c r="E44" s="52"/>
      <c r="F44" s="52" t="n">
        <f aca="false">F7+F41</f>
        <v>-26908.4950844467</v>
      </c>
      <c r="G44" s="52" t="n">
        <f aca="false">G7+G41</f>
        <v>94974.69</v>
      </c>
      <c r="H44" s="52" t="n">
        <f aca="false">H7+H41</f>
        <v>2089.44</v>
      </c>
      <c r="I44" s="52" t="n">
        <f aca="false">I7+I41</f>
        <v>97064.13</v>
      </c>
      <c r="J44" s="52" t="n">
        <f aca="false">J7+J41</f>
        <v>6866.68756491051</v>
      </c>
      <c r="K44" s="52" t="n">
        <f aca="false">K7+K41</f>
        <v>103930.817564911</v>
      </c>
      <c r="L44" s="52" t="n">
        <f aca="false">L7+L41</f>
        <v>747.204915553316</v>
      </c>
      <c r="M44" s="52" t="n">
        <f aca="false">M7+M41</f>
        <v>31199.84</v>
      </c>
      <c r="N44" s="52" t="n">
        <f aca="false">N7+N41</f>
        <v>0</v>
      </c>
      <c r="O44" s="52" t="n">
        <f aca="false">O7+O41</f>
        <v>0</v>
      </c>
      <c r="P44" s="52" t="n">
        <f aca="false">P7+P41</f>
        <v>31199.84</v>
      </c>
      <c r="Q44" s="52" t="n">
        <f aca="false">Q7+Q41</f>
        <v>27792.96</v>
      </c>
      <c r="R44" s="52" t="n">
        <f aca="false">R7+R41</f>
        <v>13628.74</v>
      </c>
      <c r="S44" s="52" t="n">
        <f aca="false">S7+S41</f>
        <v>72621.54</v>
      </c>
      <c r="T44" s="52" t="n">
        <f aca="false">T39</f>
        <v>-19084.71</v>
      </c>
      <c r="U44" s="52" t="n">
        <f aca="false">U7+U41</f>
        <v>8365</v>
      </c>
      <c r="V44" s="52" t="n">
        <f aca="false">V7+V41</f>
        <v>43733.29</v>
      </c>
      <c r="W44" s="52" t="n">
        <f aca="false">W7+W41</f>
        <v>124719.83</v>
      </c>
      <c r="X44" s="52" t="n">
        <f aca="false">X7+X41</f>
        <v>6151.48475674313</v>
      </c>
      <c r="Y44" s="52" t="n">
        <f aca="false">Y7+Y41</f>
        <v>130871.314756743</v>
      </c>
      <c r="Z44" s="56"/>
      <c r="AA44" s="57" t="n">
        <f aca="false">MIN(AA10:AA39)</f>
        <v>56</v>
      </c>
      <c r="AB44" s="57" t="n">
        <f aca="false">MIN(AB10:AB39)</f>
        <v>31</v>
      </c>
      <c r="AC44" s="58" t="s">
        <v>49</v>
      </c>
      <c r="AD44" s="150"/>
      <c r="AE44" s="92"/>
      <c r="AF44" s="93"/>
    </row>
    <row r="45" customFormat="false" ht="11.1" hidden="false" customHeight="true" outlineLevel="0" collapsed="false">
      <c r="A45" s="51" t="s">
        <v>50</v>
      </c>
      <c r="B45" s="51"/>
      <c r="C45" s="52"/>
      <c r="D45" s="52"/>
      <c r="E45" s="52"/>
      <c r="F45" s="52" t="n">
        <f aca="false">F44*$D$2</f>
        <v>-53373</v>
      </c>
      <c r="G45" s="52" t="n">
        <f aca="false">G44*$D$2</f>
        <v>188382.297615</v>
      </c>
      <c r="H45" s="52" t="n">
        <f aca="false">H44*$D$2</f>
        <v>4144.40424</v>
      </c>
      <c r="I45" s="52" t="n">
        <f aca="false">I44*$D$2</f>
        <v>192526.701855</v>
      </c>
      <c r="J45" s="52" t="n">
        <f aca="false">J44*$D$2</f>
        <v>13620.074785</v>
      </c>
      <c r="K45" s="52" t="n">
        <f aca="false">K44*$D$2</f>
        <v>206146.77664</v>
      </c>
      <c r="L45" s="52" t="n">
        <f aca="false">L44*$D$2</f>
        <v>1482.08095</v>
      </c>
      <c r="M45" s="52" t="n">
        <f aca="false">M44*$D$2</f>
        <v>61884.88264</v>
      </c>
      <c r="N45" s="52" t="n">
        <f aca="false">N44*$D$2</f>
        <v>0</v>
      </c>
      <c r="O45" s="52" t="n">
        <f aca="false">O44*$D$2</f>
        <v>0</v>
      </c>
      <c r="P45" s="52" t="n">
        <f aca="false">P44*$D$2</f>
        <v>61884.88264</v>
      </c>
      <c r="Q45" s="52" t="n">
        <f aca="false">Q44*$D$2</f>
        <v>55127.33616</v>
      </c>
      <c r="R45" s="52" t="n">
        <f aca="false">R44*$D$2</f>
        <v>27032.60579</v>
      </c>
      <c r="S45" s="52" t="n">
        <f aca="false">S44*$D$2</f>
        <v>144044.82459</v>
      </c>
      <c r="T45" s="52" t="n">
        <f aca="false">T44*$D$2</f>
        <v>-37854.522285</v>
      </c>
      <c r="U45" s="52" t="n">
        <f aca="false">U44*$D$2</f>
        <v>16591.9775</v>
      </c>
      <c r="V45" s="52" t="n">
        <f aca="false">V44*$D$2</f>
        <v>86744.980715</v>
      </c>
      <c r="W45" s="52" t="n">
        <f aca="false">W44*$D$2</f>
        <v>247381.782805</v>
      </c>
      <c r="X45" s="52" t="n">
        <f aca="false">X44*$D$2</f>
        <v>12201.470015</v>
      </c>
      <c r="Y45" s="52" t="n">
        <f aca="false">Y44*$D$2</f>
        <v>259583.25282</v>
      </c>
      <c r="Z45" s="56"/>
      <c r="AA45" s="57"/>
      <c r="AB45" s="57"/>
      <c r="AC45" s="58"/>
      <c r="AD45" s="150"/>
      <c r="AE45" s="92"/>
      <c r="AF45" s="93"/>
    </row>
    <row r="46" customFormat="false" ht="3" hidden="false" customHeight="true" outlineLevel="0" collapsed="false">
      <c r="A46" s="74"/>
      <c r="B46" s="74"/>
      <c r="C46" s="76"/>
      <c r="D46" s="76"/>
      <c r="E46" s="76"/>
      <c r="F46" s="76"/>
      <c r="G46" s="76"/>
      <c r="H46" s="79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8"/>
      <c r="AA46" s="78"/>
      <c r="AB46" s="78"/>
      <c r="AC46" s="78"/>
      <c r="AD46" s="112"/>
      <c r="AE46" s="92"/>
      <c r="AF46" s="93"/>
    </row>
    <row r="47" customFormat="false" ht="11.1" hidden="false" customHeight="true" outlineLevel="0" collapsed="false">
      <c r="A47" s="51" t="s">
        <v>51</v>
      </c>
      <c r="B47" s="51"/>
      <c r="C47" s="52"/>
      <c r="D47" s="52"/>
      <c r="E47" s="52"/>
      <c r="F47" s="52" t="n">
        <f aca="false">F8+F41</f>
        <v>-12106.8817746408</v>
      </c>
      <c r="G47" s="52" t="n">
        <f aca="false">G8+G41</f>
        <v>116826.19</v>
      </c>
      <c r="H47" s="57" t="n">
        <f aca="false">H8+H41</f>
        <v>2809.91</v>
      </c>
      <c r="I47" s="52" t="n">
        <f aca="false">I8+I41</f>
        <v>119437</v>
      </c>
      <c r="J47" s="52" t="n">
        <f aca="false">J8+J41</f>
        <v>17969.5180489035</v>
      </c>
      <c r="K47" s="52" t="n">
        <f aca="false">K8+K41</f>
        <v>137406.518048903</v>
      </c>
      <c r="L47" s="52" t="n">
        <f aca="false">L8+L41</f>
        <v>10347.7182253592</v>
      </c>
      <c r="M47" s="52" t="n">
        <f aca="false">M8+M41</f>
        <v>33249.1</v>
      </c>
      <c r="N47" s="52" t="n">
        <f aca="false">N8+N41</f>
        <v>0.08</v>
      </c>
      <c r="O47" s="52" t="n">
        <f aca="false">O8+O41</f>
        <v>0</v>
      </c>
      <c r="P47" s="52" t="n">
        <f aca="false">P8+P41</f>
        <v>33249.02</v>
      </c>
      <c r="Q47" s="52" t="n">
        <f aca="false">Q8+Q41</f>
        <v>30512.31</v>
      </c>
      <c r="R47" s="52" t="n">
        <f aca="false">R8+R41</f>
        <v>14094.11</v>
      </c>
      <c r="S47" s="52" t="n">
        <f aca="false">S8+S41</f>
        <v>77855.44</v>
      </c>
      <c r="T47" s="52" t="n">
        <f aca="false">T44</f>
        <v>-19084.71</v>
      </c>
      <c r="U47" s="52" t="n">
        <f aca="false">U8+U41</f>
        <v>8365</v>
      </c>
      <c r="V47" s="52" t="n">
        <f aca="false">V8+V41</f>
        <v>55746.08</v>
      </c>
      <c r="W47" s="52" t="n">
        <f aca="false">W8+W41</f>
        <v>141891.6</v>
      </c>
      <c r="X47" s="52" t="n">
        <f aca="false">X8+X41</f>
        <v>7653.80193093017</v>
      </c>
      <c r="Y47" s="52" t="n">
        <f aca="false">Y8+Y41</f>
        <v>149545.40193093</v>
      </c>
      <c r="Z47" s="56" t="n">
        <f aca="false">Z8+Z41</f>
        <v>9.59</v>
      </c>
      <c r="AA47" s="57"/>
      <c r="AB47" s="57"/>
      <c r="AC47" s="58"/>
      <c r="AD47" s="150"/>
      <c r="AE47" s="92"/>
      <c r="AF47" s="93"/>
    </row>
    <row r="48" customFormat="false" ht="11.1" hidden="false" customHeight="true" outlineLevel="0" collapsed="false">
      <c r="A48" s="51" t="s">
        <v>52</v>
      </c>
      <c r="B48" s="51"/>
      <c r="C48" s="52"/>
      <c r="D48" s="52" t="n">
        <f aca="false">D8+D42</f>
        <v>-24014</v>
      </c>
      <c r="E48" s="52" t="n">
        <f aca="false">E39</f>
        <v>148964</v>
      </c>
      <c r="F48" s="52" t="n">
        <f aca="false">F47*$D$2</f>
        <v>-24014</v>
      </c>
      <c r="G48" s="52" t="n">
        <f aca="false">G47*$D$2</f>
        <v>231724.747865</v>
      </c>
      <c r="H48" s="57" t="n">
        <f aca="false">H47*$D$2</f>
        <v>5573.456485</v>
      </c>
      <c r="I48" s="52" t="n">
        <f aca="false">I47*$D$2</f>
        <v>236903.2895</v>
      </c>
      <c r="J48" s="52" t="n">
        <f aca="false">J47*$D$2</f>
        <v>35642.53905</v>
      </c>
      <c r="K48" s="52" t="n">
        <f aca="false">K47*$D$2</f>
        <v>272545.82855</v>
      </c>
      <c r="L48" s="52" t="n">
        <f aca="false">L47*$D$2</f>
        <v>20524.6991</v>
      </c>
      <c r="M48" s="52" t="n">
        <f aca="false">M47*$D$2</f>
        <v>65949.58985</v>
      </c>
      <c r="N48" s="52" t="n">
        <f aca="false">N47*$D$2</f>
        <v>0.15868</v>
      </c>
      <c r="O48" s="52" t="n">
        <f aca="false">O47*$D$2</f>
        <v>0</v>
      </c>
      <c r="P48" s="52" t="n">
        <f aca="false">P47*$D$2</f>
        <v>65949.43117</v>
      </c>
      <c r="Q48" s="52" t="n">
        <f aca="false">Q47*$D$2</f>
        <v>60521.166885</v>
      </c>
      <c r="R48" s="52" t="n">
        <f aca="false">R47*$D$2</f>
        <v>27955.667185</v>
      </c>
      <c r="S48" s="52" t="n">
        <f aca="false">S47*$D$2</f>
        <v>154426.26524</v>
      </c>
      <c r="T48" s="52" t="n">
        <f aca="false">T47*$D$2</f>
        <v>-37854.522285</v>
      </c>
      <c r="U48" s="52" t="n">
        <f aca="false">U47*$D$2</f>
        <v>16591.9775</v>
      </c>
      <c r="V48" s="52" t="n">
        <f aca="false">V47*$D$2</f>
        <v>110572.34968</v>
      </c>
      <c r="W48" s="52" t="n">
        <f aca="false">W47*$D$2</f>
        <v>281441.9886</v>
      </c>
      <c r="X48" s="52" t="n">
        <f aca="false">X47*$D$2</f>
        <v>15181.31613</v>
      </c>
      <c r="Y48" s="52" t="n">
        <f aca="false">Y47*$D$2</f>
        <v>296623.30473</v>
      </c>
      <c r="Z48" s="56"/>
      <c r="AA48" s="57"/>
      <c r="AB48" s="57"/>
      <c r="AC48" s="58"/>
      <c r="AD48" s="150"/>
      <c r="AE48" s="92"/>
      <c r="AF48" s="93"/>
    </row>
    <row r="49" customFormat="false" ht="3" hidden="false" customHeight="true" outlineLevel="0" collapsed="false">
      <c r="A49" s="74"/>
      <c r="B49" s="74"/>
      <c r="C49" s="76"/>
      <c r="D49" s="74"/>
      <c r="E49" s="76"/>
      <c r="F49" s="74"/>
      <c r="G49" s="74"/>
      <c r="H49" s="77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6"/>
      <c r="U49" s="74"/>
      <c r="V49" s="74"/>
      <c r="W49" s="74"/>
      <c r="X49" s="74"/>
      <c r="Y49" s="74"/>
      <c r="Z49" s="74"/>
      <c r="AA49" s="74"/>
      <c r="AB49" s="74"/>
      <c r="AC49" s="74"/>
      <c r="AD49" s="112"/>
      <c r="AE49" s="92"/>
      <c r="AF49" s="93"/>
    </row>
    <row r="50" customFormat="false" ht="11.1" hidden="false" customHeight="true" outlineLevel="0" collapsed="false">
      <c r="A50" s="82"/>
      <c r="B50" s="82"/>
      <c r="C50" s="52"/>
      <c r="D50" s="82"/>
      <c r="E50" s="52"/>
      <c r="F50" s="82"/>
      <c r="G50" s="53"/>
      <c r="I50" s="42"/>
      <c r="J50" s="82"/>
      <c r="K50" s="82"/>
      <c r="L50" s="82"/>
      <c r="M50" s="81"/>
      <c r="N50" s="7"/>
      <c r="O50" s="81"/>
      <c r="P50" s="82"/>
      <c r="Q50" s="82"/>
      <c r="R50" s="82"/>
      <c r="S50" s="0"/>
      <c r="T50" s="52"/>
      <c r="U50" s="47"/>
      <c r="V50" s="52"/>
      <c r="W50" s="82"/>
      <c r="X50" s="82"/>
      <c r="Y50" s="55"/>
      <c r="Z50" s="56"/>
      <c r="AA50" s="57"/>
      <c r="AB50" s="58"/>
      <c r="AC50" s="97"/>
      <c r="AD50" s="147"/>
    </row>
    <row r="51" customFormat="false" ht="11.1" hidden="false" customHeight="true" outlineLevel="0" collapsed="false">
      <c r="Q51" s="146"/>
      <c r="S51" s="52"/>
      <c r="T51" s="51"/>
      <c r="U51" s="47"/>
    </row>
    <row r="52" customFormat="false" ht="11.1" hidden="false" customHeight="true" outlineLevel="0" collapsed="false">
      <c r="Q52" s="146"/>
      <c r="S52" s="52"/>
      <c r="T52" s="51"/>
      <c r="U52" s="47"/>
    </row>
    <row r="53" customFormat="false" ht="11.1" hidden="false" customHeight="true" outlineLevel="0" collapsed="false">
      <c r="Q53" s="146"/>
    </row>
    <row r="54" customFormat="false" ht="11.1" hidden="false" customHeight="true" outlineLevel="0" collapsed="false">
      <c r="Q54" s="146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35" activePane="bottomRight" state="frozen"/>
      <selection pane="topLeft" activeCell="A1" activeCellId="0" sqref="A1"/>
      <selection pane="topRight" activeCell="B1" activeCellId="0" sqref="B1"/>
      <selection pane="bottomLeft" activeCell="A35" activeCellId="0" sqref="A35"/>
      <selection pane="bottomRight" activeCell="AB41" activeCellId="0" sqref="AB41"/>
    </sheetView>
  </sheetViews>
  <sheetFormatPr defaultColWidth="9.328125" defaultRowHeight="11.1" zeroHeight="false" outlineLevelRow="0" outlineLevelCol="0"/>
  <cols>
    <col collapsed="false" customWidth="true" hidden="false" outlineLevel="0" max="1" min="1" style="44" width="5.66"/>
    <col collapsed="false" customWidth="true" hidden="false" outlineLevel="0" max="2" min="2" style="44" width="7.82"/>
    <col collapsed="false" customWidth="true" hidden="false" outlineLevel="0" max="3" min="3" style="45" width="7.66"/>
    <col collapsed="false" customWidth="true" hidden="false" outlineLevel="0" max="4" min="4" style="44" width="6.99"/>
    <col collapsed="false" customWidth="true" hidden="false" outlineLevel="0" max="5" min="5" style="45" width="7.66"/>
    <col collapsed="false" customWidth="true" hidden="false" outlineLevel="0" max="6" min="6" style="44" width="7.66"/>
    <col collapsed="false" customWidth="true" hidden="false" outlineLevel="0" max="7" min="7" style="44" width="7.16"/>
    <col collapsed="false" customWidth="true" hidden="false" outlineLevel="0" max="8" min="8" style="153" width="6.82"/>
    <col collapsed="false" customWidth="true" hidden="false" outlineLevel="0" max="9" min="9" style="44" width="7.99"/>
    <col collapsed="false" customWidth="true" hidden="false" outlineLevel="0" max="10" min="10" style="44" width="6.66"/>
    <col collapsed="false" customWidth="true" hidden="false" outlineLevel="0" max="12" min="11" style="44" width="7.16"/>
    <col collapsed="false" customWidth="true" hidden="false" outlineLevel="0" max="13" min="13" style="47" width="6.32"/>
    <col collapsed="false" customWidth="true" hidden="true" outlineLevel="0" max="14" min="14" style="47" width="7.32"/>
    <col collapsed="false" customWidth="true" hidden="true" outlineLevel="0" max="15" min="15" style="47" width="6.49"/>
    <col collapsed="false" customWidth="true" hidden="true" outlineLevel="0" max="16" min="16" style="44" width="7.99"/>
    <col collapsed="false" customWidth="true" hidden="false" outlineLevel="0" max="17" min="17" style="44" width="6.32"/>
    <col collapsed="false" customWidth="true" hidden="false" outlineLevel="0" max="18" min="18" style="44" width="5.82"/>
    <col collapsed="false" customWidth="true" hidden="false" outlineLevel="0" max="19" min="19" style="45" width="6.66"/>
    <col collapsed="false" customWidth="true" hidden="false" outlineLevel="0" max="20" min="20" style="44" width="7.66"/>
    <col collapsed="false" customWidth="true" hidden="false" outlineLevel="0" max="21" min="21" style="44" width="5.99"/>
    <col collapsed="false" customWidth="true" hidden="false" outlineLevel="0" max="22" min="22" style="45" width="6.66"/>
    <col collapsed="false" customWidth="true" hidden="false" outlineLevel="0" max="24" min="23" style="44" width="7.82"/>
    <col collapsed="false" customWidth="true" hidden="false" outlineLevel="0" max="25" min="25" style="48" width="8.16"/>
    <col collapsed="false" customWidth="true" hidden="false" outlineLevel="0" max="27" min="26" style="49" width="4.66"/>
    <col collapsed="false" customWidth="true" hidden="false" outlineLevel="0" max="28" min="28" style="50" width="4.66"/>
    <col collapsed="false" customWidth="true" hidden="false" outlineLevel="0" max="29" min="29" style="44" width="5.66"/>
    <col collapsed="false" customWidth="false" hidden="false" outlineLevel="0" max="30" min="30" style="48" width="9.32"/>
    <col collapsed="false" customWidth="false" hidden="false" outlineLevel="0" max="257" min="31" style="44" width="9.32"/>
  </cols>
  <sheetData>
    <row r="1" customFormat="false" ht="14.1" hidden="false" customHeight="true" outlineLevel="0" collapsed="false">
      <c r="A1" s="51"/>
      <c r="B1" s="51"/>
      <c r="C1" s="52"/>
      <c r="D1" s="51"/>
      <c r="E1" s="52"/>
      <c r="F1" s="51"/>
      <c r="G1" s="51"/>
      <c r="H1" s="154"/>
      <c r="I1" s="51"/>
      <c r="J1" s="51"/>
      <c r="K1" s="54" t="s">
        <v>0</v>
      </c>
      <c r="L1" s="51"/>
      <c r="M1" s="51"/>
      <c r="N1" s="51"/>
      <c r="O1" s="51"/>
      <c r="P1" s="51"/>
      <c r="Q1" s="51"/>
      <c r="R1" s="51"/>
      <c r="S1" s="52"/>
      <c r="T1" s="51"/>
      <c r="U1" s="51"/>
      <c r="V1" s="52"/>
      <c r="W1" s="51"/>
      <c r="X1" s="51"/>
      <c r="Y1" s="55"/>
      <c r="Z1" s="57"/>
      <c r="AA1" s="57"/>
      <c r="AB1" s="58"/>
      <c r="AC1" s="88"/>
      <c r="AD1" s="147"/>
    </row>
    <row r="2" customFormat="false" ht="14.1" hidden="false" customHeight="true" outlineLevel="0" collapsed="false">
      <c r="A2" s="51" t="s">
        <v>1</v>
      </c>
      <c r="B2" s="51"/>
      <c r="C2" s="52"/>
      <c r="D2" s="59" t="n">
        <v>1.9835</v>
      </c>
      <c r="E2" s="52"/>
      <c r="F2" s="51"/>
      <c r="G2" s="51"/>
      <c r="H2" s="154"/>
      <c r="I2" s="51"/>
      <c r="J2" s="51"/>
      <c r="K2" s="60" t="s">
        <v>83</v>
      </c>
      <c r="L2" s="60"/>
      <c r="M2" s="60"/>
      <c r="N2" s="60"/>
      <c r="O2" s="60"/>
      <c r="P2" s="60"/>
      <c r="Q2" s="60"/>
      <c r="R2" s="60"/>
      <c r="S2" s="60"/>
      <c r="T2" s="60"/>
      <c r="U2" s="51"/>
      <c r="V2" s="52"/>
      <c r="W2" s="51"/>
      <c r="X2" s="51"/>
      <c r="Y2" s="55"/>
      <c r="Z2" s="57"/>
      <c r="AA2" s="57"/>
      <c r="AB2" s="58"/>
      <c r="AC2" s="88"/>
      <c r="AD2" s="147"/>
    </row>
    <row r="3" customFormat="false" ht="11.1" hidden="false" customHeight="true" outlineLevel="0" collapsed="false">
      <c r="A3" s="51"/>
      <c r="B3" s="51"/>
      <c r="C3" s="52"/>
      <c r="D3" s="61"/>
      <c r="E3" s="52"/>
      <c r="F3" s="51"/>
      <c r="G3" s="51"/>
      <c r="H3" s="154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51"/>
      <c r="U3" s="51"/>
      <c r="V3" s="52"/>
      <c r="W3" s="51"/>
      <c r="X3" s="51"/>
      <c r="Y3" s="55"/>
      <c r="Z3" s="57"/>
      <c r="AA3" s="57"/>
      <c r="AB3" s="58"/>
      <c r="AC3" s="88"/>
      <c r="AD3" s="147"/>
    </row>
    <row r="4" customFormat="false" ht="11.1" hidden="false" customHeight="true" outlineLevel="0" collapsed="false">
      <c r="A4" s="62" t="s">
        <v>3</v>
      </c>
      <c r="B4" s="62" t="s">
        <v>4</v>
      </c>
      <c r="C4" s="63" t="s">
        <v>4</v>
      </c>
      <c r="D4" s="62" t="s">
        <v>5</v>
      </c>
      <c r="E4" s="63" t="s">
        <v>6</v>
      </c>
      <c r="F4" s="62" t="s">
        <v>7</v>
      </c>
      <c r="G4" s="62" t="s">
        <v>8</v>
      </c>
      <c r="H4" s="155" t="s">
        <v>9</v>
      </c>
      <c r="I4" s="62" t="s">
        <v>10</v>
      </c>
      <c r="J4" s="62" t="s">
        <v>11</v>
      </c>
      <c r="K4" s="62" t="s">
        <v>12</v>
      </c>
      <c r="L4" s="62" t="s">
        <v>11</v>
      </c>
      <c r="M4" s="62" t="s">
        <v>13</v>
      </c>
      <c r="N4" s="62"/>
      <c r="O4" s="62"/>
      <c r="P4" s="62"/>
      <c r="Q4" s="62" t="s">
        <v>14</v>
      </c>
      <c r="R4" s="62" t="s">
        <v>15</v>
      </c>
      <c r="S4" s="62" t="s">
        <v>12</v>
      </c>
      <c r="T4" s="63" t="s">
        <v>16</v>
      </c>
      <c r="U4" s="62" t="s">
        <v>17</v>
      </c>
      <c r="V4" s="62" t="s">
        <v>18</v>
      </c>
      <c r="W4" s="62" t="s">
        <v>10</v>
      </c>
      <c r="X4" s="62" t="s">
        <v>11</v>
      </c>
      <c r="Y4" s="62" t="s">
        <v>12</v>
      </c>
      <c r="Z4" s="110" t="s">
        <v>19</v>
      </c>
      <c r="AA4" s="66" t="s">
        <v>20</v>
      </c>
      <c r="AB4" s="66" t="s">
        <v>21</v>
      </c>
      <c r="AC4" s="66" t="s">
        <v>3</v>
      </c>
      <c r="AD4" s="148" t="s">
        <v>66</v>
      </c>
      <c r="AE4" s="88"/>
    </row>
    <row r="5" customFormat="false" ht="11.1" hidden="false" customHeight="true" outlineLevel="0" collapsed="false">
      <c r="A5" s="67" t="s">
        <v>84</v>
      </c>
      <c r="B5" s="62" t="s">
        <v>23</v>
      </c>
      <c r="C5" s="63" t="s">
        <v>5</v>
      </c>
      <c r="D5" s="62" t="s">
        <v>24</v>
      </c>
      <c r="E5" s="63" t="s">
        <v>25</v>
      </c>
      <c r="F5" s="62" t="s">
        <v>26</v>
      </c>
      <c r="G5" s="62" t="s">
        <v>27</v>
      </c>
      <c r="H5" s="155" t="s">
        <v>28</v>
      </c>
      <c r="I5" s="62" t="s">
        <v>29</v>
      </c>
      <c r="J5" s="62" t="s">
        <v>29</v>
      </c>
      <c r="K5" s="62" t="s">
        <v>29</v>
      </c>
      <c r="L5" s="62" t="s">
        <v>30</v>
      </c>
      <c r="M5" s="62" t="s">
        <v>31</v>
      </c>
      <c r="N5" s="62" t="s">
        <v>32</v>
      </c>
      <c r="O5" s="62" t="s">
        <v>33</v>
      </c>
      <c r="P5" s="62" t="s">
        <v>34</v>
      </c>
      <c r="Q5" s="62" t="s">
        <v>35</v>
      </c>
      <c r="R5" s="62" t="s">
        <v>36</v>
      </c>
      <c r="S5" s="62" t="s">
        <v>16</v>
      </c>
      <c r="T5" s="63" t="s">
        <v>37</v>
      </c>
      <c r="U5" s="62" t="s">
        <v>38</v>
      </c>
      <c r="V5" s="62" t="s">
        <v>39</v>
      </c>
      <c r="W5" s="62" t="s">
        <v>40</v>
      </c>
      <c r="X5" s="62" t="s">
        <v>40</v>
      </c>
      <c r="Y5" s="62" t="s">
        <v>40</v>
      </c>
      <c r="Z5" s="135"/>
      <c r="AA5" s="66" t="s">
        <v>41</v>
      </c>
      <c r="AB5" s="66" t="s">
        <v>41</v>
      </c>
      <c r="AC5" s="69" t="s">
        <v>84</v>
      </c>
      <c r="AD5" s="148" t="s">
        <v>68</v>
      </c>
      <c r="AE5" s="88"/>
      <c r="AG5" s="142"/>
      <c r="AH5" s="142"/>
    </row>
    <row r="6" customFormat="false" ht="11.1" hidden="false" customHeight="true" outlineLevel="0" collapsed="false">
      <c r="A6" s="70"/>
      <c r="B6" s="70"/>
      <c r="C6" s="71"/>
      <c r="D6" s="70"/>
      <c r="E6" s="71"/>
      <c r="F6" s="70"/>
      <c r="G6" s="70"/>
      <c r="H6" s="154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1"/>
      <c r="U6" s="70"/>
      <c r="V6" s="70"/>
      <c r="W6" s="70"/>
      <c r="X6" s="70"/>
      <c r="Y6" s="70"/>
      <c r="Z6" s="55"/>
      <c r="AA6" s="58"/>
      <c r="AB6" s="58"/>
      <c r="AC6" s="58"/>
      <c r="AD6" s="150"/>
      <c r="AE6" s="92"/>
      <c r="AF6" s="93"/>
      <c r="AG6" s="142"/>
      <c r="AH6" s="142"/>
    </row>
    <row r="7" customFormat="false" ht="11.1" hidden="false" customHeight="true" outlineLevel="0" collapsed="false">
      <c r="A7" s="51" t="s">
        <v>42</v>
      </c>
      <c r="B7" s="51"/>
      <c r="C7" s="52"/>
      <c r="D7" s="52"/>
      <c r="E7" s="52"/>
      <c r="F7" s="52" t="n">
        <f aca="false">SEP!F44</f>
        <v>-26908.4950844467</v>
      </c>
      <c r="G7" s="52" t="n">
        <f aca="false">SEP!G44</f>
        <v>94974.69</v>
      </c>
      <c r="H7" s="156" t="n">
        <f aca="false">SEP!H44</f>
        <v>2089.44</v>
      </c>
      <c r="I7" s="52" t="n">
        <f aca="false">SEP!I44</f>
        <v>97064.13</v>
      </c>
      <c r="J7" s="52" t="n">
        <f aca="false">SEP!J44</f>
        <v>6866.68756491051</v>
      </c>
      <c r="K7" s="52" t="n">
        <f aca="false">SEP!K44</f>
        <v>103930.817564911</v>
      </c>
      <c r="L7" s="52" t="n">
        <f aca="false">SEP!L44</f>
        <v>747.204915553316</v>
      </c>
      <c r="M7" s="52" t="n">
        <f aca="false">SEP!M44</f>
        <v>31199.84</v>
      </c>
      <c r="N7" s="52" t="n">
        <f aca="false">SEP!N44</f>
        <v>0</v>
      </c>
      <c r="O7" s="52" t="n">
        <f aca="false">SEP!O44</f>
        <v>0</v>
      </c>
      <c r="P7" s="52" t="n">
        <f aca="false">SEP!P44</f>
        <v>31199.84</v>
      </c>
      <c r="Q7" s="52" t="n">
        <f aca="false">SEP!Q44</f>
        <v>27792.96</v>
      </c>
      <c r="R7" s="52" t="n">
        <f aca="false">SEP!R44</f>
        <v>13628.74</v>
      </c>
      <c r="S7" s="52" t="n">
        <f aca="false">SEP!S44</f>
        <v>72621.54</v>
      </c>
      <c r="T7" s="52" t="n">
        <f aca="false">SEP!T44</f>
        <v>-19084.71</v>
      </c>
      <c r="U7" s="52" t="n">
        <f aca="false">SEP!U44</f>
        <v>8365</v>
      </c>
      <c r="V7" s="52" t="n">
        <f aca="false">SEP!V44</f>
        <v>43733.29</v>
      </c>
      <c r="W7" s="52" t="n">
        <f aca="false">SEP!W44</f>
        <v>124719.83</v>
      </c>
      <c r="X7" s="52" t="n">
        <f aca="false">SEP!X44</f>
        <v>6151.48475674313</v>
      </c>
      <c r="Y7" s="52" t="n">
        <f aca="false">SEP!Y44</f>
        <v>130871.314756743</v>
      </c>
      <c r="Z7" s="55"/>
      <c r="AA7" s="57"/>
      <c r="AB7" s="57"/>
      <c r="AC7" s="58"/>
      <c r="AD7" s="150"/>
      <c r="AE7" s="93"/>
      <c r="AF7" s="93"/>
    </row>
    <row r="8" s="45" customFormat="true" ht="11.1" hidden="false" customHeight="true" outlineLevel="0" collapsed="false">
      <c r="A8" s="52" t="s">
        <v>43</v>
      </c>
      <c r="B8" s="73" t="n">
        <f aca="false">SEP!B39</f>
        <v>6904.62</v>
      </c>
      <c r="C8" s="52" t="n">
        <f aca="false">SEP!C39</f>
        <v>300942</v>
      </c>
      <c r="D8" s="52" t="n">
        <f aca="false">SEP!D48</f>
        <v>-24014</v>
      </c>
      <c r="E8" s="52" t="n">
        <f aca="false">SEP!E48</f>
        <v>148964</v>
      </c>
      <c r="F8" s="52" t="n">
        <f aca="false">SEP!F47</f>
        <v>-12106.8817746408</v>
      </c>
      <c r="G8" s="52" t="n">
        <f aca="false">SEP!G47</f>
        <v>116826.19</v>
      </c>
      <c r="H8" s="154" t="n">
        <f aca="false">SEP!H47</f>
        <v>2809.91</v>
      </c>
      <c r="I8" s="52" t="n">
        <f aca="false">SEP!I47</f>
        <v>119437</v>
      </c>
      <c r="J8" s="52" t="n">
        <f aca="false">SEP!J47</f>
        <v>17969.5180489035</v>
      </c>
      <c r="K8" s="52" t="n">
        <f aca="false">SEP!K47</f>
        <v>137406.518048903</v>
      </c>
      <c r="L8" s="52" t="n">
        <f aca="false">SEP!L47</f>
        <v>10347.7182253592</v>
      </c>
      <c r="M8" s="52" t="n">
        <f aca="false">SEP!M47</f>
        <v>33249.1</v>
      </c>
      <c r="N8" s="52" t="n">
        <f aca="false">SEP!N47</f>
        <v>0.08</v>
      </c>
      <c r="O8" s="52" t="n">
        <f aca="false">SEP!O47</f>
        <v>0</v>
      </c>
      <c r="P8" s="52" t="n">
        <f aca="false">SEP!P47</f>
        <v>33249.02</v>
      </c>
      <c r="Q8" s="52" t="n">
        <f aca="false">SEP!Q47</f>
        <v>30512.31</v>
      </c>
      <c r="R8" s="52" t="n">
        <f aca="false">SEP!R47</f>
        <v>14094.11</v>
      </c>
      <c r="S8" s="52" t="n">
        <f aca="false">SEP!S47</f>
        <v>77855.44</v>
      </c>
      <c r="T8" s="52" t="n">
        <f aca="false">SEP!T47</f>
        <v>-19084.71</v>
      </c>
      <c r="U8" s="52" t="n">
        <f aca="false">SEP!U47</f>
        <v>8365</v>
      </c>
      <c r="V8" s="52" t="n">
        <f aca="false">SEP!V47</f>
        <v>55746.08</v>
      </c>
      <c r="W8" s="52" t="n">
        <f aca="false">SEP!W47</f>
        <v>141891.6</v>
      </c>
      <c r="X8" s="52" t="n">
        <f aca="false">SEP!X47</f>
        <v>7653.80193093017</v>
      </c>
      <c r="Y8" s="52" t="n">
        <f aca="false">SEP!Y47</f>
        <v>149545.40193093</v>
      </c>
      <c r="Z8" s="81" t="n">
        <f aca="false">SEP!Z47</f>
        <v>9.59</v>
      </c>
      <c r="AA8" s="57"/>
      <c r="AB8" s="57"/>
      <c r="AC8" s="58"/>
      <c r="AD8" s="150"/>
      <c r="AE8" s="92"/>
      <c r="AF8" s="93"/>
      <c r="AG8" s="44"/>
      <c r="AH8" s="44"/>
    </row>
    <row r="9" customFormat="false" ht="3" hidden="false" customHeight="true" outlineLevel="0" collapsed="false">
      <c r="A9" s="74"/>
      <c r="B9" s="75"/>
      <c r="C9" s="76"/>
      <c r="D9" s="74"/>
      <c r="E9" s="76"/>
      <c r="F9" s="74"/>
      <c r="G9" s="74"/>
      <c r="H9" s="157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6"/>
      <c r="U9" s="74"/>
      <c r="V9" s="74"/>
      <c r="W9" s="74"/>
      <c r="X9" s="74"/>
      <c r="Y9" s="74"/>
      <c r="Z9" s="112"/>
      <c r="AA9" s="79"/>
      <c r="AB9" s="79"/>
      <c r="AC9" s="80"/>
      <c r="AD9" s="152"/>
      <c r="AE9" s="92"/>
      <c r="AF9" s="93"/>
    </row>
    <row r="10" customFormat="false" ht="11.1" hidden="false" customHeight="true" outlineLevel="0" collapsed="false">
      <c r="A10" s="58" t="n">
        <v>1</v>
      </c>
      <c r="B10" s="73" t="n">
        <v>6904.54</v>
      </c>
      <c r="C10" s="52" t="n">
        <v>300636</v>
      </c>
      <c r="D10" s="57" t="n">
        <f aca="false">C10-C8</f>
        <v>-306</v>
      </c>
      <c r="E10" s="52" t="n">
        <f aca="false">C10-152000</f>
        <v>148636</v>
      </c>
      <c r="F10" s="51" t="n">
        <f aca="false">D10/$D$2</f>
        <v>-154.27275018906</v>
      </c>
      <c r="G10" s="51" t="n">
        <v>42.93</v>
      </c>
      <c r="H10" s="154" t="n">
        <v>0</v>
      </c>
      <c r="I10" s="51" t="n">
        <f aca="false">G10+H10</f>
        <v>42.93</v>
      </c>
      <c r="J10" s="81" t="n">
        <f aca="false">IF(L10&gt;0,L10,0)</f>
        <v>0</v>
      </c>
      <c r="K10" s="51" t="n">
        <f aca="false">I10+J10</f>
        <v>42.93</v>
      </c>
      <c r="L10" s="51" t="n">
        <f aca="false">F10-(I10-W10)</f>
        <v>-18.9327501890598</v>
      </c>
      <c r="M10" s="51" t="n">
        <v>41.3</v>
      </c>
      <c r="N10" s="51" t="n">
        <v>0</v>
      </c>
      <c r="O10" s="51" t="n">
        <v>0</v>
      </c>
      <c r="P10" s="6" t="n">
        <f aca="false">M10-(N10+O10)</f>
        <v>41.3</v>
      </c>
      <c r="Q10" s="51" t="n">
        <v>0</v>
      </c>
      <c r="R10" s="51" t="n">
        <v>27.7</v>
      </c>
      <c r="S10" s="51" t="n">
        <f aca="false">SUM(P10:R10)</f>
        <v>69</v>
      </c>
      <c r="T10" s="52" t="n">
        <f aca="false">(I10-S10)+T7</f>
        <v>-19110.78</v>
      </c>
      <c r="U10" s="51" t="n">
        <v>30</v>
      </c>
      <c r="V10" s="51" t="n">
        <v>79.27</v>
      </c>
      <c r="W10" s="6" t="n">
        <f aca="false">N10+O10+S10+U10+V10</f>
        <v>178.27</v>
      </c>
      <c r="X10" s="51" t="n">
        <f aca="false">IF(L10&lt;0,L10*-1,0)</f>
        <v>18.9327501890598</v>
      </c>
      <c r="Y10" s="51" t="n">
        <f aca="false">W10+X10</f>
        <v>197.20275018906</v>
      </c>
      <c r="Z10" s="55" t="n">
        <v>0</v>
      </c>
      <c r="AA10" s="57" t="n">
        <v>68</v>
      </c>
      <c r="AB10" s="57" t="n">
        <v>37</v>
      </c>
      <c r="AC10" s="58" t="n">
        <v>1</v>
      </c>
      <c r="AD10" s="150" t="n">
        <f aca="false">IF(I10&gt;S10,I10-S10,I10-S10)</f>
        <v>-26.07</v>
      </c>
      <c r="AE10" s="94"/>
      <c r="AF10" s="94"/>
    </row>
    <row r="11" customFormat="false" ht="11.1" hidden="false" customHeight="true" outlineLevel="0" collapsed="false">
      <c r="A11" s="58" t="n">
        <f aca="false">A10+1</f>
        <v>2</v>
      </c>
      <c r="B11" s="73" t="n">
        <v>6904.45</v>
      </c>
      <c r="C11" s="52" t="n">
        <v>300292</v>
      </c>
      <c r="D11" s="57" t="n">
        <f aca="false">C11-C10</f>
        <v>-344</v>
      </c>
      <c r="E11" s="52" t="n">
        <f aca="false">C11-152000</f>
        <v>148292</v>
      </c>
      <c r="F11" s="51" t="n">
        <f aca="false">D11/$D$2</f>
        <v>-173.430804134106</v>
      </c>
      <c r="G11" s="51" t="n">
        <v>41.29</v>
      </c>
      <c r="H11" s="154" t="n">
        <v>0</v>
      </c>
      <c r="I11" s="51" t="n">
        <f aca="false">G11+H11</f>
        <v>41.29</v>
      </c>
      <c r="J11" s="81" t="n">
        <f aca="false">IF(L11&gt;0,L11,0)</f>
        <v>0</v>
      </c>
      <c r="K11" s="51" t="n">
        <f aca="false">I11+J11</f>
        <v>41.29</v>
      </c>
      <c r="L11" s="51" t="n">
        <f aca="false">F11-(I11-W11)</f>
        <v>-52.3908041341064</v>
      </c>
      <c r="M11" s="51" t="n">
        <v>41.3</v>
      </c>
      <c r="N11" s="51" t="n">
        <v>0</v>
      </c>
      <c r="O11" s="51" t="n">
        <v>0</v>
      </c>
      <c r="P11" s="6" t="n">
        <f aca="false">M11-(N11+O11)</f>
        <v>41.3</v>
      </c>
      <c r="Q11" s="51" t="n">
        <v>0</v>
      </c>
      <c r="R11" s="51" t="n">
        <v>23.7</v>
      </c>
      <c r="S11" s="51" t="n">
        <f aca="false">SUM(P11:R11)</f>
        <v>65</v>
      </c>
      <c r="T11" s="52" t="n">
        <f aca="false">(I11-S11)+T10</f>
        <v>-19134.49</v>
      </c>
      <c r="U11" s="51" t="n">
        <v>18</v>
      </c>
      <c r="V11" s="51" t="n">
        <v>79.33</v>
      </c>
      <c r="W11" s="6" t="n">
        <f aca="false">N11+O11+S11+U11+V11</f>
        <v>162.33</v>
      </c>
      <c r="X11" s="51" t="n">
        <f aca="false">IF(L11&lt;0,L11*-1,0)</f>
        <v>52.3908041341064</v>
      </c>
      <c r="Y11" s="51" t="n">
        <f aca="false">W11+X11</f>
        <v>214.720804134106</v>
      </c>
      <c r="Z11" s="55" t="n">
        <v>0</v>
      </c>
      <c r="AA11" s="57" t="n">
        <v>64</v>
      </c>
      <c r="AB11" s="57" t="n">
        <v>39</v>
      </c>
      <c r="AC11" s="58" t="n">
        <f aca="false">AC10+1</f>
        <v>2</v>
      </c>
      <c r="AD11" s="150" t="n">
        <f aca="false">IF(I11&gt;S11,I11-S11,I11-S11)</f>
        <v>-23.71</v>
      </c>
      <c r="AE11" s="94"/>
      <c r="AF11" s="94"/>
    </row>
    <row r="12" customFormat="false" ht="11.1" hidden="false" customHeight="true" outlineLevel="0" collapsed="false">
      <c r="A12" s="58" t="n">
        <f aca="false">A11+1</f>
        <v>3</v>
      </c>
      <c r="B12" s="73" t="n">
        <v>6904.45</v>
      </c>
      <c r="C12" s="52" t="n">
        <v>300292</v>
      </c>
      <c r="D12" s="57" t="n">
        <f aca="false">C12-C11</f>
        <v>0</v>
      </c>
      <c r="E12" s="52" t="n">
        <f aca="false">C12-152000</f>
        <v>148292</v>
      </c>
      <c r="F12" s="51" t="n">
        <f aca="false">D12/$D$2</f>
        <v>0</v>
      </c>
      <c r="G12" s="51" t="n">
        <v>41.73</v>
      </c>
      <c r="H12" s="154" t="n">
        <v>0</v>
      </c>
      <c r="I12" s="51" t="n">
        <f aca="false">G12+H12</f>
        <v>41.73</v>
      </c>
      <c r="J12" s="81" t="n">
        <f aca="false">IF(L12&gt;0,L12,0)</f>
        <v>116.6</v>
      </c>
      <c r="K12" s="51" t="n">
        <f aca="false">I12+J12</f>
        <v>158.33</v>
      </c>
      <c r="L12" s="51" t="n">
        <f aca="false">F12-(I12-W12)</f>
        <v>116.6</v>
      </c>
      <c r="M12" s="51" t="n">
        <v>41.32</v>
      </c>
      <c r="N12" s="51" t="n">
        <v>0</v>
      </c>
      <c r="O12" s="51" t="n">
        <v>0</v>
      </c>
      <c r="P12" s="6" t="n">
        <f aca="false">M12-(N12+O12)</f>
        <v>41.32</v>
      </c>
      <c r="Q12" s="51" t="n">
        <v>0</v>
      </c>
      <c r="R12" s="51" t="n">
        <v>17.68</v>
      </c>
      <c r="S12" s="51" t="n">
        <f aca="false">SUM(P12:R12)</f>
        <v>59</v>
      </c>
      <c r="T12" s="52" t="n">
        <f aca="false">(I12-S12)+T11</f>
        <v>-19151.76</v>
      </c>
      <c r="U12" s="51" t="n">
        <v>20</v>
      </c>
      <c r="V12" s="51" t="n">
        <v>79.33</v>
      </c>
      <c r="W12" s="6" t="n">
        <f aca="false">N12+O12+S12+U12+V12</f>
        <v>158.33</v>
      </c>
      <c r="X12" s="51" t="n">
        <f aca="false">IF(L12&lt;0,L12*-1,0)</f>
        <v>0</v>
      </c>
      <c r="Y12" s="51" t="n">
        <f aca="false">W12+X12</f>
        <v>158.33</v>
      </c>
      <c r="Z12" s="55" t="n">
        <v>0.43</v>
      </c>
      <c r="AA12" s="57" t="n">
        <v>51</v>
      </c>
      <c r="AB12" s="57" t="n">
        <v>44</v>
      </c>
      <c r="AC12" s="58" t="n">
        <f aca="false">AC11+1</f>
        <v>3</v>
      </c>
      <c r="AD12" s="150" t="n">
        <f aca="false">IF(I12&gt;S12,I12-S12,I12-S12)</f>
        <v>-17.27</v>
      </c>
      <c r="AE12" s="94"/>
      <c r="AF12" s="94"/>
    </row>
    <row r="13" customFormat="false" ht="11.1" hidden="false" customHeight="true" outlineLevel="0" collapsed="false">
      <c r="A13" s="58" t="n">
        <f aca="false">A12+1</f>
        <v>4</v>
      </c>
      <c r="B13" s="73" t="n">
        <v>6904.43</v>
      </c>
      <c r="C13" s="52" t="n">
        <v>300216</v>
      </c>
      <c r="D13" s="57" t="n">
        <f aca="false">C13-C12</f>
        <v>-76</v>
      </c>
      <c r="E13" s="52" t="n">
        <f aca="false">C13-152000</f>
        <v>148216</v>
      </c>
      <c r="F13" s="51" t="n">
        <f aca="false">D13/$D$2</f>
        <v>-38.3161078900933</v>
      </c>
      <c r="G13" s="51" t="n">
        <v>61.57</v>
      </c>
      <c r="H13" s="154" t="n">
        <v>0</v>
      </c>
      <c r="I13" s="51" t="n">
        <f aca="false">G13+H13</f>
        <v>61.57</v>
      </c>
      <c r="J13" s="81" t="n">
        <f aca="false">IF(L13&gt;0,L13,0)</f>
        <v>53.9638921099067</v>
      </c>
      <c r="K13" s="51" t="n">
        <f aca="false">I13+J13</f>
        <v>115.533892109907</v>
      </c>
      <c r="L13" s="51" t="n">
        <f aca="false">F13-(I13-W13)</f>
        <v>53.9638921099067</v>
      </c>
      <c r="M13" s="51" t="n">
        <v>41.3</v>
      </c>
      <c r="N13" s="51" t="n">
        <v>0</v>
      </c>
      <c r="O13" s="51" t="n">
        <v>0</v>
      </c>
      <c r="P13" s="6" t="n">
        <f aca="false">M13-(N13+O13)</f>
        <v>41.3</v>
      </c>
      <c r="Q13" s="51" t="n">
        <v>0</v>
      </c>
      <c r="R13" s="51" t="n">
        <v>16.7</v>
      </c>
      <c r="S13" s="51" t="n">
        <f aca="false">SUM(P13:R13)</f>
        <v>58</v>
      </c>
      <c r="T13" s="52" t="n">
        <f aca="false">(I13-S13)+T12</f>
        <v>-19148.19</v>
      </c>
      <c r="U13" s="51" t="n">
        <v>16</v>
      </c>
      <c r="V13" s="51" t="n">
        <v>79.85</v>
      </c>
      <c r="W13" s="6" t="n">
        <f aca="false">N13+O13+S13+U13+V13</f>
        <v>153.85</v>
      </c>
      <c r="X13" s="51" t="n">
        <f aca="false">IF(L13&lt;0,L13*-1,0)</f>
        <v>0</v>
      </c>
      <c r="Y13" s="51" t="n">
        <f aca="false">W13+X13</f>
        <v>153.85</v>
      </c>
      <c r="Z13" s="55" t="n">
        <v>0.66</v>
      </c>
      <c r="AA13" s="57" t="n">
        <v>49</v>
      </c>
      <c r="AB13" s="57" t="n">
        <v>41</v>
      </c>
      <c r="AC13" s="58" t="n">
        <f aca="false">AC12+1</f>
        <v>4</v>
      </c>
      <c r="AD13" s="150" t="n">
        <f aca="false">IF(I13&gt;S13,I13-S13,I13-S13)</f>
        <v>3.57</v>
      </c>
      <c r="AE13" s="94"/>
      <c r="AF13" s="94"/>
    </row>
    <row r="14" customFormat="false" ht="11.1" hidden="false" customHeight="true" outlineLevel="0" collapsed="false">
      <c r="A14" s="58" t="n">
        <f aca="false">A13+1</f>
        <v>5</v>
      </c>
      <c r="B14" s="73" t="n">
        <v>6904.4</v>
      </c>
      <c r="C14" s="52" t="n">
        <v>300101</v>
      </c>
      <c r="D14" s="57" t="n">
        <f aca="false">C14-C13</f>
        <v>-115</v>
      </c>
      <c r="E14" s="52" t="n">
        <f aca="false">C14-152000</f>
        <v>148101</v>
      </c>
      <c r="F14" s="51" t="n">
        <f aca="false">D14/$D$2</f>
        <v>-57.9783211494832</v>
      </c>
      <c r="G14" s="51" t="n">
        <v>121.75</v>
      </c>
      <c r="H14" s="154" t="n">
        <v>0</v>
      </c>
      <c r="I14" s="51" t="n">
        <f aca="false">G14+H14</f>
        <v>121.75</v>
      </c>
      <c r="J14" s="81" t="n">
        <f aca="false">IF(L14&gt;0,L14,0)</f>
        <v>0</v>
      </c>
      <c r="K14" s="51" t="n">
        <f aca="false">I14+J14</f>
        <v>121.75</v>
      </c>
      <c r="L14" s="51" t="n">
        <f aca="false">F14-(I14-W14)</f>
        <v>-23.2083211494833</v>
      </c>
      <c r="M14" s="51" t="n">
        <v>41.3</v>
      </c>
      <c r="N14" s="51" t="n">
        <v>0</v>
      </c>
      <c r="O14" s="51" t="n">
        <v>0</v>
      </c>
      <c r="P14" s="6" t="n">
        <f aca="false">M14-(N14+O14)</f>
        <v>41.3</v>
      </c>
      <c r="Q14" s="51" t="n">
        <v>0</v>
      </c>
      <c r="R14" s="51" t="n">
        <v>15.7</v>
      </c>
      <c r="S14" s="51" t="n">
        <f aca="false">SUM(P14:R14)</f>
        <v>57</v>
      </c>
      <c r="T14" s="52" t="n">
        <f aca="false">(I14-S14)+T13</f>
        <v>-19083.44</v>
      </c>
      <c r="U14" s="51" t="n">
        <v>20</v>
      </c>
      <c r="V14" s="51" t="n">
        <v>79.52</v>
      </c>
      <c r="W14" s="6" t="n">
        <f aca="false">N14+O14+S14+U14+V14</f>
        <v>156.52</v>
      </c>
      <c r="X14" s="51" t="n">
        <f aca="false">IF(L14&lt;0,L14*-1,0)</f>
        <v>23.2083211494833</v>
      </c>
      <c r="Y14" s="51" t="n">
        <f aca="false">W14+X14</f>
        <v>179.728321149483</v>
      </c>
      <c r="Z14" s="55" t="n">
        <v>0</v>
      </c>
      <c r="AA14" s="57" t="n">
        <v>55</v>
      </c>
      <c r="AB14" s="57" t="n">
        <v>34</v>
      </c>
      <c r="AC14" s="58" t="n">
        <f aca="false">AC13+1</f>
        <v>5</v>
      </c>
      <c r="AD14" s="150" t="n">
        <f aca="false">IF(I14&gt;S14,I14-S14,I14-S14)</f>
        <v>64.75</v>
      </c>
      <c r="AE14" s="94"/>
      <c r="AF14" s="94"/>
    </row>
    <row r="15" customFormat="false" ht="11.1" hidden="false" customHeight="true" outlineLevel="0" collapsed="false">
      <c r="A15" s="58" t="n">
        <f aca="false">A14+1</f>
        <v>6</v>
      </c>
      <c r="B15" s="73" t="n">
        <v>6904.36</v>
      </c>
      <c r="C15" s="52" t="n">
        <v>299948</v>
      </c>
      <c r="D15" s="57" t="n">
        <f aca="false">C15-C14</f>
        <v>-153</v>
      </c>
      <c r="E15" s="52" t="n">
        <f aca="false">C15-152000</f>
        <v>147948</v>
      </c>
      <c r="F15" s="51" t="n">
        <f aca="false">D15/$D$2</f>
        <v>-77.1363750945299</v>
      </c>
      <c r="G15" s="51" t="n">
        <v>88.65</v>
      </c>
      <c r="H15" s="154" t="n">
        <v>0</v>
      </c>
      <c r="I15" s="51" t="n">
        <f aca="false">G15+H15</f>
        <v>88.65</v>
      </c>
      <c r="J15" s="81" t="n">
        <f aca="false">IF(L15&gt;0,L15,0)</f>
        <v>0</v>
      </c>
      <c r="K15" s="51" t="n">
        <f aca="false">I15+J15</f>
        <v>88.65</v>
      </c>
      <c r="L15" s="51" t="n">
        <f aca="false">F15-(I15-W15)</f>
        <v>-18.2363750945299</v>
      </c>
      <c r="M15" s="51" t="n">
        <v>40.23</v>
      </c>
      <c r="N15" s="51" t="n">
        <v>0</v>
      </c>
      <c r="O15" s="51" t="n">
        <v>0</v>
      </c>
      <c r="P15" s="6" t="n">
        <f aca="false">M15-(N15+O15)</f>
        <v>40.23</v>
      </c>
      <c r="Q15" s="51" t="n">
        <v>0</v>
      </c>
      <c r="R15" s="51" t="n">
        <v>14.77</v>
      </c>
      <c r="S15" s="51" t="n">
        <f aca="false">SUM(P15:R15)</f>
        <v>55</v>
      </c>
      <c r="T15" s="52" t="n">
        <f aca="false">(I15-S15)+T14</f>
        <v>-19049.79</v>
      </c>
      <c r="U15" s="51" t="n">
        <v>13</v>
      </c>
      <c r="V15" s="51" t="n">
        <v>79.55</v>
      </c>
      <c r="W15" s="6" t="n">
        <f aca="false">N15+O15+S15+U15+V15</f>
        <v>147.55</v>
      </c>
      <c r="X15" s="51" t="n">
        <f aca="false">IF(L15&lt;0,L15*-1,0)</f>
        <v>18.2363750945299</v>
      </c>
      <c r="Y15" s="51" t="n">
        <f aca="false">W15+X15</f>
        <v>165.78637509453</v>
      </c>
      <c r="Z15" s="55" t="n">
        <v>0</v>
      </c>
      <c r="AA15" s="57" t="n">
        <v>62</v>
      </c>
      <c r="AB15" s="57" t="n">
        <v>31</v>
      </c>
      <c r="AC15" s="58" t="n">
        <f aca="false">AC14+1</f>
        <v>6</v>
      </c>
      <c r="AD15" s="150" t="n">
        <f aca="false">IF(I15&gt;S15,I15-S15,I15-S15)</f>
        <v>33.65</v>
      </c>
      <c r="AE15" s="94"/>
      <c r="AF15" s="94"/>
    </row>
    <row r="16" customFormat="false" ht="11.1" hidden="false" customHeight="true" outlineLevel="0" collapsed="false">
      <c r="A16" s="58" t="n">
        <f aca="false">A15+1</f>
        <v>7</v>
      </c>
      <c r="B16" s="73" t="n">
        <v>6904.31</v>
      </c>
      <c r="C16" s="52" t="n">
        <v>299757</v>
      </c>
      <c r="D16" s="57" t="n">
        <f aca="false">C16-C15</f>
        <v>-191</v>
      </c>
      <c r="E16" s="52" t="n">
        <f aca="false">C16-152000</f>
        <v>147757</v>
      </c>
      <c r="F16" s="51" t="n">
        <f aca="false">D16/$D$2</f>
        <v>-96.2944290395765</v>
      </c>
      <c r="G16" s="51" t="n">
        <v>75.59</v>
      </c>
      <c r="H16" s="154" t="n">
        <v>0</v>
      </c>
      <c r="I16" s="51" t="n">
        <f aca="false">G16+H16</f>
        <v>75.59</v>
      </c>
      <c r="J16" s="81" t="n">
        <f aca="false">IF(L16&gt;0,L16,0)</f>
        <v>0</v>
      </c>
      <c r="K16" s="51" t="n">
        <f aca="false">I16+J16</f>
        <v>75.59</v>
      </c>
      <c r="L16" s="51" t="n">
        <f aca="false">F16-(I16-W16)</f>
        <v>-24.3544290395765</v>
      </c>
      <c r="M16" s="51" t="n">
        <v>38.78</v>
      </c>
      <c r="N16" s="51" t="n">
        <v>0</v>
      </c>
      <c r="O16" s="51" t="n">
        <v>0</v>
      </c>
      <c r="P16" s="6" t="n">
        <f aca="false">M16-(N16+O16)</f>
        <v>38.78</v>
      </c>
      <c r="Q16" s="51" t="n">
        <v>0</v>
      </c>
      <c r="R16" s="51" t="n">
        <v>14.22</v>
      </c>
      <c r="S16" s="51" t="n">
        <f aca="false">SUM(P16:R16)</f>
        <v>53</v>
      </c>
      <c r="T16" s="52" t="n">
        <f aca="false">(I16-S16)+T15</f>
        <v>-19027.2</v>
      </c>
      <c r="U16" s="51" t="n">
        <v>15</v>
      </c>
      <c r="V16" s="51" t="n">
        <v>79.53</v>
      </c>
      <c r="W16" s="6" t="n">
        <f aca="false">N16+O16+S16+U16+V16</f>
        <v>147.53</v>
      </c>
      <c r="X16" s="51" t="n">
        <f aca="false">IF(L16&lt;0,L16*-1,0)</f>
        <v>24.3544290395765</v>
      </c>
      <c r="Y16" s="51" t="n">
        <f aca="false">W16+X16</f>
        <v>171.884429039577</v>
      </c>
      <c r="Z16" s="55" t="n">
        <v>0</v>
      </c>
      <c r="AA16" s="57" t="n">
        <v>66</v>
      </c>
      <c r="AB16" s="57" t="n">
        <v>32</v>
      </c>
      <c r="AC16" s="58" t="n">
        <f aca="false">AC15+1</f>
        <v>7</v>
      </c>
      <c r="AD16" s="150" t="n">
        <f aca="false">IF(I16&gt;S16,I16-S16,I16-S16)</f>
        <v>22.59</v>
      </c>
      <c r="AE16" s="94"/>
      <c r="AF16" s="94"/>
    </row>
    <row r="17" customFormat="false" ht="11.1" hidden="false" customHeight="true" outlineLevel="0" collapsed="false">
      <c r="A17" s="58" t="n">
        <f aca="false">A16+1</f>
        <v>8</v>
      </c>
      <c r="B17" s="73" t="n">
        <v>6904.26</v>
      </c>
      <c r="C17" s="52" t="n">
        <v>299565</v>
      </c>
      <c r="D17" s="57" t="n">
        <f aca="false">C17-C16</f>
        <v>-192</v>
      </c>
      <c r="E17" s="52" t="n">
        <f aca="false">C17-152000</f>
        <v>147565</v>
      </c>
      <c r="F17" s="51" t="n">
        <f aca="false">D17/$D$2</f>
        <v>-96.7985883539198</v>
      </c>
      <c r="G17" s="51" t="n">
        <v>72.11</v>
      </c>
      <c r="H17" s="154" t="n">
        <v>0</v>
      </c>
      <c r="I17" s="51" t="n">
        <f aca="false">G17+H17</f>
        <v>72.11</v>
      </c>
      <c r="J17" s="81" t="n">
        <f aca="false">IF(L17&gt;0,L17,0)</f>
        <v>0</v>
      </c>
      <c r="K17" s="51" t="n">
        <f aca="false">I17+J17</f>
        <v>72.11</v>
      </c>
      <c r="L17" s="51" t="n">
        <f aca="false">F17-(I17-W17)</f>
        <v>-16.3485883539198</v>
      </c>
      <c r="M17" s="51" t="n">
        <v>37.72</v>
      </c>
      <c r="N17" s="51" t="n">
        <v>0</v>
      </c>
      <c r="O17" s="51" t="n">
        <v>0</v>
      </c>
      <c r="P17" s="6" t="n">
        <f aca="false">M17-(N17+O17)</f>
        <v>37.72</v>
      </c>
      <c r="Q17" s="51" t="n">
        <v>0</v>
      </c>
      <c r="R17" s="51" t="n">
        <v>15.28</v>
      </c>
      <c r="S17" s="51" t="n">
        <f aca="false">SUM(P17:R17)</f>
        <v>53</v>
      </c>
      <c r="T17" s="52" t="n">
        <f aca="false">(I17-S17)+T16</f>
        <v>-19008.09</v>
      </c>
      <c r="U17" s="51" t="n">
        <v>20</v>
      </c>
      <c r="V17" s="51" t="n">
        <v>79.56</v>
      </c>
      <c r="W17" s="6" t="n">
        <f aca="false">N17+O17+S17+U17+V17</f>
        <v>152.56</v>
      </c>
      <c r="X17" s="51" t="n">
        <f aca="false">IF(L17&lt;0,L17*-1,0)</f>
        <v>16.3485883539198</v>
      </c>
      <c r="Y17" s="51" t="n">
        <f aca="false">W17+X17</f>
        <v>168.90858835392</v>
      </c>
      <c r="Z17" s="55" t="n">
        <v>0</v>
      </c>
      <c r="AA17" s="57" t="n">
        <v>66</v>
      </c>
      <c r="AB17" s="57" t="n">
        <v>32</v>
      </c>
      <c r="AC17" s="58" t="n">
        <f aca="false">AC16+1</f>
        <v>8</v>
      </c>
      <c r="AD17" s="150" t="n">
        <f aca="false">IF(I17&gt;S17,I17-S17,I17-S17)</f>
        <v>19.11</v>
      </c>
      <c r="AE17" s="94"/>
      <c r="AF17" s="94"/>
    </row>
    <row r="18" customFormat="false" ht="11.1" hidden="false" customHeight="true" outlineLevel="0" collapsed="false">
      <c r="A18" s="58" t="n">
        <f aca="false">A17+1</f>
        <v>9</v>
      </c>
      <c r="B18" s="73" t="n">
        <v>6904.2</v>
      </c>
      <c r="C18" s="52" t="n">
        <v>299336</v>
      </c>
      <c r="D18" s="57" t="n">
        <f aca="false">C18-C17</f>
        <v>-229</v>
      </c>
      <c r="E18" s="52" t="n">
        <f aca="false">C18-152000</f>
        <v>147336</v>
      </c>
      <c r="F18" s="51" t="n">
        <f aca="false">D18/$D$2</f>
        <v>-115.452482984623</v>
      </c>
      <c r="G18" s="51" t="n">
        <v>67.85</v>
      </c>
      <c r="H18" s="154" t="n">
        <v>0</v>
      </c>
      <c r="I18" s="51" t="n">
        <f aca="false">G18+H18</f>
        <v>67.85</v>
      </c>
      <c r="J18" s="81" t="n">
        <f aca="false">IF(L18&gt;0,L18,0)</f>
        <v>0</v>
      </c>
      <c r="K18" s="51" t="n">
        <f aca="false">I18+J18</f>
        <v>67.85</v>
      </c>
      <c r="L18" s="51" t="n">
        <f aca="false">F18-(I18-W18)</f>
        <v>-39.7624829846231</v>
      </c>
      <c r="M18" s="51" t="n">
        <v>37.75</v>
      </c>
      <c r="N18" s="51" t="n">
        <v>0</v>
      </c>
      <c r="O18" s="51" t="n">
        <v>0</v>
      </c>
      <c r="P18" s="6" t="n">
        <f aca="false">M18-(N18+O18)</f>
        <v>37.75</v>
      </c>
      <c r="Q18" s="51" t="n">
        <v>0</v>
      </c>
      <c r="R18" s="51" t="n">
        <v>15.25</v>
      </c>
      <c r="S18" s="51" t="n">
        <f aca="false">SUM(P18:R18)</f>
        <v>53</v>
      </c>
      <c r="T18" s="52" t="n">
        <f aca="false">(I18-S18)+T17</f>
        <v>-18993.24</v>
      </c>
      <c r="U18" s="51" t="n">
        <v>11</v>
      </c>
      <c r="V18" s="51" t="n">
        <v>79.54</v>
      </c>
      <c r="W18" s="6" t="n">
        <f aca="false">N18+O18+S18+U18+V18</f>
        <v>143.54</v>
      </c>
      <c r="X18" s="51" t="n">
        <f aca="false">IF(L18&lt;0,L18*-1,0)</f>
        <v>39.7624829846231</v>
      </c>
      <c r="Y18" s="51" t="n">
        <f aca="false">W18+X18</f>
        <v>183.302482984623</v>
      </c>
      <c r="Z18" s="55" t="n">
        <v>0</v>
      </c>
      <c r="AA18" s="82" t="n">
        <v>64</v>
      </c>
      <c r="AB18" s="57" t="n">
        <v>33</v>
      </c>
      <c r="AC18" s="58" t="n">
        <f aca="false">AC17+1</f>
        <v>9</v>
      </c>
      <c r="AD18" s="150" t="n">
        <f aca="false">IF(I18&gt;S18,I18-S18,I18-S18)</f>
        <v>14.85</v>
      </c>
      <c r="AE18" s="94"/>
      <c r="AF18" s="94"/>
    </row>
    <row r="19" customFormat="false" ht="11.1" hidden="false" customHeight="true" outlineLevel="0" collapsed="false">
      <c r="A19" s="58" t="n">
        <f aca="false">A18+1</f>
        <v>10</v>
      </c>
      <c r="B19" s="73" t="n">
        <v>6904.16</v>
      </c>
      <c r="C19" s="52" t="n">
        <v>299183</v>
      </c>
      <c r="D19" s="57" t="n">
        <f aca="false">C19-C18</f>
        <v>-153</v>
      </c>
      <c r="E19" s="52" t="n">
        <f aca="false">C19-152000</f>
        <v>147183</v>
      </c>
      <c r="F19" s="51" t="n">
        <f aca="false">D19/$D$2</f>
        <v>-77.1363750945299</v>
      </c>
      <c r="G19" s="51" t="n">
        <v>65.72</v>
      </c>
      <c r="H19" s="154" t="n">
        <v>0</v>
      </c>
      <c r="I19" s="51" t="n">
        <f aca="false">G19+H19</f>
        <v>65.72</v>
      </c>
      <c r="J19" s="81" t="n">
        <f aca="false">IF(L19&gt;0,L19,0)</f>
        <v>0</v>
      </c>
      <c r="K19" s="51" t="n">
        <f aca="false">I19+J19</f>
        <v>65.72</v>
      </c>
      <c r="L19" s="51" t="n">
        <f aca="false">F19-(I19-W19)</f>
        <v>-2.22637509452987</v>
      </c>
      <c r="M19" s="51" t="n">
        <v>38.74</v>
      </c>
      <c r="N19" s="51" t="n">
        <v>0</v>
      </c>
      <c r="O19" s="51" t="n">
        <v>0</v>
      </c>
      <c r="P19" s="6" t="n">
        <f aca="false">M19-(N19+O19)</f>
        <v>38.74</v>
      </c>
      <c r="Q19" s="51" t="n">
        <v>0</v>
      </c>
      <c r="R19" s="51" t="n">
        <v>14.26</v>
      </c>
      <c r="S19" s="51" t="n">
        <f aca="false">SUM(P19:R19)</f>
        <v>53</v>
      </c>
      <c r="T19" s="52" t="n">
        <f aca="false">(I19-S19)+T18</f>
        <v>-18980.52</v>
      </c>
      <c r="U19" s="51" t="n">
        <v>8</v>
      </c>
      <c r="V19" s="51" t="n">
        <v>79.63</v>
      </c>
      <c r="W19" s="6" t="n">
        <f aca="false">N19+O19+S19+U19+V19</f>
        <v>140.63</v>
      </c>
      <c r="X19" s="51" t="n">
        <f aca="false">IF(L19&lt;0,L19*-1,0)</f>
        <v>2.22637509452987</v>
      </c>
      <c r="Y19" s="51" t="n">
        <f aca="false">W19+X19</f>
        <v>142.85637509453</v>
      </c>
      <c r="Z19" s="55" t="n">
        <v>0</v>
      </c>
      <c r="AA19" s="57" t="n">
        <v>68</v>
      </c>
      <c r="AB19" s="57" t="n">
        <v>35</v>
      </c>
      <c r="AC19" s="58" t="n">
        <f aca="false">AC18+1</f>
        <v>10</v>
      </c>
      <c r="AD19" s="150" t="n">
        <f aca="false">IF(I19&gt;S19,I19-S19,I19-S19)</f>
        <v>12.72</v>
      </c>
      <c r="AE19" s="94"/>
      <c r="AF19" s="94"/>
    </row>
    <row r="20" customFormat="false" ht="11.1" hidden="false" customHeight="true" outlineLevel="0" collapsed="false">
      <c r="A20" s="58" t="n">
        <f aca="false">A19+1</f>
        <v>11</v>
      </c>
      <c r="B20" s="73" t="n">
        <v>6904.12</v>
      </c>
      <c r="C20" s="52" t="n">
        <v>299030</v>
      </c>
      <c r="D20" s="57" t="n">
        <f aca="false">C20-C19</f>
        <v>-153</v>
      </c>
      <c r="E20" s="52" t="n">
        <f aca="false">C20-152000</f>
        <v>147030</v>
      </c>
      <c r="F20" s="51" t="n">
        <f aca="false">D20/$D$2</f>
        <v>-77.1363750945299</v>
      </c>
      <c r="G20" s="51" t="n">
        <v>64.25</v>
      </c>
      <c r="H20" s="154" t="n">
        <v>0</v>
      </c>
      <c r="I20" s="51" t="n">
        <f aca="false">G20+H20</f>
        <v>64.25</v>
      </c>
      <c r="J20" s="81" t="n">
        <f aca="false">IF(L20&gt;0,L20,0)</f>
        <v>0</v>
      </c>
      <c r="K20" s="51" t="n">
        <f aca="false">I20+J20</f>
        <v>64.25</v>
      </c>
      <c r="L20" s="51" t="n">
        <f aca="false">F20-(I20-W20)</f>
        <v>-23.6663750945299</v>
      </c>
      <c r="M20" s="51" t="n">
        <v>18.49</v>
      </c>
      <c r="N20" s="51" t="n">
        <v>0</v>
      </c>
      <c r="O20" s="51" t="n">
        <v>0</v>
      </c>
      <c r="P20" s="6" t="n">
        <f aca="false">M20-(N20+O20)</f>
        <v>18.49</v>
      </c>
      <c r="Q20" s="51" t="n">
        <v>0</v>
      </c>
      <c r="R20" s="51" t="n">
        <v>3.51</v>
      </c>
      <c r="S20" s="51" t="n">
        <f aca="false">SUM(P20:R20)</f>
        <v>22</v>
      </c>
      <c r="T20" s="52" t="n">
        <f aca="false">(I20-S20)+T19</f>
        <v>-18938.27</v>
      </c>
      <c r="U20" s="51" t="n">
        <v>16</v>
      </c>
      <c r="V20" s="51" t="n">
        <v>79.72</v>
      </c>
      <c r="W20" s="6" t="n">
        <f aca="false">N20+O20+S20+U20+V20</f>
        <v>117.72</v>
      </c>
      <c r="X20" s="51" t="n">
        <f aca="false">IF(L20&lt;0,L20*-1,0)</f>
        <v>23.6663750945299</v>
      </c>
      <c r="Y20" s="51" t="n">
        <f aca="false">W20+X20</f>
        <v>141.38637509453</v>
      </c>
      <c r="Z20" s="55" t="n">
        <v>0</v>
      </c>
      <c r="AA20" s="57" t="n">
        <v>65</v>
      </c>
      <c r="AB20" s="57" t="n">
        <v>35</v>
      </c>
      <c r="AC20" s="58" t="n">
        <f aca="false">AC19+1</f>
        <v>11</v>
      </c>
      <c r="AD20" s="150" t="n">
        <f aca="false">IF(I20&gt;S20,I20-S20,I20-S20)</f>
        <v>42.25</v>
      </c>
      <c r="AE20" s="94"/>
      <c r="AF20" s="94"/>
      <c r="AG20" s="158"/>
      <c r="AH20" s="158"/>
      <c r="AI20" s="158"/>
    </row>
    <row r="21" customFormat="false" ht="11.1" hidden="false" customHeight="true" outlineLevel="0" collapsed="false">
      <c r="A21" s="58" t="n">
        <f aca="false">A20+1</f>
        <v>12</v>
      </c>
      <c r="B21" s="73" t="n">
        <v>6904.08</v>
      </c>
      <c r="C21" s="52" t="n">
        <v>298877</v>
      </c>
      <c r="D21" s="57" t="n">
        <f aca="false">C21-C20</f>
        <v>-153</v>
      </c>
      <c r="E21" s="52" t="n">
        <f aca="false">C21-152000</f>
        <v>146877</v>
      </c>
      <c r="F21" s="51" t="n">
        <f aca="false">D21/$D$2</f>
        <v>-77.1363750945299</v>
      </c>
      <c r="G21" s="51" t="n">
        <v>63.05</v>
      </c>
      <c r="H21" s="154" t="n">
        <v>0</v>
      </c>
      <c r="I21" s="51" t="n">
        <f aca="false">G21+H21</f>
        <v>63.05</v>
      </c>
      <c r="J21" s="81" t="n">
        <f aca="false">IF(L21&gt;0,L21,0)</f>
        <v>0</v>
      </c>
      <c r="K21" s="51" t="n">
        <f aca="false">I21+J21</f>
        <v>63.05</v>
      </c>
      <c r="L21" s="51" t="n">
        <f aca="false">F21-(I21-W21)</f>
        <v>-38.4963750945299</v>
      </c>
      <c r="M21" s="51" t="n">
        <v>7</v>
      </c>
      <c r="N21" s="51" t="n">
        <v>0</v>
      </c>
      <c r="O21" s="51" t="n">
        <v>0</v>
      </c>
      <c r="P21" s="6" t="n">
        <f aca="false">M21-(N21+O21)</f>
        <v>7</v>
      </c>
      <c r="Q21" s="51" t="n">
        <v>0</v>
      </c>
      <c r="R21" s="51" t="n">
        <v>0</v>
      </c>
      <c r="S21" s="51" t="n">
        <f aca="false">SUM(P21:R21)</f>
        <v>7</v>
      </c>
      <c r="T21" s="52" t="n">
        <f aca="false">(I21-S21)+T20</f>
        <v>-18882.22</v>
      </c>
      <c r="U21" s="51" t="n">
        <v>15</v>
      </c>
      <c r="V21" s="51" t="n">
        <v>79.69</v>
      </c>
      <c r="W21" s="6" t="n">
        <f aca="false">N21+O21+S21+U21+V21</f>
        <v>101.69</v>
      </c>
      <c r="X21" s="51" t="n">
        <f aca="false">IF(L21&lt;0,L21*-1,0)</f>
        <v>38.4963750945299</v>
      </c>
      <c r="Y21" s="51" t="n">
        <f aca="false">W21+X21</f>
        <v>140.18637509453</v>
      </c>
      <c r="Z21" s="55" t="n">
        <v>0</v>
      </c>
      <c r="AA21" s="57" t="n">
        <v>72</v>
      </c>
      <c r="AB21" s="57" t="n">
        <v>35</v>
      </c>
      <c r="AC21" s="58" t="n">
        <f aca="false">AC20+1</f>
        <v>12</v>
      </c>
      <c r="AD21" s="150" t="n">
        <f aca="false">IF(I21&gt;S21,I21-S21,I21-S21)</f>
        <v>56.05</v>
      </c>
      <c r="AE21" s="92"/>
      <c r="AF21" s="94"/>
    </row>
    <row r="22" customFormat="false" ht="11.1" hidden="false" customHeight="true" outlineLevel="0" collapsed="false">
      <c r="A22" s="58" t="n">
        <f aca="false">A21+1</f>
        <v>13</v>
      </c>
      <c r="B22" s="73" t="n">
        <v>6904.06</v>
      </c>
      <c r="C22" s="52" t="n">
        <v>298762</v>
      </c>
      <c r="D22" s="57" t="n">
        <f aca="false">C22-C21</f>
        <v>-115</v>
      </c>
      <c r="E22" s="52" t="n">
        <f aca="false">C22-152000</f>
        <v>146762</v>
      </c>
      <c r="F22" s="51" t="n">
        <f aca="false">D22/$D$2</f>
        <v>-57.9783211494832</v>
      </c>
      <c r="G22" s="51" t="n">
        <v>61.22</v>
      </c>
      <c r="H22" s="154" t="n">
        <v>0</v>
      </c>
      <c r="I22" s="51" t="n">
        <f aca="false">G22+H22</f>
        <v>61.22</v>
      </c>
      <c r="J22" s="81" t="n">
        <f aca="false">IF(L22&gt;0,L22,0)</f>
        <v>0</v>
      </c>
      <c r="K22" s="51" t="n">
        <f aca="false">I22+J22</f>
        <v>61.22</v>
      </c>
      <c r="L22" s="51" t="n">
        <f aca="false">F22-(I22-W22)</f>
        <v>-22.3783211494832</v>
      </c>
      <c r="M22" s="51" t="n">
        <v>7</v>
      </c>
      <c r="N22" s="51" t="n">
        <v>0</v>
      </c>
      <c r="O22" s="51" t="n">
        <v>0</v>
      </c>
      <c r="P22" s="6" t="n">
        <f aca="false">M22-(N22+O22)</f>
        <v>7</v>
      </c>
      <c r="Q22" s="51" t="n">
        <v>0</v>
      </c>
      <c r="R22" s="51" t="n">
        <v>0</v>
      </c>
      <c r="S22" s="51" t="n">
        <f aca="false">SUM(P22:R22)</f>
        <v>7</v>
      </c>
      <c r="T22" s="52" t="n">
        <f aca="false">(I22-S22)+T21</f>
        <v>-18828</v>
      </c>
      <c r="U22" s="51" t="n">
        <v>10</v>
      </c>
      <c r="V22" s="51" t="n">
        <v>79.82</v>
      </c>
      <c r="W22" s="6" t="n">
        <f aca="false">N22+O22+S22+U22+V22</f>
        <v>96.82</v>
      </c>
      <c r="X22" s="51" t="n">
        <f aca="false">IF(L22&lt;0,L22*-1,0)</f>
        <v>22.3783211494832</v>
      </c>
      <c r="Y22" s="51" t="n">
        <f aca="false">W22+X22</f>
        <v>119.198321149483</v>
      </c>
      <c r="Z22" s="55" t="n">
        <v>0</v>
      </c>
      <c r="AA22" s="57" t="n">
        <v>72</v>
      </c>
      <c r="AB22" s="57" t="n">
        <v>36</v>
      </c>
      <c r="AC22" s="58" t="n">
        <f aca="false">AC21+1</f>
        <v>13</v>
      </c>
      <c r="AD22" s="150" t="n">
        <f aca="false">IF(I22&gt;S22,I22-S22,I22-S22)</f>
        <v>54.22</v>
      </c>
      <c r="AE22" s="92"/>
      <c r="AF22" s="94"/>
    </row>
    <row r="23" customFormat="false" ht="11.1" hidden="false" customHeight="true" outlineLevel="0" collapsed="false">
      <c r="A23" s="58" t="n">
        <f aca="false">A22+1</f>
        <v>14</v>
      </c>
      <c r="B23" s="73" t="n">
        <v>6904.03</v>
      </c>
      <c r="C23" s="52" t="n">
        <v>298686</v>
      </c>
      <c r="D23" s="57" t="n">
        <f aca="false">C23-C22</f>
        <v>-76</v>
      </c>
      <c r="E23" s="52" t="n">
        <f aca="false">C23-152000</f>
        <v>146686</v>
      </c>
      <c r="F23" s="51" t="n">
        <f aca="false">D23/$D$2</f>
        <v>-38.3161078900933</v>
      </c>
      <c r="G23" s="51" t="n">
        <v>59.1</v>
      </c>
      <c r="H23" s="154" t="n">
        <v>0</v>
      </c>
      <c r="I23" s="51" t="n">
        <f aca="false">G23+H23</f>
        <v>59.1</v>
      </c>
      <c r="J23" s="81" t="n">
        <f aca="false">IF(L23&gt;0,L23,0)</f>
        <v>1.80389210990673</v>
      </c>
      <c r="K23" s="51" t="n">
        <f aca="false">I23+J23</f>
        <v>60.9038921099067</v>
      </c>
      <c r="L23" s="51" t="n">
        <f aca="false">F23-(I23-W23)</f>
        <v>1.80389210990673</v>
      </c>
      <c r="M23" s="51" t="n">
        <v>7</v>
      </c>
      <c r="N23" s="51" t="n">
        <v>0</v>
      </c>
      <c r="O23" s="51" t="n">
        <v>0</v>
      </c>
      <c r="P23" s="6" t="n">
        <f aca="false">M23-(N23+O23)</f>
        <v>7</v>
      </c>
      <c r="Q23" s="51" t="n">
        <v>0</v>
      </c>
      <c r="R23" s="104" t="n">
        <v>0</v>
      </c>
      <c r="S23" s="51" t="n">
        <f aca="false">SUM(P23:R23)</f>
        <v>7</v>
      </c>
      <c r="T23" s="52" t="n">
        <f aca="false">(I23-S23)+T22</f>
        <v>-18775.9</v>
      </c>
      <c r="U23" s="51" t="n">
        <v>12</v>
      </c>
      <c r="V23" s="51" t="n">
        <v>80.22</v>
      </c>
      <c r="W23" s="6" t="n">
        <f aca="false">N23+O23+S23+U23+V23</f>
        <v>99.22</v>
      </c>
      <c r="X23" s="51" t="n">
        <f aca="false">IF(L23&lt;0,L23*-1,0)</f>
        <v>0</v>
      </c>
      <c r="Y23" s="51" t="n">
        <f aca="false">W23+X23</f>
        <v>99.22</v>
      </c>
      <c r="Z23" s="55" t="n">
        <v>0</v>
      </c>
      <c r="AA23" s="82" t="n">
        <v>66</v>
      </c>
      <c r="AB23" s="57" t="n">
        <v>42</v>
      </c>
      <c r="AC23" s="58" t="n">
        <f aca="false">AC22+1</f>
        <v>14</v>
      </c>
      <c r="AD23" s="150" t="n">
        <f aca="false">IF(I23&gt;S23,I23-S23,I23-S23)</f>
        <v>52.1</v>
      </c>
      <c r="AE23" s="92"/>
      <c r="AF23" s="94"/>
    </row>
    <row r="24" customFormat="false" ht="11.1" hidden="false" customHeight="true" outlineLevel="0" collapsed="false">
      <c r="A24" s="58" t="n">
        <f aca="false">A23+1</f>
        <v>15</v>
      </c>
      <c r="B24" s="73" t="n">
        <v>6904.01</v>
      </c>
      <c r="C24" s="52" t="n">
        <v>298609</v>
      </c>
      <c r="D24" s="57" t="n">
        <f aca="false">C24-C23</f>
        <v>-77</v>
      </c>
      <c r="E24" s="52" t="n">
        <f aca="false">C24-152000</f>
        <v>146609</v>
      </c>
      <c r="F24" s="51" t="n">
        <f aca="false">D24/$D$2</f>
        <v>-38.8202672044366</v>
      </c>
      <c r="G24" s="51" t="n">
        <v>58.09</v>
      </c>
      <c r="H24" s="154" t="n">
        <v>0</v>
      </c>
      <c r="I24" s="51" t="n">
        <f aca="false">G24+H24</f>
        <v>58.09</v>
      </c>
      <c r="J24" s="81" t="n">
        <f aca="false">IF(L24&gt;0,L24,0)</f>
        <v>3.57973279556339</v>
      </c>
      <c r="K24" s="51" t="n">
        <f aca="false">I24+J24</f>
        <v>61.6697327955634</v>
      </c>
      <c r="L24" s="51" t="n">
        <f aca="false">F24-(I24-W24)</f>
        <v>3.57973279556339</v>
      </c>
      <c r="M24" s="51" t="n">
        <v>7</v>
      </c>
      <c r="N24" s="51" t="n">
        <v>0</v>
      </c>
      <c r="O24" s="51" t="n">
        <v>0</v>
      </c>
      <c r="P24" s="6" t="n">
        <f aca="false">M24-(N24+O24)</f>
        <v>7</v>
      </c>
      <c r="Q24" s="51" t="n">
        <v>0</v>
      </c>
      <c r="R24" s="104" t="n">
        <v>0</v>
      </c>
      <c r="S24" s="51" t="n">
        <f aca="false">SUM(P24:R24)</f>
        <v>7</v>
      </c>
      <c r="T24" s="52" t="n">
        <f aca="false">(I24-S24)+T23</f>
        <v>-18724.81</v>
      </c>
      <c r="U24" s="51" t="n">
        <v>13</v>
      </c>
      <c r="V24" s="51" t="n">
        <v>80.49</v>
      </c>
      <c r="W24" s="6" t="n">
        <f aca="false">N24+O24+S24+U24+V24</f>
        <v>100.49</v>
      </c>
      <c r="X24" s="51" t="n">
        <f aca="false">IF(L24&lt;0,L24*-1,0)</f>
        <v>0</v>
      </c>
      <c r="Y24" s="51" t="n">
        <f aca="false">W24+X24</f>
        <v>100.49</v>
      </c>
      <c r="Z24" s="55" t="n">
        <v>0.17</v>
      </c>
      <c r="AA24" s="82" t="n">
        <v>50</v>
      </c>
      <c r="AB24" s="57" t="n">
        <v>41</v>
      </c>
      <c r="AC24" s="58" t="n">
        <f aca="false">AC23+1</f>
        <v>15</v>
      </c>
      <c r="AD24" s="150" t="n">
        <f aca="false">IF(I24&gt;S24,I24-S24,I24-S24)</f>
        <v>51.09</v>
      </c>
      <c r="AE24" s="92"/>
      <c r="AF24" s="94"/>
    </row>
    <row r="25" customFormat="false" ht="11.1" hidden="false" customHeight="true" outlineLevel="0" collapsed="false">
      <c r="A25" s="58" t="n">
        <f aca="false">A24+1</f>
        <v>16</v>
      </c>
      <c r="B25" s="73" t="n">
        <v>6904</v>
      </c>
      <c r="C25" s="52" t="n">
        <v>298571</v>
      </c>
      <c r="D25" s="57" t="n">
        <f aca="false">C25-C24</f>
        <v>-38</v>
      </c>
      <c r="E25" s="52" t="n">
        <f aca="false">C25-152000</f>
        <v>146571</v>
      </c>
      <c r="F25" s="51" t="n">
        <f aca="false">D25/$D$2</f>
        <v>-19.1580539450466</v>
      </c>
      <c r="G25" s="51" t="n">
        <v>63.06</v>
      </c>
      <c r="H25" s="154" t="n">
        <v>0</v>
      </c>
      <c r="I25" s="51" t="n">
        <f aca="false">G25+H25</f>
        <v>63.06</v>
      </c>
      <c r="J25" s="81" t="n">
        <f aca="false">IF(L25&gt;0,L25,0)</f>
        <v>9.36194605495336</v>
      </c>
      <c r="K25" s="51" t="n">
        <f aca="false">I25+J25</f>
        <v>72.4219460549534</v>
      </c>
      <c r="L25" s="51" t="n">
        <f aca="false">F25-(I25-W25)</f>
        <v>9.36194605495336</v>
      </c>
      <c r="M25" s="51" t="n">
        <v>7</v>
      </c>
      <c r="N25" s="51" t="n">
        <v>0</v>
      </c>
      <c r="O25" s="51" t="n">
        <v>0</v>
      </c>
      <c r="P25" s="6" t="n">
        <f aca="false">M25-(N25+O25)</f>
        <v>7</v>
      </c>
      <c r="Q25" s="51" t="n">
        <v>0</v>
      </c>
      <c r="R25" s="51" t="n">
        <v>0</v>
      </c>
      <c r="S25" s="51" t="n">
        <f aca="false">SUM(P25:R25)</f>
        <v>7</v>
      </c>
      <c r="T25" s="52" t="n">
        <f aca="false">(I25-S25)+T24</f>
        <v>-18668.75</v>
      </c>
      <c r="U25" s="51" t="n">
        <v>4</v>
      </c>
      <c r="V25" s="51" t="n">
        <v>80.58</v>
      </c>
      <c r="W25" s="6" t="n">
        <f aca="false">N25+O25+S25+U25+V25</f>
        <v>91.58</v>
      </c>
      <c r="X25" s="51" t="n">
        <f aca="false">IF(L25&lt;0,L25*-1,0)</f>
        <v>0</v>
      </c>
      <c r="Y25" s="51" t="n">
        <f aca="false">W25+X25</f>
        <v>91.58</v>
      </c>
      <c r="Z25" s="55" t="n">
        <v>0</v>
      </c>
      <c r="AA25" s="82" t="n">
        <v>53</v>
      </c>
      <c r="AB25" s="57" t="n">
        <v>34</v>
      </c>
      <c r="AC25" s="58" t="n">
        <f aca="false">AC24+1</f>
        <v>16</v>
      </c>
      <c r="AD25" s="150" t="n">
        <f aca="false">IF(I25&gt;S25,I25-S25,I25-S25)</f>
        <v>56.06</v>
      </c>
      <c r="AE25" s="92"/>
      <c r="AF25" s="94"/>
    </row>
    <row r="26" customFormat="false" ht="11.1" hidden="false" customHeight="true" outlineLevel="0" collapsed="false">
      <c r="A26" s="58" t="n">
        <f aca="false">A25+1</f>
        <v>17</v>
      </c>
      <c r="B26" s="73" t="n">
        <v>6903.98</v>
      </c>
      <c r="C26" s="52" t="n">
        <v>298495</v>
      </c>
      <c r="D26" s="57" t="n">
        <f aca="false">C26-C25</f>
        <v>-76</v>
      </c>
      <c r="E26" s="52" t="n">
        <f aca="false">C26-152000</f>
        <v>146495</v>
      </c>
      <c r="F26" s="51" t="n">
        <f aca="false">D26/$D$2</f>
        <v>-38.3161078900933</v>
      </c>
      <c r="G26" s="51" t="n">
        <v>67.25</v>
      </c>
      <c r="H26" s="154" t="n">
        <v>0</v>
      </c>
      <c r="I26" s="51" t="n">
        <f aca="false">G26+H26</f>
        <v>67.25</v>
      </c>
      <c r="J26" s="81" t="n">
        <f aca="false">IF(L26&gt;0,L26,0)</f>
        <v>0</v>
      </c>
      <c r="K26" s="51" t="n">
        <f aca="false">I26+J26</f>
        <v>67.25</v>
      </c>
      <c r="L26" s="51" t="n">
        <f aca="false">F26-(I26-W26)</f>
        <v>-18.9961078900933</v>
      </c>
      <c r="M26" s="51" t="n">
        <v>6</v>
      </c>
      <c r="N26" s="51" t="n">
        <v>0</v>
      </c>
      <c r="O26" s="51" t="n">
        <v>0</v>
      </c>
      <c r="P26" s="6" t="n">
        <f aca="false">M26-(N26+O26)</f>
        <v>6</v>
      </c>
      <c r="Q26" s="51" t="n">
        <v>0</v>
      </c>
      <c r="R26" s="51" t="n">
        <v>0</v>
      </c>
      <c r="S26" s="51" t="n">
        <f aca="false">SUM(P26:R26)</f>
        <v>6</v>
      </c>
      <c r="T26" s="52" t="n">
        <f aca="false">(I26-S26)+T25</f>
        <v>-18607.5</v>
      </c>
      <c r="U26" s="51" t="n">
        <v>0</v>
      </c>
      <c r="V26" s="51" t="n">
        <v>80.57</v>
      </c>
      <c r="W26" s="6" t="n">
        <f aca="false">N26+O26+S26+U26+V26</f>
        <v>86.57</v>
      </c>
      <c r="X26" s="51" t="n">
        <f aca="false">IF(L26&lt;0,L26*-1,0)</f>
        <v>18.9961078900933</v>
      </c>
      <c r="Y26" s="51" t="n">
        <f aca="false">W26+X26</f>
        <v>105.566107890093</v>
      </c>
      <c r="Z26" s="55" t="n">
        <v>0</v>
      </c>
      <c r="AA26" s="82" t="n">
        <v>50</v>
      </c>
      <c r="AB26" s="57" t="n">
        <v>33</v>
      </c>
      <c r="AC26" s="58" t="n">
        <f aca="false">AC25+1</f>
        <v>17</v>
      </c>
      <c r="AD26" s="150" t="n">
        <v>0</v>
      </c>
      <c r="AE26" s="92"/>
      <c r="AF26" s="94"/>
    </row>
    <row r="27" customFormat="false" ht="11.1" hidden="false" customHeight="true" outlineLevel="0" collapsed="false">
      <c r="A27" s="58" t="n">
        <f aca="false">A26+1</f>
        <v>18</v>
      </c>
      <c r="B27" s="73" t="n">
        <v>6903.94</v>
      </c>
      <c r="C27" s="52" t="n">
        <v>298343</v>
      </c>
      <c r="D27" s="57" t="n">
        <f aca="false">C27-C26</f>
        <v>-152</v>
      </c>
      <c r="E27" s="52" t="n">
        <f aca="false">C27-152000</f>
        <v>146343</v>
      </c>
      <c r="F27" s="51" t="n">
        <f aca="false">D27/$D$2</f>
        <v>-76.6322157801865</v>
      </c>
      <c r="G27" s="51" t="n">
        <v>63.33</v>
      </c>
      <c r="H27" s="154" t="n">
        <v>0</v>
      </c>
      <c r="I27" s="51" t="n">
        <f aca="false">G27+H27</f>
        <v>63.33</v>
      </c>
      <c r="J27" s="81" t="n">
        <f aca="false">IF(L27&gt;0,L27,0)</f>
        <v>0</v>
      </c>
      <c r="K27" s="51" t="n">
        <f aca="false">I27+J27</f>
        <v>63.33</v>
      </c>
      <c r="L27" s="51" t="n">
        <f aca="false">F27-(I27-W27)</f>
        <v>-46.3822157801865</v>
      </c>
      <c r="M27" s="51" t="n">
        <v>6</v>
      </c>
      <c r="N27" s="51" t="n">
        <v>0</v>
      </c>
      <c r="O27" s="51" t="n">
        <v>0</v>
      </c>
      <c r="P27" s="6" t="n">
        <f aca="false">M27-(N27+O27)</f>
        <v>6</v>
      </c>
      <c r="Q27" s="51" t="n">
        <v>0</v>
      </c>
      <c r="R27" s="51" t="n">
        <v>0</v>
      </c>
      <c r="S27" s="51" t="n">
        <f aca="false">SUM(P27:R27)</f>
        <v>6</v>
      </c>
      <c r="T27" s="52" t="n">
        <f aca="false">(I27-S27)+T26</f>
        <v>-18550.17</v>
      </c>
      <c r="U27" s="51" t="n">
        <v>7</v>
      </c>
      <c r="V27" s="51" t="n">
        <v>80.58</v>
      </c>
      <c r="W27" s="6" t="n">
        <f aca="false">N27+O27+S27+U27+V27</f>
        <v>93.58</v>
      </c>
      <c r="X27" s="51" t="n">
        <f aca="false">IF(L27&lt;0,L27*-1,0)</f>
        <v>46.3822157801865</v>
      </c>
      <c r="Y27" s="51" t="n">
        <f aca="false">W27+X27</f>
        <v>139.962215780187</v>
      </c>
      <c r="Z27" s="55" t="n">
        <v>0</v>
      </c>
      <c r="AA27" s="82" t="n">
        <v>54</v>
      </c>
      <c r="AB27" s="57" t="n">
        <v>31</v>
      </c>
      <c r="AC27" s="58" t="n">
        <f aca="false">AC26+1</f>
        <v>18</v>
      </c>
      <c r="AD27" s="150" t="n">
        <v>0</v>
      </c>
      <c r="AE27" s="92"/>
      <c r="AF27" s="94"/>
    </row>
    <row r="28" customFormat="false" ht="11.1" hidden="false" customHeight="true" outlineLevel="0" collapsed="false">
      <c r="A28" s="58" t="n">
        <f aca="false">A27+1</f>
        <v>19</v>
      </c>
      <c r="B28" s="73" t="n">
        <v>6903.9</v>
      </c>
      <c r="C28" s="99" t="n">
        <v>298192</v>
      </c>
      <c r="D28" s="57" t="n">
        <f aca="false">C28-C27</f>
        <v>-151</v>
      </c>
      <c r="E28" s="52" t="n">
        <f aca="false">C28-152000</f>
        <v>146192</v>
      </c>
      <c r="F28" s="51" t="n">
        <f aca="false">D28/$D$2</f>
        <v>-76.1280564658432</v>
      </c>
      <c r="G28" s="51" t="n">
        <v>54.54</v>
      </c>
      <c r="H28" s="154" t="n">
        <v>0</v>
      </c>
      <c r="I28" s="51" t="n">
        <f aca="false">G28+H28</f>
        <v>54.54</v>
      </c>
      <c r="J28" s="81" t="n">
        <f aca="false">IF(L28&gt;0,L28,0)</f>
        <v>0</v>
      </c>
      <c r="K28" s="51" t="n">
        <f aca="false">I28+J28</f>
        <v>54.54</v>
      </c>
      <c r="L28" s="51" t="n">
        <f aca="false">F28-(I28-W28)</f>
        <v>-27.0980564658432</v>
      </c>
      <c r="M28" s="51" t="n">
        <v>6</v>
      </c>
      <c r="N28" s="51" t="n">
        <v>0</v>
      </c>
      <c r="O28" s="51" t="n">
        <v>0</v>
      </c>
      <c r="P28" s="6" t="n">
        <f aca="false">M28-(N28+O28)</f>
        <v>6</v>
      </c>
      <c r="Q28" s="51" t="n">
        <v>0</v>
      </c>
      <c r="R28" s="51" t="n">
        <v>0</v>
      </c>
      <c r="S28" s="51" t="n">
        <f aca="false">SUM(P28:R28)</f>
        <v>6</v>
      </c>
      <c r="T28" s="52" t="n">
        <f aca="false">(I28-S28)+T27</f>
        <v>-18501.63</v>
      </c>
      <c r="U28" s="51" t="n">
        <v>17</v>
      </c>
      <c r="V28" s="51" t="n">
        <v>80.57</v>
      </c>
      <c r="W28" s="6" t="n">
        <f aca="false">N28+O28+S28+U28+V28</f>
        <v>103.57</v>
      </c>
      <c r="X28" s="51" t="n">
        <f aca="false">IF(L28&lt;0,L28*-1,0)</f>
        <v>27.0980564658432</v>
      </c>
      <c r="Y28" s="51" t="n">
        <f aca="false">W28+X28</f>
        <v>130.668056465843</v>
      </c>
      <c r="Z28" s="55" t="n">
        <v>0</v>
      </c>
      <c r="AA28" s="82" t="n">
        <v>52</v>
      </c>
      <c r="AB28" s="57" t="n">
        <v>26</v>
      </c>
      <c r="AC28" s="58" t="n">
        <f aca="false">AC27+1</f>
        <v>19</v>
      </c>
      <c r="AD28" s="150" t="n">
        <v>0</v>
      </c>
      <c r="AE28" s="92"/>
      <c r="AF28" s="94"/>
    </row>
    <row r="29" customFormat="false" ht="11.1" hidden="false" customHeight="true" outlineLevel="0" collapsed="false">
      <c r="A29" s="58" t="n">
        <f aca="false">A28+1</f>
        <v>20</v>
      </c>
      <c r="B29" s="73" t="n">
        <v>6903.88</v>
      </c>
      <c r="C29" s="52" t="n">
        <v>298116</v>
      </c>
      <c r="D29" s="57" t="n">
        <f aca="false">C29-C28</f>
        <v>-76</v>
      </c>
      <c r="E29" s="52" t="n">
        <f aca="false">C29-152000</f>
        <v>146116</v>
      </c>
      <c r="F29" s="51" t="n">
        <f aca="false">D29/$D$2</f>
        <v>-38.3161078900933</v>
      </c>
      <c r="G29" s="51" t="n">
        <v>56.03</v>
      </c>
      <c r="H29" s="154" t="n">
        <v>0</v>
      </c>
      <c r="I29" s="51" t="n">
        <f aca="false">G29+H29</f>
        <v>56.03</v>
      </c>
      <c r="J29" s="81" t="n">
        <f aca="false">IF(L29&gt;0,L29,0)</f>
        <v>0</v>
      </c>
      <c r="K29" s="51" t="n">
        <f aca="false">I29+J29</f>
        <v>56.03</v>
      </c>
      <c r="L29" s="51" t="n">
        <f aca="false">F29-(I29-W29)</f>
        <v>-7.76610789009327</v>
      </c>
      <c r="M29" s="51" t="n">
        <v>6</v>
      </c>
      <c r="N29" s="51" t="n">
        <v>0</v>
      </c>
      <c r="O29" s="51" t="n">
        <v>0</v>
      </c>
      <c r="P29" s="6" t="n">
        <f aca="false">M29-(N29+O29)</f>
        <v>6</v>
      </c>
      <c r="Q29" s="51" t="n">
        <v>0</v>
      </c>
      <c r="R29" s="51" t="n">
        <v>0</v>
      </c>
      <c r="S29" s="51" t="n">
        <f aca="false">SUM(P29:R29)</f>
        <v>6</v>
      </c>
      <c r="T29" s="52" t="n">
        <f aca="false">(I29-S29)+T28</f>
        <v>-18451.6</v>
      </c>
      <c r="U29" s="51" t="n">
        <v>0</v>
      </c>
      <c r="V29" s="51" t="n">
        <v>80.58</v>
      </c>
      <c r="W29" s="6" t="n">
        <f aca="false">N29+O29+S29+U29+V29</f>
        <v>86.58</v>
      </c>
      <c r="X29" s="51" t="n">
        <f aca="false">IF(L29&lt;0,L29*-1,0)</f>
        <v>7.76610789009327</v>
      </c>
      <c r="Y29" s="51" t="n">
        <f aca="false">W29+X29</f>
        <v>94.3461078900933</v>
      </c>
      <c r="Z29" s="55" t="n">
        <v>0</v>
      </c>
      <c r="AA29" s="82" t="n">
        <v>56</v>
      </c>
      <c r="AB29" s="57" t="n">
        <v>30</v>
      </c>
      <c r="AC29" s="58" t="n">
        <f aca="false">AC28+1</f>
        <v>20</v>
      </c>
      <c r="AD29" s="150" t="n">
        <v>0</v>
      </c>
      <c r="AE29" s="92"/>
      <c r="AF29" s="94"/>
    </row>
    <row r="30" customFormat="false" ht="11.1" hidden="false" customHeight="true" outlineLevel="0" collapsed="false">
      <c r="A30" s="58" t="n">
        <f aca="false">A29+1</f>
        <v>21</v>
      </c>
      <c r="B30" s="73" t="n">
        <v>6903.88</v>
      </c>
      <c r="C30" s="52" t="n">
        <v>298116</v>
      </c>
      <c r="D30" s="57" t="n">
        <f aca="false">C30-C29</f>
        <v>0</v>
      </c>
      <c r="E30" s="52" t="n">
        <f aca="false">C30-152000</f>
        <v>146116</v>
      </c>
      <c r="F30" s="51" t="n">
        <f aca="false">D30/$D$2</f>
        <v>0</v>
      </c>
      <c r="G30" s="51" t="n">
        <v>58.07</v>
      </c>
      <c r="H30" s="154" t="n">
        <v>0</v>
      </c>
      <c r="I30" s="51" t="n">
        <f aca="false">G30+H30</f>
        <v>58.07</v>
      </c>
      <c r="J30" s="81" t="n">
        <f aca="false">IF(L30&gt;0,L30,0)</f>
        <v>40.6</v>
      </c>
      <c r="K30" s="51" t="n">
        <f aca="false">I30+J30</f>
        <v>98.67</v>
      </c>
      <c r="L30" s="51" t="n">
        <f aca="false">F30-(I30-W30)</f>
        <v>40.6</v>
      </c>
      <c r="M30" s="51" t="n">
        <v>6</v>
      </c>
      <c r="N30" s="51" t="n">
        <v>0</v>
      </c>
      <c r="O30" s="51" t="n">
        <v>0</v>
      </c>
      <c r="P30" s="6" t="n">
        <f aca="false">M30-(N30+O30)</f>
        <v>6</v>
      </c>
      <c r="Q30" s="51" t="n">
        <v>0</v>
      </c>
      <c r="R30" s="51" t="n">
        <v>0</v>
      </c>
      <c r="S30" s="51" t="n">
        <f aca="false">SUM(P30:R30)</f>
        <v>6</v>
      </c>
      <c r="T30" s="52" t="n">
        <f aca="false">(I30-S30)+T29</f>
        <v>-18399.53</v>
      </c>
      <c r="U30" s="51" t="n">
        <v>12</v>
      </c>
      <c r="V30" s="51" t="n">
        <v>80.67</v>
      </c>
      <c r="W30" s="6" t="n">
        <f aca="false">N30+O30+S30+U30+V30</f>
        <v>98.67</v>
      </c>
      <c r="X30" s="51" t="n">
        <f aca="false">IF(L30&lt;0,L30*-1,0)</f>
        <v>0</v>
      </c>
      <c r="Y30" s="51" t="n">
        <f aca="false">W30+X30</f>
        <v>98.67</v>
      </c>
      <c r="Z30" s="55" t="n">
        <v>0.38</v>
      </c>
      <c r="AA30" s="57" t="n">
        <v>57</v>
      </c>
      <c r="AB30" s="57" t="n">
        <v>29</v>
      </c>
      <c r="AC30" s="58" t="n">
        <f aca="false">AC29+1</f>
        <v>21</v>
      </c>
      <c r="AD30" s="150" t="n">
        <v>0</v>
      </c>
      <c r="AE30" s="92"/>
      <c r="AF30" s="94"/>
    </row>
    <row r="31" customFormat="false" ht="11.1" hidden="false" customHeight="true" outlineLevel="0" collapsed="false">
      <c r="A31" s="58" t="n">
        <f aca="false">A30+1</f>
        <v>22</v>
      </c>
      <c r="B31" s="73" t="n">
        <v>6903.86</v>
      </c>
      <c r="C31" s="52" t="n">
        <v>298040</v>
      </c>
      <c r="D31" s="57" t="n">
        <f aca="false">C31-C30</f>
        <v>-76</v>
      </c>
      <c r="E31" s="52" t="n">
        <f aca="false">C31-152000</f>
        <v>146040</v>
      </c>
      <c r="F31" s="51" t="n">
        <f aca="false">D31/$D$2</f>
        <v>-38.3161078900933</v>
      </c>
      <c r="G31" s="51" t="n">
        <v>69.93</v>
      </c>
      <c r="H31" s="154" t="n">
        <v>0</v>
      </c>
      <c r="I31" s="51" t="n">
        <f aca="false">G31+H31</f>
        <v>69.93</v>
      </c>
      <c r="J31" s="81" t="n">
        <f aca="false">IF(L31&gt;0,L31,0)</f>
        <v>0</v>
      </c>
      <c r="K31" s="51" t="n">
        <f aca="false">I31+J31</f>
        <v>69.93</v>
      </c>
      <c r="L31" s="51" t="n">
        <f aca="false">F31-(I31-W31)</f>
        <v>-21.6461078900933</v>
      </c>
      <c r="M31" s="51" t="n">
        <v>6</v>
      </c>
      <c r="N31" s="51" t="n">
        <v>0</v>
      </c>
      <c r="O31" s="51" t="n">
        <v>0</v>
      </c>
      <c r="P31" s="6" t="n">
        <f aca="false">M31-(N31+O31)</f>
        <v>6</v>
      </c>
      <c r="Q31" s="51" t="n">
        <v>0</v>
      </c>
      <c r="R31" s="51" t="n">
        <v>0</v>
      </c>
      <c r="S31" s="51" t="n">
        <f aca="false">SUM(P31:R31)</f>
        <v>6</v>
      </c>
      <c r="T31" s="52" t="n">
        <f aca="false">(I31-S31)+T30</f>
        <v>-18335.6</v>
      </c>
      <c r="U31" s="51" t="n">
        <v>0</v>
      </c>
      <c r="V31" s="51" t="n">
        <v>80.6</v>
      </c>
      <c r="W31" s="6" t="n">
        <f aca="false">N31+O31+S31+U31+V31</f>
        <v>86.6</v>
      </c>
      <c r="X31" s="51" t="n">
        <f aca="false">IF(L31&lt;0,L31*-1,0)</f>
        <v>21.6461078900933</v>
      </c>
      <c r="Y31" s="51" t="n">
        <f aca="false">W31+X31</f>
        <v>108.246107890093</v>
      </c>
      <c r="Z31" s="55" t="n">
        <v>0</v>
      </c>
      <c r="AA31" s="57" t="n">
        <v>59</v>
      </c>
      <c r="AB31" s="57" t="n">
        <v>37</v>
      </c>
      <c r="AC31" s="58" t="n">
        <f aca="false">AC30+1</f>
        <v>22</v>
      </c>
      <c r="AD31" s="150" t="n">
        <v>0</v>
      </c>
      <c r="AE31" s="92"/>
      <c r="AF31" s="94"/>
      <c r="AG31" s="158"/>
      <c r="AH31" s="158"/>
      <c r="AI31" s="158"/>
    </row>
    <row r="32" customFormat="false" ht="11.1" hidden="false" customHeight="true" outlineLevel="0" collapsed="false">
      <c r="A32" s="58" t="n">
        <f aca="false">A31+1</f>
        <v>23</v>
      </c>
      <c r="B32" s="73" t="n">
        <v>6903.81</v>
      </c>
      <c r="C32" s="52" t="n">
        <v>297850</v>
      </c>
      <c r="D32" s="57" t="n">
        <f aca="false">C32-C31</f>
        <v>-190</v>
      </c>
      <c r="E32" s="52" t="n">
        <f aca="false">C32-152000</f>
        <v>145850</v>
      </c>
      <c r="F32" s="51" t="n">
        <f aca="false">D32/$D$2</f>
        <v>-95.7902697252332</v>
      </c>
      <c r="G32" s="51" t="n">
        <v>68.48</v>
      </c>
      <c r="H32" s="154" t="n">
        <v>0</v>
      </c>
      <c r="I32" s="51" t="n">
        <f aca="false">G32+H32</f>
        <v>68.48</v>
      </c>
      <c r="J32" s="81" t="n">
        <f aca="false">IF(L32&gt;0,L32,0)</f>
        <v>0</v>
      </c>
      <c r="K32" s="51" t="n">
        <f aca="false">I32+J32</f>
        <v>68.48</v>
      </c>
      <c r="L32" s="51" t="n">
        <f aca="false">F32-(I32-W32)</f>
        <v>-60.6702697252332</v>
      </c>
      <c r="M32" s="51" t="n">
        <v>16.15</v>
      </c>
      <c r="N32" s="51" t="n">
        <v>0</v>
      </c>
      <c r="O32" s="51" t="n">
        <v>0</v>
      </c>
      <c r="P32" s="6" t="n">
        <f aca="false">M32-(N32+O32)</f>
        <v>16.15</v>
      </c>
      <c r="Q32" s="51" t="n">
        <v>0</v>
      </c>
      <c r="R32" s="51" t="n">
        <v>6.85</v>
      </c>
      <c r="S32" s="51" t="n">
        <f aca="false">SUM(P32:R32)</f>
        <v>23</v>
      </c>
      <c r="T32" s="52" t="n">
        <f aca="false">(I32-S32)+T31</f>
        <v>-18290.12</v>
      </c>
      <c r="U32" s="51" t="n">
        <v>0</v>
      </c>
      <c r="V32" s="51" t="n">
        <v>80.6</v>
      </c>
      <c r="W32" s="6" t="n">
        <f aca="false">N32+O32+S32+U32+V32</f>
        <v>103.6</v>
      </c>
      <c r="X32" s="51" t="n">
        <f aca="false">IF(L32&lt;0,L32*-1,0)</f>
        <v>60.6702697252332</v>
      </c>
      <c r="Y32" s="51" t="n">
        <f aca="false">W32+X32</f>
        <v>164.270269725233</v>
      </c>
      <c r="Z32" s="55" t="n">
        <v>0</v>
      </c>
      <c r="AA32" s="57" t="n">
        <v>62</v>
      </c>
      <c r="AB32" s="82" t="n">
        <v>36</v>
      </c>
      <c r="AC32" s="58" t="n">
        <f aca="false">AC31+1</f>
        <v>23</v>
      </c>
      <c r="AD32" s="150" t="n">
        <v>0</v>
      </c>
      <c r="AE32" s="92"/>
      <c r="AF32" s="94"/>
    </row>
    <row r="33" customFormat="false" ht="11.1" hidden="false" customHeight="true" outlineLevel="0" collapsed="false">
      <c r="A33" s="58" t="n">
        <f aca="false">A32+1</f>
        <v>24</v>
      </c>
      <c r="B33" s="73" t="n">
        <v>6903.77</v>
      </c>
      <c r="C33" s="52" t="n">
        <v>297699</v>
      </c>
      <c r="D33" s="57" t="n">
        <f aca="false">C33-C32</f>
        <v>-151</v>
      </c>
      <c r="E33" s="52" t="n">
        <f aca="false">C33-152000</f>
        <v>145699</v>
      </c>
      <c r="F33" s="51" t="n">
        <f aca="false">D33/$D$2</f>
        <v>-76.1280564658432</v>
      </c>
      <c r="G33" s="51" t="n">
        <v>64.36</v>
      </c>
      <c r="H33" s="154" t="n">
        <v>0</v>
      </c>
      <c r="I33" s="51" t="n">
        <f aca="false">G33+H33</f>
        <v>64.36</v>
      </c>
      <c r="J33" s="81" t="n">
        <f aca="false">IF(L33&gt;0,L33,0)</f>
        <v>0</v>
      </c>
      <c r="K33" s="51" t="n">
        <f aca="false">I33+J33</f>
        <v>64.36</v>
      </c>
      <c r="L33" s="51" t="n">
        <f aca="false">F33-(I33-W33)</f>
        <v>-26.8680564658432</v>
      </c>
      <c r="M33" s="51" t="n">
        <v>23.5</v>
      </c>
      <c r="N33" s="51" t="n">
        <v>0</v>
      </c>
      <c r="O33" s="51" t="n">
        <v>0</v>
      </c>
      <c r="P33" s="6" t="n">
        <f aca="false">M33-(N33+O33)</f>
        <v>23.5</v>
      </c>
      <c r="Q33" s="51" t="n">
        <v>0</v>
      </c>
      <c r="R33" s="51" t="n">
        <v>9.5</v>
      </c>
      <c r="S33" s="51" t="n">
        <f aca="false">SUM(P33:R33)</f>
        <v>33</v>
      </c>
      <c r="T33" s="52" t="n">
        <f aca="false">(I33-S33)+T32</f>
        <v>-18258.76</v>
      </c>
      <c r="U33" s="51" t="n">
        <v>0</v>
      </c>
      <c r="V33" s="51" t="n">
        <v>80.62</v>
      </c>
      <c r="W33" s="6" t="n">
        <f aca="false">N33+O33+S33+U33+V33</f>
        <v>113.62</v>
      </c>
      <c r="X33" s="51" t="n">
        <f aca="false">IF(L33&lt;0,L33*-1,0)</f>
        <v>26.8680564658432</v>
      </c>
      <c r="Y33" s="51" t="n">
        <f aca="false">W33+X33</f>
        <v>140.488056465843</v>
      </c>
      <c r="Z33" s="55" t="n">
        <v>0</v>
      </c>
      <c r="AA33" s="57" t="n">
        <v>59</v>
      </c>
      <c r="AB33" s="82" t="n">
        <v>33</v>
      </c>
      <c r="AC33" s="58" t="n">
        <f aca="false">AC32+1</f>
        <v>24</v>
      </c>
      <c r="AD33" s="150" t="n">
        <v>0</v>
      </c>
      <c r="AE33" s="92"/>
      <c r="AF33" s="94"/>
    </row>
    <row r="34" customFormat="false" ht="11.1" hidden="false" customHeight="true" outlineLevel="0" collapsed="false">
      <c r="A34" s="58" t="n">
        <v>25</v>
      </c>
      <c r="B34" s="73" t="n">
        <v>6903.74</v>
      </c>
      <c r="C34" s="52" t="n">
        <v>297585</v>
      </c>
      <c r="D34" s="57" t="n">
        <f aca="false">C34-C33</f>
        <v>-114</v>
      </c>
      <c r="E34" s="52" t="n">
        <f aca="false">C34-152000</f>
        <v>145585</v>
      </c>
      <c r="F34" s="51" t="n">
        <f aca="false">D34/$D$2</f>
        <v>-57.4741618351399</v>
      </c>
      <c r="G34" s="51" t="n">
        <v>61.15</v>
      </c>
      <c r="H34" s="154" t="n">
        <v>0</v>
      </c>
      <c r="I34" s="51" t="n">
        <f aca="false">G34+H34</f>
        <v>61.15</v>
      </c>
      <c r="J34" s="81" t="n">
        <f aca="false">IF(L34&gt;0,L34,0)</f>
        <v>0</v>
      </c>
      <c r="K34" s="51" t="n">
        <f aca="false">I34+J34</f>
        <v>61.15</v>
      </c>
      <c r="L34" s="51" t="n">
        <f aca="false">F34-(I34-W34)</f>
        <v>-10.8741618351399</v>
      </c>
      <c r="M34" s="51" t="n">
        <v>24.22</v>
      </c>
      <c r="N34" s="51" t="n">
        <v>0</v>
      </c>
      <c r="O34" s="51" t="n">
        <v>0</v>
      </c>
      <c r="P34" s="6" t="n">
        <f aca="false">M34-(N34+O34)</f>
        <v>24.22</v>
      </c>
      <c r="Q34" s="51" t="n">
        <v>0</v>
      </c>
      <c r="R34" s="51" t="n">
        <v>9.78</v>
      </c>
      <c r="S34" s="51" t="n">
        <f aca="false">SUM(P34:R34)</f>
        <v>34</v>
      </c>
      <c r="T34" s="52" t="n">
        <f aca="false">(I34-S34)+T33</f>
        <v>-18231.61</v>
      </c>
      <c r="U34" s="51" t="n">
        <v>0</v>
      </c>
      <c r="V34" s="51" t="n">
        <v>73.75</v>
      </c>
      <c r="W34" s="6" t="n">
        <f aca="false">N34+O34+S34+U34+V34</f>
        <v>107.75</v>
      </c>
      <c r="X34" s="51" t="n">
        <f aca="false">IF(L34&lt;0,L34*-1,0)</f>
        <v>10.8741618351399</v>
      </c>
      <c r="Y34" s="51" t="n">
        <f aca="false">W34+X34</f>
        <v>118.62416183514</v>
      </c>
      <c r="Z34" s="55" t="n">
        <v>0</v>
      </c>
      <c r="AA34" s="57" t="n">
        <v>49</v>
      </c>
      <c r="AB34" s="82" t="n">
        <v>36</v>
      </c>
      <c r="AC34" s="58" t="n">
        <v>25</v>
      </c>
      <c r="AD34" s="150" t="n">
        <v>0</v>
      </c>
      <c r="AE34" s="92"/>
      <c r="AF34" s="94"/>
    </row>
    <row r="35" customFormat="false" ht="11.1" hidden="false" customHeight="true" outlineLevel="0" collapsed="false">
      <c r="A35" s="58" t="n">
        <v>26</v>
      </c>
      <c r="B35" s="73" t="n">
        <v>6903.7</v>
      </c>
      <c r="C35" s="52" t="n">
        <v>297433</v>
      </c>
      <c r="D35" s="57" t="n">
        <f aca="false">C35-C34</f>
        <v>-152</v>
      </c>
      <c r="E35" s="52" t="n">
        <f aca="false">C35-152000</f>
        <v>145433</v>
      </c>
      <c r="F35" s="51" t="n">
        <f aca="false">D35/$D$2</f>
        <v>-76.6322157801865</v>
      </c>
      <c r="G35" s="51" t="n">
        <v>63.6</v>
      </c>
      <c r="H35" s="154" t="n">
        <v>0</v>
      </c>
      <c r="I35" s="51" t="n">
        <f aca="false">G35+H35</f>
        <v>63.6</v>
      </c>
      <c r="J35" s="81" t="n">
        <f aca="false">IF(L35&gt;0,L35,0)</f>
        <v>0</v>
      </c>
      <c r="K35" s="51" t="n">
        <f aca="false">I35+J35</f>
        <v>63.6</v>
      </c>
      <c r="L35" s="51" t="n">
        <f aca="false">F35-(I35-W35)</f>
        <v>-32.3722157801865</v>
      </c>
      <c r="M35" s="51" t="n">
        <v>24.2</v>
      </c>
      <c r="N35" s="51" t="n">
        <v>0</v>
      </c>
      <c r="O35" s="51" t="n">
        <v>0</v>
      </c>
      <c r="P35" s="6" t="n">
        <f aca="false">M35-(N35+O35)</f>
        <v>24.2</v>
      </c>
      <c r="Q35" s="51" t="n">
        <v>0</v>
      </c>
      <c r="R35" s="51" t="n">
        <v>9.8</v>
      </c>
      <c r="S35" s="51" t="n">
        <f aca="false">SUM(P35:R35)</f>
        <v>34</v>
      </c>
      <c r="T35" s="52" t="n">
        <f aca="false">(I35-S35)+T34</f>
        <v>-18202.01</v>
      </c>
      <c r="U35" s="51" t="n">
        <v>0</v>
      </c>
      <c r="V35" s="51" t="n">
        <v>73.86</v>
      </c>
      <c r="W35" s="6" t="n">
        <f aca="false">N35+O35+S35+U35+V35</f>
        <v>107.86</v>
      </c>
      <c r="X35" s="51" t="n">
        <f aca="false">IF(L35&lt;0,L35*-1,0)</f>
        <v>32.3722157801865</v>
      </c>
      <c r="Y35" s="51" t="n">
        <f aca="false">W35+X35</f>
        <v>140.232215780187</v>
      </c>
      <c r="Z35" s="55" t="n">
        <v>0.05</v>
      </c>
      <c r="AA35" s="57" t="n">
        <v>47</v>
      </c>
      <c r="AB35" s="82" t="n">
        <v>26</v>
      </c>
      <c r="AC35" s="58" t="n">
        <v>26</v>
      </c>
      <c r="AD35" s="150" t="n">
        <v>0</v>
      </c>
      <c r="AE35" s="92"/>
      <c r="AF35" s="94"/>
    </row>
    <row r="36" customFormat="false" ht="11.1" hidden="false" customHeight="true" outlineLevel="0" collapsed="false">
      <c r="A36" s="58" t="n">
        <v>27</v>
      </c>
      <c r="B36" s="73" t="n">
        <v>6903.65</v>
      </c>
      <c r="C36" s="52" t="n">
        <v>297243</v>
      </c>
      <c r="D36" s="57" t="n">
        <f aca="false">C36-C35</f>
        <v>-190</v>
      </c>
      <c r="E36" s="52" t="n">
        <f aca="false">C36-152000</f>
        <v>145243</v>
      </c>
      <c r="F36" s="51" t="n">
        <f aca="false">D36/$D$2</f>
        <v>-95.7902697252332</v>
      </c>
      <c r="G36" s="51" t="n">
        <v>63.02</v>
      </c>
      <c r="H36" s="154" t="n">
        <v>0</v>
      </c>
      <c r="I36" s="51" t="n">
        <f aca="false">G36+H36</f>
        <v>63.02</v>
      </c>
      <c r="J36" s="81" t="n">
        <f aca="false">IF(L36&gt;0,L36,0)</f>
        <v>0</v>
      </c>
      <c r="K36" s="51" t="n">
        <f aca="false">I36+J36</f>
        <v>63.02</v>
      </c>
      <c r="L36" s="51" t="n">
        <f aca="false">F36-(I36-W36)</f>
        <v>-52.2802697252332</v>
      </c>
      <c r="M36" s="51" t="n">
        <v>24.43</v>
      </c>
      <c r="N36" s="51" t="n">
        <v>0</v>
      </c>
      <c r="O36" s="51" t="n">
        <v>0</v>
      </c>
      <c r="P36" s="6" t="n">
        <f aca="false">M36-(N36+O36)</f>
        <v>24.43</v>
      </c>
      <c r="Q36" s="51" t="n">
        <v>0</v>
      </c>
      <c r="R36" s="51" t="n">
        <v>9.77</v>
      </c>
      <c r="S36" s="51" t="n">
        <f aca="false">SUM(P36:R36)</f>
        <v>34.2</v>
      </c>
      <c r="T36" s="52" t="n">
        <f aca="false">(I36-S36)+T35</f>
        <v>-18173.19</v>
      </c>
      <c r="U36" s="51" t="n">
        <v>0</v>
      </c>
      <c r="V36" s="51" t="n">
        <v>72.33</v>
      </c>
      <c r="W36" s="6" t="n">
        <f aca="false">N36+O36+S36+U36+V36</f>
        <v>106.53</v>
      </c>
      <c r="X36" s="51" t="n">
        <f aca="false">IF(L36&lt;0,L36*-1,0)</f>
        <v>52.2802697252332</v>
      </c>
      <c r="Y36" s="51" t="n">
        <f aca="false">W36+X36</f>
        <v>158.810269725233</v>
      </c>
      <c r="Z36" s="55" t="n">
        <v>0</v>
      </c>
      <c r="AA36" s="57" t="n">
        <v>40</v>
      </c>
      <c r="AB36" s="82" t="n">
        <v>21</v>
      </c>
      <c r="AC36" s="58" t="n">
        <v>27</v>
      </c>
      <c r="AD36" s="150" t="n">
        <v>0</v>
      </c>
      <c r="AE36" s="92"/>
      <c r="AF36" s="94"/>
    </row>
    <row r="37" customFormat="false" ht="11.1" hidden="false" customHeight="true" outlineLevel="0" collapsed="false">
      <c r="A37" s="58" t="n">
        <v>28</v>
      </c>
      <c r="B37" s="73" t="n">
        <v>6903.6</v>
      </c>
      <c r="C37" s="52" t="n">
        <v>297054</v>
      </c>
      <c r="D37" s="57" t="n">
        <f aca="false">C37-C36</f>
        <v>-189</v>
      </c>
      <c r="E37" s="52" t="n">
        <f aca="false">C37-152000</f>
        <v>145054</v>
      </c>
      <c r="F37" s="51" t="n">
        <f aca="false">D37/$D$2</f>
        <v>-95.2861104108898</v>
      </c>
      <c r="G37" s="51" t="n">
        <v>55.54</v>
      </c>
      <c r="H37" s="154" t="n">
        <v>0</v>
      </c>
      <c r="I37" s="51" t="n">
        <f aca="false">G37+H37</f>
        <v>55.54</v>
      </c>
      <c r="J37" s="81" t="n">
        <f aca="false">IF(L37&gt;0,L37,0)</f>
        <v>0</v>
      </c>
      <c r="K37" s="51" t="n">
        <f aca="false">I37+J37</f>
        <v>55.54</v>
      </c>
      <c r="L37" s="51" t="n">
        <f aca="false">F37-(I37-W37)</f>
        <v>-42.5061104108898</v>
      </c>
      <c r="M37" s="51" t="n">
        <v>24.19</v>
      </c>
      <c r="N37" s="51" t="n">
        <v>0</v>
      </c>
      <c r="O37" s="51" t="n">
        <v>0</v>
      </c>
      <c r="P37" s="6" t="n">
        <f aca="false">M37-(N37+O37)</f>
        <v>24.19</v>
      </c>
      <c r="Q37" s="51" t="n">
        <v>0</v>
      </c>
      <c r="R37" s="51" t="n">
        <v>9.81</v>
      </c>
      <c r="S37" s="51" t="n">
        <f aca="false">SUM(P37:R37)</f>
        <v>34</v>
      </c>
      <c r="T37" s="52" t="n">
        <f aca="false">(I37-S37)+T36</f>
        <v>-18151.65</v>
      </c>
      <c r="U37" s="51" t="n">
        <v>0</v>
      </c>
      <c r="V37" s="51" t="n">
        <v>74.32</v>
      </c>
      <c r="W37" s="6" t="n">
        <f aca="false">N37+O37+S37+U37+V37</f>
        <v>108.32</v>
      </c>
      <c r="X37" s="51" t="n">
        <f aca="false">IF(L37&lt;0,L37*-1,0)</f>
        <v>42.5061104108898</v>
      </c>
      <c r="Y37" s="51" t="n">
        <f aca="false">W37+X37</f>
        <v>150.82611041089</v>
      </c>
      <c r="Z37" s="55" t="n">
        <v>0</v>
      </c>
      <c r="AA37" s="57" t="n">
        <v>37</v>
      </c>
      <c r="AB37" s="82" t="n">
        <v>19</v>
      </c>
      <c r="AC37" s="58" t="n">
        <v>28</v>
      </c>
      <c r="AD37" s="150" t="n">
        <v>0</v>
      </c>
      <c r="AE37" s="92"/>
      <c r="AF37" s="94"/>
    </row>
    <row r="38" customFormat="false" ht="11.1" hidden="false" customHeight="true" outlineLevel="0" collapsed="false">
      <c r="A38" s="58" t="n">
        <v>29</v>
      </c>
      <c r="B38" s="73" t="n">
        <v>6903.56</v>
      </c>
      <c r="C38" s="52" t="n">
        <v>296902</v>
      </c>
      <c r="D38" s="57" t="n">
        <f aca="false">C38-C37</f>
        <v>-152</v>
      </c>
      <c r="E38" s="52" t="n">
        <f aca="false">C38-152000</f>
        <v>144902</v>
      </c>
      <c r="F38" s="51" t="n">
        <f aca="false">D38/$D$2</f>
        <v>-76.6322157801865</v>
      </c>
      <c r="G38" s="51" t="n">
        <v>52.95</v>
      </c>
      <c r="H38" s="154" t="n">
        <v>0</v>
      </c>
      <c r="I38" s="51" t="n">
        <f aca="false">G38+H38</f>
        <v>52.95</v>
      </c>
      <c r="J38" s="81" t="n">
        <f aca="false">IF(L38&gt;0,L38,0)</f>
        <v>0</v>
      </c>
      <c r="K38" s="51" t="n">
        <f aca="false">I38+J38</f>
        <v>52.95</v>
      </c>
      <c r="L38" s="51" t="n">
        <f aca="false">F38-(I38-W38)</f>
        <v>-21.2122157801865</v>
      </c>
      <c r="M38" s="51" t="n">
        <v>24.09</v>
      </c>
      <c r="N38" s="51" t="n">
        <v>0</v>
      </c>
      <c r="O38" s="51" t="n">
        <v>0</v>
      </c>
      <c r="P38" s="6" t="n">
        <f aca="false">M38-(N38+O38)</f>
        <v>24.09</v>
      </c>
      <c r="Q38" s="51" t="n">
        <v>0</v>
      </c>
      <c r="R38" s="51" t="n">
        <v>9.91</v>
      </c>
      <c r="S38" s="51" t="n">
        <f aca="false">SUM(P38:R38)</f>
        <v>34</v>
      </c>
      <c r="T38" s="52" t="n">
        <f aca="false">(I38-S38)+T37</f>
        <v>-18132.7</v>
      </c>
      <c r="U38" s="51" t="n">
        <v>0</v>
      </c>
      <c r="V38" s="51" t="n">
        <v>74.37</v>
      </c>
      <c r="W38" s="6" t="n">
        <f aca="false">N38+O38+S38+U38+V38</f>
        <v>108.37</v>
      </c>
      <c r="X38" s="51" t="n">
        <f aca="false">IF(L38&lt;0,L38*-1,0)</f>
        <v>21.2122157801865</v>
      </c>
      <c r="Y38" s="51" t="n">
        <f aca="false">W38+X38</f>
        <v>129.582215780187</v>
      </c>
      <c r="Z38" s="55" t="n">
        <v>0</v>
      </c>
      <c r="AA38" s="57" t="n">
        <v>35</v>
      </c>
      <c r="AB38" s="82" t="n">
        <v>20</v>
      </c>
      <c r="AC38" s="58" t="n">
        <v>29</v>
      </c>
      <c r="AD38" s="150" t="n">
        <v>0</v>
      </c>
      <c r="AE38" s="92"/>
      <c r="AF38" s="94"/>
    </row>
    <row r="39" customFormat="false" ht="11.1" hidden="false" customHeight="true" outlineLevel="0" collapsed="false">
      <c r="A39" s="58" t="n">
        <v>30</v>
      </c>
      <c r="B39" s="73" t="n">
        <v>6903.51</v>
      </c>
      <c r="C39" s="52" t="n">
        <v>296712</v>
      </c>
      <c r="D39" s="57" t="n">
        <f aca="false">C39-C38</f>
        <v>-190</v>
      </c>
      <c r="E39" s="52" t="n">
        <f aca="false">C39-152000</f>
        <v>144712</v>
      </c>
      <c r="F39" s="51" t="n">
        <f aca="false">D39/$D$2</f>
        <v>-95.7902697252332</v>
      </c>
      <c r="G39" s="51" t="n">
        <v>45.08</v>
      </c>
      <c r="H39" s="154" t="n">
        <v>0</v>
      </c>
      <c r="I39" s="51" t="n">
        <f aca="false">G39+H39</f>
        <v>45.08</v>
      </c>
      <c r="J39" s="81" t="n">
        <f aca="false">IF(L39&gt;0,L39,0)</f>
        <v>0</v>
      </c>
      <c r="K39" s="51" t="n">
        <f aca="false">I39+J39</f>
        <v>45.08</v>
      </c>
      <c r="L39" s="51" t="n">
        <f aca="false">F39-(I39-W39)</f>
        <v>-32.5002697252332</v>
      </c>
      <c r="M39" s="51" t="n">
        <v>23.64</v>
      </c>
      <c r="N39" s="51" t="n">
        <v>0</v>
      </c>
      <c r="O39" s="51" t="n">
        <v>0</v>
      </c>
      <c r="P39" s="6" t="n">
        <f aca="false">M39-(N39+O39)</f>
        <v>23.64</v>
      </c>
      <c r="Q39" s="51" t="n">
        <v>0</v>
      </c>
      <c r="R39" s="51" t="n">
        <v>10.36</v>
      </c>
      <c r="S39" s="51" t="n">
        <f aca="false">SUM(P39:R39)</f>
        <v>34</v>
      </c>
      <c r="T39" s="52" t="n">
        <f aca="false">(I39-S39)+T38</f>
        <v>-18121.62</v>
      </c>
      <c r="U39" s="51" t="n">
        <v>0</v>
      </c>
      <c r="V39" s="51" t="n">
        <v>74.37</v>
      </c>
      <c r="W39" s="6" t="n">
        <f aca="false">N39+O39+S39+U39+V39</f>
        <v>108.37</v>
      </c>
      <c r="X39" s="51" t="n">
        <f aca="false">IF(L39&lt;0,L39*-1,0)</f>
        <v>32.5002697252332</v>
      </c>
      <c r="Y39" s="51" t="n">
        <f aca="false">W39+X39</f>
        <v>140.870269725233</v>
      </c>
      <c r="Z39" s="55" t="n">
        <v>0</v>
      </c>
      <c r="AA39" s="57" t="n">
        <v>40</v>
      </c>
      <c r="AB39" s="82" t="n">
        <v>17</v>
      </c>
      <c r="AC39" s="58" t="n">
        <v>30</v>
      </c>
      <c r="AD39" s="150" t="n">
        <v>0</v>
      </c>
      <c r="AE39" s="92"/>
      <c r="AF39" s="94"/>
    </row>
    <row r="40" customFormat="false" ht="11.1" hidden="false" customHeight="true" outlineLevel="0" collapsed="false">
      <c r="A40" s="58" t="n">
        <v>31</v>
      </c>
      <c r="B40" s="73" t="n">
        <v>6903.45</v>
      </c>
      <c r="C40" s="52" t="n">
        <v>296485</v>
      </c>
      <c r="D40" s="57" t="n">
        <f aca="false">C40-C39</f>
        <v>-227</v>
      </c>
      <c r="E40" s="52" t="n">
        <f aca="false">C40-152000</f>
        <v>144485</v>
      </c>
      <c r="F40" s="51" t="n">
        <f aca="false">D40/$D$2</f>
        <v>-114.444164355936</v>
      </c>
      <c r="G40" s="51" t="n">
        <v>46.24</v>
      </c>
      <c r="H40" s="154" t="n">
        <v>0</v>
      </c>
      <c r="I40" s="51" t="n">
        <f aca="false">G40+H40</f>
        <v>46.24</v>
      </c>
      <c r="J40" s="81" t="n">
        <f aca="false">IF(L40&gt;0,L40,0)</f>
        <v>0</v>
      </c>
      <c r="K40" s="51" t="n">
        <f aca="false">I40+J40</f>
        <v>46.24</v>
      </c>
      <c r="L40" s="51" t="n">
        <f aca="false">F40-(I40-W40)</f>
        <v>-52.3141643559365</v>
      </c>
      <c r="M40" s="51" t="n">
        <v>24.2</v>
      </c>
      <c r="N40" s="51" t="n">
        <v>0</v>
      </c>
      <c r="O40" s="51" t="n">
        <v>0</v>
      </c>
      <c r="P40" s="6" t="n">
        <f aca="false">M40-(N40+O40)</f>
        <v>24.2</v>
      </c>
      <c r="Q40" s="51" t="n">
        <v>0</v>
      </c>
      <c r="R40" s="51" t="n">
        <v>9.8</v>
      </c>
      <c r="S40" s="51" t="n">
        <f aca="false">SUM(P40:R40)</f>
        <v>34</v>
      </c>
      <c r="T40" s="52" t="n">
        <f aca="false">(I40-S40)+T39</f>
        <v>-18109.38</v>
      </c>
      <c r="U40" s="51" t="n">
        <v>0</v>
      </c>
      <c r="V40" s="51" t="n">
        <v>74.37</v>
      </c>
      <c r="W40" s="6" t="n">
        <f aca="false">N40+O40+S40+U40+V40</f>
        <v>108.37</v>
      </c>
      <c r="X40" s="51" t="n">
        <f aca="false">IF(L40&lt;0,L40*-1,0)</f>
        <v>52.3141643559365</v>
      </c>
      <c r="Y40" s="51" t="n">
        <f aca="false">W40+X40</f>
        <v>160.684164355936</v>
      </c>
      <c r="Z40" s="55" t="n">
        <v>0</v>
      </c>
      <c r="AA40" s="57" t="n">
        <v>45</v>
      </c>
      <c r="AB40" s="82" t="n">
        <v>17</v>
      </c>
      <c r="AC40" s="58" t="n">
        <v>31</v>
      </c>
      <c r="AD40" s="94" t="n">
        <v>0</v>
      </c>
      <c r="AE40" s="92"/>
      <c r="AF40" s="94"/>
    </row>
    <row r="41" customFormat="false" ht="3" hidden="false" customHeight="true" outlineLevel="0" collapsed="false">
      <c r="A41" s="74"/>
      <c r="B41" s="74"/>
      <c r="C41" s="76"/>
      <c r="D41" s="74"/>
      <c r="E41" s="76"/>
      <c r="F41" s="74"/>
      <c r="G41" s="74"/>
      <c r="H41" s="157" t="n">
        <v>0</v>
      </c>
      <c r="I41" s="74"/>
      <c r="J41" s="74"/>
      <c r="K41" s="74"/>
      <c r="L41" s="74"/>
      <c r="M41" s="74" t="n">
        <v>0</v>
      </c>
      <c r="N41" s="74"/>
      <c r="O41" s="74"/>
      <c r="P41" s="74"/>
      <c r="Q41" s="74"/>
      <c r="R41" s="74" t="n">
        <v>0</v>
      </c>
      <c r="S41" s="74"/>
      <c r="T41" s="76"/>
      <c r="U41" s="74"/>
      <c r="V41" s="74" t="n">
        <v>0</v>
      </c>
      <c r="W41" s="74"/>
      <c r="X41" s="74"/>
      <c r="Y41" s="74"/>
      <c r="Z41" s="112"/>
      <c r="AA41" s="79"/>
      <c r="AB41" s="79"/>
      <c r="AC41" s="80"/>
      <c r="AD41" s="80"/>
      <c r="AE41" s="92"/>
      <c r="AF41" s="93"/>
    </row>
    <row r="42" customFormat="false" ht="11.1" hidden="false" customHeight="true" outlineLevel="0" collapsed="false">
      <c r="A42" s="51" t="s">
        <v>44</v>
      </c>
      <c r="B42" s="51"/>
      <c r="C42" s="52"/>
      <c r="D42" s="52"/>
      <c r="E42" s="52"/>
      <c r="F42" s="52" t="n">
        <f aca="false">SUM(F10:F40)</f>
        <v>-2247.03806402823</v>
      </c>
      <c r="G42" s="52" t="n">
        <f aca="false">SUM(G10:G40)</f>
        <v>1937.53</v>
      </c>
      <c r="H42" s="154" t="n">
        <f aca="false">SUM(H10:H40)</f>
        <v>0</v>
      </c>
      <c r="I42" s="52" t="n">
        <f aca="false">SUM(I10:I40)</f>
        <v>1937.53</v>
      </c>
      <c r="J42" s="52" t="n">
        <f aca="false">SUM(J10:J40)</f>
        <v>225.90946307033</v>
      </c>
      <c r="K42" s="52" t="n">
        <f aca="false">SUM(K10:K40)</f>
        <v>2163.43946307033</v>
      </c>
      <c r="L42" s="52" t="n">
        <f aca="false">SUM(L10:L40)</f>
        <v>-507.578064028233</v>
      </c>
      <c r="M42" s="52" t="n">
        <f aca="false">SUM(M10:M40)</f>
        <v>697.85</v>
      </c>
      <c r="N42" s="52" t="n">
        <f aca="false">SUM(N10:N40)</f>
        <v>0</v>
      </c>
      <c r="O42" s="52" t="n">
        <f aca="false">SUM(O10:O40)</f>
        <v>0</v>
      </c>
      <c r="P42" s="52" t="n">
        <f aca="false">SUM(P10:P40)</f>
        <v>697.85</v>
      </c>
      <c r="Q42" s="52" t="n">
        <f aca="false">SUM(Q10:Q40)</f>
        <v>0</v>
      </c>
      <c r="R42" s="52" t="n">
        <f aca="false">SUM(R10:R40)</f>
        <v>264.35</v>
      </c>
      <c r="S42" s="52" t="n">
        <f aca="false">SUM(S10:S40)</f>
        <v>962.2</v>
      </c>
      <c r="T42" s="52"/>
      <c r="U42" s="52" t="n">
        <f aca="false">SUM(U10:U40)</f>
        <v>277</v>
      </c>
      <c r="V42" s="52" t="n">
        <f aca="false">SUM(V10:V40)</f>
        <v>2437.79</v>
      </c>
      <c r="W42" s="52" t="n">
        <f aca="false">SUM(W10:W40)</f>
        <v>3676.99</v>
      </c>
      <c r="X42" s="52" t="n">
        <f aca="false">SUM(X10:X40)</f>
        <v>733.487527098563</v>
      </c>
      <c r="Y42" s="52" t="n">
        <f aca="false">SUM(Y10:Y40)</f>
        <v>4410.47752709856</v>
      </c>
      <c r="Z42" s="55" t="n">
        <f aca="false">SUM(Z10:Z40)</f>
        <v>1.69</v>
      </c>
      <c r="AA42" s="57" t="n">
        <f aca="false">AVERAGE(AA10:AA40)</f>
        <v>55.9032258064516</v>
      </c>
      <c r="AB42" s="57" t="n">
        <f aca="false">AVERAGE(AB10:AB40)</f>
        <v>32</v>
      </c>
      <c r="AC42" s="58" t="s">
        <v>69</v>
      </c>
      <c r="AD42" s="94"/>
      <c r="AE42" s="92"/>
      <c r="AF42" s="93"/>
    </row>
    <row r="43" customFormat="false" ht="11.1" hidden="false" customHeight="true" outlineLevel="0" collapsed="false">
      <c r="A43" s="51" t="s">
        <v>46</v>
      </c>
      <c r="B43" s="51"/>
      <c r="C43" s="52"/>
      <c r="D43" s="52" t="n">
        <f aca="false">SUM(D10:D40)</f>
        <v>-4457</v>
      </c>
      <c r="E43" s="52"/>
      <c r="F43" s="52" t="n">
        <f aca="false">F42*$D$2</f>
        <v>-4457</v>
      </c>
      <c r="G43" s="52" t="n">
        <f aca="false">G42*$D$2</f>
        <v>3843.090755</v>
      </c>
      <c r="H43" s="154" t="n">
        <f aca="false">H42*$D$2</f>
        <v>0</v>
      </c>
      <c r="I43" s="52" t="n">
        <f aca="false">I42*$D$2</f>
        <v>3843.090755</v>
      </c>
      <c r="J43" s="52" t="n">
        <f aca="false">J42*$D$2</f>
        <v>448.09142</v>
      </c>
      <c r="K43" s="52" t="n">
        <f aca="false">K42*$D$2</f>
        <v>4291.182175</v>
      </c>
      <c r="L43" s="52" t="n">
        <f aca="false">L42*$D$2</f>
        <v>-1006.78109</v>
      </c>
      <c r="M43" s="52" t="n">
        <f aca="false">M42*$D$2</f>
        <v>1384.185475</v>
      </c>
      <c r="N43" s="52" t="n">
        <f aca="false">N42*$D$2</f>
        <v>0</v>
      </c>
      <c r="O43" s="52" t="n">
        <f aca="false">O42*$D$2</f>
        <v>0</v>
      </c>
      <c r="P43" s="52" t="n">
        <f aca="false">P42*$D$2</f>
        <v>1384.185475</v>
      </c>
      <c r="Q43" s="52" t="n">
        <f aca="false">Q42*$D$2</f>
        <v>0</v>
      </c>
      <c r="R43" s="52" t="n">
        <f aca="false">R42*$D$2</f>
        <v>524.338225</v>
      </c>
      <c r="S43" s="52" t="n">
        <f aca="false">S42*$D$2</f>
        <v>1908.5237</v>
      </c>
      <c r="T43" s="52"/>
      <c r="U43" s="52" t="n">
        <f aca="false">U42*$D$2</f>
        <v>549.4295</v>
      </c>
      <c r="V43" s="52" t="n">
        <f aca="false">V42*$D$2</f>
        <v>4835.356465</v>
      </c>
      <c r="W43" s="52" t="n">
        <f aca="false">W42*$D$2</f>
        <v>7293.309665</v>
      </c>
      <c r="X43" s="52" t="n">
        <f aca="false">X42*$D$2</f>
        <v>1454.87251</v>
      </c>
      <c r="Y43" s="52" t="n">
        <f aca="false">Y42*$D$2</f>
        <v>8748.182175</v>
      </c>
      <c r="Z43" s="55"/>
      <c r="AA43" s="57" t="n">
        <f aca="false">MAX(AA10:AA40)</f>
        <v>72</v>
      </c>
      <c r="AB43" s="57" t="n">
        <f aca="false">MAX(AB10:AB40)</f>
        <v>44</v>
      </c>
      <c r="AC43" s="58" t="s">
        <v>47</v>
      </c>
      <c r="AD43" s="94"/>
      <c r="AE43" s="92"/>
      <c r="AF43" s="93"/>
    </row>
    <row r="44" customFormat="false" ht="3" hidden="false" customHeight="true" outlineLevel="0" collapsed="false">
      <c r="A44" s="74"/>
      <c r="B44" s="74"/>
      <c r="C44" s="76"/>
      <c r="D44" s="76"/>
      <c r="E44" s="76"/>
      <c r="F44" s="76"/>
      <c r="G44" s="76"/>
      <c r="H44" s="157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92"/>
      <c r="AF44" s="93"/>
    </row>
    <row r="45" customFormat="false" ht="11.1" hidden="false" customHeight="true" outlineLevel="0" collapsed="false">
      <c r="A45" s="51" t="s">
        <v>48</v>
      </c>
      <c r="B45" s="51"/>
      <c r="C45" s="52"/>
      <c r="D45" s="52"/>
      <c r="E45" s="52"/>
      <c r="F45" s="52" t="n">
        <f aca="false">F7+F42</f>
        <v>-29155.5331484749</v>
      </c>
      <c r="G45" s="52" t="n">
        <f aca="false">G7+G42</f>
        <v>96912.22</v>
      </c>
      <c r="H45" s="154" t="n">
        <f aca="false">H7+H42</f>
        <v>2089.44</v>
      </c>
      <c r="I45" s="52" t="n">
        <f aca="false">I7+I42</f>
        <v>99001.66</v>
      </c>
      <c r="J45" s="52" t="n">
        <f aca="false">J7+J42</f>
        <v>7092.59702798084</v>
      </c>
      <c r="K45" s="52" t="n">
        <f aca="false">K7+K42</f>
        <v>106094.257027981</v>
      </c>
      <c r="L45" s="52" t="n">
        <f aca="false">L7+L42</f>
        <v>239.626851525083</v>
      </c>
      <c r="M45" s="52" t="n">
        <f aca="false">M7+M42</f>
        <v>31897.69</v>
      </c>
      <c r="N45" s="52" t="n">
        <f aca="false">N7+N42</f>
        <v>0</v>
      </c>
      <c r="O45" s="52" t="n">
        <f aca="false">O7+O42</f>
        <v>0</v>
      </c>
      <c r="P45" s="52" t="n">
        <f aca="false">P7+P42</f>
        <v>31897.69</v>
      </c>
      <c r="Q45" s="52" t="n">
        <f aca="false">Q7+Q42</f>
        <v>27792.96</v>
      </c>
      <c r="R45" s="52" t="n">
        <f aca="false">R7+R42</f>
        <v>13893.09</v>
      </c>
      <c r="S45" s="52" t="n">
        <f aca="false">S7+S42</f>
        <v>73583.74</v>
      </c>
      <c r="T45" s="52" t="n">
        <f aca="false">T40</f>
        <v>-18109.38</v>
      </c>
      <c r="U45" s="52" t="n">
        <f aca="false">U7+U42</f>
        <v>8642</v>
      </c>
      <c r="V45" s="52" t="n">
        <f aca="false">V7+V42</f>
        <v>46171.08</v>
      </c>
      <c r="W45" s="52" t="n">
        <f aca="false">W7+W42</f>
        <v>128396.82</v>
      </c>
      <c r="X45" s="52" t="n">
        <f aca="false">X7+X42</f>
        <v>6884.97228384169</v>
      </c>
      <c r="Y45" s="52" t="n">
        <f aca="false">Y7+Y42</f>
        <v>135281.792283842</v>
      </c>
      <c r="Z45" s="55"/>
      <c r="AA45" s="57" t="n">
        <f aca="false">MIN(AA10:AA40)</f>
        <v>35</v>
      </c>
      <c r="AB45" s="57" t="n">
        <f aca="false">MIN(AB10:AB40)</f>
        <v>17</v>
      </c>
      <c r="AC45" s="58" t="s">
        <v>49</v>
      </c>
      <c r="AD45" s="150"/>
      <c r="AE45" s="92"/>
      <c r="AF45" s="93"/>
    </row>
    <row r="46" customFormat="false" ht="11.1" hidden="false" customHeight="true" outlineLevel="0" collapsed="false">
      <c r="A46" s="51" t="s">
        <v>50</v>
      </c>
      <c r="B46" s="51"/>
      <c r="C46" s="52"/>
      <c r="D46" s="52"/>
      <c r="E46" s="52"/>
      <c r="F46" s="52" t="n">
        <f aca="false">F45*$D$2</f>
        <v>-57830</v>
      </c>
      <c r="G46" s="52" t="n">
        <f aca="false">G45*$D$2</f>
        <v>192225.38837</v>
      </c>
      <c r="H46" s="154" t="n">
        <f aca="false">H45*$D$2</f>
        <v>4144.40424</v>
      </c>
      <c r="I46" s="52" t="n">
        <f aca="false">I45*$D$2</f>
        <v>196369.79261</v>
      </c>
      <c r="J46" s="52" t="n">
        <f aca="false">J45*$D$2</f>
        <v>14068.166205</v>
      </c>
      <c r="K46" s="52" t="n">
        <f aca="false">K45*$D$2</f>
        <v>210437.958815</v>
      </c>
      <c r="L46" s="52" t="n">
        <f aca="false">L45*$D$2</f>
        <v>475.299860000002</v>
      </c>
      <c r="M46" s="52" t="n">
        <f aca="false">M45*$D$2</f>
        <v>63269.068115</v>
      </c>
      <c r="N46" s="52" t="n">
        <f aca="false">N45*$D$2</f>
        <v>0</v>
      </c>
      <c r="O46" s="52" t="n">
        <f aca="false">O45*$D$2</f>
        <v>0</v>
      </c>
      <c r="P46" s="52" t="n">
        <f aca="false">P45*$D$2</f>
        <v>63269.068115</v>
      </c>
      <c r="Q46" s="52" t="n">
        <f aca="false">Q45*$D$2</f>
        <v>55127.33616</v>
      </c>
      <c r="R46" s="52" t="n">
        <f aca="false">R45*$D$2</f>
        <v>27556.944015</v>
      </c>
      <c r="S46" s="52" t="n">
        <f aca="false">S45*$D$2</f>
        <v>145953.34829</v>
      </c>
      <c r="T46" s="52" t="n">
        <f aca="false">T45*$D$2</f>
        <v>-35919.95523</v>
      </c>
      <c r="U46" s="52" t="n">
        <f aca="false">U45*$D$2</f>
        <v>17141.407</v>
      </c>
      <c r="V46" s="52" t="n">
        <f aca="false">V45*$D$2</f>
        <v>91580.33718</v>
      </c>
      <c r="W46" s="52" t="n">
        <f aca="false">W45*$D$2</f>
        <v>254675.09247</v>
      </c>
      <c r="X46" s="52" t="n">
        <f aca="false">X45*$D$2</f>
        <v>13656.342525</v>
      </c>
      <c r="Y46" s="52" t="n">
        <f aca="false">Y45*$D$2</f>
        <v>268331.434995</v>
      </c>
      <c r="Z46" s="55"/>
      <c r="AA46" s="57"/>
      <c r="AB46" s="57"/>
      <c r="AC46" s="58"/>
      <c r="AD46" s="44"/>
      <c r="AE46" s="92"/>
      <c r="AF46" s="93"/>
    </row>
    <row r="47" customFormat="false" ht="3" hidden="false" customHeight="true" outlineLevel="0" collapsed="false">
      <c r="A47" s="74"/>
      <c r="B47" s="74"/>
      <c r="C47" s="76"/>
      <c r="D47" s="76"/>
      <c r="E47" s="76"/>
      <c r="F47" s="76"/>
      <c r="G47" s="76"/>
      <c r="H47" s="157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112"/>
      <c r="AA47" s="112"/>
      <c r="AB47" s="112"/>
      <c r="AC47" s="112"/>
      <c r="AD47" s="112"/>
      <c r="AE47" s="92"/>
      <c r="AF47" s="93"/>
    </row>
    <row r="48" customFormat="false" ht="11.1" hidden="false" customHeight="true" outlineLevel="0" collapsed="false">
      <c r="A48" s="51" t="s">
        <v>51</v>
      </c>
      <c r="B48" s="51"/>
      <c r="C48" s="52"/>
      <c r="D48" s="52"/>
      <c r="E48" s="52"/>
      <c r="F48" s="52" t="n">
        <f aca="false">F8+F42</f>
        <v>-14353.919838669</v>
      </c>
      <c r="G48" s="52" t="n">
        <f aca="false">G8+G42</f>
        <v>118763.72</v>
      </c>
      <c r="H48" s="154" t="n">
        <f aca="false">H8+H42</f>
        <v>2809.91</v>
      </c>
      <c r="I48" s="52" t="n">
        <f aca="false">I8+I42</f>
        <v>121374.53</v>
      </c>
      <c r="J48" s="52" t="n">
        <f aca="false">J8+J42</f>
        <v>18195.4275119738</v>
      </c>
      <c r="K48" s="52" t="n">
        <f aca="false">K8+K42</f>
        <v>139569.957511974</v>
      </c>
      <c r="L48" s="52" t="n">
        <f aca="false">L8+L42</f>
        <v>9840.14016133098</v>
      </c>
      <c r="M48" s="52" t="n">
        <f aca="false">M8+M42</f>
        <v>33946.95</v>
      </c>
      <c r="N48" s="52" t="n">
        <f aca="false">N8+N42</f>
        <v>0.08</v>
      </c>
      <c r="O48" s="52" t="n">
        <f aca="false">O8+O42</f>
        <v>0</v>
      </c>
      <c r="P48" s="52" t="n">
        <f aca="false">P8+P42</f>
        <v>33946.87</v>
      </c>
      <c r="Q48" s="52" t="n">
        <f aca="false">Q8+Q42</f>
        <v>30512.31</v>
      </c>
      <c r="R48" s="52" t="n">
        <f aca="false">R8+R42</f>
        <v>14358.46</v>
      </c>
      <c r="S48" s="52" t="n">
        <f aca="false">S8+S42</f>
        <v>78817.64</v>
      </c>
      <c r="T48" s="52" t="n">
        <f aca="false">T45</f>
        <v>-18109.38</v>
      </c>
      <c r="U48" s="52" t="n">
        <f aca="false">U8+U42</f>
        <v>8642</v>
      </c>
      <c r="V48" s="52" t="n">
        <f aca="false">V8+V42</f>
        <v>58183.87</v>
      </c>
      <c r="W48" s="52" t="n">
        <f aca="false">W8+W42</f>
        <v>145568.59</v>
      </c>
      <c r="X48" s="52" t="n">
        <f aca="false">X8+X42</f>
        <v>8387.28945802874</v>
      </c>
      <c r="Y48" s="52" t="n">
        <f aca="false">Y8+Y42</f>
        <v>153955.879458029</v>
      </c>
      <c r="Z48" s="81" t="n">
        <f aca="false">Z8+Z42</f>
        <v>11.28</v>
      </c>
      <c r="AA48" s="57"/>
      <c r="AB48" s="57"/>
      <c r="AC48" s="58"/>
      <c r="AD48" s="150"/>
      <c r="AE48" s="92"/>
      <c r="AF48" s="93"/>
    </row>
    <row r="49" customFormat="false" ht="11.1" hidden="false" customHeight="true" outlineLevel="0" collapsed="false">
      <c r="A49" s="51" t="s">
        <v>52</v>
      </c>
      <c r="B49" s="51"/>
      <c r="C49" s="52"/>
      <c r="D49" s="52" t="n">
        <f aca="false">D8+D43</f>
        <v>-28471</v>
      </c>
      <c r="E49" s="52" t="n">
        <f aca="false">E40</f>
        <v>144485</v>
      </c>
      <c r="F49" s="52" t="n">
        <f aca="false">F48*$D$2</f>
        <v>-28471</v>
      </c>
      <c r="G49" s="52" t="n">
        <f aca="false">G48*$D$2</f>
        <v>235567.83862</v>
      </c>
      <c r="H49" s="154" t="n">
        <f aca="false">H48*$D$2</f>
        <v>5573.456485</v>
      </c>
      <c r="I49" s="52" t="n">
        <f aca="false">I48*$D$2</f>
        <v>240746.380255</v>
      </c>
      <c r="J49" s="52" t="n">
        <f aca="false">J48*$D$2</f>
        <v>36090.63047</v>
      </c>
      <c r="K49" s="52" t="n">
        <f aca="false">K48*$D$2</f>
        <v>276837.010725</v>
      </c>
      <c r="L49" s="52" t="n">
        <f aca="false">L48*$D$2</f>
        <v>19517.91801</v>
      </c>
      <c r="M49" s="52" t="n">
        <f aca="false">M48*$D$2</f>
        <v>67333.775325</v>
      </c>
      <c r="N49" s="52" t="n">
        <f aca="false">N48*$D$2</f>
        <v>0.15868</v>
      </c>
      <c r="O49" s="52" t="n">
        <f aca="false">O48*$D$2</f>
        <v>0</v>
      </c>
      <c r="P49" s="52" t="n">
        <f aca="false">P48*$D$2</f>
        <v>67333.616645</v>
      </c>
      <c r="Q49" s="52" t="n">
        <f aca="false">Q48*$D$2</f>
        <v>60521.166885</v>
      </c>
      <c r="R49" s="52" t="n">
        <f aca="false">R48*$D$2</f>
        <v>28480.00541</v>
      </c>
      <c r="S49" s="52" t="n">
        <f aca="false">S48*$D$2</f>
        <v>156334.78894</v>
      </c>
      <c r="T49" s="52" t="n">
        <f aca="false">T48*$D$2</f>
        <v>-35919.95523</v>
      </c>
      <c r="U49" s="52" t="n">
        <f aca="false">U48*$D$2</f>
        <v>17141.407</v>
      </c>
      <c r="V49" s="52" t="n">
        <f aca="false">V48*$D$2</f>
        <v>115407.706145</v>
      </c>
      <c r="W49" s="52" t="n">
        <f aca="false">W48*$D$2</f>
        <v>288735.298265</v>
      </c>
      <c r="X49" s="52" t="n">
        <f aca="false">X48*$D$2</f>
        <v>16636.18864</v>
      </c>
      <c r="Y49" s="52" t="n">
        <f aca="false">Y48*$D$2</f>
        <v>305371.486905</v>
      </c>
      <c r="Z49" s="55"/>
      <c r="AA49" s="57"/>
      <c r="AB49" s="57"/>
      <c r="AC49" s="58"/>
      <c r="AD49" s="44"/>
      <c r="AE49" s="92"/>
      <c r="AF49" s="93"/>
    </row>
    <row r="50" customFormat="false" ht="3" hidden="false" customHeight="true" outlineLevel="0" collapsed="false">
      <c r="A50" s="74"/>
      <c r="B50" s="74"/>
      <c r="C50" s="76"/>
      <c r="D50" s="74"/>
      <c r="E50" s="76"/>
      <c r="F50" s="74"/>
      <c r="G50" s="74"/>
      <c r="H50" s="157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6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92"/>
      <c r="AF50" s="93"/>
    </row>
    <row r="52" customFormat="false" ht="11.1" hidden="false" customHeight="true" outlineLevel="0" collapsed="false">
      <c r="R52" s="146" t="s">
        <v>85</v>
      </c>
      <c r="S52" s="45" t="n">
        <v>3391</v>
      </c>
    </row>
    <row r="53" customFormat="false" ht="11.1" hidden="false" customHeight="true" outlineLevel="0" collapsed="false">
      <c r="R53" s="146" t="s">
        <v>86</v>
      </c>
      <c r="S53" s="45" t="n">
        <v>859</v>
      </c>
    </row>
    <row r="54" customFormat="false" ht="11.1" hidden="false" customHeight="true" outlineLevel="0" collapsed="false">
      <c r="R54" s="159" t="s">
        <v>87</v>
      </c>
      <c r="S54" s="160" t="n">
        <v>152321</v>
      </c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LibreOffice/7.3.7.2$Linux_AARCH64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1997-11-03T15:03:40Z</dcterms:created>
  <dc:creator>JOHN PORTER</dc:creator>
  <dc:description/>
  <dc:language>en-US</dc:language>
  <cp:lastModifiedBy>EA BIRK</cp:lastModifiedBy>
  <cp:lastPrinted>2010-03-01T09:14:47Z</cp:lastPrinted>
  <dcterms:modified xsi:type="dcterms:W3CDTF">2010-03-01T10:10:35Z</dcterms:modified>
  <cp:revision>0</cp:revision>
  <dc:subject>MCPHEE IN/OUT FLOW</dc:subject>
  <dc:title>RIVER</dc:title>
</cp:coreProperties>
</file>