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comments8.xml" ContentType="application/vnd.openxmlformats-officedocument.spreadsheetml.comments+xml"/>
  <Override PartName="/xl/comments7.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10.vml" ContentType="application/vnd.openxmlformats-officedocument.vmlDrawing"/>
  <Override PartName="/xl/drawings/vmlDrawing6.vml" ContentType="application/vnd.openxmlformats-officedocument.vmlDrawing"/>
  <Override PartName="/xl/drawings/vmlDrawing11.vml" ContentType="application/vnd.openxmlformats-officedocument.vmlDrawing"/>
  <Override PartName="/xl/drawings/vmlDrawing7.vml" ContentType="application/vnd.openxmlformats-officedocument.vmlDrawing"/>
  <Override PartName="/xl/drawings/vmlDrawing12.vml" ContentType="application/vnd.openxmlformats-officedocument.vmlDrawing"/>
  <Override PartName="/xl/drawings/vmlDrawing8.vml" ContentType="application/vnd.openxmlformats-officedocument.vmlDrawing"/>
  <Override PartName="/xl/drawings/vmlDrawing9.vml" ContentType="application/vnd.openxmlformats-officedocument.vmlDrawing"/>
  <Override PartName="/xl/comments2.xml" ContentType="application/vnd.openxmlformats-officedocument.spreadsheetml.comments+xml"/>
  <Override PartName="/xl/comments12.xml" ContentType="application/vnd.openxmlformats-officedocument.spreadsheetml.comments+xml"/>
  <Override PartName="/xl/comments11.xml" ContentType="application/vnd.openxmlformats-officedocument.spreadsheetml.comments+xml"/>
  <Override PartName="/xl/comments1.xml" ContentType="application/vnd.openxmlformats-officedocument.spreadsheetml.comments+xml"/>
  <Override PartName="/xl/comments10.xml" ContentType="application/vnd.openxmlformats-officedocument.spreadsheetml.comments+xml"/>
  <Override PartName="/xl/comments9.xml" ContentType="application/vnd.openxmlformats-officedocument.spreadsheetml.comments+xml"/>
  <Override PartName="/xl/workbook.xml" ContentType="application/vnd.openxmlformats-officedocument.spreadsheetml.sheet.main+xml"/>
  <Override PartName="/xl/_rels/workbook.xml.rels" ContentType="application/vnd.openxmlformats-package.relationships+xml"/>
  <Override PartName="/xl/comments6.xml" ContentType="application/vnd.openxmlformats-officedocument.spreadsheetml.comments+xml"/>
  <Override PartName="/xl/styles.xml" ContentType="application/vnd.openxmlformats-officedocument.spreadsheetml.styles+xml"/>
  <Override PartName="/xl/comments4.xml" ContentType="application/vnd.openxmlformats-officedocument.spreadsheetml.comment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_rels/sheet11.xml.rels" ContentType="application/vnd.openxmlformats-package.relationships+xml"/>
  <Override PartName="/xl/worksheets/_rels/sheet3.xml.rels" ContentType="application/vnd.openxmlformats-package.relationships+xml"/>
  <Override PartName="/xl/worksheets/_rels/sheet10.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3.xml" ContentType="application/vnd.openxmlformats-officedocument.spreadsheetml.comments+xml"/>
  <Override PartName="/xl/sharedStrings.xml" ContentType="application/vnd.openxmlformats-officedocument.spreadsheetml.sharedStrings+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1"/>
  </bookViews>
  <sheets>
    <sheet name="NOV" sheetId="1" state="visible" r:id="rId2"/>
    <sheet name="DEC" sheetId="2" state="visible" r:id="rId3"/>
    <sheet name="JAN" sheetId="3" state="visible" r:id="rId4"/>
    <sheet name="FEB" sheetId="4" state="visible" r:id="rId5"/>
    <sheet name="MAR" sheetId="5" state="visible" r:id="rId6"/>
    <sheet name="APR" sheetId="6" state="visible" r:id="rId7"/>
    <sheet name="MAY" sheetId="7" state="visible" r:id="rId8"/>
    <sheet name="JUN" sheetId="8" state="visible" r:id="rId9"/>
    <sheet name="JUL" sheetId="9" state="visible" r:id="rId10"/>
    <sheet name="AUG" sheetId="10" state="visible" r:id="rId11"/>
    <sheet name="SEP" sheetId="11" state="visible" r:id="rId12"/>
    <sheet name="OCT" sheetId="12" state="visible" r:id="rId13"/>
  </sheets>
  <definedNames>
    <definedName function="false" hidden="false" localSheetId="5" name="_xlnm.Print_Area" vbProcedure="false">APR!$A$1:$AZ$56</definedName>
    <definedName function="false" hidden="false" localSheetId="9" name="_xlnm.Print_Area" vbProcedure="false">AUG!$A$1:$BB$60</definedName>
    <definedName function="false" hidden="false" localSheetId="1" name="_xlnm.Print_Area" vbProcedure="false">DEC!$A$1:$AZ$60</definedName>
    <definedName function="false" hidden="false" localSheetId="3" name="_xlnm.Print_Area" vbProcedure="false">FEB!$A$1:$AZ$60</definedName>
    <definedName function="false" hidden="false" localSheetId="2" name="_xlnm.Print_Area" vbProcedure="false">JAN!$A$1:$AZ$60</definedName>
    <definedName function="false" hidden="false" localSheetId="8" name="_xlnm.Print_Area" vbProcedure="false">JUL!$A$1:$AZ$59</definedName>
    <definedName function="false" hidden="false" localSheetId="7" name="_xlnm.Print_Area" vbProcedure="false">JUN!$A$1:$AZ$56</definedName>
    <definedName function="false" hidden="false" localSheetId="4" name="_xlnm.Print_Area" vbProcedure="false">MAR!$A$1:$AZ$60</definedName>
    <definedName function="false" hidden="false" localSheetId="6" name="_xlnm.Print_Area" vbProcedure="false">MAY!$A$1:$AZ$60</definedName>
    <definedName function="false" hidden="false" localSheetId="11" name="_xlnm.Print_Area" vbProcedure="false">OCT!$A$1:$BA$60</definedName>
    <definedName function="false" hidden="false" localSheetId="10" name="_xlnm.Print_Area" vbProcedure="false">SEP!$A$1:$BB$60</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 </author>
  </authors>
  <commentList>
    <comment ref="O26" authorId="0">
      <text>
        <r>
          <rPr>
            <b val="true"/>
            <sz val="8"/>
            <color rgb="FF000000"/>
            <rFont val="Tahoma"/>
            <family val="0"/>
          </rPr>
          <t xml:space="preserve">Vernon Lamb:
</t>
        </r>
        <r>
          <rPr>
            <sz val="8"/>
            <color rgb="FF000000"/>
            <rFont val="Tahoma"/>
            <family val="0"/>
          </rPr>
          <t xml:space="preserve">All water from Reach 2 has been drained. Water was in Reach 2 before the start of WY 2014 - will be deducted from  WY 2014 and added onto WY 2013.
8.8+1.5+0.2+3.3+1.2 = 15 cfs that will be deducted from WY 2014 and added onto WY 2013. See equation in cell O46.</t>
        </r>
      </text>
    </comment>
    <comment ref="O46" authorId="0">
      <text>
        <r>
          <rPr>
            <b val="true"/>
            <sz val="8"/>
            <color rgb="FF000000"/>
            <rFont val="Tahoma"/>
            <family val="0"/>
          </rPr>
          <t xml:space="preserve">Vernon Lamb:
</t>
        </r>
        <r>
          <rPr>
            <sz val="8"/>
            <color rgb="FF000000"/>
            <rFont val="Tahoma"/>
            <family val="0"/>
          </rPr>
          <t xml:space="preserve">"-15 cfs" for water that remained in Reach 2 from WY2013, but hadn't drained until Nov 13th WY 2014.</t>
        </r>
      </text>
    </commen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AC32" authorId="0">
      <text>
        <r>
          <rPr>
            <b val="true"/>
            <sz val="8"/>
            <color rgb="FF000000"/>
            <rFont val="Tahoma"/>
            <family val="0"/>
          </rPr>
          <t xml:space="preserve">Vernon Lamb:
</t>
        </r>
        <r>
          <rPr>
            <sz val="8"/>
            <color rgb="FF000000"/>
            <rFont val="Tahoma"/>
            <family val="0"/>
          </rPr>
          <t xml:space="preserve">Totten Exchange is done.</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 ref="AI7" authorId="0">
      <text>
        <r>
          <rPr>
            <b val="true"/>
            <sz val="8"/>
            <color rgb="FF000000"/>
            <rFont val="Tahoma"/>
            <family val="0"/>
          </rPr>
          <t xml:space="preserve">Vernon Lamb:
</t>
        </r>
        <r>
          <rPr>
            <sz val="8"/>
            <color rgb="FF000000"/>
            <rFont val="Tahoma"/>
            <family val="0"/>
          </rPr>
          <t xml:space="preserve">August 1st Fish Pool allocation amount. Updated 10/3/13. From Ken's Alloc Sheet.</t>
        </r>
      </text>
    </comment>
    <comment ref="AN15" authorId="0">
      <text>
        <r>
          <rPr>
            <b val="true"/>
            <sz val="8"/>
            <color rgb="FF000000"/>
            <rFont val="Tahoma"/>
            <family val="0"/>
          </rPr>
          <t xml:space="preserve">Vernon Lamb:
</t>
        </r>
        <r>
          <rPr>
            <sz val="8"/>
            <color rgb="FF000000"/>
            <rFont val="Tahoma"/>
            <family val="0"/>
          </rPr>
          <t xml:space="preserve">At noon on Oct 31, 2013, Narraguinnep boat ramp read 61.8 = 6681.3' = 13,716.59 AF capacity.</t>
        </r>
      </text>
    </comment>
  </commentList>
</comments>
</file>

<file path=xl/comments2.xml><?xml version="1.0" encoding="utf-8"?>
<comments xmlns="http://schemas.openxmlformats.org/spreadsheetml/2006/main" xmlns:xdr="http://schemas.openxmlformats.org/drawingml/2006/spreadsheetDrawing">
  <authors>
    <author> </author>
  </authors>
  <commentList>
    <comment ref="G24" authorId="0">
      <text>
        <r>
          <rPr>
            <b val="true"/>
            <sz val="8"/>
            <color rgb="FF000000"/>
            <rFont val="Tahoma"/>
            <family val="0"/>
          </rPr>
          <t xml:space="preserve">Vernon Lamb:
</t>
        </r>
        <r>
          <rPr>
            <sz val="8"/>
            <color rgb="FF000000"/>
            <rFont val="Tahoma"/>
            <family val="0"/>
          </rPr>
          <t xml:space="preserve">USGS Gage iced over.</t>
        </r>
      </text>
    </comment>
    <comment ref="H20" authorId="0">
      <text>
        <r>
          <rPr>
            <b val="true"/>
            <sz val="8"/>
            <color rgb="FF000000"/>
            <rFont val="Tahoma"/>
            <family val="0"/>
          </rPr>
          <t xml:space="preserve">Vernon Lamb:
</t>
        </r>
        <r>
          <rPr>
            <sz val="8"/>
            <color rgb="FF000000"/>
            <rFont val="Tahoma"/>
            <family val="0"/>
          </rPr>
          <t xml:space="preserve">USGS Gage iced over.</t>
        </r>
      </text>
    </commen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 ref="AI7" authorId="0">
      <text>
        <r>
          <rPr>
            <b val="true"/>
            <sz val="8"/>
            <color rgb="FF000000"/>
            <rFont val="Tahoma"/>
            <family val="0"/>
          </rPr>
          <t xml:space="preserve">Vernon Lamb:
</t>
        </r>
        <r>
          <rPr>
            <sz val="8"/>
            <color rgb="FF000000"/>
            <rFont val="Tahoma"/>
            <family val="0"/>
          </rPr>
          <t xml:space="preserve">August 1st Fish Pool allocation amount. Updated 10/3/13. From Ken's Alloc Sheet.</t>
        </r>
      </text>
    </comment>
  </commentList>
</comments>
</file>

<file path=xl/comments3.xml><?xml version="1.0" encoding="utf-8"?>
<comments xmlns="http://schemas.openxmlformats.org/spreadsheetml/2006/main" xmlns:xdr="http://schemas.openxmlformats.org/drawingml/2006/spreadsheetDrawing">
  <authors>
    <author> </author>
  </authors>
  <commentList>
    <comment ref="B35" authorId="0">
      <text>
        <r>
          <rPr>
            <b val="true"/>
            <sz val="8"/>
            <color rgb="FF000000"/>
            <rFont val="Tahoma"/>
            <family val="0"/>
          </rPr>
          <t xml:space="preserve">Vernon Lamb:
</t>
        </r>
        <r>
          <rPr>
            <sz val="8"/>
            <color rgb="FF000000"/>
            <rFont val="Tahoma"/>
            <family val="0"/>
          </rPr>
          <t xml:space="preserve">Lost daily value data for the 21st &amp; 22nd. Lake elevation is estimated between known values of 6868.51 &amp; 6868.58.</t>
        </r>
      </text>
    </comment>
    <comment ref="B36" authorId="0">
      <text>
        <r>
          <rPr>
            <b val="true"/>
            <sz val="8"/>
            <color rgb="FF000000"/>
            <rFont val="Tahoma"/>
            <family val="0"/>
          </rPr>
          <t xml:space="preserve">Vernon Lamb:
</t>
        </r>
        <r>
          <rPr>
            <sz val="8"/>
            <color rgb="FF000000"/>
            <rFont val="Tahoma"/>
            <family val="0"/>
          </rPr>
          <t xml:space="preserve">Lost daily value data for the 21st &amp; 22nd. Lake elevation is estimated between known values of 6868.51 &amp; 6868.58.</t>
        </r>
      </text>
    </comment>
    <comment ref="B42" authorId="0">
      <text>
        <r>
          <rPr>
            <b val="true"/>
            <sz val="8"/>
            <color rgb="FF000000"/>
            <rFont val="Tahoma"/>
            <family val="0"/>
          </rPr>
          <t xml:space="preserve">Vernon Lamb:
</t>
        </r>
        <r>
          <rPr>
            <sz val="8"/>
            <color rgb="FF000000"/>
            <rFont val="Tahoma"/>
            <family val="0"/>
          </rPr>
          <t xml:space="preserve">Lost daily value data for the 28th. Lake elevation is estimated between known values of 6868.63 &amp; 6868.67.</t>
        </r>
      </text>
    </commen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 ref="AI7" authorId="0">
      <text>
        <r>
          <rPr>
            <b val="true"/>
            <sz val="8"/>
            <color rgb="FF000000"/>
            <rFont val="Tahoma"/>
            <family val="0"/>
          </rPr>
          <t xml:space="preserve">Vernon Lamb:
</t>
        </r>
        <r>
          <rPr>
            <sz val="8"/>
            <color rgb="FF000000"/>
            <rFont val="Tahoma"/>
            <family val="0"/>
          </rPr>
          <t xml:space="preserve">August 1st Fish Pool allocation amount. Updated 10/3/13. From Ken's Alloc Sheet.</t>
        </r>
      </text>
    </comment>
  </commentList>
</comments>
</file>

<file path=xl/comments4.xml><?xml version="1.0" encoding="utf-8"?>
<comments xmlns="http://schemas.openxmlformats.org/spreadsheetml/2006/main" xmlns:xdr="http://schemas.openxmlformats.org/drawingml/2006/spreadsheetDrawing">
  <authors>
    <author> </author>
  </authors>
  <commentList>
    <comment ref="B41" authorId="0">
      <text>
        <r>
          <rPr>
            <b val="true"/>
            <sz val="8"/>
            <color rgb="FF000000"/>
            <rFont val="Tahoma"/>
            <family val="0"/>
          </rPr>
          <t xml:space="preserve">Vernon Lamb:
</t>
        </r>
        <r>
          <rPr>
            <sz val="8"/>
            <color rgb="FF000000"/>
            <rFont val="Tahoma"/>
            <family val="0"/>
          </rPr>
          <t xml:space="preserve">This is an estimated McPhee Reservoir Elevation. The elevation sensor at McPhee Dam malfunctioned and has not produced a reading since Feb 26th. On Mar 3rd an elevation measurement will be taken by hand.
Mar 3rd at 10:00 Hrs McPhee elev: 6870.30'
Last known elevation Feb 26th at midnight elev: 6869.81'. Difference between Feb 26 elev and Mar 3 elev: 0.49' over a time of 106 hours. 0.49'/106hrs = +0.0046226415'/hour. (0.0046226415'/hr * 24 hrs) = +0.1109433962' over 24hrs. Feb 27th elev = 6869.81' +  0.1109433962' = 6869.92'.</t>
        </r>
      </text>
    </comment>
    <comment ref="B42" authorId="0">
      <text>
        <r>
          <rPr>
            <b val="true"/>
            <sz val="8"/>
            <color rgb="FF000000"/>
            <rFont val="Tahoma"/>
            <family val="0"/>
          </rPr>
          <t xml:space="preserve">Vernon Lamb:
</t>
        </r>
        <r>
          <rPr>
            <sz val="8"/>
            <color rgb="FF000000"/>
            <rFont val="Tahoma"/>
            <family val="0"/>
          </rPr>
          <t xml:space="preserve">This is an estimated McPhee Reservoir Elevation. The elevation sensor at McPhee Dam malfunctioned and has not produced a reading since Feb 26th. On Mar 3rd an elevation measurement will be taken by hand.
Mar 3rd at 10:00 Hrs McPhee elev: 6870.30'
Last known elevation Feb 26th at midnight elev: 6869.81'. Difference between Feb 26 elev and Mar 3 elev: 0.49' over a time of 106 hours. 0.49'/106hrs = +0.0046226415'/hour. (0.0046226415'/hr * 24 hrs) = +0.1109433962' over 24hrs. Feb 28th elev = 6869.92' +  0.1109433962' = 6870.03'.</t>
        </r>
      </text>
    </comment>
    <comment ref="G26" authorId="0">
      <text>
        <r>
          <rPr>
            <b val="true"/>
            <sz val="8"/>
            <color rgb="FF000000"/>
            <rFont val="Tahoma"/>
            <family val="0"/>
          </rPr>
          <t xml:space="preserve">Vernon Lamb:
</t>
        </r>
        <r>
          <rPr>
            <sz val="8"/>
            <color rgb="FF000000"/>
            <rFont val="Tahoma"/>
            <family val="0"/>
          </rPr>
          <t xml:space="preserve">Dol Riv gage values were approved over the weekend. This is the most up to date value that is posted, gage reads "ice" from the 13th on. 2-17-14. Still the same 4-1-14.</t>
        </r>
      </text>
    </commen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 ref="AI7" authorId="0">
      <text>
        <r>
          <rPr>
            <b val="true"/>
            <sz val="8"/>
            <color rgb="FF000000"/>
            <rFont val="Tahoma"/>
            <family val="0"/>
          </rPr>
          <t xml:space="preserve">Vernon Lamb:
</t>
        </r>
        <r>
          <rPr>
            <sz val="8"/>
            <color rgb="FF000000"/>
            <rFont val="Tahoma"/>
            <family val="0"/>
          </rPr>
          <t xml:space="preserve">August 1st Fish Pool allocation amount. Updated 10/3/13. From Ken's Alloc Sheet.</t>
        </r>
      </text>
    </comment>
  </commentList>
</comments>
</file>

<file path=xl/comments5.xml><?xml version="1.0" encoding="utf-8"?>
<comments xmlns="http://schemas.openxmlformats.org/spreadsheetml/2006/main" xmlns:xdr="http://schemas.openxmlformats.org/drawingml/2006/spreadsheetDrawing">
  <authors>
    <author> </author>
  </authors>
  <commentList>
    <comment ref="B15" authorId="0">
      <text>
        <r>
          <rPr>
            <b val="true"/>
            <sz val="8"/>
            <color rgb="FF000000"/>
            <rFont val="Tahoma"/>
            <family val="0"/>
          </rPr>
          <t xml:space="preserve">Vernon Lamb:
</t>
        </r>
        <r>
          <rPr>
            <sz val="8"/>
            <color rgb="FF000000"/>
            <rFont val="Tahoma"/>
            <family val="0"/>
          </rPr>
          <t xml:space="preserve">This is an estimated McPhee Reservoir Elevation. The elevation sensor at McPhee Dam malfunctioned and has not produced a reading since Feb 26th. On Mar 3rd an elevation measurement will be taken by hand.
Mar 3rd at 10:00 Hrs McPhee elev: 6870.30'
Last known elevation Feb 26th at midnight elev: 6869.81'. Difference between Feb 26 elev and Mar 3 elev: 0.49' over a time of 106 hours. 0.49'/106hrs = +0.0046226415'/hour. (0.0046226415'/hr * 24 hrs) = +0.1109433962' over 24hrs. Mar 1st elev = 6870.03' +  0.1109433962' = 6870.14'.</t>
        </r>
      </text>
    </comment>
    <comment ref="B16" authorId="0">
      <text>
        <r>
          <rPr>
            <b val="true"/>
            <sz val="8"/>
            <color rgb="FF000000"/>
            <rFont val="Tahoma"/>
            <family val="0"/>
          </rPr>
          <t xml:space="preserve">Vernon Lamb:
</t>
        </r>
        <r>
          <rPr>
            <sz val="8"/>
            <color rgb="FF000000"/>
            <rFont val="Tahoma"/>
            <family val="0"/>
          </rPr>
          <t xml:space="preserve">This is an estimated McPhee Reservoir Elevation. The elevation sensor at McPhee Dam malfunctioned and has not produced a reading since Feb 26th. On Mar 3rd an elevation measurement will be taken by hand.
Mar 3rd at 10:00 Hrs McPhee elev: 6870.30'
Last known elevation Feb 26th at midnight elev: 6869.81'. Difference between Feb 26 elev and Mar 3 elev: 0.49' over a time of 106 hours. 0.49'/106hrs = +0.0046226415'/hour. (0.0046226415'/hr * 24 hrs) = +0.1109433962' over 24hrs. Mar 2nd elev = 6870.14' +  0.1109433962' = 6870.25'.</t>
        </r>
      </text>
    </comment>
    <comment ref="G18" authorId="0">
      <text>
        <r>
          <rPr>
            <b val="true"/>
            <sz val="8"/>
            <color rgb="FF000000"/>
            <rFont val="Tahoma"/>
            <family val="0"/>
          </rPr>
          <t xml:space="preserve">Vernon Lamb:
</t>
        </r>
        <r>
          <rPr>
            <sz val="8"/>
            <color rgb="FF000000"/>
            <rFont val="Tahoma"/>
            <family val="0"/>
          </rPr>
          <t xml:space="preserve">Gage unfrozen. </t>
        </r>
      </text>
    </comment>
    <comment ref="H22" authorId="0">
      <text>
        <r>
          <rPr>
            <b val="true"/>
            <sz val="8"/>
            <color rgb="FF000000"/>
            <rFont val="Tahoma"/>
            <family val="0"/>
          </rPr>
          <t xml:space="preserve">Vernon Lamb:
</t>
        </r>
        <r>
          <rPr>
            <sz val="8"/>
            <color rgb="FF000000"/>
            <rFont val="Tahoma"/>
            <family val="0"/>
          </rPr>
          <t xml:space="preserve">Gage unfrozen.</t>
        </r>
      </text>
    </commen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U38" authorId="0">
      <text>
        <r>
          <rPr>
            <b val="true"/>
            <sz val="8"/>
            <color rgb="FF000000"/>
            <rFont val="Tahoma"/>
            <family val="0"/>
          </rPr>
          <t xml:space="preserve">Vernon Lamb:
</t>
        </r>
        <r>
          <rPr>
            <sz val="8"/>
            <color rgb="FF000000"/>
            <rFont val="Tahoma"/>
            <family val="0"/>
          </rPr>
          <t xml:space="preserve">End of F-Bay Eqn as we began sending water down Towaoc Canal. If F-bay Eqn were to stay in effect MVI would not be charged for any water.</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 ref="AI7" authorId="0">
      <text>
        <r>
          <rPr>
            <b val="true"/>
            <sz val="8"/>
            <color rgb="FF000000"/>
            <rFont val="Tahoma"/>
            <family val="0"/>
          </rPr>
          <t xml:space="preserve">Vernon Lamb:
</t>
        </r>
        <r>
          <rPr>
            <sz val="8"/>
            <color rgb="FF000000"/>
            <rFont val="Tahoma"/>
            <family val="0"/>
          </rPr>
          <t xml:space="preserve">August 1st Fish Pool allocation amount. Updated 10/3/13. From Ken's Alloc Sheet.</t>
        </r>
      </text>
    </comment>
    <comment ref="AN45" authorId="0">
      <text>
        <r>
          <rPr>
            <b val="true"/>
            <sz val="8"/>
            <color rgb="FF000000"/>
            <rFont val="Tahoma"/>
            <family val="0"/>
          </rPr>
          <t xml:space="preserve">Vernon Lamb:
</t>
        </r>
        <r>
          <rPr>
            <sz val="8"/>
            <color rgb="FF000000"/>
            <rFont val="Tahoma"/>
            <family val="0"/>
          </rPr>
          <t xml:space="preserve">Narr Boat Ramp Elev: 60.75' at 17:37 Hrs. Using Narraguinnep rating table round to 60.8' = 13,223.70 AF. 18,960.0 AF - 13,223.7 AF = 5,736.3 AF left to fill.
</t>
        </r>
      </text>
    </comment>
    <comment ref="AQ39" authorId="0">
      <text>
        <r>
          <rPr>
            <b val="true"/>
            <sz val="8"/>
            <color rgb="FF000000"/>
            <rFont val="Tahoma"/>
            <family val="0"/>
          </rPr>
          <t xml:space="preserve">Vernon Lamb:
</t>
        </r>
        <r>
          <rPr>
            <sz val="8"/>
            <color rgb="FF000000"/>
            <rFont val="Tahoma"/>
            <family val="0"/>
          </rPr>
          <t xml:space="preserve">Started Evap Pan at Great Cut Dike. Evap on March 25th report: 0.390"</t>
        </r>
      </text>
    </comment>
    <comment ref="AQ40" authorId="0">
      <text>
        <r>
          <rPr>
            <b val="true"/>
            <sz val="8"/>
            <color rgb="FF000000"/>
            <rFont val="Tahoma"/>
            <family val="0"/>
          </rPr>
          <t xml:space="preserve">Vernon Lamb:
</t>
        </r>
        <r>
          <rPr>
            <sz val="8"/>
            <color rgb="FF000000"/>
            <rFont val="Tahoma"/>
            <family val="0"/>
          </rPr>
          <t xml:space="preserve">Evap Pan: 0.186"</t>
        </r>
      </text>
    </comment>
    <comment ref="AQ41" authorId="0">
      <text>
        <r>
          <rPr>
            <b val="true"/>
            <sz val="8"/>
            <color rgb="FF000000"/>
            <rFont val="Tahoma"/>
            <family val="0"/>
          </rPr>
          <t xml:space="preserve">Vernon Lamb:
</t>
        </r>
        <r>
          <rPr>
            <sz val="8"/>
            <color rgb="FF000000"/>
            <rFont val="Tahoma"/>
            <family val="0"/>
          </rPr>
          <t xml:space="preserve">Evap Pan: 0.155"</t>
        </r>
      </text>
    </comment>
    <comment ref="AQ42" authorId="0">
      <text>
        <r>
          <rPr>
            <b val="true"/>
            <sz val="8"/>
            <color rgb="FF000000"/>
            <rFont val="Tahoma"/>
            <family val="0"/>
          </rPr>
          <t xml:space="preserve">Vernon Lamb:
</t>
        </r>
        <r>
          <rPr>
            <sz val="8"/>
            <color rgb="FF000000"/>
            <rFont val="Tahoma"/>
            <family val="0"/>
          </rPr>
          <t xml:space="preserve">Evap Pan: 0.125"</t>
        </r>
      </text>
    </comment>
    <comment ref="AQ43" authorId="0">
      <text>
        <r>
          <rPr>
            <b val="true"/>
            <sz val="8"/>
            <color rgb="FF000000"/>
            <rFont val="Tahoma"/>
            <family val="0"/>
          </rPr>
          <t xml:space="preserve">Vernon Lamb:
</t>
        </r>
        <r>
          <rPr>
            <sz val="8"/>
            <color rgb="FF000000"/>
            <rFont val="Tahoma"/>
            <family val="0"/>
          </rPr>
          <t xml:space="preserve">Evap Pan: 0.116"</t>
        </r>
      </text>
    </comment>
    <comment ref="AQ44" authorId="0">
      <text>
        <r>
          <rPr>
            <b val="true"/>
            <sz val="8"/>
            <color rgb="FF000000"/>
            <rFont val="Tahoma"/>
            <family val="0"/>
          </rPr>
          <t xml:space="preserve">Vernon Lamb:
</t>
        </r>
        <r>
          <rPr>
            <sz val="8"/>
            <color rgb="FF000000"/>
            <rFont val="Tahoma"/>
            <family val="0"/>
          </rPr>
          <t xml:space="preserve">Evap Pan: 0.271"</t>
        </r>
      </text>
    </comment>
    <comment ref="AQ45" authorId="0">
      <text>
        <r>
          <rPr>
            <b val="true"/>
            <sz val="8"/>
            <color rgb="FF000000"/>
            <rFont val="Tahoma"/>
            <family val="0"/>
          </rPr>
          <t xml:space="preserve">Vernon Lamb:
</t>
        </r>
        <r>
          <rPr>
            <sz val="8"/>
            <color rgb="FF000000"/>
            <rFont val="Tahoma"/>
            <family val="0"/>
          </rPr>
          <t xml:space="preserve">Evap Pan: 0.473"</t>
        </r>
      </text>
    </comment>
  </commentList>
</comments>
</file>

<file path=xl/comments6.xml><?xml version="1.0" encoding="utf-8"?>
<comments xmlns="http://schemas.openxmlformats.org/spreadsheetml/2006/main" xmlns:xdr="http://schemas.openxmlformats.org/drawingml/2006/spreadsheetDrawing">
  <authors>
    <author> </author>
  </authors>
  <commentList>
    <comment ref="G24" authorId="0">
      <text>
        <r>
          <rPr>
            <b val="true"/>
            <sz val="8"/>
            <color rgb="FF000000"/>
            <rFont val="Tahoma"/>
            <family val="0"/>
          </rPr>
          <t xml:space="preserve">Vernon Lamb:
</t>
        </r>
        <r>
          <rPr>
            <sz val="8"/>
            <color rgb="FF000000"/>
            <rFont val="Tahoma"/>
            <family val="2"/>
          </rPr>
          <t xml:space="preserve">7/21/14: USGS Prov River numbers have changed 4/10 through 7/20. They are still provisional values.
</t>
        </r>
        <r>
          <rPr>
            <sz val="8"/>
            <color rgb="FF000000"/>
            <rFont val="Tahoma"/>
            <family val="0"/>
          </rPr>
          <t xml:space="preserve">
6/17/14: USGS Prov River numbers have slightly changed 4/10 to 4/21. They are still provsional values. For the most part the USGS numbers have been tweaked upward.</t>
        </r>
      </text>
    </comment>
    <comment ref="N8" authorId="0">
      <text>
        <r>
          <rPr>
            <b val="true"/>
            <sz val="8"/>
            <color rgb="FF000000"/>
            <rFont val="Tahoma"/>
            <family val="0"/>
          </rPr>
          <t xml:space="preserve">E. A. Birk:
</t>
        </r>
        <r>
          <rPr>
            <sz val="8"/>
            <color rgb="FF000000"/>
            <rFont val="Tahoma"/>
            <family val="0"/>
          </rPr>
          <t xml:space="preserve">Of the 800 Ac. Ft. of Fish &amp; Wildlife water 400 Ac. Ft.goes into the Wetlands &amp; 400 Ac. ft. goes into Totten.</t>
        </r>
      </text>
    </commen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V27" authorId="0">
      <text>
        <r>
          <rPr>
            <b val="true"/>
            <sz val="8"/>
            <color rgb="FF000000"/>
            <rFont val="Tahoma"/>
            <family val="0"/>
          </rPr>
          <t xml:space="preserve">Vernon Lamb:
</t>
        </r>
        <r>
          <rPr>
            <sz val="8"/>
            <color rgb="FF000000"/>
            <rFont val="Tahoma"/>
            <family val="0"/>
          </rPr>
          <t xml:space="preserve">MVIC taking 20 CFS of stock water for 4 days through West gate on Narraguinnep. All other Lone Pine water going toward filling Narraguinnep.</t>
        </r>
      </text>
    </comment>
    <comment ref="V43" authorId="0">
      <text>
        <r>
          <rPr>
            <b val="true"/>
            <sz val="8"/>
            <color rgb="FF000000"/>
            <rFont val="Tahoma"/>
            <family val="0"/>
          </rPr>
          <t xml:space="preserve">Vernon Lamb:
</t>
        </r>
        <r>
          <rPr>
            <sz val="8"/>
            <color rgb="FF000000"/>
            <rFont val="Tahoma"/>
            <family val="0"/>
          </rPr>
          <t xml:space="preserve">MVI: Narraguinnep full, Lone Pine shut off at 06:00.</t>
        </r>
      </text>
    </comment>
    <comment ref="W27" authorId="0">
      <text>
        <r>
          <rPr>
            <b val="true"/>
            <sz val="8"/>
            <color rgb="FF000000"/>
            <rFont val="Tahoma"/>
            <family val="0"/>
          </rPr>
          <t xml:space="preserve">Vernon Lamb:
</t>
        </r>
        <r>
          <rPr>
            <sz val="8"/>
            <color rgb="FF000000"/>
            <rFont val="Tahoma"/>
            <family val="0"/>
          </rPr>
          <t xml:space="preserve">MVIC begin stock water. U Lat started at 17:03 Hrs at 10.0 CFS.</t>
        </r>
      </text>
    </comment>
    <comment ref="W31" authorId="0">
      <text>
        <r>
          <rPr>
            <b val="true"/>
            <sz val="8"/>
            <color rgb="FF000000"/>
            <rFont val="Tahoma"/>
            <family val="0"/>
          </rPr>
          <t xml:space="preserve">Vernon Lamb:
</t>
        </r>
        <r>
          <rPr>
            <sz val="8"/>
            <color rgb="FF000000"/>
            <rFont val="Tahoma"/>
            <family val="0"/>
          </rPr>
          <t xml:space="preserve">End of MVIC Stock Run.</t>
        </r>
      </text>
    </comment>
    <comment ref="Y27" authorId="0">
      <text>
        <r>
          <rPr>
            <b val="true"/>
            <sz val="8"/>
            <color rgb="FF000000"/>
            <rFont val="Tahoma"/>
            <family val="0"/>
          </rPr>
          <t xml:space="preserve">Vernon Lamb:
</t>
        </r>
        <r>
          <rPr>
            <sz val="8"/>
            <color rgb="FF000000"/>
            <rFont val="Tahoma"/>
            <family val="0"/>
          </rPr>
          <t xml:space="preserve">"+20" in cell equation to account for MVIC filling Narr via Lone Pine and then releaseing 20 CFS stock water through Narr West Gate. This will be done for 4 days (13th - 16th).</t>
        </r>
      </text>
    </comment>
    <comment ref="AB17" authorId="0">
      <text>
        <r>
          <rPr>
            <b val="true"/>
            <sz val="8"/>
            <color rgb="FF000000"/>
            <rFont val="Tahoma"/>
            <family val="0"/>
          </rPr>
          <t xml:space="preserve">Vernon Lamb:
</t>
        </r>
        <r>
          <rPr>
            <sz val="8"/>
            <color rgb="FF000000"/>
            <rFont val="Tahoma"/>
            <family val="0"/>
          </rPr>
          <t xml:space="preserve">The filling of Narraguinnep isn't part of this water.</t>
        </r>
      </text>
    </comment>
    <comment ref="AB27" authorId="0">
      <text>
        <r>
          <rPr>
            <b val="true"/>
            <sz val="8"/>
            <color rgb="FF000000"/>
            <rFont val="Tahoma"/>
            <family val="0"/>
          </rPr>
          <t xml:space="preserve">Vernon Lamb:
</t>
        </r>
        <r>
          <rPr>
            <sz val="8"/>
            <color rgb="FF000000"/>
            <rFont val="Tahoma"/>
            <family val="0"/>
          </rPr>
          <t xml:space="preserve">"+20" in cell equation to account for MVIC filling Narr via Lone Pine and then releaseing 20 CFS stock water through Narr West Gate. This will be done for 4 days (13th - 16th).</t>
        </r>
      </text>
    </comment>
    <comment ref="AC15" authorId="0">
      <text>
        <r>
          <rPr>
            <b val="true"/>
            <sz val="8"/>
            <color rgb="FF000000"/>
            <rFont val="Tahoma"/>
            <family val="0"/>
          </rPr>
          <t xml:space="preserve">Vernon Lamb:
</t>
        </r>
        <r>
          <rPr>
            <sz val="8"/>
            <color rgb="FF000000"/>
            <rFont val="Tahoma"/>
            <family val="0"/>
          </rPr>
          <t xml:space="preserve">Totten Exchange was completed earlier in the water year. Exhange water now incurs evap losses until MVI uses it.</t>
        </r>
      </text>
    </comment>
    <comment ref="AE24" authorId="0">
      <text>
        <r>
          <rPr>
            <b val="true"/>
            <sz val="8"/>
            <color rgb="FF000000"/>
            <rFont val="Tahoma"/>
            <family val="0"/>
          </rPr>
          <t xml:space="preserve">Vernon Lamb:
</t>
        </r>
        <r>
          <rPr>
            <sz val="8"/>
            <color rgb="FF000000"/>
            <rFont val="Tahoma"/>
            <family val="0"/>
          </rPr>
          <t xml:space="preserve">Begin filling Reach 1 into South Canal to start trickling water down Hovenweep.</t>
        </r>
      </text>
    </comment>
    <comment ref="AE28" authorId="0">
      <text>
        <r>
          <rPr>
            <b val="true"/>
            <sz val="8"/>
            <color rgb="FF000000"/>
            <rFont val="Tahoma"/>
            <family val="0"/>
          </rPr>
          <t xml:space="preserve">Vernon Lamb:
</t>
        </r>
        <r>
          <rPr>
            <sz val="8"/>
            <color rgb="FF000000"/>
            <rFont val="Tahoma"/>
            <family val="0"/>
          </rPr>
          <t xml:space="preserve">Reach 1 &amp; South Canal mostly full. Hovenweep system should be full either today or tomorrow.</t>
        </r>
      </text>
    </comment>
    <comment ref="AE31" authorId="0">
      <text>
        <r>
          <rPr>
            <b val="true"/>
            <sz val="8"/>
            <color rgb="FF000000"/>
            <rFont val="Tahoma"/>
            <family val="0"/>
          </rPr>
          <t xml:space="preserve">Vernon Lamb:
</t>
        </r>
        <r>
          <rPr>
            <sz val="8"/>
            <color rgb="FF000000"/>
            <rFont val="Tahoma"/>
            <family val="0"/>
          </rPr>
          <t xml:space="preserve">Began sending water down Dove Creek Canal into reaches 2 &amp; 3.</t>
        </r>
      </text>
    </comment>
    <comment ref="AE34" authorId="0">
      <text>
        <r>
          <rPr>
            <b val="true"/>
            <sz val="8"/>
            <color rgb="FF000000"/>
            <rFont val="Tahoma"/>
            <family val="0"/>
          </rPr>
          <t xml:space="preserve">Vernon Lamb:
</t>
        </r>
        <r>
          <rPr>
            <sz val="8"/>
            <color rgb="FF000000"/>
            <rFont val="Tahoma"/>
            <family val="0"/>
          </rPr>
          <t xml:space="preserve">Reaches 2 &amp; 3 full by end of day.</t>
        </r>
      </text>
    </comment>
    <comment ref="AI5" authorId="0">
      <text>
        <r>
          <rPr>
            <b val="true"/>
            <sz val="8"/>
            <color rgb="FF000000"/>
            <rFont val="Tahoma"/>
            <family val="0"/>
          </rPr>
          <t xml:space="preserve">E. A. Birk:
</t>
        </r>
        <r>
          <rPr>
            <sz val="8"/>
            <color rgb="FF000000"/>
            <rFont val="Tahoma"/>
            <family val="0"/>
          </rPr>
          <t xml:space="preserve">This column runs from April 1st to March 31th as according to contract.</t>
        </r>
      </text>
    </comment>
    <comment ref="AI7" authorId="0">
      <text>
        <r>
          <rPr>
            <b val="true"/>
            <sz val="8"/>
            <color rgb="FF000000"/>
            <rFont val="Tahoma"/>
            <family val="0"/>
          </rPr>
          <t xml:space="preserve">Vernon Lamb: </t>
        </r>
        <r>
          <rPr>
            <sz val="8"/>
            <color rgb="FF000000"/>
            <rFont val="Tahoma"/>
            <family val="2"/>
          </rPr>
          <t xml:space="preserve">Based on 10/6/14 calcs Fish Pool is 29,007 AF
</t>
        </r>
        <r>
          <rPr>
            <b val="true"/>
            <sz val="8"/>
            <color rgb="FF000000"/>
            <rFont val="Tahoma"/>
            <family val="0"/>
          </rPr>
          <t xml:space="preserve">
Vernon Lamb: </t>
        </r>
        <r>
          <rPr>
            <sz val="8"/>
            <color rgb="FF000000"/>
            <rFont val="Tahoma"/>
            <family val="2"/>
          </rPr>
          <t xml:space="preserve">Based on 9/9/14 calcs Fish Pool is 28,251 AF (with 464 AF McPhee deficit amount adjusted out).
</t>
        </r>
        <r>
          <rPr>
            <b val="true"/>
            <sz val="8"/>
            <color rgb="FF000000"/>
            <rFont val="Tahoma"/>
            <family val="0"/>
          </rPr>
          <t xml:space="preserve">
Vernon Lamb: </t>
        </r>
        <r>
          <rPr>
            <sz val="8"/>
            <color rgb="FF000000"/>
            <rFont val="Tahoma"/>
            <family val="2"/>
          </rPr>
          <t xml:space="preserve">Based on 8/4/14 calcs Fish Pool is 27,742 AF.
</t>
        </r>
        <r>
          <rPr>
            <b val="true"/>
            <sz val="8"/>
            <color rgb="FF000000"/>
            <rFont val="Tahoma"/>
            <family val="0"/>
          </rPr>
          <t xml:space="preserve">
KC:  </t>
        </r>
        <r>
          <rPr>
            <sz val="8"/>
            <color rgb="FF000000"/>
            <rFont val="Tahoma"/>
            <family val="2"/>
          </rPr>
          <t xml:space="preserve">On 7/1/14 value is 26,843 AF.
</t>
        </r>
        <r>
          <rPr>
            <b val="true"/>
            <sz val="8"/>
            <color rgb="FF000000"/>
            <rFont val="Tahoma"/>
            <family val="0"/>
          </rPr>
          <t xml:space="preserve">
Vernon Lamb:
</t>
        </r>
        <r>
          <rPr>
            <sz val="8"/>
            <color rgb="FF000000"/>
            <rFont val="Tahoma"/>
            <family val="2"/>
          </rPr>
          <t xml:space="preserve">23,048 AF is the 6-23-14 draft fish pool budget amount.
29,032 AF is the 5-20-14 draft fish pool budget amount.</t>
        </r>
      </text>
    </comment>
    <comment ref="AN17" authorId="0">
      <text>
        <r>
          <rPr>
            <b val="true"/>
            <sz val="8"/>
            <color rgb="FF000000"/>
            <rFont val="Tahoma"/>
            <family val="0"/>
          </rPr>
          <t xml:space="preserve">Vernon Lamb:
</t>
        </r>
        <r>
          <rPr>
            <sz val="8"/>
            <color rgb="FF000000"/>
            <rFont val="Tahoma"/>
            <family val="0"/>
          </rPr>
          <t xml:space="preserve">Begin Narraguinnep fill. April 1 Narraguinnep elevation: 60.8' (Boat Ramp) = 13,223.7 AF. 18,960.0 AF - 13,223.7 AF = 5,736.3 AF left to fill.</t>
        </r>
      </text>
    </comment>
    <comment ref="AN27" authorId="0">
      <text>
        <r>
          <rPr>
            <b val="true"/>
            <sz val="8"/>
            <color rgb="FF000000"/>
            <rFont val="Tahoma"/>
            <family val="0"/>
          </rPr>
          <t xml:space="preserve">Vernon Lamb:
</t>
        </r>
        <r>
          <rPr>
            <sz val="8"/>
            <color rgb="FF000000"/>
            <rFont val="Tahoma"/>
            <family val="0"/>
          </rPr>
          <t xml:space="preserve">"-20" in cell equation to account for MVIC filling Narr via Lone Pine and then releaseing 20 CFS stock water through Narr West Gate. This will be done for 4 days (13th - 16th).</t>
        </r>
      </text>
    </comment>
    <comment ref="AN28" authorId="0">
      <text>
        <r>
          <rPr>
            <b val="true"/>
            <sz val="8"/>
            <color rgb="FF000000"/>
            <rFont val="Tahoma"/>
            <family val="0"/>
          </rPr>
          <t xml:space="preserve">Vernon Lamb:
</t>
        </r>
        <r>
          <rPr>
            <sz val="8"/>
            <color rgb="FF000000"/>
            <rFont val="Tahoma"/>
            <family val="0"/>
          </rPr>
          <t xml:space="preserve">Narr Boat Ramp (10:30): 65.0' = 15,356.5 AF. Narr has 3,603.5 AF left to fill.</t>
        </r>
      </text>
    </comment>
    <comment ref="AN31" authorId="0">
      <text>
        <r>
          <rPr>
            <b val="true"/>
            <sz val="8"/>
            <color rgb="FF000000"/>
            <rFont val="Tahoma"/>
            <family val="0"/>
          </rPr>
          <t xml:space="preserve">Vernon Lamb:
</t>
        </r>
        <r>
          <rPr>
            <sz val="8"/>
            <color rgb="FF000000"/>
            <rFont val="Tahoma"/>
            <family val="0"/>
          </rPr>
          <t xml:space="preserve">Narr Boat Ramp (17:38): 66.1' = 15,941.45 AF. Narr has 3,018.55 AF left to fill.</t>
        </r>
      </text>
    </comment>
    <comment ref="AN35" authorId="0">
      <text>
        <r>
          <rPr>
            <b val="true"/>
            <sz val="8"/>
            <color rgb="FF000000"/>
            <rFont val="Tahoma"/>
            <family val="0"/>
          </rPr>
          <t xml:space="preserve">Vernon Lamb:
</t>
        </r>
        <r>
          <rPr>
            <sz val="8"/>
            <color rgb="FF000000"/>
            <rFont val="Tahoma"/>
            <family val="0"/>
          </rPr>
          <t xml:space="preserve">Narr Boat Ramp (15:05): 70.2' = 18,213.50 AF. Narr has 746.5 AF left to fill.</t>
        </r>
      </text>
    </comment>
    <comment ref="AN38" authorId="0">
      <text>
        <r>
          <rPr>
            <b val="true"/>
            <sz val="8"/>
            <color rgb="FF000000"/>
            <rFont val="Tahoma"/>
            <family val="0"/>
          </rPr>
          <t xml:space="preserve">Vernon Lamb:
</t>
        </r>
        <r>
          <rPr>
            <sz val="8"/>
            <color rgb="FF000000"/>
            <rFont val="Tahoma"/>
            <family val="0"/>
          </rPr>
          <t xml:space="preserve">Narr Boat Ramp (08:00): 71.0' = 18,671.50 AF. Narr has 288.5 AF left to fill.</t>
        </r>
      </text>
    </comment>
    <comment ref="AN41" authorId="0">
      <text>
        <r>
          <rPr>
            <b val="true"/>
            <sz val="8"/>
            <color rgb="FF000000"/>
            <rFont val="Tahoma"/>
            <family val="0"/>
          </rPr>
          <t xml:space="preserve">Vernon Lamb:
</t>
        </r>
        <r>
          <rPr>
            <sz val="8"/>
            <color rgb="FF000000"/>
            <rFont val="Tahoma"/>
            <family val="0"/>
          </rPr>
          <t xml:space="preserve">MVI: Narraguinnep 0.4' from being full.</t>
        </r>
      </text>
    </comment>
    <comment ref="AN43" authorId="0">
      <text>
        <r>
          <rPr>
            <b val="true"/>
            <sz val="8"/>
            <color rgb="FF000000"/>
            <rFont val="Tahoma"/>
            <family val="0"/>
          </rPr>
          <t xml:space="preserve">Vernon Lamb:
</t>
        </r>
        <r>
          <rPr>
            <sz val="8"/>
            <color rgb="FF000000"/>
            <rFont val="Tahoma"/>
            <family val="0"/>
          </rPr>
          <t xml:space="preserve">MVI: Narraguinnep full, stopped filling at 06:00. 
DWCD: Boat ramp (08:00) 71.4' = 18,902.22 AF. </t>
        </r>
      </text>
    </comment>
    <comment ref="AO27" authorId="0">
      <text>
        <r>
          <rPr>
            <b val="true"/>
            <sz val="8"/>
            <color rgb="FF000000"/>
            <rFont val="Tahoma"/>
            <family val="0"/>
          </rPr>
          <t xml:space="preserve">Vernon Lamb:
</t>
        </r>
        <r>
          <rPr>
            <sz val="8"/>
            <color rgb="FF000000"/>
            <rFont val="Tahoma"/>
            <family val="0"/>
          </rPr>
          <t xml:space="preserve">Start MVIC Stock Run. East Lateral 0.0 CFS; West Lateral 20.0 CFS; U-Lat 10.0 CFS.</t>
        </r>
      </text>
    </comment>
    <comment ref="AO28" authorId="0">
      <text>
        <r>
          <rPr>
            <b val="true"/>
            <sz val="8"/>
            <color rgb="FF000000"/>
            <rFont val="Tahoma"/>
            <family val="0"/>
          </rPr>
          <t xml:space="preserve">Vernon Lamb:
</t>
        </r>
        <r>
          <rPr>
            <sz val="8"/>
            <color rgb="FF000000"/>
            <rFont val="Tahoma"/>
            <family val="0"/>
          </rPr>
          <t xml:space="preserve">MVIC stock run: E Lat started at 05:42 Hrs at 20 CFS, cut back to 10 CFS at 08:15; W Lat at 20 CFS; U Lat bouncing between 14 and 19 CFS.</t>
        </r>
      </text>
    </comment>
    <comment ref="AO29" authorId="0">
      <text>
        <r>
          <rPr>
            <b val="true"/>
            <sz val="8"/>
            <color rgb="FF000000"/>
            <rFont val="Tahoma"/>
            <family val="0"/>
          </rPr>
          <t xml:space="preserve">Vernon Lamb:
</t>
        </r>
        <r>
          <rPr>
            <sz val="8"/>
            <color rgb="FF000000"/>
            <rFont val="Tahoma"/>
            <family val="0"/>
          </rPr>
          <t xml:space="preserve">E Lat at 10 CFS; W Lat at 20 CFS; U Lat at 15 CFS at 14:30.</t>
        </r>
      </text>
    </comment>
    <comment ref="AO30" authorId="0">
      <text>
        <r>
          <rPr>
            <b val="true"/>
            <sz val="8"/>
            <color rgb="FF000000"/>
            <rFont val="Tahoma"/>
            <family val="0"/>
          </rPr>
          <t xml:space="preserve">Vernon Lamb:
</t>
        </r>
        <r>
          <rPr>
            <sz val="8"/>
            <color rgb="FF000000"/>
            <rFont val="Tahoma"/>
            <family val="0"/>
          </rPr>
          <t xml:space="preserve">E Lat at 10 CFS, increased to 15 CFS at 15:53; W Lat at 20 CFS; U Lat at 15 CFS, increased to 20 CFS at 09:00.</t>
        </r>
      </text>
    </comment>
    <comment ref="AO31" authorId="0">
      <text>
        <r>
          <rPr>
            <b val="true"/>
            <sz val="8"/>
            <color rgb="FF000000"/>
            <rFont val="Tahoma"/>
            <family val="0"/>
          </rPr>
          <t xml:space="preserve">Vernon Lamb:
</t>
        </r>
        <r>
          <rPr>
            <sz val="8"/>
            <color rgb="FF000000"/>
            <rFont val="Tahoma"/>
            <family val="0"/>
          </rPr>
          <t xml:space="preserve">End of MVIC Stock Run. E Lat at 15 CFS, cut back to 0 CFS at 18:00; W Lat at 20 CFS, cut back to 0 CFS at 07:30; U Lat at 20 CFS, 10 CFS at 11:00, 0 CFS at 18:07.</t>
        </r>
      </text>
    </comment>
    <comment ref="AT7" authorId="0">
      <text>
        <r>
          <rPr>
            <b val="true"/>
            <sz val="8"/>
            <color rgb="FF000000"/>
            <rFont val="Tahoma"/>
            <family val="0"/>
          </rPr>
          <t xml:space="preserve">E. A. Birk:
</t>
        </r>
        <r>
          <rPr>
            <sz val="8"/>
            <color rgb="FF000000"/>
            <rFont val="Tahoma"/>
            <family val="0"/>
          </rPr>
          <t xml:space="preserve">Of the 800 Ac. Ft. of Fish &amp; Wildlife water 400 Ac. Ft. goes into Totten.</t>
        </r>
      </text>
    </comment>
  </commentList>
</comments>
</file>

<file path=xl/comments7.xml><?xml version="1.0" encoding="utf-8"?>
<comments xmlns="http://schemas.openxmlformats.org/spreadsheetml/2006/main" xmlns:xdr="http://schemas.openxmlformats.org/drawingml/2006/spreadsheetDrawing">
  <authors>
    <author> </author>
  </authors>
  <commentLis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R39" authorId="0">
      <text>
        <r>
          <rPr>
            <b val="true"/>
            <sz val="8"/>
            <color rgb="FF000000"/>
            <rFont val="Tahoma"/>
            <family val="0"/>
          </rPr>
          <t xml:space="preserve">Vernon Lamb:
</t>
        </r>
        <r>
          <rPr>
            <sz val="8"/>
            <color rgb="FF000000"/>
            <rFont val="Tahoma"/>
            <family val="0"/>
          </rPr>
          <t xml:space="preserve">From Cortez: 
Cortez plant was shut down May 25th due to High Water Tank levels . Reservoir level was also high so Hydro was shut down. Upon restarting Hydro generator it gave off a loud pop. Generator was left off as it was inspected for problems. Ran for approx 12 hours on the 25th. On the 26th the Hydro Plant "lockout tripped" stopping the generator again. Hydro plant was restarted and resumed normal operations sometime on the 26th.
Due to this Cortez logged a daily reading of 0.5 cfs for May 25th. Entered into the Cortez Non-Proj equation: (0.5 * 1.04) - T39 equals a -0.49 cfs. This means Towaoc diverted more than Cortez did for that day. You can't have a negative cfs that subtracts from the bottom line totals. Instead, I entered a 0 in for May 25th.</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Z45" authorId="0">
      <text>
        <r>
          <rPr>
            <b val="true"/>
            <sz val="8"/>
            <color rgb="FF000000"/>
            <rFont val="Tahoma"/>
            <family val="0"/>
          </rPr>
          <t xml:space="preserve">Vernon Lamb:
</t>
        </r>
        <r>
          <rPr>
            <sz val="8"/>
            <color rgb="FF000000"/>
            <rFont val="Tahoma"/>
            <family val="0"/>
          </rPr>
          <t xml:space="preserve">MVIC began using Call Water.</t>
        </r>
      </text>
    </comment>
    <comment ref="AA45" authorId="0">
      <text>
        <r>
          <rPr>
            <b val="true"/>
            <sz val="8"/>
            <color rgb="FF000000"/>
            <rFont val="Tahoma"/>
            <family val="0"/>
          </rPr>
          <t xml:space="preserve">Vernon Lamb:
</t>
        </r>
        <r>
          <rPr>
            <sz val="8"/>
            <color rgb="FF000000"/>
            <rFont val="Tahoma"/>
            <family val="0"/>
          </rPr>
          <t xml:space="preserve">This is the amount MVIC went over their 72,000 AF diversion and is counted against their Call Water.</t>
        </r>
      </text>
    </comment>
    <comment ref="AB45" authorId="0">
      <text>
        <r>
          <rPr>
            <b val="true"/>
            <sz val="8"/>
            <color rgb="FF000000"/>
            <rFont val="Tahoma"/>
            <family val="0"/>
          </rPr>
          <t xml:space="preserve">Vernon Lamb:
</t>
        </r>
        <r>
          <rPr>
            <sz val="8"/>
            <color rgb="FF000000"/>
            <rFont val="Tahoma"/>
            <family val="0"/>
          </rPr>
          <t xml:space="preserve">MVIC reached their 72,000 AF for Apr-June. They're over their 72,000 by 431 AF which is counted against their Call Water for today.</t>
        </r>
      </text>
    </comment>
    <comment ref="AR26" authorId="0">
      <text>
        <r>
          <rPr>
            <b val="true"/>
            <sz val="8"/>
            <color rgb="FF000000"/>
            <rFont val="Tahoma"/>
            <family val="0"/>
          </rPr>
          <t xml:space="preserve">Vernon Lamb:
</t>
        </r>
        <r>
          <rPr>
            <sz val="8"/>
            <color rgb="FF000000"/>
            <rFont val="Tahoma"/>
            <family val="0"/>
          </rPr>
          <t xml:space="preserve">Class B began using. Total Class B usage for May: 819.001 AF.</t>
        </r>
      </text>
    </comment>
    <comment ref="AR43" authorId="0">
      <text>
        <r>
          <rPr>
            <b val="true"/>
            <sz val="8"/>
            <color rgb="FF000000"/>
            <rFont val="Tahoma"/>
            <family val="0"/>
          </rPr>
          <t xml:space="preserve">Vernon Lamb:
</t>
        </r>
        <r>
          <rPr>
            <sz val="8"/>
            <color rgb="FF000000"/>
            <rFont val="Tahoma"/>
            <family val="0"/>
          </rPr>
          <t xml:space="preserve">Class B meters were read May 29th &amp; 30th.</t>
        </r>
      </text>
    </comment>
  </commentList>
</comments>
</file>

<file path=xl/comments8.xml><?xml version="1.0" encoding="utf-8"?>
<comments xmlns="http://schemas.openxmlformats.org/spreadsheetml/2006/main" xmlns:xdr="http://schemas.openxmlformats.org/drawingml/2006/spreadsheetDrawing">
  <authors>
    <author> </author>
  </authors>
  <commentList>
    <comment ref="G15" authorId="0">
      <text>
        <r>
          <rPr>
            <b val="true"/>
            <sz val="8"/>
            <color rgb="FF000000"/>
            <rFont val="Tahoma"/>
            <family val="0"/>
          </rPr>
          <t xml:space="preserve">Vernon Lamb:
</t>
        </r>
        <r>
          <rPr>
            <sz val="8"/>
            <color rgb="FF000000"/>
            <rFont val="Tahoma"/>
            <family val="0"/>
          </rPr>
          <t xml:space="preserve">6/17/14: USGS Prov River numbers have changed upwards from 6/1 to 6/15. They are still provsional values. Before the change Dol Riv monthly total 6/1 thru 6/15 was 33,039 AF. With new updated numbers monthly total 6/1 thru 6/15 was 37,391 AF. Difference of 4,352 AF.</t>
        </r>
      </text>
    </comment>
    <comment ref="N17" authorId="0">
      <text>
        <r>
          <rPr>
            <b val="true"/>
            <sz val="8"/>
            <color rgb="FF000000"/>
            <rFont val="Tahoma"/>
            <family val="0"/>
          </rPr>
          <t xml:space="preserve">Vernon Lamb:
</t>
        </r>
        <r>
          <rPr>
            <sz val="8"/>
            <color rgb="FF000000"/>
            <rFont val="Tahoma"/>
            <family val="0"/>
          </rPr>
          <t xml:space="preserve">Begin water for Wetlands at 1 AF/day.</t>
        </r>
      </text>
    </comment>
    <comment ref="P39" authorId="0">
      <text>
        <r>
          <rPr>
            <b val="true"/>
            <sz val="8"/>
            <color rgb="FF000000"/>
            <rFont val="Tahoma"/>
            <family val="0"/>
          </rPr>
          <t xml:space="preserve">Vernon Lamb:
</t>
        </r>
        <r>
          <rPr>
            <sz val="8"/>
            <color rgb="FF000000"/>
            <rFont val="Tahoma"/>
            <family val="0"/>
          </rPr>
          <t xml:space="preserve">Begin Questar water release from THC through Totten. Will release 1 cfs over 7 days for a total of 14 AF.</t>
        </r>
      </text>
    </commen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Y38" authorId="0">
      <text>
        <r>
          <rPr>
            <b val="true"/>
            <sz val="8"/>
            <color rgb="FF000000"/>
            <rFont val="Tahoma"/>
            <family val="0"/>
          </rPr>
          <t xml:space="preserve">Vernon Lamb:
</t>
        </r>
        <r>
          <rPr>
            <sz val="8"/>
            <color rgb="FF000000"/>
            <rFont val="Tahoma"/>
            <family val="0"/>
          </rPr>
          <t xml:space="preserve">First day that MVI's use exceeds river inflow.</t>
        </r>
      </text>
    </comment>
    <comment ref="AR15" authorId="0">
      <text>
        <r>
          <rPr>
            <b val="true"/>
            <sz val="8"/>
            <color rgb="FF000000"/>
            <rFont val="Tahoma"/>
            <family val="0"/>
          </rPr>
          <t xml:space="preserve">Vernon Lamb:
</t>
        </r>
        <r>
          <rPr>
            <sz val="8"/>
            <color rgb="FF000000"/>
            <rFont val="Tahoma"/>
            <family val="0"/>
          </rPr>
          <t xml:space="preserve">Class B usage for June: 1,766.396 AF.</t>
        </r>
      </text>
    </comment>
    <comment ref="AR40" authorId="0">
      <text>
        <r>
          <rPr>
            <b val="true"/>
            <sz val="8"/>
            <color rgb="FF000000"/>
            <rFont val="Tahoma"/>
            <family val="0"/>
          </rPr>
          <t xml:space="preserve">Vernon Lamb:
</t>
        </r>
        <r>
          <rPr>
            <sz val="8"/>
            <color rgb="FF000000"/>
            <rFont val="Tahoma"/>
            <family val="0"/>
          </rPr>
          <t xml:space="preserve">Class B meters were read June 26th &amp; 27th.</t>
        </r>
      </text>
    </comment>
    <comment ref="AS44" authorId="0">
      <text>
        <r>
          <rPr>
            <b val="true"/>
            <sz val="8"/>
            <color rgb="FF000000"/>
            <rFont val="Tahoma"/>
            <family val="0"/>
          </rPr>
          <t xml:space="preserve">Vernon Lamb:
</t>
        </r>
        <r>
          <rPr>
            <sz val="8"/>
            <color rgb="FF000000"/>
            <rFont val="Tahoma"/>
            <family val="0"/>
          </rPr>
          <t xml:space="preserve">MVIC began releasing for U/S exchange.</t>
        </r>
      </text>
    </comment>
    <comment ref="AT39" authorId="0">
      <text>
        <r>
          <rPr>
            <b val="true"/>
            <sz val="8"/>
            <color rgb="FF000000"/>
            <rFont val="Tahoma"/>
            <family val="0"/>
          </rPr>
          <t xml:space="preserve">Vernon Lamb:
</t>
        </r>
        <r>
          <rPr>
            <sz val="8"/>
            <color rgb="FF000000"/>
            <rFont val="Tahoma"/>
            <family val="0"/>
          </rPr>
          <t xml:space="preserve">Begin SJB F&amp;W water release from THC into Totten. RF#2 recorded 1.22 cfs daily average flow, however, 1 cfs of this is for Questar.</t>
        </r>
      </text>
    </comment>
  </commentList>
</comments>
</file>

<file path=xl/comments9.xml><?xml version="1.0" encoding="utf-8"?>
<comments xmlns="http://schemas.openxmlformats.org/spreadsheetml/2006/main" xmlns:xdr="http://schemas.openxmlformats.org/drawingml/2006/spreadsheetDrawing">
  <authors>
    <author> </author>
  </authors>
  <commentList>
    <comment ref="G34" authorId="0">
      <text>
        <r>
          <rPr>
            <b val="true"/>
            <sz val="8"/>
            <color rgb="FF000000"/>
            <rFont val="Tahoma"/>
            <family val="0"/>
          </rPr>
          <t xml:space="preserve">Vernon Lamb:
</t>
        </r>
        <r>
          <rPr>
            <sz val="8"/>
            <color rgb="FF000000"/>
            <rFont val="Tahoma"/>
            <family val="0"/>
          </rPr>
          <t xml:space="preserve">7/21/14: USGS Prov River numbers have changed 4/10 through 7/20. They are still provisional values. From change, Dol Riv gained 3,459 AF. Before change on 7/21/14:
Season CFS: 86,228      YTD CFS: 98,847
Season AF: 171,033      YTD AF: 196,063
Changes by Month:
April: +497 CFS / +985 AF
May: +1,417 CFS / +2,811 AF
June: +307 CFS / +609 AF
July: -477 CFS / -946 AF
Net Change: +1,744 CFS / +3,459 AF</t>
        </r>
      </text>
    </comment>
    <comment ref="P16" authorId="0">
      <text>
        <r>
          <rPr>
            <b val="true"/>
            <sz val="8"/>
            <color rgb="FF000000"/>
            <rFont val="Tahoma"/>
            <family val="0"/>
          </rPr>
          <t xml:space="preserve">Vernon Lamb:
</t>
        </r>
        <r>
          <rPr>
            <sz val="8"/>
            <color rgb="FF000000"/>
            <rFont val="Tahoma"/>
            <family val="0"/>
          </rPr>
          <t xml:space="preserve">Ended Questar release at 10:45.</t>
        </r>
      </text>
    </commen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W33" authorId="0">
      <text>
        <r>
          <rPr>
            <b val="true"/>
            <sz val="8"/>
            <color rgb="FF000000"/>
            <rFont val="Tahoma"/>
            <family val="0"/>
          </rPr>
          <t xml:space="preserve">Vernon Lamb:
</t>
        </r>
        <r>
          <rPr>
            <sz val="8"/>
            <color rgb="FF000000"/>
            <rFont val="Tahoma"/>
            <family val="0"/>
          </rPr>
          <t xml:space="preserve">U-Lateral flowmeter uses same power supply as Great Cut flowmeter, so it is down as well. DWCD Control Room staff have a good handle on what flows are possible with the two bypass valves they are currently running. We feel comfortable with the following estimates: 19th @ 72 cfs, 20th @ 72 cfs, 21st @ 71 cfs, 22nd @ 72 cfs.</t>
        </r>
      </text>
    </comment>
    <comment ref="W37" authorId="0">
      <text>
        <r>
          <rPr>
            <b val="true"/>
            <sz val="8"/>
            <color rgb="FF000000"/>
            <rFont val="Tahoma"/>
            <family val="0"/>
          </rPr>
          <t xml:space="preserve">Vernon Lamb:
</t>
        </r>
        <r>
          <rPr>
            <sz val="8"/>
            <color rgb="FF000000"/>
            <rFont val="Tahoma"/>
            <family val="0"/>
          </rPr>
          <t xml:space="preserve">Great Cut Flowmeter power supply fixed around 08:00 Hrs. Talking with the Great Cut Control Room guys, from midnight to 08:00 the U-Lateral was flowing at 72 cfs.
From DWR: Average flow from 08:00 to 23:00 was 70.54375 cfs. 8 hrs * 72 cfs = 576 hrs-cfs. 16 hrs * 70.54375 cfs = 1,128.7 hrs-cfs. 576 + 1,128.7 = 1,704.7 hrs-cfs / 24 hrs = Daily average of 71.03 cfs.</t>
        </r>
      </text>
    </comment>
    <comment ref="AD11" authorId="0">
      <text>
        <r>
          <rPr>
            <b val="true"/>
            <sz val="8"/>
            <color rgb="FF000000"/>
            <rFont val="Tahoma"/>
            <family val="0"/>
          </rPr>
          <t xml:space="preserve">Vernon Lamb: </t>
        </r>
        <r>
          <rPr>
            <sz val="8"/>
            <color rgb="FF000000"/>
            <rFont val="Tahoma"/>
            <family val="2"/>
          </rPr>
          <t xml:space="preserve">Adjusted based on Oct 6th calcs to 9,637 AF at 90.5% shortage.
</t>
        </r>
        <r>
          <rPr>
            <b val="true"/>
            <sz val="8"/>
            <color rgb="FF000000"/>
            <rFont val="Tahoma"/>
            <family val="0"/>
          </rPr>
          <t xml:space="preserve">
Vernon Lamb: </t>
        </r>
        <r>
          <rPr>
            <sz val="8"/>
            <color rgb="FF000000"/>
            <rFont val="Tahoma"/>
            <family val="2"/>
          </rPr>
          <t xml:space="preserve">Adjusted based on Sept 9th calcs to 10,545 AF at 89.5% shortage (with 184 AF McPhee deficit amount adjusted out)
</t>
        </r>
        <r>
          <rPr>
            <b val="true"/>
            <sz val="8"/>
            <color rgb="FF000000"/>
            <rFont val="Tahoma"/>
            <family val="0"/>
          </rPr>
          <t xml:space="preserve">
Vernon Lamb: </t>
        </r>
        <r>
          <rPr>
            <sz val="8"/>
            <color rgb="FF000000"/>
            <rFont val="Tahoma"/>
            <family val="2"/>
          </rPr>
          <t xml:space="preserve">Adjusted based on Aug 4th calcs to 14,372 AF at 86.2% shortage.
</t>
        </r>
        <r>
          <rPr>
            <b val="true"/>
            <sz val="8"/>
            <color rgb="FF000000"/>
            <rFont val="Tahoma"/>
            <family val="0"/>
          </rPr>
          <t xml:space="preserve">
KC:  </t>
        </r>
        <r>
          <rPr>
            <sz val="8"/>
            <color rgb="FF000000"/>
            <rFont val="Tahoma"/>
            <family val="2"/>
          </rPr>
          <t xml:space="preserve">Adjusted based on July 1 to 15,492 at 83.1% shortage.
</t>
        </r>
        <r>
          <rPr>
            <b val="true"/>
            <sz val="8"/>
            <color rgb="FF000000"/>
            <rFont val="Tahoma"/>
            <family val="0"/>
          </rPr>
          <t xml:space="preserve">
Vernon Lamb:
</t>
        </r>
        <r>
          <rPr>
            <sz val="8"/>
            <color rgb="FF000000"/>
            <rFont val="Tahoma"/>
            <family val="0"/>
          </rPr>
          <t xml:space="preserve">6-5-14: 13,150 AF Preliminary Project Water amount based on 174K inflow.
</t>
        </r>
      </text>
    </comment>
    <comment ref="AD12" authorId="0">
      <text>
        <r>
          <rPr>
            <b val="true"/>
            <sz val="8"/>
            <color rgb="FF000000"/>
            <rFont val="Tahoma"/>
            <family val="0"/>
          </rPr>
          <t xml:space="preserve">Vernon Lamb:
</t>
        </r>
        <r>
          <rPr>
            <sz val="8"/>
            <color rgb="FF000000"/>
            <rFont val="Tahoma"/>
            <family val="0"/>
          </rPr>
          <t xml:space="preserve">This is the above 15,492
 AF converted into cfs.</t>
        </r>
      </text>
    </comment>
    <comment ref="AE33" authorId="0">
      <text>
        <r>
          <rPr>
            <b val="true"/>
            <sz val="8"/>
            <color rgb="FF000000"/>
            <rFont val="Tahoma"/>
            <family val="0"/>
          </rPr>
          <t xml:space="preserve">Vernon Lamb:
</t>
        </r>
        <r>
          <rPr>
            <sz val="8"/>
            <color rgb="FF000000"/>
            <rFont val="Tahoma"/>
            <family val="0"/>
          </rPr>
          <t xml:space="preserve">Power supply to Great Cut Flowmeter went out around 19:00 Hrs. Will have to estimate flow for next few days. DWCD Control Room staff have a good handle on what flows are possible with what pumps they are running. We feel comfortable with the following estimates: 19th @ 220 cfs, 20th @ 200 cfs, 21st @ 260 cfs, 22nd @ 259 cfs.</t>
        </r>
      </text>
    </comment>
    <comment ref="AE37" authorId="0">
      <text>
        <r>
          <rPr>
            <b val="true"/>
            <sz val="8"/>
            <color rgb="FF000000"/>
            <rFont val="Tahoma"/>
            <family val="0"/>
          </rPr>
          <t xml:space="preserve">Vernon Lamb:
</t>
        </r>
        <r>
          <rPr>
            <sz val="8"/>
            <color rgb="FF000000"/>
            <rFont val="Tahoma"/>
            <family val="0"/>
          </rPr>
          <t xml:space="preserve">Great Cut Flowmeter power supply fixed around 08:00 Hrs. Talking with the Great Cut Control Room guys, from midnight to 08:00 Dove Creek was flowing at 257 cfs.
From DWR: Average flow from 08:00 to 23:00 was 220.25 cfs. 8 hrs * 257 cfs = 2,056 hrs-cfs. 16 hrs * 220.25 cfs = 3,524 hrs-cfs. 2,056 + 3,524 = 5,580 hrs-cfs / 24 hrs = Daily average of 232.5 cfs</t>
        </r>
      </text>
    </comment>
    <comment ref="AN15" authorId="0">
      <text>
        <r>
          <rPr>
            <b val="true"/>
            <sz val="8"/>
            <color rgb="FF000000"/>
            <rFont val="Tahoma"/>
            <family val="0"/>
          </rPr>
          <t xml:space="preserve">Vernon Lamb:
</t>
        </r>
        <r>
          <rPr>
            <sz val="8"/>
            <color rgb="FF000000"/>
            <rFont val="Tahoma"/>
            <family val="0"/>
          </rPr>
          <t xml:space="preserve">Narr Boat Ramp at 08:40 54.4' = 10,314.30 AF.</t>
        </r>
      </text>
    </comment>
    <comment ref="AP8" authorId="0">
      <text>
        <r>
          <rPr>
            <b val="true"/>
            <sz val="8"/>
            <color rgb="FF000000"/>
            <rFont val="Tahoma"/>
            <family val="0"/>
          </rPr>
          <t xml:space="preserve">E. A. Birk:
</t>
        </r>
        <r>
          <rPr>
            <sz val="8"/>
            <color rgb="FF000000"/>
            <rFont val="Tahoma"/>
            <family val="0"/>
          </rPr>
          <t xml:space="preserve">After June 30th MVIC can not store water in Narr. by contact, so this column only shows what the river produced in relationship to what MVIC used.</t>
        </r>
      </text>
    </comment>
    <comment ref="AR15" authorId="0">
      <text>
        <r>
          <rPr>
            <b val="true"/>
            <sz val="8"/>
            <color rgb="FF000000"/>
            <rFont val="Tahoma"/>
            <family val="0"/>
          </rPr>
          <t xml:space="preserve">Vernon Lamb:
</t>
        </r>
        <r>
          <rPr>
            <sz val="8"/>
            <color rgb="FF000000"/>
            <rFont val="Tahoma"/>
            <family val="0"/>
          </rPr>
          <t xml:space="preserve">Class B usage for July: 2,042.058 AF.</t>
        </r>
      </text>
    </comment>
    <comment ref="AR44" authorId="0">
      <text>
        <r>
          <rPr>
            <b val="true"/>
            <sz val="8"/>
            <color rgb="FF000000"/>
            <rFont val="Tahoma"/>
            <family val="0"/>
          </rPr>
          <t xml:space="preserve">Vernon Lamb:
</t>
        </r>
        <r>
          <rPr>
            <sz val="8"/>
            <color rgb="FF000000"/>
            <rFont val="Tahoma"/>
            <family val="0"/>
          </rPr>
          <t xml:space="preserve">Class B meters were read July 29th &amp; 30th.</t>
        </r>
      </text>
    </comment>
    <comment ref="AS8" authorId="0">
      <text>
        <r>
          <rPr>
            <b val="true"/>
            <sz val="8"/>
            <color rgb="FF000000"/>
            <rFont val="Tahoma"/>
            <family val="0"/>
          </rPr>
          <t xml:space="preserve">Vernon Lamb:
</t>
        </r>
        <r>
          <rPr>
            <sz val="8"/>
            <color rgb="FF000000"/>
            <rFont val="Tahoma"/>
            <family val="0"/>
          </rPr>
          <t xml:space="preserve">1,532.4 AF is the 2014 U/S users release amount.</t>
        </r>
      </text>
    </comment>
    <comment ref="AS34" authorId="0">
      <text>
        <r>
          <rPr>
            <b val="true"/>
            <sz val="8"/>
            <color rgb="FF000000"/>
            <rFont val="Tahoma"/>
            <family val="0"/>
          </rPr>
          <t xml:space="preserve">Vernon Lamb:
</t>
        </r>
        <r>
          <rPr>
            <sz val="8"/>
            <color rgb="FF000000"/>
            <rFont val="Tahoma"/>
            <family val="0"/>
          </rPr>
          <t xml:space="preserve">MVIC opened up Groundhog an additional 40 to 50 cfs. U/S Users Exch wil only pull 10.6 cfs until they reach their allocated amount.</t>
        </r>
      </text>
    </comment>
    <comment ref="AT8" authorId="0">
      <text>
        <r>
          <rPr>
            <b val="true"/>
            <sz val="8"/>
            <color rgb="FF000000"/>
            <rFont val="Tahoma"/>
            <family val="0"/>
          </rPr>
          <t xml:space="preserve">Vernon Lamb:
</t>
        </r>
        <r>
          <rPr>
            <sz val="8"/>
            <color rgb="FF000000"/>
            <rFont val="Tahoma"/>
            <family val="2"/>
          </rPr>
          <t xml:space="preserve">9/9/14: SJB F&amp;W water adjusted based on 9/9 calcs to 691 AF (with 25 AF McPhee deficit amount adjusted out). Half of this amount (345.5 AF) is allocated to Totten Fresh Water.
</t>
        </r>
        <r>
          <rPr>
            <b val="true"/>
            <sz val="8"/>
            <color rgb="FF000000"/>
            <rFont val="Tahoma"/>
            <family val="0"/>
          </rPr>
          <t xml:space="preserve">
</t>
        </r>
        <r>
          <rPr>
            <sz val="8"/>
            <color rgb="FF000000"/>
            <rFont val="Tahoma"/>
            <family val="2"/>
          </rPr>
          <t xml:space="preserve">8/4/14: SJB F&amp;W water adjusted based on 8/4 calcs to 689 AF. Half of this amount (344.5 AF) is allocated to Totten Fresh Water.
</t>
        </r>
        <r>
          <rPr>
            <sz val="8"/>
            <color rgb="FF000000"/>
            <rFont val="Tahoma"/>
            <family val="0"/>
          </rPr>
          <t xml:space="preserve">
7/1/14: Half of SJB F&amp;W water based on 7/1/14 allocation. 665 AF total split in half between Totten and Wetlands.</t>
        </r>
      </text>
    </comment>
    <comment ref="AT9" authorId="0">
      <text>
        <r>
          <rPr>
            <b val="true"/>
            <sz val="8"/>
            <color rgb="FF000000"/>
            <rFont val="Tahoma"/>
            <family val="0"/>
          </rPr>
          <t xml:space="preserve">Vernon Lamb:
</t>
        </r>
        <r>
          <rPr>
            <sz val="8"/>
            <color rgb="FF000000"/>
            <rFont val="Tahoma"/>
            <family val="0"/>
          </rPr>
          <t xml:space="preserve">Above value converted to cfs.</t>
        </r>
      </text>
    </comment>
    <comment ref="AT16" authorId="0">
      <text>
        <r>
          <rPr>
            <b val="true"/>
            <sz val="8"/>
            <color rgb="FF000000"/>
            <rFont val="Tahoma"/>
            <family val="0"/>
          </rPr>
          <t xml:space="preserve">Vernon Lamb:
</t>
        </r>
        <r>
          <rPr>
            <sz val="8"/>
            <color rgb="FF000000"/>
            <rFont val="Tahoma"/>
            <family val="0"/>
          </rPr>
          <t xml:space="preserve">Questar release ended. All water from RF#2 now going toward SJB F&amp;W water in Totten. Will flow at about 2 cfs / day.</t>
        </r>
      </text>
    </comment>
    <comment ref="BA34" authorId="0">
      <text>
        <r>
          <rPr>
            <b val="true"/>
            <sz val="8"/>
            <color rgb="FF000000"/>
            <rFont val="Tahoma"/>
            <family val="0"/>
          </rPr>
          <t xml:space="preserve">Vernon Lamb:
</t>
        </r>
        <r>
          <rPr>
            <sz val="8"/>
            <color rgb="FF000000"/>
            <rFont val="Tahoma"/>
            <family val="0"/>
          </rPr>
          <t xml:space="preserve">MVIC opened up Groundhog an additional 50 cfs. They opened it to get at their Project Water and to help augment the river as its flows are beginning to drop off.</t>
        </r>
      </text>
    </comment>
    <comment ref="BA43" authorId="0">
      <text>
        <r>
          <rPr>
            <b val="true"/>
            <sz val="8"/>
            <color rgb="FF000000"/>
            <rFont val="Tahoma"/>
            <family val="0"/>
          </rPr>
          <t xml:space="preserve">Vernon Lamb:
</t>
        </r>
        <r>
          <rPr>
            <sz val="8"/>
            <color rgb="FF000000"/>
            <rFont val="Tahoma"/>
            <family val="0"/>
          </rPr>
          <t xml:space="preserve">MVIC reduced Groundhog releases due to River flows increasing. They set it at 20 cfs for them and the remainder goes toward the U/S Users Exchange.</t>
        </r>
      </text>
    </comment>
  </commentList>
</comments>
</file>

<file path=xl/comments10.xml><?xml version="1.0" encoding="utf-8"?>
<comments xmlns="http://schemas.openxmlformats.org/spreadsheetml/2006/main" xmlns:xdr="http://schemas.openxmlformats.org/drawingml/2006/spreadsheetDrawing">
  <authors>
    <author> </author>
  </authors>
  <commentList>
    <comment ref="G17" authorId="0">
      <text>
        <r>
          <rPr>
            <b val="true"/>
            <sz val="8"/>
            <color rgb="FF000000"/>
            <rFont val="Tahoma"/>
            <family val="0"/>
          </rPr>
          <t xml:space="preserve">Vernon Lamb:
</t>
        </r>
        <r>
          <rPr>
            <sz val="8"/>
            <color rgb="FF000000"/>
            <rFont val="Tahoma"/>
            <family val="0"/>
          </rPr>
          <t xml:space="preserve">8/4/14: USGS Prov River numbers have changed once again. Dates changed: Mar 4 thru 8 &amp; 13 thru 15; Jul 18 thru 30. They are still provisional values. From change, Dol Riv lost 1,261 AF. Before change on 7/31/14:
Season CFS: 90,344      YTD CFS: 102,963
Season AF: 179,197      YTD AF: 204,227
After change on 7/31/14:
Season CFS: 89,814      YTD CFS: 102,327
Season AF: 178,146      YTD AF: 202,966
Changes by Month:
Mar: -106 CFS / -210 AF
July: -530 CFS / -1,051 AF
Net Change: -636 CFS / -1,261 AF</t>
        </r>
      </text>
    </comment>
    <comment ref="N15" authorId="0">
      <text>
        <r>
          <rPr>
            <b val="true"/>
            <sz val="8"/>
            <color rgb="FF000000"/>
            <rFont val="Tahoma"/>
            <family val="0"/>
          </rPr>
          <t xml:space="preserve">Vernon Lamb:
</t>
        </r>
        <r>
          <rPr>
            <sz val="8"/>
            <color rgb="FF000000"/>
            <rFont val="Tahoma"/>
            <family val="0"/>
          </rPr>
          <t xml:space="preserve">Wetlands water turned off for drain repairs.</t>
        </r>
      </text>
    </comment>
    <comment ref="N33" authorId="0">
      <text>
        <r>
          <rPr>
            <b val="true"/>
            <sz val="8"/>
            <color rgb="FF000000"/>
            <rFont val="Tahoma"/>
            <family val="0"/>
          </rPr>
          <t xml:space="preserve">Vernon Lamb:
</t>
        </r>
        <r>
          <rPr>
            <sz val="8"/>
            <color rgb="FF000000"/>
            <rFont val="Tahoma"/>
            <family val="0"/>
          </rPr>
          <t xml:space="preserve">Wetlands turned back on.
</t>
        </r>
      </text>
    </comment>
    <comment ref="O37" authorId="0">
      <text>
        <r>
          <rPr>
            <b val="true"/>
            <sz val="8"/>
            <color rgb="FF000000"/>
            <rFont val="Tahoma"/>
            <family val="0"/>
          </rPr>
          <t xml:space="preserve">Vernon Lamb:
</t>
        </r>
        <r>
          <rPr>
            <sz val="8"/>
            <color rgb="FF000000"/>
            <rFont val="Tahoma"/>
            <family val="0"/>
          </rPr>
          <t xml:space="preserve">The first 87.5 cfs diverted today completes UF&amp;R's Allocated Irrigation Supply of 21,612 AF. The remaining 3.3 cfs diverted today begins and is counted toward UF&amp;R's lease water (Column AU).
9/9/14: Alloc Calcs give UF&amp;R an irrigatin supply of 20,848 AF + 716 AF + 417 AF = 21,981 AF less 369 AF for McPhee deficit amount = 21,612 AF. At this point 4,000 AF of  UF&amp;R lease water goes into effect for a total water supply of 25,612 AF.</t>
        </r>
      </text>
    </commen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AP8" authorId="0">
      <text>
        <r>
          <rPr>
            <b val="true"/>
            <sz val="8"/>
            <color rgb="FF000000"/>
            <rFont val="Tahoma"/>
            <family val="0"/>
          </rPr>
          <t xml:space="preserve">E. A. Birk:
</t>
        </r>
        <r>
          <rPr>
            <sz val="8"/>
            <color rgb="FF000000"/>
            <rFont val="Tahoma"/>
            <family val="0"/>
          </rPr>
          <t xml:space="preserve">After June 30th MVIC can not store water in Narr. by contact, so this column only shows what the river produced in relationship to what MVIC used.</t>
        </r>
      </text>
    </comment>
    <comment ref="AR15" authorId="0">
      <text>
        <r>
          <rPr>
            <b val="true"/>
            <sz val="8"/>
            <color rgb="FF000000"/>
            <rFont val="Tahoma"/>
            <family val="0"/>
          </rPr>
          <t xml:space="preserve">Vernon Lamb:
</t>
        </r>
        <r>
          <rPr>
            <sz val="8"/>
            <color rgb="FF000000"/>
            <rFont val="Tahoma"/>
            <family val="0"/>
          </rPr>
          <t xml:space="preserve">Class B usage for August: 1,025.215 AF.</t>
        </r>
      </text>
    </comment>
    <comment ref="AR37" authorId="0">
      <text>
        <r>
          <rPr>
            <b val="true"/>
            <sz val="8"/>
            <color rgb="FF000000"/>
            <rFont val="Tahoma"/>
            <family val="0"/>
          </rPr>
          <t xml:space="preserve">Vernon Lamb:
</t>
        </r>
        <r>
          <rPr>
            <sz val="8"/>
            <color rgb="FF000000"/>
            <rFont val="Tahoma"/>
            <family val="2"/>
          </rPr>
          <t xml:space="preserve">Class B allocated amount reached. Allocation calcs on 9/9/14 give a Class B allocated amount of 5,369 AF.</t>
        </r>
      </text>
    </comment>
    <comment ref="AR41" authorId="0">
      <text>
        <r>
          <rPr>
            <b val="true"/>
            <sz val="8"/>
            <color rgb="FF000000"/>
            <rFont val="Tahoma"/>
            <family val="0"/>
          </rPr>
          <t xml:space="preserve">Vernon Lamb:
</t>
        </r>
        <r>
          <rPr>
            <sz val="8"/>
            <color rgb="FF000000"/>
            <rFont val="Tahoma"/>
            <family val="0"/>
          </rPr>
          <t xml:space="preserve">Class B meters were read August 27th.</t>
        </r>
      </text>
    </comment>
    <comment ref="AS8" authorId="0">
      <text>
        <r>
          <rPr>
            <b val="true"/>
            <sz val="8"/>
            <color rgb="FF000000"/>
            <rFont val="Tahoma"/>
            <family val="0"/>
          </rPr>
          <t xml:space="preserve">Vernon Lamb:
</t>
        </r>
        <r>
          <rPr>
            <sz val="8"/>
            <color rgb="FF000000"/>
            <rFont val="Tahoma"/>
            <family val="0"/>
          </rPr>
          <t xml:space="preserve">1,532.4 AF is the 2014 U/S users release amount.</t>
        </r>
      </text>
    </comment>
    <comment ref="AT8" authorId="0">
      <text>
        <r>
          <rPr>
            <b val="true"/>
            <sz val="8"/>
            <color rgb="FF000000"/>
            <rFont val="Tahoma"/>
            <family val="0"/>
          </rPr>
          <t xml:space="preserve">Vernon Lamb:
</t>
        </r>
        <r>
          <rPr>
            <sz val="8"/>
            <color rgb="FF000000"/>
            <rFont val="Tahoma"/>
            <family val="2"/>
          </rPr>
          <t xml:space="preserve">9/9/14: SJB F&amp;W water adjusted based on 9/9 calcs to 691 AF (with 25 AF McPhee deficit amount adjusted out). Half of this amount (345.5 AF) is allocated to Totten Fresh Water.
</t>
        </r>
        <r>
          <rPr>
            <b val="true"/>
            <sz val="8"/>
            <color rgb="FF000000"/>
            <rFont val="Tahoma"/>
            <family val="0"/>
          </rPr>
          <t xml:space="preserve">
</t>
        </r>
        <r>
          <rPr>
            <sz val="8"/>
            <color rgb="FF000000"/>
            <rFont val="Tahoma"/>
            <family val="2"/>
          </rPr>
          <t xml:space="preserve">8/4/14: SJB F&amp;W water adjusted based on 8/4 calcs to 689 AF. Half of this amount (344.5 AF) is allocated to Totten Fresh Water.
</t>
        </r>
        <r>
          <rPr>
            <sz val="8"/>
            <color rgb="FF000000"/>
            <rFont val="Tahoma"/>
            <family val="0"/>
          </rPr>
          <t xml:space="preserve">
7/1/14: Half of SJB F&amp;W water based on 7/1/14 allocation. 665 AF total split in half between Totten and Wetlands.</t>
        </r>
      </text>
    </comment>
    <comment ref="AT9" authorId="0">
      <text>
        <r>
          <rPr>
            <b val="true"/>
            <sz val="8"/>
            <color rgb="FF000000"/>
            <rFont val="Tahoma"/>
            <family val="0"/>
          </rPr>
          <t xml:space="preserve">Vernon Lamb:
</t>
        </r>
        <r>
          <rPr>
            <sz val="8"/>
            <color rgb="FF000000"/>
            <rFont val="Tahoma"/>
            <family val="0"/>
          </rPr>
          <t xml:space="preserve">Above value converted to cfs.</t>
        </r>
      </text>
    </comment>
    <comment ref="BA21" authorId="0">
      <text>
        <r>
          <rPr>
            <b val="true"/>
            <sz val="8"/>
            <color rgb="FF000000"/>
            <rFont val="Tahoma"/>
            <family val="0"/>
          </rPr>
          <t xml:space="preserve">Vernon Lamb:
</t>
        </r>
        <r>
          <rPr>
            <sz val="8"/>
            <color rgb="FF000000"/>
            <rFont val="Tahoma"/>
            <family val="0"/>
          </rPr>
          <t xml:space="preserve">MVIC lowered the Groundhog Release to where it only covers the U/S Users Exchange.</t>
        </r>
      </text>
    </comment>
  </commentList>
</comments>
</file>

<file path=xl/comments11.xml><?xml version="1.0" encoding="utf-8"?>
<comments xmlns="http://schemas.openxmlformats.org/spreadsheetml/2006/main" xmlns:xdr="http://schemas.openxmlformats.org/drawingml/2006/spreadsheetDrawing">
  <authors>
    <author> </author>
  </authors>
  <commentList>
    <comment ref="O8" authorId="0">
      <text>
        <r>
          <rPr>
            <b val="true"/>
            <sz val="8"/>
            <color rgb="FF000000"/>
            <rFont val="Tahoma"/>
            <family val="0"/>
          </rPr>
          <t xml:space="preserve">Vernon Lamb:
</t>
        </r>
        <r>
          <rPr>
            <sz val="8"/>
            <color rgb="FF000000"/>
            <rFont val="Tahoma"/>
            <family val="0"/>
          </rPr>
          <t xml:space="preserve">9/9/14: Alloc Calcs give UF&amp;R an irrigatin supply of 20,848 AF + 716 AF + 417 AF = 21,981 AF less 369 AF for McPhee deficit amount = 21,612 AF. At this point 4,000 AF of  UF&amp;R lease water goes into effect for a total water supply of 25,612 AF.</t>
        </r>
      </text>
    </commen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Z23"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t>
        </r>
      </text>
    </comment>
    <comment ref="Z24"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t>
        </r>
      </text>
    </comment>
    <comment ref="Z25"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t>
        </r>
      </text>
    </comment>
    <comment ref="AC24" authorId="0">
      <text>
        <r>
          <rPr>
            <b val="true"/>
            <sz val="8"/>
            <color rgb="FF000000"/>
            <rFont val="Tahoma"/>
            <family val="0"/>
          </rPr>
          <t xml:space="preserve">Vernon Lamb:
</t>
        </r>
        <r>
          <rPr>
            <sz val="8"/>
            <color rgb="FF000000"/>
            <rFont val="Tahoma"/>
            <family val="0"/>
          </rPr>
          <t xml:space="preserve">Due to high inflow on the 9th, MVI credited for evap. Today's equation reflects this as the Evap portion has been removed. Credited on this day due to nature of equation pulling evap from previous day.</t>
        </r>
      </text>
    </comment>
    <comment ref="AC25" authorId="0">
      <text>
        <r>
          <rPr>
            <b val="true"/>
            <sz val="8"/>
            <color rgb="FF000000"/>
            <rFont val="Tahoma"/>
            <family val="0"/>
          </rPr>
          <t xml:space="preserve">Vernon Lamb:
</t>
        </r>
        <r>
          <rPr>
            <sz val="8"/>
            <color rgb="FF000000"/>
            <rFont val="Tahoma"/>
            <family val="0"/>
          </rPr>
          <t xml:space="preserve">Due to high inflow on the 10th, MVI credited for evap. Today's equation reflects this as the Evap portion has been removed. Credited on this day due to nature of equation pulling evap from previous day.</t>
        </r>
      </text>
    </comment>
    <comment ref="AC26" authorId="0">
      <text>
        <r>
          <rPr>
            <b val="true"/>
            <sz val="8"/>
            <color rgb="FF000000"/>
            <rFont val="Tahoma"/>
            <family val="0"/>
          </rPr>
          <t xml:space="preserve">Vernon Lamb:
</t>
        </r>
        <r>
          <rPr>
            <sz val="8"/>
            <color rgb="FF000000"/>
            <rFont val="Tahoma"/>
            <family val="0"/>
          </rPr>
          <t xml:space="preserve">Due to high inflow on the 11th, MVI credited for evap. Today's equation reflects this as the Evap portion has been removed. Credited on this day due to nature of equation pulling evap from previous day.</t>
        </r>
      </text>
    </comment>
    <comment ref="AC29" authorId="0">
      <text>
        <r>
          <rPr>
            <b val="true"/>
            <sz val="8"/>
            <color rgb="FF000000"/>
            <rFont val="Tahoma"/>
            <family val="0"/>
          </rPr>
          <t xml:space="preserve">Vernon Lamb:
</t>
        </r>
        <r>
          <rPr>
            <sz val="8"/>
            <color rgb="FF000000"/>
            <rFont val="Tahoma"/>
            <family val="0"/>
          </rPr>
          <t xml:space="preserve">MVI CALL STOR exhausted. Switched to drawing from Totten Exchange water. For today only eqn is +Z28 for remaining 87 cfs of MVI CALL STOR. Tomorrow &amp; future equations will include just the corresponding AP cell. For example tomorrow's eqn: "=AC29-(AQ29/1.9835)+AS30+AP30" where AP30 adjusts for exhausted MVI CALL STOR.</t>
        </r>
      </text>
    </comment>
    <comment ref="AC36"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t>
        </r>
      </text>
    </comment>
    <comment ref="AC37"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22nd, MVI credited for evap. Today's equation reflects this as the Evap portion has been removed. Credited on this day due to nature of equation pulling evap from previous day.</t>
        </r>
      </text>
    </comment>
    <comment ref="AC38" authorId="0">
      <text>
        <r>
          <rPr>
            <b val="true"/>
            <sz val="8"/>
            <color rgb="FF000000"/>
            <rFont val="Tahoma"/>
            <family val="0"/>
          </rPr>
          <t xml:space="preserve">Vernon Lamb:
</t>
        </r>
        <r>
          <rPr>
            <sz val="8"/>
            <color rgb="FF000000"/>
            <rFont val="Tahoma"/>
            <family val="0"/>
          </rPr>
          <t xml:space="preserve">Due to high inflow on the 23rd, MVI credited for evap. Today's equation reflects this as the Evap portion has been removed. Credited on this day due to nature of equation pulling evap from previous day.</t>
        </r>
      </text>
    </comment>
    <comment ref="AC42"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t>
        </r>
      </text>
    </comment>
    <comment ref="AC43"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28th, MVI credited for evap. Today's equation reflects this as the Evap portion has been removed. Credited on this day due to nature of equation pulling evap from previous day.</t>
        </r>
      </text>
    </comment>
    <comment ref="AC44"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29th, MVI credited for evap. Today's equation reflects this as the Evap portion has been removed. Credited on this day due to nature of equation pulling evap from previous day.</t>
        </r>
      </text>
    </comment>
    <comment ref="AE8" authorId="0">
      <text>
        <r>
          <rPr>
            <b val="true"/>
            <sz val="8"/>
            <color rgb="FF000000"/>
            <rFont val="Tahoma"/>
            <family val="0"/>
          </rPr>
          <t xml:space="preserve">Vernon Lamb:
</t>
        </r>
        <r>
          <rPr>
            <sz val="8"/>
            <color rgb="FF000000"/>
            <rFont val="Tahoma"/>
            <family val="0"/>
          </rPr>
          <t xml:space="preserve">9/9/14: Alloc Calcs give Full Service a supply of 54,944 AF. (55,819 AF - 875 AF mcphee deficit).</t>
        </r>
      </text>
    </comment>
    <comment ref="AP8" authorId="0">
      <text>
        <r>
          <rPr>
            <b val="true"/>
            <sz val="8"/>
            <color rgb="FF000000"/>
            <rFont val="Tahoma"/>
            <family val="0"/>
          </rPr>
          <t xml:space="preserve">E. A. Birk:
</t>
        </r>
        <r>
          <rPr>
            <sz val="8"/>
            <color rgb="FF000000"/>
            <rFont val="Tahoma"/>
            <family val="0"/>
          </rPr>
          <t xml:space="preserve">After June 30th MVIC can not store water in Narr. by contact, so this column only shows what the river produced in relationship to what MVIC used.</t>
        </r>
      </text>
    </comment>
    <comment ref="AP23"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Z to account for this. Amount in this cell is the amount MVIC would've stored.</t>
        </r>
      </text>
    </comment>
    <comment ref="AP24"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Z to account for this. Amount in this cell is the amount MVIC would've stored.</t>
        </r>
      </text>
    </comment>
    <comment ref="AP25"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Z to account for this. Amount in this cell is the amount MVIC would've stored.</t>
        </r>
      </text>
    </comment>
    <comment ref="AP36"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37"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42"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43"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t>
        </r>
      </text>
    </comment>
    <comment ref="AP44"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S8" authorId="0">
      <text>
        <r>
          <rPr>
            <b val="true"/>
            <sz val="8"/>
            <color rgb="FF000000"/>
            <rFont val="Tahoma"/>
            <family val="0"/>
          </rPr>
          <t xml:space="preserve">Vernon Lamb:
</t>
        </r>
        <r>
          <rPr>
            <sz val="8"/>
            <color rgb="FF000000"/>
            <rFont val="Tahoma"/>
            <family val="0"/>
          </rPr>
          <t xml:space="preserve">1,532.4 AF is the 2014 U/S users release amount.</t>
        </r>
      </text>
    </comment>
    <comment ref="AS37" authorId="0">
      <text>
        <r>
          <rPr>
            <b val="true"/>
            <sz val="8"/>
            <color rgb="FF000000"/>
            <rFont val="Tahoma"/>
            <family val="0"/>
          </rPr>
          <t xml:space="preserve">Vernon Lamb:
</t>
        </r>
        <r>
          <rPr>
            <sz val="8"/>
            <color rgb="FF000000"/>
            <rFont val="Tahoma"/>
            <family val="0"/>
          </rPr>
          <t xml:space="preserve">U/S Users Exchange complete at 1,532.4 AF.</t>
        </r>
      </text>
    </comment>
    <comment ref="AT8" authorId="0">
      <text>
        <r>
          <rPr>
            <b val="true"/>
            <sz val="8"/>
            <color rgb="FF000000"/>
            <rFont val="Tahoma"/>
            <family val="0"/>
          </rPr>
          <t xml:space="preserve">Vernon Lamb:
</t>
        </r>
        <r>
          <rPr>
            <sz val="8"/>
            <color rgb="FF000000"/>
            <rFont val="Tahoma"/>
            <family val="2"/>
          </rPr>
          <t xml:space="preserve">9/9/14: SJB F&amp;W water adjusted based on 9/9 calcs to 691 AF (with 25 AF McPhee deficit amount adjusted out). Half of this amount (345.5 AF) is allocated to Totten Fresh Water.
</t>
        </r>
        <r>
          <rPr>
            <b val="true"/>
            <sz val="8"/>
            <color rgb="FF000000"/>
            <rFont val="Tahoma"/>
            <family val="0"/>
          </rPr>
          <t xml:space="preserve">
</t>
        </r>
        <r>
          <rPr>
            <sz val="8"/>
            <color rgb="FF000000"/>
            <rFont val="Tahoma"/>
            <family val="2"/>
          </rPr>
          <t xml:space="preserve">8/4/14: SJB F&amp;W water adjusted based on 8/4 calcs to 689 AF. Half of this amount (344.5 AF) is allocated to Totten Fresh Water.
</t>
        </r>
        <r>
          <rPr>
            <sz val="8"/>
            <color rgb="FF000000"/>
            <rFont val="Tahoma"/>
            <family val="0"/>
          </rPr>
          <t xml:space="preserve">
7/1/14: Half of SJB F&amp;W water based on 7/1/14 allocation. 665 AF total split in half between Totten and Wetlands.</t>
        </r>
      </text>
    </comment>
    <comment ref="AT9" authorId="0">
      <text>
        <r>
          <rPr>
            <b val="true"/>
            <sz val="8"/>
            <color rgb="FF000000"/>
            <rFont val="Tahoma"/>
            <family val="0"/>
          </rPr>
          <t xml:space="preserve">Vernon Lamb:
</t>
        </r>
        <r>
          <rPr>
            <sz val="8"/>
            <color rgb="FF000000"/>
            <rFont val="Tahoma"/>
            <family val="0"/>
          </rPr>
          <t xml:space="preserve">Above value converted to cfs.</t>
        </r>
      </text>
    </comment>
    <comment ref="AT44" authorId="0">
      <text>
        <r>
          <rPr>
            <b val="true"/>
            <sz val="8"/>
            <color rgb="FF000000"/>
            <rFont val="Tahoma"/>
            <family val="0"/>
          </rPr>
          <t xml:space="preserve">Vernon Lamb:
</t>
        </r>
        <r>
          <rPr>
            <sz val="8"/>
            <color rgb="FF000000"/>
            <rFont val="Tahoma"/>
            <family val="0"/>
          </rPr>
          <t xml:space="preserve">With recent heavy rains, McElmo off call, McElmo creek flowing high, and Totten Reservoir reaching it's restriction limit, Totten fresh water is done for the season.</t>
        </r>
      </text>
    </comment>
    <comment ref="AU38" authorId="0">
      <text>
        <r>
          <rPr>
            <b val="true"/>
            <sz val="8"/>
            <color rgb="FF000000"/>
            <rFont val="Tahoma"/>
            <family val="0"/>
          </rPr>
          <t xml:space="preserve">Vernon Lamb:
</t>
        </r>
        <r>
          <rPr>
            <sz val="8"/>
            <color rgb="FF000000"/>
            <rFont val="Tahoma"/>
            <family val="0"/>
          </rPr>
          <t xml:space="preserve">Begin UF&amp;R lease water from MVIC.</t>
        </r>
      </text>
    </comment>
  </commentList>
</comments>
</file>

<file path=xl/comments12.xml><?xml version="1.0" encoding="utf-8"?>
<comments xmlns="http://schemas.openxmlformats.org/spreadsheetml/2006/main" xmlns:xdr="http://schemas.openxmlformats.org/drawingml/2006/spreadsheetDrawing">
  <authors>
    <author> </author>
  </authors>
  <commentList>
    <comment ref="G21" authorId="0">
      <text>
        <r>
          <rPr>
            <b val="true"/>
            <sz val="8"/>
            <color rgb="FF000000"/>
            <rFont val="Tahoma"/>
            <family val="0"/>
          </rPr>
          <t xml:space="preserve">Vernon Lamb:
</t>
        </r>
        <r>
          <rPr>
            <sz val="8"/>
            <color rgb="FF000000"/>
            <rFont val="Tahoma"/>
            <family val="0"/>
          </rPr>
          <t xml:space="preserve">10/8/14: USGS Prov River numbers have changed for March thru October. They are still provisional values. From change, Dol Riv lost 562 AF. 
Before change on 10/7/14:
Season CFS: 103,452      YTD CFS: 115,965
Season AF: 205,197      YTD AF: 230,017
After change on 10/7/14:
Season CFS: 103,165      YTD CFS: 115,682
Season AF: 204,628      YTD AF: 229,455
Changes by Month:
Mar: +4 CFS / +8 AF
Apr: +173 CFS / +344 AF
May: -194 CFS / -385 AF
June: -118 CFS / -234 AF
July: -61 CFS / -121 AF
Aug: -3 CFS / -5 AF
Sept: -50 CFS / -99 AF
Oct: -34 CFS / -67 AF
Net Change: -283 CFS / -562 AF</t>
        </r>
      </text>
    </comment>
    <comment ref="O8" authorId="0">
      <text>
        <r>
          <rPr>
            <b val="true"/>
            <sz val="8"/>
            <color rgb="FF000000"/>
            <rFont val="Tahoma"/>
            <family val="0"/>
          </rPr>
          <t xml:space="preserve">Vernon Lamb:
</t>
        </r>
        <r>
          <rPr>
            <sz val="8"/>
            <color rgb="FF000000"/>
            <rFont val="Tahoma"/>
            <family val="0"/>
          </rPr>
          <t xml:space="preserve">10/6/14: Alloc Calcs give UF&amp;R an irrigation supply of 21,081 AF + 724 AF + 417 AF = 22,222 AF. At this point 4,000 AF of  UF&amp;R lease water goes into effect for a total water supply of 26,222 AF.
9/9/14: Alloc Calcs give UF&amp;R an irrigation supply of 20,848 AF + 716 AF + 417 AF = 21,981 AF less 369 AF for McPhee deficit amount = 21,612 AF. At this point 4,000 AF of  UF&amp;R lease water goes into effect for a total water supply of 25,612 AF.</t>
        </r>
      </text>
    </comment>
    <comment ref="R8" authorId="0">
      <text>
        <r>
          <rPr>
            <b val="true"/>
            <sz val="8"/>
            <color rgb="FF000000"/>
            <rFont val="Tahoma"/>
            <family val="0"/>
          </rPr>
          <t xml:space="preserve">E. A. Birk:
</t>
        </r>
        <r>
          <rPr>
            <sz val="8"/>
            <color rgb="FF000000"/>
            <rFont val="Tahoma"/>
            <family val="0"/>
          </rPr>
          <t xml:space="preserve">If the formula =((daily reading)*1.04)-Col T # gives you more than 4.20, you need to enter the following formula in the Cortez Project column. =(((daily reading)*1.04)-col T #)-4.20. Then just enter 4.20 in this column.</t>
        </r>
      </text>
    </comment>
    <comment ref="R9" authorId="0">
      <text>
        <r>
          <rPr>
            <b val="true"/>
            <sz val="8"/>
            <color rgb="FF000000"/>
            <rFont val="Tahoma"/>
            <family val="0"/>
          </rPr>
          <t xml:space="preserve">E. A. Birk:
</t>
        </r>
        <r>
          <rPr>
            <sz val="8"/>
            <color rgb="FF000000"/>
            <rFont val="Tahoma"/>
            <family val="0"/>
          </rPr>
          <t xml:space="preserve">Cortez Non-project water is limited to 4.20 cfs/day.</t>
        </r>
      </text>
    </comment>
    <comment ref="T8" authorId="0">
      <text>
        <r>
          <rPr>
            <b val="true"/>
            <sz val="8"/>
            <color rgb="FF000000"/>
            <rFont val="Tahoma"/>
            <family val="0"/>
          </rPr>
          <t xml:space="preserve">E. A. Birk:
</t>
        </r>
        <r>
          <rPr>
            <sz val="8"/>
            <color rgb="FF000000"/>
            <rFont val="Tahoma"/>
            <family val="0"/>
          </rPr>
          <t xml:space="preserve">The formula is =(daily use from the Towaoc file*1.06)*1.04</t>
        </r>
      </text>
    </comment>
    <comment ref="V30" authorId="0">
      <text>
        <r>
          <rPr>
            <b val="true"/>
            <sz val="8"/>
            <color rgb="FF000000"/>
            <rFont val="Tahoma"/>
            <family val="0"/>
          </rPr>
          <t xml:space="preserve">Vernon Lamb:
</t>
        </r>
        <r>
          <rPr>
            <sz val="8"/>
            <color rgb="FF000000"/>
            <rFont val="Tahoma"/>
            <family val="0"/>
          </rPr>
          <t xml:space="preserve">At 22:15 Hrs MVIC began filling Narraguinnep with river water through the Lone Pine at 150 cfs. </t>
        </r>
      </text>
    </comment>
    <comment ref="W30" authorId="0">
      <text>
        <r>
          <rPr>
            <b val="true"/>
            <sz val="8"/>
            <color rgb="FF000000"/>
            <rFont val="Tahoma"/>
            <family val="0"/>
          </rPr>
          <t xml:space="preserve">Vernon Lamb:
</t>
        </r>
        <r>
          <rPr>
            <sz val="8"/>
            <color rgb="FF000000"/>
            <rFont val="Tahoma"/>
            <family val="0"/>
          </rPr>
          <t xml:space="preserve">East, West, &amp; U Laterals turned off at Midnight.</t>
        </r>
      </text>
    </comment>
    <comment ref="AC15"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Sept 30th, MVI credited for evap. Today's equation reflects this as the Evap portion has been removed. Credited on this day due to nature of equation pulling evap from previous day.</t>
        </r>
      </text>
    </comment>
    <comment ref="AC16"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1st, MVI credited for evap. Today's equation reflects this as the Evap portion has been removed. Credited on this day due to nature of equation pulling evap from previous day.</t>
        </r>
      </text>
    </comment>
    <comment ref="AC17"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2nd, MVI credited for evap. Today's equation reflects this as the Evap portion has been removed. Credited on this day due to nature of equation pulling evap from previous day.</t>
        </r>
      </text>
    </comment>
    <comment ref="AC18"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3rd, MVI credited for evap. Today's equation reflects this as the Evap portion has been removed. Credited on this day due to nature of equation pulling evap from previous day.</t>
        </r>
      </text>
    </comment>
    <comment ref="AC19"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4th, MVI credited for evap. Today's equation reflects this as the Evap portion has been removed. Credited on this day due to nature of equation pulling evap from previous day.</t>
        </r>
      </text>
    </comment>
    <comment ref="AC20"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5th, MVI credited for evap. Today's equation reflects this as the Evap portion has been removed. Credited on this day due to nature of equation pulling evap from previous day.</t>
        </r>
      </text>
    </comment>
    <comment ref="AC21"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6th, MVI credited for evap. Today's equation reflects this as the Evap portion has been removed. Credited on this day due to nature of equation pulling evap from previous day.</t>
        </r>
      </text>
    </comment>
    <comment ref="AC22"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7th, MVI credited for evap. Today's equation reflects this as the Evap portion has been removed. Credited on this day due to nature of equation pulling evap from previous day.</t>
        </r>
      </text>
    </comment>
    <comment ref="AC23"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8th, MVI credited for evap. Today's equation reflects this as the Evap portion has been removed. Credited on this day due to nature of equation pulling evap from previous day.</t>
        </r>
      </text>
    </comment>
    <comment ref="AC24"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9th, MVI credited for evap. Today's equation reflects this as the Evap portion has been removed. Credited on this day due to nature of equation pulling evap from previous day.</t>
        </r>
      </text>
    </comment>
    <comment ref="AC25"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 10th, MVI credited for evap. Today's equation reflects this as the Evap portion has been removed. Credited on this day due to nature of equation pulling evap from previous day.</t>
        </r>
      </text>
    </comment>
    <comment ref="AC26"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the11th, MVI credited for evap. Today's equation reflects this as the Evap portion has been removed. Credited on this day due to nature of equation pulling evap from previous day.</t>
        </r>
      </text>
    </comment>
    <comment ref="AC27"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the12th, MVI credited for evap. Today's equation reflects this as the Evap portion has been removed. Credited on this day due to nature of equation pulling evap from previous day.</t>
        </r>
      </text>
    </comment>
    <comment ref="AC28"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the13th, MVI credited for evap. Today's equation reflects this as the Evap portion has been removed. Credited on this day due to nature of equation pulling evap from previous day.</t>
        </r>
      </text>
    </comment>
    <comment ref="AC29"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the14th, MVI credited for evap. Today's equation reflects this as the Evap portion has been removed. Credited on this day due to nature of equation pulling evap from previous day.</t>
        </r>
      </text>
    </comment>
    <comment ref="AC30"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the15th, MVI credited for evap. Today's equation reflects this as the Evap portion has been removed. Credited on this day due to nature of equation pulling evap from previous day.</t>
        </r>
      </text>
    </comment>
    <comment ref="AC31"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the16th, MVI credited for evap. Today's equation reflects this as the Evap portion has been removed. Credited on this day due to nature of equation pulling evap from previous day.</t>
        </r>
      </text>
    </comment>
    <comment ref="AC32"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the17th, MVI credited for evap. Today's equation reflects this as the Evap portion has been removed. Credited on this day due to nature of equation pulling evap from previous day.</t>
        </r>
      </text>
    </comment>
    <comment ref="AC33"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the18th, MVI credited for evap. Today's equation reflects this as the Evap portion has been removed. Credited on this day due to nature of equation pulling evap from previous day.</t>
        </r>
      </text>
    </comment>
    <comment ref="AC34" authorId="0">
      <text>
        <r>
          <rPr>
            <b val="true"/>
            <sz val="8"/>
            <color rgb="FF000000"/>
            <rFont val="Tahoma"/>
            <family val="0"/>
          </rPr>
          <t xml:space="preserve">Vernon Lamb:
</t>
        </r>
        <r>
          <rPr>
            <sz val="8"/>
            <color rgb="FF000000"/>
            <rFont val="Tahoma"/>
            <family val="0"/>
          </rPr>
          <t xml:space="preserve">River making more water than MVIC is using so no reduction: in equation replaced "+AP#" with "+0".
Also, due to high inflow on the19th, MVI credited for evap. Today's equation reflects this as the Evap portion has been removed. Credited on this day due to nature of equation pulling evap from previous day.</t>
        </r>
      </text>
    </comment>
    <comment ref="AC35" authorId="0">
      <text>
        <r>
          <rPr>
            <b val="true"/>
            <sz val="8"/>
            <color rgb="FF000000"/>
            <rFont val="Tahoma"/>
            <family val="0"/>
          </rPr>
          <t xml:space="preserve">Vernon Lamb:
</t>
        </r>
        <r>
          <rPr>
            <sz val="8"/>
            <color rgb="FF000000"/>
            <rFont val="Tahoma"/>
            <family val="0"/>
          </rPr>
          <t xml:space="preserve">Due to high inflow on the 20th, MVI credited for evap. Today's equation reflects this as the Evap portion has been removed. Credited on this day due to nature of equation pulling evap from previous day.</t>
        </r>
      </text>
    </comment>
    <comment ref="AC37" authorId="0">
      <text>
        <r>
          <rPr>
            <b val="true"/>
            <sz val="8"/>
            <color rgb="FF000000"/>
            <rFont val="Tahoma"/>
            <family val="2"/>
          </rPr>
          <t xml:space="preserve">Vernon:
</t>
        </r>
        <r>
          <rPr>
            <sz val="8"/>
            <color rgb="FF000000"/>
            <rFont val="Tahoma"/>
            <family val="2"/>
          </rPr>
          <t xml:space="preserve">River making more water than MVIC is using so no reduction: in equation replaced "+AP#" with "+0".
</t>
        </r>
      </text>
    </comment>
    <comment ref="AC38" authorId="0">
      <text>
        <r>
          <rPr>
            <b val="true"/>
            <sz val="8"/>
            <color rgb="FF000000"/>
            <rFont val="Tahoma"/>
            <family val="2"/>
          </rPr>
          <t xml:space="preserve">Vernon:
</t>
        </r>
        <r>
          <rPr>
            <sz val="8"/>
            <color rgb="FF000000"/>
            <rFont val="Tahoma"/>
            <family val="2"/>
          </rPr>
          <t xml:space="preserve">River making more water than MVIC is using so no reduction: in equation replaced "+AP#" with "+0".
Also, due to high inflow on the 23rd, MVI credited for evap. Today's equation reflects this as the Evap portion has been removed. Credited on this day due to nature of equation pulling evap from previous day.</t>
        </r>
      </text>
    </comment>
    <comment ref="AC39" authorId="0">
      <text>
        <r>
          <rPr>
            <b val="true"/>
            <sz val="8"/>
            <color rgb="FF000000"/>
            <rFont val="Tahoma"/>
            <family val="2"/>
          </rPr>
          <t xml:space="preserve">Vernon:
</t>
        </r>
        <r>
          <rPr>
            <sz val="8"/>
            <color rgb="FF000000"/>
            <rFont val="Tahoma"/>
            <family val="2"/>
          </rPr>
          <t xml:space="preserve">River making more water than MVIC is using so no reduction: in equation replaced "+AP#" with "+0".
Also, due to high inflow on the 24th, MVI credited for evap. Today's equation reflects this as the Evap portion has been removed. Credited on this day due to nature of equation pulling evap from previous day.</t>
        </r>
      </text>
    </comment>
    <comment ref="AC40" authorId="0">
      <text>
        <r>
          <rPr>
            <b val="true"/>
            <sz val="8"/>
            <color rgb="FF000000"/>
            <rFont val="Tahoma"/>
            <family val="2"/>
          </rPr>
          <t xml:space="preserve">Vernon:
</t>
        </r>
        <r>
          <rPr>
            <sz val="8"/>
            <color rgb="FF000000"/>
            <rFont val="Tahoma"/>
            <family val="2"/>
          </rPr>
          <t xml:space="preserve">Due to high inflow on the 25th, MVI credited for evap. Today's equation reflects this as the Evap portion has been removed. Credited on this day due to nature of equation pulling evap from previous day.</t>
        </r>
      </text>
    </comment>
    <comment ref="AC41" authorId="0">
      <text>
        <r>
          <rPr>
            <b val="true"/>
            <sz val="8"/>
            <color rgb="FF000000"/>
            <rFont val="Tahoma"/>
            <family val="2"/>
          </rPr>
          <t xml:space="preserve">Vernon:
</t>
        </r>
        <r>
          <rPr>
            <sz val="8"/>
            <color rgb="FF000000"/>
            <rFont val="Tahoma"/>
            <family val="2"/>
          </rPr>
          <t xml:space="preserve">River making more water than MVIC is using so no reduction: in equation replaced "+AP#" with "+0".
</t>
        </r>
      </text>
    </comment>
    <comment ref="AC42" authorId="0">
      <text>
        <r>
          <rPr>
            <b val="true"/>
            <sz val="8"/>
            <color rgb="FF000000"/>
            <rFont val="Tahoma"/>
            <family val="2"/>
          </rPr>
          <t xml:space="preserve">Vernon:
</t>
        </r>
        <r>
          <rPr>
            <sz val="8"/>
            <color rgb="FF000000"/>
            <rFont val="Tahoma"/>
            <family val="2"/>
          </rPr>
          <t xml:space="preserve">River making more water than MVIC is using so no reduction: in equation replaced "+AP#" with "+0".
Also, due to high inflow on the 27th, MVI credited for evap. Today's equation reflects this as the Evap portion has been removed. Credited on this day due to nature of equation pulling evap from previous day.</t>
        </r>
      </text>
    </comment>
    <comment ref="AC43" authorId="0">
      <text>
        <r>
          <rPr>
            <b val="true"/>
            <sz val="8"/>
            <color rgb="FF000000"/>
            <rFont val="Tahoma"/>
            <family val="2"/>
          </rPr>
          <t xml:space="preserve">Vernon:
</t>
        </r>
        <r>
          <rPr>
            <sz val="8"/>
            <color rgb="FF000000"/>
            <rFont val="Tahoma"/>
            <family val="2"/>
          </rPr>
          <t xml:space="preserve">River making more water than MVIC is using so no reduction: in equation replaced "+AP#" with "+0".
Also, due to high inflow on the 28th, MVI credited for evap. Today's equation reflects this as the Evap portion has been removed. Credited on this day due to nature of equation pulling evap from previous day.</t>
        </r>
      </text>
    </comment>
    <comment ref="AC44" authorId="0">
      <text>
        <r>
          <rPr>
            <b val="true"/>
            <sz val="8"/>
            <color rgb="FF000000"/>
            <rFont val="Tahoma"/>
            <family val="2"/>
          </rPr>
          <t xml:space="preserve">Vernon:
</t>
        </r>
        <r>
          <rPr>
            <sz val="8"/>
            <color rgb="FF000000"/>
            <rFont val="Tahoma"/>
            <family val="2"/>
          </rPr>
          <t xml:space="preserve">River making more water than MVIC is using so no reduction: in equation replaced "+AP#" with "+0".
Also, due to high inflow on the 29th, MVI credited for evap. Today's equation reflects this as the Evap portion has been removed. Credited on this day due to nature of equation pulling evap from previous day.</t>
        </r>
      </text>
    </comment>
    <comment ref="AC45" authorId="0">
      <text>
        <r>
          <rPr>
            <b val="true"/>
            <sz val="8"/>
            <color rgb="FF000000"/>
            <rFont val="Tahoma"/>
            <family val="2"/>
          </rPr>
          <t xml:space="preserve">Vernon:
</t>
        </r>
        <r>
          <rPr>
            <sz val="8"/>
            <color rgb="FF000000"/>
            <rFont val="Tahoma"/>
            <family val="2"/>
          </rPr>
          <t xml:space="preserve">River making more water than MVIC is using so no reduction: in equation replaced "+AP#" with "+0".
Also, due to high inflow on the 30th, MVI credited for evap. Today's equation reflects this as the Evap portion has been removed. Credited on this day due to nature of equation pulling evap from previous day.</t>
        </r>
      </text>
    </comment>
    <comment ref="AE8" authorId="0">
      <text>
        <r>
          <rPr>
            <b val="true"/>
            <sz val="8"/>
            <color rgb="FF000000"/>
            <rFont val="Tahoma"/>
            <family val="0"/>
          </rPr>
          <t xml:space="preserve">Vernon Lamb:
</t>
        </r>
        <r>
          <rPr>
            <sz val="8"/>
            <color rgb="FF000000"/>
            <rFont val="Tahoma"/>
            <family val="0"/>
          </rPr>
          <t xml:space="preserve">10/6/14: Alloc Calcs give Full Service a supply of 56,430 AF.
9/9/14: Alloc Calcs give Full Service a supply of 54,944 AF. (55,819 AF - 875 AF mcphee deficit).</t>
        </r>
      </text>
    </comment>
    <comment ref="AN30" authorId="0">
      <text>
        <r>
          <rPr>
            <b val="true"/>
            <sz val="8"/>
            <color rgb="FF000000"/>
            <rFont val="Tahoma"/>
            <family val="0"/>
          </rPr>
          <t xml:space="preserve">Vernon Lamb:
</t>
        </r>
        <r>
          <rPr>
            <sz val="8"/>
            <color rgb="FF000000"/>
            <rFont val="Tahoma"/>
            <family val="0"/>
          </rPr>
          <t xml:space="preserve">At 22:15 Hrs MVIC began filling Narraguinnep with river water through the Lone Pine at 150 cfs. This is Narrguinnep's second fill until Nov 1st.
Narr Boat Ramp ~8 AM: 36.4' = 4,388.50 AF.</t>
        </r>
      </text>
    </comment>
    <comment ref="AN45" authorId="0">
      <text>
        <r>
          <rPr>
            <b val="true"/>
            <sz val="8"/>
            <color rgb="FF000000"/>
            <rFont val="Tahoma"/>
            <family val="2"/>
          </rPr>
          <t xml:space="preserve">Vernon Lamb:
</t>
        </r>
        <r>
          <rPr>
            <sz val="8"/>
            <color rgb="FF000000"/>
            <rFont val="Tahoma"/>
            <family val="2"/>
          </rPr>
          <t xml:space="preserve">Nov 1, 2014 Narraguinnep boat ramp read 47.5' = 7,695.75 AF capacity.</t>
        </r>
      </text>
    </comment>
    <comment ref="AP8" authorId="0">
      <text>
        <r>
          <rPr>
            <b val="true"/>
            <sz val="8"/>
            <color rgb="FF000000"/>
            <rFont val="Tahoma"/>
            <family val="0"/>
          </rPr>
          <t xml:space="preserve">E. A. Birk:
</t>
        </r>
        <r>
          <rPr>
            <sz val="8"/>
            <color rgb="FF000000"/>
            <rFont val="Tahoma"/>
            <family val="0"/>
          </rPr>
          <t xml:space="preserve">After June 30th MVIC can not store water in Narr. by contact, so this column only shows what the river produced in relationship to what MVIC used.</t>
        </r>
      </text>
    </comment>
    <comment ref="AP15"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16"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17"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18"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19"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20"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21"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22"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23"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24"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25"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26"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27"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28"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29"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30"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31" authorId="0">
      <text>
        <r>
          <rPr>
            <b val="true"/>
            <sz val="8"/>
            <color rgb="FF000000"/>
            <rFont val="Tahoma"/>
            <family val="0"/>
          </rPr>
          <t xml:space="preserve">Vernon Lamb:
</t>
        </r>
        <r>
          <rPr>
            <sz val="8"/>
            <color rgb="FF000000"/>
            <rFont val="Tahoma"/>
            <family val="0"/>
          </rPr>
          <t xml:space="preserve">High inflow on this day, resulted in MVI storage of water. MVI cannot store water at this time, special equation inserted in col AC to account for this. Amount in this cell is the amount MVIC would've stored.</t>
        </r>
      </text>
    </comment>
    <comment ref="AP32" authorId="0">
      <text>
        <r>
          <rPr>
            <b val="true"/>
            <sz val="8"/>
            <color rgb="FF000000"/>
            <rFont val="Tahoma"/>
            <family val="0"/>
          </rPr>
          <t xml:space="preserve">Vernon Lamb:
</t>
        </r>
        <r>
          <rPr>
            <sz val="8"/>
            <color rgb="FF000000"/>
            <rFont val="Tahoma"/>
            <family val="0"/>
          </rPr>
          <t xml:space="preserve">High inflow/low diversion on this day, resulted in MVI storage of water. MVI cannot store water at this time, special equation inserted in col AC to account for this. Amount in this cell is the amount MVIC would've stored.</t>
        </r>
      </text>
    </comment>
    <comment ref="AP33" authorId="0">
      <text>
        <r>
          <rPr>
            <b val="true"/>
            <sz val="8"/>
            <color rgb="FF000000"/>
            <rFont val="Tahoma"/>
            <family val="0"/>
          </rPr>
          <t xml:space="preserve">Vernon Lamb:
</t>
        </r>
        <r>
          <rPr>
            <sz val="8"/>
            <color rgb="FF000000"/>
            <rFont val="Tahoma"/>
            <family val="0"/>
          </rPr>
          <t xml:space="preserve">High inflow/low diversion on this day, resulted in MVI storage of water. MVI cannot store water at this time, special equation inserted in col AC to account for this. Amount in this cell is the amount MVIC would've stored.</t>
        </r>
      </text>
    </comment>
    <comment ref="AP34" authorId="0">
      <text>
        <r>
          <rPr>
            <b val="true"/>
            <sz val="8"/>
            <color rgb="FF000000"/>
            <rFont val="Tahoma"/>
            <family val="0"/>
          </rPr>
          <t xml:space="preserve">Vernon Lamb:
</t>
        </r>
        <r>
          <rPr>
            <sz val="8"/>
            <color rgb="FF000000"/>
            <rFont val="Tahoma"/>
            <family val="0"/>
          </rPr>
          <t xml:space="preserve">High inflow/low diversion on this day, resulted in MVI storage of water. MVI cannot store water at this time, special equation inserted in col AC to account for this. Amount in this cell is the amount MVIC would've stored.</t>
        </r>
      </text>
    </comment>
    <comment ref="AP37" authorId="0">
      <text>
        <r>
          <rPr>
            <b val="true"/>
            <sz val="8"/>
            <color rgb="FF000000"/>
            <rFont val="Tahoma"/>
            <family val="0"/>
          </rPr>
          <t xml:space="preserve">Vernon Lamb:
</t>
        </r>
        <r>
          <rPr>
            <sz val="8"/>
            <color rgb="FF000000"/>
            <rFont val="Tahoma"/>
            <family val="0"/>
          </rPr>
          <t xml:space="preserve">High inflow/low diversion on this day, resulted in MVI storage of water. MVI cannot store water at this time, special equation inserted in col AC to account for this. Amount in this cell is the amount MVIC would've stored.</t>
        </r>
      </text>
    </comment>
    <comment ref="AP38" authorId="0">
      <text>
        <r>
          <rPr>
            <b val="true"/>
            <sz val="8"/>
            <color rgb="FF000000"/>
            <rFont val="Tahoma"/>
            <family val="0"/>
          </rPr>
          <t xml:space="preserve">Vernon Lamb:
</t>
        </r>
        <r>
          <rPr>
            <sz val="8"/>
            <color rgb="FF000000"/>
            <rFont val="Tahoma"/>
            <family val="0"/>
          </rPr>
          <t xml:space="preserve">High inflow/low diversion on this day, resulted in MVI storage of water. MVI cannot store water at this time, special equation inserted in col AC to account for this. Amount in this cell is the amount MVIC would've stored.</t>
        </r>
      </text>
    </comment>
    <comment ref="AP39" authorId="0">
      <text>
        <r>
          <rPr>
            <b val="true"/>
            <sz val="8"/>
            <color rgb="FF000000"/>
            <rFont val="Tahoma"/>
            <family val="0"/>
          </rPr>
          <t xml:space="preserve">Vernon Lamb:
</t>
        </r>
        <r>
          <rPr>
            <sz val="8"/>
            <color rgb="FF000000"/>
            <rFont val="Tahoma"/>
            <family val="0"/>
          </rPr>
          <t xml:space="preserve">High inflow/low diversion on this day, resulted in MVI storage of water. MVI cannot store water at this time, special equation inserted in col AC to account for this. Amount in this cell is the amount MVIC would've stored.</t>
        </r>
      </text>
    </comment>
    <comment ref="AP41" authorId="0">
      <text>
        <r>
          <rPr>
            <b val="true"/>
            <sz val="8"/>
            <color rgb="FF000000"/>
            <rFont val="Tahoma"/>
            <family val="0"/>
          </rPr>
          <t xml:space="preserve">Vernon Lamb:
</t>
        </r>
        <r>
          <rPr>
            <sz val="8"/>
            <color rgb="FF000000"/>
            <rFont val="Tahoma"/>
            <family val="0"/>
          </rPr>
          <t xml:space="preserve">High inflow/low diversion on this day, resulted in MVI storage of water. MVI cannot store water at this time, special equation inserted in col AC to account for this. Amount in this cell is the amount MVIC would've stored.</t>
        </r>
      </text>
    </comment>
    <comment ref="AP42" authorId="0">
      <text>
        <r>
          <rPr>
            <b val="true"/>
            <sz val="8"/>
            <color rgb="FF000000"/>
            <rFont val="Tahoma"/>
            <family val="0"/>
          </rPr>
          <t xml:space="preserve">Vernon Lamb:
</t>
        </r>
        <r>
          <rPr>
            <sz val="8"/>
            <color rgb="FF000000"/>
            <rFont val="Tahoma"/>
            <family val="0"/>
          </rPr>
          <t xml:space="preserve">High inflow/low diversion on this day, resulted in MVI storage of water. MVI cannot store water at this time, special equation inserted in col AC to account for this. Amount in this cell is the amount MVIC would've stored.</t>
        </r>
      </text>
    </comment>
    <comment ref="AP43" authorId="0">
      <text>
        <r>
          <rPr>
            <b val="true"/>
            <sz val="8"/>
            <color rgb="FF000000"/>
            <rFont val="Tahoma"/>
            <family val="0"/>
          </rPr>
          <t xml:space="preserve">Vernon Lamb:
</t>
        </r>
        <r>
          <rPr>
            <sz val="8"/>
            <color rgb="FF000000"/>
            <rFont val="Tahoma"/>
            <family val="0"/>
          </rPr>
          <t xml:space="preserve">High inflow/low diversion on this day, resulted in MVI storage of water. MVI cannot store water at this time, special equation inserted in col AC to account for this. Amount in this cell is the amount MVIC would've stored.</t>
        </r>
      </text>
    </comment>
    <comment ref="AP44" authorId="0">
      <text>
        <r>
          <rPr>
            <b val="true"/>
            <sz val="8"/>
            <color rgb="FF000000"/>
            <rFont val="Tahoma"/>
            <family val="0"/>
          </rPr>
          <t xml:space="preserve">Vernon Lamb:
</t>
        </r>
        <r>
          <rPr>
            <sz val="8"/>
            <color rgb="FF000000"/>
            <rFont val="Tahoma"/>
            <family val="0"/>
          </rPr>
          <t xml:space="preserve">High inflow/low diversion on this day, resulted in MVI storage of water. MVI cannot store water at this time, special equation inserted in col AC to account for this. Amount in this cell is the amount MVIC would've stored.</t>
        </r>
      </text>
    </comment>
    <comment ref="AP45" authorId="0">
      <text>
        <r>
          <rPr>
            <b val="true"/>
            <sz val="8"/>
            <color rgb="FF000000"/>
            <rFont val="Tahoma"/>
            <family val="0"/>
          </rPr>
          <t xml:space="preserve">Vernon Lamb:
</t>
        </r>
        <r>
          <rPr>
            <sz val="8"/>
            <color rgb="FF000000"/>
            <rFont val="Tahoma"/>
            <family val="0"/>
          </rPr>
          <t xml:space="preserve">High inflow/low diversion on this day, resulted in MVI storage of water. MVI cannot store water at this time, special equation inserted in col AC to account for this. Amount in this cell is the amount MVIC would've stored.</t>
        </r>
      </text>
    </comment>
    <comment ref="AT8" authorId="0">
      <text>
        <r>
          <rPr>
            <b val="true"/>
            <sz val="8"/>
            <color rgb="FF000000"/>
            <rFont val="Tahoma"/>
            <family val="0"/>
          </rPr>
          <t xml:space="preserve">Vernon Lamb:
</t>
        </r>
        <r>
          <rPr>
            <sz val="8"/>
            <color rgb="FF000000"/>
            <rFont val="Tahoma"/>
            <family val="0"/>
          </rPr>
          <t xml:space="preserve">1,532.4 AF is the 2014 U/S users release amount.</t>
        </r>
      </text>
    </comment>
    <comment ref="AU8" authorId="0">
      <text>
        <r>
          <rPr>
            <b val="true"/>
            <sz val="8"/>
            <color rgb="FF000000"/>
            <rFont val="Tahoma"/>
            <family val="0"/>
          </rPr>
          <t xml:space="preserve">Vernon Lamb:
</t>
        </r>
        <r>
          <rPr>
            <sz val="8"/>
            <color rgb="FF000000"/>
            <rFont val="Tahoma"/>
            <family val="2"/>
          </rPr>
          <t xml:space="preserve">10/6/14: SJB F&amp;W water adjusted based on 10/6 calcs to 724 AF. This water is split between Totten Fresh Water and the Wetlands.
</t>
        </r>
        <r>
          <rPr>
            <b val="true"/>
            <sz val="8"/>
            <color rgb="FF000000"/>
            <rFont val="Tahoma"/>
            <family val="0"/>
          </rPr>
          <t xml:space="preserve">
</t>
        </r>
        <r>
          <rPr>
            <sz val="8"/>
            <color rgb="FF000000"/>
            <rFont val="Tahoma"/>
            <family val="2"/>
          </rPr>
          <t xml:space="preserve">9/9/14: SJB F&amp;W water adjusted based on 9/9 calcs to 691 AF (with 25 AF McPhee deficit amount adjusted out). Half of this amount (345.5 AF) is allocated to Totten Fresh Water.
</t>
        </r>
        <r>
          <rPr>
            <b val="true"/>
            <sz val="8"/>
            <color rgb="FF000000"/>
            <rFont val="Tahoma"/>
            <family val="0"/>
          </rPr>
          <t xml:space="preserve">
</t>
        </r>
        <r>
          <rPr>
            <sz val="8"/>
            <color rgb="FF000000"/>
            <rFont val="Tahoma"/>
            <family val="2"/>
          </rPr>
          <t xml:space="preserve">8/4/14: SJB F&amp;W water adjusted based on 8/4 calcs to 689 AF. Half of this amount (344.5 AF) is allocated to Totten Fresh Water.
</t>
        </r>
        <r>
          <rPr>
            <sz val="8"/>
            <color rgb="FF000000"/>
            <rFont val="Tahoma"/>
            <family val="0"/>
          </rPr>
          <t xml:space="preserve">
7/1/14: Half of SJB F&amp;W water based on 7/1/14 allocation. 665 AF total split in half between Totten and Wetlands.</t>
        </r>
      </text>
    </comment>
    <comment ref="AU9" authorId="0">
      <text>
        <r>
          <rPr>
            <b val="true"/>
            <sz val="8"/>
            <color rgb="FF000000"/>
            <rFont val="Tahoma"/>
            <family val="0"/>
          </rPr>
          <t xml:space="preserve">Vernon Lamb:
</t>
        </r>
        <r>
          <rPr>
            <sz val="8"/>
            <color rgb="FF000000"/>
            <rFont val="Tahoma"/>
            <family val="0"/>
          </rPr>
          <t xml:space="preserve">Above value converted to cfs.</t>
        </r>
      </text>
    </comment>
    <comment ref="BB15" authorId="0">
      <text>
        <r>
          <rPr>
            <b val="true"/>
            <sz val="8"/>
            <color rgb="FF000000"/>
            <rFont val="Tahoma"/>
            <family val="0"/>
          </rPr>
          <t xml:space="preserve">Vernon Lamb:
</t>
        </r>
        <r>
          <rPr>
            <sz val="8"/>
            <color rgb="FF000000"/>
            <rFont val="Tahoma"/>
            <family val="0"/>
          </rPr>
          <t xml:space="preserve">Spoke with DWR, water is backed up at gage so gage readings are inaccurate. DWR estimates that actual flows are close to 0.2 cfs.</t>
        </r>
      </text>
    </comment>
  </commentList>
</comments>
</file>

<file path=xl/sharedStrings.xml><?xml version="1.0" encoding="utf-8"?>
<sst xmlns="http://schemas.openxmlformats.org/spreadsheetml/2006/main" count="2299" uniqueCount="154">
  <si>
    <t xml:space="preserve">MCPHEE  RESERVOIR  INFLOW/OUTFLOW  TABULATION</t>
  </si>
  <si>
    <t xml:space="preserve">AF/cfs  CONVERT FACTOR</t>
  </si>
  <si>
    <t xml:space="preserve">                     NOVEMBER  "2013"</t>
  </si>
  <si>
    <t xml:space="preserve">RESERVOIR</t>
  </si>
  <si>
    <t xml:space="preserve">      INFLOW</t>
  </si>
  <si>
    <t xml:space="preserve">OUTFLOW </t>
  </si>
  <si>
    <t xml:space="preserve">ADJUSTMENTS</t>
  </si>
  <si>
    <t xml:space="preserve">WEATHER</t>
  </si>
  <si>
    <t xml:space="preserve">DATE</t>
  </si>
  <si>
    <t xml:space="preserve">RESERV</t>
  </si>
  <si>
    <t xml:space="preserve">AC  FT</t>
  </si>
  <si>
    <t xml:space="preserve">ACTIVE</t>
  </si>
  <si>
    <t xml:space="preserve">CONV  TO</t>
  </si>
  <si>
    <t xml:space="preserve">DOLORES</t>
  </si>
  <si>
    <t xml:space="preserve">LOST</t>
  </si>
  <si>
    <t xml:space="preserve">RECORD</t>
  </si>
  <si>
    <t xml:space="preserve">CALC</t>
  </si>
  <si>
    <t xml:space="preserve">TOTAL</t>
  </si>
  <si>
    <t xml:space="preserve">DOLORES TUNNEL</t>
  </si>
  <si>
    <t xml:space="preserve">LONE</t>
  </si>
  <si>
    <t xml:space="preserve">U</t>
  </si>
  <si>
    <t xml:space="preserve">MVI</t>
  </si>
  <si>
    <t xml:space="preserve">TO EX &amp;</t>
  </si>
  <si>
    <t xml:space="preserve">DV  CR</t>
  </si>
  <si>
    <t xml:space="preserve">       D/S SENIOR </t>
  </si>
  <si>
    <t xml:space="preserve">BELOW</t>
  </si>
  <si>
    <t xml:space="preserve">FISH</t>
  </si>
  <si>
    <t xml:space="preserve">SPILL</t>
  </si>
  <si>
    <t xml:space="preserve">NAR</t>
  </si>
  <si>
    <t xml:space="preserve">MVI </t>
  </si>
  <si>
    <t xml:space="preserve">DIST.</t>
  </si>
  <si>
    <t xml:space="preserve">U/S</t>
  </si>
  <si>
    <t xml:space="preserve">TOTTEN</t>
  </si>
  <si>
    <t xml:space="preserve">UTES</t>
  </si>
  <si>
    <t xml:space="preserve">RAIN</t>
  </si>
  <si>
    <t xml:space="preserve">MAX</t>
  </si>
  <si>
    <t xml:space="preserve">MIN</t>
  </si>
  <si>
    <t xml:space="preserve">GRNDHOG</t>
  </si>
  <si>
    <t xml:space="preserve">NOV</t>
  </si>
  <si>
    <t xml:space="preserve">ELEV</t>
  </si>
  <si>
    <t xml:space="preserve">CHANGE</t>
  </si>
  <si>
    <t xml:space="preserve">CAP</t>
  </si>
  <si>
    <t xml:space="preserve">CFS</t>
  </si>
  <si>
    <t xml:space="preserve">RIVER</t>
  </si>
  <si>
    <t xml:space="preserve">CAN</t>
  </si>
  <si>
    <t xml:space="preserve">INFLOW</t>
  </si>
  <si>
    <t xml:space="preserve">INF/OTF</t>
  </si>
  <si>
    <t xml:space="preserve">TOT DIV</t>
  </si>
  <si>
    <t xml:space="preserve">WET</t>
  </si>
  <si>
    <t xml:space="preserve">UTE</t>
  </si>
  <si>
    <t xml:space="preserve">QUEST</t>
  </si>
  <si>
    <t xml:space="preserve">MWC</t>
  </si>
  <si>
    <t xml:space="preserve">         CORTEZ</t>
  </si>
  <si>
    <t xml:space="preserve">F-BAY</t>
  </si>
  <si>
    <t xml:space="preserve">PINE</t>
  </si>
  <si>
    <t xml:space="preserve">LAT</t>
  </si>
  <si>
    <t xml:space="preserve">CALL</t>
  </si>
  <si>
    <t xml:space="preserve">APR-</t>
  </si>
  <si>
    <t xml:space="preserve">U/S EX</t>
  </si>
  <si>
    <t xml:space="preserve">PROJ </t>
  </si>
  <si>
    <t xml:space="preserve">CANAL</t>
  </si>
  <si>
    <t xml:space="preserve">MVIC</t>
  </si>
  <si>
    <t xml:space="preserve">PROJ</t>
  </si>
  <si>
    <t xml:space="preserve">MCP</t>
  </si>
  <si>
    <t xml:space="preserve">LEFT</t>
  </si>
  <si>
    <t xml:space="preserve">OTF</t>
  </si>
  <si>
    <t xml:space="preserve">FILL</t>
  </si>
  <si>
    <t xml:space="preserve">STOCK</t>
  </si>
  <si>
    <t xml:space="preserve">STORED</t>
  </si>
  <si>
    <t xml:space="preserve">CLASS</t>
  </si>
  <si>
    <t xml:space="preserve">USERS</t>
  </si>
  <si>
    <t xml:space="preserve">(FRESH</t>
  </si>
  <si>
    <t xml:space="preserve">FROM</t>
  </si>
  <si>
    <t xml:space="preserve">TMP</t>
  </si>
  <si>
    <t xml:space="preserve">TUNNEL</t>
  </si>
  <si>
    <t xml:space="preserve">DISCHARGE</t>
  </si>
  <si>
    <t xml:space="preserve">CAPACITY</t>
  </si>
  <si>
    <t xml:space="preserve">LAND</t>
  </si>
  <si>
    <t xml:space="preserve">F&amp;R</t>
  </si>
  <si>
    <t xml:space="preserve">NON -</t>
  </si>
  <si>
    <t xml:space="preserve">BAL</t>
  </si>
  <si>
    <t xml:space="preserve">WATER</t>
  </si>
  <si>
    <t xml:space="preserve">IRRIG.</t>
  </si>
  <si>
    <t xml:space="preserve">STOR</t>
  </si>
  <si>
    <t xml:space="preserve">SPILLED</t>
  </si>
  <si>
    <t xml:space="preserve">JUNE</t>
  </si>
  <si>
    <t xml:space="preserve">Apr - Jun</t>
  </si>
  <si>
    <t xml:space="preserve">EVAP</t>
  </si>
  <si>
    <t xml:space="preserve">"B"</t>
  </si>
  <si>
    <t xml:space="preserve">EXCH</t>
  </si>
  <si>
    <t xml:space="preserve">WATER)</t>
  </si>
  <si>
    <t xml:space="preserve">DWCD</t>
  </si>
  <si>
    <t xml:space="preserve">Misc.</t>
  </si>
  <si>
    <t xml:space="preserve">USED</t>
  </si>
  <si>
    <t xml:space="preserve">OR </t>
  </si>
  <si>
    <t xml:space="preserve">(DIV+</t>
  </si>
  <si>
    <t xml:space="preserve">CALL)</t>
  </si>
  <si>
    <t xml:space="preserve">FP = 5394</t>
  </si>
  <si>
    <t xml:space="preserve">AC. Ft.</t>
  </si>
  <si>
    <t xml:space="preserve">AC FT</t>
  </si>
  <si>
    <t xml:space="preserve">AC.FT.</t>
  </si>
  <si>
    <t xml:space="preserve">Outflow </t>
  </si>
  <si>
    <t xml:space="preserve">Ac. Ft.</t>
  </si>
  <si>
    <t xml:space="preserve">SEASON BAL</t>
  </si>
  <si>
    <t xml:space="preserve">YTD</t>
  </si>
  <si>
    <t xml:space="preserve">MONTH / CFS</t>
  </si>
  <si>
    <t xml:space="preserve">Avg</t>
  </si>
  <si>
    <t xml:space="preserve">MONTH / AF</t>
  </si>
  <si>
    <t xml:space="preserve">HI</t>
  </si>
  <si>
    <t xml:space="preserve">SEASON / CFS</t>
  </si>
  <si>
    <t xml:space="preserve">LO</t>
  </si>
  <si>
    <t xml:space="preserve">SEASON / AF</t>
  </si>
  <si>
    <t xml:space="preserve">YTD / CFS</t>
  </si>
  <si>
    <t xml:space="preserve">YTD / AF</t>
  </si>
  <si>
    <t xml:space="preserve">                              DECEMBER  "2013"</t>
  </si>
  <si>
    <t xml:space="preserve">       INFLOW</t>
  </si>
  <si>
    <t xml:space="preserve">DEC</t>
  </si>
  <si>
    <t xml:space="preserve">FILLL</t>
  </si>
  <si>
    <t xml:space="preserve"> </t>
  </si>
  <si>
    <t xml:space="preserve">                            JANUARY  "2014"</t>
  </si>
  <si>
    <t xml:space="preserve">                           FEBRUARY  "2014"</t>
  </si>
  <si>
    <t xml:space="preserve">OUTFLOW</t>
  </si>
  <si>
    <t xml:space="preserve">FEB</t>
  </si>
  <si>
    <t xml:space="preserve">AVE</t>
  </si>
  <si>
    <t xml:space="preserve">MARCH  "2014"</t>
  </si>
  <si>
    <t xml:space="preserve">MAR</t>
  </si>
  <si>
    <t xml:space="preserve">APR  "2014"</t>
  </si>
  <si>
    <t xml:space="preserve">     INFLOW</t>
  </si>
  <si>
    <t xml:space="preserve">D/S SENIOR </t>
  </si>
  <si>
    <t xml:space="preserve">APR</t>
  </si>
  <si>
    <t xml:space="preserve">AVG</t>
  </si>
  <si>
    <t xml:space="preserve">                                  MAY  "2014"</t>
  </si>
  <si>
    <t xml:space="preserve">       D/S SENIOR</t>
  </si>
  <si>
    <t xml:space="preserve">FISH </t>
  </si>
  <si>
    <t xml:space="preserve">MAY</t>
  </si>
  <si>
    <t xml:space="preserve">M - S</t>
  </si>
  <si>
    <t xml:space="preserve">JUNE  "2014"</t>
  </si>
  <si>
    <t xml:space="preserve">JUN</t>
  </si>
  <si>
    <t xml:space="preserve">.</t>
  </si>
  <si>
    <t xml:space="preserve">JULY  "2014"</t>
  </si>
  <si>
    <t xml:space="preserve">         INFLOW</t>
  </si>
  <si>
    <t xml:space="preserve"> D/S SENIOR</t>
  </si>
  <si>
    <t xml:space="preserve">JUL</t>
  </si>
  <si>
    <t xml:space="preserve">AUGUST  "2014"</t>
  </si>
  <si>
    <t xml:space="preserve">AUG</t>
  </si>
  <si>
    <t xml:space="preserve">SEPTEMBER  "2014"</t>
  </si>
  <si>
    <t xml:space="preserve">UF&amp;R</t>
  </si>
  <si>
    <t xml:space="preserve">SEPT</t>
  </si>
  <si>
    <t xml:space="preserve">LEASE</t>
  </si>
  <si>
    <t xml:space="preserve">c</t>
  </si>
  <si>
    <t xml:space="preserve">OCTOBER  "2014"</t>
  </si>
  <si>
    <t xml:space="preserve">OCT</t>
  </si>
  <si>
    <t xml:space="preserve">Carry-</t>
  </si>
  <si>
    <t xml:space="preserve">over</t>
  </si>
</sst>
</file>

<file path=xl/styles.xml><?xml version="1.0" encoding="utf-8"?>
<styleSheet xmlns="http://schemas.openxmlformats.org/spreadsheetml/2006/main">
  <numFmts count="22">
    <numFmt numFmtId="164" formatCode="General"/>
    <numFmt numFmtId="165" formatCode="#,##0"/>
    <numFmt numFmtId="166" formatCode="0.00_);\(0.00\)"/>
    <numFmt numFmtId="167" formatCode="0.0"/>
    <numFmt numFmtId="168" formatCode="0.00"/>
    <numFmt numFmtId="169" formatCode="0"/>
    <numFmt numFmtId="170" formatCode="#,##0.0"/>
    <numFmt numFmtId="171" formatCode="##0.0"/>
    <numFmt numFmtId="172" formatCode="0.0000"/>
    <numFmt numFmtId="173" formatCode="0.000"/>
    <numFmt numFmtId="174" formatCode="#,##0.0_);\(#,##0.0\)"/>
    <numFmt numFmtId="175" formatCode="#,##0.00"/>
    <numFmt numFmtId="176" formatCode="[$-409]d\-mmm"/>
    <numFmt numFmtId="177" formatCode="0%"/>
    <numFmt numFmtId="178" formatCode="0.0_);\(0.0\)"/>
    <numFmt numFmtId="179" formatCode="0_);\(0\)"/>
    <numFmt numFmtId="180" formatCode="@"/>
    <numFmt numFmtId="181" formatCode="[$-409]mmm\-yy"/>
    <numFmt numFmtId="182" formatCode="#,##0.0000"/>
    <numFmt numFmtId="183" formatCode="#,##0.000"/>
    <numFmt numFmtId="184" formatCode="0.00_);[RED]\(0.00\)"/>
    <numFmt numFmtId="185" formatCode="0_);[RED]\(0\)"/>
  </numFmts>
  <fonts count="16">
    <font>
      <sz val="8"/>
      <name val="LinePrinter"/>
      <family val="0"/>
    </font>
    <font>
      <sz val="10"/>
      <name val="Arial"/>
      <family val="0"/>
    </font>
    <font>
      <sz val="10"/>
      <name val="Arial"/>
      <family val="0"/>
    </font>
    <font>
      <sz val="10"/>
      <name val="Arial"/>
      <family val="0"/>
    </font>
    <font>
      <sz val="8"/>
      <name val="Arial Narrow"/>
      <family val="2"/>
    </font>
    <font>
      <b val="true"/>
      <i val="true"/>
      <sz val="12"/>
      <name val="Arial Narrow"/>
      <family val="2"/>
    </font>
    <font>
      <sz val="6"/>
      <name val="Arial Narrow"/>
      <family val="2"/>
    </font>
    <font>
      <b val="true"/>
      <sz val="8"/>
      <name val="Arial Narrow"/>
      <family val="2"/>
    </font>
    <font>
      <b val="true"/>
      <sz val="6"/>
      <name val="Arial Narrow"/>
      <family val="2"/>
    </font>
    <font>
      <b val="true"/>
      <sz val="9"/>
      <name val="Arial Narrow"/>
      <family val="2"/>
    </font>
    <font>
      <b val="true"/>
      <sz val="8"/>
      <color rgb="FF000000"/>
      <name val="Tahoma"/>
      <family val="0"/>
    </font>
    <font>
      <sz val="8"/>
      <color rgb="FF000000"/>
      <name val="Tahoma"/>
      <family val="0"/>
    </font>
    <font>
      <sz val="6"/>
      <name val="LinePrinter"/>
      <family val="0"/>
    </font>
    <font>
      <b val="true"/>
      <sz val="12"/>
      <name val="Arial Narrow"/>
      <family val="2"/>
    </font>
    <font>
      <sz val="8"/>
      <color rgb="FF000000"/>
      <name val="Tahoma"/>
      <family val="2"/>
    </font>
    <font>
      <b val="true"/>
      <sz val="8"/>
      <color rgb="FF000000"/>
      <name val="Tahoma"/>
      <family val="2"/>
    </font>
  </fonts>
  <fills count="3">
    <fill>
      <patternFill patternType="none"/>
    </fill>
    <fill>
      <patternFill patternType="gray125"/>
    </fill>
    <fill>
      <patternFill patternType="solid">
        <fgColor rgb="FF464648"/>
        <bgColor rgb="FF333300"/>
      </patternFill>
    </fill>
  </fills>
  <borders count="36">
    <border diagonalUp="false" diagonalDown="false">
      <left/>
      <right/>
      <top/>
      <bottom/>
      <diagonal/>
    </border>
    <border diagonalUp="false" diagonalDown="false">
      <left/>
      <right/>
      <top/>
      <bottom style="thick">
        <color rgb="FFEEEEEC"/>
      </bottom>
      <diagonal/>
    </border>
    <border diagonalUp="false" diagonalDown="false">
      <left/>
      <right style="thick">
        <color rgb="FFEEEEEC"/>
      </right>
      <top style="thick">
        <color rgb="FFEEEEEC"/>
      </top>
      <bottom/>
      <diagonal/>
    </border>
    <border diagonalUp="false" diagonalDown="false">
      <left style="thick">
        <color rgb="FFEEEEEC"/>
      </left>
      <right/>
      <top style="thick">
        <color rgb="FFEEEEEC"/>
      </top>
      <bottom/>
      <diagonal/>
    </border>
    <border diagonalUp="false" diagonalDown="false">
      <left/>
      <right/>
      <top style="thick">
        <color rgb="FFEEEEEC"/>
      </top>
      <bottom/>
      <diagonal/>
    </border>
    <border diagonalUp="false" diagonalDown="false">
      <left/>
      <right style="medium">
        <color rgb="FFEEEEEC"/>
      </right>
      <top style="thick">
        <color rgb="FFEEEEEC"/>
      </top>
      <bottom/>
      <diagonal/>
    </border>
    <border diagonalUp="false" diagonalDown="false">
      <left style="thick">
        <color rgb="FFEEEEEC"/>
      </left>
      <right style="thick">
        <color rgb="FFEEEEEC"/>
      </right>
      <top style="thick">
        <color rgb="FFEEEEEC"/>
      </top>
      <bottom/>
      <diagonal/>
    </border>
    <border diagonalUp="false" diagonalDown="false">
      <left style="thick">
        <color rgb="FFEEEEEC"/>
      </left>
      <right/>
      <top/>
      <bottom/>
      <diagonal/>
    </border>
    <border diagonalUp="false" diagonalDown="false">
      <left/>
      <right style="thick">
        <color rgb="FFEEEEEC"/>
      </right>
      <top/>
      <bottom/>
      <diagonal/>
    </border>
    <border diagonalUp="false" diagonalDown="false">
      <left style="medium">
        <color rgb="FFEEEEEC"/>
      </left>
      <right style="medium">
        <color rgb="FFEEEEEC"/>
      </right>
      <top style="medium">
        <color rgb="FFEEEEEC"/>
      </top>
      <bottom/>
      <diagonal/>
    </border>
    <border diagonalUp="false" diagonalDown="false">
      <left style="thick">
        <color rgb="FFEEEEEC"/>
      </left>
      <right style="thick">
        <color rgb="FFEEEEEC"/>
      </right>
      <top/>
      <bottom/>
      <diagonal/>
    </border>
    <border diagonalUp="false" diagonalDown="false">
      <left style="medium">
        <color rgb="FFEEEEEC"/>
      </left>
      <right/>
      <top/>
      <bottom/>
      <diagonal/>
    </border>
    <border diagonalUp="false" diagonalDown="false">
      <left/>
      <right style="medium">
        <color rgb="FFEEEEEC"/>
      </right>
      <top/>
      <bottom/>
      <diagonal/>
    </border>
    <border diagonalUp="false" diagonalDown="false">
      <left/>
      <right/>
      <top style="thin">
        <color rgb="FFEEEEEC"/>
      </top>
      <bottom style="thin">
        <color rgb="FFEEEEEC"/>
      </bottom>
      <diagonal/>
    </border>
    <border diagonalUp="false" diagonalDown="false">
      <left style="thick">
        <color rgb="FFEEEEEC"/>
      </left>
      <right/>
      <top style="thin">
        <color rgb="FFEEEEEC"/>
      </top>
      <bottom style="thin">
        <color rgb="FFEEEEEC"/>
      </bottom>
      <diagonal/>
    </border>
    <border diagonalUp="false" diagonalDown="false">
      <left/>
      <right style="thick">
        <color rgb="FFEEEEEC"/>
      </right>
      <top style="thin">
        <color rgb="FFEEEEEC"/>
      </top>
      <bottom style="thin">
        <color rgb="FFEEEEEC"/>
      </bottom>
      <diagonal/>
    </border>
    <border diagonalUp="false" diagonalDown="false">
      <left style="medium">
        <color rgb="FFEEEEEC"/>
      </left>
      <right/>
      <top style="thin">
        <color rgb="FFEEEEEC"/>
      </top>
      <bottom style="thin">
        <color rgb="FFEEEEEC"/>
      </bottom>
      <diagonal/>
    </border>
    <border diagonalUp="false" diagonalDown="false">
      <left/>
      <right style="medium">
        <color rgb="FFEEEEEC"/>
      </right>
      <top style="thin">
        <color rgb="FFEEEEEC"/>
      </top>
      <bottom style="thin">
        <color rgb="FFEEEEEC"/>
      </bottom>
      <diagonal/>
    </border>
    <border diagonalUp="false" diagonalDown="false">
      <left/>
      <right/>
      <top style="thin">
        <color rgb="FFEEEEEC"/>
      </top>
      <bottom/>
      <diagonal/>
    </border>
    <border diagonalUp="false" diagonalDown="false">
      <left style="thick">
        <color rgb="FFEEEEEC"/>
      </left>
      <right/>
      <top style="thin">
        <color rgb="FFEEEEEC"/>
      </top>
      <bottom/>
      <diagonal/>
    </border>
    <border diagonalUp="false" diagonalDown="false">
      <left/>
      <right style="medium">
        <color rgb="FFEEEEEC"/>
      </right>
      <top style="thin">
        <color rgb="FFEEEEEC"/>
      </top>
      <bottom/>
      <diagonal/>
    </border>
    <border diagonalUp="false" diagonalDown="false">
      <left/>
      <right style="medium">
        <color rgb="FFEEEEEC"/>
      </right>
      <top/>
      <bottom style="thin">
        <color rgb="FFEEEEEC"/>
      </bottom>
      <diagonal/>
    </border>
    <border diagonalUp="false" diagonalDown="false">
      <left style="thick">
        <color rgb="FFEEEEEC"/>
      </left>
      <right/>
      <top/>
      <bottom style="thin">
        <color rgb="FFEEEEEC"/>
      </bottom>
      <diagonal/>
    </border>
    <border diagonalUp="false" diagonalDown="false">
      <left/>
      <right style="thick">
        <color rgb="FFEEEEEC"/>
      </right>
      <top/>
      <bottom style="thin">
        <color rgb="FFEEEEEC"/>
      </bottom>
      <diagonal/>
    </border>
    <border diagonalUp="false" diagonalDown="false">
      <left/>
      <right/>
      <top/>
      <bottom style="thin">
        <color rgb="FFEEEEEC"/>
      </bottom>
      <diagonal/>
    </border>
    <border diagonalUp="false" diagonalDown="false">
      <left style="thick">
        <color rgb="FFEEEEEC"/>
      </left>
      <right style="thick">
        <color rgb="FFEEEEEC"/>
      </right>
      <top/>
      <bottom style="thin">
        <color rgb="FFEEEEEC"/>
      </bottom>
      <diagonal/>
    </border>
    <border diagonalUp="false" diagonalDown="false">
      <left/>
      <right style="medium">
        <color rgb="FFEEEEEC"/>
      </right>
      <top style="medium">
        <color rgb="FFEEEEEC"/>
      </top>
      <bottom/>
      <diagonal/>
    </border>
    <border diagonalUp="false" diagonalDown="false">
      <left style="medium">
        <color rgb="FFEEEEEC"/>
      </left>
      <right/>
      <top/>
      <bottom style="thin">
        <color rgb="FFEEEEEC"/>
      </bottom>
      <diagonal/>
    </border>
    <border diagonalUp="false" diagonalDown="false">
      <left style="medium">
        <color rgb="FFEEEEEC"/>
      </left>
      <right/>
      <top style="thin">
        <color rgb="FFEEEEEC"/>
      </top>
      <bottom/>
      <diagonal/>
    </border>
    <border diagonalUp="false" diagonalDown="false">
      <left/>
      <right style="thick">
        <color rgb="FFEEEEEC"/>
      </right>
      <top style="thin">
        <color rgb="FFEEEEEC"/>
      </top>
      <bottom/>
      <diagonal/>
    </border>
    <border diagonalUp="false" diagonalDown="false">
      <left/>
      <right style="thin">
        <color rgb="FFEEEEEC"/>
      </right>
      <top style="thin">
        <color rgb="FFEEEEEC"/>
      </top>
      <bottom style="thin">
        <color rgb="FFEEEEEC"/>
      </bottom>
      <diagonal/>
    </border>
    <border diagonalUp="false" diagonalDown="false">
      <left style="thick">
        <color rgb="FFEEEEEC"/>
      </left>
      <right style="thick">
        <color rgb="FFEEEEEC"/>
      </right>
      <top style="thin">
        <color rgb="FFEEEEEC"/>
      </top>
      <bottom style="thin">
        <color rgb="FFEEEEEC"/>
      </bottom>
      <diagonal/>
    </border>
    <border diagonalUp="false" diagonalDown="false">
      <left/>
      <right/>
      <top style="hair">
        <color rgb="FFEEEEEC"/>
      </top>
      <bottom style="hair">
        <color rgb="FFEEEEEC"/>
      </bottom>
      <diagonal/>
    </border>
    <border diagonalUp="false" diagonalDown="false">
      <left style="thick">
        <color rgb="FFEEEEEC"/>
      </left>
      <right style="medium">
        <color rgb="FFEEEEEC"/>
      </right>
      <top style="thick">
        <color rgb="FFEEEEEC"/>
      </top>
      <bottom/>
      <diagonal/>
    </border>
    <border diagonalUp="false" diagonalDown="false">
      <left style="medium">
        <color rgb="FFEEEEEC"/>
      </left>
      <right style="thick">
        <color rgb="FFEEEEEC"/>
      </right>
      <top style="thick">
        <color rgb="FFEEEEEC"/>
      </top>
      <bottom/>
      <diagonal/>
    </border>
    <border diagonalUp="false" diagonalDown="false">
      <left/>
      <right style="hair">
        <color rgb="FFEEEEEC"/>
      </right>
      <top style="thin">
        <color rgb="FFEEEEEC"/>
      </top>
      <bottom style="thin">
        <color rgb="FFEEEEEC"/>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5"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7" fontId="0" fillId="0" borderId="0" applyFont="true" applyBorder="false" applyAlignment="false" applyProtection="false"/>
    <xf numFmtId="164" fontId="0" fillId="0" borderId="0" applyFont="true" applyBorder="false" applyAlignment="true" applyProtection="true">
      <alignment horizontal="general" vertical="bottom" textRotation="0" wrapText="false" indent="0" shrinkToFit="false"/>
      <protection locked="true" hidden="false"/>
    </xf>
  </cellStyleXfs>
  <cellXfs count="6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8" fontId="4" fillId="0" borderId="0" xfId="2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9" fontId="4" fillId="0" borderId="0" xfId="0" applyFont="true" applyBorder="false" applyAlignment="true" applyProtection="false">
      <alignment horizontal="center" vertical="bottom" textRotation="0" wrapText="false" indent="0" shrinkToFit="false"/>
      <protection locked="true" hidden="false"/>
    </xf>
    <xf numFmtId="170" fontId="4" fillId="0" borderId="0" xfId="0" applyFont="true" applyBorder="false" applyAlignment="false" applyProtection="false">
      <alignment horizontal="general" vertical="bottom" textRotation="0" wrapText="false" indent="0" shrinkToFit="false"/>
      <protection locked="true" hidden="false"/>
    </xf>
    <xf numFmtId="171" fontId="4"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72" fontId="4" fillId="0" borderId="0" xfId="0" applyFont="true" applyBorder="false" applyAlignment="false" applyProtection="false">
      <alignment horizontal="general" vertical="bottom" textRotation="0" wrapText="false" indent="0" shrinkToFit="false"/>
      <protection locked="true" hidden="false"/>
    </xf>
    <xf numFmtId="170" fontId="4" fillId="0" borderId="1" xfId="0" applyFont="true" applyBorder="true" applyAlignment="false" applyProtection="false">
      <alignment horizontal="general" vertical="bottom" textRotation="0" wrapText="false" indent="0" shrinkToFit="false"/>
      <protection locked="true" hidden="false"/>
    </xf>
    <xf numFmtId="165" fontId="4" fillId="0" borderId="1" xfId="0" applyFont="true" applyBorder="true" applyAlignment="false" applyProtection="false">
      <alignment horizontal="general" vertical="bottom" textRotation="0" wrapText="false" indent="0" shrinkToFit="false"/>
      <protection locked="true" hidden="false"/>
    </xf>
    <xf numFmtId="173" fontId="4" fillId="0" borderId="1" xfId="0" applyFont="true" applyBorder="true" applyAlignment="false" applyProtection="false">
      <alignment horizontal="general" vertical="bottom" textRotation="0" wrapText="false" indent="0" shrinkToFit="false"/>
      <protection locked="true" hidden="false"/>
    </xf>
    <xf numFmtId="171"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false" applyProtection="false">
      <alignment horizontal="general" vertical="bottom" textRotation="0" wrapText="false" indent="0" shrinkToFit="false"/>
      <protection locked="true" hidden="false"/>
    </xf>
    <xf numFmtId="168" fontId="4" fillId="0" borderId="1" xfId="0" applyFont="true" applyBorder="true" applyAlignment="true" applyProtection="false">
      <alignment horizontal="center" vertical="bottom" textRotation="0" wrapText="false" indent="0" shrinkToFit="false"/>
      <protection locked="true" hidden="false"/>
    </xf>
    <xf numFmtId="167"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6" fontId="4" fillId="0" borderId="1" xfId="0" applyFont="true" applyBorder="true" applyAlignment="false" applyProtection="false">
      <alignment horizontal="general" vertical="bottom" textRotation="0" wrapText="false" indent="0" shrinkToFit="false"/>
      <protection locked="true" hidden="false"/>
    </xf>
    <xf numFmtId="169" fontId="4" fillId="0" borderId="1" xfId="0" applyFont="true" applyBorder="true" applyAlignment="false" applyProtection="false">
      <alignment horizontal="general" vertical="bottom" textRotation="0" wrapText="false" indent="0" shrinkToFit="false"/>
      <protection locked="true" hidden="false"/>
    </xf>
    <xf numFmtId="169" fontId="4" fillId="0" borderId="1" xfId="0" applyFont="true" applyBorder="true" applyAlignment="true" applyProtection="false">
      <alignment horizontal="center" vertical="bottom" textRotation="0" wrapText="false" indent="0" shrinkToFit="false"/>
      <protection locked="true" hidden="false"/>
    </xf>
    <xf numFmtId="169" fontId="4" fillId="0" borderId="0"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4" fillId="0" borderId="2" xfId="0" applyFont="true" applyBorder="true" applyAlignment="false" applyProtection="false">
      <alignment horizontal="general" vertical="bottom" textRotation="0" wrapText="false" indent="0" shrinkToFit="false"/>
      <protection locked="true" hidden="false"/>
    </xf>
    <xf numFmtId="170" fontId="4" fillId="0" borderId="3" xfId="0" applyFont="true" applyBorder="true" applyAlignment="false" applyProtection="false">
      <alignment horizontal="general" vertical="bottom" textRotation="0" wrapText="false" indent="0" shrinkToFit="false"/>
      <protection locked="true" hidden="false"/>
    </xf>
    <xf numFmtId="165" fontId="4" fillId="0" borderId="4" xfId="0" applyFont="true" applyBorder="true" applyAlignment="false" applyProtection="false">
      <alignment horizontal="general" vertical="bottom" textRotation="0" wrapText="false" indent="0" shrinkToFit="false"/>
      <protection locked="true" hidden="false"/>
    </xf>
    <xf numFmtId="173" fontId="7" fillId="0" borderId="4" xfId="0" applyFont="true" applyBorder="true" applyAlignment="true" applyProtection="false">
      <alignment horizontal="center" vertical="bottom" textRotation="0" wrapText="false" indent="0" shrinkToFit="false"/>
      <protection locked="true" hidden="false"/>
    </xf>
    <xf numFmtId="170" fontId="4" fillId="0" borderId="4" xfId="0" applyFont="true" applyBorder="true" applyAlignment="false" applyProtection="false">
      <alignment horizontal="general" vertical="bottom" textRotation="0" wrapText="false" indent="0" shrinkToFit="false"/>
      <protection locked="true" hidden="false"/>
    </xf>
    <xf numFmtId="170" fontId="7" fillId="0" borderId="4" xfId="0" applyFont="true" applyBorder="true" applyAlignment="false" applyProtection="false">
      <alignment horizontal="general" vertical="bottom" textRotation="0" wrapText="false" indent="0" shrinkToFit="false"/>
      <protection locked="true" hidden="false"/>
    </xf>
    <xf numFmtId="170" fontId="4" fillId="0" borderId="5" xfId="0" applyFont="true" applyBorder="true" applyAlignment="false" applyProtection="false">
      <alignment horizontal="general" vertical="bottom" textRotation="0" wrapText="false" indent="0" shrinkToFit="false"/>
      <protection locked="true" hidden="false"/>
    </xf>
    <xf numFmtId="168" fontId="4" fillId="0" borderId="4" xfId="0" applyFont="true" applyBorder="true" applyAlignment="false" applyProtection="false">
      <alignment horizontal="general" vertical="bottom" textRotation="0" wrapText="false" indent="0" shrinkToFit="false"/>
      <protection locked="true" hidden="false"/>
    </xf>
    <xf numFmtId="165" fontId="7" fillId="0" borderId="4" xfId="0" applyFont="true" applyBorder="true" applyAlignment="true" applyProtection="false">
      <alignment horizontal="right" vertical="bottom" textRotation="0" wrapText="false" indent="0" shrinkToFit="false"/>
      <protection locked="true" hidden="false"/>
    </xf>
    <xf numFmtId="169" fontId="4" fillId="0" borderId="4" xfId="0" applyFont="true" applyBorder="true" applyAlignment="false" applyProtection="false">
      <alignment horizontal="general" vertical="bottom" textRotation="0" wrapText="false" indent="0" shrinkToFit="false"/>
      <protection locked="true" hidden="false"/>
    </xf>
    <xf numFmtId="167" fontId="4" fillId="0" borderId="4" xfId="0" applyFont="true" applyBorder="true" applyAlignment="false" applyProtection="false">
      <alignment horizontal="general" vertical="bottom" textRotation="0" wrapText="false" indent="0" shrinkToFit="false"/>
      <protection locked="true" hidden="false"/>
    </xf>
    <xf numFmtId="170" fontId="6" fillId="0" borderId="4" xfId="0" applyFont="true" applyBorder="true" applyAlignment="false" applyProtection="false">
      <alignment horizontal="general" vertical="bottom" textRotation="0" wrapText="false" indent="0" shrinkToFit="false"/>
      <protection locked="true" hidden="false"/>
    </xf>
    <xf numFmtId="165" fontId="4" fillId="0" borderId="3" xfId="0" applyFont="true" applyBorder="true" applyAlignment="true" applyProtection="false">
      <alignment horizontal="center" vertical="bottom" textRotation="0" wrapText="false" indent="0" shrinkToFit="false"/>
      <protection locked="true" hidden="false"/>
    </xf>
    <xf numFmtId="167" fontId="4" fillId="0" borderId="0" xfId="0" applyFont="true" applyBorder="true" applyAlignment="true" applyProtection="false">
      <alignment horizontal="center" vertical="bottom" textRotation="0" wrapText="false" indent="0" shrinkToFit="false"/>
      <protection locked="true" hidden="false"/>
    </xf>
    <xf numFmtId="169" fontId="7" fillId="0" borderId="0" xfId="20" applyFont="true" applyBorder="true" applyAlignment="true" applyProtection="false">
      <alignment horizontal="center" vertical="bottom" textRotation="0" wrapText="false" indent="0" shrinkToFit="false"/>
      <protection locked="true" hidden="false"/>
    </xf>
    <xf numFmtId="168" fontId="4" fillId="0" borderId="0" xfId="0" applyFont="true" applyBorder="true" applyAlignment="true" applyProtection="false">
      <alignment horizontal="center" vertical="bottom" textRotation="0" wrapText="false" indent="0" shrinkToFit="false"/>
      <protection locked="true" hidden="false"/>
    </xf>
    <xf numFmtId="168" fontId="4" fillId="0" borderId="4" xfId="0" applyFont="true" applyBorder="true" applyAlignment="true" applyProtection="false">
      <alignment horizontal="center" vertical="bottom" textRotation="0" wrapText="false" indent="0" shrinkToFit="false"/>
      <protection locked="true" hidden="false"/>
    </xf>
    <xf numFmtId="164" fontId="4" fillId="0" borderId="4"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8" fontId="6" fillId="0" borderId="4" xfId="0" applyFont="true" applyBorder="true" applyAlignment="false" applyProtection="false">
      <alignment horizontal="general" vertical="bottom" textRotation="0" wrapText="false" indent="0" shrinkToFit="false"/>
      <protection locked="true" hidden="false"/>
    </xf>
    <xf numFmtId="166" fontId="4" fillId="0" borderId="3" xfId="0" applyFont="true" applyBorder="true" applyAlignment="false" applyProtection="false">
      <alignment horizontal="general" vertical="bottom" textRotation="0" wrapText="false" indent="0" shrinkToFit="false"/>
      <protection locked="true" hidden="false"/>
    </xf>
    <xf numFmtId="169" fontId="7" fillId="0" borderId="4" xfId="0" applyFont="true" applyBorder="true" applyAlignment="true" applyProtection="false">
      <alignment horizontal="center" vertical="bottom" textRotation="0" wrapText="false" indent="0" shrinkToFit="false"/>
      <protection locked="true" hidden="false"/>
    </xf>
    <xf numFmtId="169" fontId="4" fillId="0" borderId="4" xfId="0" applyFont="true" applyBorder="true" applyAlignment="true" applyProtection="false">
      <alignment horizontal="center" vertical="bottom" textRotation="0" wrapText="false" indent="0" shrinkToFit="false"/>
      <protection locked="true" hidden="false"/>
    </xf>
    <xf numFmtId="167" fontId="4" fillId="0" borderId="6" xfId="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4" fillId="0" borderId="2" xfId="20" applyFont="true" applyBorder="true" applyAlignment="false" applyProtection="false">
      <alignment horizontal="general" vertical="bottom" textRotation="0" wrapText="false" indent="0" shrinkToFit="false"/>
      <protection locked="true" hidden="false"/>
    </xf>
    <xf numFmtId="170" fontId="6" fillId="0" borderId="0" xfId="0" applyFont="true" applyBorder="false" applyAlignment="true" applyProtection="false">
      <alignment horizontal="center" vertical="bottom" textRotation="0" wrapText="false" indent="0" shrinkToFit="false"/>
      <protection locked="true" hidden="false"/>
    </xf>
    <xf numFmtId="170" fontId="6" fillId="0" borderId="7"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70" fontId="6" fillId="0" borderId="0" xfId="0" applyFont="true" applyBorder="true" applyAlignment="true" applyProtection="false">
      <alignment horizontal="center" vertical="bottom" textRotation="0" wrapText="false" indent="0" shrinkToFit="false"/>
      <protection locked="true" hidden="false"/>
    </xf>
    <xf numFmtId="170" fontId="6" fillId="0" borderId="8" xfId="0" applyFont="true" applyBorder="true" applyAlignment="true" applyProtection="false">
      <alignment horizontal="center" vertical="bottom" textRotation="0" wrapText="false" indent="0" shrinkToFit="false"/>
      <protection locked="true" hidden="false"/>
    </xf>
    <xf numFmtId="170" fontId="8" fillId="0" borderId="9"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xf numFmtId="170" fontId="8" fillId="0" borderId="9" xfId="0" applyFont="true" applyBorder="true" applyAlignment="true" applyProtection="false">
      <alignment horizontal="left" vertical="bottom" textRotation="0" wrapText="false" indent="0" shrinkToFit="false"/>
      <protection locked="true" hidden="false"/>
    </xf>
    <xf numFmtId="170" fontId="8" fillId="0" borderId="9" xfId="0" applyFont="true" applyBorder="true" applyAlignment="true" applyProtection="false">
      <alignment horizontal="right"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5" fontId="6" fillId="0" borderId="7" xfId="0" applyFont="true" applyBorder="true" applyAlignment="true" applyProtection="false">
      <alignment horizontal="center" vertical="bottom" textRotation="0" wrapText="false" indent="0" shrinkToFit="false"/>
      <protection locked="true" hidden="false"/>
    </xf>
    <xf numFmtId="168"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8" fontId="6" fillId="0" borderId="0" xfId="20" applyFont="true" applyBorder="true" applyAlignment="true" applyProtection="false">
      <alignment horizontal="center" vertical="bottom" textRotation="0" wrapText="false" indent="0" shrinkToFit="false"/>
      <protection locked="true" hidden="false"/>
    </xf>
    <xf numFmtId="166" fontId="6" fillId="0" borderId="7" xfId="0" applyFont="true" applyBorder="true" applyAlignment="true" applyProtection="false">
      <alignment horizontal="center" vertical="bottom" textRotation="0" wrapText="false" indent="0" shrinkToFit="false"/>
      <protection locked="true" hidden="false"/>
    </xf>
    <xf numFmtId="169" fontId="6" fillId="0" borderId="0" xfId="0" applyFont="true" applyBorder="true" applyAlignment="true" applyProtection="false">
      <alignment horizontal="center" vertical="bottom" textRotation="0" wrapText="false" indent="0" shrinkToFit="false"/>
      <protection locked="true" hidden="false"/>
    </xf>
    <xf numFmtId="167" fontId="6" fillId="0" borderId="10" xfId="0" applyFont="true" applyBorder="true" applyAlignment="true" applyProtection="false">
      <alignment horizontal="center" vertical="bottom" textRotation="0" wrapText="false" indent="0" shrinkToFit="false"/>
      <protection locked="true" hidden="false"/>
    </xf>
    <xf numFmtId="164" fontId="6" fillId="0" borderId="8" xfId="20" applyFont="true" applyBorder="true" applyAlignment="true" applyProtection="false">
      <alignment horizontal="center" vertical="bottom" textRotation="0" wrapText="false" indent="0" shrinkToFit="false"/>
      <protection locked="true" hidden="false"/>
    </xf>
    <xf numFmtId="170" fontId="8" fillId="0" borderId="0" xfId="0" applyFont="true" applyBorder="false" applyAlignment="true" applyProtection="false">
      <alignment horizontal="center" vertical="bottom" textRotation="0" wrapText="false" indent="0" shrinkToFit="false"/>
      <protection locked="true" hidden="false"/>
    </xf>
    <xf numFmtId="170" fontId="6" fillId="0" borderId="11" xfId="0" applyFont="true" applyBorder="true" applyAlignment="true" applyProtection="false">
      <alignment horizontal="center" vertical="bottom" textRotation="0" wrapText="false" indent="0" shrinkToFit="false"/>
      <protection locked="true" hidden="false"/>
    </xf>
    <xf numFmtId="168" fontId="6" fillId="0" borderId="0" xfId="0" applyFont="true" applyBorder="true" applyAlignment="true" applyProtection="false">
      <alignment horizontal="center" vertical="bottom" textRotation="0" wrapText="false" indent="0" shrinkToFit="false"/>
      <protection locked="true" hidden="false"/>
    </xf>
    <xf numFmtId="168" fontId="6" fillId="0" borderId="12" xfId="0" applyFont="true" applyBorder="true" applyAlignment="true" applyProtection="false">
      <alignment horizontal="center" vertical="bottom" textRotation="0" wrapText="false" indent="0" shrinkToFit="false"/>
      <protection locked="true" hidden="false"/>
    </xf>
    <xf numFmtId="170" fontId="6" fillId="0" borderId="12" xfId="0" applyFont="true" applyBorder="true" applyAlignment="true" applyProtection="false">
      <alignment horizontal="center" vertical="bottom" textRotation="0" wrapText="false" indent="0" shrinkToFit="false"/>
      <protection locked="true" hidden="false"/>
    </xf>
    <xf numFmtId="166" fontId="6" fillId="0" borderId="7" xfId="0" applyFont="true" applyBorder="true" applyAlignment="false" applyProtection="false">
      <alignment horizontal="general" vertical="bottom" textRotation="0" wrapText="false" indent="0" shrinkToFit="false"/>
      <protection locked="true" hidden="false"/>
    </xf>
    <xf numFmtId="170" fontId="4" fillId="0" borderId="0" xfId="0" applyFont="true" applyBorder="tru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right" vertical="bottom" textRotation="0" wrapText="false" indent="0" shrinkToFit="false"/>
      <protection locked="true" hidden="false"/>
    </xf>
    <xf numFmtId="164" fontId="4" fillId="0" borderId="8" xfId="20" applyFont="true" applyBorder="true" applyAlignment="false" applyProtection="false">
      <alignment horizontal="general" vertical="bottom" textRotation="0" wrapText="false" indent="0" shrinkToFit="false"/>
      <protection locked="true" hidden="false"/>
    </xf>
    <xf numFmtId="174" fontId="4" fillId="0" borderId="0" xfId="0" applyFont="true" applyBorder="true" applyAlignment="true" applyProtection="false">
      <alignment horizontal="center" vertical="bottom" textRotation="0" wrapText="false" indent="0" shrinkToFit="false"/>
      <protection locked="true" hidden="false"/>
    </xf>
    <xf numFmtId="175" fontId="4" fillId="0" borderId="0" xfId="0" applyFont="true" applyBorder="true" applyAlignment="true" applyProtection="false">
      <alignment horizontal="center" vertical="bottom" textRotation="0" wrapText="false" indent="0" shrinkToFit="false"/>
      <protection locked="true" hidden="false"/>
    </xf>
    <xf numFmtId="168" fontId="4" fillId="0" borderId="0" xfId="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true" applyProtection="false">
      <alignment horizontal="center" vertical="bottom" textRotation="0" wrapText="false" indent="0" shrinkToFit="false"/>
      <protection locked="true" hidden="false"/>
    </xf>
    <xf numFmtId="165" fontId="6" fillId="0" borderId="12" xfId="0" applyFont="true" applyBorder="tru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70" fontId="4" fillId="0" borderId="7"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5" fontId="4" fillId="0" borderId="8" xfId="0" applyFont="true" applyBorder="true" applyAlignment="false" applyProtection="false">
      <alignment horizontal="general" vertical="bottom" textRotation="0" wrapText="false" indent="0" shrinkToFit="false"/>
      <protection locked="true" hidden="false"/>
    </xf>
    <xf numFmtId="165" fontId="4" fillId="0" borderId="11" xfId="0" applyFont="true" applyBorder="true" applyAlignment="false" applyProtection="false">
      <alignment horizontal="general" vertical="bottom" textRotation="0" wrapText="false" indent="0" shrinkToFit="false"/>
      <protection locked="true" hidden="false"/>
    </xf>
    <xf numFmtId="168" fontId="4" fillId="0" borderId="0" xfId="0" applyFont="true" applyBorder="true" applyAlignment="false" applyProtection="false">
      <alignment horizontal="general" vertical="bottom" textRotation="0" wrapText="false" indent="0" shrinkToFit="false"/>
      <protection locked="true" hidden="false"/>
    </xf>
    <xf numFmtId="165" fontId="4" fillId="0" borderId="0" xfId="0" applyFont="true" applyBorder="true" applyAlignment="true" applyProtection="false">
      <alignment horizontal="right" vertical="bottom" textRotation="0" wrapText="false" indent="0" shrinkToFit="false"/>
      <protection locked="true" hidden="false"/>
    </xf>
    <xf numFmtId="165" fontId="4" fillId="0" borderId="0" xfId="0" applyFont="true" applyBorder="true" applyAlignment="true" applyProtection="false">
      <alignment horizontal="general" vertical="bottom" textRotation="0" wrapText="false" indent="0" shrinkToFit="false"/>
      <protection locked="true" hidden="false"/>
    </xf>
    <xf numFmtId="168" fontId="4" fillId="0" borderId="12" xfId="0" applyFont="true" applyBorder="true" applyAlignment="true" applyProtection="false">
      <alignment horizontal="center"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5" fontId="4" fillId="0" borderId="11" xfId="0" applyFont="true" applyBorder="true" applyAlignment="true" applyProtection="false">
      <alignment horizontal="right" vertical="bottom" textRotation="0" wrapText="false" indent="0" shrinkToFit="false"/>
      <protection locked="true" hidden="false"/>
    </xf>
    <xf numFmtId="165" fontId="4" fillId="0" borderId="12" xfId="0" applyFont="true" applyBorder="true" applyAlignment="true" applyProtection="false">
      <alignment horizontal="right" vertical="bottom" textRotation="0" wrapText="false" indent="0" shrinkToFit="false"/>
      <protection locked="true" hidden="false"/>
    </xf>
    <xf numFmtId="167" fontId="4" fillId="0" borderId="7" xfId="0" applyFont="true" applyBorder="tru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6" fontId="4" fillId="0" borderId="7" xfId="0" applyFont="true" applyBorder="true" applyAlignment="true" applyProtection="false">
      <alignment horizontal="right" vertical="bottom" textRotation="0" wrapText="false" indent="0" shrinkToFit="false"/>
      <protection locked="true" hidden="false"/>
    </xf>
    <xf numFmtId="169" fontId="4" fillId="0" borderId="0" xfId="0" applyFont="true" applyBorder="true" applyAlignment="true" applyProtection="false">
      <alignment horizontal="right" vertical="bottom" textRotation="0" wrapText="false" indent="0" shrinkToFit="false"/>
      <protection locked="true" hidden="false"/>
    </xf>
    <xf numFmtId="167" fontId="4" fillId="0" borderId="10" xfId="0" applyFont="true" applyBorder="true" applyAlignment="false" applyProtection="false">
      <alignment horizontal="general" vertical="bottom" textRotation="0" wrapText="false" indent="0" shrinkToFit="false"/>
      <protection locked="true" hidden="false"/>
    </xf>
    <xf numFmtId="167" fontId="4" fillId="0" borderId="0" xfId="20" applyFont="true" applyBorder="tru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75" fontId="4" fillId="0" borderId="7" xfId="2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true" applyProtection="false">
      <alignment horizontal="right" vertical="bottom" textRotation="0" wrapText="false" indent="0" shrinkToFit="false"/>
      <protection locked="true" hidden="false"/>
    </xf>
    <xf numFmtId="165" fontId="4" fillId="0" borderId="8" xfId="20" applyFont="true" applyBorder="tru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0" fontId="4" fillId="2" borderId="13" xfId="0" applyFont="true" applyBorder="true" applyAlignment="false" applyProtection="false">
      <alignment horizontal="general" vertical="bottom" textRotation="0" wrapText="false" indent="0" shrinkToFit="false"/>
      <protection locked="true" hidden="false"/>
    </xf>
    <xf numFmtId="175" fontId="4" fillId="2" borderId="14" xfId="0" applyFont="true" applyBorder="true" applyAlignment="false" applyProtection="false">
      <alignment horizontal="general" vertical="bottom" textRotation="0" wrapText="false" indent="0" shrinkToFit="false"/>
      <protection locked="true" hidden="false"/>
    </xf>
    <xf numFmtId="165" fontId="4" fillId="2" borderId="13" xfId="0" applyFont="true" applyBorder="true" applyAlignment="false" applyProtection="false">
      <alignment horizontal="general" vertical="bottom" textRotation="0" wrapText="false" indent="0" shrinkToFit="false"/>
      <protection locked="true" hidden="false"/>
    </xf>
    <xf numFmtId="170" fontId="4" fillId="2" borderId="15" xfId="0" applyFont="true" applyBorder="true" applyAlignment="false" applyProtection="false">
      <alignment horizontal="general" vertical="bottom" textRotation="0" wrapText="false" indent="0" shrinkToFit="false"/>
      <protection locked="true" hidden="false"/>
    </xf>
    <xf numFmtId="171" fontId="4" fillId="2" borderId="13" xfId="0" applyFont="true" applyBorder="true" applyAlignment="false" applyProtection="false">
      <alignment horizontal="general" vertical="bottom" textRotation="0" wrapText="false" indent="0" shrinkToFit="false"/>
      <protection locked="true" hidden="false"/>
    </xf>
    <xf numFmtId="170" fontId="4" fillId="2" borderId="16" xfId="0" applyFont="true" applyBorder="true" applyAlignment="false" applyProtection="false">
      <alignment horizontal="general" vertical="bottom" textRotation="0" wrapText="false" indent="0" shrinkToFit="false"/>
      <protection locked="true" hidden="false"/>
    </xf>
    <xf numFmtId="168" fontId="4" fillId="2" borderId="13" xfId="0" applyFont="true" applyBorder="true" applyAlignment="false" applyProtection="false">
      <alignment horizontal="general" vertical="bottom" textRotation="0" wrapText="false" indent="0" shrinkToFit="false"/>
      <protection locked="true" hidden="false"/>
    </xf>
    <xf numFmtId="170" fontId="4" fillId="2" borderId="13" xfId="0" applyFont="true" applyBorder="true" applyAlignment="true" applyProtection="false">
      <alignment horizontal="right" vertical="bottom" textRotation="0" wrapText="false" indent="0" shrinkToFit="false"/>
      <protection locked="true" hidden="false"/>
    </xf>
    <xf numFmtId="168" fontId="4" fillId="2" borderId="17" xfId="0" applyFont="true" applyBorder="true" applyAlignment="true" applyProtection="false">
      <alignment horizontal="center" vertical="bottom" textRotation="0" wrapText="false" indent="0" shrinkToFit="false"/>
      <protection locked="true" hidden="false"/>
    </xf>
    <xf numFmtId="167" fontId="4" fillId="2" borderId="13" xfId="0" applyFont="true" applyBorder="true" applyAlignment="true" applyProtection="false">
      <alignment horizontal="right" vertical="bottom" textRotation="0" wrapText="false" indent="0" shrinkToFit="false"/>
      <protection locked="true" hidden="false"/>
    </xf>
    <xf numFmtId="165" fontId="4" fillId="2" borderId="13" xfId="0" applyFont="true" applyBorder="true" applyAlignment="true" applyProtection="false">
      <alignment horizontal="right" vertical="bottom" textRotation="0" wrapText="false" indent="0" shrinkToFit="false"/>
      <protection locked="true" hidden="false"/>
    </xf>
    <xf numFmtId="170" fontId="4" fillId="2" borderId="16" xfId="0" applyFont="true" applyBorder="true" applyAlignment="true" applyProtection="false">
      <alignment horizontal="right" vertical="bottom" textRotation="0" wrapText="false" indent="0" shrinkToFit="false"/>
      <protection locked="true" hidden="false"/>
    </xf>
    <xf numFmtId="170" fontId="4" fillId="2" borderId="17" xfId="0" applyFont="true" applyBorder="true" applyAlignment="true" applyProtection="false">
      <alignment horizontal="right" vertical="bottom" textRotation="0" wrapText="false" indent="0" shrinkToFit="false"/>
      <protection locked="true" hidden="false"/>
    </xf>
    <xf numFmtId="167" fontId="4" fillId="2" borderId="14" xfId="0" applyFont="true" applyBorder="true" applyAlignment="true" applyProtection="false">
      <alignment horizontal="right" vertical="bottom" textRotation="0" wrapText="false" indent="0" shrinkToFit="false"/>
      <protection locked="true" hidden="false"/>
    </xf>
    <xf numFmtId="169" fontId="4" fillId="2" borderId="13" xfId="0" applyFont="true" applyBorder="true" applyAlignment="true" applyProtection="false">
      <alignment horizontal="right" vertical="bottom" textRotation="0" wrapText="false" indent="0" shrinkToFit="false"/>
      <protection locked="true" hidden="false"/>
    </xf>
    <xf numFmtId="168" fontId="4" fillId="2" borderId="13" xfId="20" applyFont="true" applyBorder="true" applyAlignment="true" applyProtection="false">
      <alignment horizontal="center" vertical="bottom" textRotation="0" wrapText="false" indent="0" shrinkToFit="false"/>
      <protection locked="true" hidden="false"/>
    </xf>
    <xf numFmtId="166" fontId="4" fillId="2" borderId="14" xfId="0" applyFont="true" applyBorder="true" applyAlignment="true" applyProtection="false">
      <alignment horizontal="right" vertical="bottom" textRotation="0" wrapText="false" indent="0" shrinkToFit="false"/>
      <protection locked="true" hidden="false"/>
    </xf>
    <xf numFmtId="175" fontId="4" fillId="0" borderId="7"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true" applyAlignment="false" applyProtection="false">
      <alignment horizontal="general" vertical="bottom" textRotation="0" wrapText="false" indent="0" shrinkToFit="false"/>
      <protection locked="true" hidden="false"/>
    </xf>
    <xf numFmtId="170" fontId="4" fillId="0" borderId="8" xfId="0" applyFont="true" applyBorder="true" applyAlignment="false" applyProtection="false">
      <alignment horizontal="general" vertical="bottom" textRotation="0" wrapText="false" indent="0" shrinkToFit="false"/>
      <protection locked="true" hidden="false"/>
    </xf>
    <xf numFmtId="170" fontId="4" fillId="0" borderId="11" xfId="0" applyFont="true" applyBorder="true" applyAlignment="false" applyProtection="false">
      <alignment horizontal="general" vertical="bottom" textRotation="0" wrapText="false" indent="0" shrinkToFit="false"/>
      <protection locked="true" hidden="false"/>
    </xf>
    <xf numFmtId="170" fontId="4" fillId="0" borderId="0" xfId="0" applyFont="true" applyBorder="true" applyAlignment="false" applyProtection="false">
      <alignment horizontal="general" vertical="bottom" textRotation="0" wrapText="false" indent="0" shrinkToFit="false"/>
      <protection locked="true" hidden="false"/>
    </xf>
    <xf numFmtId="175" fontId="4" fillId="0" borderId="0" xfId="0" applyFont="true" applyBorder="true" applyAlignment="true" applyProtection="false">
      <alignment horizontal="right" vertical="bottom" textRotation="0" wrapText="false" indent="0" shrinkToFit="false"/>
      <protection locked="true" hidden="false"/>
    </xf>
    <xf numFmtId="175" fontId="4" fillId="0" borderId="18" xfId="0" applyFont="true" applyBorder="true" applyAlignment="false" applyProtection="false">
      <alignment horizontal="general" vertical="bottom" textRotation="0" wrapText="false" indent="0" shrinkToFit="false"/>
      <protection locked="true" hidden="false"/>
    </xf>
    <xf numFmtId="175" fontId="4" fillId="0" borderId="0" xfId="0" applyFont="true" applyBorder="true" applyAlignment="fals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right" vertical="bottom" textRotation="0" wrapText="false" indent="0" shrinkToFit="false"/>
      <protection locked="true" hidden="false"/>
    </xf>
    <xf numFmtId="170" fontId="4" fillId="0" borderId="0" xfId="20" applyFont="true" applyBorder="true" applyAlignment="true" applyProtection="false">
      <alignment horizontal="right" vertical="bottom" textRotation="0" wrapText="false" indent="0" shrinkToFit="false"/>
      <protection locked="true" hidden="false"/>
    </xf>
    <xf numFmtId="167" fontId="4" fillId="0" borderId="0" xfId="20" applyFont="true" applyBorder="true" applyAlignment="true" applyProtection="false">
      <alignment horizontal="right" vertical="bottom" textRotation="0" wrapText="false" indent="0" shrinkToFit="false"/>
      <protection locked="true" hidden="false"/>
    </xf>
    <xf numFmtId="170" fontId="4" fillId="0" borderId="11" xfId="0" applyFont="true" applyBorder="true" applyAlignment="true" applyProtection="false">
      <alignment horizontal="right" vertical="bottom" textRotation="0" wrapText="false" indent="0" shrinkToFit="false"/>
      <protection locked="true" hidden="false"/>
    </xf>
    <xf numFmtId="170" fontId="4" fillId="0" borderId="12" xfId="0" applyFont="true" applyBorder="true" applyAlignment="true" applyProtection="false">
      <alignment horizontal="right" vertical="bottom" textRotation="0" wrapText="false" indent="0" shrinkToFit="false"/>
      <protection locked="true" hidden="false"/>
    </xf>
    <xf numFmtId="167" fontId="4" fillId="0" borderId="7" xfId="20" applyFont="true" applyBorder="true" applyAlignment="true" applyProtection="false">
      <alignment horizontal="right" vertical="bottom" textRotation="0" wrapText="false" indent="0" shrinkToFit="false"/>
      <protection locked="true" hidden="false"/>
    </xf>
    <xf numFmtId="166" fontId="4" fillId="0" borderId="19" xfId="0" applyFont="true" applyBorder="true" applyAlignment="true" applyProtection="false">
      <alignment horizontal="right"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right" vertical="bottom" textRotation="0" wrapText="false" indent="0" shrinkToFit="false"/>
      <protection locked="true" hidden="false"/>
    </xf>
    <xf numFmtId="169" fontId="4" fillId="0" borderId="0" xfId="0" applyFont="true" applyBorder="true" applyAlignment="true" applyProtection="false">
      <alignment horizontal="right" vertical="bottom" textRotation="0" wrapText="false" indent="0" shrinkToFit="false"/>
      <protection locked="true" hidden="false"/>
    </xf>
    <xf numFmtId="170" fontId="4" fillId="0" borderId="8" xfId="0" applyFont="true" applyBorder="true" applyAlignment="true" applyProtection="false">
      <alignment horizontal="right" vertical="bottom" textRotation="0" wrapText="false" indent="0" shrinkToFit="false"/>
      <protection locked="true" hidden="false"/>
    </xf>
    <xf numFmtId="170" fontId="4" fillId="2" borderId="14" xfId="0" applyFont="true" applyBorder="true" applyAlignment="false" applyProtection="false">
      <alignment horizontal="general" vertical="bottom" textRotation="0" wrapText="false" indent="0" shrinkToFit="false"/>
      <protection locked="true" hidden="false"/>
    </xf>
    <xf numFmtId="170" fontId="4" fillId="2" borderId="15" xfId="0" applyFont="true" applyBorder="true" applyAlignment="true" applyProtection="false">
      <alignment horizontal="right" vertical="bottom" textRotation="0" wrapText="false" indent="0" shrinkToFit="false"/>
      <protection locked="true" hidden="false"/>
    </xf>
    <xf numFmtId="169" fontId="4" fillId="0" borderId="12" xfId="0" applyFont="true" applyBorder="true" applyAlignment="true" applyProtection="false">
      <alignment horizontal="center" vertical="bottom" textRotation="0" wrapText="false" indent="0" shrinkToFit="false"/>
      <protection locked="true" hidden="false"/>
    </xf>
    <xf numFmtId="170" fontId="4" fillId="0" borderId="20" xfId="0" applyFont="true" applyBorder="true" applyAlignment="true" applyProtection="false">
      <alignment horizontal="right" vertical="bottom" textRotation="0" wrapText="false" indent="0" shrinkToFit="false"/>
      <protection locked="true" hidden="false"/>
    </xf>
    <xf numFmtId="165" fontId="4" fillId="0" borderId="8" xfId="0" applyFont="true" applyBorder="true" applyAlignment="true" applyProtection="false">
      <alignment horizontal="right" vertical="bottom" textRotation="0" wrapText="false" indent="0" shrinkToFit="false"/>
      <protection locked="true" hidden="false"/>
    </xf>
    <xf numFmtId="169" fontId="4" fillId="0" borderId="0" xfId="0" applyFont="true" applyBorder="false" applyAlignment="true" applyProtection="false">
      <alignment horizontal="right" vertical="bottom" textRotation="0" wrapText="false" indent="0" shrinkToFit="false"/>
      <protection locked="true" hidden="false"/>
    </xf>
    <xf numFmtId="168" fontId="4" fillId="0" borderId="0" xfId="0" applyFont="true" applyBorder="false" applyAlignment="true" applyProtection="false">
      <alignment horizontal="right" vertical="bottom" textRotation="0" wrapText="false" indent="0" shrinkToFit="false"/>
      <protection locked="true" hidden="false"/>
    </xf>
    <xf numFmtId="167" fontId="4" fillId="0" borderId="18" xfId="0" applyFont="true" applyBorder="true" applyAlignment="true" applyProtection="false">
      <alignment horizontal="right" vertical="bottom" textRotation="0" wrapText="false" indent="0" shrinkToFit="false"/>
      <protection locked="true" hidden="false"/>
    </xf>
    <xf numFmtId="167" fontId="4" fillId="0" borderId="10" xfId="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5" fontId="4" fillId="0" borderId="21" xfId="0" applyFont="true" applyBorder="true" applyAlignment="true" applyProtection="false">
      <alignment horizontal="right" vertical="bottom" textRotation="0" wrapText="false" indent="0" shrinkToFit="false"/>
      <protection locked="true" hidden="false"/>
    </xf>
    <xf numFmtId="167" fontId="4" fillId="0" borderId="0" xfId="0" applyFont="true" applyBorder="true" applyAlignment="true" applyProtection="false">
      <alignment horizontal="right" vertical="bottom" textRotation="0" wrapText="false" indent="0" shrinkToFit="false"/>
      <protection locked="true" hidden="false"/>
    </xf>
    <xf numFmtId="165" fontId="4" fillId="2" borderId="15" xfId="0" applyFont="true" applyBorder="true" applyAlignment="false" applyProtection="false">
      <alignment horizontal="general" vertical="bottom" textRotation="0" wrapText="false" indent="0" shrinkToFit="false"/>
      <protection locked="true" hidden="false"/>
    </xf>
    <xf numFmtId="165" fontId="4" fillId="2" borderId="16" xfId="0" applyFont="true" applyBorder="true" applyAlignment="false" applyProtection="false">
      <alignment horizontal="general" vertical="bottom" textRotation="0" wrapText="false" indent="0" shrinkToFit="false"/>
      <protection locked="true" hidden="false"/>
    </xf>
    <xf numFmtId="169" fontId="4" fillId="2" borderId="17" xfId="0" applyFont="true" applyBorder="true" applyAlignment="true" applyProtection="false">
      <alignment horizontal="center" vertical="bottom" textRotation="0" wrapText="false" indent="0" shrinkToFit="false"/>
      <protection locked="true" hidden="false"/>
    </xf>
    <xf numFmtId="165" fontId="4" fillId="2" borderId="16" xfId="0" applyFont="true" applyBorder="true" applyAlignment="true" applyProtection="false">
      <alignment horizontal="right" vertical="bottom" textRotation="0" wrapText="false" indent="0" shrinkToFit="false"/>
      <protection locked="true" hidden="false"/>
    </xf>
    <xf numFmtId="165" fontId="4" fillId="2" borderId="17" xfId="0" applyFont="true" applyBorder="true" applyAlignment="true" applyProtection="false">
      <alignment horizontal="right" vertical="bottom" textRotation="0" wrapText="false" indent="0" shrinkToFit="false"/>
      <protection locked="true" hidden="false"/>
    </xf>
    <xf numFmtId="165" fontId="4" fillId="2" borderId="15" xfId="0" applyFont="true" applyBorder="true" applyAlignment="true" applyProtection="false">
      <alignment horizontal="right" vertical="bottom" textRotation="0" wrapText="false" indent="0" shrinkToFit="false"/>
      <protection locked="true" hidden="false"/>
    </xf>
    <xf numFmtId="165" fontId="4" fillId="2" borderId="14" xfId="0" applyFont="true" applyBorder="true" applyAlignment="true" applyProtection="false">
      <alignment horizontal="right" vertical="bottom" textRotation="0" wrapText="false" indent="0" shrinkToFit="false"/>
      <protection locked="true" hidden="false"/>
    </xf>
    <xf numFmtId="168" fontId="4" fillId="0" borderId="0" xfId="20" applyFont="true" applyBorder="true" applyAlignment="true" applyProtection="false">
      <alignment horizontal="right" vertical="bottom" textRotation="0" wrapText="false" indent="0" shrinkToFit="false"/>
      <protection locked="true" hidden="false"/>
    </xf>
    <xf numFmtId="166" fontId="4" fillId="0" borderId="22" xfId="0" applyFont="true" applyBorder="true" applyAlignment="true" applyProtection="false">
      <alignment horizontal="right" vertical="bottom" textRotation="0" wrapText="false" indent="0" shrinkToFit="false"/>
      <protection locked="true" hidden="false"/>
    </xf>
    <xf numFmtId="169" fontId="4" fillId="2" borderId="13" xfId="0" applyFont="true" applyBorder="true" applyAlignment="false" applyProtection="false">
      <alignment horizontal="general" vertical="bottom" textRotation="0" wrapText="false" indent="0" shrinkToFit="false"/>
      <protection locked="true" hidden="false"/>
    </xf>
    <xf numFmtId="165" fontId="4" fillId="0" borderId="23" xfId="0" applyFont="true" applyBorder="true" applyAlignment="true" applyProtection="false">
      <alignment horizontal="right" vertical="bottom" textRotation="0" wrapText="false" indent="0" shrinkToFit="false"/>
      <protection locked="true" hidden="false"/>
    </xf>
    <xf numFmtId="169" fontId="4" fillId="0" borderId="24" xfId="0" applyFont="true" applyBorder="true" applyAlignment="true" applyProtection="false">
      <alignment horizontal="right" vertical="bottom" textRotation="0" wrapText="false" indent="0" shrinkToFit="false"/>
      <protection locked="true" hidden="false"/>
    </xf>
    <xf numFmtId="167" fontId="4" fillId="0" borderId="25" xfId="0" applyFont="true" applyBorder="true" applyAlignment="true" applyProtection="false">
      <alignment horizontal="right" vertical="bottom" textRotation="0" wrapText="false" indent="0" shrinkToFit="false"/>
      <protection locked="true" hidden="false"/>
    </xf>
    <xf numFmtId="167" fontId="4" fillId="2" borderId="13" xfId="0" applyFont="true" applyBorder="true" applyAlignment="false" applyProtection="false">
      <alignment horizontal="general" vertical="bottom" textRotation="0" wrapText="false" indent="0" shrinkToFit="false"/>
      <protection locked="true" hidden="false"/>
    </xf>
    <xf numFmtId="170" fontId="4" fillId="2" borderId="17" xfId="0" applyFont="true" applyBorder="true" applyAlignment="false" applyProtection="false">
      <alignment horizontal="general" vertical="bottom" textRotation="0" wrapText="false" indent="0" shrinkToFit="false"/>
      <protection locked="true" hidden="false"/>
    </xf>
    <xf numFmtId="167" fontId="4" fillId="2" borderId="14" xfId="0" applyFont="true" applyBorder="true" applyAlignment="false" applyProtection="false">
      <alignment horizontal="general" vertical="bottom" textRotation="0" wrapText="false" indent="0" shrinkToFit="false"/>
      <protection locked="true" hidden="false"/>
    </xf>
    <xf numFmtId="170" fontId="4" fillId="2" borderId="13" xfId="0" applyFont="true" applyBorder="true" applyAlignment="true" applyProtection="false">
      <alignment horizontal="center" vertical="bottom" textRotation="0" wrapText="false" indent="0" shrinkToFit="false"/>
      <protection locked="true" hidden="false"/>
    </xf>
    <xf numFmtId="165" fontId="4" fillId="2" borderId="13"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6" fontId="4" fillId="0" borderId="0" xfId="0" applyFont="true" applyBorder="false" applyAlignment="fals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center" vertical="bottom" textRotation="0" wrapText="false" indent="0" shrinkToFit="false"/>
      <protection locked="true" hidden="false"/>
    </xf>
    <xf numFmtId="175" fontId="4" fillId="0" borderId="0" xfId="0" applyFont="true" applyBorder="false" applyAlignment="false" applyProtection="false">
      <alignment horizontal="general" vertical="bottom" textRotation="0" wrapText="false" indent="0" shrinkToFit="false"/>
      <protection locked="true" hidden="false"/>
    </xf>
    <xf numFmtId="177" fontId="4" fillId="0" borderId="0" xfId="19" applyFont="true" applyBorder="true" applyAlignment="true" applyProtection="true">
      <alignment horizontal="general" vertical="bottom" textRotation="0" wrapText="false" indent="0" shrinkToFit="false"/>
      <protection locked="true" hidden="false"/>
    </xf>
    <xf numFmtId="177" fontId="4" fillId="0" borderId="0" xfId="0" applyFont="true" applyBorder="false" applyAlignment="false" applyProtection="false">
      <alignment horizontal="general" vertical="bottom" textRotation="0" wrapText="false" indent="0" shrinkToFit="false"/>
      <protection locked="true" hidden="false"/>
    </xf>
    <xf numFmtId="166" fontId="4" fillId="0" borderId="0" xfId="20" applyFont="true" applyBorder="true" applyAlignment="false" applyProtection="false">
      <alignment horizontal="general" vertical="bottom" textRotation="0" wrapText="false" indent="0" shrinkToFit="false"/>
      <protection locked="true" hidden="false"/>
    </xf>
    <xf numFmtId="164" fontId="6" fillId="0"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false" indent="0" shrinkToFit="false"/>
      <protection locked="true" hidden="false"/>
    </xf>
    <xf numFmtId="169" fontId="4" fillId="0" borderId="0"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true" applyProtection="false">
      <alignment horizontal="center" vertical="bottom" textRotation="0" wrapText="false" indent="0" shrinkToFit="false"/>
      <protection locked="true" hidden="false"/>
    </xf>
    <xf numFmtId="164" fontId="0" fillId="0" borderId="0" xfId="20" applyFont="fals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false" applyProtection="false">
      <alignment horizontal="general" vertical="bottom" textRotation="0" wrapText="false" indent="0" shrinkToFit="false"/>
      <protection locked="true" hidden="false"/>
    </xf>
    <xf numFmtId="170" fontId="5" fillId="0" borderId="0" xfId="20" applyFont="true" applyBorder="true" applyAlignment="false" applyProtection="false">
      <alignment horizontal="general" vertical="bottom" textRotation="0" wrapText="false" indent="0" shrinkToFit="false"/>
      <protection locked="true" hidden="false"/>
    </xf>
    <xf numFmtId="170" fontId="6" fillId="0" borderId="0" xfId="20" applyFont="true" applyBorder="true" applyAlignment="false" applyProtection="false">
      <alignment horizontal="general" vertical="bottom" textRotation="0" wrapText="false" indent="0" shrinkToFit="false"/>
      <protection locked="true" hidden="false"/>
    </xf>
    <xf numFmtId="172" fontId="4" fillId="0" borderId="0" xfId="20" applyFont="true" applyBorder="true" applyAlignment="false" applyProtection="false">
      <alignment horizontal="general" vertical="bottom" textRotation="0" wrapText="false" indent="0" shrinkToFit="false"/>
      <protection locked="true" hidden="false"/>
    </xf>
    <xf numFmtId="170" fontId="5" fillId="0" borderId="0" xfId="20" applyFont="true" applyBorder="true" applyAlignment="true" applyProtection="false">
      <alignment horizontal="general" vertical="bottom" textRotation="0" wrapText="false" indent="0" shrinkToFit="false"/>
      <protection locked="true" hidden="false"/>
    </xf>
    <xf numFmtId="170" fontId="4" fillId="0" borderId="0" xfId="20" applyFont="true" applyBorder="true" applyAlignment="true" applyProtection="false">
      <alignment horizontal="center" vertical="bottom" textRotation="0" wrapText="false" indent="0" shrinkToFit="false"/>
      <protection locked="true" hidden="false"/>
    </xf>
    <xf numFmtId="167" fontId="4" fillId="0" borderId="0" xfId="20" applyFont="true" applyBorder="true" applyAlignment="true" applyProtection="false">
      <alignment horizontal="center" vertical="bottom" textRotation="0" wrapText="false" indent="0" shrinkToFit="false"/>
      <protection locked="true" hidden="false"/>
    </xf>
    <xf numFmtId="170" fontId="4" fillId="0" borderId="1" xfId="20" applyFont="true" applyBorder="true" applyAlignment="false" applyProtection="false">
      <alignment horizontal="general" vertical="bottom" textRotation="0" wrapText="false" indent="0" shrinkToFit="false"/>
      <protection locked="true" hidden="false"/>
    </xf>
    <xf numFmtId="165" fontId="4" fillId="0" borderId="1" xfId="20" applyFont="true" applyBorder="true" applyAlignment="false" applyProtection="false">
      <alignment horizontal="general" vertical="bottom" textRotation="0" wrapText="false" indent="0" shrinkToFit="false"/>
      <protection locked="true" hidden="false"/>
    </xf>
    <xf numFmtId="173" fontId="4" fillId="0" borderId="1" xfId="20" applyFont="true" applyBorder="true" applyAlignment="false" applyProtection="false">
      <alignment horizontal="general" vertical="bottom" textRotation="0" wrapText="false" indent="0" shrinkToFit="false"/>
      <protection locked="true" hidden="false"/>
    </xf>
    <xf numFmtId="171" fontId="4" fillId="0" borderId="1" xfId="20" applyFont="true" applyBorder="true" applyAlignment="false" applyProtection="false">
      <alignment horizontal="general" vertical="bottom" textRotation="0" wrapText="false" indent="0" shrinkToFit="false"/>
      <protection locked="true" hidden="false"/>
    </xf>
    <xf numFmtId="168" fontId="4" fillId="0" borderId="1" xfId="20" applyFont="true" applyBorder="true" applyAlignment="false" applyProtection="false">
      <alignment horizontal="general" vertical="bottom" textRotation="0" wrapText="false" indent="0" shrinkToFit="false"/>
      <protection locked="true" hidden="false"/>
    </xf>
    <xf numFmtId="167" fontId="4" fillId="0" borderId="1" xfId="20" applyFont="true" applyBorder="true" applyAlignment="false" applyProtection="false">
      <alignment horizontal="general" vertical="bottom" textRotation="0" wrapText="false" indent="0" shrinkToFit="false"/>
      <protection locked="true" hidden="false"/>
    </xf>
    <xf numFmtId="170" fontId="6" fillId="0" borderId="1" xfId="20" applyFont="true" applyBorder="true" applyAlignment="false" applyProtection="false">
      <alignment horizontal="general" vertical="bottom" textRotation="0" wrapText="false" indent="0" shrinkToFit="false"/>
      <protection locked="true" hidden="false"/>
    </xf>
    <xf numFmtId="164" fontId="4" fillId="0" borderId="1" xfId="20" applyFont="true" applyBorder="tru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false">
      <alignment horizontal="general" vertical="bottom" textRotation="0" wrapText="false" indent="0" shrinkToFit="false"/>
      <protection locked="true" hidden="false"/>
    </xf>
    <xf numFmtId="166" fontId="4" fillId="0" borderId="1" xfId="20" applyFont="true" applyBorder="true" applyAlignment="false" applyProtection="false">
      <alignment horizontal="general" vertical="bottom" textRotation="0" wrapText="false" indent="0" shrinkToFit="false"/>
      <protection locked="true" hidden="false"/>
    </xf>
    <xf numFmtId="169" fontId="4" fillId="0" borderId="1" xfId="20" applyFont="true" applyBorder="true" applyAlignment="false" applyProtection="false">
      <alignment horizontal="general" vertical="bottom" textRotation="0" wrapText="false" indent="0" shrinkToFit="false"/>
      <protection locked="true" hidden="false"/>
    </xf>
    <xf numFmtId="169" fontId="4" fillId="0" borderId="1" xfId="20" applyFont="true" applyBorder="true" applyAlignment="true" applyProtection="false">
      <alignment horizontal="center" vertical="bottom" textRotation="0" wrapText="false" indent="0" shrinkToFit="false"/>
      <protection locked="true" hidden="false"/>
    </xf>
    <xf numFmtId="164" fontId="0" fillId="0" borderId="1" xfId="20" applyFont="false" applyBorder="true" applyAlignment="false" applyProtection="false">
      <alignment horizontal="general" vertical="bottom" textRotation="0" wrapText="false" indent="0" shrinkToFit="false"/>
      <protection locked="true" hidden="false"/>
    </xf>
    <xf numFmtId="169" fontId="4" fillId="0" borderId="2" xfId="0" applyFont="true" applyBorder="true" applyAlignment="true" applyProtection="false">
      <alignment horizontal="center" vertical="bottom" textRotation="0" wrapText="false" indent="0" shrinkToFit="false"/>
      <protection locked="true" hidden="false"/>
    </xf>
    <xf numFmtId="164" fontId="6" fillId="0" borderId="6"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center" vertical="bottom" textRotation="0" wrapText="false" indent="0" shrinkToFit="false"/>
      <protection locked="true" hidden="false"/>
    </xf>
    <xf numFmtId="170" fontId="8" fillId="0" borderId="26" xfId="0" applyFont="true" applyBorder="true" applyAlignment="true" applyProtection="false">
      <alignment horizontal="center" vertical="bottom" textRotation="0" wrapText="false" indent="0" shrinkToFit="false"/>
      <protection locked="true" hidden="false"/>
    </xf>
    <xf numFmtId="164" fontId="6" fillId="0" borderId="0" xfId="20" applyFont="true" applyBorder="true" applyAlignment="true" applyProtection="false">
      <alignment horizontal="center" vertical="bottom" textRotation="0" wrapText="false" indent="0" shrinkToFit="false"/>
      <protection locked="true" hidden="false"/>
    </xf>
    <xf numFmtId="169" fontId="6" fillId="0" borderId="8" xfId="0" applyFont="true" applyBorder="true" applyAlignment="true" applyProtection="false">
      <alignment horizontal="center" vertical="bottom" textRotation="0" wrapText="false" indent="0" shrinkToFit="false"/>
      <protection locked="true" hidden="false"/>
    </xf>
    <xf numFmtId="164" fontId="6" fillId="0" borderId="10"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2" fillId="0" borderId="8" xfId="0" applyFont="true" applyBorder="true" applyAlignment="true" applyProtection="false">
      <alignment horizontal="center" vertical="bottom" textRotation="0" wrapText="false" indent="0" shrinkToFit="false"/>
      <protection locked="true" hidden="false"/>
    </xf>
    <xf numFmtId="170" fontId="4" fillId="0" borderId="7" xfId="20" applyFont="true" applyBorder="true" applyAlignment="true" applyProtection="false">
      <alignment horizontal="right" vertical="bottom" textRotation="0" wrapText="false" indent="0" shrinkToFit="false"/>
      <protection locked="true" hidden="false"/>
    </xf>
    <xf numFmtId="165" fontId="4" fillId="0" borderId="8" xfId="20" applyFont="true" applyBorder="true" applyAlignment="true" applyProtection="false">
      <alignment horizontal="right" vertical="bottom" textRotation="0" wrapText="false" indent="0" shrinkToFit="false"/>
      <protection locked="true" hidden="false"/>
    </xf>
    <xf numFmtId="169" fontId="4" fillId="0" borderId="0" xfId="20" applyFont="true" applyBorder="true" applyAlignment="true" applyProtection="false">
      <alignment horizontal="right" vertical="bottom" textRotation="0" wrapText="false" indent="0" shrinkToFit="false"/>
      <protection locked="true" hidden="false"/>
    </xf>
    <xf numFmtId="165" fontId="4" fillId="0" borderId="11" xfId="20" applyFont="true" applyBorder="true" applyAlignment="true" applyProtection="false">
      <alignment horizontal="right" vertical="bottom" textRotation="0" wrapText="false" indent="0" shrinkToFit="false"/>
      <protection locked="true" hidden="false"/>
    </xf>
    <xf numFmtId="168" fontId="4" fillId="0" borderId="12" xfId="20" applyFont="true" applyBorder="true" applyAlignment="true" applyProtection="false">
      <alignment horizontal="right" vertical="bottom" textRotation="0" wrapText="false" indent="0" shrinkToFit="false"/>
      <protection locked="true" hidden="false"/>
    </xf>
    <xf numFmtId="165" fontId="4" fillId="0" borderId="12" xfId="20" applyFont="true" applyBorder="true" applyAlignment="true" applyProtection="false">
      <alignment horizontal="right" vertical="bottom" textRotation="0" wrapText="false" indent="0" shrinkToFit="false"/>
      <protection locked="true" hidden="false"/>
    </xf>
    <xf numFmtId="165" fontId="6" fillId="0" borderId="0" xfId="20" applyFont="true" applyBorder="true" applyAlignment="true" applyProtection="false">
      <alignment horizontal="right" vertical="bottom" textRotation="0" wrapText="false" indent="0" shrinkToFit="false"/>
      <protection locked="true" hidden="false"/>
    </xf>
    <xf numFmtId="169" fontId="4" fillId="0" borderId="7" xfId="20" applyFont="true" applyBorder="true" applyAlignment="true" applyProtection="false">
      <alignment horizontal="right" vertical="bottom" textRotation="0" wrapText="false" indent="0" shrinkToFit="false"/>
      <protection locked="true" hidden="false"/>
    </xf>
    <xf numFmtId="164" fontId="4" fillId="0" borderId="0" xfId="20" applyFont="true" applyBorder="true" applyAlignment="true" applyProtection="false">
      <alignment horizontal="right" vertical="bottom" textRotation="0" wrapText="false" indent="0" shrinkToFit="false"/>
      <protection locked="true" hidden="false"/>
    </xf>
    <xf numFmtId="166" fontId="4" fillId="0" borderId="7" xfId="20" applyFont="true" applyBorder="true" applyAlignment="true" applyProtection="false">
      <alignment horizontal="right" vertical="bottom" textRotation="0" wrapText="false" indent="0" shrinkToFit="false"/>
      <protection locked="true" hidden="false"/>
    </xf>
    <xf numFmtId="169" fontId="4" fillId="0" borderId="8" xfId="20" applyFont="true" applyBorder="true" applyAlignment="true" applyProtection="false">
      <alignment horizontal="right" vertical="bottom" textRotation="0" wrapText="false" indent="0" shrinkToFit="false"/>
      <protection locked="true" hidden="false"/>
    </xf>
    <xf numFmtId="164" fontId="6" fillId="0" borderId="10" xfId="0" applyFont="true" applyBorder="true" applyAlignment="false" applyProtection="false">
      <alignment horizontal="general" vertical="bottom" textRotation="0" wrapText="false" indent="0" shrinkToFit="false"/>
      <protection locked="true" hidden="false"/>
    </xf>
    <xf numFmtId="165" fontId="0" fillId="0" borderId="0" xfId="20" applyFont="true" applyBorder="true" applyAlignment="true" applyProtection="false">
      <alignment horizontal="right" vertical="bottom" textRotation="0" wrapText="false" indent="0" shrinkToFit="false"/>
      <protection locked="true" hidden="false"/>
    </xf>
    <xf numFmtId="164" fontId="12" fillId="0" borderId="8" xfId="20" applyFont="true" applyBorder="true" applyAlignment="true" applyProtection="false">
      <alignment horizontal="center" vertical="bottom" textRotation="0" wrapText="false" indent="0" shrinkToFit="false"/>
      <protection locked="true" hidden="false"/>
    </xf>
    <xf numFmtId="165" fontId="6" fillId="0" borderId="0" xfId="20" applyFont="true" applyBorder="true" applyAlignment="false" applyProtection="false">
      <alignment horizontal="general" vertical="bottom" textRotation="0" wrapText="false" indent="0" shrinkToFit="false"/>
      <protection locked="true" hidden="false"/>
    </xf>
    <xf numFmtId="165" fontId="4" fillId="0" borderId="24" xfId="20" applyFont="true" applyBorder="true" applyAlignment="true" applyProtection="false">
      <alignment horizontal="right" vertical="bottom" textRotation="0" wrapText="false" indent="0" shrinkToFit="false"/>
      <protection locked="true" hidden="false"/>
    </xf>
    <xf numFmtId="168" fontId="4" fillId="0" borderId="21" xfId="2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true" applyProtection="false">
      <alignment horizontal="general" vertical="bottom" textRotation="0" wrapText="false" indent="0" shrinkToFit="false"/>
      <protection locked="true" hidden="false"/>
    </xf>
    <xf numFmtId="167" fontId="4" fillId="0" borderId="25" xfId="20" applyFont="true" applyBorder="true" applyAlignment="true" applyProtection="false">
      <alignment horizontal="right" vertical="bottom" textRotation="0" wrapText="false" indent="0" shrinkToFit="false"/>
      <protection locked="true" hidden="false"/>
    </xf>
    <xf numFmtId="165" fontId="12" fillId="0" borderId="8" xfId="20" applyFont="true" applyBorder="true" applyAlignment="true" applyProtection="false">
      <alignment horizontal="center" vertical="bottom" textRotation="0" wrapText="false" indent="0" shrinkToFit="false"/>
      <protection locked="true" hidden="false"/>
    </xf>
    <xf numFmtId="165" fontId="0" fillId="0" borderId="0" xfId="20" applyFont="false" applyBorder="true" applyAlignment="false" applyProtection="false">
      <alignment horizontal="general" vertical="bottom" textRotation="0" wrapText="false" indent="0" shrinkToFit="false"/>
      <protection locked="true" hidden="false"/>
    </xf>
    <xf numFmtId="170" fontId="4" fillId="2" borderId="13" xfId="20" applyFont="true" applyBorder="true" applyAlignment="false" applyProtection="false">
      <alignment horizontal="general" vertical="bottom" textRotation="0" wrapText="false" indent="0" shrinkToFit="false"/>
      <protection locked="true" hidden="false"/>
    </xf>
    <xf numFmtId="175" fontId="4" fillId="2" borderId="14" xfId="20" applyFont="true" applyBorder="true" applyAlignment="true" applyProtection="false">
      <alignment horizontal="right" vertical="bottom" textRotation="0" wrapText="false" indent="0" shrinkToFit="false"/>
      <protection locked="true" hidden="false"/>
    </xf>
    <xf numFmtId="165" fontId="4" fillId="2" borderId="13" xfId="20" applyFont="true" applyBorder="true" applyAlignment="true" applyProtection="false">
      <alignment horizontal="right" vertical="bottom" textRotation="0" wrapText="false" indent="0" shrinkToFit="false"/>
      <protection locked="true" hidden="false"/>
    </xf>
    <xf numFmtId="170" fontId="4" fillId="2" borderId="13" xfId="20" applyFont="true" applyBorder="true" applyAlignment="true" applyProtection="false">
      <alignment horizontal="right" vertical="bottom" textRotation="0" wrapText="false" indent="0" shrinkToFit="false"/>
      <protection locked="true" hidden="false"/>
    </xf>
    <xf numFmtId="170" fontId="4" fillId="2" borderId="15" xfId="20" applyFont="true" applyBorder="true" applyAlignment="true" applyProtection="false">
      <alignment horizontal="right" vertical="bottom" textRotation="0" wrapText="false" indent="0" shrinkToFit="false"/>
      <protection locked="true" hidden="false"/>
    </xf>
    <xf numFmtId="171" fontId="4" fillId="2" borderId="13" xfId="20" applyFont="true" applyBorder="true" applyAlignment="true" applyProtection="false">
      <alignment horizontal="right" vertical="bottom" textRotation="0" wrapText="false" indent="0" shrinkToFit="false"/>
      <protection locked="true" hidden="false"/>
    </xf>
    <xf numFmtId="170" fontId="4" fillId="2" borderId="16" xfId="20" applyFont="true" applyBorder="true" applyAlignment="true" applyProtection="false">
      <alignment horizontal="right" vertical="bottom" textRotation="0" wrapText="false" indent="0" shrinkToFit="false"/>
      <protection locked="true" hidden="false"/>
    </xf>
    <xf numFmtId="168" fontId="4" fillId="2" borderId="13" xfId="20" applyFont="true" applyBorder="true" applyAlignment="true" applyProtection="false">
      <alignment horizontal="right" vertical="bottom" textRotation="0" wrapText="false" indent="0" shrinkToFit="false"/>
      <protection locked="true" hidden="false"/>
    </xf>
    <xf numFmtId="168" fontId="4" fillId="2" borderId="17" xfId="20" applyFont="true" applyBorder="true" applyAlignment="true" applyProtection="false">
      <alignment horizontal="right" vertical="bottom" textRotation="0" wrapText="false" indent="0" shrinkToFit="false"/>
      <protection locked="true" hidden="false"/>
    </xf>
    <xf numFmtId="167" fontId="4" fillId="2" borderId="13" xfId="20" applyFont="true" applyBorder="true" applyAlignment="true" applyProtection="false">
      <alignment horizontal="right" vertical="bottom" textRotation="0" wrapText="false" indent="0" shrinkToFit="false"/>
      <protection locked="true" hidden="false"/>
    </xf>
    <xf numFmtId="170" fontId="4" fillId="2" borderId="17" xfId="20" applyFont="true" applyBorder="true" applyAlignment="true" applyProtection="false">
      <alignment horizontal="right" vertical="bottom" textRotation="0" wrapText="false" indent="0" shrinkToFit="false"/>
      <protection locked="true" hidden="false"/>
    </xf>
    <xf numFmtId="169" fontId="4" fillId="2" borderId="14" xfId="20" applyFont="true" applyBorder="true" applyAlignment="true" applyProtection="false">
      <alignment horizontal="right" vertical="bottom" textRotation="0" wrapText="false" indent="0" shrinkToFit="false"/>
      <protection locked="true" hidden="false"/>
    </xf>
    <xf numFmtId="169" fontId="4" fillId="2" borderId="13" xfId="20" applyFont="true" applyBorder="true" applyAlignment="true" applyProtection="false">
      <alignment horizontal="right" vertical="bottom" textRotation="0" wrapText="false" indent="0" shrinkToFit="false"/>
      <protection locked="true" hidden="false"/>
    </xf>
    <xf numFmtId="169" fontId="4" fillId="2" borderId="13" xfId="20" applyFont="true" applyBorder="true" applyAlignment="true" applyProtection="false">
      <alignment horizontal="general" vertical="bottom" textRotation="0" wrapText="false" indent="0" shrinkToFit="false"/>
      <protection locked="true" hidden="false"/>
    </xf>
    <xf numFmtId="166" fontId="4" fillId="2" borderId="14" xfId="20" applyFont="true" applyBorder="true" applyAlignment="true" applyProtection="false">
      <alignment horizontal="right" vertical="bottom" textRotation="0" wrapText="false" indent="0" shrinkToFit="false"/>
      <protection locked="true" hidden="false"/>
    </xf>
    <xf numFmtId="170" fontId="4" fillId="0" borderId="8" xfId="20" applyFont="true" applyBorder="true" applyAlignment="true" applyProtection="false">
      <alignment horizontal="right" vertical="bottom" textRotation="0" wrapText="false" indent="0" shrinkToFit="false"/>
      <protection locked="true" hidden="false"/>
    </xf>
    <xf numFmtId="171" fontId="4" fillId="0" borderId="0" xfId="20" applyFont="true" applyBorder="true" applyAlignment="true" applyProtection="false">
      <alignment horizontal="right" vertical="bottom" textRotation="0" wrapText="false" indent="0" shrinkToFit="false"/>
      <protection locked="true" hidden="false"/>
    </xf>
    <xf numFmtId="170" fontId="4" fillId="0" borderId="11" xfId="20" applyFont="true" applyBorder="true" applyAlignment="true" applyProtection="false">
      <alignment horizontal="right" vertical="bottom" textRotation="0" wrapText="false" indent="0" shrinkToFit="false"/>
      <protection locked="true" hidden="false"/>
    </xf>
    <xf numFmtId="170" fontId="4" fillId="0" borderId="12" xfId="20" applyFont="true" applyBorder="true" applyAlignment="true" applyProtection="false">
      <alignment horizontal="right" vertical="bottom" textRotation="0" wrapText="false" indent="0" shrinkToFit="false"/>
      <protection locked="true" hidden="false"/>
    </xf>
    <xf numFmtId="170" fontId="4" fillId="0" borderId="10" xfId="0" applyFont="true" applyBorder="true" applyAlignment="false" applyProtection="false">
      <alignment horizontal="general" vertical="bottom" textRotation="0" wrapText="false" indent="0" shrinkToFit="false"/>
      <protection locked="true" hidden="false"/>
    </xf>
    <xf numFmtId="164" fontId="0" fillId="0" borderId="8" xfId="20" applyFont="false" applyBorder="true" applyAlignment="false" applyProtection="false">
      <alignment horizontal="general" vertical="bottom" textRotation="0" wrapText="false" indent="0" shrinkToFit="false"/>
      <protection locked="true" hidden="false"/>
    </xf>
    <xf numFmtId="164" fontId="4" fillId="0" borderId="8" xfId="20" applyFont="true" applyBorder="true" applyAlignment="true" applyProtection="false">
      <alignment horizontal="right" vertical="bottom" textRotation="0" wrapText="false" indent="0" shrinkToFit="false"/>
      <protection locked="true" hidden="false"/>
    </xf>
    <xf numFmtId="170" fontId="4" fillId="2" borderId="14" xfId="20" applyFont="true" applyBorder="true" applyAlignment="true" applyProtection="false">
      <alignment horizontal="right" vertical="bottom" textRotation="0" wrapText="false" indent="0" shrinkToFit="false"/>
      <protection locked="true" hidden="false"/>
    </xf>
    <xf numFmtId="170" fontId="4" fillId="0" borderId="13" xfId="20" applyFont="true" applyBorder="true" applyAlignment="true" applyProtection="false">
      <alignment horizontal="right" vertical="bottom" textRotation="0" wrapText="false" indent="0" shrinkToFit="false"/>
      <protection locked="true" hidden="false"/>
    </xf>
    <xf numFmtId="167" fontId="4" fillId="0" borderId="10" xfId="20" applyFont="true" applyBorder="true" applyAlignment="true" applyProtection="false">
      <alignment horizontal="right" vertical="bottom" textRotation="0" wrapText="false" indent="0" shrinkToFit="false"/>
      <protection locked="true" hidden="false"/>
    </xf>
    <xf numFmtId="165" fontId="4" fillId="2" borderId="15" xfId="20" applyFont="true" applyBorder="true" applyAlignment="true" applyProtection="false">
      <alignment horizontal="right" vertical="bottom" textRotation="0" wrapText="false" indent="0" shrinkToFit="false"/>
      <protection locked="true" hidden="false"/>
    </xf>
    <xf numFmtId="165" fontId="4" fillId="2" borderId="16" xfId="20" applyFont="true" applyBorder="true" applyAlignment="true" applyProtection="false">
      <alignment horizontal="right" vertical="bottom" textRotation="0" wrapText="false" indent="0" shrinkToFit="false"/>
      <protection locked="true" hidden="false"/>
    </xf>
    <xf numFmtId="165" fontId="4" fillId="2" borderId="17" xfId="20" applyFont="true" applyBorder="true" applyAlignment="true" applyProtection="false">
      <alignment horizontal="right" vertical="bottom" textRotation="0" wrapText="false" indent="0" shrinkToFit="false"/>
      <protection locked="true" hidden="false"/>
    </xf>
    <xf numFmtId="165" fontId="4" fillId="2" borderId="13" xfId="20" applyFont="true" applyBorder="true" applyAlignment="true" applyProtection="false">
      <alignment horizontal="general" vertical="bottom" textRotation="0" wrapText="false" indent="0" shrinkToFit="false"/>
      <protection locked="true" hidden="false"/>
    </xf>
    <xf numFmtId="165" fontId="4" fillId="2" borderId="14" xfId="20" applyFont="true" applyBorder="true" applyAlignment="true" applyProtection="false">
      <alignment horizontal="right" vertical="bottom" textRotation="0" wrapText="false" indent="0" shrinkToFit="false"/>
      <protection locked="true" hidden="false"/>
    </xf>
    <xf numFmtId="166" fontId="4" fillId="2" borderId="13" xfId="20" applyFont="true" applyBorder="true" applyAlignment="true" applyProtection="false">
      <alignment horizontal="right" vertical="bottom" textRotation="0" wrapText="false" indent="0" shrinkToFit="false"/>
      <protection locked="true" hidden="false"/>
    </xf>
    <xf numFmtId="166" fontId="4" fillId="2" borderId="13" xfId="20" applyFont="true" applyBorder="true" applyAlignment="true" applyProtection="false">
      <alignment horizontal="general" vertical="bottom" textRotation="0" wrapText="false" indent="0" shrinkToFit="false"/>
      <protection locked="true" hidden="false"/>
    </xf>
    <xf numFmtId="165" fontId="4" fillId="0" borderId="27" xfId="20" applyFont="true" applyBorder="true" applyAlignment="true" applyProtection="false">
      <alignment horizontal="right" vertical="bottom" textRotation="0" wrapText="false" indent="0" shrinkToFit="false"/>
      <protection locked="true" hidden="false"/>
    </xf>
    <xf numFmtId="165" fontId="4" fillId="0" borderId="21" xfId="20" applyFont="true" applyBorder="true" applyAlignment="true" applyProtection="false">
      <alignment horizontal="right" vertical="bottom" textRotation="0" wrapText="false" indent="0" shrinkToFit="false"/>
      <protection locked="true" hidden="false"/>
    </xf>
    <xf numFmtId="165" fontId="4" fillId="0" borderId="23" xfId="20" applyFont="true" applyBorder="true" applyAlignment="true" applyProtection="false">
      <alignment horizontal="right" vertical="bottom" textRotation="0" wrapText="false" indent="0" shrinkToFit="false"/>
      <protection locked="true" hidden="false"/>
    </xf>
    <xf numFmtId="170" fontId="4" fillId="2" borderId="13" xfId="20" applyFont="true" applyBorder="true" applyAlignment="true" applyProtection="false">
      <alignment horizontal="general" vertical="bottom" textRotation="0" wrapText="false" indent="0" shrinkToFit="false"/>
      <protection locked="true" hidden="false"/>
    </xf>
    <xf numFmtId="176" fontId="4" fillId="0" borderId="0" xfId="20" applyFont="true" applyBorder="true" applyAlignment="false" applyProtection="false">
      <alignment horizontal="general" vertical="bottom" textRotation="0" wrapText="false" indent="0" shrinkToFit="false"/>
      <protection locked="true" hidden="false"/>
    </xf>
    <xf numFmtId="175" fontId="4" fillId="0" borderId="0" xfId="20" applyFont="true" applyBorder="true" applyAlignment="false" applyProtection="false">
      <alignment horizontal="general" vertical="bottom" textRotation="0" wrapText="false" indent="0" shrinkToFit="false"/>
      <protection locked="true" hidden="false"/>
    </xf>
    <xf numFmtId="177" fontId="4" fillId="0" borderId="0" xfId="20" applyFont="true" applyBorder="true" applyAlignment="false" applyProtection="false">
      <alignment horizontal="general" vertical="bottom" textRotation="0" wrapText="false" indent="0" shrinkToFit="false"/>
      <protection locked="true" hidden="false"/>
    </xf>
    <xf numFmtId="166" fontId="4" fillId="0" borderId="0" xfId="20" applyFont="true" applyBorder="true" applyAlignment="true" applyProtection="false">
      <alignment horizontal="right" vertical="bottom" textRotation="0" wrapText="false" indent="0" shrinkToFit="false"/>
      <protection locked="true" hidden="false"/>
    </xf>
    <xf numFmtId="164" fontId="0" fillId="0" borderId="0" xfId="20" applyFont="true" applyBorder="true" applyAlignment="true" applyProtection="false">
      <alignment horizontal="right" vertical="bottom" textRotation="0" wrapText="false" indent="0" shrinkToFit="false"/>
      <protection locked="true" hidden="false"/>
    </xf>
    <xf numFmtId="170" fontId="4" fillId="0" borderId="24" xfId="20" applyFont="true" applyBorder="true" applyAlignment="true" applyProtection="false">
      <alignment horizontal="right" vertical="bottom" textRotation="0" wrapText="false" indent="0" shrinkToFit="false"/>
      <protection locked="true" hidden="false"/>
    </xf>
    <xf numFmtId="175" fontId="4" fillId="0" borderId="24" xfId="20" applyFont="true" applyBorder="true" applyAlignment="true" applyProtection="false">
      <alignment horizontal="right" vertical="bottom" textRotation="0" wrapText="false" indent="0" shrinkToFit="false"/>
      <protection locked="true" hidden="false"/>
    </xf>
    <xf numFmtId="170" fontId="4" fillId="0" borderId="25" xfId="20" applyFont="true" applyBorder="true" applyAlignment="true" applyProtection="false">
      <alignment horizontal="right" vertical="bottom" textRotation="0" wrapText="false" indent="0" shrinkToFit="false"/>
      <protection locked="true" hidden="false"/>
    </xf>
    <xf numFmtId="169" fontId="4" fillId="2" borderId="15" xfId="20" applyFont="true" applyBorder="true" applyAlignment="true" applyProtection="false">
      <alignment horizontal="right" vertical="bottom" textRotation="0" wrapText="false" indent="0" shrinkToFit="false"/>
      <protection locked="true" hidden="false"/>
    </xf>
    <xf numFmtId="169" fontId="4" fillId="0" borderId="12" xfId="20" applyFont="true" applyBorder="true" applyAlignment="true" applyProtection="false">
      <alignment horizontal="right" vertical="bottom" textRotation="0" wrapText="false" indent="0" shrinkToFit="false"/>
      <protection locked="true" hidden="false"/>
    </xf>
    <xf numFmtId="169" fontId="4" fillId="2" borderId="17" xfId="20" applyFont="true" applyBorder="true" applyAlignment="true" applyProtection="false">
      <alignment horizontal="right" vertical="bottom" textRotation="0" wrapText="false" indent="0" shrinkToFit="false"/>
      <protection locked="true" hidden="false"/>
    </xf>
    <xf numFmtId="169" fontId="4" fillId="0" borderId="21" xfId="20" applyFont="true" applyBorder="true" applyAlignment="true" applyProtection="false">
      <alignment horizontal="right" vertical="bottom" textRotation="0" wrapText="false" indent="0" shrinkToFit="false"/>
      <protection locked="true" hidden="false"/>
    </xf>
    <xf numFmtId="178" fontId="4" fillId="0"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true" applyProtection="false">
      <alignment horizontal="center" vertical="bottom" textRotation="0" wrapText="false" indent="0" shrinkToFit="false"/>
      <protection locked="true" hidden="false"/>
    </xf>
    <xf numFmtId="167" fontId="0" fillId="0" borderId="0" xfId="20" applyFont="false" applyBorder="true" applyAlignment="false" applyProtection="false">
      <alignment horizontal="general" vertical="bottom" textRotation="0" wrapText="false" indent="0" shrinkToFit="false"/>
      <protection locked="true" hidden="false"/>
    </xf>
    <xf numFmtId="169" fontId="6" fillId="0" borderId="0" xfId="20" applyFont="true" applyBorder="true" applyAlignment="false" applyProtection="false">
      <alignment horizontal="general" vertical="bottom" textRotation="0" wrapText="false" indent="0" shrinkToFit="false"/>
      <protection locked="true" hidden="false"/>
    </xf>
    <xf numFmtId="167" fontId="0" fillId="0" borderId="0" xfId="20" applyFont="true" applyBorder="true" applyAlignment="false" applyProtection="false">
      <alignment horizontal="general" vertical="bottom" textRotation="0" wrapText="false" indent="0" shrinkToFit="false"/>
      <protection locked="true" hidden="false"/>
    </xf>
    <xf numFmtId="170" fontId="5" fillId="0" borderId="0" xfId="20" applyFont="true" applyBorder="true" applyAlignment="true" applyProtection="false">
      <alignment horizontal="left" vertical="bottom" textRotation="0" wrapText="false" indent="0" shrinkToFit="false"/>
      <protection locked="true" hidden="false"/>
    </xf>
    <xf numFmtId="170" fontId="5" fillId="0" borderId="0" xfId="20" applyFont="true" applyBorder="true" applyAlignment="true" applyProtection="false">
      <alignment horizontal="center" vertical="bottom" textRotation="0" wrapText="false" indent="0" shrinkToFit="false"/>
      <protection locked="true" hidden="false"/>
    </xf>
    <xf numFmtId="168" fontId="4" fillId="0" borderId="0" xfId="20" applyFont="true" applyBorder="true" applyAlignment="true" applyProtection="false">
      <alignment horizontal="center" vertical="bottom" textRotation="0" wrapText="false" indent="0" shrinkToFit="false"/>
      <protection locked="true" hidden="false"/>
    </xf>
    <xf numFmtId="178" fontId="4" fillId="0" borderId="1" xfId="20" applyFont="true" applyBorder="true" applyAlignment="false" applyProtection="false">
      <alignment horizontal="general" vertical="bottom" textRotation="0" wrapText="false" indent="0" shrinkToFit="false"/>
      <protection locked="true" hidden="false"/>
    </xf>
    <xf numFmtId="169" fontId="6" fillId="0" borderId="1" xfId="20" applyFont="true" applyBorder="true" applyAlignment="false" applyProtection="false">
      <alignment horizontal="general" vertical="bottom" textRotation="0" wrapText="false" indent="0" shrinkToFit="false"/>
      <protection locked="true" hidden="false"/>
    </xf>
    <xf numFmtId="164" fontId="4" fillId="0" borderId="1" xfId="20" applyFont="true" applyBorder="true" applyAlignment="true" applyProtection="false">
      <alignment horizontal="center"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7" fontId="12" fillId="0" borderId="10" xfId="0" applyFont="true" applyBorder="true" applyAlignment="true" applyProtection="false">
      <alignment horizontal="center" vertical="bottom" textRotation="0" wrapText="false" indent="0" shrinkToFit="false"/>
      <protection locked="true" hidden="false"/>
    </xf>
    <xf numFmtId="167" fontId="6" fillId="0" borderId="0" xfId="0" applyFont="true" applyBorder="true" applyAlignment="true" applyProtection="false">
      <alignment horizontal="center" vertical="bottom" textRotation="0" wrapText="false" indent="0" shrinkToFit="false"/>
      <protection locked="true" hidden="false"/>
    </xf>
    <xf numFmtId="178" fontId="4" fillId="0" borderId="0" xfId="20" applyFont="true" applyBorder="true" applyAlignment="true" applyProtection="false">
      <alignment horizontal="right" vertical="bottom" textRotation="0" wrapText="false" indent="0" shrinkToFit="false"/>
      <protection locked="true" hidden="false"/>
    </xf>
    <xf numFmtId="164" fontId="6" fillId="0" borderId="0" xfId="20" applyFont="true" applyBorder="true" applyAlignment="true" applyProtection="false">
      <alignment horizontal="right" vertical="bottom" textRotation="0" wrapText="false" indent="0" shrinkToFit="false"/>
      <protection locked="true" hidden="false"/>
    </xf>
    <xf numFmtId="167" fontId="0" fillId="0" borderId="10" xfId="20" applyFont="false" applyBorder="true" applyAlignment="false" applyProtection="false">
      <alignment horizontal="general" vertical="bottom" textRotation="0" wrapText="false" indent="0" shrinkToFit="false"/>
      <protection locked="true" hidden="false"/>
    </xf>
    <xf numFmtId="164" fontId="12" fillId="0" borderId="0" xfId="20" applyFont="true" applyBorder="true" applyAlignment="true" applyProtection="false">
      <alignment horizontal="center" vertical="bottom" textRotation="0" wrapText="false" indent="0" shrinkToFit="false"/>
      <protection locked="true" hidden="false"/>
    </xf>
    <xf numFmtId="175" fontId="4" fillId="0" borderId="22" xfId="20" applyFont="true" applyBorder="true" applyAlignment="true" applyProtection="false">
      <alignment horizontal="right" vertical="bottom" textRotation="0" wrapText="false" indent="0" shrinkToFit="false"/>
      <protection locked="true" hidden="false"/>
    </xf>
    <xf numFmtId="165" fontId="0" fillId="0" borderId="8" xfId="20" applyFont="false" applyBorder="true" applyAlignment="false" applyProtection="false">
      <alignment horizontal="general" vertical="bottom" textRotation="0" wrapText="false" indent="0" shrinkToFit="false"/>
      <protection locked="true" hidden="false"/>
    </xf>
    <xf numFmtId="178" fontId="4" fillId="2" borderId="13" xfId="20" applyFont="true" applyBorder="true" applyAlignment="true" applyProtection="false">
      <alignment horizontal="right" vertical="bottom" textRotation="0" wrapText="false" indent="0" shrinkToFit="false"/>
      <protection locked="true" hidden="false"/>
    </xf>
    <xf numFmtId="165" fontId="6" fillId="2" borderId="13" xfId="20" applyFont="true" applyBorder="true" applyAlignment="true" applyProtection="false">
      <alignment horizontal="right" vertical="bottom" textRotation="0" wrapText="false" indent="0" shrinkToFit="false"/>
      <protection locked="true" hidden="false"/>
    </xf>
    <xf numFmtId="169" fontId="6" fillId="2" borderId="13" xfId="20" applyFont="true" applyBorder="true" applyAlignment="true" applyProtection="false">
      <alignment horizontal="right" vertical="bottom" textRotation="0" wrapText="false" indent="0" shrinkToFit="false"/>
      <protection locked="true" hidden="false"/>
    </xf>
    <xf numFmtId="169" fontId="6" fillId="2" borderId="15" xfId="20" applyFont="true" applyBorder="true" applyAlignment="true" applyProtection="false">
      <alignment horizontal="right" vertical="bottom" textRotation="0" wrapText="false" indent="0" shrinkToFit="false"/>
      <protection locked="true" hidden="false"/>
    </xf>
    <xf numFmtId="169" fontId="4" fillId="0" borderId="8" xfId="20" applyFont="true" applyBorder="true" applyAlignment="true" applyProtection="false">
      <alignment horizontal="center" vertical="bottom" textRotation="0" wrapText="false" indent="0" shrinkToFit="false"/>
      <protection locked="true" hidden="false"/>
    </xf>
    <xf numFmtId="175" fontId="4" fillId="0" borderId="7" xfId="20" applyFont="true" applyBorder="true" applyAlignment="false" applyProtection="false">
      <alignment horizontal="general" vertical="bottom" textRotation="0" wrapText="false" indent="0" shrinkToFit="false"/>
      <protection locked="true" hidden="false"/>
    </xf>
    <xf numFmtId="165" fontId="4" fillId="0" borderId="0" xfId="15" applyFont="true" applyBorder="true" applyAlignment="true" applyProtection="true">
      <alignment horizontal="right" vertical="bottom" textRotation="0" wrapText="false" indent="0" shrinkToFit="false"/>
      <protection locked="true" hidden="false"/>
    </xf>
    <xf numFmtId="170" fontId="6" fillId="2" borderId="13" xfId="20" applyFont="true" applyBorder="true" applyAlignment="false" applyProtection="false">
      <alignment horizontal="general" vertical="bottom" textRotation="0" wrapText="false" indent="0" shrinkToFit="false"/>
      <protection locked="true" hidden="false"/>
    </xf>
    <xf numFmtId="170" fontId="6" fillId="2" borderId="13" xfId="20" applyFont="true" applyBorder="true" applyAlignment="true" applyProtection="false">
      <alignment horizontal="right" vertical="bottom" textRotation="0" wrapText="false" indent="0" shrinkToFit="false"/>
      <protection locked="true" hidden="false"/>
    </xf>
    <xf numFmtId="169" fontId="4" fillId="0" borderId="28" xfId="20" applyFont="true" applyBorder="true" applyAlignment="true" applyProtection="false">
      <alignment horizontal="right" vertical="bottom" textRotation="0" wrapText="false" indent="0" shrinkToFit="false"/>
      <protection locked="true" hidden="false"/>
    </xf>
    <xf numFmtId="167" fontId="4" fillId="0" borderId="20" xfId="20" applyFont="true" applyBorder="true" applyAlignment="true" applyProtection="false">
      <alignment horizontal="right" vertical="bottom" textRotation="0" wrapText="false" indent="0" shrinkToFit="false"/>
      <protection locked="true" hidden="false"/>
    </xf>
    <xf numFmtId="169" fontId="4" fillId="0" borderId="29" xfId="20" applyFont="true" applyBorder="true" applyAlignment="true" applyProtection="false">
      <alignment horizontal="right" vertical="bottom" textRotation="0" wrapText="false" indent="0" shrinkToFit="false"/>
      <protection locked="true" hidden="false"/>
    </xf>
    <xf numFmtId="169" fontId="4" fillId="0" borderId="10" xfId="20" applyFont="true" applyBorder="true" applyAlignment="true" applyProtection="false">
      <alignment horizontal="right" vertical="bottom" textRotation="0" wrapText="false" indent="0" shrinkToFit="false"/>
      <protection locked="true" hidden="false"/>
    </xf>
    <xf numFmtId="169" fontId="4" fillId="0" borderId="11" xfId="20" applyFont="true" applyBorder="true" applyAlignment="true" applyProtection="false">
      <alignment horizontal="right" vertical="bottom" textRotation="0" wrapText="false" indent="0" shrinkToFit="false"/>
      <protection locked="true" hidden="false"/>
    </xf>
    <xf numFmtId="167" fontId="4" fillId="0" borderId="12" xfId="20" applyFont="true" applyBorder="true" applyAlignment="true" applyProtection="false">
      <alignment horizontal="right" vertical="bottom" textRotation="0" wrapText="false" indent="0" shrinkToFit="false"/>
      <protection locked="true" hidden="false"/>
    </xf>
    <xf numFmtId="169" fontId="6" fillId="0" borderId="0" xfId="20" applyFont="true" applyBorder="true" applyAlignment="true" applyProtection="false">
      <alignment horizontal="right" vertical="bottom" textRotation="0" wrapText="false" indent="0" shrinkToFit="false"/>
      <protection locked="true" hidden="false"/>
    </xf>
    <xf numFmtId="169" fontId="4" fillId="2" borderId="16" xfId="20" applyFont="true" applyBorder="true" applyAlignment="true" applyProtection="false">
      <alignment horizontal="right" vertical="bottom" textRotation="0" wrapText="false" indent="0" shrinkToFit="false"/>
      <protection locked="true" hidden="false"/>
    </xf>
    <xf numFmtId="168" fontId="4" fillId="0" borderId="7" xfId="20" applyFont="true" applyBorder="true" applyAlignment="true" applyProtection="false">
      <alignment horizontal="right" vertical="bottom" textRotation="0" wrapText="false" indent="0" shrinkToFit="false"/>
      <protection locked="true" hidden="false"/>
    </xf>
    <xf numFmtId="169" fontId="4" fillId="0" borderId="23" xfId="20" applyFont="true" applyBorder="true" applyAlignment="true" applyProtection="false">
      <alignment horizontal="right" vertical="bottom" textRotation="0" wrapText="false" indent="0" shrinkToFit="false"/>
      <protection locked="true" hidden="false"/>
    </xf>
    <xf numFmtId="164" fontId="6" fillId="0" borderId="0" xfId="20" applyFont="true" applyBorder="true" applyAlignment="true" applyProtection="false">
      <alignment horizontal="left" vertical="bottom" textRotation="0" wrapText="false" indent="0" shrinkToFit="false"/>
      <protection locked="true" hidden="false"/>
    </xf>
    <xf numFmtId="170" fontId="6" fillId="0" borderId="0" xfId="20" applyFont="true" applyBorder="true" applyAlignment="true" applyProtection="false">
      <alignment horizontal="center" vertical="bottom" textRotation="0" wrapText="false" indent="0" shrinkToFit="false"/>
      <protection locked="true" hidden="false"/>
    </xf>
    <xf numFmtId="178" fontId="4" fillId="0" borderId="0" xfId="0" applyFont="true" applyBorder="false" applyAlignment="false" applyProtection="false">
      <alignment horizontal="general" vertical="bottom" textRotation="0" wrapText="false" indent="0" shrinkToFit="false"/>
      <protection locked="true" hidden="false"/>
    </xf>
    <xf numFmtId="167" fontId="6" fillId="0" borderId="0" xfId="20" applyFont="true" applyBorder="true" applyAlignment="false" applyProtection="false">
      <alignment horizontal="general" vertical="bottom" textRotation="0" wrapText="false" indent="0" shrinkToFit="false"/>
      <protection locked="true" hidden="false"/>
    </xf>
    <xf numFmtId="168" fontId="4" fillId="0" borderId="1" xfId="20" applyFont="true" applyBorder="true" applyAlignment="true" applyProtection="false">
      <alignment horizontal="center" vertical="bottom" textRotation="0" wrapText="false" indent="0" shrinkToFit="false"/>
      <protection locked="true" hidden="false"/>
    </xf>
    <xf numFmtId="167" fontId="6" fillId="0" borderId="1" xfId="20" applyFont="true" applyBorder="true" applyAlignment="false" applyProtection="false">
      <alignment horizontal="general" vertical="bottom" textRotation="0" wrapText="false" indent="0" shrinkToFit="false"/>
      <protection locked="true" hidden="false"/>
    </xf>
    <xf numFmtId="164" fontId="4" fillId="0" borderId="6" xfId="0" applyFont="true" applyBorder="true" applyAlignment="false" applyProtection="false">
      <alignment horizontal="general" vertical="bottom" textRotation="0" wrapText="false" indent="0" shrinkToFit="false"/>
      <protection locked="true" hidden="false"/>
    </xf>
    <xf numFmtId="168" fontId="4" fillId="0" borderId="12" xfId="20" applyFont="true" applyBorder="true" applyAlignment="true" applyProtection="false">
      <alignment horizontal="center" vertical="bottom" textRotation="0" wrapText="false" indent="0" shrinkToFit="false"/>
      <protection locked="true" hidden="false"/>
    </xf>
    <xf numFmtId="167" fontId="6" fillId="0" borderId="0" xfId="20" applyFont="true" applyBorder="true" applyAlignment="true" applyProtection="false">
      <alignment horizontal="right" vertical="bottom" textRotation="0" wrapText="false" indent="0" shrinkToFit="false"/>
      <protection locked="true" hidden="false"/>
    </xf>
    <xf numFmtId="164" fontId="0" fillId="0" borderId="10" xfId="20" applyFont="false" applyBorder="true" applyAlignment="false" applyProtection="false">
      <alignment horizontal="general" vertical="bottom" textRotation="0" wrapText="false" indent="0" shrinkToFit="false"/>
      <protection locked="true" hidden="false"/>
    </xf>
    <xf numFmtId="179" fontId="4" fillId="0" borderId="0" xfId="20" applyFont="true" applyBorder="true" applyAlignment="true" applyProtection="false">
      <alignment horizontal="right" vertical="bottom" textRotation="0" wrapText="false" indent="0" shrinkToFit="false"/>
      <protection locked="true" hidden="false"/>
    </xf>
    <xf numFmtId="168" fontId="4" fillId="2" borderId="17" xfId="20" applyFont="true" applyBorder="true" applyAlignment="true" applyProtection="false">
      <alignment horizontal="center" vertical="bottom" textRotation="0" wrapText="false" indent="0" shrinkToFit="false"/>
      <protection locked="true" hidden="false"/>
    </xf>
    <xf numFmtId="169" fontId="4" fillId="2" borderId="13" xfId="20" applyFont="true" applyBorder="true" applyAlignment="true" applyProtection="false">
      <alignment horizontal="center" vertical="bottom" textRotation="0" wrapText="false" indent="0" shrinkToFit="false"/>
      <protection locked="true" hidden="false"/>
    </xf>
    <xf numFmtId="166" fontId="4" fillId="0" borderId="0" xfId="20" applyFont="true" applyBorder="true" applyAlignment="true" applyProtection="false">
      <alignment horizontal="right" vertical="bottom" textRotation="0" wrapText="false" indent="0" shrinkToFit="false"/>
      <protection locked="true" hidden="false"/>
    </xf>
    <xf numFmtId="175" fontId="4" fillId="0" borderId="0" xfId="20" applyFont="true" applyBorder="true" applyAlignment="true" applyProtection="false">
      <alignment horizontal="right" vertical="bottom" textRotation="0" wrapText="false" indent="0" shrinkToFit="false"/>
      <protection locked="true" hidden="false"/>
    </xf>
    <xf numFmtId="170" fontId="4" fillId="0" borderId="0" xfId="20" applyFont="true" applyBorder="true" applyAlignment="true" applyProtection="false">
      <alignment horizontal="right" vertical="bottom" textRotation="0" wrapText="false" indent="0" shrinkToFit="false"/>
      <protection locked="true" hidden="false"/>
    </xf>
    <xf numFmtId="165" fontId="4" fillId="0" borderId="10" xfId="20" applyFont="true" applyBorder="true" applyAlignment="true" applyProtection="false">
      <alignment horizontal="right" vertical="bottom" textRotation="0" wrapText="false" indent="0" shrinkToFit="false"/>
      <protection locked="true" hidden="false"/>
    </xf>
    <xf numFmtId="179" fontId="4" fillId="2" borderId="13" xfId="20" applyFont="true" applyBorder="true" applyAlignment="true" applyProtection="false">
      <alignment horizontal="right" vertical="bottom" textRotation="0" wrapText="false" indent="0" shrinkToFit="false"/>
      <protection locked="true" hidden="false"/>
    </xf>
    <xf numFmtId="167" fontId="4" fillId="2" borderId="17" xfId="20" applyFont="true" applyBorder="true" applyAlignment="true" applyProtection="false">
      <alignment horizontal="center" vertical="bottom" textRotation="0" wrapText="false" indent="0" shrinkToFit="false"/>
      <protection locked="true" hidden="false"/>
    </xf>
    <xf numFmtId="165" fontId="4" fillId="2" borderId="13" xfId="20" applyFont="true" applyBorder="true" applyAlignment="true" applyProtection="false">
      <alignment horizontal="center" vertical="bottom" textRotation="0" wrapText="false" indent="0" shrinkToFit="false"/>
      <protection locked="true" hidden="false"/>
    </xf>
    <xf numFmtId="167" fontId="4" fillId="0" borderId="12" xfId="20" applyFont="true" applyBorder="true" applyAlignment="true" applyProtection="false">
      <alignment horizontal="center" vertical="bottom" textRotation="0" wrapText="false" indent="0" shrinkToFit="false"/>
      <protection locked="true" hidden="false"/>
    </xf>
    <xf numFmtId="170" fontId="4" fillId="2" borderId="13" xfId="20" applyFont="true" applyBorder="true" applyAlignment="true" applyProtection="false">
      <alignment horizontal="center"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70" fontId="5" fillId="0" borderId="0" xfId="0" applyFont="true" applyBorder="false" applyAlignment="true" applyProtection="false">
      <alignment horizontal="general" vertical="bottom" textRotation="0" wrapText="false" indent="0" shrinkToFit="false"/>
      <protection locked="true" hidden="false"/>
    </xf>
    <xf numFmtId="180" fontId="13"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center"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7" fontId="4" fillId="0" borderId="1" xfId="20" applyFont="true" applyBorder="true" applyAlignment="true" applyProtection="false">
      <alignment horizontal="center" vertical="bottom" textRotation="0" wrapText="false" indent="0" shrinkToFit="false"/>
      <protection locked="true" hidden="false"/>
    </xf>
    <xf numFmtId="167" fontId="6" fillId="0" borderId="4"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right" vertical="bottom" textRotation="0" wrapText="false" indent="0" shrinkToFit="false"/>
      <protection locked="true" hidden="false"/>
    </xf>
    <xf numFmtId="170" fontId="4" fillId="0" borderId="7" xfId="0" applyFont="true" applyBorder="true" applyAlignment="true" applyProtection="false">
      <alignment horizontal="right" vertical="bottom" textRotation="0" wrapText="false" indent="0" shrinkToFit="false"/>
      <protection locked="true" hidden="false"/>
    </xf>
    <xf numFmtId="168" fontId="4" fillId="0" borderId="12" xfId="0" applyFont="true" applyBorder="true" applyAlignment="true" applyProtection="false">
      <alignment horizontal="right" vertical="bottom" textRotation="0" wrapText="false" indent="0" shrinkToFit="false"/>
      <protection locked="true" hidden="false"/>
    </xf>
    <xf numFmtId="165" fontId="4" fillId="0" borderId="7" xfId="0" applyFont="true" applyBorder="true" applyAlignment="true" applyProtection="false">
      <alignment horizontal="right" vertical="bottom" textRotation="0" wrapText="false" indent="0" shrinkToFit="false"/>
      <protection locked="true" hidden="false"/>
    </xf>
    <xf numFmtId="175" fontId="4" fillId="0" borderId="7" xfId="0" applyFont="true" applyBorder="true" applyAlignment="true" applyProtection="false">
      <alignment horizontal="right" vertical="bottom" textRotation="0" wrapText="false" indent="0" shrinkToFit="false"/>
      <protection locked="true" hidden="false"/>
    </xf>
    <xf numFmtId="169" fontId="4" fillId="0" borderId="12" xfId="0" applyFont="true" applyBorder="true" applyAlignment="true" applyProtection="false">
      <alignment horizontal="right" vertical="bottom" textRotation="0" wrapText="false" indent="0" shrinkToFit="false"/>
      <protection locked="true" hidden="false"/>
    </xf>
    <xf numFmtId="165" fontId="4" fillId="0" borderId="27" xfId="0" applyFont="true" applyBorder="true" applyAlignment="true" applyProtection="false">
      <alignment horizontal="right" vertical="bottom" textRotation="0" wrapText="false" indent="0" shrinkToFit="false"/>
      <protection locked="true" hidden="false"/>
    </xf>
    <xf numFmtId="165" fontId="0" fillId="0" borderId="8" xfId="0" applyFont="false" applyBorder="true" applyAlignment="false" applyProtection="false">
      <alignment horizontal="general" vertical="bottom" textRotation="0" wrapText="false" indent="0" shrinkToFit="false"/>
      <protection locked="true" hidden="false"/>
    </xf>
    <xf numFmtId="175" fontId="4" fillId="2" borderId="14" xfId="0" applyFont="true" applyBorder="true" applyAlignment="true" applyProtection="false">
      <alignment horizontal="right" vertical="bottom" textRotation="0" wrapText="false" indent="0" shrinkToFit="false"/>
      <protection locked="true" hidden="false"/>
    </xf>
    <xf numFmtId="168" fontId="4" fillId="2" borderId="13" xfId="0" applyFont="true" applyBorder="true" applyAlignment="true" applyProtection="false">
      <alignment horizontal="right" vertical="bottom" textRotation="0" wrapText="false" indent="0" shrinkToFit="false"/>
      <protection locked="true" hidden="false"/>
    </xf>
    <xf numFmtId="168" fontId="4" fillId="2" borderId="17" xfId="0" applyFont="true" applyBorder="true" applyAlignment="true" applyProtection="false">
      <alignment horizontal="right" vertical="bottom" textRotation="0" wrapText="false" indent="0" shrinkToFit="false"/>
      <protection locked="true" hidden="false"/>
    </xf>
    <xf numFmtId="175" fontId="4" fillId="0" borderId="7" xfId="0" applyFont="true" applyBorder="true" applyAlignment="true" applyProtection="false">
      <alignment horizontal="center" vertical="bottom" textRotation="0" wrapText="false" indent="0" shrinkToFit="false"/>
      <protection locked="true" hidden="false"/>
    </xf>
    <xf numFmtId="170" fontId="4" fillId="0" borderId="0" xfId="15" applyFont="true" applyBorder="true" applyAlignment="true" applyProtection="true">
      <alignment horizontal="right" vertical="bottom" textRotation="0" wrapText="false" indent="0" shrinkToFit="false"/>
      <protection locked="true" hidden="false"/>
    </xf>
    <xf numFmtId="170" fontId="4" fillId="0" borderId="0" xfId="0" applyFont="true" applyBorder="true" applyAlignment="true" applyProtection="false">
      <alignment horizontal="right" vertical="bottom" textRotation="0" wrapText="false" indent="0" shrinkToFit="false"/>
      <protection locked="true" hidden="false"/>
    </xf>
    <xf numFmtId="167" fontId="4" fillId="0" borderId="0" xfId="0" applyFont="true" applyBorder="true" applyAlignment="true" applyProtection="false">
      <alignment horizontal="right" vertical="bottom" textRotation="0" wrapText="false" indent="0" shrinkToFit="false"/>
      <protection locked="true" hidden="false"/>
    </xf>
    <xf numFmtId="170" fontId="4" fillId="2" borderId="14" xfId="0" applyFont="true" applyBorder="true" applyAlignment="true" applyProtection="false">
      <alignment horizontal="right" vertical="bottom" textRotation="0" wrapText="false" indent="0" shrinkToFit="false"/>
      <protection locked="true" hidden="false"/>
    </xf>
    <xf numFmtId="169" fontId="4" fillId="0" borderId="18" xfId="0" applyFont="true" applyBorder="true" applyAlignment="true" applyProtection="false">
      <alignment horizontal="right" vertical="bottom" textRotation="0" wrapText="false" indent="0" shrinkToFit="false"/>
      <protection locked="true" hidden="false"/>
    </xf>
    <xf numFmtId="166" fontId="4" fillId="2" borderId="13" xfId="0" applyFont="true" applyBorder="true" applyAlignment="true" applyProtection="false">
      <alignment horizontal="right" vertical="bottom" textRotation="0" wrapText="false" indent="0" shrinkToFit="false"/>
      <protection locked="true" hidden="false"/>
    </xf>
    <xf numFmtId="170" fontId="4" fillId="0" borderId="22" xfId="0" applyFont="true" applyBorder="true" applyAlignment="true" applyProtection="false">
      <alignment horizontal="right" vertical="bottom" textRotation="0" wrapText="false" indent="0" shrinkToFit="false"/>
      <protection locked="true" hidden="false"/>
    </xf>
    <xf numFmtId="165" fontId="4" fillId="0" borderId="24" xfId="0" applyFont="true" applyBorder="true" applyAlignment="true" applyProtection="false">
      <alignment horizontal="right" vertical="bottom" textRotation="0" wrapText="false" indent="0" shrinkToFit="false"/>
      <protection locked="true" hidden="false"/>
    </xf>
    <xf numFmtId="168" fontId="4" fillId="2" borderId="17" xfId="0" applyFont="true" applyBorder="true" applyAlignment="false" applyProtection="false">
      <alignment horizontal="general" vertical="bottom" textRotation="0" wrapText="false" indent="0" shrinkToFit="false"/>
      <protection locked="true" hidden="false"/>
    </xf>
    <xf numFmtId="167" fontId="6" fillId="2" borderId="13" xfId="0" applyFont="true" applyBorder="true" applyAlignment="false" applyProtection="false">
      <alignment horizontal="general" vertical="bottom" textRotation="0" wrapText="false" indent="0" shrinkToFit="false"/>
      <protection locked="true" hidden="false"/>
    </xf>
    <xf numFmtId="165" fontId="4" fillId="2" borderId="14" xfId="0" applyFont="true" applyBorder="true" applyAlignment="false" applyProtection="false">
      <alignment horizontal="general" vertical="bottom" textRotation="0" wrapText="false" indent="0" shrinkToFit="false"/>
      <protection locked="true" hidden="false"/>
    </xf>
    <xf numFmtId="168" fontId="6" fillId="2" borderId="13" xfId="0" applyFont="true" applyBorder="true" applyAlignment="false" applyProtection="false">
      <alignment horizontal="general" vertical="bottom" textRotation="0" wrapText="false" indent="0" shrinkToFit="false"/>
      <protection locked="true" hidden="false"/>
    </xf>
    <xf numFmtId="168" fontId="6" fillId="2" borderId="13" xfId="0" applyFont="true" applyBorder="true" applyAlignment="true" applyProtection="false">
      <alignment horizontal="right"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true" applyAlignment="false" applyProtection="false">
      <alignment horizontal="general" vertical="bottom" textRotation="0" wrapText="false" indent="0" shrinkToFit="false"/>
      <protection locked="true" hidden="false"/>
    </xf>
    <xf numFmtId="165" fontId="4" fillId="0" borderId="0" xfId="15" applyFont="true" applyBorder="true" applyAlignment="true" applyProtection="true">
      <alignment horizontal="general" vertical="bottom" textRotation="0" wrapText="false" indent="0" shrinkToFit="false"/>
      <protection locked="true" hidden="false"/>
    </xf>
    <xf numFmtId="165" fontId="6" fillId="0" borderId="0" xfId="0" applyFont="true" applyBorder="true" applyAlignment="false" applyProtection="false">
      <alignment horizontal="general" vertical="bottom" textRotation="0" wrapText="false" indent="0" shrinkToFit="false"/>
      <protection locked="true" hidden="false"/>
    </xf>
    <xf numFmtId="168" fontId="6" fillId="0" borderId="0" xfId="20" applyFont="true" applyBorder="true" applyAlignment="false" applyProtection="false">
      <alignment horizontal="general" vertical="bottom" textRotation="0" wrapText="false" indent="0" shrinkToFit="false"/>
      <protection locked="true" hidden="false"/>
    </xf>
    <xf numFmtId="175" fontId="4" fillId="0" borderId="0" xfId="20" applyFont="true" applyBorder="true" applyAlignment="true" applyProtection="false">
      <alignment horizontal="center" vertical="bottom" textRotation="0" wrapText="false" indent="0" shrinkToFit="false"/>
      <protection locked="true" hidden="false"/>
    </xf>
    <xf numFmtId="173" fontId="4" fillId="0" borderId="0" xfId="20" applyFont="true" applyBorder="true" applyAlignment="false" applyProtection="false">
      <alignment horizontal="general" vertical="bottom" textRotation="0" wrapText="false" indent="0" shrinkToFit="false"/>
      <protection locked="true" hidden="false"/>
    </xf>
    <xf numFmtId="170" fontId="4" fillId="0" borderId="4" xfId="20" applyFont="true" applyBorder="true" applyAlignment="false" applyProtection="false">
      <alignment horizontal="general" vertical="bottom" textRotation="0" wrapText="false" indent="0" shrinkToFit="false"/>
      <protection locked="true" hidden="false"/>
    </xf>
    <xf numFmtId="170" fontId="4" fillId="0" borderId="3" xfId="20" applyFont="true" applyBorder="true" applyAlignment="false" applyProtection="false">
      <alignment horizontal="general" vertical="bottom" textRotation="0" wrapText="false" indent="0" shrinkToFit="false"/>
      <protection locked="true" hidden="false"/>
    </xf>
    <xf numFmtId="165" fontId="4" fillId="0" borderId="4" xfId="20" applyFont="true" applyBorder="true" applyAlignment="false" applyProtection="false">
      <alignment horizontal="general" vertical="bottom" textRotation="0" wrapText="false" indent="0" shrinkToFit="false"/>
      <protection locked="true" hidden="false"/>
    </xf>
    <xf numFmtId="173" fontId="7" fillId="0" borderId="4" xfId="20" applyFont="true" applyBorder="true" applyAlignment="true" applyProtection="false">
      <alignment horizontal="center" vertical="bottom" textRotation="0" wrapText="false" indent="0" shrinkToFit="false"/>
      <protection locked="true" hidden="false"/>
    </xf>
    <xf numFmtId="167" fontId="4" fillId="0" borderId="4" xfId="20" applyFont="true" applyBorder="true" applyAlignment="false" applyProtection="false">
      <alignment horizontal="general" vertical="bottom" textRotation="0" wrapText="false" indent="0" shrinkToFit="false"/>
      <protection locked="true" hidden="false"/>
    </xf>
    <xf numFmtId="170" fontId="7" fillId="0" borderId="4" xfId="20" applyFont="true" applyBorder="true" applyAlignment="false" applyProtection="false">
      <alignment horizontal="general" vertical="bottom" textRotation="0" wrapText="false" indent="0" shrinkToFit="false"/>
      <protection locked="true" hidden="false"/>
    </xf>
    <xf numFmtId="170" fontId="4" fillId="0" borderId="5" xfId="20" applyFont="true" applyBorder="true" applyAlignment="false" applyProtection="false">
      <alignment horizontal="general" vertical="bottom" textRotation="0" wrapText="false" indent="0" shrinkToFit="false"/>
      <protection locked="true" hidden="false"/>
    </xf>
    <xf numFmtId="168" fontId="4" fillId="0" borderId="4" xfId="20" applyFont="true" applyBorder="true" applyAlignment="false" applyProtection="false">
      <alignment horizontal="general" vertical="bottom" textRotation="0" wrapText="false" indent="0" shrinkToFit="false"/>
      <protection locked="true" hidden="false"/>
    </xf>
    <xf numFmtId="175" fontId="4" fillId="0" borderId="4" xfId="20" applyFont="true" applyBorder="true" applyAlignment="false" applyProtection="false">
      <alignment horizontal="general" vertical="bottom" textRotation="0" wrapText="false" indent="0" shrinkToFit="false"/>
      <protection locked="true" hidden="false"/>
    </xf>
    <xf numFmtId="169" fontId="4" fillId="0" borderId="4" xfId="20" applyFont="true" applyBorder="true" applyAlignment="false" applyProtection="false">
      <alignment horizontal="general" vertical="bottom" textRotation="0" wrapText="false" indent="0" shrinkToFit="false"/>
      <protection locked="true" hidden="false"/>
    </xf>
    <xf numFmtId="167" fontId="6" fillId="0" borderId="4" xfId="20" applyFont="true" applyBorder="true" applyAlignment="false" applyProtection="false">
      <alignment horizontal="general" vertical="bottom" textRotation="0" wrapText="false" indent="0" shrinkToFit="false"/>
      <protection locked="true" hidden="false"/>
    </xf>
    <xf numFmtId="170" fontId="7" fillId="0" borderId="0" xfId="20" applyFont="true" applyBorder="true" applyAlignment="true" applyProtection="false">
      <alignment horizontal="center" vertical="bottom" textRotation="0" wrapText="false" indent="0" shrinkToFit="false"/>
      <protection locked="true" hidden="false"/>
    </xf>
    <xf numFmtId="167" fontId="4" fillId="0" borderId="4" xfId="0" applyFont="true" applyBorder="true" applyAlignment="true" applyProtection="false">
      <alignment horizontal="center" vertical="bottom" textRotation="0" wrapText="false" indent="0" shrinkToFit="false"/>
      <protection locked="true" hidden="false"/>
    </xf>
    <xf numFmtId="166" fontId="4" fillId="0" borderId="3" xfId="20" applyFont="true" applyBorder="true" applyAlignment="false" applyProtection="false">
      <alignment horizontal="general" vertical="bottom" textRotation="0" wrapText="false" indent="0" shrinkToFit="false"/>
      <protection locked="true" hidden="false"/>
    </xf>
    <xf numFmtId="169" fontId="7" fillId="0" borderId="4" xfId="20" applyFont="true" applyBorder="true" applyAlignment="true" applyProtection="false">
      <alignment horizontal="center" vertical="bottom" textRotation="0" wrapText="false" indent="0" shrinkToFit="false"/>
      <protection locked="true" hidden="false"/>
    </xf>
    <xf numFmtId="169" fontId="4" fillId="0" borderId="4" xfId="20" applyFont="true" applyBorder="true" applyAlignment="true" applyProtection="false">
      <alignment horizontal="center" vertical="bottom" textRotation="0" wrapText="false" indent="0" shrinkToFit="false"/>
      <protection locked="true" hidden="false"/>
    </xf>
    <xf numFmtId="164" fontId="4" fillId="0" borderId="6" xfId="20" applyFont="true" applyBorder="true" applyAlignment="false" applyProtection="false">
      <alignment horizontal="general" vertical="bottom" textRotation="0" wrapText="false" indent="0" shrinkToFit="false"/>
      <protection locked="true" hidden="false"/>
    </xf>
    <xf numFmtId="170" fontId="6" fillId="0" borderId="7" xfId="20" applyFont="true" applyBorder="true" applyAlignment="true" applyProtection="false">
      <alignment horizontal="center" vertical="bottom" textRotation="0" wrapText="false" indent="0" shrinkToFit="false"/>
      <protection locked="true" hidden="false"/>
    </xf>
    <xf numFmtId="165" fontId="6" fillId="0" borderId="0" xfId="20" applyFont="true" applyBorder="true" applyAlignment="true" applyProtection="false">
      <alignment horizontal="center" vertical="bottom" textRotation="0" wrapText="false" indent="0" shrinkToFit="false"/>
      <protection locked="true" hidden="false"/>
    </xf>
    <xf numFmtId="167" fontId="6" fillId="0" borderId="0" xfId="20" applyFont="true" applyBorder="true" applyAlignment="true" applyProtection="false">
      <alignment horizontal="center" vertical="bottom" textRotation="0" wrapText="false" indent="0" shrinkToFit="false"/>
      <protection locked="true" hidden="false"/>
    </xf>
    <xf numFmtId="170" fontId="8" fillId="0" borderId="9" xfId="20" applyFont="true" applyBorder="true" applyAlignment="true" applyProtection="false">
      <alignment horizontal="center" vertical="bottom" textRotation="0" wrapText="false" indent="0" shrinkToFit="false"/>
      <protection locked="true" hidden="false"/>
    </xf>
    <xf numFmtId="170" fontId="8" fillId="0" borderId="9" xfId="20" applyFont="true" applyBorder="true" applyAlignment="true" applyProtection="false">
      <alignment horizontal="left" vertical="bottom" textRotation="0" wrapText="false" indent="0" shrinkToFit="false"/>
      <protection locked="true" hidden="false"/>
    </xf>
    <xf numFmtId="170" fontId="8" fillId="0" borderId="9" xfId="20" applyFont="true" applyBorder="true" applyAlignment="true" applyProtection="false">
      <alignment horizontal="right" vertical="bottom" textRotation="0" wrapText="false" indent="0" shrinkToFit="false"/>
      <protection locked="true" hidden="false"/>
    </xf>
    <xf numFmtId="169" fontId="6" fillId="0" borderId="0" xfId="20" applyFont="true" applyBorder="true" applyAlignment="true" applyProtection="false">
      <alignment horizontal="center" vertical="bottom" textRotation="0" wrapText="false" indent="0" shrinkToFit="false"/>
      <protection locked="true" hidden="false"/>
    </xf>
    <xf numFmtId="166" fontId="6" fillId="0" borderId="7" xfId="20" applyFont="true" applyBorder="true" applyAlignment="true" applyProtection="false">
      <alignment horizontal="center" vertical="bottom" textRotation="0" wrapText="false" indent="0" shrinkToFit="false"/>
      <protection locked="true" hidden="false"/>
    </xf>
    <xf numFmtId="170" fontId="8" fillId="0" borderId="0" xfId="20" applyFont="true" applyBorder="true" applyAlignment="true" applyProtection="false">
      <alignment horizontal="center" vertical="bottom" textRotation="0" wrapText="false" indent="0" shrinkToFit="false"/>
      <protection locked="true" hidden="false"/>
    </xf>
    <xf numFmtId="170" fontId="6" fillId="0" borderId="11" xfId="20" applyFont="true" applyBorder="true" applyAlignment="true" applyProtection="false">
      <alignment horizontal="center" vertical="bottom" textRotation="0" wrapText="false" indent="0" shrinkToFit="false"/>
      <protection locked="true" hidden="false"/>
    </xf>
    <xf numFmtId="168" fontId="6" fillId="0" borderId="12" xfId="20" applyFont="true" applyBorder="true" applyAlignment="true" applyProtection="false">
      <alignment horizontal="center" vertical="bottom" textRotation="0" wrapText="false" indent="0" shrinkToFit="false"/>
      <protection locked="true" hidden="false"/>
    </xf>
    <xf numFmtId="166" fontId="6" fillId="0" borderId="7" xfId="20" applyFont="true" applyBorder="true" applyAlignment="false" applyProtection="false">
      <alignment horizontal="general" vertical="bottom" textRotation="0" wrapText="false" indent="0" shrinkToFit="false"/>
      <protection locked="true" hidden="false"/>
    </xf>
    <xf numFmtId="170" fontId="6" fillId="0" borderId="12" xfId="20" applyFont="true" applyBorder="true" applyAlignment="true" applyProtection="false">
      <alignment horizontal="center" vertical="bottom" textRotation="0" wrapText="false" indent="0" shrinkToFit="false"/>
      <protection locked="true" hidden="false"/>
    </xf>
    <xf numFmtId="170" fontId="4" fillId="0" borderId="11" xfId="20" applyFont="true" applyBorder="true" applyAlignment="true" applyProtection="false">
      <alignment horizontal="center" vertical="bottom" textRotation="0" wrapText="false" indent="0" shrinkToFit="false"/>
      <protection locked="true" hidden="false"/>
    </xf>
    <xf numFmtId="170" fontId="4" fillId="0" borderId="12" xfId="20" applyFont="true" applyBorder="true" applyAlignment="true" applyProtection="false">
      <alignment horizontal="center" vertical="bottom" textRotation="0" wrapText="false" indent="0" shrinkToFit="false"/>
      <protection locked="true" hidden="false"/>
    </xf>
    <xf numFmtId="167" fontId="6" fillId="0" borderId="12" xfId="20" applyFont="true" applyBorder="true" applyAlignment="true" applyProtection="false">
      <alignment horizontal="center" vertical="bottom" textRotation="0" wrapText="false" indent="0" shrinkToFit="false"/>
      <protection locked="true" hidden="false"/>
    </xf>
    <xf numFmtId="167" fontId="6" fillId="0" borderId="11" xfId="20" applyFont="true" applyBorder="true" applyAlignment="true" applyProtection="false">
      <alignment horizontal="center" vertical="bottom" textRotation="0" wrapText="false" indent="0" shrinkToFit="false"/>
      <protection locked="true" hidden="false"/>
    </xf>
    <xf numFmtId="167" fontId="6" fillId="0" borderId="8" xfId="20" applyFont="true" applyBorder="true" applyAlignment="true" applyProtection="false">
      <alignment horizontal="center" vertical="bottom" textRotation="0" wrapText="false" indent="0" shrinkToFit="false"/>
      <protection locked="true" hidden="false"/>
    </xf>
    <xf numFmtId="175" fontId="6" fillId="0" borderId="0" xfId="20" applyFont="true" applyBorder="true" applyAlignment="true" applyProtection="false">
      <alignment horizontal="center" vertical="bottom" textRotation="0" wrapText="false" indent="0" shrinkToFit="false"/>
      <protection locked="true" hidden="false"/>
    </xf>
    <xf numFmtId="165" fontId="4" fillId="0" borderId="7" xfId="20" applyFont="true" applyBorder="true" applyAlignment="true" applyProtection="false">
      <alignment horizontal="right" vertical="bottom" textRotation="0" wrapText="false" indent="0" shrinkToFit="false"/>
      <protection locked="true" hidden="false"/>
    </xf>
    <xf numFmtId="165" fontId="4" fillId="0" borderId="10" xfId="20" applyFont="true" applyBorder="true" applyAlignment="false" applyProtection="false">
      <alignment horizontal="general" vertical="bottom" textRotation="0" wrapText="false" indent="0" shrinkToFit="false"/>
      <protection locked="true" hidden="false"/>
    </xf>
    <xf numFmtId="167" fontId="4" fillId="0" borderId="21" xfId="20" applyFont="true" applyBorder="true" applyAlignment="true" applyProtection="false">
      <alignment horizontal="right" vertical="bottom" textRotation="0" wrapText="false" indent="0" shrinkToFit="false"/>
      <protection locked="true" hidden="false"/>
    </xf>
    <xf numFmtId="165" fontId="4" fillId="0" borderId="22" xfId="20" applyFont="true" applyBorder="true" applyAlignment="true" applyProtection="false">
      <alignment horizontal="right" vertical="bottom" textRotation="0" wrapText="false" indent="0" shrinkToFit="false"/>
      <protection locked="true" hidden="false"/>
    </xf>
    <xf numFmtId="179" fontId="4" fillId="0" borderId="10" xfId="20" applyFont="true" applyBorder="true" applyAlignment="true" applyProtection="false">
      <alignment horizontal="right" vertical="bottom" textRotation="0" wrapText="false" indent="0" shrinkToFit="false"/>
      <protection locked="true" hidden="false"/>
    </xf>
    <xf numFmtId="175" fontId="4" fillId="2" borderId="13" xfId="20" applyFont="true" applyBorder="true" applyAlignment="true" applyProtection="false">
      <alignment horizontal="right" vertical="bottom" textRotation="0" wrapText="false" indent="0" shrinkToFit="false"/>
      <protection locked="true" hidden="false"/>
    </xf>
    <xf numFmtId="175" fontId="4" fillId="0" borderId="7" xfId="20" applyFont="true" applyBorder="true" applyAlignment="true" applyProtection="false">
      <alignment horizontal="right" vertical="bottom" textRotation="0" wrapText="false" indent="0" shrinkToFit="false"/>
      <protection locked="true" hidden="false"/>
    </xf>
    <xf numFmtId="165" fontId="4" fillId="0" borderId="28" xfId="20" applyFont="true" applyBorder="true" applyAlignment="true" applyProtection="false">
      <alignment horizontal="right" vertical="bottom" textRotation="0" wrapText="false" indent="0" shrinkToFit="false"/>
      <protection locked="true" hidden="false"/>
    </xf>
    <xf numFmtId="165" fontId="4" fillId="0" borderId="20" xfId="20" applyFont="true" applyBorder="true" applyAlignment="true" applyProtection="false">
      <alignment horizontal="right" vertical="bottom" textRotation="0" wrapText="false" indent="0" shrinkToFit="false"/>
      <protection locked="true" hidden="false"/>
    </xf>
    <xf numFmtId="167" fontId="4" fillId="0" borderId="0" xfId="20" applyFont="true" applyBorder="true" applyAlignment="true" applyProtection="false">
      <alignment horizontal="right" vertical="bottom" textRotation="0" wrapText="false" indent="0" shrinkToFit="false"/>
      <protection locked="true" hidden="false"/>
    </xf>
    <xf numFmtId="165" fontId="4" fillId="0" borderId="0" xfId="20" applyFont="true" applyBorder="true" applyAlignment="true" applyProtection="false">
      <alignment horizontal="right" vertical="bottom" textRotation="0" wrapText="false" indent="0" shrinkToFit="false"/>
      <protection locked="true" hidden="false"/>
    </xf>
    <xf numFmtId="166" fontId="4" fillId="2" borderId="30" xfId="20" applyFont="true" applyBorder="true" applyAlignment="true" applyProtection="false">
      <alignment horizontal="right" vertical="bottom" textRotation="0" wrapText="false" indent="0" shrinkToFit="false"/>
      <protection locked="true" hidden="false"/>
    </xf>
    <xf numFmtId="170" fontId="4" fillId="2" borderId="18" xfId="20" applyFont="true" applyBorder="true" applyAlignment="true" applyProtection="false">
      <alignment horizontal="right" vertical="bottom" textRotation="0" wrapText="false" indent="0" shrinkToFit="false"/>
      <protection locked="true" hidden="false"/>
    </xf>
    <xf numFmtId="170" fontId="4" fillId="2" borderId="19" xfId="20" applyFont="true" applyBorder="true" applyAlignment="true" applyProtection="false">
      <alignment horizontal="right" vertical="bottom" textRotation="0" wrapText="false" indent="0" shrinkToFit="false"/>
      <protection locked="true" hidden="false"/>
    </xf>
    <xf numFmtId="167" fontId="4" fillId="2" borderId="18" xfId="20" applyFont="true" applyBorder="true" applyAlignment="true" applyProtection="false">
      <alignment horizontal="right" vertical="bottom" textRotation="0" wrapText="false" indent="0" shrinkToFit="false"/>
      <protection locked="true" hidden="false"/>
    </xf>
    <xf numFmtId="181" fontId="4" fillId="0" borderId="0" xfId="20" applyFont="true" applyBorder="true" applyAlignment="false" applyProtection="false">
      <alignment horizontal="general" vertical="bottom" textRotation="0" wrapText="false" indent="0" shrinkToFit="false"/>
      <protection locked="true" hidden="false"/>
    </xf>
    <xf numFmtId="168" fontId="4" fillId="0" borderId="18" xfId="20" applyFont="true" applyBorder="true" applyAlignment="false" applyProtection="false">
      <alignment horizontal="general" vertical="bottom" textRotation="0" wrapText="false" indent="0" shrinkToFit="false"/>
      <protection locked="true" hidden="false"/>
    </xf>
    <xf numFmtId="167" fontId="4" fillId="0" borderId="18" xfId="20" applyFont="true" applyBorder="true" applyAlignment="false" applyProtection="false">
      <alignment horizontal="general" vertical="bottom" textRotation="0" wrapText="false" indent="0" shrinkToFit="false"/>
      <protection locked="true" hidden="false"/>
    </xf>
    <xf numFmtId="165" fontId="4" fillId="0" borderId="0" xfId="20" applyFont="true" applyBorder="true" applyAlignment="false" applyProtection="false">
      <alignment horizontal="general" vertical="bottom" textRotation="0" wrapText="false" indent="0" shrinkToFit="false"/>
      <protection locked="true" hidden="false"/>
    </xf>
    <xf numFmtId="167" fontId="6" fillId="0" borderId="0" xfId="20" applyFont="true" applyBorder="true" applyAlignment="false" applyProtection="false">
      <alignment horizontal="general" vertical="bottom" textRotation="0" wrapText="false" indent="0" shrinkToFit="false"/>
      <protection locked="true" hidden="false"/>
    </xf>
    <xf numFmtId="177" fontId="7" fillId="0" borderId="0" xfId="20" applyFont="true" applyBorder="true" applyAlignment="false" applyProtection="false">
      <alignment horizontal="general" vertical="bottom" textRotation="0" wrapText="false" indent="0" shrinkToFit="false"/>
      <protection locked="true" hidden="false"/>
    </xf>
    <xf numFmtId="167" fontId="7" fillId="0" borderId="0" xfId="20" applyFont="true" applyBorder="true" applyAlignment="false" applyProtection="false">
      <alignment horizontal="general" vertical="bottom" textRotation="0" wrapText="false" indent="0" shrinkToFit="false"/>
      <protection locked="true" hidden="false"/>
    </xf>
    <xf numFmtId="165" fontId="7" fillId="0" borderId="0" xfId="20" applyFont="true" applyBorder="true" applyAlignment="false" applyProtection="false">
      <alignment horizontal="general" vertical="bottom" textRotation="0" wrapText="false" indent="0" shrinkToFit="false"/>
      <protection locked="true" hidden="false"/>
    </xf>
    <xf numFmtId="173" fontId="6" fillId="0" borderId="0" xfId="2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tru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70" fontId="6" fillId="0" borderId="4" xfId="20" applyFont="true" applyBorder="true" applyAlignment="false" applyProtection="false">
      <alignment horizontal="general" vertical="bottom" textRotation="0" wrapText="false" indent="0" shrinkToFit="false"/>
      <protection locked="true" hidden="false"/>
    </xf>
    <xf numFmtId="169" fontId="4" fillId="0" borderId="3" xfId="0" applyFont="true" applyBorder="true" applyAlignment="true" applyProtection="false">
      <alignment horizontal="center" vertical="bottom" textRotation="0" wrapText="false" indent="0" shrinkToFit="false"/>
      <protection locked="true" hidden="false"/>
    </xf>
    <xf numFmtId="168" fontId="4" fillId="0" borderId="0" xfId="20" applyFont="true" applyBorder="true" applyAlignment="false" applyProtection="false">
      <alignment horizontal="general" vertical="bottom" textRotation="0" wrapText="false" indent="0" shrinkToFit="false"/>
      <protection locked="true" hidden="false"/>
    </xf>
    <xf numFmtId="164" fontId="4" fillId="0" borderId="2" xfId="20" applyFont="true" applyBorder="true" applyAlignment="false" applyProtection="false">
      <alignment horizontal="general" vertical="bottom" textRotation="0" wrapText="false" indent="0" shrinkToFit="false"/>
      <protection locked="true" hidden="false"/>
    </xf>
    <xf numFmtId="170" fontId="8" fillId="0" borderId="26" xfId="20" applyFont="true" applyBorder="true" applyAlignment="true" applyProtection="false">
      <alignment horizontal="center" vertical="bottom" textRotation="0" wrapText="false" indent="0" shrinkToFit="false"/>
      <protection locked="true" hidden="false"/>
    </xf>
    <xf numFmtId="169" fontId="6" fillId="0" borderId="7" xfId="0" applyFont="true" applyBorder="true" applyAlignment="true" applyProtection="false">
      <alignment horizontal="center" vertical="bottom" textRotation="0" wrapText="false" indent="0" shrinkToFit="false"/>
      <protection locked="true" hidden="false"/>
    </xf>
    <xf numFmtId="164" fontId="0" fillId="0" borderId="8" xfId="20" applyFont="true" applyBorder="true" applyAlignment="true" applyProtection="false">
      <alignment horizontal="center" vertical="bottom" textRotation="0" wrapText="false" indent="0" shrinkToFit="false"/>
      <protection locked="true" hidden="false"/>
    </xf>
    <xf numFmtId="170" fontId="6" fillId="0" borderId="8" xfId="20" applyFont="true" applyBorder="true" applyAlignment="true" applyProtection="false">
      <alignment horizontal="center" vertical="bottom" textRotation="0" wrapText="false" indent="0" shrinkToFit="false"/>
      <protection locked="true" hidden="false"/>
    </xf>
    <xf numFmtId="169" fontId="4" fillId="0" borderId="7" xfId="0" applyFont="true" applyBorder="true" applyAlignment="true" applyProtection="false">
      <alignment horizontal="right" vertical="bottom" textRotation="0" wrapText="false" indent="0" shrinkToFit="false"/>
      <protection locked="true" hidden="false"/>
    </xf>
    <xf numFmtId="167" fontId="4" fillId="0" borderId="8" xfId="0" applyFont="true" applyBorder="true" applyAlignment="false" applyProtection="false">
      <alignment horizontal="general" vertical="bottom" textRotation="0" wrapText="false" indent="0" shrinkToFit="false"/>
      <protection locked="true" hidden="false"/>
    </xf>
    <xf numFmtId="166" fontId="4" fillId="0" borderId="0" xfId="0" applyFont="true" applyBorder="true" applyAlignment="true" applyProtection="false">
      <alignment horizontal="right" vertical="bottom" textRotation="0" wrapText="false" indent="0" shrinkToFit="false"/>
      <protection locked="true" hidden="false"/>
    </xf>
    <xf numFmtId="165" fontId="4" fillId="0" borderId="10" xfId="0" applyFont="true" applyBorder="true" applyAlignment="false" applyProtection="false">
      <alignment horizontal="general" vertical="bottom" textRotation="0" wrapText="false" indent="0" shrinkToFit="false"/>
      <protection locked="true" hidden="false"/>
    </xf>
    <xf numFmtId="164" fontId="4" fillId="0" borderId="8" xfId="0" applyFont="true" applyBorder="true" applyAlignment="false" applyProtection="false">
      <alignment horizontal="general" vertical="bottom" textRotation="0" wrapText="false" indent="0" shrinkToFit="false"/>
      <protection locked="true" hidden="false"/>
    </xf>
    <xf numFmtId="167" fontId="4" fillId="0" borderId="12" xfId="0" applyFont="true" applyBorder="true" applyAlignment="true" applyProtection="false">
      <alignment horizontal="right" vertical="bottom" textRotation="0" wrapText="false" indent="0" shrinkToFit="false"/>
      <protection locked="true" hidden="false"/>
    </xf>
    <xf numFmtId="167" fontId="4" fillId="0" borderId="23" xfId="0" applyFont="true" applyBorder="true" applyAlignment="false" applyProtection="false">
      <alignment horizontal="general" vertical="bottom" textRotation="0" wrapText="false" indent="0" shrinkToFit="false"/>
      <protection locked="true" hidden="false"/>
    </xf>
    <xf numFmtId="165" fontId="4" fillId="0" borderId="10" xfId="0" applyFont="true" applyBorder="true" applyAlignment="true" applyProtection="false">
      <alignment horizontal="right" vertical="bottom" textRotation="0" wrapText="false" indent="0" shrinkToFit="false"/>
      <protection locked="true" hidden="false"/>
    </xf>
    <xf numFmtId="169" fontId="4" fillId="2" borderId="14" xfId="0" applyFont="true" applyBorder="true" applyAlignment="true" applyProtection="false">
      <alignment horizontal="right" vertical="bottom" textRotation="0" wrapText="false" indent="0" shrinkToFit="false"/>
      <protection locked="true" hidden="false"/>
    </xf>
    <xf numFmtId="165" fontId="4" fillId="2" borderId="31" xfId="0" applyFont="true" applyBorder="true" applyAlignment="true" applyProtection="false">
      <alignment horizontal="right" vertical="bottom" textRotation="0" wrapText="false" indent="0" shrinkToFit="false"/>
      <protection locked="true" hidden="false"/>
    </xf>
    <xf numFmtId="175" fontId="4" fillId="0" borderId="0" xfId="20" applyFont="true" applyBorder="true" applyAlignment="true" applyProtection="false">
      <alignment horizontal="right" vertical="bottom" textRotation="0" wrapText="false" indent="0" shrinkToFit="false"/>
      <protection locked="true" hidden="false"/>
    </xf>
    <xf numFmtId="175" fontId="4" fillId="0" borderId="0" xfId="0" applyFont="true" applyBorder="true" applyAlignment="true" applyProtection="false">
      <alignment horizontal="right" vertical="bottom" textRotation="0" wrapText="false" indent="0" shrinkToFit="false"/>
      <protection locked="true" hidden="false"/>
    </xf>
    <xf numFmtId="170" fontId="4" fillId="0" borderId="0" xfId="0" applyFont="true" applyBorder="false" applyAlignment="true" applyProtection="false">
      <alignment horizontal="right" vertical="bottom" textRotation="0" wrapText="false" indent="0" shrinkToFit="false"/>
      <protection locked="true" hidden="false"/>
    </xf>
    <xf numFmtId="169" fontId="4" fillId="0" borderId="8" xfId="0" applyFont="true" applyBorder="true" applyAlignment="true" applyProtection="false">
      <alignment horizontal="right"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right" vertical="bottom" textRotation="0" wrapText="false" indent="0" shrinkToFit="false"/>
      <protection locked="true" hidden="false"/>
    </xf>
    <xf numFmtId="167" fontId="4" fillId="0" borderId="22" xfId="20" applyFont="true" applyBorder="true" applyAlignment="true" applyProtection="false">
      <alignment horizontal="right" vertical="bottom" textRotation="0" wrapText="false" indent="0" shrinkToFit="false"/>
      <protection locked="true" hidden="false"/>
    </xf>
    <xf numFmtId="165" fontId="4" fillId="0" borderId="25" xfId="0" applyFont="true" applyBorder="true" applyAlignment="true" applyProtection="false">
      <alignment horizontal="right" vertical="bottom" textRotation="0" wrapText="false" indent="0" shrinkToFit="false"/>
      <protection locked="true" hidden="false"/>
    </xf>
    <xf numFmtId="170" fontId="4" fillId="0" borderId="22" xfId="20" applyFont="true" applyBorder="true" applyAlignment="true" applyProtection="false">
      <alignment horizontal="right" vertical="bottom" textRotation="0" wrapText="false" indent="0" shrinkToFit="false"/>
      <protection locked="true" hidden="false"/>
    </xf>
    <xf numFmtId="170" fontId="4" fillId="2" borderId="18" xfId="0" applyFont="true" applyBorder="true" applyAlignment="true" applyProtection="false">
      <alignment horizontal="right" vertical="bottom" textRotation="0" wrapText="false" indent="0" shrinkToFit="false"/>
      <protection locked="true" hidden="false"/>
    </xf>
    <xf numFmtId="165" fontId="6" fillId="2" borderId="13" xfId="0" applyFont="true" applyBorder="true" applyAlignment="true" applyProtection="false">
      <alignment horizontal="right"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6" fillId="0" borderId="18" xfId="0" applyFont="true" applyBorder="tru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true" applyAlignment="false" applyProtection="false">
      <alignment horizontal="general" vertical="bottom" textRotation="0" wrapText="false" indent="0" shrinkToFit="false"/>
      <protection locked="true" hidden="false"/>
    </xf>
    <xf numFmtId="167" fontId="4" fillId="0" borderId="0" xfId="0" applyFont="true" applyBorder="true" applyAlignment="false" applyProtection="false">
      <alignment horizontal="general" vertical="bottom" textRotation="0" wrapText="false" indent="0" shrinkToFit="false"/>
      <protection locked="true" hidden="false"/>
    </xf>
    <xf numFmtId="167" fontId="4" fillId="0" borderId="0" xfId="15" applyFont="true" applyBorder="true" applyAlignment="true" applyProtection="true">
      <alignment horizontal="general" vertical="bottom" textRotation="0" wrapText="false" indent="0" shrinkToFit="false"/>
      <protection locked="true" hidden="false"/>
    </xf>
    <xf numFmtId="168" fontId="4" fillId="0" borderId="0" xfId="15"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73" fontId="7" fillId="0" borderId="3" xfId="0" applyFont="true" applyBorder="true" applyAlignment="true" applyProtection="false">
      <alignment horizontal="general" vertical="bottom" textRotation="0" wrapText="false" indent="0" shrinkToFit="false"/>
      <protection locked="true" hidden="false"/>
    </xf>
    <xf numFmtId="173" fontId="7" fillId="0" borderId="4" xfId="0" applyFont="true" applyBorder="true" applyAlignment="true" applyProtection="false">
      <alignment horizontal="general" vertical="bottom" textRotation="0" wrapText="false" indent="0" shrinkToFit="false"/>
      <protection locked="true" hidden="false"/>
    </xf>
    <xf numFmtId="173" fontId="7" fillId="0" borderId="2" xfId="0" applyFont="true" applyBorder="true" applyAlignment="true" applyProtection="false">
      <alignment horizontal="general" vertical="bottom" textRotation="0" wrapText="false" indent="0" shrinkToFit="false"/>
      <protection locked="true" hidden="false"/>
    </xf>
    <xf numFmtId="170" fontId="7" fillId="0" borderId="4" xfId="0" applyFont="true" applyBorder="true" applyAlignment="true" applyProtection="false">
      <alignment horizontal="general" vertical="bottom" textRotation="0" wrapText="false" indent="0" shrinkToFit="false"/>
      <protection locked="true" hidden="false"/>
    </xf>
    <xf numFmtId="170" fontId="7" fillId="0" borderId="5" xfId="0" applyFont="true" applyBorder="true" applyAlignment="true" applyProtection="false">
      <alignment horizontal="general" vertical="bottom" textRotation="0" wrapText="false" indent="0" shrinkToFit="false"/>
      <protection locked="true" hidden="false"/>
    </xf>
    <xf numFmtId="170" fontId="7" fillId="0" borderId="2" xfId="0" applyFont="true" applyBorder="true" applyAlignment="true" applyProtection="false">
      <alignment horizontal="general" vertical="bottom" textRotation="0" wrapText="false" indent="0" shrinkToFit="false"/>
      <protection locked="true" hidden="false"/>
    </xf>
    <xf numFmtId="167" fontId="7" fillId="0" borderId="3" xfId="20" applyFont="true" applyBorder="true" applyAlignment="true" applyProtection="false">
      <alignment horizontal="general" vertical="bottom" textRotation="0" wrapText="false" indent="0" shrinkToFit="false"/>
      <protection locked="true" hidden="false"/>
    </xf>
    <xf numFmtId="167" fontId="7" fillId="0" borderId="4" xfId="20" applyFont="true" applyBorder="true" applyAlignment="true" applyProtection="false">
      <alignment horizontal="general" vertical="bottom" textRotation="0" wrapText="false" indent="0" shrinkToFit="false"/>
      <protection locked="true" hidden="false"/>
    </xf>
    <xf numFmtId="167" fontId="7" fillId="0" borderId="2" xfId="20" applyFont="true" applyBorder="true" applyAlignment="true" applyProtection="false">
      <alignment horizontal="general" vertical="bottom" textRotation="0" wrapText="false" indent="0" shrinkToFit="false"/>
      <protection locked="true" hidden="false"/>
    </xf>
    <xf numFmtId="169" fontId="7" fillId="0" borderId="3" xfId="0" applyFont="true" applyBorder="true" applyAlignment="true" applyProtection="false">
      <alignment horizontal="general" vertical="bottom" textRotation="0" wrapText="false" indent="0" shrinkToFit="false"/>
      <protection locked="true" hidden="false"/>
    </xf>
    <xf numFmtId="169" fontId="7" fillId="0" borderId="4" xfId="0" applyFont="true" applyBorder="true" applyAlignment="true" applyProtection="false">
      <alignment horizontal="general" vertical="bottom" textRotation="0" wrapText="false" indent="0" shrinkToFit="false"/>
      <protection locked="true" hidden="false"/>
    </xf>
    <xf numFmtId="169" fontId="7" fillId="0" borderId="2" xfId="0" applyFont="true" applyBorder="true" applyAlignment="true" applyProtection="false">
      <alignment horizontal="general" vertical="bottom" textRotation="0" wrapText="false" indent="0" shrinkToFit="false"/>
      <protection locked="true" hidden="false"/>
    </xf>
    <xf numFmtId="170" fontId="4" fillId="0" borderId="11" xfId="0" applyFont="true" applyBorder="true" applyAlignment="true" applyProtection="false">
      <alignment horizontal="center" vertical="bottom" textRotation="0" wrapText="false" indent="0" shrinkToFit="false"/>
      <protection locked="true" hidden="false"/>
    </xf>
    <xf numFmtId="170" fontId="4" fillId="0" borderId="12" xfId="0" applyFont="true" applyBorder="true" applyAlignment="true" applyProtection="false">
      <alignment horizontal="center" vertical="bottom" textRotation="0" wrapText="false" indent="0" shrinkToFit="false"/>
      <protection locked="true" hidden="false"/>
    </xf>
    <xf numFmtId="164" fontId="6" fillId="0" borderId="8" xfId="20" applyFont="true" applyBorder="true" applyAlignment="false" applyProtection="false">
      <alignment horizontal="general" vertical="bottom" textRotation="0" wrapText="false" indent="0" shrinkToFit="false"/>
      <protection locked="true" hidden="false"/>
    </xf>
    <xf numFmtId="166" fontId="6" fillId="0" borderId="0" xfId="20" applyFont="true" applyBorder="true" applyAlignment="false" applyProtection="false">
      <alignment horizontal="general" vertical="bottom" textRotation="0" wrapText="false" indent="0" shrinkToFit="false"/>
      <protection locked="true" hidden="false"/>
    </xf>
    <xf numFmtId="170" fontId="6" fillId="0" borderId="8" xfId="20" applyFont="true" applyBorder="true" applyAlignment="false" applyProtection="false">
      <alignment horizontal="general" vertical="bottom" textRotation="0" wrapText="false" indent="0" shrinkToFit="false"/>
      <protection locked="true" hidden="false"/>
    </xf>
    <xf numFmtId="165" fontId="6" fillId="0" borderId="23" xfId="20" applyFont="true" applyBorder="true" applyAlignment="false" applyProtection="false">
      <alignment horizontal="general" vertical="bottom" textRotation="0" wrapText="false" indent="0" shrinkToFit="false"/>
      <protection locked="true" hidden="false"/>
    </xf>
    <xf numFmtId="167" fontId="4" fillId="0" borderId="23" xfId="20" applyFont="true" applyBorder="true" applyAlignment="false" applyProtection="false">
      <alignment horizontal="general" vertical="bottom" textRotation="0" wrapText="false" indent="0" shrinkToFit="false"/>
      <protection locked="true" hidden="false"/>
    </xf>
    <xf numFmtId="168" fontId="4" fillId="2" borderId="14" xfId="20" applyFont="true" applyBorder="true" applyAlignment="true" applyProtection="false">
      <alignment horizontal="right" vertical="bottom" textRotation="0" wrapText="false" indent="0" shrinkToFit="false"/>
      <protection locked="true" hidden="false"/>
    </xf>
    <xf numFmtId="169" fontId="4" fillId="0" borderId="0" xfId="20" applyFont="true" applyBorder="true" applyAlignment="true" applyProtection="false">
      <alignment horizontal="right" vertical="bottom" textRotation="0" wrapText="false" indent="0" shrinkToFit="false"/>
      <protection locked="true" hidden="false"/>
    </xf>
    <xf numFmtId="168" fontId="4" fillId="0" borderId="32" xfId="20" applyFont="true" applyBorder="true" applyAlignment="true" applyProtection="false">
      <alignment horizontal="right" vertical="bottom" textRotation="0" wrapText="false" indent="0" shrinkToFit="false"/>
      <protection locked="true" hidden="false"/>
    </xf>
    <xf numFmtId="165" fontId="4" fillId="0" borderId="29" xfId="20" applyFont="true" applyBorder="true" applyAlignment="true" applyProtection="false">
      <alignment horizontal="right" vertical="bottom" textRotation="0" wrapText="false" indent="0" shrinkToFit="false"/>
      <protection locked="true" hidden="false"/>
    </xf>
    <xf numFmtId="170" fontId="4" fillId="2" borderId="14" xfId="20" applyFont="true" applyBorder="true" applyAlignment="false" applyProtection="false">
      <alignment horizontal="general" vertical="bottom" textRotation="0" wrapText="false" indent="0" shrinkToFit="false"/>
      <protection locked="true" hidden="false"/>
    </xf>
    <xf numFmtId="165" fontId="4" fillId="2" borderId="13" xfId="20" applyFont="true" applyBorder="true" applyAlignment="false" applyProtection="false">
      <alignment horizontal="general" vertical="bottom" textRotation="0" wrapText="false" indent="0" shrinkToFit="false"/>
      <protection locked="true" hidden="false"/>
    </xf>
    <xf numFmtId="170" fontId="4" fillId="2" borderId="15" xfId="20" applyFont="true" applyBorder="true" applyAlignment="false" applyProtection="false">
      <alignment horizontal="general" vertical="bottom" textRotation="0" wrapText="false" indent="0" shrinkToFit="false"/>
      <protection locked="true" hidden="false"/>
    </xf>
    <xf numFmtId="167" fontId="4" fillId="2" borderId="13" xfId="20" applyFont="true" applyBorder="true" applyAlignment="false" applyProtection="false">
      <alignment horizontal="general" vertical="bottom" textRotation="0" wrapText="false" indent="0" shrinkToFit="false"/>
      <protection locked="true" hidden="false"/>
    </xf>
    <xf numFmtId="170" fontId="4" fillId="2" borderId="16" xfId="20" applyFont="true" applyBorder="true" applyAlignment="false" applyProtection="false">
      <alignment horizontal="general" vertical="bottom" textRotation="0" wrapText="false" indent="0" shrinkToFit="false"/>
      <protection locked="true" hidden="false"/>
    </xf>
    <xf numFmtId="168" fontId="4" fillId="2" borderId="13" xfId="20" applyFont="true" applyBorder="true" applyAlignment="false" applyProtection="false">
      <alignment horizontal="general" vertical="bottom" textRotation="0" wrapText="false" indent="0" shrinkToFit="false"/>
      <protection locked="true" hidden="false"/>
    </xf>
    <xf numFmtId="168" fontId="4" fillId="2" borderId="17" xfId="20" applyFont="true" applyBorder="true" applyAlignment="false" applyProtection="false">
      <alignment horizontal="general" vertical="bottom" textRotation="0" wrapText="false" indent="0" shrinkToFit="false"/>
      <protection locked="true" hidden="false"/>
    </xf>
    <xf numFmtId="169" fontId="4" fillId="2" borderId="13" xfId="20" applyFont="true" applyBorder="true" applyAlignment="false" applyProtection="false">
      <alignment horizontal="general" vertical="bottom" textRotation="0" wrapText="false" indent="0" shrinkToFit="false"/>
      <protection locked="true" hidden="false"/>
    </xf>
    <xf numFmtId="169" fontId="6" fillId="0" borderId="1" xfId="20" applyFont="true" applyBorder="true" applyAlignment="true" applyProtection="false">
      <alignment horizontal="center" vertical="bottom" textRotation="0" wrapText="false" indent="0" shrinkToFit="false"/>
      <protection locked="true" hidden="false"/>
    </xf>
    <xf numFmtId="168" fontId="6" fillId="0" borderId="1" xfId="20" applyFont="true" applyBorder="true" applyAlignment="false" applyProtection="false">
      <alignment horizontal="general" vertical="bottom" textRotation="0" wrapText="false" indent="0" shrinkToFit="false"/>
      <protection locked="true" hidden="false"/>
    </xf>
    <xf numFmtId="173" fontId="7" fillId="0" borderId="6" xfId="20" applyFont="true" applyBorder="true" applyAlignment="true" applyProtection="false">
      <alignment horizontal="center" vertical="bottom" textRotation="0" wrapText="false" indent="0" shrinkToFit="false"/>
      <protection locked="true" hidden="false"/>
    </xf>
    <xf numFmtId="170" fontId="7" fillId="0" borderId="33" xfId="20" applyFont="true" applyBorder="true" applyAlignment="true" applyProtection="false">
      <alignment horizontal="center" vertical="bottom" textRotation="0" wrapText="false" indent="0" shrinkToFit="false"/>
      <protection locked="true" hidden="false"/>
    </xf>
    <xf numFmtId="170" fontId="7" fillId="0" borderId="34" xfId="20" applyFont="true" applyBorder="true" applyAlignment="true" applyProtection="false">
      <alignment horizontal="center" vertical="bottom" textRotation="0" wrapText="false" indent="0" shrinkToFit="false"/>
      <protection locked="true" hidden="false"/>
    </xf>
    <xf numFmtId="169" fontId="7" fillId="0" borderId="6" xfId="20" applyFont="true" applyBorder="true" applyAlignment="true" applyProtection="false">
      <alignment horizontal="center" vertical="bottom" textRotation="0" wrapText="false" indent="0" shrinkToFit="false"/>
      <protection locked="true" hidden="false"/>
    </xf>
    <xf numFmtId="169" fontId="6" fillId="0" borderId="11" xfId="20" applyFont="true" applyBorder="true" applyAlignment="true" applyProtection="false">
      <alignment horizontal="center" vertical="bottom" textRotation="0" wrapText="false" indent="0" shrinkToFit="false"/>
      <protection locked="true" hidden="false"/>
    </xf>
    <xf numFmtId="170" fontId="4" fillId="0" borderId="7" xfId="20" applyFont="true" applyBorder="true" applyAlignment="false" applyProtection="false">
      <alignment horizontal="general" vertical="bottom" textRotation="0" wrapText="false" indent="0" shrinkToFit="false"/>
      <protection locked="true" hidden="false"/>
    </xf>
    <xf numFmtId="165" fontId="4" fillId="0" borderId="12" xfId="20" applyFont="true" applyBorder="true" applyAlignment="false" applyProtection="false">
      <alignment horizontal="general" vertical="bottom" textRotation="0" wrapText="false" indent="0" shrinkToFit="false"/>
      <protection locked="true" hidden="false"/>
    </xf>
    <xf numFmtId="168" fontId="4" fillId="0" borderId="12" xfId="20" applyFont="true" applyBorder="true" applyAlignment="false" applyProtection="false">
      <alignment horizontal="general" vertical="bottom" textRotation="0" wrapText="false" indent="0" shrinkToFit="false"/>
      <protection locked="true" hidden="false"/>
    </xf>
    <xf numFmtId="165" fontId="4" fillId="0" borderId="11" xfId="20" applyFont="true" applyBorder="true" applyAlignment="false" applyProtection="false">
      <alignment horizontal="general" vertical="bottom" textRotation="0" wrapText="false" indent="0" shrinkToFit="false"/>
      <protection locked="true" hidden="false"/>
    </xf>
    <xf numFmtId="169" fontId="4" fillId="0" borderId="7" xfId="20" applyFont="true" applyBorder="true" applyAlignment="true" applyProtection="false">
      <alignment horizontal="center" vertical="bottom" textRotation="0" wrapText="false" indent="0" shrinkToFit="false"/>
      <protection locked="true" hidden="false"/>
    </xf>
    <xf numFmtId="166" fontId="4" fillId="0" borderId="7" xfId="20" applyFont="true" applyBorder="true" applyAlignment="false" applyProtection="false">
      <alignment horizontal="general" vertical="bottom" textRotation="0" wrapText="false" indent="0" shrinkToFit="false"/>
      <protection locked="true" hidden="false"/>
    </xf>
    <xf numFmtId="175" fontId="4" fillId="0" borderId="7" xfId="20" applyFont="true" applyBorder="true" applyAlignment="false" applyProtection="false">
      <alignment horizontal="general" vertical="bottom" textRotation="0" wrapText="false" indent="0" shrinkToFit="false"/>
      <protection locked="true" hidden="false"/>
    </xf>
    <xf numFmtId="165" fontId="4" fillId="0" borderId="21" xfId="20" applyFont="true" applyBorder="true" applyAlignment="false" applyProtection="false">
      <alignment horizontal="general" vertical="bottom" textRotation="0" wrapText="false" indent="0" shrinkToFit="false"/>
      <protection locked="true" hidden="false"/>
    </xf>
    <xf numFmtId="167" fontId="4" fillId="0" borderId="21" xfId="20" applyFont="true" applyBorder="true" applyAlignment="false" applyProtection="false">
      <alignment horizontal="general" vertical="bottom" textRotation="0" wrapText="false" indent="0" shrinkToFit="false"/>
      <protection locked="true" hidden="false"/>
    </xf>
    <xf numFmtId="169" fontId="4" fillId="0" borderId="7" xfId="20" applyFont="true" applyBorder="true" applyAlignment="false" applyProtection="false">
      <alignment horizontal="general" vertical="bottom" textRotation="0" wrapText="false" indent="0" shrinkToFit="false"/>
      <protection locked="true" hidden="false"/>
    </xf>
    <xf numFmtId="175" fontId="4" fillId="2" borderId="14" xfId="20" applyFont="true" applyBorder="true" applyAlignment="false" applyProtection="false">
      <alignment horizontal="general" vertical="bottom" textRotation="0" wrapText="false" indent="0" shrinkToFit="false"/>
      <protection locked="true" hidden="false"/>
    </xf>
    <xf numFmtId="171" fontId="4" fillId="2" borderId="13" xfId="20" applyFont="true" applyBorder="true" applyAlignment="false" applyProtection="false">
      <alignment horizontal="general" vertical="bottom" textRotation="0" wrapText="false" indent="0" shrinkToFit="false"/>
      <protection locked="true" hidden="false"/>
    </xf>
    <xf numFmtId="169" fontId="4" fillId="2" borderId="14" xfId="20" applyFont="true" applyBorder="true" applyAlignment="true" applyProtection="false">
      <alignment horizontal="center" vertical="bottom" textRotation="0" wrapText="false" indent="0" shrinkToFit="false"/>
      <protection locked="true" hidden="false"/>
    </xf>
    <xf numFmtId="167" fontId="4" fillId="2" borderId="13" xfId="20" applyFont="true" applyBorder="true" applyAlignment="true" applyProtection="false">
      <alignment horizontal="center" vertical="bottom" textRotation="0" wrapText="false" indent="0" shrinkToFit="false"/>
      <protection locked="true" hidden="false"/>
    </xf>
    <xf numFmtId="166" fontId="4" fillId="2" borderId="14" xfId="20" applyFont="true" applyBorder="true" applyAlignment="false" applyProtection="false">
      <alignment horizontal="general" vertical="bottom" textRotation="0" wrapText="false" indent="0" shrinkToFit="false"/>
      <protection locked="true" hidden="false"/>
    </xf>
    <xf numFmtId="170" fontId="4" fillId="0" borderId="8" xfId="20" applyFont="true" applyBorder="true" applyAlignment="false" applyProtection="false">
      <alignment horizontal="general" vertical="bottom" textRotation="0" wrapText="false" indent="0" shrinkToFit="false"/>
      <protection locked="true" hidden="false"/>
    </xf>
    <xf numFmtId="170" fontId="4" fillId="0" borderId="0" xfId="20" applyFont="true" applyBorder="true" applyAlignment="false" applyProtection="false">
      <alignment horizontal="general" vertical="bottom" textRotation="0" wrapText="false" indent="0" shrinkToFit="false"/>
      <protection locked="true" hidden="false"/>
    </xf>
    <xf numFmtId="170" fontId="4" fillId="0" borderId="11" xfId="20" applyFont="true" applyBorder="true" applyAlignment="false" applyProtection="false">
      <alignment horizontal="general" vertical="bottom" textRotation="0" wrapText="false" indent="0" shrinkToFit="false"/>
      <protection locked="true" hidden="false"/>
    </xf>
    <xf numFmtId="166" fontId="4" fillId="0" borderId="7" xfId="20" applyFont="true" applyBorder="true" applyAlignment="false" applyProtection="false">
      <alignment horizontal="general" vertical="bottom" textRotation="0" wrapText="false" indent="0" shrinkToFit="false"/>
      <protection locked="true" hidden="false"/>
    </xf>
    <xf numFmtId="169" fontId="4" fillId="0" borderId="0" xfId="2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4" fillId="0" borderId="0" xfId="20" applyFont="true" applyBorder="true" applyAlignment="true" applyProtection="false">
      <alignment horizontal="center" vertical="bottom" textRotation="0" wrapText="false" indent="0" shrinkToFit="false"/>
      <protection locked="true" hidden="false"/>
    </xf>
    <xf numFmtId="168" fontId="4" fillId="0" borderId="0" xfId="20" applyFont="true" applyBorder="true" applyAlignment="true" applyProtection="false">
      <alignment horizontal="right"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70" fontId="4" fillId="0" borderId="8" xfId="20" applyFont="true" applyBorder="true" applyAlignment="false" applyProtection="false">
      <alignment horizontal="general" vertical="bottom" textRotation="0" wrapText="false" indent="0" shrinkToFit="false"/>
      <protection locked="true" hidden="false"/>
    </xf>
    <xf numFmtId="167" fontId="4" fillId="0" borderId="0" xfId="20" applyFont="true" applyBorder="true" applyAlignment="false" applyProtection="false">
      <alignment horizontal="general" vertical="bottom" textRotation="0" wrapText="false" indent="0" shrinkToFit="false"/>
      <protection locked="true" hidden="false"/>
    </xf>
    <xf numFmtId="170" fontId="4" fillId="0" borderId="11"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false" applyProtection="false">
      <alignment horizontal="general" vertical="bottom" textRotation="0" wrapText="false" indent="0" shrinkToFit="false"/>
      <protection locked="true" hidden="false"/>
    </xf>
    <xf numFmtId="165" fontId="4" fillId="2" borderId="15" xfId="20" applyFont="true" applyBorder="true" applyAlignment="false" applyProtection="false">
      <alignment horizontal="general" vertical="bottom" textRotation="0" wrapText="false" indent="0" shrinkToFit="false"/>
      <protection locked="true" hidden="false"/>
    </xf>
    <xf numFmtId="165" fontId="4" fillId="2" borderId="16" xfId="20" applyFont="true" applyBorder="true" applyAlignment="false" applyProtection="false">
      <alignment horizontal="general" vertical="bottom" textRotation="0" wrapText="false" indent="0" shrinkToFit="false"/>
      <protection locked="true" hidden="false"/>
    </xf>
    <xf numFmtId="165" fontId="4" fillId="2" borderId="17" xfId="20" applyFont="true" applyBorder="true" applyAlignment="false" applyProtection="false">
      <alignment horizontal="general" vertical="bottom" textRotation="0" wrapText="false" indent="0" shrinkToFit="false"/>
      <protection locked="true" hidden="false"/>
    </xf>
    <xf numFmtId="165" fontId="4" fillId="2" borderId="14" xfId="20" applyFont="true" applyBorder="true" applyAlignment="false" applyProtection="false">
      <alignment horizontal="general" vertical="bottom" textRotation="0" wrapText="false" indent="0" shrinkToFit="false"/>
      <protection locked="true" hidden="false"/>
    </xf>
    <xf numFmtId="166" fontId="4" fillId="2" borderId="13" xfId="20" applyFont="true" applyBorder="true" applyAlignment="false" applyProtection="false">
      <alignment horizontal="general" vertical="bottom" textRotation="0" wrapText="false" indent="0" shrinkToFit="false"/>
      <protection locked="true" hidden="false"/>
    </xf>
    <xf numFmtId="167" fontId="4" fillId="0" borderId="12" xfId="20" applyFont="true" applyBorder="true" applyAlignment="false" applyProtection="false">
      <alignment horizontal="general" vertical="bottom" textRotation="0" wrapText="false" indent="0" shrinkToFit="false"/>
      <protection locked="true" hidden="false"/>
    </xf>
    <xf numFmtId="165" fontId="4" fillId="0" borderId="29" xfId="20" applyFont="true" applyBorder="true" applyAlignment="false" applyProtection="false">
      <alignment horizontal="general" vertical="bottom" textRotation="0" wrapText="false" indent="0" shrinkToFit="false"/>
      <protection locked="true" hidden="false"/>
    </xf>
    <xf numFmtId="169" fontId="4" fillId="0" borderId="24" xfId="20" applyFont="true" applyBorder="true" applyAlignment="false" applyProtection="false">
      <alignment horizontal="general" vertical="bottom" textRotation="0" wrapText="false" indent="0" shrinkToFit="false"/>
      <protection locked="true" hidden="false"/>
    </xf>
    <xf numFmtId="165" fontId="4" fillId="0" borderId="23" xfId="20" applyFont="true" applyBorder="true" applyAlignment="false" applyProtection="false">
      <alignment horizontal="general" vertical="bottom" textRotation="0" wrapText="false" indent="0" shrinkToFit="false"/>
      <protection locked="true" hidden="false"/>
    </xf>
    <xf numFmtId="170" fontId="4" fillId="2" borderId="18" xfId="20" applyFont="true" applyBorder="true" applyAlignment="false" applyProtection="false">
      <alignment horizontal="general" vertical="bottom" textRotation="0" wrapText="false" indent="0" shrinkToFit="false"/>
      <protection locked="true" hidden="false"/>
    </xf>
    <xf numFmtId="168" fontId="4" fillId="2" borderId="35" xfId="20" applyFont="true" applyBorder="true" applyAlignment="false" applyProtection="false">
      <alignment horizontal="general" vertical="bottom" textRotation="0" wrapText="false" indent="0" shrinkToFit="false"/>
      <protection locked="true" hidden="false"/>
    </xf>
    <xf numFmtId="170" fontId="4" fillId="2" borderId="17" xfId="20" applyFont="true" applyBorder="true" applyAlignment="false" applyProtection="false">
      <alignment horizontal="general" vertical="bottom" textRotation="0" wrapText="false" indent="0" shrinkToFit="false"/>
      <protection locked="true" hidden="false"/>
    </xf>
    <xf numFmtId="170" fontId="7" fillId="0" borderId="0" xfId="20" applyFont="true" applyBorder="true" applyAlignment="false" applyProtection="false">
      <alignment horizontal="general" vertical="bottom" textRotation="0" wrapText="false" indent="0" shrinkToFit="false"/>
      <protection locked="true" hidden="false"/>
    </xf>
    <xf numFmtId="165" fontId="7" fillId="0" borderId="0" xfId="20" applyFont="true" applyBorder="true" applyAlignment="false" applyProtection="false">
      <alignment horizontal="general" vertical="bottom" textRotation="0" wrapText="false" indent="0" shrinkToFit="false"/>
      <protection locked="true" hidden="false"/>
    </xf>
    <xf numFmtId="169" fontId="6" fillId="0" borderId="0" xfId="20" applyFont="true" applyBorder="true" applyAlignment="true" applyProtection="false">
      <alignment horizontal="left" vertical="bottom" textRotation="0" wrapText="false" indent="0" shrinkToFit="false"/>
      <protection locked="true" hidden="false"/>
    </xf>
    <xf numFmtId="170" fontId="4" fillId="0" borderId="2" xfId="20" applyFont="true" applyBorder="true" applyAlignment="false" applyProtection="false">
      <alignment horizontal="general" vertical="bottom" textRotation="0" wrapText="false" indent="0" shrinkToFit="false"/>
      <protection locked="true" hidden="false"/>
    </xf>
    <xf numFmtId="168" fontId="7" fillId="0" borderId="0" xfId="20" applyFont="true" applyBorder="true" applyAlignment="true" applyProtection="false">
      <alignment horizontal="center" vertical="bottom" textRotation="0" wrapText="false" indent="0" shrinkToFit="false"/>
      <protection locked="true" hidden="false"/>
    </xf>
    <xf numFmtId="168" fontId="7" fillId="0" borderId="4" xfId="20" applyFont="true" applyBorder="true" applyAlignment="true" applyProtection="false">
      <alignment horizontal="center" vertical="bottom" textRotation="0" wrapText="false" indent="0" shrinkToFit="false"/>
      <protection locked="true" hidden="false"/>
    </xf>
    <xf numFmtId="167" fontId="4" fillId="0" borderId="4" xfId="20" applyFont="true" applyBorder="true" applyAlignment="true" applyProtection="false">
      <alignment horizontal="center" vertical="bottom" textRotation="0" wrapText="false" indent="0" shrinkToFit="false"/>
      <protection locked="true" hidden="false"/>
    </xf>
    <xf numFmtId="164" fontId="4" fillId="0" borderId="4" xfId="20" applyFont="true" applyBorder="true" applyAlignment="false" applyProtection="false">
      <alignment horizontal="general" vertical="bottom" textRotation="0" wrapText="false" indent="0" shrinkToFit="false"/>
      <protection locked="true" hidden="false"/>
    </xf>
    <xf numFmtId="165" fontId="6" fillId="0" borderId="12" xfId="20" applyFont="true" applyBorder="true" applyAlignment="true" applyProtection="false">
      <alignment horizontal="center" vertical="bottom" textRotation="0" wrapText="false" indent="0" shrinkToFit="false"/>
      <protection locked="true" hidden="false"/>
    </xf>
    <xf numFmtId="182" fontId="4" fillId="0" borderId="0" xfId="20" applyFont="true" applyBorder="true" applyAlignment="true" applyProtection="false">
      <alignment horizontal="right" vertical="bottom" textRotation="0" wrapText="false" indent="0" shrinkToFit="false"/>
      <protection locked="true" hidden="false"/>
    </xf>
    <xf numFmtId="171" fontId="4" fillId="0" borderId="0" xfId="20" applyFont="true" applyBorder="tru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6" fontId="4" fillId="0" borderId="7" xfId="20" applyFont="true" applyBorder="true" applyAlignment="true" applyProtection="false">
      <alignment horizontal="right" vertical="bottom" textRotation="0" wrapText="false" indent="0" shrinkToFit="false"/>
      <protection locked="true" hidden="false"/>
    </xf>
    <xf numFmtId="169" fontId="4" fillId="0" borderId="0" xfId="20" applyFont="true" applyBorder="true" applyAlignment="true" applyProtection="false">
      <alignment horizontal="left" vertical="bottom" textRotation="0" wrapText="false" indent="0" shrinkToFit="false"/>
      <protection locked="true" hidden="false"/>
    </xf>
    <xf numFmtId="183" fontId="4" fillId="0" borderId="0" xfId="20" applyFont="true" applyBorder="true" applyAlignment="false" applyProtection="false">
      <alignment horizontal="general" vertical="bottom" textRotation="0" wrapText="false" indent="0" shrinkToFit="false"/>
      <protection locked="true" hidden="false"/>
    </xf>
    <xf numFmtId="184" fontId="4" fillId="0" borderId="0" xfId="20" applyFont="true" applyBorder="true" applyAlignment="true" applyProtection="false">
      <alignment horizontal="center" vertical="bottom" textRotation="0" wrapText="false" indent="0" shrinkToFit="false"/>
      <protection locked="true" hidden="false"/>
    </xf>
    <xf numFmtId="184" fontId="4" fillId="0" borderId="1" xfId="20" applyFont="true" applyBorder="true" applyAlignment="true" applyProtection="false">
      <alignment horizontal="center" vertical="bottom" textRotation="0" wrapText="false" indent="0" shrinkToFit="false"/>
      <protection locked="true" hidden="false"/>
    </xf>
    <xf numFmtId="170" fontId="6" fillId="0" borderId="3" xfId="20" applyFont="true" applyBorder="true" applyAlignment="false" applyProtection="false">
      <alignment horizontal="general" vertical="bottom" textRotation="0" wrapText="false" indent="0" shrinkToFit="false"/>
      <protection locked="true" hidden="false"/>
    </xf>
    <xf numFmtId="168" fontId="8" fillId="0" borderId="0" xfId="20" applyFont="true" applyBorder="true" applyAlignment="true" applyProtection="false">
      <alignment horizontal="center" vertical="bottom" textRotation="0" wrapText="false" indent="0" shrinkToFit="false"/>
      <protection locked="true" hidden="false"/>
    </xf>
    <xf numFmtId="168" fontId="8" fillId="0" borderId="4" xfId="20" applyFont="true" applyBorder="true" applyAlignment="true" applyProtection="false">
      <alignment horizontal="center" vertical="bottom" textRotation="0" wrapText="false" indent="0" shrinkToFit="false"/>
      <protection locked="true" hidden="false"/>
    </xf>
    <xf numFmtId="167" fontId="6" fillId="0" borderId="4" xfId="20" applyFont="true" applyBorder="true" applyAlignment="true" applyProtection="false">
      <alignment horizontal="center" vertical="bottom" textRotation="0" wrapText="false" indent="0" shrinkToFit="false"/>
      <protection locked="true" hidden="false"/>
    </xf>
    <xf numFmtId="164" fontId="6" fillId="0" borderId="4" xfId="20" applyFont="true" applyBorder="true" applyAlignment="false" applyProtection="false">
      <alignment horizontal="general" vertical="bottom" textRotation="0" wrapText="false" indent="0" shrinkToFit="false"/>
      <protection locked="true" hidden="false"/>
    </xf>
    <xf numFmtId="169" fontId="6" fillId="0" borderId="4" xfId="20" applyFont="true" applyBorder="true" applyAlignment="false" applyProtection="false">
      <alignment horizontal="general" vertical="bottom" textRotation="0" wrapText="false" indent="0" shrinkToFit="false"/>
      <protection locked="true" hidden="false"/>
    </xf>
    <xf numFmtId="166" fontId="6" fillId="0" borderId="3" xfId="20" applyFont="true" applyBorder="true" applyAlignment="false" applyProtection="false">
      <alignment horizontal="general" vertical="bottom" textRotation="0" wrapText="false" indent="0" shrinkToFit="false"/>
      <protection locked="true" hidden="false"/>
    </xf>
    <xf numFmtId="169" fontId="8" fillId="0" borderId="4" xfId="20" applyFont="true" applyBorder="true" applyAlignment="true" applyProtection="false">
      <alignment horizontal="center" vertical="bottom" textRotation="0" wrapText="false" indent="0" shrinkToFit="false"/>
      <protection locked="true" hidden="false"/>
    </xf>
    <xf numFmtId="169" fontId="6" fillId="0" borderId="4" xfId="20" applyFont="true" applyBorder="true" applyAlignment="true" applyProtection="false">
      <alignment horizontal="center" vertical="bottom" textRotation="0" wrapText="false" indent="0" shrinkToFit="false"/>
      <protection locked="true" hidden="false"/>
    </xf>
    <xf numFmtId="177" fontId="6" fillId="0" borderId="0" xfId="0" applyFont="true" applyBorder="false" applyAlignment="true" applyProtection="false">
      <alignment horizontal="center" vertical="bottom" textRotation="0" wrapText="false" indent="0" shrinkToFit="false"/>
      <protection locked="true" hidden="false"/>
    </xf>
    <xf numFmtId="185" fontId="4" fillId="0" borderId="0" xfId="20" applyFont="true" applyBorder="true" applyAlignment="true" applyProtection="false">
      <alignment horizontal="right" vertical="bottom" textRotation="0" wrapText="false" indent="0" shrinkToFit="false"/>
      <protection locked="true" hidden="false"/>
    </xf>
    <xf numFmtId="184" fontId="4" fillId="2" borderId="13" xfId="20" applyFont="true" applyBorder="true" applyAlignment="true" applyProtection="false">
      <alignment horizontal="right" vertical="bottom" textRotation="0" wrapText="false" indent="0" shrinkToFit="false"/>
      <protection locked="true" hidden="false"/>
    </xf>
    <xf numFmtId="184" fontId="4" fillId="0" borderId="0" xfId="20" applyFont="true" applyBorder="true" applyAlignment="true" applyProtection="false">
      <alignment horizontal="right" vertical="bottom" textRotation="0" wrapText="false" indent="0" shrinkToFit="false"/>
      <protection locked="true" hidden="false"/>
    </xf>
    <xf numFmtId="167" fontId="4" fillId="0" borderId="11" xfId="0" applyFont="true" applyBorder="true" applyAlignment="true" applyProtection="false">
      <alignment horizontal="right" vertical="bottom" textRotation="0" wrapText="false" indent="0" shrinkToFit="false"/>
      <protection locked="true" hidden="false"/>
    </xf>
    <xf numFmtId="184" fontId="4" fillId="2" borderId="13" xfId="20" applyFont="true" applyBorder="true" applyAlignment="true" applyProtection="false">
      <alignment horizontal="center" vertical="bottom" textRotation="0" wrapText="false" indent="0" shrinkToFit="false"/>
      <protection locked="true" hidden="false"/>
    </xf>
    <xf numFmtId="170" fontId="4" fillId="2" borderId="30" xfId="20" applyFont="true" applyBorder="true" applyAlignment="false" applyProtection="false">
      <alignment horizontal="general" vertical="bottom" textRotation="0" wrapText="false" indent="0" shrinkToFit="false"/>
      <protection locked="true" hidden="false"/>
    </xf>
    <xf numFmtId="171" fontId="4" fillId="0" borderId="0" xfId="20" applyFont="true" applyBorder="true" applyAlignment="true" applyProtection="false">
      <alignment horizontal="center"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8" fontId="6" fillId="0" borderId="0" xfId="15" applyFont="true" applyBorder="true" applyAlignment="true" applyProtection="true">
      <alignment horizontal="general" vertical="bottom" textRotation="0" wrapText="false" indent="0" shrinkToFit="false"/>
      <protection locked="true" hidden="false"/>
    </xf>
    <xf numFmtId="167" fontId="6" fillId="0" borderId="0" xfId="20" applyFont="true" applyBorder="true" applyAlignment="true" applyProtection="false">
      <alignment horizontal="left" vertical="bottom" textRotation="0" wrapText="false" indent="0" shrinkToFit="false"/>
      <protection locked="true" hidden="false"/>
    </xf>
    <xf numFmtId="165" fontId="6" fillId="0" borderId="0" xfId="15"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_RIVER054" xfId="20"/>
  </cellStyles>
  <colors>
    <indexedColors>
      <rgbColor rgb="FF000000"/>
      <rgbColor rgb="FFEEEEE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464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3"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6" width="5.16"/>
    <col collapsed="false" customWidth="true" hidden="false" outlineLevel="0" max="23" min="22" style="1" width="5.49"/>
    <col collapsed="false" customWidth="true" hidden="false" outlineLevel="0" max="24" min="24" style="2" width="6.32"/>
    <col collapsed="false" customWidth="true" hidden="false" outlineLevel="0" max="25" min="25" style="4" width="6.32"/>
    <col collapsed="false" customWidth="true" hidden="false" outlineLevel="0" max="26" min="26" style="1" width="5.49"/>
    <col collapsed="false" customWidth="true" hidden="false" outlineLevel="0" max="27" min="27" style="4" width="6.32"/>
    <col collapsed="false" customWidth="true" hidden="false" outlineLevel="0" max="28" min="28" style="1" width="5.49"/>
    <col collapsed="false" customWidth="true" hidden="false" outlineLevel="0" max="29" min="29" style="1" width="5.99"/>
    <col collapsed="false" customWidth="true" hidden="false" outlineLevel="0" max="31" min="30" style="1" width="5.49"/>
    <col collapsed="false" customWidth="true" hidden="false" outlineLevel="0" max="33" min="32" style="2" width="5.49"/>
    <col collapsed="false" customWidth="true" hidden="false" outlineLevel="0" max="34" min="34" style="2" width="6.32"/>
    <col collapsed="false" customWidth="true" hidden="false" outlineLevel="0" max="35" min="35" style="1" width="5.49"/>
    <col collapsed="false" customWidth="true" hidden="false" outlineLevel="0" max="37" min="36" style="1" width="6.32"/>
    <col collapsed="false" customWidth="true" hidden="false" outlineLevel="0" max="38" min="38" style="1" width="6.82"/>
    <col collapsed="false" customWidth="true" hidden="false" outlineLevel="0" max="39" min="39" style="3" width="6.82"/>
    <col collapsed="false" customWidth="true" hidden="false" outlineLevel="0" max="41" min="40" style="4" width="5.49"/>
    <col collapsed="false" customWidth="true" hidden="false" outlineLevel="0" max="42" min="42" style="1" width="6.32"/>
    <col collapsed="false" customWidth="true" hidden="false" outlineLevel="0" max="43" min="43" style="7" width="6.32"/>
    <col collapsed="false" customWidth="true" hidden="false" outlineLevel="0" max="44" min="44" style="7" width="5.49"/>
    <col collapsed="false" customWidth="true" hidden="false" outlineLevel="0" max="45" min="45" style="1" width="5.32"/>
    <col collapsed="false" customWidth="true" hidden="false" outlineLevel="0" max="46" min="46" style="1" width="5.82"/>
    <col collapsed="false" customWidth="true" hidden="false" outlineLevel="0" max="47" min="47" style="8" width="4.99"/>
    <col collapsed="false" customWidth="true" hidden="false" outlineLevel="0" max="48" min="48" style="3" width="5.32"/>
    <col collapsed="false" customWidth="true" hidden="false" outlineLevel="0" max="49" min="49" style="9" width="3.82"/>
    <col collapsed="false" customWidth="true" hidden="false" outlineLevel="0" max="51" min="50" style="10" width="3.82"/>
    <col collapsed="false" customWidth="true" hidden="false" outlineLevel="0" max="52" min="52" style="4" width="5.49"/>
  </cols>
  <sheetData>
    <row r="1" customFormat="false" ht="14.1" hidden="false" customHeight="true" outlineLevel="0" collapsed="false">
      <c r="A1" s="11"/>
      <c r="B1" s="11"/>
      <c r="D1" s="11"/>
      <c r="F1" s="11"/>
      <c r="G1" s="11"/>
      <c r="H1" s="12"/>
      <c r="I1" s="11"/>
      <c r="J1" s="11"/>
      <c r="K1" s="13" t="s">
        <v>0</v>
      </c>
      <c r="L1" s="11"/>
      <c r="M1" s="11"/>
      <c r="N1" s="11"/>
      <c r="O1" s="11"/>
      <c r="Q1" s="11"/>
      <c r="R1" s="11"/>
      <c r="S1" s="11"/>
      <c r="T1" s="11"/>
      <c r="V1" s="11"/>
      <c r="W1" s="11"/>
      <c r="Z1" s="11"/>
      <c r="AB1" s="11"/>
      <c r="AC1" s="11"/>
      <c r="AD1" s="11"/>
      <c r="AE1" s="11"/>
      <c r="AI1" s="11"/>
      <c r="AJ1" s="11"/>
      <c r="AK1" s="11"/>
      <c r="AL1" s="11"/>
      <c r="AM1" s="5"/>
    </row>
    <row r="2" customFormat="false" ht="14.1" hidden="false" customHeight="true" outlineLevel="0" collapsed="false">
      <c r="A2" s="14" t="s">
        <v>1</v>
      </c>
      <c r="B2" s="11"/>
      <c r="D2" s="15" t="n">
        <v>1.9835</v>
      </c>
      <c r="F2" s="11"/>
      <c r="G2" s="11"/>
      <c r="H2" s="12"/>
      <c r="I2" s="11"/>
      <c r="J2" s="11"/>
      <c r="K2" s="11"/>
      <c r="L2" s="13" t="s">
        <v>2</v>
      </c>
      <c r="M2" s="11"/>
      <c r="N2" s="11"/>
      <c r="O2" s="11"/>
      <c r="Q2" s="11"/>
      <c r="R2" s="11"/>
      <c r="S2" s="11"/>
      <c r="T2" s="11"/>
      <c r="V2" s="11"/>
      <c r="W2" s="11"/>
      <c r="Z2" s="11"/>
      <c r="AB2" s="11"/>
      <c r="AC2" s="11"/>
      <c r="AD2" s="11"/>
      <c r="AE2" s="11"/>
      <c r="AI2" s="11"/>
      <c r="AJ2" s="11"/>
      <c r="AK2" s="11"/>
      <c r="AL2" s="11"/>
      <c r="AM2" s="5"/>
    </row>
    <row r="3" customFormat="false" ht="14.1" hidden="false" customHeight="true" outlineLevel="0" collapsed="false">
      <c r="A3" s="16"/>
      <c r="B3" s="16"/>
      <c r="C3" s="17"/>
      <c r="D3" s="18"/>
      <c r="E3" s="17"/>
      <c r="F3" s="16"/>
      <c r="G3" s="16"/>
      <c r="H3" s="19"/>
      <c r="I3" s="16"/>
      <c r="J3" s="16"/>
      <c r="K3" s="16"/>
      <c r="L3" s="16"/>
      <c r="M3" s="16"/>
      <c r="N3" s="16"/>
      <c r="O3" s="16"/>
      <c r="P3" s="20"/>
      <c r="Q3" s="16"/>
      <c r="R3" s="16"/>
      <c r="S3" s="16"/>
      <c r="T3" s="16"/>
      <c r="U3" s="21"/>
      <c r="V3" s="16"/>
      <c r="W3" s="16"/>
      <c r="X3" s="17"/>
      <c r="Y3" s="22"/>
      <c r="Z3" s="16"/>
      <c r="AA3" s="22"/>
      <c r="AB3" s="16"/>
      <c r="AC3" s="16"/>
      <c r="AD3" s="16"/>
      <c r="AE3" s="16"/>
      <c r="AF3" s="17"/>
      <c r="AG3" s="17"/>
      <c r="AH3" s="17"/>
      <c r="AI3" s="16"/>
      <c r="AJ3" s="16"/>
      <c r="AK3" s="16"/>
      <c r="AL3" s="16"/>
      <c r="AM3" s="20"/>
      <c r="AN3" s="22"/>
      <c r="AO3" s="22"/>
      <c r="AP3" s="23"/>
      <c r="AQ3" s="24"/>
      <c r="AR3" s="25"/>
      <c r="AS3" s="26"/>
      <c r="AV3" s="27"/>
      <c r="AW3" s="28"/>
      <c r="AX3" s="29"/>
      <c r="AY3" s="30"/>
      <c r="BA3" s="31"/>
      <c r="BB3" s="31"/>
    </row>
    <row r="4" s="1" customFormat="true" ht="14.1" hidden="false" customHeight="true" outlineLevel="0" collapsed="false">
      <c r="A4" s="32"/>
      <c r="B4" s="33"/>
      <c r="C4" s="34"/>
      <c r="D4" s="35" t="s">
        <v>3</v>
      </c>
      <c r="E4" s="34"/>
      <c r="F4" s="32"/>
      <c r="G4" s="36"/>
      <c r="H4" s="36"/>
      <c r="I4" s="37" t="s">
        <v>4</v>
      </c>
      <c r="J4" s="36"/>
      <c r="K4" s="36"/>
      <c r="L4" s="38"/>
      <c r="M4" s="36"/>
      <c r="N4" s="36"/>
      <c r="O4" s="36"/>
      <c r="P4" s="39"/>
      <c r="Q4" s="36"/>
      <c r="R4" s="36"/>
      <c r="S4" s="36"/>
      <c r="T4" s="36"/>
      <c r="U4" s="39"/>
      <c r="V4" s="36"/>
      <c r="W4" s="36"/>
      <c r="X4" s="40" t="s">
        <v>5</v>
      </c>
      <c r="Y4" s="40"/>
      <c r="Z4" s="41"/>
      <c r="AA4" s="40"/>
      <c r="AB4" s="41"/>
      <c r="AC4" s="41"/>
      <c r="AD4" s="42"/>
      <c r="AE4" s="36"/>
      <c r="AF4" s="36"/>
      <c r="AG4" s="36"/>
      <c r="AH4" s="34"/>
      <c r="AI4" s="36"/>
      <c r="AJ4" s="43"/>
      <c r="AK4" s="36"/>
      <c r="AL4" s="36"/>
      <c r="AM4" s="39"/>
      <c r="AN4" s="44"/>
      <c r="AO4" s="45"/>
      <c r="AP4" s="46" t="s">
        <v>6</v>
      </c>
      <c r="AQ4" s="47"/>
      <c r="AR4" s="48"/>
      <c r="AS4" s="49"/>
      <c r="AT4" s="50"/>
      <c r="AU4" s="51"/>
      <c r="AV4" s="52"/>
      <c r="AW4" s="53" t="s">
        <v>7</v>
      </c>
      <c r="AX4" s="54"/>
      <c r="AY4" s="54"/>
      <c r="AZ4" s="55"/>
      <c r="BA4" s="56"/>
      <c r="BB4" s="5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58" t="s">
        <v>16</v>
      </c>
      <c r="M5" s="63" t="s">
        <v>18</v>
      </c>
      <c r="N5" s="63"/>
      <c r="O5" s="63"/>
      <c r="P5" s="63"/>
      <c r="Q5" s="63"/>
      <c r="R5" s="63"/>
      <c r="S5" s="63"/>
      <c r="T5" s="63"/>
      <c r="U5" s="63"/>
      <c r="V5" s="58" t="s">
        <v>19</v>
      </c>
      <c r="W5" s="58" t="s">
        <v>20</v>
      </c>
      <c r="X5" s="58" t="s">
        <v>17</v>
      </c>
      <c r="Y5" s="58" t="s">
        <v>17</v>
      </c>
      <c r="Z5" s="64" t="s">
        <v>21</v>
      </c>
      <c r="AA5" s="58" t="s">
        <v>21</v>
      </c>
      <c r="AB5" s="64" t="s">
        <v>21</v>
      </c>
      <c r="AC5" s="64"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72" t="s">
        <v>33</v>
      </c>
      <c r="AV5" s="73" t="s">
        <v>34</v>
      </c>
      <c r="AW5" s="74" t="s">
        <v>35</v>
      </c>
      <c r="AX5" s="74" t="s">
        <v>36</v>
      </c>
      <c r="AY5" s="74"/>
      <c r="AZ5" s="75" t="s">
        <v>17</v>
      </c>
      <c r="BA5" s="72" t="s">
        <v>37</v>
      </c>
      <c r="BB5" s="76" t="s">
        <v>37</v>
      </c>
    </row>
    <row r="6" customFormat="false" ht="12.95" hidden="false" customHeight="true" outlineLevel="0" collapsed="false">
      <c r="A6" s="77" t="s">
        <v>38</v>
      </c>
      <c r="B6" s="59" t="s">
        <v>39</v>
      </c>
      <c r="C6" s="60"/>
      <c r="D6" s="61" t="s">
        <v>40</v>
      </c>
      <c r="E6" s="60" t="s">
        <v>41</v>
      </c>
      <c r="F6" s="62" t="s">
        <v>42</v>
      </c>
      <c r="G6" s="58" t="s">
        <v>43</v>
      </c>
      <c r="H6" s="58" t="s">
        <v>44</v>
      </c>
      <c r="I6" s="58" t="s">
        <v>45</v>
      </c>
      <c r="J6" s="58" t="s">
        <v>45</v>
      </c>
      <c r="K6" s="58" t="s">
        <v>45</v>
      </c>
      <c r="L6" s="58" t="s">
        <v>46</v>
      </c>
      <c r="M6" s="78" t="s">
        <v>47</v>
      </c>
      <c r="N6" s="61" t="s">
        <v>48</v>
      </c>
      <c r="O6" s="61" t="s">
        <v>49</v>
      </c>
      <c r="P6" s="79" t="s">
        <v>50</v>
      </c>
      <c r="Q6" s="61" t="s">
        <v>51</v>
      </c>
      <c r="R6" s="61" t="s">
        <v>52</v>
      </c>
      <c r="S6" s="61"/>
      <c r="T6" s="61" t="s">
        <v>49</v>
      </c>
      <c r="U6" s="80" t="s">
        <v>53</v>
      </c>
      <c r="V6" s="58" t="s">
        <v>54</v>
      </c>
      <c r="W6" s="58" t="s">
        <v>55</v>
      </c>
      <c r="X6" s="58" t="s">
        <v>21</v>
      </c>
      <c r="Y6" s="58" t="s">
        <v>21</v>
      </c>
      <c r="Z6" s="64" t="s">
        <v>56</v>
      </c>
      <c r="AA6" s="58" t="s">
        <v>56</v>
      </c>
      <c r="AB6" s="64" t="s">
        <v>57</v>
      </c>
      <c r="AC6" s="64" t="s">
        <v>58</v>
      </c>
      <c r="AD6" s="65" t="s">
        <v>59</v>
      </c>
      <c r="AE6" s="58" t="s">
        <v>60</v>
      </c>
      <c r="AF6" s="78" t="s">
        <v>61</v>
      </c>
      <c r="AG6" s="81"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72" t="s">
        <v>72</v>
      </c>
      <c r="AV6" s="82"/>
      <c r="AW6" s="74" t="s">
        <v>73</v>
      </c>
      <c r="AX6" s="74" t="s">
        <v>73</v>
      </c>
      <c r="AY6" s="74"/>
      <c r="AZ6" s="75" t="s">
        <v>74</v>
      </c>
      <c r="BA6" s="72" t="s">
        <v>75</v>
      </c>
      <c r="BB6" s="76" t="s">
        <v>76</v>
      </c>
    </row>
    <row r="7" customFormat="false" ht="12.95" hidden="false" customHeight="true" outlineLevel="0" collapsed="false">
      <c r="A7" s="58"/>
      <c r="B7" s="59"/>
      <c r="C7" s="60"/>
      <c r="D7" s="61"/>
      <c r="E7" s="60"/>
      <c r="F7" s="62"/>
      <c r="G7" s="58"/>
      <c r="H7" s="58"/>
      <c r="I7" s="58"/>
      <c r="J7" s="58"/>
      <c r="K7" s="58"/>
      <c r="L7" s="81"/>
      <c r="M7" s="61"/>
      <c r="N7" s="61" t="s">
        <v>77</v>
      </c>
      <c r="O7" s="61" t="s">
        <v>78</v>
      </c>
      <c r="P7" s="79"/>
      <c r="Q7" s="61" t="s">
        <v>79</v>
      </c>
      <c r="R7" s="61" t="s">
        <v>79</v>
      </c>
      <c r="S7" s="61" t="s">
        <v>62</v>
      </c>
      <c r="T7" s="61" t="s">
        <v>62</v>
      </c>
      <c r="U7" s="80" t="s">
        <v>80</v>
      </c>
      <c r="V7" s="58"/>
      <c r="W7" s="58"/>
      <c r="X7" s="68" t="s">
        <v>81</v>
      </c>
      <c r="Y7" s="60" t="s">
        <v>82</v>
      </c>
      <c r="Z7" s="64" t="s">
        <v>83</v>
      </c>
      <c r="AA7" s="58" t="s">
        <v>84</v>
      </c>
      <c r="AB7" s="64" t="s">
        <v>85</v>
      </c>
      <c r="AC7" s="64"/>
      <c r="AD7" s="65"/>
      <c r="AE7" s="81"/>
      <c r="AF7" s="83" t="n">
        <v>1.7</v>
      </c>
      <c r="AG7" s="83" t="n">
        <v>1.3</v>
      </c>
      <c r="AH7" s="78"/>
      <c r="AI7" s="84" t="n">
        <v>12682.1753872626</v>
      </c>
      <c r="AJ7" s="68"/>
      <c r="AK7" s="58"/>
      <c r="AL7" s="58"/>
      <c r="AM7" s="61"/>
      <c r="AN7" s="69"/>
      <c r="AO7" s="65"/>
      <c r="AP7" s="64" t="s">
        <v>86</v>
      </c>
      <c r="AQ7" s="70" t="s">
        <v>87</v>
      </c>
      <c r="AR7" s="65" t="s">
        <v>88</v>
      </c>
      <c r="AS7" s="71" t="s">
        <v>89</v>
      </c>
      <c r="AT7" s="71" t="s">
        <v>90</v>
      </c>
      <c r="AU7" s="72" t="s">
        <v>91</v>
      </c>
      <c r="AV7" s="82"/>
      <c r="AW7" s="74"/>
      <c r="AX7" s="74"/>
      <c r="AY7" s="74"/>
      <c r="AZ7" s="75" t="s">
        <v>92</v>
      </c>
      <c r="BA7" s="8"/>
      <c r="BB7" s="85"/>
    </row>
    <row r="8" customFormat="false" ht="12.95" hidden="false" customHeight="true" outlineLevel="0" collapsed="false">
      <c r="A8" s="58"/>
      <c r="B8" s="59"/>
      <c r="C8" s="60"/>
      <c r="D8" s="61"/>
      <c r="E8" s="60"/>
      <c r="F8" s="62"/>
      <c r="G8" s="58"/>
      <c r="H8" s="58"/>
      <c r="I8" s="58"/>
      <c r="J8" s="58"/>
      <c r="K8" s="58"/>
      <c r="L8" s="81"/>
      <c r="M8" s="61"/>
      <c r="N8" s="61"/>
      <c r="O8" s="61"/>
      <c r="P8" s="79"/>
      <c r="Q8" s="61" t="s">
        <v>62</v>
      </c>
      <c r="R8" s="61" t="s">
        <v>62</v>
      </c>
      <c r="S8" s="61"/>
      <c r="T8" s="61"/>
      <c r="U8" s="80"/>
      <c r="V8" s="58"/>
      <c r="W8" s="58"/>
      <c r="X8" s="68" t="s">
        <v>93</v>
      </c>
      <c r="Y8" s="60" t="s">
        <v>81</v>
      </c>
      <c r="Z8" s="64"/>
      <c r="AA8" s="60" t="s">
        <v>94</v>
      </c>
      <c r="AB8" s="64" t="s">
        <v>95</v>
      </c>
      <c r="AC8" s="64"/>
      <c r="AD8" s="65"/>
      <c r="AE8" s="81"/>
      <c r="AF8" s="83"/>
      <c r="AG8" s="83"/>
      <c r="AH8" s="78"/>
      <c r="AI8" s="84"/>
      <c r="AJ8" s="68"/>
      <c r="AK8" s="58"/>
      <c r="AL8" s="58"/>
      <c r="AM8" s="61"/>
      <c r="AN8" s="69"/>
      <c r="AO8" s="65"/>
      <c r="AP8" s="64"/>
      <c r="AQ8" s="70"/>
      <c r="AR8" s="65"/>
      <c r="AS8" s="71"/>
      <c r="AT8" s="71"/>
      <c r="AU8" s="72"/>
      <c r="AV8" s="82"/>
      <c r="AW8" s="74"/>
      <c r="AX8" s="74"/>
      <c r="AY8" s="74"/>
      <c r="AZ8" s="75"/>
      <c r="BA8" s="8"/>
      <c r="BB8" s="85"/>
    </row>
    <row r="9" customFormat="false" ht="12.95" hidden="false" customHeight="true" outlineLevel="0" collapsed="false">
      <c r="A9" s="58"/>
      <c r="B9" s="59"/>
      <c r="C9" s="60"/>
      <c r="D9" s="61"/>
      <c r="E9" s="60"/>
      <c r="F9" s="62"/>
      <c r="G9" s="58"/>
      <c r="H9" s="58"/>
      <c r="I9" s="58"/>
      <c r="J9" s="58"/>
      <c r="K9" s="58"/>
      <c r="L9" s="81"/>
      <c r="M9" s="61"/>
      <c r="N9" s="61"/>
      <c r="O9" s="61"/>
      <c r="P9" s="79"/>
      <c r="Q9" s="61"/>
      <c r="R9" s="86" t="n">
        <v>4.2</v>
      </c>
      <c r="S9" s="61"/>
      <c r="T9" s="61"/>
      <c r="U9" s="80"/>
      <c r="V9" s="58"/>
      <c r="W9" s="58"/>
      <c r="X9" s="68"/>
      <c r="Y9" s="60" t="s">
        <v>93</v>
      </c>
      <c r="Z9" s="64"/>
      <c r="AA9" s="60" t="s">
        <v>93</v>
      </c>
      <c r="AB9" s="64" t="s">
        <v>96</v>
      </c>
      <c r="AC9" s="64"/>
      <c r="AD9" s="65"/>
      <c r="AE9" s="81"/>
      <c r="AF9" s="83"/>
      <c r="AG9" s="83"/>
      <c r="AH9" s="78"/>
      <c r="AI9" s="84"/>
      <c r="AJ9" s="68"/>
      <c r="AK9" s="58"/>
      <c r="AL9" s="58"/>
      <c r="AM9" s="61"/>
      <c r="AN9" s="69"/>
      <c r="AO9" s="65"/>
      <c r="AP9" s="64"/>
      <c r="AQ9" s="70"/>
      <c r="AR9" s="65"/>
      <c r="AS9" s="71"/>
      <c r="AT9" s="71"/>
      <c r="AU9" s="72"/>
      <c r="AV9" s="82"/>
      <c r="AW9" s="74"/>
      <c r="AX9" s="74"/>
      <c r="AY9" s="74"/>
      <c r="AZ9" s="75"/>
      <c r="BA9" s="8"/>
      <c r="BB9" s="76" t="s">
        <v>97</v>
      </c>
    </row>
    <row r="10" customFormat="false" ht="12.95" hidden="false" customHeight="true" outlineLevel="0" collapsed="false">
      <c r="A10" s="58"/>
      <c r="B10" s="59"/>
      <c r="C10" s="60" t="s">
        <v>98</v>
      </c>
      <c r="D10" s="61"/>
      <c r="E10" s="60" t="s">
        <v>99</v>
      </c>
      <c r="F10" s="62"/>
      <c r="G10" s="61" t="s">
        <v>42</v>
      </c>
      <c r="H10" s="61" t="s">
        <v>42</v>
      </c>
      <c r="I10" s="61" t="s">
        <v>42</v>
      </c>
      <c r="J10" s="61" t="s">
        <v>42</v>
      </c>
      <c r="K10" s="61" t="s">
        <v>42</v>
      </c>
      <c r="L10" s="81" t="s">
        <v>42</v>
      </c>
      <c r="M10" s="61" t="s">
        <v>42</v>
      </c>
      <c r="N10" s="61" t="s">
        <v>42</v>
      </c>
      <c r="O10" s="61" t="s">
        <v>42</v>
      </c>
      <c r="P10" s="61" t="s">
        <v>42</v>
      </c>
      <c r="Q10" s="61" t="s">
        <v>42</v>
      </c>
      <c r="R10" s="61" t="s">
        <v>42</v>
      </c>
      <c r="S10" s="61" t="s">
        <v>42</v>
      </c>
      <c r="T10" s="61" t="s">
        <v>42</v>
      </c>
      <c r="U10" s="81" t="s">
        <v>42</v>
      </c>
      <c r="V10" s="61" t="s">
        <v>42</v>
      </c>
      <c r="W10" s="61" t="s">
        <v>42</v>
      </c>
      <c r="X10" s="60" t="n">
        <v>153400</v>
      </c>
      <c r="Y10" s="60" t="n">
        <v>150400</v>
      </c>
      <c r="Z10" s="61"/>
      <c r="AA10" s="60"/>
      <c r="AB10" s="60" t="n">
        <v>72000</v>
      </c>
      <c r="AC10" s="61" t="s">
        <v>42</v>
      </c>
      <c r="AD10" s="61" t="s">
        <v>42</v>
      </c>
      <c r="AE10" s="81" t="s">
        <v>42</v>
      </c>
      <c r="AF10" s="61" t="s">
        <v>42</v>
      </c>
      <c r="AG10" s="61" t="s">
        <v>42</v>
      </c>
      <c r="AH10" s="78" t="s">
        <v>42</v>
      </c>
      <c r="AI10" s="61" t="s">
        <v>42</v>
      </c>
      <c r="AJ10" s="61" t="s">
        <v>42</v>
      </c>
      <c r="AK10" s="61" t="s">
        <v>42</v>
      </c>
      <c r="AL10" s="61" t="s">
        <v>42</v>
      </c>
      <c r="AM10" s="62" t="s">
        <v>42</v>
      </c>
      <c r="AN10" s="65" t="s">
        <v>42</v>
      </c>
      <c r="AO10" s="65" t="s">
        <v>42</v>
      </c>
      <c r="AP10" s="65" t="s">
        <v>42</v>
      </c>
      <c r="AQ10" s="70" t="s">
        <v>100</v>
      </c>
      <c r="AR10" s="65" t="s">
        <v>42</v>
      </c>
      <c r="AS10" s="65" t="s">
        <v>42</v>
      </c>
      <c r="AT10" s="65" t="s">
        <v>42</v>
      </c>
      <c r="AU10" s="70" t="s">
        <v>42</v>
      </c>
      <c r="AV10" s="82"/>
      <c r="AW10" s="74"/>
      <c r="AX10" s="74"/>
      <c r="AY10" s="74"/>
      <c r="AZ10" s="75" t="s">
        <v>101</v>
      </c>
      <c r="BA10" s="72" t="s">
        <v>42</v>
      </c>
      <c r="BB10" s="76" t="s">
        <v>99</v>
      </c>
    </row>
    <row r="11" customFormat="false" ht="12.95" hidden="false" customHeight="true" outlineLevel="0" collapsed="false">
      <c r="A11" s="58"/>
      <c r="B11" s="59"/>
      <c r="C11" s="60"/>
      <c r="D11" s="61"/>
      <c r="E11" s="60"/>
      <c r="F11" s="62"/>
      <c r="G11" s="58"/>
      <c r="H11" s="58"/>
      <c r="I11" s="58"/>
      <c r="J11" s="58"/>
      <c r="K11" s="58"/>
      <c r="L11" s="81"/>
      <c r="M11" s="61"/>
      <c r="N11" s="47" t="n">
        <v>1.03</v>
      </c>
      <c r="O11" s="47" t="n">
        <v>1.05</v>
      </c>
      <c r="P11" s="47" t="n">
        <v>1.02</v>
      </c>
      <c r="Q11" s="87" t="n">
        <v>1.02</v>
      </c>
      <c r="R11" s="88" t="n">
        <v>1.04</v>
      </c>
      <c r="S11" s="61"/>
      <c r="T11" s="87" t="n">
        <v>1.04</v>
      </c>
      <c r="U11" s="80"/>
      <c r="V11" s="58"/>
      <c r="W11" s="58"/>
      <c r="X11" s="61" t="s">
        <v>42</v>
      </c>
      <c r="Y11" s="61" t="s">
        <v>42</v>
      </c>
      <c r="Z11" s="61" t="s">
        <v>42</v>
      </c>
      <c r="AA11" s="60" t="s">
        <v>42</v>
      </c>
      <c r="AB11" s="89" t="s">
        <v>102</v>
      </c>
      <c r="AC11" s="64"/>
      <c r="AD11" s="64"/>
      <c r="AE11" s="90"/>
      <c r="AF11" s="83"/>
      <c r="AG11" s="83"/>
      <c r="AH11" s="78"/>
      <c r="AI11" s="84"/>
      <c r="AJ11" s="91"/>
      <c r="AK11" s="58"/>
      <c r="AL11" s="58"/>
      <c r="AM11" s="61"/>
      <c r="AN11" s="69"/>
      <c r="AO11" s="65"/>
      <c r="AP11" s="64"/>
      <c r="AQ11" s="70"/>
      <c r="AR11" s="70"/>
      <c r="AS11" s="92"/>
      <c r="AT11" s="92"/>
      <c r="AU11" s="93"/>
      <c r="AV11" s="82"/>
      <c r="AW11" s="74"/>
      <c r="AX11" s="74"/>
      <c r="AY11" s="74"/>
      <c r="AZ11" s="75" t="s">
        <v>42</v>
      </c>
      <c r="BA11" s="8"/>
      <c r="BB11" s="85"/>
    </row>
    <row r="12" customFormat="false" ht="12.95" hidden="false" customHeight="true" outlineLevel="0" collapsed="false">
      <c r="A12" s="14" t="s">
        <v>103</v>
      </c>
      <c r="B12" s="94"/>
      <c r="C12" s="95"/>
      <c r="D12" s="95"/>
      <c r="E12" s="95"/>
      <c r="F12" s="96"/>
      <c r="G12" s="2"/>
      <c r="H12" s="9"/>
      <c r="I12" s="2"/>
      <c r="J12" s="2"/>
      <c r="K12" s="2"/>
      <c r="L12" s="2"/>
      <c r="M12" s="97"/>
      <c r="N12" s="95"/>
      <c r="O12" s="95"/>
      <c r="P12" s="98"/>
      <c r="Q12" s="99"/>
      <c r="R12" s="100"/>
      <c r="S12" s="99"/>
      <c r="T12" s="99"/>
      <c r="U12" s="101"/>
      <c r="V12" s="84"/>
      <c r="W12" s="84"/>
      <c r="X12" s="84"/>
      <c r="Y12" s="102"/>
      <c r="Z12" s="84"/>
      <c r="AA12" s="102"/>
      <c r="AB12" s="84"/>
      <c r="AC12" s="84"/>
      <c r="AD12" s="84"/>
      <c r="AE12" s="84"/>
      <c r="AF12" s="103"/>
      <c r="AG12" s="104"/>
      <c r="AH12" s="84"/>
      <c r="AI12" s="91"/>
      <c r="AJ12" s="91"/>
      <c r="AK12" s="84"/>
      <c r="AL12" s="84"/>
      <c r="AM12" s="84"/>
      <c r="AN12" s="105"/>
      <c r="AO12" s="102"/>
      <c r="AP12" s="106"/>
      <c r="AQ12" s="106"/>
      <c r="AR12" s="106"/>
      <c r="AS12" s="106"/>
      <c r="AV12" s="107"/>
      <c r="AW12" s="108"/>
      <c r="AX12" s="108"/>
      <c r="AY12" s="108"/>
      <c r="AZ12" s="109"/>
      <c r="BA12" s="110"/>
      <c r="BB12" s="85"/>
    </row>
    <row r="13" s="115" customFormat="true" ht="12.95" hidden="false" customHeight="true" outlineLevel="0" collapsed="false">
      <c r="A13" s="111" t="s">
        <v>104</v>
      </c>
      <c r="B13" s="112" t="n">
        <v>6864.5</v>
      </c>
      <c r="C13" s="113" t="n">
        <v>173722</v>
      </c>
      <c r="D13" s="95"/>
      <c r="E13" s="95"/>
      <c r="F13" s="96"/>
      <c r="G13" s="2"/>
      <c r="H13" s="9"/>
      <c r="I13" s="2"/>
      <c r="J13" s="2"/>
      <c r="K13" s="2"/>
      <c r="L13" s="2"/>
      <c r="M13" s="97"/>
      <c r="N13" s="95"/>
      <c r="O13" s="95"/>
      <c r="P13" s="98"/>
      <c r="Q13" s="99"/>
      <c r="R13" s="99"/>
      <c r="S13" s="99"/>
      <c r="T13" s="99"/>
      <c r="U13" s="101"/>
      <c r="V13" s="84"/>
      <c r="W13" s="84"/>
      <c r="X13" s="84"/>
      <c r="Y13" s="102"/>
      <c r="Z13" s="84"/>
      <c r="AA13" s="102"/>
      <c r="AB13" s="84"/>
      <c r="AC13" s="84"/>
      <c r="AD13" s="84"/>
      <c r="AE13" s="84"/>
      <c r="AF13" s="103"/>
      <c r="AG13" s="104"/>
      <c r="AH13" s="113"/>
      <c r="AI13" s="113" t="n">
        <v>2999.8368476242</v>
      </c>
      <c r="AJ13" s="113"/>
      <c r="AK13" s="84"/>
      <c r="AL13" s="84"/>
      <c r="AM13" s="84"/>
      <c r="AN13" s="105"/>
      <c r="AO13" s="102"/>
      <c r="AP13" s="84"/>
      <c r="AQ13" s="84"/>
      <c r="AR13" s="84"/>
      <c r="AS13" s="84"/>
      <c r="AT13" s="2"/>
      <c r="AU13" s="8"/>
      <c r="AV13" s="107"/>
      <c r="AW13" s="108"/>
      <c r="AX13" s="108"/>
      <c r="AY13" s="108"/>
      <c r="AZ13" s="109"/>
      <c r="BA13" s="110"/>
      <c r="BB13" s="114"/>
    </row>
    <row r="14" customFormat="false" ht="3" hidden="false" customHeight="true" outlineLevel="0" collapsed="false">
      <c r="A14" s="116"/>
      <c r="B14" s="117"/>
      <c r="C14" s="118"/>
      <c r="D14" s="116"/>
      <c r="E14" s="118"/>
      <c r="F14" s="119"/>
      <c r="G14" s="116"/>
      <c r="H14" s="120"/>
      <c r="I14" s="116"/>
      <c r="J14" s="116"/>
      <c r="K14" s="116"/>
      <c r="L14" s="116"/>
      <c r="M14" s="121"/>
      <c r="N14" s="116"/>
      <c r="O14" s="116"/>
      <c r="P14" s="122"/>
      <c r="Q14" s="123"/>
      <c r="R14" s="123"/>
      <c r="S14" s="123"/>
      <c r="T14" s="123"/>
      <c r="U14" s="124"/>
      <c r="V14" s="123"/>
      <c r="W14" s="123"/>
      <c r="X14" s="123"/>
      <c r="Y14" s="125"/>
      <c r="Z14" s="126"/>
      <c r="AA14" s="125"/>
      <c r="AB14" s="126"/>
      <c r="AC14" s="126"/>
      <c r="AD14" s="126"/>
      <c r="AE14" s="123"/>
      <c r="AF14" s="127"/>
      <c r="AG14" s="128"/>
      <c r="AH14" s="123"/>
      <c r="AI14" s="126"/>
      <c r="AJ14" s="126"/>
      <c r="AK14" s="123"/>
      <c r="AL14" s="123"/>
      <c r="AM14" s="123"/>
      <c r="AN14" s="129"/>
      <c r="AO14" s="125"/>
      <c r="AP14" s="130"/>
      <c r="AQ14" s="130"/>
      <c r="AR14" s="130"/>
      <c r="AS14" s="130"/>
      <c r="AT14" s="130"/>
      <c r="AU14" s="131"/>
      <c r="AV14" s="132"/>
      <c r="AW14" s="130"/>
      <c r="AX14" s="130"/>
      <c r="AY14" s="130"/>
      <c r="AZ14" s="130"/>
      <c r="BA14" s="130"/>
      <c r="BB14" s="130"/>
    </row>
    <row r="15" customFormat="false" ht="12.95" hidden="false" customHeight="true" outlineLevel="0" collapsed="false">
      <c r="A15" s="10" t="n">
        <v>1</v>
      </c>
      <c r="B15" s="133" t="n">
        <v>6864.59</v>
      </c>
      <c r="C15" s="95" t="n">
        <v>173943</v>
      </c>
      <c r="D15" s="134" t="n">
        <f aca="false">C15-C13</f>
        <v>221</v>
      </c>
      <c r="E15" s="95" t="n">
        <f aca="false">C15-152000</f>
        <v>21943</v>
      </c>
      <c r="F15" s="135" t="n">
        <f aca="false">D15/$D$2</f>
        <v>111.419208469876</v>
      </c>
      <c r="G15" s="11" t="n">
        <v>141</v>
      </c>
      <c r="H15" s="12" t="n">
        <v>0.43</v>
      </c>
      <c r="I15" s="11" t="n">
        <f aca="false">G15+H15</f>
        <v>141.43</v>
      </c>
      <c r="J15" s="4" t="n">
        <f aca="false">IF(L15&gt;0,L15,0)</f>
        <v>0</v>
      </c>
      <c r="K15" s="11" t="n">
        <f aca="false">I15+J15</f>
        <v>141.43</v>
      </c>
      <c r="L15" s="11" t="n">
        <f aca="false">F15-(I15-AK15)</f>
        <v>-11.0107915301235</v>
      </c>
      <c r="M15" s="136" t="n">
        <v>1.7</v>
      </c>
      <c r="N15" s="137" t="n">
        <v>0</v>
      </c>
      <c r="O15" s="137" t="n">
        <f aca="false">8.38*1.05</f>
        <v>8.799</v>
      </c>
      <c r="P15" s="98" t="n">
        <v>0</v>
      </c>
      <c r="Q15" s="138" t="n">
        <f aca="false">949500/325851/1.9835*1.02</f>
        <v>1.49845559580414</v>
      </c>
      <c r="R15" s="138" t="n">
        <f aca="false">((1208448/646272)*1.04)-T15</f>
        <v>1.47493759172906</v>
      </c>
      <c r="S15" s="139" t="n">
        <v>0</v>
      </c>
      <c r="T15" s="140" t="n">
        <f aca="false">(0.4261*1.06)*1.04</f>
        <v>0.46973264</v>
      </c>
      <c r="U15" s="101" t="n">
        <f aca="false">M15-(Q15+R15+S15+T15)</f>
        <v>-1.74312582753319</v>
      </c>
      <c r="V15" s="141" t="n">
        <v>0</v>
      </c>
      <c r="W15" s="141" t="n">
        <v>0</v>
      </c>
      <c r="X15" s="142" t="n">
        <f aca="false">M15-N15-O15-P15-Q15-R15-S15-T15-U15+V15+W15-AU15+AR15</f>
        <v>-8.799</v>
      </c>
      <c r="Y15" s="143" t="n">
        <f aca="false">X15-AO15</f>
        <v>-8.799</v>
      </c>
      <c r="Z15" s="84"/>
      <c r="AA15" s="143"/>
      <c r="AB15" s="84"/>
      <c r="AC15" s="141" t="n">
        <v>100</v>
      </c>
      <c r="AD15" s="84"/>
      <c r="AE15" s="141" t="n">
        <v>0</v>
      </c>
      <c r="AF15" s="144"/>
      <c r="AG15" s="145"/>
      <c r="AH15" s="141" t="n">
        <v>17.3</v>
      </c>
      <c r="AI15" s="84" t="n">
        <f aca="false">AI13-AH15</f>
        <v>2982.5368476242</v>
      </c>
      <c r="AJ15" s="84"/>
      <c r="AK15" s="141" t="n">
        <f aca="false">N15+O15+P15+Q15+R15+S15+T15+U15+X15+AE15+AH15</f>
        <v>19</v>
      </c>
      <c r="AL15" s="141" t="n">
        <f aca="false">IF(L15&lt;0,L15*-1,0)</f>
        <v>11.0107915301235</v>
      </c>
      <c r="AM15" s="141" t="n">
        <f aca="false">AK15+AL15</f>
        <v>30.0107915301235</v>
      </c>
      <c r="AN15" s="146" t="n">
        <f aca="false">V15</f>
        <v>0</v>
      </c>
      <c r="AO15" s="102"/>
      <c r="AP15" s="106"/>
      <c r="AQ15" s="106"/>
      <c r="AR15" s="106"/>
      <c r="AS15" s="106"/>
      <c r="AU15" s="5"/>
      <c r="AV15" s="147" t="n">
        <v>0</v>
      </c>
      <c r="AW15" s="108" t="n">
        <v>53</v>
      </c>
      <c r="AX15" s="108" t="n">
        <v>28</v>
      </c>
      <c r="AY15" s="108"/>
      <c r="AZ15" s="109" t="n">
        <f aca="false">SUM(N15,P15:U15)</f>
        <v>1.7</v>
      </c>
      <c r="BA15" s="0" t="n">
        <v>0</v>
      </c>
      <c r="BB15" s="148" t="n">
        <v>6444</v>
      </c>
    </row>
    <row r="16" customFormat="false" ht="12.95" hidden="false" customHeight="true" outlineLevel="0" collapsed="false">
      <c r="A16" s="10" t="n">
        <f aca="false">A15+1</f>
        <v>2</v>
      </c>
      <c r="B16" s="133" t="n">
        <v>6864.69</v>
      </c>
      <c r="C16" s="95" t="n">
        <v>174188</v>
      </c>
      <c r="D16" s="134" t="n">
        <f aca="false">C16-C15</f>
        <v>245</v>
      </c>
      <c r="E16" s="95" t="n">
        <f aca="false">C16-152000</f>
        <v>22188</v>
      </c>
      <c r="F16" s="135" t="n">
        <f aca="false">D16/$D$2</f>
        <v>123.519032014116</v>
      </c>
      <c r="G16" s="11" t="n">
        <v>138</v>
      </c>
      <c r="H16" s="12" t="n">
        <v>0.256</v>
      </c>
      <c r="I16" s="11" t="n">
        <f aca="false">G16+H16</f>
        <v>138.256</v>
      </c>
      <c r="J16" s="4" t="n">
        <f aca="false">IF(L16&gt;0,L16,0)</f>
        <v>4.53303201411646</v>
      </c>
      <c r="K16" s="11" t="n">
        <f aca="false">I16+J16</f>
        <v>142.789032014116</v>
      </c>
      <c r="L16" s="11" t="n">
        <f aca="false">F16-(I16-AK16)</f>
        <v>4.53303201411646</v>
      </c>
      <c r="M16" s="136" t="n">
        <v>1.37</v>
      </c>
      <c r="N16" s="137" t="n">
        <v>0</v>
      </c>
      <c r="O16" s="137" t="n">
        <f aca="false">1.42*1.05</f>
        <v>1.491</v>
      </c>
      <c r="P16" s="98" t="n">
        <v>0</v>
      </c>
      <c r="Q16" s="138" t="n">
        <f aca="false">1060700/325851/1.9835*1.02</f>
        <v>1.67394613003628</v>
      </c>
      <c r="R16" s="138" t="n">
        <f aca="false">((1140614/646272)*1.04)-T16</f>
        <v>1.36577711440681</v>
      </c>
      <c r="S16" s="138" t="n">
        <v>0</v>
      </c>
      <c r="T16" s="140" t="n">
        <f aca="false">(0.4261*1.06)*1.04</f>
        <v>0.46973264</v>
      </c>
      <c r="U16" s="101" t="n">
        <f aca="false">M16-(Q16+R16+S16+T16)</f>
        <v>-2.13945588444309</v>
      </c>
      <c r="V16" s="141" t="n">
        <v>0</v>
      </c>
      <c r="W16" s="141" t="n">
        <v>0</v>
      </c>
      <c r="X16" s="142" t="n">
        <f aca="false">M16-N16-O16-P16-Q16-R16-S16-T16-U16+V16+W16-AU16+AR16</f>
        <v>-1.491</v>
      </c>
      <c r="Y16" s="143" t="n">
        <f aca="false">X16-AO16</f>
        <v>-1.491</v>
      </c>
      <c r="Z16" s="84"/>
      <c r="AA16" s="143"/>
      <c r="AB16" s="84"/>
      <c r="AC16" s="141" t="n">
        <v>100</v>
      </c>
      <c r="AD16" s="84"/>
      <c r="AE16" s="141" t="n">
        <v>0</v>
      </c>
      <c r="AF16" s="144"/>
      <c r="AG16" s="145"/>
      <c r="AH16" s="141" t="n">
        <v>17.9</v>
      </c>
      <c r="AI16" s="84" t="n">
        <f aca="false">AI15-AH16</f>
        <v>2964.6368476242</v>
      </c>
      <c r="AJ16" s="84"/>
      <c r="AK16" s="141" t="n">
        <f aca="false">N16+O16+P16+Q16+R16+S16+T16+U16+X16+AE16+AH16</f>
        <v>19.27</v>
      </c>
      <c r="AL16" s="141" t="n">
        <f aca="false">IF(L16&lt;0,L16*-1,0)</f>
        <v>0</v>
      </c>
      <c r="AM16" s="141" t="n">
        <f aca="false">AK16+AL16</f>
        <v>19.27</v>
      </c>
      <c r="AN16" s="105"/>
      <c r="AO16" s="102"/>
      <c r="AP16" s="106"/>
      <c r="AQ16" s="106"/>
      <c r="AR16" s="106"/>
      <c r="AS16" s="106"/>
      <c r="AU16" s="5"/>
      <c r="AV16" s="107" t="n">
        <v>0</v>
      </c>
      <c r="AW16" s="108" t="n">
        <v>62</v>
      </c>
      <c r="AX16" s="108" t="n">
        <v>28</v>
      </c>
      <c r="AY16" s="108"/>
      <c r="AZ16" s="109" t="n">
        <f aca="false">SUM(N16,P16:U16)</f>
        <v>1.37</v>
      </c>
      <c r="BA16" s="0" t="n">
        <v>0</v>
      </c>
      <c r="BB16" s="148" t="n">
        <v>6450</v>
      </c>
    </row>
    <row r="17" customFormat="false" ht="12.95" hidden="false" customHeight="true" outlineLevel="0" collapsed="false">
      <c r="A17" s="10" t="n">
        <f aca="false">A16+1</f>
        <v>3</v>
      </c>
      <c r="B17" s="133" t="n">
        <v>6864.78</v>
      </c>
      <c r="C17" s="95" t="n">
        <v>174410</v>
      </c>
      <c r="D17" s="134" t="n">
        <f aca="false">C17-C16</f>
        <v>222</v>
      </c>
      <c r="E17" s="95" t="n">
        <f aca="false">C17-152000</f>
        <v>22410</v>
      </c>
      <c r="F17" s="135" t="n">
        <f aca="false">D17/$D$2</f>
        <v>111.92336778422</v>
      </c>
      <c r="G17" s="11" t="n">
        <v>142</v>
      </c>
      <c r="H17" s="12" t="n">
        <v>0.219</v>
      </c>
      <c r="I17" s="11" t="n">
        <f aca="false">G17+H17</f>
        <v>142.219</v>
      </c>
      <c r="J17" s="4" t="n">
        <f aca="false">IF(L17&gt;0,L17,0)</f>
        <v>0</v>
      </c>
      <c r="K17" s="11" t="n">
        <f aca="false">I17+J17</f>
        <v>142.219</v>
      </c>
      <c r="L17" s="11" t="n">
        <f aca="false">F17-(I17-AK17)</f>
        <v>-10.1356322157802</v>
      </c>
      <c r="M17" s="136" t="n">
        <v>1.66</v>
      </c>
      <c r="N17" s="137" t="n">
        <v>0</v>
      </c>
      <c r="O17" s="137" t="n">
        <f aca="false">0*1.05</f>
        <v>0</v>
      </c>
      <c r="P17" s="98" t="n">
        <v>0</v>
      </c>
      <c r="Q17" s="138" t="n">
        <f aca="false">1149000/325851/1.9835*1.02</f>
        <v>1.81329697691306</v>
      </c>
      <c r="R17" s="138" t="n">
        <f aca="false">((1204506/646272)*1.04)-T17</f>
        <v>1.46859400884135</v>
      </c>
      <c r="S17" s="138" t="n">
        <v>0</v>
      </c>
      <c r="T17" s="140" t="n">
        <f aca="false">(0.4261*1.06)*1.04</f>
        <v>0.46973264</v>
      </c>
      <c r="U17" s="101" t="n">
        <f aca="false">M17-(Q17+R17+S17+T17)</f>
        <v>-2.09162362575442</v>
      </c>
      <c r="V17" s="141" t="n">
        <v>0</v>
      </c>
      <c r="W17" s="141" t="n">
        <v>0</v>
      </c>
      <c r="X17" s="142" t="n">
        <f aca="false">M17-N17-O17-P17-Q17-R17-S17-T17-U17+V17+W17-AU17+AR17</f>
        <v>0</v>
      </c>
      <c r="Y17" s="143" t="n">
        <f aca="false">X17-AO17</f>
        <v>0</v>
      </c>
      <c r="Z17" s="84"/>
      <c r="AA17" s="143"/>
      <c r="AB17" s="84"/>
      <c r="AC17" s="141" t="n">
        <v>100</v>
      </c>
      <c r="AD17" s="84"/>
      <c r="AE17" s="141" t="n">
        <v>0</v>
      </c>
      <c r="AF17" s="144"/>
      <c r="AG17" s="145"/>
      <c r="AH17" s="141" t="n">
        <v>18.5</v>
      </c>
      <c r="AI17" s="84" t="n">
        <f aca="false">AI16-AH17</f>
        <v>2946.1368476242</v>
      </c>
      <c r="AJ17" s="84"/>
      <c r="AK17" s="141" t="n">
        <f aca="false">N17+O17+P17+Q17+R17+S17+T17+U17+X17+AE17+AH17</f>
        <v>20.16</v>
      </c>
      <c r="AL17" s="141" t="n">
        <f aca="false">IF(L17&lt;0,L17*-1,0)</f>
        <v>10.1356322157802</v>
      </c>
      <c r="AM17" s="141" t="n">
        <f aca="false">AK17+AL17</f>
        <v>30.2956322157802</v>
      </c>
      <c r="AN17" s="105"/>
      <c r="AO17" s="102"/>
      <c r="AP17" s="106"/>
      <c r="AQ17" s="106"/>
      <c r="AR17" s="106"/>
      <c r="AS17" s="106"/>
      <c r="AU17" s="5"/>
      <c r="AV17" s="107" t="n">
        <v>0</v>
      </c>
      <c r="AW17" s="108" t="n">
        <v>61</v>
      </c>
      <c r="AX17" s="108" t="n">
        <v>34</v>
      </c>
      <c r="AY17" s="108"/>
      <c r="AZ17" s="109" t="n">
        <f aca="false">SUM(N17,P17:U17)</f>
        <v>1.66</v>
      </c>
      <c r="BA17" s="0" t="n">
        <v>0</v>
      </c>
      <c r="BB17" s="148" t="n">
        <v>6463</v>
      </c>
    </row>
    <row r="18" customFormat="false" ht="12.95" hidden="false" customHeight="true" outlineLevel="0" collapsed="false">
      <c r="A18" s="10" t="n">
        <f aca="false">A17+1</f>
        <v>4</v>
      </c>
      <c r="B18" s="133" t="n">
        <v>6864.87</v>
      </c>
      <c r="C18" s="95" t="n">
        <v>174631</v>
      </c>
      <c r="D18" s="134" t="n">
        <f aca="false">C18-C17</f>
        <v>221</v>
      </c>
      <c r="E18" s="95" t="n">
        <f aca="false">C18-152000</f>
        <v>22631</v>
      </c>
      <c r="F18" s="135" t="n">
        <f aca="false">D18/$D$2</f>
        <v>111.419208469876</v>
      </c>
      <c r="G18" s="11" t="n">
        <v>135</v>
      </c>
      <c r="H18" s="12" t="n">
        <v>0.187</v>
      </c>
      <c r="I18" s="11" t="n">
        <f aca="false">G18+H18</f>
        <v>135.187</v>
      </c>
      <c r="J18" s="4" t="n">
        <f aca="false">IF(L18&gt;0,L18,0)</f>
        <v>0</v>
      </c>
      <c r="K18" s="11" t="n">
        <f aca="false">I18+J18</f>
        <v>135.187</v>
      </c>
      <c r="L18" s="11" t="n">
        <f aca="false">F18-(I18-AK18)</f>
        <v>-3.57779153012353</v>
      </c>
      <c r="M18" s="136" t="n">
        <v>1.69</v>
      </c>
      <c r="N18" s="137" t="n">
        <v>0</v>
      </c>
      <c r="O18" s="137" t="n">
        <f aca="false">0*1.05</f>
        <v>0</v>
      </c>
      <c r="P18" s="98" t="n">
        <v>0</v>
      </c>
      <c r="Q18" s="138" t="n">
        <f aca="false">957900/325851/1.9835*1.02</f>
        <v>1.51171207500872</v>
      </c>
      <c r="R18" s="138" t="n">
        <f aca="false">((1047304/646272)*1.04)-T18</f>
        <v>1.21561990505843</v>
      </c>
      <c r="S18" s="138" t="n">
        <v>0</v>
      </c>
      <c r="T18" s="140" t="n">
        <f aca="false">(0.4261*1.06)*1.04</f>
        <v>0.46973264</v>
      </c>
      <c r="U18" s="101" t="n">
        <f aca="false">M18-(Q18+R18+S18+T18)</f>
        <v>-1.50706462006715</v>
      </c>
      <c r="V18" s="141" t="n">
        <v>0</v>
      </c>
      <c r="W18" s="141" t="n">
        <v>0</v>
      </c>
      <c r="X18" s="142" t="n">
        <f aca="false">M18-N18-O18-P18-Q18-R18-S18-T18-U18+V18+W18-AU18+AR18</f>
        <v>0</v>
      </c>
      <c r="Y18" s="143" t="n">
        <f aca="false">X18-AO18</f>
        <v>0</v>
      </c>
      <c r="Z18" s="84"/>
      <c r="AA18" s="143"/>
      <c r="AB18" s="84"/>
      <c r="AC18" s="141" t="n">
        <v>100</v>
      </c>
      <c r="AD18" s="84"/>
      <c r="AE18" s="141" t="n">
        <v>0</v>
      </c>
      <c r="AF18" s="144"/>
      <c r="AG18" s="145"/>
      <c r="AH18" s="141" t="n">
        <v>18.5</v>
      </c>
      <c r="AI18" s="84" t="n">
        <f aca="false">AI17-AH18</f>
        <v>2927.6368476242</v>
      </c>
      <c r="AJ18" s="84"/>
      <c r="AK18" s="141" t="n">
        <f aca="false">N18+O18+P18+Q18+R18+S18+T18+U18+X18+AE18+AH18</f>
        <v>20.19</v>
      </c>
      <c r="AL18" s="141" t="n">
        <f aca="false">IF(L18&lt;0,L18*-1,0)</f>
        <v>3.57779153012353</v>
      </c>
      <c r="AM18" s="141" t="n">
        <f aca="false">AK18+AL18</f>
        <v>23.7677915301235</v>
      </c>
      <c r="AN18" s="105"/>
      <c r="AO18" s="102"/>
      <c r="AP18" s="106"/>
      <c r="AQ18" s="106"/>
      <c r="AR18" s="106"/>
      <c r="AS18" s="106"/>
      <c r="AU18" s="5"/>
      <c r="AV18" s="107" t="n">
        <v>0</v>
      </c>
      <c r="AW18" s="108" t="n">
        <v>53</v>
      </c>
      <c r="AX18" s="108" t="n">
        <v>28</v>
      </c>
      <c r="AY18" s="108"/>
      <c r="AZ18" s="109" t="n">
        <f aca="false">SUM(N18,P18:U18)</f>
        <v>1.69</v>
      </c>
      <c r="BA18" s="0" t="n">
        <v>0</v>
      </c>
      <c r="BB18" s="148" t="n">
        <v>6474</v>
      </c>
    </row>
    <row r="19" customFormat="false" ht="12.95" hidden="false" customHeight="true" outlineLevel="0" collapsed="false">
      <c r="A19" s="10" t="n">
        <f aca="false">A18+1</f>
        <v>5</v>
      </c>
      <c r="B19" s="133" t="n">
        <v>6864.97</v>
      </c>
      <c r="C19" s="95" t="n">
        <v>174876</v>
      </c>
      <c r="D19" s="134" t="n">
        <f aca="false">C19-C18</f>
        <v>245</v>
      </c>
      <c r="E19" s="95" t="n">
        <f aca="false">C19-152000</f>
        <v>22876</v>
      </c>
      <c r="F19" s="135" t="n">
        <f aca="false">D19/$D$2</f>
        <v>123.519032014116</v>
      </c>
      <c r="G19" s="11" t="n">
        <v>137</v>
      </c>
      <c r="H19" s="12" t="n">
        <v>0.149</v>
      </c>
      <c r="I19" s="11" t="n">
        <f aca="false">G19+H19</f>
        <v>137.149</v>
      </c>
      <c r="J19" s="4" t="n">
        <f aca="false">IF(L19&gt;0,L19,0)</f>
        <v>6.35003201411647</v>
      </c>
      <c r="K19" s="11" t="n">
        <f aca="false">I19+J19</f>
        <v>143.499032014116</v>
      </c>
      <c r="L19" s="11" t="n">
        <f aca="false">F19-(I19-AK19)</f>
        <v>6.35003201411647</v>
      </c>
      <c r="M19" s="136" t="n">
        <v>1.88</v>
      </c>
      <c r="N19" s="137" t="n">
        <v>0</v>
      </c>
      <c r="O19" s="137" t="n">
        <f aca="false">0*1.05</f>
        <v>0</v>
      </c>
      <c r="P19" s="98" t="n">
        <v>0</v>
      </c>
      <c r="Q19" s="138" t="n">
        <f aca="false">932600/325851/1.9835*1.02</f>
        <v>1.47178482216634</v>
      </c>
      <c r="R19" s="138" t="n">
        <f aca="false">((1130240/646272)*1.04)-T19</f>
        <v>1.3490829670509</v>
      </c>
      <c r="S19" s="138" t="n">
        <v>0</v>
      </c>
      <c r="T19" s="140" t="n">
        <f aca="false">(0.4261*1.06)*1.04</f>
        <v>0.46973264</v>
      </c>
      <c r="U19" s="101" t="n">
        <f aca="false">M19-(Q19+R19+S19+T19)</f>
        <v>-1.41060042921724</v>
      </c>
      <c r="V19" s="141" t="n">
        <v>0</v>
      </c>
      <c r="W19" s="141" t="n">
        <v>0</v>
      </c>
      <c r="X19" s="142" t="n">
        <f aca="false">M19-N19-O19-P19-Q19-R19-S19-T19-U19+V19+W19-AU19+AR19</f>
        <v>0</v>
      </c>
      <c r="Y19" s="143" t="n">
        <f aca="false">X19-AO19</f>
        <v>0</v>
      </c>
      <c r="Z19" s="84"/>
      <c r="AA19" s="143"/>
      <c r="AB19" s="84"/>
      <c r="AC19" s="141" t="n">
        <v>100</v>
      </c>
      <c r="AD19" s="84"/>
      <c r="AE19" s="141" t="n">
        <v>0</v>
      </c>
      <c r="AF19" s="144"/>
      <c r="AG19" s="145"/>
      <c r="AH19" s="141" t="n">
        <v>18.1</v>
      </c>
      <c r="AI19" s="84" t="n">
        <f aca="false">AI18-AH19</f>
        <v>2909.5368476242</v>
      </c>
      <c r="AJ19" s="84"/>
      <c r="AK19" s="141" t="n">
        <f aca="false">N19+O19+P19+Q19+R19+S19+T19+U19+X19+AE19+AH19</f>
        <v>19.98</v>
      </c>
      <c r="AL19" s="141" t="n">
        <f aca="false">IF(L19&lt;0,L19*-1,0)</f>
        <v>0</v>
      </c>
      <c r="AM19" s="141" t="n">
        <f aca="false">AK19+AL19</f>
        <v>19.98</v>
      </c>
      <c r="AN19" s="105"/>
      <c r="AO19" s="102"/>
      <c r="AP19" s="106"/>
      <c r="AQ19" s="106"/>
      <c r="AR19" s="106"/>
      <c r="AS19" s="106"/>
      <c r="AU19" s="5"/>
      <c r="AV19" s="107" t="n">
        <v>0</v>
      </c>
      <c r="AW19" s="108" t="n">
        <v>42</v>
      </c>
      <c r="AX19" s="108" t="n">
        <v>19</v>
      </c>
      <c r="AY19" s="108"/>
      <c r="AZ19" s="109" t="n">
        <f aca="false">SUM(N19,P19:U19)</f>
        <v>1.88</v>
      </c>
      <c r="BA19" s="0" t="n">
        <v>0</v>
      </c>
      <c r="BB19" s="148" t="n">
        <v>6490</v>
      </c>
    </row>
    <row r="20" customFormat="false" ht="12.95" hidden="false" customHeight="true" outlineLevel="0" collapsed="false">
      <c r="A20" s="10" t="n">
        <f aca="false">A19+1</f>
        <v>6</v>
      </c>
      <c r="B20" s="133" t="n">
        <v>6865</v>
      </c>
      <c r="C20" s="95" t="n">
        <v>174950</v>
      </c>
      <c r="D20" s="134" t="n">
        <f aca="false">C20-C19</f>
        <v>74</v>
      </c>
      <c r="E20" s="95" t="n">
        <f aca="false">C20-152000</f>
        <v>22950</v>
      </c>
      <c r="F20" s="135" t="n">
        <f aca="false">D20/$D$2</f>
        <v>37.3077892614066</v>
      </c>
      <c r="G20" s="11" t="n">
        <v>104</v>
      </c>
      <c r="H20" s="12" t="n">
        <v>0.105</v>
      </c>
      <c r="I20" s="11" t="n">
        <f aca="false">G20+H20</f>
        <v>104.105</v>
      </c>
      <c r="J20" s="4" t="n">
        <f aca="false">IF(L20&gt;0,L20,0)</f>
        <v>0</v>
      </c>
      <c r="K20" s="11" t="n">
        <f aca="false">I20+J20</f>
        <v>104.105</v>
      </c>
      <c r="L20" s="11" t="n">
        <f aca="false">F20-(I20-AK20)</f>
        <v>-46.6972107385934</v>
      </c>
      <c r="M20" s="136" t="n">
        <v>2.2</v>
      </c>
      <c r="N20" s="137" t="n">
        <v>0</v>
      </c>
      <c r="O20" s="137" t="n">
        <f aca="false">0*1.05</f>
        <v>0</v>
      </c>
      <c r="P20" s="98" t="n">
        <v>0</v>
      </c>
      <c r="Q20" s="138" t="n">
        <f aca="false">1249900/325851/1.9835*1.02</f>
        <v>1.97253254259673</v>
      </c>
      <c r="R20" s="138" t="n">
        <f aca="false">((1243288/646272)*1.04)-T20</f>
        <v>1.5310031492652</v>
      </c>
      <c r="S20" s="138" t="n">
        <v>0</v>
      </c>
      <c r="T20" s="140" t="n">
        <f aca="false">(0.4261*1.06)*1.04</f>
        <v>0.46973264</v>
      </c>
      <c r="U20" s="101" t="n">
        <f aca="false">M20-(Q20+R20+S20+T20)</f>
        <v>-1.77326833186193</v>
      </c>
      <c r="V20" s="141" t="n">
        <v>0</v>
      </c>
      <c r="W20" s="141" t="n">
        <v>0</v>
      </c>
      <c r="X20" s="142" t="n">
        <f aca="false">M20-N20-O20-P20-Q20-R20-S20-T20-U20+V20+W20-AU20+AR20</f>
        <v>0</v>
      </c>
      <c r="Y20" s="143" t="n">
        <f aca="false">X20-AO20</f>
        <v>0</v>
      </c>
      <c r="Z20" s="84"/>
      <c r="AA20" s="143"/>
      <c r="AB20" s="84"/>
      <c r="AC20" s="141" t="n">
        <v>100</v>
      </c>
      <c r="AD20" s="84"/>
      <c r="AE20" s="141" t="n">
        <v>0</v>
      </c>
      <c r="AF20" s="144"/>
      <c r="AG20" s="145"/>
      <c r="AH20" s="141" t="n">
        <v>17.9</v>
      </c>
      <c r="AI20" s="84" t="n">
        <f aca="false">AI19-AH20</f>
        <v>2891.6368476242</v>
      </c>
      <c r="AJ20" s="84"/>
      <c r="AK20" s="141" t="n">
        <f aca="false">N20+O20+P20+Q20+R20+S20+T20+U20+X20+AE20+AH20</f>
        <v>20.1</v>
      </c>
      <c r="AL20" s="141" t="n">
        <f aca="false">IF(L20&lt;0,L20*-1,0)</f>
        <v>46.6972107385934</v>
      </c>
      <c r="AM20" s="141" t="n">
        <f aca="false">AK20+AL20</f>
        <v>66.7972107385934</v>
      </c>
      <c r="AN20" s="105"/>
      <c r="AO20" s="102"/>
      <c r="AP20" s="106"/>
      <c r="AQ20" s="106"/>
      <c r="AR20" s="106"/>
      <c r="AS20" s="106"/>
      <c r="AU20" s="5"/>
      <c r="AV20" s="107" t="n">
        <v>0</v>
      </c>
      <c r="AW20" s="108" t="n">
        <v>52</v>
      </c>
      <c r="AX20" s="108" t="n">
        <v>17</v>
      </c>
      <c r="AY20" s="108"/>
      <c r="AZ20" s="109" t="n">
        <f aca="false">SUM(N20,P20:U20)</f>
        <v>2.2</v>
      </c>
      <c r="BA20" s="0" t="n">
        <v>0</v>
      </c>
      <c r="BB20" s="148" t="n">
        <v>6493</v>
      </c>
    </row>
    <row r="21" customFormat="false" ht="12.75" hidden="false" customHeight="true" outlineLevel="0" collapsed="false">
      <c r="A21" s="10" t="n">
        <f aca="false">A20+1</f>
        <v>7</v>
      </c>
      <c r="B21" s="133" t="n">
        <v>6865.08</v>
      </c>
      <c r="C21" s="95" t="n">
        <v>175150</v>
      </c>
      <c r="D21" s="134" t="n">
        <f aca="false">C21-C20</f>
        <v>200</v>
      </c>
      <c r="E21" s="95" t="n">
        <f aca="false">C21-152000</f>
        <v>23150</v>
      </c>
      <c r="F21" s="135" t="n">
        <f aca="false">D21/$D$2</f>
        <v>100.831862868667</v>
      </c>
      <c r="G21" s="11" t="n">
        <v>110</v>
      </c>
      <c r="H21" s="12" t="n">
        <v>0.09</v>
      </c>
      <c r="I21" s="11" t="n">
        <f aca="false">G21+H21</f>
        <v>110.09</v>
      </c>
      <c r="J21" s="4" t="n">
        <f aca="false">IF(L21&gt;0,L21,0)</f>
        <v>11.8618628686665</v>
      </c>
      <c r="K21" s="11" t="n">
        <f aca="false">I21+J21</f>
        <v>121.951862868667</v>
      </c>
      <c r="L21" s="11" t="n">
        <f aca="false">F21-(I21-AK21)</f>
        <v>11.8618628686665</v>
      </c>
      <c r="M21" s="136" t="n">
        <v>3.22</v>
      </c>
      <c r="N21" s="137" t="n">
        <v>0</v>
      </c>
      <c r="O21" s="137" t="n">
        <f aca="false">0.214*1.05</f>
        <v>0.2247</v>
      </c>
      <c r="P21" s="98" t="n">
        <v>0</v>
      </c>
      <c r="Q21" s="138" t="n">
        <f aca="false">968200/325851/1.9835*1.02</f>
        <v>1.52796704355721</v>
      </c>
      <c r="R21" s="138" t="n">
        <f aca="false">((1139168/646272)*1.04)-T21</f>
        <v>1.36345016847693</v>
      </c>
      <c r="S21" s="138" t="n">
        <v>0</v>
      </c>
      <c r="T21" s="140" t="n">
        <f aca="false">(0.4261*1.06)*1.04</f>
        <v>0.46973264</v>
      </c>
      <c r="U21" s="101" t="n">
        <f aca="false">M21-(Q21+R21+S21+T21)</f>
        <v>-0.141149852034131</v>
      </c>
      <c r="V21" s="141" t="n">
        <v>0</v>
      </c>
      <c r="W21" s="141" t="n">
        <v>0</v>
      </c>
      <c r="X21" s="142" t="n">
        <f aca="false">M21-N21-O21-P21-Q21-R21-S21-T21-U21+V21+W21-AU21+AR21</f>
        <v>-0.2247</v>
      </c>
      <c r="Y21" s="143" t="n">
        <f aca="false">X21-AO21</f>
        <v>-0.2247</v>
      </c>
      <c r="Z21" s="84"/>
      <c r="AA21" s="143"/>
      <c r="AB21" s="84"/>
      <c r="AC21" s="141" t="n">
        <v>100</v>
      </c>
      <c r="AD21" s="84"/>
      <c r="AE21" s="141" t="n">
        <v>0</v>
      </c>
      <c r="AF21" s="144"/>
      <c r="AG21" s="145"/>
      <c r="AH21" s="141" t="n">
        <v>17.9</v>
      </c>
      <c r="AI21" s="84" t="n">
        <f aca="false">AI20-AH21</f>
        <v>2873.7368476242</v>
      </c>
      <c r="AJ21" s="84"/>
      <c r="AK21" s="141" t="n">
        <f aca="false">N21+O21+P21+Q21+R21+S21+T21+U21+X21+AE21+AH21</f>
        <v>21.12</v>
      </c>
      <c r="AL21" s="141" t="n">
        <f aca="false">IF(L21&lt;0,L21*-1,0)</f>
        <v>0</v>
      </c>
      <c r="AM21" s="141" t="n">
        <f aca="false">AK21+AL21</f>
        <v>21.12</v>
      </c>
      <c r="AN21" s="105"/>
      <c r="AO21" s="102"/>
      <c r="AP21" s="106"/>
      <c r="AQ21" s="106"/>
      <c r="AR21" s="106"/>
      <c r="AS21" s="106"/>
      <c r="AU21" s="5"/>
      <c r="AV21" s="107" t="n">
        <v>0</v>
      </c>
      <c r="AW21" s="108" t="n">
        <v>59</v>
      </c>
      <c r="AX21" s="108" t="n">
        <v>25</v>
      </c>
      <c r="AY21" s="108"/>
      <c r="AZ21" s="109" t="n">
        <f aca="false">SUM(N21,P21:U21)</f>
        <v>3.22</v>
      </c>
      <c r="BA21" s="0" t="n">
        <v>0</v>
      </c>
      <c r="BB21" s="148" t="n">
        <v>6484</v>
      </c>
    </row>
    <row r="22" customFormat="false" ht="12.75" hidden="false" customHeight="true" outlineLevel="0" collapsed="false">
      <c r="A22" s="10" t="n">
        <f aca="false">A21+1</f>
        <v>8</v>
      </c>
      <c r="B22" s="133" t="n">
        <v>6865.15</v>
      </c>
      <c r="C22" s="95" t="n">
        <v>175324</v>
      </c>
      <c r="D22" s="134" t="n">
        <f aca="false">C22-C21</f>
        <v>174</v>
      </c>
      <c r="E22" s="95" t="n">
        <f aca="false">C22-152000</f>
        <v>23324</v>
      </c>
      <c r="F22" s="135" t="n">
        <f aca="false">D22/$D$2</f>
        <v>87.7237206957399</v>
      </c>
      <c r="G22" s="11" t="n">
        <v>125</v>
      </c>
      <c r="H22" s="12" t="n">
        <v>0.09</v>
      </c>
      <c r="I22" s="11" t="n">
        <f aca="false">G22+H22</f>
        <v>125.09</v>
      </c>
      <c r="J22" s="4" t="n">
        <f aca="false">IF(L22&gt;0,L22,0)</f>
        <v>0</v>
      </c>
      <c r="K22" s="11" t="n">
        <f aca="false">I22+J22</f>
        <v>125.09</v>
      </c>
      <c r="L22" s="11" t="n">
        <f aca="false">F22-(I22-AK22)</f>
        <v>-16.2462793042601</v>
      </c>
      <c r="M22" s="136" t="n">
        <v>3.22</v>
      </c>
      <c r="N22" s="137" t="n">
        <v>0</v>
      </c>
      <c r="O22" s="137" t="n">
        <f aca="false">0*1.05</f>
        <v>0</v>
      </c>
      <c r="P22" s="98" t="n">
        <v>0</v>
      </c>
      <c r="Q22" s="138" t="n">
        <f aca="false">951200/325851/1.9835*1.02</f>
        <v>1.50113845469078</v>
      </c>
      <c r="R22" s="138" t="n">
        <f aca="false">((1028896/646272)*1.04)-T22</f>
        <v>1.21862824749455</v>
      </c>
      <c r="S22" s="138" t="n">
        <v>0</v>
      </c>
      <c r="T22" s="140" t="n">
        <f aca="false">(0.3965*1.06)*1.04</f>
        <v>0.4371016</v>
      </c>
      <c r="U22" s="101" t="n">
        <f aca="false">M22-(Q22+R22+S22+T22)</f>
        <v>0.0631316978146663</v>
      </c>
      <c r="V22" s="141" t="n">
        <v>0</v>
      </c>
      <c r="W22" s="141" t="n">
        <v>0</v>
      </c>
      <c r="X22" s="142" t="n">
        <f aca="false">M22-N22-O22-P22-Q22-R22-S22-T22-U22+V22+W22-AU22+AR22</f>
        <v>0</v>
      </c>
      <c r="Y22" s="143" t="n">
        <f aca="false">X22-AO22</f>
        <v>0</v>
      </c>
      <c r="Z22" s="84"/>
      <c r="AA22" s="143"/>
      <c r="AB22" s="84"/>
      <c r="AC22" s="141" t="n">
        <v>100</v>
      </c>
      <c r="AD22" s="84"/>
      <c r="AE22" s="141" t="n">
        <v>0</v>
      </c>
      <c r="AF22" s="144"/>
      <c r="AG22" s="145"/>
      <c r="AH22" s="141" t="n">
        <v>17.9</v>
      </c>
      <c r="AI22" s="84" t="n">
        <f aca="false">AI21-AH22</f>
        <v>2855.8368476242</v>
      </c>
      <c r="AJ22" s="84"/>
      <c r="AK22" s="141" t="n">
        <f aca="false">N22+O22+P22+Q22+R22+S22+T22+U22+X22+AE22+AH22</f>
        <v>21.12</v>
      </c>
      <c r="AL22" s="141" t="n">
        <f aca="false">IF(L22&lt;0,L22*-1,0)</f>
        <v>16.2462793042601</v>
      </c>
      <c r="AM22" s="141" t="n">
        <f aca="false">AK22+AL22</f>
        <v>37.3662793042601</v>
      </c>
      <c r="AN22" s="105"/>
      <c r="AO22" s="102"/>
      <c r="AP22" s="106"/>
      <c r="AQ22" s="106"/>
      <c r="AR22" s="106"/>
      <c r="AS22" s="106"/>
      <c r="AU22" s="5"/>
      <c r="AV22" s="107" t="n">
        <v>0</v>
      </c>
      <c r="AW22" s="108" t="n">
        <v>61</v>
      </c>
      <c r="AX22" s="108" t="n">
        <v>27</v>
      </c>
      <c r="AY22" s="108"/>
      <c r="AZ22" s="109" t="n">
        <f aca="false">SUM(N22,P22:U22)</f>
        <v>3.22</v>
      </c>
      <c r="BA22" s="0" t="n">
        <v>0</v>
      </c>
      <c r="BB22" s="148" t="n">
        <v>6473</v>
      </c>
    </row>
    <row r="23" customFormat="false" ht="12.75" hidden="false" customHeight="true" outlineLevel="0" collapsed="false">
      <c r="A23" s="10" t="n">
        <f aca="false">A22+1</f>
        <v>9</v>
      </c>
      <c r="B23" s="133" t="n">
        <v>6865.22</v>
      </c>
      <c r="C23" s="95" t="n">
        <v>175499</v>
      </c>
      <c r="D23" s="134" t="n">
        <f aca="false">C23-C22</f>
        <v>175</v>
      </c>
      <c r="E23" s="95" t="n">
        <f aca="false">C23-152000</f>
        <v>23499</v>
      </c>
      <c r="F23" s="135" t="n">
        <f aca="false">D23/$D$2</f>
        <v>88.2278800100832</v>
      </c>
      <c r="G23" s="11" t="n">
        <v>116</v>
      </c>
      <c r="H23" s="12" t="n">
        <v>0.09</v>
      </c>
      <c r="I23" s="11" t="n">
        <f aca="false">G23+H23</f>
        <v>116.09</v>
      </c>
      <c r="J23" s="4" t="n">
        <f aca="false">IF(L23&gt;0,L23,0)</f>
        <v>0</v>
      </c>
      <c r="K23" s="11" t="n">
        <f aca="false">I23+J23</f>
        <v>116.09</v>
      </c>
      <c r="L23" s="11" t="n">
        <f aca="false">F23-(I23-AK23)</f>
        <v>-6.74211998991682</v>
      </c>
      <c r="M23" s="136" t="n">
        <v>3.22</v>
      </c>
      <c r="N23" s="137" t="n">
        <v>0</v>
      </c>
      <c r="O23" s="137" t="n">
        <f aca="false">0*1.05</f>
        <v>0</v>
      </c>
      <c r="P23" s="98" t="n">
        <v>0</v>
      </c>
      <c r="Q23" s="138" t="n">
        <f aca="false">1023300/325851/1.9835*1.02</f>
        <v>1.61492323453015</v>
      </c>
      <c r="R23" s="138" t="n">
        <f aca="false">((1131480/646272)*1.04)-T23</f>
        <v>1.3837094516934</v>
      </c>
      <c r="S23" s="138" t="n">
        <v>0</v>
      </c>
      <c r="T23" s="140" t="n">
        <f aca="false">(0.3965*1.06)*1.04</f>
        <v>0.4371016</v>
      </c>
      <c r="U23" s="101" t="n">
        <f aca="false">M23-(Q23+R23+S23+T23)</f>
        <v>-0.215734286223551</v>
      </c>
      <c r="V23" s="141" t="n">
        <v>0</v>
      </c>
      <c r="W23" s="141" t="n">
        <v>0</v>
      </c>
      <c r="X23" s="142" t="n">
        <f aca="false">M23-N23-O23-P23-Q23-R23-S23-T23-U23+V23+W23-AU23+AR23</f>
        <v>0</v>
      </c>
      <c r="Y23" s="143" t="n">
        <f aca="false">X23-AO23</f>
        <v>0</v>
      </c>
      <c r="Z23" s="84"/>
      <c r="AA23" s="143"/>
      <c r="AB23" s="84"/>
      <c r="AC23" s="141" t="n">
        <v>100</v>
      </c>
      <c r="AD23" s="84"/>
      <c r="AE23" s="141" t="n">
        <v>0</v>
      </c>
      <c r="AF23" s="144"/>
      <c r="AG23" s="145"/>
      <c r="AH23" s="141" t="n">
        <v>17.9</v>
      </c>
      <c r="AI23" s="84" t="n">
        <f aca="false">AI22-AH23</f>
        <v>2837.9368476242</v>
      </c>
      <c r="AJ23" s="84"/>
      <c r="AK23" s="141" t="n">
        <f aca="false">N23+O23+P23+Q23+R23+S23+T23+U23+X23+AE23+AH23</f>
        <v>21.12</v>
      </c>
      <c r="AL23" s="141" t="n">
        <f aca="false">IF(L23&lt;0,L23*-1,0)</f>
        <v>6.74211998991682</v>
      </c>
      <c r="AM23" s="141" t="n">
        <f aca="false">AK23+AL23</f>
        <v>27.8621199899168</v>
      </c>
      <c r="AN23" s="105"/>
      <c r="AO23" s="102"/>
      <c r="AP23" s="106"/>
      <c r="AQ23" s="106"/>
      <c r="AR23" s="106"/>
      <c r="AS23" s="106"/>
      <c r="AU23" s="5"/>
      <c r="AV23" s="107" t="n">
        <v>0</v>
      </c>
      <c r="AW23" s="108" t="n">
        <v>64</v>
      </c>
      <c r="AX23" s="149" t="n">
        <v>30</v>
      </c>
      <c r="AY23" s="149"/>
      <c r="AZ23" s="109" t="n">
        <f aca="false">SUM(N23,P23:U23)</f>
        <v>3.22</v>
      </c>
      <c r="BA23" s="0" t="n">
        <v>0</v>
      </c>
      <c r="BB23" s="148" t="n">
        <v>6482</v>
      </c>
    </row>
    <row r="24" customFormat="false" ht="12.95" hidden="false" customHeight="true" outlineLevel="0" collapsed="false">
      <c r="A24" s="10" t="n">
        <f aca="false">A23+1</f>
        <v>10</v>
      </c>
      <c r="B24" s="133" t="n">
        <v>6865.3</v>
      </c>
      <c r="C24" s="95" t="n">
        <v>175699</v>
      </c>
      <c r="D24" s="134" t="n">
        <f aca="false">C24-C23</f>
        <v>200</v>
      </c>
      <c r="E24" s="95" t="n">
        <f aca="false">C24-152000</f>
        <v>23699</v>
      </c>
      <c r="F24" s="135" t="n">
        <f aca="false">D24/$D$2</f>
        <v>100.831862868667</v>
      </c>
      <c r="G24" s="11" t="n">
        <v>112</v>
      </c>
      <c r="H24" s="12" t="n">
        <v>0.082</v>
      </c>
      <c r="I24" s="11" t="n">
        <f aca="false">G24+H24</f>
        <v>112.082</v>
      </c>
      <c r="J24" s="4" t="n">
        <f aca="false">IF(L24&gt;0,L24,0)</f>
        <v>9.8698628686665</v>
      </c>
      <c r="K24" s="11" t="n">
        <f aca="false">I24+J24</f>
        <v>121.951862868667</v>
      </c>
      <c r="L24" s="11" t="n">
        <f aca="false">F24-(I24-AK24)</f>
        <v>9.8698628686665</v>
      </c>
      <c r="M24" s="136" t="n">
        <v>3.22</v>
      </c>
      <c r="N24" s="137" t="n">
        <v>0</v>
      </c>
      <c r="O24" s="137" t="n">
        <f aca="false">0*1.05</f>
        <v>0</v>
      </c>
      <c r="P24" s="98" t="n">
        <v>0</v>
      </c>
      <c r="Q24" s="138" t="n">
        <f aca="false">1280500/325851/1.9835*1.02</f>
        <v>2.02082400255629</v>
      </c>
      <c r="R24" s="138" t="n">
        <f aca="false">((1133064/646272)*1.04)-T24</f>
        <v>1.38625847130125</v>
      </c>
      <c r="S24" s="138" t="n">
        <v>0</v>
      </c>
      <c r="T24" s="140" t="n">
        <f aca="false">(0.3965*1.06)*1.04</f>
        <v>0.4371016</v>
      </c>
      <c r="U24" s="101" t="n">
        <f aca="false">M24-(Q24+R24+S24+T24)</f>
        <v>-0.624184073857539</v>
      </c>
      <c r="V24" s="141" t="n">
        <v>0</v>
      </c>
      <c r="W24" s="141" t="n">
        <v>0</v>
      </c>
      <c r="X24" s="142" t="n">
        <f aca="false">M24-N24-O24-P24-Q24-R24-S24-T24-U24+V24+W24-AU24+AR24</f>
        <v>0</v>
      </c>
      <c r="Y24" s="143" t="n">
        <f aca="false">X24-AO24</f>
        <v>0</v>
      </c>
      <c r="Z24" s="84"/>
      <c r="AA24" s="143"/>
      <c r="AB24" s="84"/>
      <c r="AC24" s="141" t="n">
        <v>100</v>
      </c>
      <c r="AD24" s="84"/>
      <c r="AE24" s="141" t="n">
        <v>0</v>
      </c>
      <c r="AF24" s="144"/>
      <c r="AG24" s="145"/>
      <c r="AH24" s="141" t="n">
        <v>17.9</v>
      </c>
      <c r="AI24" s="84" t="n">
        <f aca="false">AI23-AH24</f>
        <v>2820.0368476242</v>
      </c>
      <c r="AJ24" s="84"/>
      <c r="AK24" s="141" t="n">
        <f aca="false">N24+O24+P24+Q24+R24+S24+T24+U24+X24+AE24+AH24</f>
        <v>21.12</v>
      </c>
      <c r="AL24" s="141" t="n">
        <f aca="false">IF(L24&lt;0,L24*-1,0)</f>
        <v>0</v>
      </c>
      <c r="AM24" s="141" t="n">
        <f aca="false">AK24+AL24</f>
        <v>21.12</v>
      </c>
      <c r="AN24" s="105"/>
      <c r="AO24" s="102"/>
      <c r="AP24" s="106"/>
      <c r="AQ24" s="106"/>
      <c r="AR24" s="106"/>
      <c r="AS24" s="106"/>
      <c r="AU24" s="5"/>
      <c r="AV24" s="107" t="n">
        <v>0</v>
      </c>
      <c r="AW24" s="108" t="n">
        <v>65</v>
      </c>
      <c r="AX24" s="108" t="n">
        <v>31</v>
      </c>
      <c r="AY24" s="108"/>
      <c r="AZ24" s="109" t="n">
        <f aca="false">SUM(N24,P24:U24)</f>
        <v>3.22</v>
      </c>
      <c r="BA24" s="0" t="n">
        <v>0</v>
      </c>
      <c r="BB24" s="148" t="n">
        <v>6517</v>
      </c>
    </row>
    <row r="25" customFormat="false" ht="12.75" hidden="false" customHeight="true" outlineLevel="0" collapsed="false">
      <c r="A25" s="10" t="n">
        <f aca="false">A24+1</f>
        <v>11</v>
      </c>
      <c r="B25" s="133" t="n">
        <v>6865.35</v>
      </c>
      <c r="C25" s="95" t="n">
        <v>175823</v>
      </c>
      <c r="D25" s="134" t="n">
        <f aca="false">C25-C24</f>
        <v>124</v>
      </c>
      <c r="E25" s="95" t="n">
        <f aca="false">C25-152000</f>
        <v>23823</v>
      </c>
      <c r="F25" s="135" t="n">
        <f aca="false">D25/$D$2</f>
        <v>62.5157549785732</v>
      </c>
      <c r="G25" s="11" t="n">
        <v>109</v>
      </c>
      <c r="H25" s="12" t="n">
        <v>0.08</v>
      </c>
      <c r="I25" s="11" t="n">
        <f aca="false">G25+H25</f>
        <v>109.08</v>
      </c>
      <c r="J25" s="4" t="n">
        <f aca="false">IF(L25&gt;0,L25,0)</f>
        <v>0</v>
      </c>
      <c r="K25" s="11" t="n">
        <f aca="false">I25+J25</f>
        <v>109.08</v>
      </c>
      <c r="L25" s="11" t="n">
        <f aca="false">F25-(I25-AK25)</f>
        <v>-25.4442450214268</v>
      </c>
      <c r="M25" s="136" t="n">
        <v>3.22</v>
      </c>
      <c r="N25" s="137" t="n">
        <v>0</v>
      </c>
      <c r="O25" s="137" t="n">
        <f aca="false">3.19*1.05</f>
        <v>3.3495</v>
      </c>
      <c r="P25" s="98" t="n">
        <v>0</v>
      </c>
      <c r="Q25" s="138" t="n">
        <f aca="false">1005500/325851/1.9835*1.02</f>
        <v>1.58683212383471</v>
      </c>
      <c r="R25" s="138" t="n">
        <f aca="false">((1144736/646272)*1.04)-T25</f>
        <v>1.40504139861359</v>
      </c>
      <c r="S25" s="138" t="n">
        <v>0</v>
      </c>
      <c r="T25" s="140" t="n">
        <f aca="false">(0.3965*1.06)*1.04</f>
        <v>0.4371016</v>
      </c>
      <c r="U25" s="101" t="n">
        <f aca="false">M25-(Q25+R25+S25+T25)</f>
        <v>-0.2089751224483</v>
      </c>
      <c r="V25" s="141" t="n">
        <v>0</v>
      </c>
      <c r="W25" s="141" t="n">
        <v>0</v>
      </c>
      <c r="X25" s="142" t="n">
        <f aca="false">M25-N25-O25-P25-Q25-R25-S25-T25-U25+V25+W25-AU25+AR25</f>
        <v>-3.3495</v>
      </c>
      <c r="Y25" s="143" t="n">
        <f aca="false">X25-AO25</f>
        <v>-3.3495</v>
      </c>
      <c r="Z25" s="84"/>
      <c r="AA25" s="143"/>
      <c r="AB25" s="84"/>
      <c r="AC25" s="141" t="n">
        <v>100</v>
      </c>
      <c r="AD25" s="84"/>
      <c r="AE25" s="141" t="n">
        <v>0</v>
      </c>
      <c r="AF25" s="144"/>
      <c r="AG25" s="145"/>
      <c r="AH25" s="141" t="n">
        <v>17.9</v>
      </c>
      <c r="AI25" s="84" t="n">
        <f aca="false">AI24-AH25</f>
        <v>2802.1368476242</v>
      </c>
      <c r="AJ25" s="84"/>
      <c r="AK25" s="141" t="n">
        <f aca="false">N25+O25+P25+Q25+R25+S25+T25+U25+X25+AE25+AH25</f>
        <v>21.12</v>
      </c>
      <c r="AL25" s="141" t="n">
        <f aca="false">IF(L25&lt;0,L25*-1,0)</f>
        <v>25.4442450214268</v>
      </c>
      <c r="AM25" s="141" t="n">
        <f aca="false">AK25+AL25</f>
        <v>46.5642450214268</v>
      </c>
      <c r="AN25" s="105"/>
      <c r="AO25" s="102"/>
      <c r="AP25" s="106"/>
      <c r="AQ25" s="106"/>
      <c r="AR25" s="106"/>
      <c r="AS25" s="106"/>
      <c r="AU25" s="5"/>
      <c r="AV25" s="107" t="n">
        <v>0</v>
      </c>
      <c r="AW25" s="108" t="n">
        <v>66</v>
      </c>
      <c r="AX25" s="108" t="n">
        <v>30</v>
      </c>
      <c r="AY25" s="108"/>
      <c r="AZ25" s="109" t="n">
        <f aca="false">SUM(N25,P25:U25)</f>
        <v>3.22</v>
      </c>
      <c r="BA25" s="0" t="n">
        <v>0</v>
      </c>
      <c r="BB25" s="148" t="n">
        <v>6524</v>
      </c>
    </row>
    <row r="26" customFormat="false" ht="12.95" hidden="false" customHeight="true" outlineLevel="0" collapsed="false">
      <c r="A26" s="10" t="n">
        <f aca="false">A25+1</f>
        <v>12</v>
      </c>
      <c r="B26" s="133" t="n">
        <v>6865.43</v>
      </c>
      <c r="C26" s="95" t="n">
        <v>176023</v>
      </c>
      <c r="D26" s="134" t="n">
        <f aca="false">C26-C25</f>
        <v>200</v>
      </c>
      <c r="E26" s="95" t="n">
        <f aca="false">C26-152000</f>
        <v>24023</v>
      </c>
      <c r="F26" s="135" t="n">
        <f aca="false">D26/$D$2</f>
        <v>100.831862868667</v>
      </c>
      <c r="G26" s="11" t="n">
        <v>107</v>
      </c>
      <c r="H26" s="12" t="n">
        <v>0.071</v>
      </c>
      <c r="I26" s="11" t="n">
        <f aca="false">G26+H26</f>
        <v>107.071</v>
      </c>
      <c r="J26" s="4" t="n">
        <f aca="false">IF(L26&gt;0,L26,0)</f>
        <v>14.2608628686665</v>
      </c>
      <c r="K26" s="11" t="n">
        <f aca="false">I26+J26</f>
        <v>121.331862868666</v>
      </c>
      <c r="L26" s="11" t="n">
        <f aca="false">F26-(I26-AK26)</f>
        <v>14.2608628686665</v>
      </c>
      <c r="M26" s="136" t="n">
        <v>2.6</v>
      </c>
      <c r="N26" s="137" t="n">
        <v>0</v>
      </c>
      <c r="O26" s="137" t="n">
        <f aca="false">1.12*1.05</f>
        <v>1.176</v>
      </c>
      <c r="P26" s="98" t="n">
        <v>0</v>
      </c>
      <c r="Q26" s="138" t="n">
        <f aca="false">1077600/325851/1.9835*1.02</f>
        <v>1.70061690367408</v>
      </c>
      <c r="R26" s="138" t="n">
        <f aca="false">((1123496/646272)*1.04)-T26</f>
        <v>1.37086136296296</v>
      </c>
      <c r="S26" s="138" t="n">
        <v>0</v>
      </c>
      <c r="T26" s="140" t="n">
        <f aca="false">(0.3965*1.06)*1.04</f>
        <v>0.4371016</v>
      </c>
      <c r="U26" s="101" t="n">
        <f aca="false">M26-(Q26+R26+S26+T26)</f>
        <v>-0.908579866637043</v>
      </c>
      <c r="V26" s="141" t="n">
        <v>0</v>
      </c>
      <c r="W26" s="141" t="n">
        <v>0</v>
      </c>
      <c r="X26" s="142" t="n">
        <f aca="false">M26-N26-O26-P26-Q26-R26-S26-T26-U26+V26+W26-AU26+AR26</f>
        <v>-1.176</v>
      </c>
      <c r="Y26" s="143" t="n">
        <f aca="false">X26-AO26</f>
        <v>-1.176</v>
      </c>
      <c r="Z26" s="84"/>
      <c r="AA26" s="143"/>
      <c r="AB26" s="84"/>
      <c r="AC26" s="141" t="n">
        <v>100</v>
      </c>
      <c r="AD26" s="84"/>
      <c r="AE26" s="141" t="n">
        <v>0</v>
      </c>
      <c r="AF26" s="144"/>
      <c r="AG26" s="145"/>
      <c r="AH26" s="141" t="n">
        <v>17.9</v>
      </c>
      <c r="AI26" s="84" t="n">
        <f aca="false">AI25-AH26</f>
        <v>2784.23684762419</v>
      </c>
      <c r="AJ26" s="84"/>
      <c r="AK26" s="141" t="n">
        <f aca="false">N26+O26+P26+Q26+R26+S26+T26+U26+X26+AE26+AH26</f>
        <v>20.5</v>
      </c>
      <c r="AL26" s="141" t="n">
        <f aca="false">IF(L26&lt;0,L26*-1,0)</f>
        <v>0</v>
      </c>
      <c r="AM26" s="141" t="n">
        <f aca="false">AK26+AL26</f>
        <v>20.5</v>
      </c>
      <c r="AN26" s="105"/>
      <c r="AO26" s="102"/>
      <c r="AP26" s="106"/>
      <c r="AQ26" s="106"/>
      <c r="AR26" s="106"/>
      <c r="AS26" s="106"/>
      <c r="AU26" s="5"/>
      <c r="AV26" s="107" t="n">
        <v>0</v>
      </c>
      <c r="AW26" s="108" t="n">
        <v>67</v>
      </c>
      <c r="AX26" s="108" t="n">
        <v>32</v>
      </c>
      <c r="AY26" s="108"/>
      <c r="AZ26" s="109" t="n">
        <f aca="false">SUM(N26,P26:U26)</f>
        <v>2.6</v>
      </c>
      <c r="BA26" s="0" t="n">
        <v>0</v>
      </c>
      <c r="BB26" s="148" t="n">
        <v>6534</v>
      </c>
    </row>
    <row r="27" customFormat="false" ht="12.95" hidden="false" customHeight="true" outlineLevel="0" collapsed="false">
      <c r="A27" s="10" t="n">
        <f aca="false">A26+1</f>
        <v>13</v>
      </c>
      <c r="B27" s="133" t="n">
        <v>6865.48</v>
      </c>
      <c r="C27" s="95" t="n">
        <v>176148</v>
      </c>
      <c r="D27" s="134" t="n">
        <f aca="false">C27-C26</f>
        <v>125</v>
      </c>
      <c r="E27" s="95" t="n">
        <f aca="false">C27-152000</f>
        <v>24148</v>
      </c>
      <c r="F27" s="135" t="n">
        <f aca="false">D27/$D$2</f>
        <v>63.0199142929166</v>
      </c>
      <c r="G27" s="11" t="n">
        <v>105</v>
      </c>
      <c r="H27" s="12" t="n">
        <v>0.07</v>
      </c>
      <c r="I27" s="11" t="n">
        <f aca="false">G27+H27</f>
        <v>105.07</v>
      </c>
      <c r="J27" s="4" t="n">
        <f aca="false">IF(L27&gt;0,L27,0)</f>
        <v>0</v>
      </c>
      <c r="K27" s="11" t="n">
        <f aca="false">I27+J27</f>
        <v>105.07</v>
      </c>
      <c r="L27" s="11" t="n">
        <f aca="false">F27-(I27-AK27)</f>
        <v>-20.6800857070834</v>
      </c>
      <c r="M27" s="136" t="n">
        <v>3.47</v>
      </c>
      <c r="N27" s="137" t="n">
        <v>0</v>
      </c>
      <c r="O27" s="137" t="n">
        <f aca="false">0*1.05</f>
        <v>0</v>
      </c>
      <c r="P27" s="98" t="n">
        <v>0</v>
      </c>
      <c r="Q27" s="138" t="n">
        <f aca="false">1039000/325851/1.9835*1.02</f>
        <v>1.63970022542443</v>
      </c>
      <c r="R27" s="138" t="n">
        <f aca="false">((1128440/646272)*1.04)-T27</f>
        <v>1.37881739386017</v>
      </c>
      <c r="S27" s="138" t="n">
        <v>0</v>
      </c>
      <c r="T27" s="140" t="n">
        <f aca="false">(0.3965*1.06)*1.04</f>
        <v>0.4371016</v>
      </c>
      <c r="U27" s="101" t="n">
        <f aca="false">M27-(Q27+R27+S27+T27)</f>
        <v>0.0143807807153968</v>
      </c>
      <c r="V27" s="141" t="n">
        <v>0</v>
      </c>
      <c r="W27" s="141" t="n">
        <v>0</v>
      </c>
      <c r="X27" s="142" t="n">
        <f aca="false">M27-N27-O27-P27-Q27-R27-S27-T27-U27+V27+W27-AU27+AR27</f>
        <v>0</v>
      </c>
      <c r="Y27" s="143" t="n">
        <f aca="false">X27-AO27</f>
        <v>0</v>
      </c>
      <c r="Z27" s="84"/>
      <c r="AA27" s="143"/>
      <c r="AB27" s="84"/>
      <c r="AC27" s="141" t="n">
        <v>100</v>
      </c>
      <c r="AD27" s="84"/>
      <c r="AE27" s="141" t="n">
        <v>0</v>
      </c>
      <c r="AF27" s="144"/>
      <c r="AG27" s="145"/>
      <c r="AH27" s="141" t="n">
        <v>17.9</v>
      </c>
      <c r="AI27" s="84" t="n">
        <f aca="false">AI26-AH27</f>
        <v>2766.33684762419</v>
      </c>
      <c r="AJ27" s="84"/>
      <c r="AK27" s="141" t="n">
        <f aca="false">N27+O27+P27+Q27+R27+S27+T27+U27+X27+AE27+AH27</f>
        <v>21.37</v>
      </c>
      <c r="AL27" s="141" t="n">
        <f aca="false">IF(L27&lt;0,L27*-1,0)</f>
        <v>20.6800857070834</v>
      </c>
      <c r="AM27" s="141" t="n">
        <f aca="false">AK27+AL27</f>
        <v>42.0500857070834</v>
      </c>
      <c r="AN27" s="105"/>
      <c r="AO27" s="102"/>
      <c r="AP27" s="106"/>
      <c r="AQ27" s="106"/>
      <c r="AR27" s="106"/>
      <c r="AS27" s="106"/>
      <c r="AU27" s="5"/>
      <c r="AV27" s="107" t="n">
        <v>0</v>
      </c>
      <c r="AW27" s="108" t="n">
        <v>60</v>
      </c>
      <c r="AX27" s="108" t="n">
        <v>29</v>
      </c>
      <c r="AY27" s="108"/>
      <c r="AZ27" s="109" t="n">
        <f aca="false">SUM(N27,P27:U27)</f>
        <v>3.47</v>
      </c>
      <c r="BA27" s="150" t="n">
        <v>0</v>
      </c>
      <c r="BB27" s="148" t="n">
        <v>6535</v>
      </c>
    </row>
    <row r="28" customFormat="false" ht="12.95" hidden="false" customHeight="true" outlineLevel="0" collapsed="false">
      <c r="A28" s="10" t="n">
        <f aca="false">A27+1</f>
        <v>14</v>
      </c>
      <c r="B28" s="133" t="n">
        <v>6865.55</v>
      </c>
      <c r="C28" s="95" t="n">
        <v>176322</v>
      </c>
      <c r="D28" s="134" t="n">
        <f aca="false">C28-C27</f>
        <v>174</v>
      </c>
      <c r="E28" s="95" t="n">
        <f aca="false">C28-152000</f>
        <v>24322</v>
      </c>
      <c r="F28" s="135" t="n">
        <f aca="false">D28/$D$2</f>
        <v>87.7237206957399</v>
      </c>
      <c r="G28" s="11" t="n">
        <v>106</v>
      </c>
      <c r="H28" s="12" t="n">
        <v>0.077</v>
      </c>
      <c r="I28" s="11" t="n">
        <f aca="false">G28+H28</f>
        <v>106.077</v>
      </c>
      <c r="J28" s="4" t="n">
        <f aca="false">IF(L28&gt;0,L28,0)</f>
        <v>2.84672069573986</v>
      </c>
      <c r="K28" s="11" t="n">
        <f aca="false">I28+J28</f>
        <v>108.92372069574</v>
      </c>
      <c r="L28" s="11" t="n">
        <f aca="false">F28-(I28-AK28)</f>
        <v>2.84672069573986</v>
      </c>
      <c r="M28" s="136" t="n">
        <v>3.3</v>
      </c>
      <c r="N28" s="137" t="n">
        <v>0</v>
      </c>
      <c r="O28" s="137" t="n">
        <f aca="false">0*1.05</f>
        <v>0</v>
      </c>
      <c r="P28" s="98" t="n">
        <v>0</v>
      </c>
      <c r="Q28" s="138" t="n">
        <f aca="false">988500/325851/1.9835*1.02</f>
        <v>1.56000353496829</v>
      </c>
      <c r="R28" s="138" t="n">
        <f aca="false">((1132088/646272)*1.04)-T28</f>
        <v>1.38468786326005</v>
      </c>
      <c r="S28" s="138" t="n">
        <v>0</v>
      </c>
      <c r="T28" s="140" t="n">
        <f aca="false">(0.3965*1.06)*1.04</f>
        <v>0.4371016</v>
      </c>
      <c r="U28" s="101" t="n">
        <f aca="false">M28-(Q28+R28+S28+T28)</f>
        <v>-0.0817929982283405</v>
      </c>
      <c r="V28" s="141" t="n">
        <v>0</v>
      </c>
      <c r="W28" s="141" t="n">
        <v>0</v>
      </c>
      <c r="X28" s="142" t="n">
        <f aca="false">M28-N28-O28-P28-Q28-R28-S28-T28-U28+V28+W28-AU28+AR28</f>
        <v>0</v>
      </c>
      <c r="Y28" s="143" t="n">
        <f aca="false">X28-AO28</f>
        <v>0</v>
      </c>
      <c r="Z28" s="84"/>
      <c r="AA28" s="143"/>
      <c r="AB28" s="84"/>
      <c r="AC28" s="141" t="n">
        <v>100</v>
      </c>
      <c r="AD28" s="84"/>
      <c r="AE28" s="141" t="n">
        <v>0</v>
      </c>
      <c r="AF28" s="144"/>
      <c r="AG28" s="145"/>
      <c r="AH28" s="141" t="n">
        <v>17.9</v>
      </c>
      <c r="AI28" s="84" t="n">
        <f aca="false">AI27-AH28</f>
        <v>2748.43684762419</v>
      </c>
      <c r="AJ28" s="84"/>
      <c r="AK28" s="141" t="n">
        <f aca="false">N28+O28+P28+Q28+R28+S28+T28+U28+X28+AE28+AH28</f>
        <v>21.2</v>
      </c>
      <c r="AL28" s="141" t="n">
        <f aca="false">IF(L28&lt;0,L28*-1,0)</f>
        <v>0</v>
      </c>
      <c r="AM28" s="141" t="n">
        <f aca="false">AK28+AL28</f>
        <v>21.2</v>
      </c>
      <c r="AN28" s="105"/>
      <c r="AO28" s="102"/>
      <c r="AP28" s="106"/>
      <c r="AQ28" s="106"/>
      <c r="AR28" s="106"/>
      <c r="AS28" s="106"/>
      <c r="AU28" s="5"/>
      <c r="AV28" s="107" t="n">
        <v>0</v>
      </c>
      <c r="AW28" s="108" t="n">
        <v>59</v>
      </c>
      <c r="AX28" s="108" t="n">
        <v>30</v>
      </c>
      <c r="AY28" s="108"/>
      <c r="AZ28" s="109" t="n">
        <f aca="false">SUM(N28,P28:U28)</f>
        <v>3.3</v>
      </c>
      <c r="BA28" s="150" t="n">
        <v>0</v>
      </c>
      <c r="BB28" s="148" t="n">
        <v>6521</v>
      </c>
    </row>
    <row r="29" customFormat="false" ht="12.95" hidden="false" customHeight="true" outlineLevel="0" collapsed="false">
      <c r="A29" s="10" t="n">
        <f aca="false">A28+1</f>
        <v>15</v>
      </c>
      <c r="B29" s="133" t="n">
        <v>6865.65</v>
      </c>
      <c r="C29" s="95" t="n">
        <v>176572</v>
      </c>
      <c r="D29" s="134" t="n">
        <f aca="false">C29-C28</f>
        <v>250</v>
      </c>
      <c r="E29" s="95" t="n">
        <f aca="false">C29-152000</f>
        <v>24572</v>
      </c>
      <c r="F29" s="135" t="n">
        <f aca="false">D29/$D$2</f>
        <v>126.039828585833</v>
      </c>
      <c r="G29" s="11" t="n">
        <v>101</v>
      </c>
      <c r="H29" s="12" t="n">
        <v>0.094</v>
      </c>
      <c r="I29" s="11" t="n">
        <f aca="false">G29+H29</f>
        <v>101.094</v>
      </c>
      <c r="J29" s="4" t="n">
        <f aca="false">IF(L29&gt;0,L29,0)</f>
        <v>45.5458285858331</v>
      </c>
      <c r="K29" s="11" t="n">
        <f aca="false">I29+J29</f>
        <v>146.639828585833</v>
      </c>
      <c r="L29" s="11" t="n">
        <f aca="false">F29-(I29-AK29)</f>
        <v>45.5458285858331</v>
      </c>
      <c r="M29" s="136" t="n">
        <v>2.6</v>
      </c>
      <c r="N29" s="137" t="n">
        <v>0</v>
      </c>
      <c r="O29" s="137" t="n">
        <f aca="false">0*1.05</f>
        <v>0</v>
      </c>
      <c r="P29" s="98" t="n">
        <v>0</v>
      </c>
      <c r="Q29" s="138" t="n">
        <f aca="false">874300/325851/1.9835*1.02</f>
        <v>1.37977854387736</v>
      </c>
      <c r="R29" s="138" t="n">
        <f aca="false">((1172248/646272)*1.04)-T29</f>
        <v>1.38008380200436</v>
      </c>
      <c r="S29" s="138" t="n">
        <v>0</v>
      </c>
      <c r="T29" s="140" t="n">
        <f aca="false">(0.4593*1.06)*1.04</f>
        <v>0.50633232</v>
      </c>
      <c r="U29" s="101" t="n">
        <f aca="false">M29-(Q29+R29+S29+T29)</f>
        <v>-0.666194665881722</v>
      </c>
      <c r="V29" s="141" t="n">
        <v>0</v>
      </c>
      <c r="W29" s="141" t="n">
        <v>0</v>
      </c>
      <c r="X29" s="142" t="n">
        <f aca="false">M29-N29-O29-P29-Q29-R29-S29-T29-U29+V29+W29-AU29+AR29</f>
        <v>0</v>
      </c>
      <c r="Y29" s="143" t="n">
        <f aca="false">X29-AO29</f>
        <v>0</v>
      </c>
      <c r="Z29" s="84"/>
      <c r="AA29" s="143"/>
      <c r="AB29" s="84"/>
      <c r="AC29" s="141" t="n">
        <v>100</v>
      </c>
      <c r="AD29" s="84"/>
      <c r="AE29" s="141" t="n">
        <v>0</v>
      </c>
      <c r="AF29" s="144"/>
      <c r="AG29" s="145"/>
      <c r="AH29" s="141" t="n">
        <v>18</v>
      </c>
      <c r="AI29" s="84" t="n">
        <f aca="false">AI28-AH29</f>
        <v>2730.43684762419</v>
      </c>
      <c r="AJ29" s="84"/>
      <c r="AK29" s="141" t="n">
        <f aca="false">N29+O29+P29+Q29+R29+S29+T29+U29+X29+AE29+AH29</f>
        <v>20.6</v>
      </c>
      <c r="AL29" s="141" t="n">
        <f aca="false">IF(L29&lt;0,L29*-1,0)</f>
        <v>0</v>
      </c>
      <c r="AM29" s="141" t="n">
        <f aca="false">AK29+AL29</f>
        <v>20.6</v>
      </c>
      <c r="AN29" s="105"/>
      <c r="AO29" s="102"/>
      <c r="AP29" s="106"/>
      <c r="AQ29" s="106"/>
      <c r="AR29" s="106"/>
      <c r="AS29" s="106"/>
      <c r="AU29" s="5"/>
      <c r="AV29" s="107" t="n">
        <v>0.28</v>
      </c>
      <c r="AW29" s="108" t="n">
        <v>56</v>
      </c>
      <c r="AX29" s="108" t="n">
        <v>30</v>
      </c>
      <c r="AY29" s="108"/>
      <c r="AZ29" s="109" t="n">
        <f aca="false">SUM(N29,P29:U29)</f>
        <v>2.6</v>
      </c>
      <c r="BA29" s="150" t="n">
        <v>0</v>
      </c>
      <c r="BB29" s="148" t="n">
        <v>6532</v>
      </c>
    </row>
    <row r="30" customFormat="false" ht="12.95" hidden="false" customHeight="true" outlineLevel="0" collapsed="false">
      <c r="A30" s="10" t="n">
        <f aca="false">A29+1</f>
        <v>16</v>
      </c>
      <c r="B30" s="133" t="n">
        <v>6865.74</v>
      </c>
      <c r="C30" s="95" t="n">
        <v>176797</v>
      </c>
      <c r="D30" s="134" t="n">
        <f aca="false">C30-C29</f>
        <v>225</v>
      </c>
      <c r="E30" s="95" t="n">
        <f aca="false">C30-152000</f>
        <v>24797</v>
      </c>
      <c r="F30" s="135" t="n">
        <f aca="false">D30/$D$2</f>
        <v>113.43584572725</v>
      </c>
      <c r="G30" s="11" t="n">
        <v>116</v>
      </c>
      <c r="H30" s="12" t="n">
        <v>0.15</v>
      </c>
      <c r="I30" s="11" t="n">
        <f aca="false">G30+H30</f>
        <v>116.15</v>
      </c>
      <c r="J30" s="4" t="n">
        <f aca="false">IF(L30&gt;0,L30,0)</f>
        <v>18.6258457272498</v>
      </c>
      <c r="K30" s="11" t="n">
        <f aca="false">I30+J30</f>
        <v>134.77584572725</v>
      </c>
      <c r="L30" s="11" t="n">
        <f aca="false">F30-(I30-AK30)</f>
        <v>18.6258457272498</v>
      </c>
      <c r="M30" s="136" t="n">
        <v>3.44</v>
      </c>
      <c r="N30" s="137" t="n">
        <v>0</v>
      </c>
      <c r="O30" s="137" t="n">
        <f aca="false">0*1.05</f>
        <v>0</v>
      </c>
      <c r="P30" s="98" t="n">
        <v>0</v>
      </c>
      <c r="Q30" s="138" t="n">
        <f aca="false">986000/325851/1.9835*1.02</f>
        <v>1.55605815425264</v>
      </c>
      <c r="R30" s="138" t="n">
        <f aca="false">((1139148/646272)*1.04)-T30</f>
        <v>1.32681830388592</v>
      </c>
      <c r="S30" s="138" t="n">
        <v>0</v>
      </c>
      <c r="T30" s="140" t="n">
        <f aca="false">(0.4593*1.06)*1.04</f>
        <v>0.50633232</v>
      </c>
      <c r="U30" s="101" t="n">
        <f aca="false">M30-(Q30+R30+S30+T30)</f>
        <v>0.0507912218614437</v>
      </c>
      <c r="V30" s="141" t="n">
        <v>0</v>
      </c>
      <c r="W30" s="141" t="n">
        <v>0</v>
      </c>
      <c r="X30" s="142" t="n">
        <f aca="false">M30-N30-O30-P30-Q30-R30-S30-T30-U30+V30+W30-AU30+AR30</f>
        <v>2.22044604925031E-016</v>
      </c>
      <c r="Y30" s="143" t="n">
        <f aca="false">X30-AO30</f>
        <v>2.22044604925031E-016</v>
      </c>
      <c r="Z30" s="84"/>
      <c r="AA30" s="143"/>
      <c r="AB30" s="84"/>
      <c r="AC30" s="141" t="n">
        <v>100</v>
      </c>
      <c r="AD30" s="84"/>
      <c r="AE30" s="141" t="n">
        <v>0</v>
      </c>
      <c r="AF30" s="144"/>
      <c r="AG30" s="145"/>
      <c r="AH30" s="141" t="n">
        <v>17.9</v>
      </c>
      <c r="AI30" s="84" t="n">
        <f aca="false">AI29-AH30</f>
        <v>2712.53684762419</v>
      </c>
      <c r="AJ30" s="84"/>
      <c r="AK30" s="141" t="n">
        <f aca="false">N30+O30+P30+Q30+R30+S30+T30+U30+X30+AE30+AH30</f>
        <v>21.34</v>
      </c>
      <c r="AL30" s="141" t="n">
        <f aca="false">IF(L30&lt;0,L30*-1,0)</f>
        <v>0</v>
      </c>
      <c r="AM30" s="141" t="n">
        <f aca="false">AK30+AL30</f>
        <v>21.34</v>
      </c>
      <c r="AN30" s="105"/>
      <c r="AO30" s="102"/>
      <c r="AP30" s="106"/>
      <c r="AQ30" s="106"/>
      <c r="AR30" s="106"/>
      <c r="AS30" s="106"/>
      <c r="AU30" s="5"/>
      <c r="AV30" s="107" t="n">
        <v>0.02</v>
      </c>
      <c r="AW30" s="108" t="n">
        <v>47</v>
      </c>
      <c r="AX30" s="108" t="n">
        <v>32</v>
      </c>
      <c r="AY30" s="108"/>
      <c r="AZ30" s="109" t="n">
        <f aca="false">SUM(N30,P30:U30)</f>
        <v>3.44</v>
      </c>
      <c r="BA30" s="150" t="n">
        <v>0</v>
      </c>
      <c r="BB30" s="148" t="n">
        <v>6550</v>
      </c>
    </row>
    <row r="31" customFormat="false" ht="12.95" hidden="false" customHeight="true" outlineLevel="0" collapsed="false">
      <c r="A31" s="10" t="n">
        <f aca="false">A30+1</f>
        <v>17</v>
      </c>
      <c r="B31" s="133" t="n">
        <v>6865.79</v>
      </c>
      <c r="C31" s="95" t="n">
        <v>176921</v>
      </c>
      <c r="D31" s="134" t="n">
        <f aca="false">C31-C30</f>
        <v>124</v>
      </c>
      <c r="E31" s="95" t="n">
        <f aca="false">C31-152000</f>
        <v>24921</v>
      </c>
      <c r="F31" s="135" t="n">
        <f aca="false">D31/$D$2</f>
        <v>62.5157549785732</v>
      </c>
      <c r="G31" s="11" t="n">
        <v>113</v>
      </c>
      <c r="H31" s="12" t="n">
        <v>0.183</v>
      </c>
      <c r="I31" s="11" t="n">
        <f aca="false">G31+H31</f>
        <v>113.183</v>
      </c>
      <c r="J31" s="4" t="n">
        <f aca="false">IF(L31&gt;0,L31,0)</f>
        <v>0</v>
      </c>
      <c r="K31" s="11" t="n">
        <f aca="false">I31+J31</f>
        <v>113.183</v>
      </c>
      <c r="L31" s="11" t="n">
        <f aca="false">F31-(I31-AK31)</f>
        <v>-29.7772450214268</v>
      </c>
      <c r="M31" s="136" t="n">
        <v>2.99</v>
      </c>
      <c r="N31" s="137" t="n">
        <v>0</v>
      </c>
      <c r="O31" s="137" t="n">
        <f aca="false">0*1.05</f>
        <v>0</v>
      </c>
      <c r="P31" s="98" t="n">
        <v>0</v>
      </c>
      <c r="Q31" s="138" t="n">
        <f aca="false">1182500/325851/1.9835*1.02</f>
        <v>1.86616507850278</v>
      </c>
      <c r="R31" s="138" t="n">
        <f aca="false">((1137364/646272)*1.04)-T31</f>
        <v>1.32394743836799</v>
      </c>
      <c r="S31" s="138" t="n">
        <v>0</v>
      </c>
      <c r="T31" s="140" t="n">
        <f aca="false">(0.4593*1.06)*1.04</f>
        <v>0.50633232</v>
      </c>
      <c r="U31" s="101" t="n">
        <f aca="false">M31-(Q31+R31+S31+T31)</f>
        <v>-0.706444836870777</v>
      </c>
      <c r="V31" s="141" t="n">
        <v>0</v>
      </c>
      <c r="W31" s="141" t="n">
        <v>0</v>
      </c>
      <c r="X31" s="142" t="n">
        <f aca="false">M31-N31-O31-P31-Q31-R31-S31-T31-U31+V31+W31-AU31+AR31</f>
        <v>0</v>
      </c>
      <c r="Y31" s="143" t="n">
        <f aca="false">X31-AO31</f>
        <v>0</v>
      </c>
      <c r="Z31" s="84"/>
      <c r="AA31" s="143"/>
      <c r="AB31" s="84"/>
      <c r="AC31" s="141" t="n">
        <v>100</v>
      </c>
      <c r="AD31" s="84"/>
      <c r="AE31" s="141" t="n">
        <v>0</v>
      </c>
      <c r="AF31" s="144"/>
      <c r="AG31" s="145"/>
      <c r="AH31" s="141" t="n">
        <v>17.9</v>
      </c>
      <c r="AI31" s="84" t="n">
        <f aca="false">AI30-AH31</f>
        <v>2694.63684762419</v>
      </c>
      <c r="AJ31" s="84"/>
      <c r="AK31" s="141" t="n">
        <f aca="false">N31+O31+P31+Q31+R31+S31+T31+U31+X31+AE31+AH31</f>
        <v>20.89</v>
      </c>
      <c r="AL31" s="141" t="n">
        <f aca="false">IF(L31&lt;0,L31*-1,0)</f>
        <v>29.7772450214268</v>
      </c>
      <c r="AM31" s="141" t="n">
        <f aca="false">AK31+AL31</f>
        <v>50.6672450214268</v>
      </c>
      <c r="AN31" s="105"/>
      <c r="AO31" s="102"/>
      <c r="AP31" s="106"/>
      <c r="AQ31" s="106"/>
      <c r="AR31" s="106"/>
      <c r="AS31" s="106"/>
      <c r="AU31" s="5"/>
      <c r="AV31" s="107" t="n">
        <v>0</v>
      </c>
      <c r="AW31" s="108" t="n">
        <v>52</v>
      </c>
      <c r="AX31" s="108" t="n">
        <v>29</v>
      </c>
      <c r="AY31" s="108"/>
      <c r="AZ31" s="109" t="n">
        <f aca="false">SUM(N31,P31:U31)</f>
        <v>2.99</v>
      </c>
      <c r="BA31" s="150" t="n">
        <v>0</v>
      </c>
      <c r="BB31" s="148" t="n">
        <v>6558</v>
      </c>
    </row>
    <row r="32" customFormat="false" ht="12.95" hidden="false" customHeight="true" outlineLevel="0" collapsed="false">
      <c r="A32" s="10" t="n">
        <f aca="false">A31+1</f>
        <v>18</v>
      </c>
      <c r="B32" s="133" t="n">
        <v>6865.84</v>
      </c>
      <c r="C32" s="95" t="n">
        <v>177046</v>
      </c>
      <c r="D32" s="134" t="n">
        <f aca="false">C32-C31</f>
        <v>125</v>
      </c>
      <c r="E32" s="95" t="n">
        <f aca="false">C32-152000</f>
        <v>25046</v>
      </c>
      <c r="F32" s="135" t="n">
        <f aca="false">D32/$D$2</f>
        <v>63.0199142929166</v>
      </c>
      <c r="G32" s="11" t="n">
        <v>95</v>
      </c>
      <c r="H32" s="12" t="n">
        <v>0.165</v>
      </c>
      <c r="I32" s="11" t="n">
        <f aca="false">G32+H32</f>
        <v>95.165</v>
      </c>
      <c r="J32" s="4" t="n">
        <f aca="false">IF(L32&gt;0,L32,0)</f>
        <v>0</v>
      </c>
      <c r="K32" s="11" t="n">
        <f aca="false">I32+J32</f>
        <v>95.165</v>
      </c>
      <c r="L32" s="11" t="n">
        <f aca="false">F32-(I32-AK32)</f>
        <v>-11.1250857070835</v>
      </c>
      <c r="M32" s="136" t="n">
        <v>3.12</v>
      </c>
      <c r="N32" s="137" t="n">
        <v>0</v>
      </c>
      <c r="O32" s="137" t="n">
        <f aca="false">0*1.05</f>
        <v>0</v>
      </c>
      <c r="P32" s="98" t="n">
        <v>0</v>
      </c>
      <c r="Q32" s="138" t="n">
        <f aca="false">915900/325851/1.9835*1.02</f>
        <v>1.44542967898579</v>
      </c>
      <c r="R32" s="138" t="n">
        <f aca="false">((1107952/646272)*1.04)-T32</f>
        <v>1.27661677883145</v>
      </c>
      <c r="S32" s="138" t="n">
        <v>0</v>
      </c>
      <c r="T32" s="140" t="n">
        <f aca="false">(0.4593*1.06)*1.04</f>
        <v>0.50633232</v>
      </c>
      <c r="U32" s="101" t="n">
        <f aca="false">M32-(Q32+R32+S32+T32)</f>
        <v>-0.108378777817244</v>
      </c>
      <c r="V32" s="141" t="n">
        <v>0</v>
      </c>
      <c r="W32" s="141" t="n">
        <v>0</v>
      </c>
      <c r="X32" s="142" t="n">
        <f aca="false">M32-N32-O32-P32-Q32-R32-S32-T32-U32+V32+W32-AU32+AR32</f>
        <v>4.44089209850063E-016</v>
      </c>
      <c r="Y32" s="143" t="n">
        <f aca="false">X32-AO32</f>
        <v>4.44089209850063E-016</v>
      </c>
      <c r="Z32" s="84"/>
      <c r="AA32" s="143"/>
      <c r="AB32" s="84"/>
      <c r="AC32" s="141" t="n">
        <v>14.14</v>
      </c>
      <c r="AD32" s="84"/>
      <c r="AE32" s="141" t="n">
        <v>0</v>
      </c>
      <c r="AF32" s="144"/>
      <c r="AG32" s="145"/>
      <c r="AH32" s="141" t="n">
        <v>17.9</v>
      </c>
      <c r="AI32" s="84" t="n">
        <f aca="false">AI31-AH32</f>
        <v>2676.73684762419</v>
      </c>
      <c r="AJ32" s="84"/>
      <c r="AK32" s="141" t="n">
        <f aca="false">N32+O32+P32+Q32+R32+S32+T32+U32+X32+AE32+AH32</f>
        <v>21.02</v>
      </c>
      <c r="AL32" s="141" t="n">
        <f aca="false">IF(L32&lt;0,L32*-1,0)</f>
        <v>11.1250857070835</v>
      </c>
      <c r="AM32" s="141" t="n">
        <f aca="false">AK32+AL32</f>
        <v>32.1450857070835</v>
      </c>
      <c r="AN32" s="105"/>
      <c r="AO32" s="102"/>
      <c r="AP32" s="106"/>
      <c r="AQ32" s="106"/>
      <c r="AR32" s="106"/>
      <c r="AS32" s="106"/>
      <c r="AU32" s="5"/>
      <c r="AV32" s="107" t="n">
        <v>0</v>
      </c>
      <c r="AW32" s="108" t="n">
        <v>57</v>
      </c>
      <c r="AX32" s="108" t="n">
        <v>27</v>
      </c>
      <c r="AY32" s="108"/>
      <c r="AZ32" s="109" t="n">
        <f aca="false">SUM(N32,P32:U32)</f>
        <v>3.12</v>
      </c>
      <c r="BA32" s="0" t="n">
        <v>0</v>
      </c>
      <c r="BB32" s="148" t="n">
        <v>6556</v>
      </c>
    </row>
    <row r="33" customFormat="false" ht="12.95" hidden="false" customHeight="true" outlineLevel="0" collapsed="false">
      <c r="A33" s="10" t="n">
        <f aca="false">A32+1</f>
        <v>19</v>
      </c>
      <c r="B33" s="133" t="n">
        <v>6865.91</v>
      </c>
      <c r="C33" s="95" t="n">
        <v>177221</v>
      </c>
      <c r="D33" s="134" t="n">
        <f aca="false">C33-C32</f>
        <v>175</v>
      </c>
      <c r="E33" s="95" t="n">
        <f aca="false">C33-152000</f>
        <v>25221</v>
      </c>
      <c r="F33" s="135" t="n">
        <f aca="false">D33/$D$2</f>
        <v>88.2278800100832</v>
      </c>
      <c r="G33" s="11" t="n">
        <v>94</v>
      </c>
      <c r="H33" s="12" t="n">
        <v>0.14</v>
      </c>
      <c r="I33" s="11" t="n">
        <f aca="false">G33+H33</f>
        <v>94.14</v>
      </c>
      <c r="J33" s="4" t="n">
        <f aca="false">IF(L33&gt;0,L33,0)</f>
        <v>15.5378800100832</v>
      </c>
      <c r="K33" s="11" t="n">
        <f aca="false">I33+J33</f>
        <v>109.677880010083</v>
      </c>
      <c r="L33" s="11" t="n">
        <f aca="false">F33-(I33-AK33)</f>
        <v>15.5378800100832</v>
      </c>
      <c r="M33" s="136" t="n">
        <v>3.55</v>
      </c>
      <c r="N33" s="137" t="n">
        <v>0</v>
      </c>
      <c r="O33" s="137" t="n">
        <f aca="false">0*1.05</f>
        <v>0</v>
      </c>
      <c r="P33" s="98" t="n">
        <v>0</v>
      </c>
      <c r="Q33" s="138" t="n">
        <f aca="false">984800/325851/1.9835*1.02</f>
        <v>1.55416437150913</v>
      </c>
      <c r="R33" s="138" t="n">
        <f aca="false">((1404584/646272)*1.04)-T33</f>
        <v>1.75396575882749</v>
      </c>
      <c r="S33" s="138" t="n">
        <v>0</v>
      </c>
      <c r="T33" s="140" t="n">
        <f aca="false">(0.4593*1.06)*1.04</f>
        <v>0.50633232</v>
      </c>
      <c r="U33" s="101" t="n">
        <f aca="false">M33-(Q33+R33+S33+T33)</f>
        <v>-0.264462450336617</v>
      </c>
      <c r="V33" s="141" t="n">
        <v>0</v>
      </c>
      <c r="W33" s="141" t="n">
        <v>0</v>
      </c>
      <c r="X33" s="142" t="n">
        <f aca="false">M33-N33-O33-P33-Q33-R33-S33-T33-U33+V33+W33-AU33+AR33</f>
        <v>0</v>
      </c>
      <c r="Y33" s="143" t="n">
        <f aca="false">X33-AO33</f>
        <v>0</v>
      </c>
      <c r="Z33" s="84"/>
      <c r="AA33" s="143"/>
      <c r="AB33" s="84"/>
      <c r="AC33" s="141"/>
      <c r="AD33" s="84"/>
      <c r="AE33" s="141" t="n">
        <v>0</v>
      </c>
      <c r="AF33" s="144"/>
      <c r="AG33" s="145"/>
      <c r="AH33" s="141" t="n">
        <v>17.9</v>
      </c>
      <c r="AI33" s="84" t="n">
        <f aca="false">AI32-AH33</f>
        <v>2658.83684762419</v>
      </c>
      <c r="AJ33" s="84"/>
      <c r="AK33" s="141" t="n">
        <f aca="false">N33+O33+P33+Q33+R33+S33+T33+U33+X33+AE33+AH33</f>
        <v>21.45</v>
      </c>
      <c r="AL33" s="141" t="n">
        <f aca="false">IF(L33&lt;0,L33*-1,0)</f>
        <v>0</v>
      </c>
      <c r="AM33" s="141" t="n">
        <f aca="false">AK33+AL33</f>
        <v>21.45</v>
      </c>
      <c r="AN33" s="105"/>
      <c r="AO33" s="102"/>
      <c r="AP33" s="106"/>
      <c r="AQ33" s="106"/>
      <c r="AR33" s="106"/>
      <c r="AS33" s="106"/>
      <c r="AU33" s="5"/>
      <c r="AV33" s="107" t="n">
        <v>0</v>
      </c>
      <c r="AW33" s="108" t="n">
        <v>56</v>
      </c>
      <c r="AX33" s="108" t="n">
        <v>31</v>
      </c>
      <c r="AY33" s="108"/>
      <c r="AZ33" s="109" t="n">
        <f aca="false">SUM(N33,P33:U33)</f>
        <v>3.55</v>
      </c>
      <c r="BA33" s="0" t="n">
        <v>0</v>
      </c>
      <c r="BB33" s="148" t="n">
        <v>6559</v>
      </c>
    </row>
    <row r="34" customFormat="false" ht="12.95" hidden="false" customHeight="true" outlineLevel="0" collapsed="false">
      <c r="A34" s="10" t="n">
        <f aca="false">A33+1</f>
        <v>20</v>
      </c>
      <c r="B34" s="133" t="n">
        <v>6865.99</v>
      </c>
      <c r="C34" s="95" t="n">
        <v>177420</v>
      </c>
      <c r="D34" s="134" t="n">
        <f aca="false">C34-C33</f>
        <v>199</v>
      </c>
      <c r="E34" s="95" t="n">
        <f aca="false">C34-152000</f>
        <v>25420</v>
      </c>
      <c r="F34" s="135" t="n">
        <f aca="false">D34/$D$2</f>
        <v>100.327703554323</v>
      </c>
      <c r="G34" s="11" t="n">
        <v>118</v>
      </c>
      <c r="H34" s="12" t="n">
        <v>0.139</v>
      </c>
      <c r="I34" s="11" t="n">
        <f aca="false">G34+H34</f>
        <v>118.139</v>
      </c>
      <c r="J34" s="4" t="n">
        <f aca="false">IF(L34&gt;0,L34,0)</f>
        <v>3.73870355432317</v>
      </c>
      <c r="K34" s="11" t="n">
        <f aca="false">I34+J34</f>
        <v>121.877703554323</v>
      </c>
      <c r="L34" s="11" t="n">
        <f aca="false">F34-(I34-AK34)</f>
        <v>3.73870355432317</v>
      </c>
      <c r="M34" s="136" t="n">
        <v>3.55</v>
      </c>
      <c r="N34" s="137" t="n">
        <v>0</v>
      </c>
      <c r="O34" s="137" t="n">
        <f aca="false">0*1.05</f>
        <v>0</v>
      </c>
      <c r="P34" s="98" t="n">
        <v>0</v>
      </c>
      <c r="Q34" s="138" t="n">
        <f aca="false">953300/325851/1.9835*1.02</f>
        <v>1.50445257449193</v>
      </c>
      <c r="R34" s="138" t="n">
        <f aca="false">((1454640/646272)*1.04)-T34</f>
        <v>1.83451735320261</v>
      </c>
      <c r="S34" s="138" t="n">
        <v>0</v>
      </c>
      <c r="T34" s="140" t="n">
        <f aca="false">(0.4593*1.06)*1.04</f>
        <v>0.50633232</v>
      </c>
      <c r="U34" s="101" t="n">
        <f aca="false">M34-(Q34+R34+S34+T34)</f>
        <v>-0.295302247694542</v>
      </c>
      <c r="V34" s="141" t="n">
        <v>0</v>
      </c>
      <c r="W34" s="141" t="n">
        <v>0</v>
      </c>
      <c r="X34" s="142" t="n">
        <f aca="false">M34-N34-O34-P34-Q34-R34-S34-T34-U34+V34+W34-AU34+AR34</f>
        <v>0</v>
      </c>
      <c r="Y34" s="143" t="n">
        <f aca="false">X34-AO34</f>
        <v>0</v>
      </c>
      <c r="Z34" s="84"/>
      <c r="AA34" s="143"/>
      <c r="AB34" s="84"/>
      <c r="AC34" s="141"/>
      <c r="AD34" s="84"/>
      <c r="AE34" s="141" t="n">
        <v>0</v>
      </c>
      <c r="AF34" s="144"/>
      <c r="AG34" s="145"/>
      <c r="AH34" s="141" t="n">
        <v>18</v>
      </c>
      <c r="AI34" s="84" t="n">
        <f aca="false">AI33-AH34</f>
        <v>2640.83684762419</v>
      </c>
      <c r="AJ34" s="84"/>
      <c r="AK34" s="141" t="n">
        <f aca="false">N34+O34+P34+Q34+R34+S34+T34+U34+X34+AE34+AH34</f>
        <v>21.55</v>
      </c>
      <c r="AL34" s="141" t="n">
        <f aca="false">IF(L34&lt;0,L34*-1,0)</f>
        <v>0</v>
      </c>
      <c r="AM34" s="141" t="n">
        <f aca="false">AK34+AL34</f>
        <v>21.55</v>
      </c>
      <c r="AN34" s="105"/>
      <c r="AO34" s="102"/>
      <c r="AP34" s="106"/>
      <c r="AQ34" s="106"/>
      <c r="AR34" s="106"/>
      <c r="AS34" s="106"/>
      <c r="AU34" s="5"/>
      <c r="AV34" s="107" t="n">
        <v>0.14</v>
      </c>
      <c r="AW34" s="108" t="n">
        <v>56</v>
      </c>
      <c r="AX34" s="108" t="n">
        <v>29</v>
      </c>
      <c r="AY34" s="108"/>
      <c r="AZ34" s="109" t="n">
        <f aca="false">SUM(N34,P34:U34)</f>
        <v>3.55</v>
      </c>
      <c r="BA34" s="0" t="n">
        <v>0</v>
      </c>
      <c r="BB34" s="148" t="n">
        <v>6571</v>
      </c>
    </row>
    <row r="35" customFormat="false" ht="12.95" hidden="false" customHeight="true" outlineLevel="0" collapsed="false">
      <c r="A35" s="10" t="n">
        <f aca="false">A34+1</f>
        <v>21</v>
      </c>
      <c r="B35" s="133" t="n">
        <v>6866.12</v>
      </c>
      <c r="C35" s="95" t="n">
        <v>177749</v>
      </c>
      <c r="D35" s="134" t="n">
        <f aca="false">C35-C34</f>
        <v>329</v>
      </c>
      <c r="E35" s="95" t="n">
        <f aca="false">C35-152000</f>
        <v>25749</v>
      </c>
      <c r="F35" s="135" t="n">
        <f aca="false">D35/$D$2</f>
        <v>165.868414418956</v>
      </c>
      <c r="G35" s="11" t="n">
        <v>112</v>
      </c>
      <c r="H35" s="12" t="n">
        <v>0.194</v>
      </c>
      <c r="I35" s="11" t="n">
        <f aca="false">G35+H35</f>
        <v>112.194</v>
      </c>
      <c r="J35" s="4" t="n">
        <f aca="false">IF(L35&gt;0,L35,0)</f>
        <v>74.9144144189564</v>
      </c>
      <c r="K35" s="11" t="n">
        <f aca="false">I35+J35</f>
        <v>187.108414418956</v>
      </c>
      <c r="L35" s="11" t="n">
        <f aca="false">F35-(I35-AK35)</f>
        <v>74.9144144189564</v>
      </c>
      <c r="M35" s="136" t="n">
        <v>3.04</v>
      </c>
      <c r="N35" s="137" t="n">
        <v>0</v>
      </c>
      <c r="O35" s="137" t="n">
        <f aca="false">0*1.05</f>
        <v>0</v>
      </c>
      <c r="P35" s="98" t="n">
        <v>0</v>
      </c>
      <c r="Q35" s="138" t="n">
        <f aca="false">839300/325851/1.9835*1.02</f>
        <v>1.32454321385825</v>
      </c>
      <c r="R35" s="138" t="n">
        <f aca="false">((1442328/646272)*1.04)-T35</f>
        <v>1.81470451897802</v>
      </c>
      <c r="S35" s="138" t="n">
        <v>0</v>
      </c>
      <c r="T35" s="140" t="n">
        <f aca="false">(0.4593*1.06)*1.04</f>
        <v>0.50633232</v>
      </c>
      <c r="U35" s="101" t="n">
        <f aca="false">M35-(Q35+R35+S35+T35)</f>
        <v>-0.60558005283627</v>
      </c>
      <c r="V35" s="141" t="n">
        <v>0</v>
      </c>
      <c r="W35" s="141" t="n">
        <v>0</v>
      </c>
      <c r="X35" s="142" t="n">
        <f aca="false">M35-N35-O35-P35-Q35-R35-S35-T35-U35+V35+W35-AU35+AR35</f>
        <v>0</v>
      </c>
      <c r="Y35" s="143" t="n">
        <f aca="false">X35-AO35</f>
        <v>0</v>
      </c>
      <c r="Z35" s="84"/>
      <c r="AA35" s="143"/>
      <c r="AB35" s="84"/>
      <c r="AC35" s="141"/>
      <c r="AD35" s="84"/>
      <c r="AE35" s="141" t="n">
        <v>0</v>
      </c>
      <c r="AF35" s="144"/>
      <c r="AG35" s="145"/>
      <c r="AH35" s="141" t="n">
        <v>18.2</v>
      </c>
      <c r="AI35" s="84" t="n">
        <f aca="false">AI34-AH35</f>
        <v>2622.63684762419</v>
      </c>
      <c r="AJ35" s="84"/>
      <c r="AK35" s="141" t="n">
        <f aca="false">N35+O35+P35+Q35+R35+S35+T35+U35+X35+AE35+AH35</f>
        <v>21.24</v>
      </c>
      <c r="AL35" s="141" t="n">
        <f aca="false">IF(L35&lt;0,L35*-1,0)</f>
        <v>0</v>
      </c>
      <c r="AM35" s="141" t="n">
        <f aca="false">AK35+AL35</f>
        <v>21.24</v>
      </c>
      <c r="AN35" s="105"/>
      <c r="AO35" s="102"/>
      <c r="AP35" s="106"/>
      <c r="AQ35" s="106"/>
      <c r="AR35" s="106"/>
      <c r="AS35" s="106"/>
      <c r="AU35" s="5"/>
      <c r="AV35" s="107" t="n">
        <v>0.38</v>
      </c>
      <c r="AW35" s="108" t="n">
        <v>51</v>
      </c>
      <c r="AX35" s="108" t="n">
        <v>32</v>
      </c>
      <c r="AY35" s="108"/>
      <c r="AZ35" s="109" t="n">
        <f aca="false">SUM(N35,P35:U35)</f>
        <v>3.04</v>
      </c>
      <c r="BA35" s="0" t="n">
        <v>0</v>
      </c>
      <c r="BB35" s="148" t="n">
        <v>6585</v>
      </c>
    </row>
    <row r="36" customFormat="false" ht="12.95" hidden="false" customHeight="true" outlineLevel="0" collapsed="false">
      <c r="A36" s="10" t="n">
        <f aca="false">A35+1</f>
        <v>22</v>
      </c>
      <c r="B36" s="133" t="n">
        <v>6866.26</v>
      </c>
      <c r="C36" s="95" t="n">
        <v>178104</v>
      </c>
      <c r="D36" s="134" t="n">
        <f aca="false">C36-C35</f>
        <v>355</v>
      </c>
      <c r="E36" s="95" t="n">
        <f aca="false">C36-152000</f>
        <v>26104</v>
      </c>
      <c r="F36" s="135" t="n">
        <f aca="false">D36/$D$2</f>
        <v>178.976556591883</v>
      </c>
      <c r="G36" s="11" t="n">
        <v>116</v>
      </c>
      <c r="H36" s="11" t="n">
        <v>0.48</v>
      </c>
      <c r="I36" s="11" t="n">
        <f aca="false">G36+H36</f>
        <v>116.48</v>
      </c>
      <c r="J36" s="4" t="n">
        <f aca="false">IF(L36&gt;0,L36,0)</f>
        <v>84.106556591883</v>
      </c>
      <c r="K36" s="11" t="n">
        <f aca="false">I36+J36</f>
        <v>200.586556591883</v>
      </c>
      <c r="L36" s="11" t="n">
        <f aca="false">F36-(I36-AK36)</f>
        <v>84.106556591883</v>
      </c>
      <c r="M36" s="136" t="n">
        <v>3.11</v>
      </c>
      <c r="N36" s="137" t="n">
        <v>0</v>
      </c>
      <c r="O36" s="137" t="n">
        <f aca="false">0*1.05</f>
        <v>0</v>
      </c>
      <c r="P36" s="98" t="n">
        <v>0</v>
      </c>
      <c r="Q36" s="138" t="n">
        <f aca="false">829900/325851/1.9835*1.02</f>
        <v>1.30970858236741</v>
      </c>
      <c r="R36" s="138" t="n">
        <f aca="false">((1448008/646272)*1.04)-T36</f>
        <v>1.87014574282432</v>
      </c>
      <c r="S36" s="138" t="n">
        <v>0</v>
      </c>
      <c r="T36" s="140" t="n">
        <f aca="false">(0.4173*1.06)*1.04</f>
        <v>0.46003152</v>
      </c>
      <c r="U36" s="101" t="n">
        <f aca="false">M36-(Q36+R36+S36+T36)</f>
        <v>-0.52988584519173</v>
      </c>
      <c r="V36" s="141" t="n">
        <v>0</v>
      </c>
      <c r="W36" s="141" t="n">
        <v>0</v>
      </c>
      <c r="X36" s="142" t="n">
        <f aca="false">M36-N36-O36-P36-Q36-R36-S36-T36-U36+V36+W36-AU36+AR36</f>
        <v>0</v>
      </c>
      <c r="Y36" s="143" t="n">
        <f aca="false">X36-AO36</f>
        <v>0</v>
      </c>
      <c r="Z36" s="84"/>
      <c r="AA36" s="143"/>
      <c r="AB36" s="84"/>
      <c r="AC36" s="141"/>
      <c r="AD36" s="84"/>
      <c r="AE36" s="141" t="n">
        <v>0</v>
      </c>
      <c r="AF36" s="144"/>
      <c r="AG36" s="145"/>
      <c r="AH36" s="141" t="n">
        <v>18.5</v>
      </c>
      <c r="AI36" s="84" t="n">
        <f aca="false">AI35-AH36</f>
        <v>2604.13684762419</v>
      </c>
      <c r="AJ36" s="84"/>
      <c r="AK36" s="141" t="n">
        <f aca="false">N36+O36+P36+Q36+R36+S36+T36+U36+X36+AE36+AH36</f>
        <v>21.61</v>
      </c>
      <c r="AL36" s="141" t="n">
        <f aca="false">IF(L36&lt;0,L36*-1,0)</f>
        <v>0</v>
      </c>
      <c r="AM36" s="141" t="n">
        <f aca="false">AK36+AL36</f>
        <v>21.61</v>
      </c>
      <c r="AN36" s="105"/>
      <c r="AO36" s="102"/>
      <c r="AP36" s="106"/>
      <c r="AQ36" s="106"/>
      <c r="AR36" s="106"/>
      <c r="AS36" s="106"/>
      <c r="AU36" s="5"/>
      <c r="AV36" s="107" t="n">
        <v>0.53</v>
      </c>
      <c r="AW36" s="108" t="n">
        <v>45</v>
      </c>
      <c r="AX36" s="108" t="n">
        <v>33</v>
      </c>
      <c r="AY36" s="108"/>
      <c r="AZ36" s="109" t="n">
        <f aca="false">SUM(N36,P36:U36)</f>
        <v>3.11</v>
      </c>
      <c r="BA36" s="0" t="n">
        <v>0</v>
      </c>
      <c r="BB36" s="148" t="n">
        <v>6607</v>
      </c>
    </row>
    <row r="37" customFormat="false" ht="12.95" hidden="false" customHeight="true" outlineLevel="0" collapsed="false">
      <c r="A37" s="10" t="n">
        <f aca="false">A36+1</f>
        <v>23</v>
      </c>
      <c r="B37" s="133" t="n">
        <v>6866.37</v>
      </c>
      <c r="C37" s="95" t="n">
        <v>178383</v>
      </c>
      <c r="D37" s="134" t="n">
        <f aca="false">C37-C36</f>
        <v>279</v>
      </c>
      <c r="E37" s="95" t="n">
        <f aca="false">C37-152000</f>
        <v>26383</v>
      </c>
      <c r="F37" s="135" t="n">
        <f aca="false">D37/$D$2</f>
        <v>140.66044870179</v>
      </c>
      <c r="G37" s="11" t="n">
        <v>120</v>
      </c>
      <c r="H37" s="12" t="n">
        <v>0.912</v>
      </c>
      <c r="I37" s="11" t="n">
        <f aca="false">G37+H37</f>
        <v>120.912</v>
      </c>
      <c r="J37" s="4" t="n">
        <f aca="false">IF(L37&gt;0,L37,0)</f>
        <v>41.7884487017898</v>
      </c>
      <c r="K37" s="11" t="n">
        <f aca="false">I37+J37</f>
        <v>162.70044870179</v>
      </c>
      <c r="L37" s="11" t="n">
        <f aca="false">F37-(I37-AK37)</f>
        <v>41.7884487017898</v>
      </c>
      <c r="M37" s="136" t="n">
        <v>3.54</v>
      </c>
      <c r="N37" s="137" t="n">
        <v>0</v>
      </c>
      <c r="O37" s="137" t="n">
        <f aca="false">0*1.05</f>
        <v>0</v>
      </c>
      <c r="P37" s="98" t="n">
        <v>0</v>
      </c>
      <c r="Q37" s="138" t="n">
        <f aca="false">936200/325851/1.9835*1.02</f>
        <v>1.47746617039688</v>
      </c>
      <c r="R37" s="138" t="n">
        <f aca="false">((1430416/646272)*1.04)-T37</f>
        <v>1.84183617657358</v>
      </c>
      <c r="S37" s="138" t="n">
        <v>0</v>
      </c>
      <c r="T37" s="140" t="n">
        <f aca="false">(0.4173*1.06)*1.04</f>
        <v>0.46003152</v>
      </c>
      <c r="U37" s="101" t="n">
        <f aca="false">M37-(Q37+R37+S37+T37)</f>
        <v>-0.239333866970455</v>
      </c>
      <c r="V37" s="141" t="n">
        <v>0</v>
      </c>
      <c r="W37" s="141" t="n">
        <v>0</v>
      </c>
      <c r="X37" s="142" t="n">
        <f aca="false">M37-N37-O37-P37-Q37-R37-S37-T37-U37+V37+W37-AU37+AR37</f>
        <v>0</v>
      </c>
      <c r="Y37" s="143" t="n">
        <f aca="false">X37-AO37</f>
        <v>0</v>
      </c>
      <c r="Z37" s="84"/>
      <c r="AA37" s="143"/>
      <c r="AB37" s="84"/>
      <c r="AC37" s="141"/>
      <c r="AD37" s="84"/>
      <c r="AE37" s="141" t="n">
        <v>0</v>
      </c>
      <c r="AF37" s="144"/>
      <c r="AG37" s="145"/>
      <c r="AH37" s="141" t="n">
        <v>18.5</v>
      </c>
      <c r="AI37" s="84" t="n">
        <f aca="false">AI36-AH37</f>
        <v>2585.63684762419</v>
      </c>
      <c r="AJ37" s="84"/>
      <c r="AK37" s="141" t="n">
        <f aca="false">N37+O37+P37+Q37+R37+S37+T37+U37+X37+AE37+AH37</f>
        <v>22.04</v>
      </c>
      <c r="AL37" s="141" t="n">
        <f aca="false">IF(L37&lt;0,L37*-1,0)</f>
        <v>0</v>
      </c>
      <c r="AM37" s="141" t="n">
        <f aca="false">AK37+AL37</f>
        <v>22.04</v>
      </c>
      <c r="AN37" s="105"/>
      <c r="AO37" s="102"/>
      <c r="AP37" s="106"/>
      <c r="AQ37" s="106"/>
      <c r="AR37" s="106"/>
      <c r="AS37" s="106"/>
      <c r="AU37" s="5"/>
      <c r="AV37" s="107" t="n">
        <v>0.21</v>
      </c>
      <c r="AW37" s="108" t="n">
        <v>46</v>
      </c>
      <c r="AX37" s="149" t="n">
        <v>30</v>
      </c>
      <c r="AY37" s="149"/>
      <c r="AZ37" s="109" t="n">
        <f aca="false">SUM(N37,P37:U37)</f>
        <v>3.54</v>
      </c>
      <c r="BA37" s="0" t="n">
        <v>0</v>
      </c>
      <c r="BB37" s="148" t="n">
        <v>6618</v>
      </c>
    </row>
    <row r="38" customFormat="false" ht="12.95" hidden="false" customHeight="true" outlineLevel="0" collapsed="false">
      <c r="A38" s="10" t="n">
        <f aca="false">A37+1</f>
        <v>24</v>
      </c>
      <c r="B38" s="133" t="n">
        <v>6866.46</v>
      </c>
      <c r="C38" s="95" t="n">
        <v>178611</v>
      </c>
      <c r="D38" s="134" t="n">
        <f aca="false">C38-C37</f>
        <v>228</v>
      </c>
      <c r="E38" s="95" t="n">
        <f aca="false">C38-152000</f>
        <v>26611</v>
      </c>
      <c r="F38" s="135" t="n">
        <f aca="false">D38/$D$2</f>
        <v>114.94832367028</v>
      </c>
      <c r="G38" s="11" t="n">
        <v>117</v>
      </c>
      <c r="H38" s="11" t="n">
        <v>0.899</v>
      </c>
      <c r="I38" s="11" t="n">
        <f aca="false">G38+H38</f>
        <v>117.899</v>
      </c>
      <c r="J38" s="4" t="n">
        <f aca="false">IF(L38&gt;0,L38,0)</f>
        <v>18.4493236702798</v>
      </c>
      <c r="K38" s="11" t="n">
        <f aca="false">I38+J38</f>
        <v>136.34832367028</v>
      </c>
      <c r="L38" s="11" t="n">
        <f aca="false">F38-(I38-AK38)</f>
        <v>18.4493236702798</v>
      </c>
      <c r="M38" s="136" t="n">
        <v>2.9</v>
      </c>
      <c r="N38" s="137" t="n">
        <v>0</v>
      </c>
      <c r="O38" s="137" t="n">
        <f aca="false">0*1.05</f>
        <v>0</v>
      </c>
      <c r="P38" s="98" t="n">
        <v>0</v>
      </c>
      <c r="Q38" s="138" t="n">
        <f aca="false">972000/325851/1.9835*1.02</f>
        <v>1.53396402224499</v>
      </c>
      <c r="R38" s="138" t="n">
        <f aca="false">((1411800/646272)*1.04)-T38</f>
        <v>1.81187875926322</v>
      </c>
      <c r="S38" s="138" t="n">
        <v>0</v>
      </c>
      <c r="T38" s="140" t="n">
        <f aca="false">(0.4173*1.06)*1.04</f>
        <v>0.46003152</v>
      </c>
      <c r="U38" s="101" t="n">
        <f aca="false">M38-(Q38+R38+S38+T38)</f>
        <v>-0.905874301508214</v>
      </c>
      <c r="V38" s="141" t="n">
        <v>0</v>
      </c>
      <c r="W38" s="141" t="n">
        <v>0</v>
      </c>
      <c r="X38" s="142" t="n">
        <f aca="false">M38-N38-O38-P38-Q38-R38-S38-T38-U38+V38+W38-AU38+AR38</f>
        <v>0</v>
      </c>
      <c r="Y38" s="143" t="n">
        <f aca="false">X38-AO38</f>
        <v>0</v>
      </c>
      <c r="Z38" s="84"/>
      <c r="AA38" s="143"/>
      <c r="AB38" s="84"/>
      <c r="AC38" s="141"/>
      <c r="AD38" s="84"/>
      <c r="AE38" s="141" t="n">
        <v>0</v>
      </c>
      <c r="AF38" s="144"/>
      <c r="AG38" s="145"/>
      <c r="AH38" s="141" t="n">
        <v>18.5</v>
      </c>
      <c r="AI38" s="84" t="n">
        <f aca="false">AI37-AH38</f>
        <v>2567.13684762419</v>
      </c>
      <c r="AJ38" s="84"/>
      <c r="AK38" s="141" t="n">
        <f aca="false">N38+O38+P38+Q38+R38+S38+T38+U38+X38+AE38+AH38</f>
        <v>21.4</v>
      </c>
      <c r="AL38" s="141" t="n">
        <f aca="false">IF(L38&lt;0,L38*-1,0)</f>
        <v>0</v>
      </c>
      <c r="AM38" s="141" t="n">
        <f aca="false">AK38+AL38</f>
        <v>21.4</v>
      </c>
      <c r="AN38" s="105"/>
      <c r="AO38" s="102"/>
      <c r="AP38" s="106"/>
      <c r="AQ38" s="106"/>
      <c r="AR38" s="106"/>
      <c r="AS38" s="106"/>
      <c r="AU38" s="5"/>
      <c r="AV38" s="107" t="n">
        <v>0.02</v>
      </c>
      <c r="AW38" s="108" t="n">
        <v>36</v>
      </c>
      <c r="AX38" s="149" t="n">
        <v>26</v>
      </c>
      <c r="AY38" s="149"/>
      <c r="AZ38" s="109" t="n">
        <f aca="false">SUM(N38,P38:U38)</f>
        <v>2.9</v>
      </c>
      <c r="BA38" s="0" t="n">
        <v>0</v>
      </c>
      <c r="BB38" s="148" t="n">
        <v>6632</v>
      </c>
    </row>
    <row r="39" customFormat="false" ht="12.95" hidden="false" customHeight="true" outlineLevel="0" collapsed="false">
      <c r="A39" s="10" t="n">
        <f aca="false">A38+1</f>
        <v>25</v>
      </c>
      <c r="B39" s="133" t="n">
        <v>6866.5</v>
      </c>
      <c r="C39" s="95" t="n">
        <v>178712</v>
      </c>
      <c r="D39" s="134" t="n">
        <f aca="false">C39-C38</f>
        <v>101</v>
      </c>
      <c r="E39" s="95" t="n">
        <f aca="false">C39-152000</f>
        <v>26712</v>
      </c>
      <c r="F39" s="135" t="n">
        <f aca="false">D39/$D$2</f>
        <v>50.9200907486766</v>
      </c>
      <c r="G39" s="11" t="n">
        <v>107</v>
      </c>
      <c r="H39" s="12" t="n">
        <v>0.681</v>
      </c>
      <c r="I39" s="11" t="n">
        <f aca="false">G39+H39</f>
        <v>107.681</v>
      </c>
      <c r="J39" s="4" t="n">
        <f aca="false">IF(L39&gt;0,L39,0)</f>
        <v>0</v>
      </c>
      <c r="K39" s="11" t="n">
        <f aca="false">I39+J39</f>
        <v>107.681</v>
      </c>
      <c r="L39" s="11" t="n">
        <f aca="false">F39-(I39-AK39)</f>
        <v>-34.7809092513234</v>
      </c>
      <c r="M39" s="136" t="n">
        <v>3.68</v>
      </c>
      <c r="N39" s="137" t="n">
        <v>0</v>
      </c>
      <c r="O39" s="137" t="n">
        <f aca="false">0*1.05</f>
        <v>0</v>
      </c>
      <c r="P39" s="98" t="n">
        <v>0</v>
      </c>
      <c r="Q39" s="138" t="n">
        <f aca="false">1084800/325851/1.9835*1.02</f>
        <v>1.71197960013515</v>
      </c>
      <c r="R39" s="138" t="n">
        <f aca="false">((1459016/646272)*1.04)-T39</f>
        <v>1.88786014171519</v>
      </c>
      <c r="S39" s="138" t="n">
        <v>0</v>
      </c>
      <c r="T39" s="140" t="n">
        <f aca="false">(0.4173*1.06)*1.04</f>
        <v>0.46003152</v>
      </c>
      <c r="U39" s="101" t="n">
        <f aca="false">M39-(Q39+R39+S39+T39)</f>
        <v>-0.379871261850345</v>
      </c>
      <c r="V39" s="141" t="n">
        <v>0</v>
      </c>
      <c r="W39" s="141" t="n">
        <v>0</v>
      </c>
      <c r="X39" s="142" t="n">
        <f aca="false">M39-N39-O39-P39-Q39-R39-S39-T39-U39+V39+W39-AU39+AR39</f>
        <v>0</v>
      </c>
      <c r="Y39" s="143" t="n">
        <f aca="false">X39-AO39</f>
        <v>0</v>
      </c>
      <c r="Z39" s="84"/>
      <c r="AA39" s="143"/>
      <c r="AB39" s="84"/>
      <c r="AC39" s="141"/>
      <c r="AD39" s="84"/>
      <c r="AE39" s="141" t="n">
        <v>0</v>
      </c>
      <c r="AF39" s="144"/>
      <c r="AG39" s="145"/>
      <c r="AH39" s="141" t="n">
        <v>18.3</v>
      </c>
      <c r="AI39" s="84" t="n">
        <f aca="false">AI38-AH39</f>
        <v>2548.83684762419</v>
      </c>
      <c r="AJ39" s="84"/>
      <c r="AK39" s="141" t="n">
        <f aca="false">N39+O39+P39+Q39+R39+S39+T39+U39+X39+AE39+AH39</f>
        <v>21.98</v>
      </c>
      <c r="AL39" s="141" t="n">
        <f aca="false">IF(L39&lt;0,L39*-1,0)</f>
        <v>34.7809092513234</v>
      </c>
      <c r="AM39" s="141" t="n">
        <f aca="false">AK39+AL39</f>
        <v>56.7609092513234</v>
      </c>
      <c r="AN39" s="105"/>
      <c r="AO39" s="102"/>
      <c r="AP39" s="106"/>
      <c r="AQ39" s="106"/>
      <c r="AR39" s="106"/>
      <c r="AS39" s="106"/>
      <c r="AU39" s="5"/>
      <c r="AV39" s="107" t="n">
        <v>0.07</v>
      </c>
      <c r="AW39" s="108" t="n">
        <v>48</v>
      </c>
      <c r="AX39" s="149" t="n">
        <v>22</v>
      </c>
      <c r="AY39" s="149"/>
      <c r="AZ39" s="109" t="n">
        <f aca="false">SUM(N39,P39:U39)</f>
        <v>3.68</v>
      </c>
      <c r="BA39" s="0" t="n">
        <v>0</v>
      </c>
      <c r="BB39" s="148" t="n">
        <v>6651</v>
      </c>
    </row>
    <row r="40" customFormat="false" ht="12.95" hidden="false" customHeight="true" outlineLevel="0" collapsed="false">
      <c r="A40" s="10" t="n">
        <f aca="false">A39+1</f>
        <v>26</v>
      </c>
      <c r="B40" s="133" t="n">
        <v>6866.54</v>
      </c>
      <c r="C40" s="95" t="n">
        <v>178813</v>
      </c>
      <c r="D40" s="134" t="n">
        <f aca="false">C40-C39</f>
        <v>101</v>
      </c>
      <c r="E40" s="95" t="n">
        <f aca="false">C40-152000</f>
        <v>26813</v>
      </c>
      <c r="F40" s="135" t="n">
        <f aca="false">D40/$D$2</f>
        <v>50.9200907486766</v>
      </c>
      <c r="G40" s="11" t="n">
        <v>92</v>
      </c>
      <c r="H40" s="12" t="n">
        <v>0.448</v>
      </c>
      <c r="I40" s="11" t="n">
        <f aca="false">G40+H40</f>
        <v>92.448</v>
      </c>
      <c r="J40" s="4" t="n">
        <f aca="false">IF(L40&gt;0,L40,0)</f>
        <v>0</v>
      </c>
      <c r="K40" s="11" t="n">
        <f aca="false">I40+J40</f>
        <v>92.448</v>
      </c>
      <c r="L40" s="11" t="n">
        <f aca="false">F40-(I40-AK40)</f>
        <v>-19.7579092513234</v>
      </c>
      <c r="M40" s="136" t="n">
        <v>3.67</v>
      </c>
      <c r="N40" s="137" t="n">
        <v>0</v>
      </c>
      <c r="O40" s="137" t="n">
        <f aca="false">0*1.05</f>
        <v>0</v>
      </c>
      <c r="P40" s="98" t="n">
        <v>0</v>
      </c>
      <c r="Q40" s="138" t="n">
        <f aca="false">936200/325851/1.9835*1.04</f>
        <v>1.50643609530662</v>
      </c>
      <c r="R40" s="138" t="n">
        <f aca="false">((1415072/646272)*1.04)-T40</f>
        <v>1.81714415835215</v>
      </c>
      <c r="S40" s="138" t="n">
        <v>0</v>
      </c>
      <c r="T40" s="140" t="n">
        <f aca="false">(0.4173*1.06)*1.04</f>
        <v>0.46003152</v>
      </c>
      <c r="U40" s="101" t="n">
        <f aca="false">M40-(Q40+R40+S40+T40)</f>
        <v>-0.113611773658768</v>
      </c>
      <c r="V40" s="141" t="n">
        <v>0</v>
      </c>
      <c r="W40" s="141" t="n">
        <v>0</v>
      </c>
      <c r="X40" s="142" t="n">
        <f aca="false">M40-N40-O40-P40-Q40-R40-S40-T40-U40+V40+W40-AU40+AR40</f>
        <v>4.44089209850063E-016</v>
      </c>
      <c r="Y40" s="143" t="n">
        <f aca="false">X40-AO40</f>
        <v>4.44089209850063E-016</v>
      </c>
      <c r="Z40" s="84"/>
      <c r="AA40" s="143"/>
      <c r="AB40" s="84"/>
      <c r="AC40" s="141"/>
      <c r="AD40" s="84"/>
      <c r="AE40" s="141" t="n">
        <v>0</v>
      </c>
      <c r="AF40" s="144"/>
      <c r="AG40" s="145"/>
      <c r="AH40" s="141" t="n">
        <v>18.1</v>
      </c>
      <c r="AI40" s="84" t="n">
        <f aca="false">AI39-AH40</f>
        <v>2530.73684762419</v>
      </c>
      <c r="AJ40" s="84"/>
      <c r="AK40" s="141" t="n">
        <f aca="false">N40+O40+P40+Q40+R40+S40+T40+U40+X40+AE40+AH40</f>
        <v>21.77</v>
      </c>
      <c r="AL40" s="141" t="n">
        <f aca="false">IF(L40&lt;0,L40*-1,0)</f>
        <v>19.7579092513234</v>
      </c>
      <c r="AM40" s="141" t="n">
        <f aca="false">AK40+AL40</f>
        <v>41.5279092513234</v>
      </c>
      <c r="AN40" s="105"/>
      <c r="AO40" s="102"/>
      <c r="AP40" s="106"/>
      <c r="AQ40" s="106"/>
      <c r="AR40" s="106"/>
      <c r="AS40" s="106"/>
      <c r="AU40" s="5"/>
      <c r="AV40" s="107" t="n">
        <v>0.01</v>
      </c>
      <c r="AW40" s="108" t="n">
        <v>45</v>
      </c>
      <c r="AX40" s="108" t="n">
        <v>22</v>
      </c>
      <c r="AY40" s="108"/>
      <c r="AZ40" s="109" t="n">
        <f aca="false">SUM(N40,P40:U40)</f>
        <v>3.67</v>
      </c>
      <c r="BA40" s="0" t="n">
        <v>0</v>
      </c>
      <c r="BB40" s="148" t="n">
        <v>6659</v>
      </c>
    </row>
    <row r="41" customFormat="false" ht="12.95" hidden="false" customHeight="true" outlineLevel="0" collapsed="false">
      <c r="A41" s="10" t="n">
        <f aca="false">A40+1</f>
        <v>27</v>
      </c>
      <c r="B41" s="133" t="n">
        <v>6866.62</v>
      </c>
      <c r="C41" s="95" t="n">
        <v>179016</v>
      </c>
      <c r="D41" s="134" t="n">
        <f aca="false">C41-C40</f>
        <v>203</v>
      </c>
      <c r="E41" s="95" t="n">
        <f aca="false">C41-152000</f>
        <v>27016</v>
      </c>
      <c r="F41" s="135" t="n">
        <f aca="false">D41/$D$2</f>
        <v>102.344340811697</v>
      </c>
      <c r="G41" s="11" t="n">
        <v>85</v>
      </c>
      <c r="H41" s="12" t="n">
        <v>0.359</v>
      </c>
      <c r="I41" s="11" t="n">
        <f aca="false">G41+H41</f>
        <v>85.359</v>
      </c>
      <c r="J41" s="4" t="n">
        <f aca="false">IF(L41&gt;0,L41,0)</f>
        <v>38.1053408116965</v>
      </c>
      <c r="K41" s="11" t="n">
        <f aca="false">I41+J41</f>
        <v>123.464340811697</v>
      </c>
      <c r="L41" s="11" t="n">
        <f aca="false">F41-(I41-AK41)</f>
        <v>38.1053408116965</v>
      </c>
      <c r="M41" s="136" t="n">
        <v>3.12</v>
      </c>
      <c r="N41" s="137" t="n">
        <v>0</v>
      </c>
      <c r="O41" s="137" t="n">
        <f aca="false">0*1.05</f>
        <v>0</v>
      </c>
      <c r="P41" s="98" t="n">
        <v>0</v>
      </c>
      <c r="Q41" s="138" t="n">
        <f aca="false">923700/325851/1.9835*1.02</f>
        <v>1.45773926681862</v>
      </c>
      <c r="R41" s="138" t="n">
        <f aca="false">((1434584/646272)*1.04)-T41</f>
        <v>1.84854344533967</v>
      </c>
      <c r="S41" s="138" t="n">
        <v>0</v>
      </c>
      <c r="T41" s="140" t="n">
        <f aca="false">(0.4173*1.06)*1.04</f>
        <v>0.46003152</v>
      </c>
      <c r="U41" s="101" t="n">
        <f aca="false">M41-(Q41+R41+S41+T41)</f>
        <v>-0.646314232158294</v>
      </c>
      <c r="V41" s="141" t="n">
        <v>0</v>
      </c>
      <c r="W41" s="141" t="n">
        <v>0</v>
      </c>
      <c r="X41" s="142" t="n">
        <f aca="false">M41-N41-O41-P41-Q41-R41-S41-T41-U41+V41+W41-AU41+AR41</f>
        <v>0</v>
      </c>
      <c r="Y41" s="143" t="n">
        <f aca="false">X41-AO41</f>
        <v>0</v>
      </c>
      <c r="Z41" s="84"/>
      <c r="AA41" s="143"/>
      <c r="AB41" s="84"/>
      <c r="AC41" s="141"/>
      <c r="AD41" s="84"/>
      <c r="AE41" s="141" t="n">
        <v>0</v>
      </c>
      <c r="AF41" s="144"/>
      <c r="AG41" s="145"/>
      <c r="AH41" s="141" t="n">
        <v>18</v>
      </c>
      <c r="AI41" s="84" t="n">
        <f aca="false">AI40-AH41</f>
        <v>2512.73684762419</v>
      </c>
      <c r="AJ41" s="84"/>
      <c r="AK41" s="141" t="n">
        <f aca="false">N41+O41+P41+Q41+R41+S41+T41+U41+X41+AE41+AH41</f>
        <v>21.12</v>
      </c>
      <c r="AL41" s="141" t="n">
        <f aca="false">IF(L41&lt;0,L41*-1,0)</f>
        <v>0</v>
      </c>
      <c r="AM41" s="141" t="n">
        <f aca="false">AK41+AL41</f>
        <v>21.12</v>
      </c>
      <c r="AN41" s="105"/>
      <c r="AO41" s="102"/>
      <c r="AP41" s="106"/>
      <c r="AQ41" s="106"/>
      <c r="AR41" s="106"/>
      <c r="AS41" s="106"/>
      <c r="AU41" s="5"/>
      <c r="AV41" s="107" t="n">
        <v>0</v>
      </c>
      <c r="AW41" s="108" t="n">
        <v>48</v>
      </c>
      <c r="AX41" s="108" t="n">
        <v>24</v>
      </c>
      <c r="AY41" s="108"/>
      <c r="AZ41" s="109" t="n">
        <f aca="false">SUM(N41,P41:U41)</f>
        <v>3.12</v>
      </c>
      <c r="BA41" s="0" t="n">
        <v>0</v>
      </c>
      <c r="BB41" s="148" t="n">
        <v>6671</v>
      </c>
    </row>
    <row r="42" customFormat="false" ht="12.95" hidden="false" customHeight="true" outlineLevel="0" collapsed="false">
      <c r="A42" s="10" t="n">
        <f aca="false">A41+1</f>
        <v>28</v>
      </c>
      <c r="B42" s="133" t="n">
        <v>6866.64</v>
      </c>
      <c r="C42" s="95" t="n">
        <v>179067</v>
      </c>
      <c r="D42" s="134" t="n">
        <f aca="false">C42-C41</f>
        <v>51</v>
      </c>
      <c r="E42" s="95" t="n">
        <f aca="false">C42-152000</f>
        <v>27067</v>
      </c>
      <c r="F42" s="135" t="n">
        <f aca="false">D42/$D$2</f>
        <v>25.71212503151</v>
      </c>
      <c r="G42" s="11" t="n">
        <v>92</v>
      </c>
      <c r="H42" s="12" t="n">
        <v>0.268</v>
      </c>
      <c r="I42" s="11" t="n">
        <f aca="false">G42+H42</f>
        <v>92.268</v>
      </c>
      <c r="J42" s="4" t="n">
        <f aca="false">IF(L42&gt;0,L42,0)</f>
        <v>0</v>
      </c>
      <c r="K42" s="11" t="n">
        <f aca="false">I42+J42</f>
        <v>92.268</v>
      </c>
      <c r="L42" s="11" t="n">
        <f aca="false">F42-(I42-AK42)</f>
        <v>-44.9558749684901</v>
      </c>
      <c r="M42" s="136" t="n">
        <v>3.6</v>
      </c>
      <c r="N42" s="137" t="n">
        <v>0</v>
      </c>
      <c r="O42" s="137" t="n">
        <f aca="false">0*1.05</f>
        <v>0</v>
      </c>
      <c r="P42" s="98" t="n">
        <v>0</v>
      </c>
      <c r="Q42" s="138" t="n">
        <f aca="false">946000/325851/1.9835*1.02</f>
        <v>1.49293206280223</v>
      </c>
      <c r="R42" s="138" t="n">
        <f aca="false">((1436776/646272)*1.04)-T42</f>
        <v>1.85207087651416</v>
      </c>
      <c r="S42" s="138" t="n">
        <v>0</v>
      </c>
      <c r="T42" s="140" t="n">
        <f aca="false">(0.4173*1.06)*1.04</f>
        <v>0.46003152</v>
      </c>
      <c r="U42" s="101" t="n">
        <f aca="false">M42-(Q42+R42+S42+T42)</f>
        <v>-0.205034459316388</v>
      </c>
      <c r="V42" s="141" t="n">
        <v>0</v>
      </c>
      <c r="W42" s="141" t="n">
        <v>0</v>
      </c>
      <c r="X42" s="142" t="n">
        <f aca="false">M42-N42-O42-P42-Q42-R42-S42-T42-U42+V42+W42-AU42+AR42</f>
        <v>0</v>
      </c>
      <c r="Y42" s="143" t="n">
        <f aca="false">X42-AO42</f>
        <v>0</v>
      </c>
      <c r="Z42" s="84"/>
      <c r="AA42" s="143"/>
      <c r="AB42" s="84"/>
      <c r="AC42" s="141"/>
      <c r="AD42" s="84"/>
      <c r="AE42" s="141" t="n">
        <v>0</v>
      </c>
      <c r="AF42" s="144"/>
      <c r="AG42" s="145"/>
      <c r="AH42" s="141" t="n">
        <v>18</v>
      </c>
      <c r="AI42" s="84" t="n">
        <f aca="false">AI41-AH42</f>
        <v>2494.73684762419</v>
      </c>
      <c r="AJ42" s="84"/>
      <c r="AK42" s="141" t="n">
        <f aca="false">N42+O42+P42+Q42+R42+S42+T42+U42+X42+AE42+AH42</f>
        <v>21.6</v>
      </c>
      <c r="AL42" s="141" t="n">
        <f aca="false">IF(L42&lt;0,L42*-1,0)</f>
        <v>44.9558749684901</v>
      </c>
      <c r="AM42" s="141" t="n">
        <f aca="false">AK42+AL42</f>
        <v>66.5558749684901</v>
      </c>
      <c r="AN42" s="105"/>
      <c r="AO42" s="102"/>
      <c r="AP42" s="106"/>
      <c r="AQ42" s="106"/>
      <c r="AR42" s="106"/>
      <c r="AS42" s="106"/>
      <c r="AU42" s="5"/>
      <c r="AV42" s="107" t="n">
        <v>0</v>
      </c>
      <c r="AW42" s="108" t="n">
        <v>51</v>
      </c>
      <c r="AX42" s="108" t="n">
        <v>24</v>
      </c>
      <c r="AY42" s="108"/>
      <c r="AZ42" s="109" t="n">
        <f aca="false">SUM(N42,P42:U42)</f>
        <v>3.6</v>
      </c>
      <c r="BA42" s="0" t="n">
        <v>0</v>
      </c>
      <c r="BB42" s="148" t="n">
        <v>6680</v>
      </c>
    </row>
    <row r="43" customFormat="false" ht="12.95" hidden="false" customHeight="true" outlineLevel="0" collapsed="false">
      <c r="A43" s="10" t="n">
        <f aca="false">A42+1</f>
        <v>29</v>
      </c>
      <c r="B43" s="133" t="n">
        <v>6866.7</v>
      </c>
      <c r="C43" s="95" t="n">
        <v>179219</v>
      </c>
      <c r="D43" s="134" t="n">
        <f aca="false">C43-C42</f>
        <v>152</v>
      </c>
      <c r="E43" s="95" t="n">
        <f aca="false">C43-152000</f>
        <v>27219</v>
      </c>
      <c r="F43" s="135" t="n">
        <f aca="false">D43/$D$2</f>
        <v>76.6322157801865</v>
      </c>
      <c r="G43" s="11" t="n">
        <v>95</v>
      </c>
      <c r="H43" s="12" t="n">
        <v>0.212</v>
      </c>
      <c r="I43" s="11" t="n">
        <f aca="false">G43+H43</f>
        <v>95.212</v>
      </c>
      <c r="J43" s="4" t="n">
        <f aca="false">IF(L43&gt;0,L43,0)</f>
        <v>2.46021578018654</v>
      </c>
      <c r="K43" s="11" t="n">
        <f aca="false">I43+J43</f>
        <v>97.6722157801865</v>
      </c>
      <c r="L43" s="11" t="n">
        <f aca="false">F43-(I43-AK43)</f>
        <v>2.46021578018654</v>
      </c>
      <c r="M43" s="136" t="n">
        <v>3.04</v>
      </c>
      <c r="N43" s="137" t="n">
        <v>0</v>
      </c>
      <c r="O43" s="137" t="n">
        <f aca="false">0*1.05</f>
        <v>0</v>
      </c>
      <c r="P43" s="98" t="n">
        <v>0</v>
      </c>
      <c r="Q43" s="138" t="n">
        <f aca="false">953600/325851/1.9835*1.02</f>
        <v>1.5049260201778</v>
      </c>
      <c r="R43" s="138" t="n">
        <f aca="false">((1441880/646272)*1.04)-T43</f>
        <v>1.91353030413943</v>
      </c>
      <c r="S43" s="138" t="n">
        <v>0</v>
      </c>
      <c r="T43" s="140" t="n">
        <f aca="false">(0.369*1.06)*1.04</f>
        <v>0.4067856</v>
      </c>
      <c r="U43" s="101" t="n">
        <f aca="false">M43-(Q43+R43+S43+T43)</f>
        <v>-0.785241924317239</v>
      </c>
      <c r="V43" s="141" t="n">
        <v>0</v>
      </c>
      <c r="W43" s="141" t="n">
        <v>0</v>
      </c>
      <c r="X43" s="142" t="n">
        <f aca="false">M43-N43-O43-P43-Q43-R43-S43-T43-U43+V43+W43-AU43+AR43</f>
        <v>0</v>
      </c>
      <c r="Y43" s="143" t="n">
        <f aca="false">X43-AO43</f>
        <v>0</v>
      </c>
      <c r="Z43" s="84"/>
      <c r="AA43" s="143"/>
      <c r="AB43" s="84"/>
      <c r="AC43" s="141"/>
      <c r="AD43" s="84"/>
      <c r="AE43" s="141" t="n">
        <v>0</v>
      </c>
      <c r="AF43" s="144"/>
      <c r="AG43" s="145"/>
      <c r="AH43" s="141" t="n">
        <v>18</v>
      </c>
      <c r="AI43" s="84" t="n">
        <f aca="false">AI42-AH43</f>
        <v>2476.73684762419</v>
      </c>
      <c r="AJ43" s="84"/>
      <c r="AK43" s="141" t="n">
        <f aca="false">N43+O43+P43+Q43+R43+S43+T43+U43+X43+AE43+AH43</f>
        <v>21.04</v>
      </c>
      <c r="AL43" s="141" t="n">
        <f aca="false">IF(L43&lt;0,L43*-1,0)</f>
        <v>0</v>
      </c>
      <c r="AM43" s="141" t="n">
        <f aca="false">AK43+AL43</f>
        <v>21.04</v>
      </c>
      <c r="AN43" s="105"/>
      <c r="AO43" s="102"/>
      <c r="AP43" s="106"/>
      <c r="AQ43" s="106"/>
      <c r="AR43" s="106"/>
      <c r="AS43" s="106"/>
      <c r="AU43" s="5"/>
      <c r="AV43" s="107" t="n">
        <v>0</v>
      </c>
      <c r="AW43" s="108" t="n">
        <v>52</v>
      </c>
      <c r="AX43" s="108" t="n">
        <v>25</v>
      </c>
      <c r="AY43" s="108"/>
      <c r="AZ43" s="109" t="n">
        <f aca="false">SUM(N43,P43:U43)</f>
        <v>3.04</v>
      </c>
      <c r="BA43" s="0" t="n">
        <v>0</v>
      </c>
      <c r="BB43" s="148" t="n">
        <v>6682</v>
      </c>
    </row>
    <row r="44" customFormat="false" ht="12.95" hidden="false" customHeight="true" outlineLevel="0" collapsed="false">
      <c r="A44" s="10" t="n">
        <v>30</v>
      </c>
      <c r="B44" s="133" t="n">
        <v>6866.78</v>
      </c>
      <c r="C44" s="95" t="n">
        <v>179421</v>
      </c>
      <c r="D44" s="134" t="n">
        <f aca="false">C44-C43</f>
        <v>202</v>
      </c>
      <c r="E44" s="95" t="n">
        <f aca="false">C44-152000</f>
        <v>27421</v>
      </c>
      <c r="F44" s="135" t="n">
        <f aca="false">D44/$D$2</f>
        <v>101.840181497353</v>
      </c>
      <c r="G44" s="11" t="n">
        <v>97</v>
      </c>
      <c r="H44" s="12" t="n">
        <v>0.169</v>
      </c>
      <c r="I44" s="11" t="n">
        <f aca="false">G44+H44</f>
        <v>97.169</v>
      </c>
      <c r="J44" s="4" t="n">
        <f aca="false">IF(L44&gt;0,L44,0)</f>
        <v>26.3811814973532</v>
      </c>
      <c r="K44" s="11" t="n">
        <f aca="false">I44+J44</f>
        <v>123.550181497353</v>
      </c>
      <c r="L44" s="11" t="n">
        <f aca="false">F44-(I44-AK44)</f>
        <v>26.3811814973532</v>
      </c>
      <c r="M44" s="136" t="n">
        <v>3.71</v>
      </c>
      <c r="N44" s="137" t="n">
        <v>0</v>
      </c>
      <c r="O44" s="137" t="n">
        <f aca="false">0*1.05</f>
        <v>0</v>
      </c>
      <c r="P44" s="98" t="n">
        <v>0</v>
      </c>
      <c r="Q44" s="138" t="n">
        <f aca="false">994200/325851/1.9835*1.02</f>
        <v>1.56899900299997</v>
      </c>
      <c r="R44" s="138" t="n">
        <f aca="false">((1419752/646272)*1.04)-T44</f>
        <v>1.87792127264805</v>
      </c>
      <c r="S44" s="138" t="n">
        <v>0</v>
      </c>
      <c r="T44" s="140" t="n">
        <f aca="false">(0.369*1.06)*1.04</f>
        <v>0.4067856</v>
      </c>
      <c r="U44" s="101" t="n">
        <f aca="false">M44-(Q44+R44+S44+T44)</f>
        <v>-0.143705875648021</v>
      </c>
      <c r="V44" s="141" t="n">
        <v>0</v>
      </c>
      <c r="W44" s="141" t="n">
        <v>0</v>
      </c>
      <c r="X44" s="142" t="n">
        <f aca="false">M44-N44-O44-P44-Q44-R44-S44-T44-U44+V44+W44-AU44+AR44</f>
        <v>0</v>
      </c>
      <c r="Y44" s="143" t="n">
        <f aca="false">X44-AO44</f>
        <v>0</v>
      </c>
      <c r="Z44" s="84"/>
      <c r="AA44" s="143"/>
      <c r="AB44" s="84"/>
      <c r="AC44" s="141"/>
      <c r="AD44" s="84"/>
      <c r="AE44" s="141" t="n">
        <v>0</v>
      </c>
      <c r="AF44" s="144"/>
      <c r="AG44" s="145"/>
      <c r="AH44" s="141" t="n">
        <v>18</v>
      </c>
      <c r="AI44" s="84" t="n">
        <f aca="false">AI43-AH44</f>
        <v>2458.73684762419</v>
      </c>
      <c r="AJ44" s="84"/>
      <c r="AK44" s="141" t="n">
        <f aca="false">N44+O44+P44+Q44+R44+S44+T44+U44+X44+AE44+AH44</f>
        <v>21.71</v>
      </c>
      <c r="AL44" s="141" t="n">
        <f aca="false">IF(L44&lt;0,L44*-1,0)</f>
        <v>0</v>
      </c>
      <c r="AM44" s="151" t="n">
        <f aca="false">AK44+AL44</f>
        <v>21.71</v>
      </c>
      <c r="AN44" s="105"/>
      <c r="AO44" s="102"/>
      <c r="AP44" s="106"/>
      <c r="AQ44" s="106"/>
      <c r="AR44" s="106"/>
      <c r="AS44" s="106"/>
      <c r="AU44" s="5"/>
      <c r="AV44" s="107" t="n">
        <v>0</v>
      </c>
      <c r="AW44" s="108" t="n">
        <v>45</v>
      </c>
      <c r="AX44" s="108" t="n">
        <v>24</v>
      </c>
      <c r="AY44" s="108"/>
      <c r="AZ44" s="109" t="n">
        <f aca="false">SUM(N44,P44:U44)</f>
        <v>3.71</v>
      </c>
      <c r="BA44" s="0" t="n">
        <v>0</v>
      </c>
      <c r="BB44" s="148" t="n">
        <v>6678</v>
      </c>
    </row>
    <row r="45" customFormat="false" ht="3" hidden="false" customHeight="true" outlineLevel="0" collapsed="false">
      <c r="A45" s="116"/>
      <c r="B45" s="152"/>
      <c r="C45" s="118"/>
      <c r="D45" s="116"/>
      <c r="E45" s="118"/>
      <c r="F45" s="119"/>
      <c r="G45" s="116"/>
      <c r="H45" s="120" t="n">
        <v>0.62</v>
      </c>
      <c r="I45" s="116"/>
      <c r="J45" s="116"/>
      <c r="K45" s="116"/>
      <c r="L45" s="116"/>
      <c r="M45" s="121"/>
      <c r="N45" s="116"/>
      <c r="O45" s="116"/>
      <c r="P45" s="122"/>
      <c r="Q45" s="123"/>
      <c r="R45" s="123"/>
      <c r="S45" s="123"/>
      <c r="T45" s="123"/>
      <c r="U45" s="124"/>
      <c r="V45" s="123"/>
      <c r="W45" s="123"/>
      <c r="X45" s="123"/>
      <c r="Y45" s="130"/>
      <c r="Z45" s="126"/>
      <c r="AA45" s="130"/>
      <c r="AB45" s="126"/>
      <c r="AC45" s="126"/>
      <c r="AD45" s="126"/>
      <c r="AE45" s="123"/>
      <c r="AF45" s="127"/>
      <c r="AG45" s="128"/>
      <c r="AH45" s="123"/>
      <c r="AI45" s="123"/>
      <c r="AJ45" s="123"/>
      <c r="AK45" s="123"/>
      <c r="AL45" s="123"/>
      <c r="AM45" s="153"/>
      <c r="AN45" s="125"/>
      <c r="AO45" s="125"/>
      <c r="AP45" s="130"/>
      <c r="AQ45" s="130"/>
      <c r="AR45" s="130"/>
      <c r="AS45" s="130"/>
      <c r="AT45" s="130"/>
      <c r="AU45" s="131"/>
      <c r="AV45" s="132"/>
      <c r="AW45" s="130" t="n">
        <v>4</v>
      </c>
      <c r="AX45" s="130"/>
      <c r="AY45" s="130"/>
      <c r="AZ45" s="130"/>
      <c r="BA45" s="130"/>
      <c r="BB45" s="130"/>
    </row>
    <row r="46" customFormat="false" ht="12.95" hidden="false" customHeight="true" outlineLevel="0" collapsed="false">
      <c r="A46" s="11" t="s">
        <v>105</v>
      </c>
      <c r="B46" s="94"/>
      <c r="C46" s="95"/>
      <c r="D46" s="95"/>
      <c r="E46" s="95"/>
      <c r="F46" s="96" t="n">
        <f aca="false">SUM(F15:F44)</f>
        <v>2873.20393244265</v>
      </c>
      <c r="G46" s="2" t="n">
        <f aca="false">SUM(G15:G44)</f>
        <v>3357</v>
      </c>
      <c r="H46" s="2" t="n">
        <f aca="false">SUM(H15:H45)</f>
        <v>8.109</v>
      </c>
      <c r="I46" s="2" t="n">
        <f aca="false">SUM(I15:I44)</f>
        <v>3364.489</v>
      </c>
      <c r="J46" s="2" t="n">
        <f aca="false">SUM(J15:J44)</f>
        <v>419.376112679607</v>
      </c>
      <c r="K46" s="2" t="n">
        <f aca="false">SUM(K15:K44)</f>
        <v>3783.86511267961</v>
      </c>
      <c r="L46" s="2" t="n">
        <f aca="false">SUM(L15:L44)</f>
        <v>138.444932442652</v>
      </c>
      <c r="M46" s="97" t="n">
        <f aca="false">SUM(M15:M44)</f>
        <v>88.63</v>
      </c>
      <c r="N46" s="95" t="n">
        <f aca="false">SUM(N15:N44)</f>
        <v>0</v>
      </c>
      <c r="O46" s="99" t="n">
        <f aca="false">SUM(O15:O44)-15</f>
        <v>0.0402000000000005</v>
      </c>
      <c r="P46" s="99" t="n">
        <f aca="false">SUM(P15:P44)</f>
        <v>0</v>
      </c>
      <c r="Q46" s="99" t="n">
        <f aca="false">SUM(Q15:Q44)</f>
        <v>47.2884761044888</v>
      </c>
      <c r="R46" s="99" t="n">
        <f aca="false">SUM(R15:R44)</f>
        <v>46.7280539254823</v>
      </c>
      <c r="S46" s="99" t="n">
        <f aca="false">SUM(S15:S44)</f>
        <v>0</v>
      </c>
      <c r="T46" s="99" t="n">
        <f aca="false">SUM(T15:T44)</f>
        <v>13.92595776</v>
      </c>
      <c r="U46" s="154" t="n">
        <f aca="false">SUM(U15:U44)</f>
        <v>-19.3124877899711</v>
      </c>
      <c r="V46" s="84" t="n">
        <f aca="false">SUM(V15:V44)</f>
        <v>0</v>
      </c>
      <c r="W46" s="84" t="n">
        <f aca="false">SUM(W15:W44)</f>
        <v>0</v>
      </c>
      <c r="X46" s="84" t="n">
        <f aca="false">SUM(X15:X44)</f>
        <v>-15.0402</v>
      </c>
      <c r="Y46" s="84" t="n">
        <f aca="false">SUM(Y15:Y44)</f>
        <v>-15.0402</v>
      </c>
      <c r="Z46" s="84"/>
      <c r="AA46" s="84"/>
      <c r="AB46" s="84"/>
      <c r="AC46" s="84" t="n">
        <f aca="false">SUM(AC15:AC44)</f>
        <v>1714.14</v>
      </c>
      <c r="AD46" s="84"/>
      <c r="AE46" s="155" t="n">
        <f aca="false">SUM(AE15:AE44)</f>
        <v>0</v>
      </c>
      <c r="AF46" s="141" t="n">
        <f aca="false">SUM(AF15:AF44)</f>
        <v>0</v>
      </c>
      <c r="AG46" s="155" t="n">
        <f aca="false">SUM(AG15:AG44)</f>
        <v>0</v>
      </c>
      <c r="AH46" s="84" t="n">
        <f aca="false">SUM(AH15:AH44)</f>
        <v>541.1</v>
      </c>
      <c r="AI46" s="84"/>
      <c r="AJ46" s="84" t="n">
        <f aca="false">SUM(AJ15:AJ44)</f>
        <v>0</v>
      </c>
      <c r="AK46" s="84" t="n">
        <f aca="false">SUM(AK15:AK44)</f>
        <v>629.73</v>
      </c>
      <c r="AL46" s="84" t="n">
        <f aca="false">SUM(AL15:AL44)</f>
        <v>280.931180236955</v>
      </c>
      <c r="AM46" s="156" t="n">
        <f aca="false">SUM(AM15:AM44)</f>
        <v>910.661180236955</v>
      </c>
      <c r="AN46" s="157" t="n">
        <f aca="false">SUM(AN15:AN44)</f>
        <v>0</v>
      </c>
      <c r="AO46" s="102" t="n">
        <f aca="false">SUM(AO15:AO44)</f>
        <v>0</v>
      </c>
      <c r="AP46" s="106"/>
      <c r="AQ46" s="106"/>
      <c r="AR46" s="106"/>
      <c r="AS46" s="106"/>
      <c r="AU46" s="158" t="n">
        <f aca="false">SUM(AU15:AU44)</f>
        <v>0</v>
      </c>
      <c r="AV46" s="147" t="n">
        <f aca="false">SUM(AV15:AV44)</f>
        <v>1.66</v>
      </c>
      <c r="AW46" s="108" t="n">
        <f aca="false">AVERAGE(AW15:AW44)</f>
        <v>53.8333333333333</v>
      </c>
      <c r="AX46" s="108" t="n">
        <f aca="false">AVERAGE(AX15:AX44)</f>
        <v>27.6</v>
      </c>
      <c r="AY46" s="159" t="s">
        <v>106</v>
      </c>
      <c r="AZ46" s="160" t="n">
        <f aca="false">SUM(AZ15:AZ44)</f>
        <v>88.63</v>
      </c>
      <c r="BA46" s="161" t="n">
        <f aca="false">SUM(BA14:BA44)</f>
        <v>0</v>
      </c>
      <c r="BB46" s="148"/>
    </row>
    <row r="47" customFormat="false" ht="12.95" hidden="false" customHeight="true" outlineLevel="0" collapsed="false">
      <c r="A47" s="11" t="s">
        <v>107</v>
      </c>
      <c r="B47" s="94"/>
      <c r="C47" s="95"/>
      <c r="D47" s="95" t="n">
        <f aca="false">SUM(D15:D44)</f>
        <v>5699</v>
      </c>
      <c r="E47" s="95"/>
      <c r="F47" s="96" t="n">
        <f aca="false">F46*$D$2</f>
        <v>5699</v>
      </c>
      <c r="G47" s="2" t="n">
        <f aca="false">G46*$D$2</f>
        <v>6658.6095</v>
      </c>
      <c r="H47" s="2" t="n">
        <f aca="false">H46*$D$2</f>
        <v>16.0842015</v>
      </c>
      <c r="I47" s="2" t="n">
        <f aca="false">I46*$D$2</f>
        <v>6673.4639315</v>
      </c>
      <c r="J47" s="2" t="n">
        <f aca="false">J46*$D$2</f>
        <v>831.8325195</v>
      </c>
      <c r="K47" s="2" t="n">
        <f aca="false">K46*$D$2</f>
        <v>7505.296451</v>
      </c>
      <c r="L47" s="2" t="n">
        <f aca="false">L46*$D$2</f>
        <v>274.6055235</v>
      </c>
      <c r="M47" s="97" t="n">
        <f aca="false">M46*$D$2</f>
        <v>175.797605</v>
      </c>
      <c r="N47" s="95" t="n">
        <f aca="false">N46*$D$2</f>
        <v>0</v>
      </c>
      <c r="O47" s="95" t="n">
        <f aca="false">O46*$D$2</f>
        <v>0.0797367000000009</v>
      </c>
      <c r="P47" s="99" t="n">
        <f aca="false">P46*$D$2</f>
        <v>0</v>
      </c>
      <c r="Q47" s="99" t="n">
        <f aca="false">Q46*$D$2</f>
        <v>93.7966923532535</v>
      </c>
      <c r="R47" s="99" t="n">
        <f aca="false">R46*$D$2</f>
        <v>92.6850949611941</v>
      </c>
      <c r="S47" s="99" t="n">
        <f aca="false">S46*$D$2</f>
        <v>0</v>
      </c>
      <c r="T47" s="99" t="n">
        <f aca="false">T46*$D$2</f>
        <v>27.62213721696</v>
      </c>
      <c r="U47" s="154" t="n">
        <f aca="false">U46*$D$2</f>
        <v>-38.3063195314076</v>
      </c>
      <c r="V47" s="84" t="n">
        <f aca="false">V46*$D$2</f>
        <v>0</v>
      </c>
      <c r="W47" s="84" t="n">
        <f aca="false">W46*$D$2</f>
        <v>0</v>
      </c>
      <c r="X47" s="84" t="n">
        <f aca="false">X46*$D$2</f>
        <v>-29.8322367</v>
      </c>
      <c r="Y47" s="84" t="n">
        <f aca="false">Y46*$D$2</f>
        <v>-29.8322367</v>
      </c>
      <c r="Z47" s="84"/>
      <c r="AA47" s="84"/>
      <c r="AB47" s="84"/>
      <c r="AC47" s="84" t="n">
        <f aca="false">AC46*$D$2</f>
        <v>3399.99669</v>
      </c>
      <c r="AD47" s="84"/>
      <c r="AE47" s="162" t="n">
        <f aca="false">AE46*$D$2</f>
        <v>0</v>
      </c>
      <c r="AF47" s="84" t="n">
        <f aca="false">AF46*$D$2</f>
        <v>0</v>
      </c>
      <c r="AG47" s="162" t="n">
        <f aca="false">AG46*$D$2</f>
        <v>0</v>
      </c>
      <c r="AH47" s="84" t="n">
        <f aca="false">AH46*$D$2</f>
        <v>1073.27185</v>
      </c>
      <c r="AI47" s="84"/>
      <c r="AJ47" s="84" t="n">
        <f aca="false">AJ46*$D$2</f>
        <v>0</v>
      </c>
      <c r="AK47" s="84" t="n">
        <f aca="false">AK46*$D$2</f>
        <v>1249.069455</v>
      </c>
      <c r="AL47" s="84" t="n">
        <f aca="false">AL46*$D$2</f>
        <v>557.226996</v>
      </c>
      <c r="AM47" s="156" t="n">
        <f aca="false">AM46*$D$2</f>
        <v>1806.296451</v>
      </c>
      <c r="AN47" s="157" t="n">
        <f aca="false">AN46*$D$2</f>
        <v>0</v>
      </c>
      <c r="AO47" s="102" t="n">
        <f aca="false">AO46*$D$2</f>
        <v>0</v>
      </c>
      <c r="AP47" s="106"/>
      <c r="AQ47" s="106"/>
      <c r="AR47" s="106"/>
      <c r="AS47" s="106"/>
      <c r="AU47" s="157" t="n">
        <f aca="false">AU46*$D$2</f>
        <v>0</v>
      </c>
      <c r="AV47" s="107"/>
      <c r="AW47" s="108" t="n">
        <f aca="false">MAX(AW15:AW44)</f>
        <v>67</v>
      </c>
      <c r="AX47" s="108" t="n">
        <f aca="false">MAX(AX15:AX44)</f>
        <v>34</v>
      </c>
      <c r="AY47" s="163" t="s">
        <v>108</v>
      </c>
      <c r="AZ47" s="160" t="n">
        <f aca="false">AZ46*$D$2</f>
        <v>175.797605</v>
      </c>
      <c r="BA47" s="161" t="n">
        <f aca="false">BA46*$D$2</f>
        <v>0</v>
      </c>
      <c r="BB47" s="148"/>
    </row>
    <row r="48" customFormat="false" ht="3" hidden="false" customHeight="true" outlineLevel="0" collapsed="false">
      <c r="A48" s="116"/>
      <c r="B48" s="152"/>
      <c r="C48" s="118"/>
      <c r="D48" s="118"/>
      <c r="E48" s="118"/>
      <c r="F48" s="164"/>
      <c r="G48" s="118"/>
      <c r="H48" s="118"/>
      <c r="I48" s="118"/>
      <c r="J48" s="118"/>
      <c r="K48" s="118"/>
      <c r="L48" s="118"/>
      <c r="M48" s="165"/>
      <c r="N48" s="118"/>
      <c r="O48" s="118"/>
      <c r="P48" s="122"/>
      <c r="Q48" s="126"/>
      <c r="R48" s="126"/>
      <c r="S48" s="126"/>
      <c r="T48" s="126"/>
      <c r="U48" s="166"/>
      <c r="V48" s="126"/>
      <c r="W48" s="126"/>
      <c r="X48" s="126"/>
      <c r="Y48" s="126"/>
      <c r="Z48" s="126"/>
      <c r="AA48" s="126"/>
      <c r="AB48" s="126"/>
      <c r="AC48" s="126"/>
      <c r="AD48" s="126"/>
      <c r="AE48" s="126"/>
      <c r="AF48" s="167"/>
      <c r="AG48" s="168"/>
      <c r="AH48" s="126"/>
      <c r="AI48" s="123"/>
      <c r="AJ48" s="126"/>
      <c r="AK48" s="126"/>
      <c r="AL48" s="126"/>
      <c r="AM48" s="169"/>
      <c r="AN48" s="125"/>
      <c r="AO48" s="125"/>
      <c r="AP48" s="126"/>
      <c r="AQ48" s="126"/>
      <c r="AR48" s="126"/>
      <c r="AS48" s="126"/>
      <c r="AT48" s="126"/>
      <c r="AU48" s="131"/>
      <c r="AV48" s="170"/>
      <c r="AW48" s="130"/>
      <c r="AX48" s="126"/>
      <c r="AY48" s="126"/>
      <c r="AZ48" s="126"/>
      <c r="BA48" s="126"/>
      <c r="BB48" s="126"/>
    </row>
    <row r="49" customFormat="false" ht="12.95" hidden="false" customHeight="true" outlineLevel="0" collapsed="false">
      <c r="A49" s="11" t="s">
        <v>109</v>
      </c>
      <c r="B49" s="94"/>
      <c r="C49" s="95"/>
      <c r="D49" s="95"/>
      <c r="E49" s="95"/>
      <c r="F49" s="96"/>
      <c r="G49" s="2"/>
      <c r="H49" s="9"/>
      <c r="I49" s="2"/>
      <c r="J49" s="2"/>
      <c r="K49" s="2"/>
      <c r="L49" s="2"/>
      <c r="M49" s="97"/>
      <c r="N49" s="95"/>
      <c r="O49" s="95"/>
      <c r="P49" s="98"/>
      <c r="Q49" s="99"/>
      <c r="R49" s="99"/>
      <c r="S49" s="99"/>
      <c r="T49" s="99"/>
      <c r="U49" s="154"/>
      <c r="V49" s="84"/>
      <c r="W49" s="84"/>
      <c r="X49" s="84"/>
      <c r="Y49" s="84"/>
      <c r="Z49" s="84"/>
      <c r="AA49" s="84"/>
      <c r="AB49" s="84"/>
      <c r="AC49" s="84"/>
      <c r="AD49" s="84"/>
      <c r="AE49" s="84"/>
      <c r="AF49" s="103"/>
      <c r="AG49" s="104"/>
      <c r="AH49" s="84"/>
      <c r="AI49" s="84"/>
      <c r="AJ49" s="84"/>
      <c r="AK49" s="84"/>
      <c r="AL49" s="84"/>
      <c r="AM49" s="156"/>
      <c r="AN49" s="102"/>
      <c r="AO49" s="102"/>
      <c r="AP49" s="106"/>
      <c r="AQ49" s="106"/>
      <c r="AR49" s="106"/>
      <c r="AS49" s="106"/>
      <c r="AU49" s="5"/>
      <c r="AV49" s="107"/>
      <c r="AW49" s="108" t="n">
        <f aca="false">MIN(AW15:AW44)</f>
        <v>36</v>
      </c>
      <c r="AX49" s="108" t="n">
        <f aca="false">MIN(AX15:AX44)</f>
        <v>17</v>
      </c>
      <c r="AY49" s="163" t="s">
        <v>110</v>
      </c>
      <c r="AZ49" s="160"/>
      <c r="BA49" s="161"/>
      <c r="BB49" s="148"/>
    </row>
    <row r="50" customFormat="false" ht="12.95" hidden="false" customHeight="true" outlineLevel="0" collapsed="false">
      <c r="A50" s="11" t="s">
        <v>111</v>
      </c>
      <c r="B50" s="94"/>
      <c r="C50" s="95"/>
      <c r="D50" s="95"/>
      <c r="E50" s="95"/>
      <c r="F50" s="96"/>
      <c r="G50" s="2"/>
      <c r="H50" s="9"/>
      <c r="I50" s="2"/>
      <c r="J50" s="2"/>
      <c r="K50" s="2"/>
      <c r="L50" s="2"/>
      <c r="M50" s="97"/>
      <c r="N50" s="95"/>
      <c r="O50" s="95"/>
      <c r="P50" s="98"/>
      <c r="Q50" s="99"/>
      <c r="R50" s="99"/>
      <c r="S50" s="99"/>
      <c r="T50" s="99"/>
      <c r="U50" s="154"/>
      <c r="V50" s="84"/>
      <c r="W50" s="84"/>
      <c r="X50" s="84"/>
      <c r="Y50" s="84"/>
      <c r="Z50" s="84"/>
      <c r="AA50" s="84"/>
      <c r="AB50" s="84"/>
      <c r="AC50" s="84"/>
      <c r="AD50" s="84"/>
      <c r="AE50" s="84"/>
      <c r="AF50" s="103"/>
      <c r="AG50" s="104"/>
      <c r="AH50" s="84"/>
      <c r="AI50" s="84"/>
      <c r="AJ50" s="84"/>
      <c r="AK50" s="84"/>
      <c r="AL50" s="84"/>
      <c r="AM50" s="156"/>
      <c r="AN50" s="102"/>
      <c r="AO50" s="102"/>
      <c r="AP50" s="106"/>
      <c r="AQ50" s="106"/>
      <c r="AR50" s="106"/>
      <c r="AS50" s="106"/>
      <c r="AU50" s="171"/>
      <c r="AV50" s="172"/>
      <c r="AW50" s="108"/>
      <c r="AX50" s="108"/>
      <c r="AY50" s="108"/>
      <c r="AZ50" s="160"/>
      <c r="BA50" s="161"/>
      <c r="BB50" s="148"/>
    </row>
    <row r="51" customFormat="false" ht="3" hidden="false" customHeight="true" outlineLevel="0" collapsed="false">
      <c r="A51" s="116"/>
      <c r="B51" s="152"/>
      <c r="C51" s="118"/>
      <c r="D51" s="118"/>
      <c r="E51" s="118"/>
      <c r="F51" s="164"/>
      <c r="G51" s="118"/>
      <c r="H51" s="173"/>
      <c r="I51" s="118"/>
      <c r="J51" s="118"/>
      <c r="K51" s="118"/>
      <c r="L51" s="118"/>
      <c r="M51" s="165"/>
      <c r="N51" s="118"/>
      <c r="O51" s="118"/>
      <c r="P51" s="122"/>
      <c r="Q51" s="126"/>
      <c r="R51" s="126"/>
      <c r="S51" s="126"/>
      <c r="T51" s="126"/>
      <c r="U51" s="166"/>
      <c r="V51" s="126"/>
      <c r="W51" s="126"/>
      <c r="X51" s="126"/>
      <c r="Y51" s="126"/>
      <c r="Z51" s="126"/>
      <c r="AA51" s="126"/>
      <c r="AB51" s="126"/>
      <c r="AC51" s="126"/>
      <c r="AD51" s="126"/>
      <c r="AE51" s="126"/>
      <c r="AF51" s="167"/>
      <c r="AG51" s="168"/>
      <c r="AH51" s="126"/>
      <c r="AI51" s="126"/>
      <c r="AJ51" s="126"/>
      <c r="AK51" s="126"/>
      <c r="AL51" s="126"/>
      <c r="AM51" s="169"/>
      <c r="AN51" s="125"/>
      <c r="AO51" s="125"/>
      <c r="AP51" s="126"/>
      <c r="AQ51" s="126"/>
      <c r="AR51" s="126"/>
      <c r="AS51" s="126"/>
      <c r="AT51" s="126"/>
      <c r="AU51" s="131"/>
      <c r="AV51" s="132"/>
      <c r="AW51" s="130"/>
      <c r="AX51" s="126"/>
      <c r="AY51" s="126"/>
      <c r="AZ51" s="126"/>
      <c r="BA51" s="126"/>
      <c r="BB51" s="126"/>
    </row>
    <row r="52" customFormat="false" ht="12.95" hidden="false" customHeight="true" outlineLevel="0" collapsed="false">
      <c r="A52" s="11" t="s">
        <v>112</v>
      </c>
      <c r="B52" s="94"/>
      <c r="C52" s="95"/>
      <c r="D52" s="95"/>
      <c r="E52" s="95"/>
      <c r="F52" s="96" t="n">
        <f aca="false">F13+F46</f>
        <v>2873.20393244265</v>
      </c>
      <c r="G52" s="2" t="n">
        <f aca="false">G13+G46</f>
        <v>3357</v>
      </c>
      <c r="H52" s="9" t="n">
        <f aca="false">H13+H46</f>
        <v>8.109</v>
      </c>
      <c r="I52" s="2" t="n">
        <f aca="false">I13+I46</f>
        <v>3364.489</v>
      </c>
      <c r="J52" s="2" t="n">
        <f aca="false">J13+J46</f>
        <v>419.376112679607</v>
      </c>
      <c r="K52" s="2" t="n">
        <f aca="false">K13+K46</f>
        <v>3783.86511267961</v>
      </c>
      <c r="L52" s="2" t="n">
        <f aca="false">L13+L46</f>
        <v>138.444932442652</v>
      </c>
      <c r="M52" s="97" t="n">
        <f aca="false">M13+M46</f>
        <v>88.63</v>
      </c>
      <c r="N52" s="95" t="n">
        <f aca="false">N13+N46</f>
        <v>0</v>
      </c>
      <c r="O52" s="95" t="n">
        <v>0</v>
      </c>
      <c r="P52" s="99" t="n">
        <f aca="false">P13+P46</f>
        <v>0</v>
      </c>
      <c r="Q52" s="99" t="n">
        <f aca="false">Q13+Q46</f>
        <v>47.2884761044888</v>
      </c>
      <c r="R52" s="99" t="n">
        <f aca="false">R13+R46</f>
        <v>46.7280539254823</v>
      </c>
      <c r="S52" s="99" t="n">
        <f aca="false">S13+S46</f>
        <v>0</v>
      </c>
      <c r="T52" s="99" t="n">
        <f aca="false">T13+T46</f>
        <v>13.92595776</v>
      </c>
      <c r="U52" s="154" t="n">
        <f aca="false">U13+U46</f>
        <v>-19.3124877899711</v>
      </c>
      <c r="V52" s="84" t="n">
        <f aca="false">V13+V46</f>
        <v>0</v>
      </c>
      <c r="W52" s="84" t="n">
        <f aca="false">W13+W46</f>
        <v>0</v>
      </c>
      <c r="X52" s="84" t="n">
        <f aca="false">X13+X46</f>
        <v>-15.0402</v>
      </c>
      <c r="Y52" s="84" t="n">
        <f aca="false">Y13+Y46</f>
        <v>-15.0402</v>
      </c>
      <c r="Z52" s="84"/>
      <c r="AA52" s="84"/>
      <c r="AB52" s="84"/>
      <c r="AC52" s="84" t="n">
        <f aca="false">AC13+AC46</f>
        <v>1714.14</v>
      </c>
      <c r="AD52" s="84"/>
      <c r="AE52" s="155" t="n">
        <f aca="false">AE13+AE46</f>
        <v>0</v>
      </c>
      <c r="AF52" s="141" t="n">
        <f aca="false">AF13+AF46</f>
        <v>0</v>
      </c>
      <c r="AG52" s="155" t="n">
        <f aca="false">AG13+AG46</f>
        <v>0</v>
      </c>
      <c r="AH52" s="84" t="n">
        <f aca="false">AH13+AH46</f>
        <v>541.1</v>
      </c>
      <c r="AI52" s="84" t="n">
        <f aca="false">AI44</f>
        <v>2458.73684762419</v>
      </c>
      <c r="AJ52" s="84" t="n">
        <f aca="false">AJ13+AJ46</f>
        <v>0</v>
      </c>
      <c r="AK52" s="84" t="n">
        <f aca="false">AK13+AK46</f>
        <v>629.73</v>
      </c>
      <c r="AL52" s="84" t="n">
        <f aca="false">AL13+AL46</f>
        <v>280.931180236955</v>
      </c>
      <c r="AM52" s="156" t="n">
        <f aca="false">AM13+AM46</f>
        <v>910.661180236955</v>
      </c>
      <c r="AN52" s="157" t="n">
        <f aca="false">AN13+AN46</f>
        <v>0</v>
      </c>
      <c r="AO52" s="102" t="n">
        <f aca="false">AO13+AO46</f>
        <v>0</v>
      </c>
      <c r="AP52" s="106"/>
      <c r="AQ52" s="106"/>
      <c r="AR52" s="106"/>
      <c r="AS52" s="106"/>
      <c r="AU52" s="5"/>
      <c r="AV52" s="107" t="n">
        <f aca="false">AV13+AV46</f>
        <v>1.66</v>
      </c>
      <c r="AW52" s="108"/>
      <c r="AX52" s="108"/>
      <c r="AY52" s="108"/>
      <c r="AZ52" s="160" t="n">
        <f aca="false">AZ13+AZ46</f>
        <v>88.63</v>
      </c>
      <c r="BA52" s="161" t="n">
        <f aca="false">BA13+BA46</f>
        <v>0</v>
      </c>
      <c r="BB52" s="148"/>
    </row>
    <row r="53" customFormat="false" ht="12.95" hidden="false" customHeight="true" outlineLevel="0" collapsed="false">
      <c r="A53" s="11" t="s">
        <v>113</v>
      </c>
      <c r="B53" s="94"/>
      <c r="C53" s="95"/>
      <c r="D53" s="95" t="n">
        <f aca="false">D13+D47</f>
        <v>5699</v>
      </c>
      <c r="E53" s="95" t="n">
        <f aca="false">E44</f>
        <v>27421</v>
      </c>
      <c r="F53" s="96" t="n">
        <f aca="false">F52*$D$2</f>
        <v>5699</v>
      </c>
      <c r="G53" s="2" t="n">
        <f aca="false">G52*$D$2</f>
        <v>6658.6095</v>
      </c>
      <c r="H53" s="9" t="n">
        <f aca="false">H52*$D$2</f>
        <v>16.0842015</v>
      </c>
      <c r="I53" s="2" t="n">
        <f aca="false">I52*$D$2</f>
        <v>6673.4639315</v>
      </c>
      <c r="J53" s="2" t="n">
        <f aca="false">J52*$D$2</f>
        <v>831.8325195</v>
      </c>
      <c r="K53" s="2" t="n">
        <f aca="false">K52*$D$2</f>
        <v>7505.296451</v>
      </c>
      <c r="L53" s="2" t="n">
        <f aca="false">L52*$D$2</f>
        <v>274.6055235</v>
      </c>
      <c r="M53" s="97" t="n">
        <f aca="false">M52*$D$2</f>
        <v>175.797605</v>
      </c>
      <c r="N53" s="95" t="n">
        <f aca="false">N52*$D$2</f>
        <v>0</v>
      </c>
      <c r="O53" s="95" t="n">
        <f aca="false">O52*$D$2</f>
        <v>0</v>
      </c>
      <c r="P53" s="99" t="n">
        <f aca="false">P52*$D$2</f>
        <v>0</v>
      </c>
      <c r="Q53" s="99" t="n">
        <f aca="false">Q52*$D$2</f>
        <v>93.7966923532535</v>
      </c>
      <c r="R53" s="99" t="n">
        <f aca="false">R52*$D$2</f>
        <v>92.6850949611941</v>
      </c>
      <c r="S53" s="99" t="n">
        <f aca="false">S52*$D$2</f>
        <v>0</v>
      </c>
      <c r="T53" s="99" t="n">
        <f aca="false">T52*$D$2</f>
        <v>27.62213721696</v>
      </c>
      <c r="U53" s="154" t="n">
        <f aca="false">U52*$D$2</f>
        <v>-38.3063195314076</v>
      </c>
      <c r="V53" s="84" t="n">
        <f aca="false">V52*$D$2</f>
        <v>0</v>
      </c>
      <c r="W53" s="84" t="n">
        <f aca="false">W52*$D$2</f>
        <v>0</v>
      </c>
      <c r="X53" s="84" t="n">
        <f aca="false">X52*$D$2</f>
        <v>-29.8322367</v>
      </c>
      <c r="Y53" s="84" t="n">
        <f aca="false">Y52*$D$2</f>
        <v>-29.8322367</v>
      </c>
      <c r="Z53" s="84"/>
      <c r="AA53" s="84"/>
      <c r="AB53" s="84"/>
      <c r="AC53" s="84" t="n">
        <f aca="false">AC52*$D$2</f>
        <v>3399.99669</v>
      </c>
      <c r="AD53" s="84"/>
      <c r="AE53" s="162" t="n">
        <f aca="false">AE52*$D$2</f>
        <v>0</v>
      </c>
      <c r="AF53" s="84" t="n">
        <f aca="false">AF52*$D$2</f>
        <v>0</v>
      </c>
      <c r="AG53" s="162" t="n">
        <f aca="false">AG52*$D$2</f>
        <v>0</v>
      </c>
      <c r="AH53" s="84" t="n">
        <f aca="false">AH52*$D$2</f>
        <v>1073.27185</v>
      </c>
      <c r="AI53" s="84" t="n">
        <f aca="false">AI52*$D$2</f>
        <v>4876.90453726259</v>
      </c>
      <c r="AJ53" s="84" t="n">
        <f aca="false">AJ52*$D$2</f>
        <v>0</v>
      </c>
      <c r="AK53" s="84" t="n">
        <f aca="false">AK52*$D$2</f>
        <v>1249.069455</v>
      </c>
      <c r="AL53" s="84" t="n">
        <f aca="false">AL52*$D$2</f>
        <v>557.226996</v>
      </c>
      <c r="AM53" s="174" t="n">
        <f aca="false">AM52*$D$2</f>
        <v>1806.296451</v>
      </c>
      <c r="AN53" s="157" t="n">
        <f aca="false">AN52*$D$2</f>
        <v>0</v>
      </c>
      <c r="AO53" s="102" t="n">
        <f aca="false">AO52*$D$2</f>
        <v>0</v>
      </c>
      <c r="AP53" s="106"/>
      <c r="AQ53" s="106"/>
      <c r="AR53" s="106"/>
      <c r="AS53" s="106"/>
      <c r="AV53" s="107"/>
      <c r="AW53" s="108"/>
      <c r="AX53" s="175"/>
      <c r="AY53" s="175"/>
      <c r="AZ53" s="176" t="n">
        <f aca="false">AZ52*$D$2</f>
        <v>175.797605</v>
      </c>
      <c r="BA53" s="161" t="n">
        <f aca="false">BA52*$D$2</f>
        <v>0</v>
      </c>
      <c r="BB53" s="148"/>
    </row>
    <row r="54" customFormat="false" ht="3" hidden="false" customHeight="true" outlineLevel="0" collapsed="false">
      <c r="A54" s="116"/>
      <c r="B54" s="152"/>
      <c r="C54" s="118"/>
      <c r="D54" s="116"/>
      <c r="E54" s="118"/>
      <c r="F54" s="119"/>
      <c r="G54" s="116"/>
      <c r="H54" s="120"/>
      <c r="I54" s="116"/>
      <c r="J54" s="116"/>
      <c r="K54" s="116"/>
      <c r="L54" s="116"/>
      <c r="M54" s="121"/>
      <c r="N54" s="116"/>
      <c r="O54" s="116"/>
      <c r="P54" s="122"/>
      <c r="Q54" s="116"/>
      <c r="R54" s="116"/>
      <c r="S54" s="116"/>
      <c r="T54" s="116"/>
      <c r="U54" s="124"/>
      <c r="V54" s="116"/>
      <c r="W54" s="116"/>
      <c r="X54" s="116"/>
      <c r="Y54" s="177"/>
      <c r="Z54" s="118"/>
      <c r="AA54" s="177"/>
      <c r="AB54" s="118"/>
      <c r="AC54" s="118"/>
      <c r="AD54" s="118"/>
      <c r="AE54" s="116"/>
      <c r="AF54" s="121"/>
      <c r="AG54" s="178"/>
      <c r="AH54" s="116"/>
      <c r="AI54" s="118"/>
      <c r="AJ54" s="118"/>
      <c r="AK54" s="116"/>
      <c r="AL54" s="116"/>
      <c r="AM54" s="116"/>
      <c r="AN54" s="179"/>
      <c r="AO54" s="177"/>
      <c r="AP54" s="116"/>
      <c r="AQ54" s="180"/>
      <c r="AR54" s="180"/>
      <c r="AS54" s="181"/>
      <c r="AT54" s="181"/>
      <c r="AU54" s="131"/>
      <c r="AV54" s="116"/>
      <c r="AW54" s="173"/>
      <c r="AX54" s="116"/>
      <c r="AY54" s="116"/>
      <c r="AZ54" s="116"/>
      <c r="BA54" s="116"/>
      <c r="BB54" s="116"/>
    </row>
    <row r="55" customFormat="false" ht="14.1" hidden="false" customHeight="true" outlineLevel="0" collapsed="false">
      <c r="A55" s="182"/>
      <c r="B55" s="183"/>
      <c r="D55" s="11"/>
      <c r="F55" s="11"/>
      <c r="G55" s="11"/>
      <c r="I55" s="11"/>
      <c r="J55" s="11"/>
      <c r="K55" s="11"/>
      <c r="L55" s="11"/>
      <c r="M55" s="11"/>
      <c r="N55" s="11"/>
      <c r="O55" s="11"/>
      <c r="Q55" s="11"/>
      <c r="R55" s="11"/>
      <c r="S55" s="11"/>
      <c r="T55" s="11"/>
      <c r="V55" s="11"/>
      <c r="W55" s="11"/>
      <c r="X55" s="11"/>
      <c r="Z55" s="2"/>
      <c r="AB55" s="2"/>
      <c r="AC55" s="2"/>
      <c r="AD55" s="2"/>
      <c r="AE55" s="11"/>
      <c r="AF55" s="11"/>
      <c r="AG55" s="11"/>
      <c r="AH55" s="11"/>
      <c r="AI55" s="2"/>
      <c r="AJ55" s="2"/>
      <c r="AK55" s="11"/>
      <c r="AL55" s="11"/>
      <c r="AN55" s="184"/>
      <c r="AO55" s="184"/>
      <c r="AU55" s="6"/>
      <c r="AX55" s="9"/>
      <c r="AY55" s="9"/>
    </row>
    <row r="56" customFormat="false" ht="11.1" hidden="false" customHeight="true" outlineLevel="0" collapsed="false">
      <c r="A56" s="11"/>
      <c r="B56" s="185"/>
      <c r="F56" s="11"/>
      <c r="G56" s="11"/>
      <c r="I56" s="12"/>
      <c r="J56" s="11"/>
      <c r="K56" s="186"/>
      <c r="L56" s="11"/>
      <c r="M56" s="11"/>
      <c r="N56" s="11"/>
      <c r="O56" s="11"/>
      <c r="Q56" s="11"/>
      <c r="R56" s="11"/>
      <c r="S56" s="11"/>
      <c r="T56" s="11"/>
      <c r="V56" s="11"/>
      <c r="W56" s="11"/>
      <c r="X56" s="11"/>
      <c r="Z56" s="2"/>
      <c r="AB56" s="2"/>
      <c r="AC56" s="2"/>
      <c r="AD56" s="2"/>
      <c r="AE56" s="11"/>
      <c r="AF56" s="11"/>
      <c r="AG56" s="11"/>
      <c r="AH56" s="11"/>
      <c r="AI56" s="2"/>
      <c r="AJ56" s="2"/>
      <c r="AK56" s="11"/>
      <c r="AL56" s="11"/>
      <c r="AN56" s="184"/>
      <c r="AO56" s="184"/>
      <c r="AU56" s="5"/>
      <c r="AX56" s="9"/>
      <c r="AY56" s="9"/>
    </row>
    <row r="57" customFormat="false" ht="11.1" hidden="false" customHeight="true" outlineLevel="0" collapsed="false">
      <c r="D57" s="2"/>
      <c r="S57" s="4"/>
      <c r="T57" s="4"/>
      <c r="X57" s="1"/>
      <c r="Z57" s="2"/>
      <c r="AB57" s="2"/>
      <c r="AC57" s="2"/>
      <c r="AD57" s="2"/>
      <c r="AF57" s="1"/>
      <c r="AG57" s="1"/>
      <c r="AH57" s="1"/>
      <c r="AI57" s="2"/>
      <c r="AJ57" s="2"/>
      <c r="AN57" s="184"/>
      <c r="AO57" s="184"/>
      <c r="AX57" s="9"/>
      <c r="AY57" s="9"/>
    </row>
    <row r="58" customFormat="false" ht="11.1" hidden="false" customHeight="true" outlineLevel="0" collapsed="false">
      <c r="B58" s="5"/>
      <c r="D58" s="2"/>
      <c r="S58" s="4"/>
      <c r="T58" s="4"/>
      <c r="X58" s="1"/>
      <c r="Z58" s="2"/>
      <c r="AB58" s="2"/>
      <c r="AC58" s="2"/>
      <c r="AD58" s="2"/>
      <c r="AF58" s="1"/>
      <c r="AG58" s="1"/>
      <c r="AH58" s="1"/>
      <c r="AI58" s="2"/>
      <c r="AJ58" s="2"/>
      <c r="AN58" s="184"/>
      <c r="AO58" s="184"/>
      <c r="AX58" s="9"/>
      <c r="AY58" s="9"/>
    </row>
    <row r="59" customFormat="false" ht="11.1" hidden="false" customHeight="true" outlineLevel="0" collapsed="false">
      <c r="G59" s="187"/>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88" width="5.66"/>
    <col collapsed="false" customWidth="true" hidden="false" outlineLevel="0" max="11" min="9" style="56" width="6.32"/>
    <col collapsed="false" customWidth="true" hidden="false" outlineLevel="0" max="12" min="12" style="56" width="6.82"/>
    <col collapsed="false" customWidth="true" hidden="false" outlineLevel="0" max="13" min="13" style="110" width="5.49"/>
    <col collapsed="false" customWidth="true" hidden="false" outlineLevel="0" max="14" min="14" style="110" width="4.49"/>
    <col collapsed="false" customWidth="true" hidden="false" outlineLevel="0" max="15" min="15" style="110" width="5.49"/>
    <col collapsed="false" customWidth="true" hidden="false" outlineLevel="0" max="16" min="16" style="8" width="4.82"/>
    <col collapsed="false" customWidth="true" hidden="false" outlineLevel="0" max="20" min="17" style="56" width="4.32"/>
    <col collapsed="false" customWidth="true" hidden="false" outlineLevel="0" max="21" min="21" style="8" width="5.99"/>
    <col collapsed="false" customWidth="true" hidden="false" outlineLevel="0" max="23" min="22" style="56" width="5.49"/>
    <col collapsed="false" customWidth="true" hidden="false" outlineLevel="0" max="25" min="24" style="161" width="6.32"/>
    <col collapsed="false" customWidth="true" hidden="false" outlineLevel="0" max="26" min="26" style="110" width="5.49"/>
    <col collapsed="false" customWidth="true" hidden="false" outlineLevel="0" max="27" min="27" style="161" width="6.32"/>
    <col collapsed="false" customWidth="true" hidden="false" outlineLevel="0" max="28" min="28" style="110" width="5.49"/>
    <col collapsed="false" customWidth="true" hidden="false" outlineLevel="0" max="29" min="29" style="110" width="5.99"/>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56" width="5.49"/>
    <col collapsed="false" customWidth="true" hidden="false" outlineLevel="0" max="41" min="41" style="110" width="5.49"/>
    <col collapsed="false" customWidth="true" hidden="false" outlineLevel="0" max="42" min="42" style="56" width="6.32"/>
    <col collapsed="false" customWidth="true" hidden="false" outlineLevel="0" max="43" min="43" style="190" width="6.32"/>
    <col collapsed="false" customWidth="true" hidden="false" outlineLevel="0" max="44" min="44" style="190" width="5.49"/>
    <col collapsed="false" customWidth="true" hidden="false" outlineLevel="0" max="45" min="45" style="190" width="5.32"/>
    <col collapsed="false" customWidth="true" hidden="false" outlineLevel="0" max="46" min="46" style="190" width="5.82"/>
    <col collapsed="false" customWidth="true" hidden="false" outlineLevel="0" max="47" min="47" style="56" width="4.99"/>
    <col collapsed="false" customWidth="true" hidden="false" outlineLevel="0" max="48" min="48" style="188" width="5.32"/>
    <col collapsed="false" customWidth="true" hidden="false" outlineLevel="0" max="49" min="49" style="191" width="3.82"/>
    <col collapsed="false" customWidth="true" hidden="false" outlineLevel="0" max="51" min="50" style="192" width="3.82"/>
    <col collapsed="false" customWidth="true" hidden="false" outlineLevel="0" max="52" min="52" style="189" width="5.49"/>
    <col collapsed="false" customWidth="false" hidden="false" outlineLevel="0" max="257" min="53" style="193" width="9.32"/>
  </cols>
  <sheetData>
    <row r="1" customFormat="false" ht="14.1" hidden="false" customHeight="true" outlineLevel="0" collapsed="false">
      <c r="A1" s="194"/>
      <c r="B1" s="194"/>
      <c r="D1" s="194"/>
      <c r="F1" s="194"/>
      <c r="G1" s="194"/>
      <c r="H1" s="195"/>
      <c r="I1" s="194"/>
      <c r="J1" s="194"/>
      <c r="K1" s="196" t="s">
        <v>0</v>
      </c>
      <c r="L1" s="194"/>
      <c r="M1" s="194"/>
      <c r="N1" s="194"/>
      <c r="O1" s="194"/>
      <c r="Q1" s="194"/>
      <c r="R1" s="194"/>
      <c r="S1" s="194"/>
      <c r="T1" s="194"/>
      <c r="V1" s="194"/>
      <c r="W1" s="194"/>
      <c r="AD1" s="194"/>
      <c r="AE1" s="194"/>
      <c r="AF1" s="194"/>
      <c r="AG1" s="194"/>
      <c r="AI1" s="194"/>
      <c r="AJ1" s="197"/>
      <c r="AK1" s="194"/>
      <c r="AL1" s="194"/>
    </row>
    <row r="2" customFormat="false" ht="14.1" hidden="false" customHeight="true" outlineLevel="0" collapsed="false">
      <c r="A2" s="197" t="s">
        <v>1</v>
      </c>
      <c r="B2" s="194"/>
      <c r="D2" s="198" t="n">
        <v>1.9835</v>
      </c>
      <c r="F2" s="194"/>
      <c r="G2" s="194"/>
      <c r="H2" s="195"/>
      <c r="I2" s="194"/>
      <c r="J2" s="194"/>
      <c r="K2" s="199" t="s">
        <v>114</v>
      </c>
      <c r="L2" s="199"/>
      <c r="M2" s="199"/>
      <c r="N2" s="199"/>
      <c r="O2" s="199"/>
      <c r="P2" s="199"/>
      <c r="Q2" s="199"/>
      <c r="R2" s="199"/>
      <c r="S2" s="199"/>
      <c r="T2" s="199"/>
      <c r="U2" s="199"/>
      <c r="V2" s="199"/>
      <c r="W2" s="200"/>
      <c r="X2" s="89"/>
      <c r="Y2" s="89"/>
      <c r="Z2" s="201"/>
      <c r="AA2" s="89"/>
      <c r="AB2" s="201"/>
      <c r="AC2" s="201"/>
      <c r="AD2" s="200"/>
      <c r="AE2" s="194"/>
      <c r="AF2" s="194"/>
      <c r="AG2" s="194"/>
      <c r="AI2" s="194"/>
      <c r="AJ2" s="197"/>
      <c r="AK2" s="194"/>
      <c r="AL2" s="194"/>
    </row>
    <row r="3" customFormat="false" ht="14.1" hidden="false" customHeight="true" outlineLevel="0" collapsed="false">
      <c r="A3" s="202"/>
      <c r="B3" s="202"/>
      <c r="C3" s="203"/>
      <c r="D3" s="204"/>
      <c r="E3" s="203"/>
      <c r="F3" s="202"/>
      <c r="G3" s="202"/>
      <c r="H3" s="205"/>
      <c r="I3" s="202"/>
      <c r="J3" s="202"/>
      <c r="K3" s="202"/>
      <c r="L3" s="202"/>
      <c r="M3" s="202"/>
      <c r="N3" s="202"/>
      <c r="O3" s="202"/>
      <c r="P3" s="206"/>
      <c r="Q3" s="202"/>
      <c r="R3" s="202"/>
      <c r="S3" s="202"/>
      <c r="T3" s="202"/>
      <c r="U3" s="206"/>
      <c r="V3" s="202"/>
      <c r="W3" s="202"/>
      <c r="X3" s="203"/>
      <c r="Y3" s="203"/>
      <c r="Z3" s="207"/>
      <c r="AA3" s="203"/>
      <c r="AB3" s="207"/>
      <c r="AC3" s="207"/>
      <c r="AD3" s="202"/>
      <c r="AE3" s="202"/>
      <c r="AF3" s="202"/>
      <c r="AG3" s="202"/>
      <c r="AH3" s="203"/>
      <c r="AI3" s="202"/>
      <c r="AJ3" s="208"/>
      <c r="AK3" s="202"/>
      <c r="AL3" s="202"/>
      <c r="AM3" s="206"/>
      <c r="AN3" s="209"/>
      <c r="AO3" s="207"/>
      <c r="AP3" s="209"/>
      <c r="AQ3" s="210"/>
      <c r="AV3" s="211"/>
      <c r="AW3" s="212"/>
      <c r="AX3" s="213"/>
      <c r="BA3" s="214"/>
      <c r="BB3" s="214"/>
    </row>
    <row r="4" s="1" customFormat="true" ht="14.1" hidden="false" customHeight="true" outlineLevel="0" collapsed="false">
      <c r="A4" s="32"/>
      <c r="B4" s="33"/>
      <c r="C4" s="34"/>
      <c r="D4" s="35" t="s">
        <v>3</v>
      </c>
      <c r="E4" s="34"/>
      <c r="F4" s="32"/>
      <c r="G4" s="36"/>
      <c r="H4" s="36"/>
      <c r="I4" s="37" t="s">
        <v>115</v>
      </c>
      <c r="J4" s="36"/>
      <c r="K4" s="36"/>
      <c r="L4" s="38"/>
      <c r="M4" s="36"/>
      <c r="N4" s="36"/>
      <c r="O4" s="36"/>
      <c r="P4" s="39"/>
      <c r="Q4" s="36"/>
      <c r="R4" s="36"/>
      <c r="S4" s="36"/>
      <c r="T4" s="36"/>
      <c r="U4" s="39"/>
      <c r="V4" s="36"/>
      <c r="W4" s="36"/>
      <c r="X4" s="40" t="s">
        <v>5</v>
      </c>
      <c r="Y4" s="40"/>
      <c r="Z4" s="41"/>
      <c r="AA4" s="40"/>
      <c r="AB4" s="41"/>
      <c r="AC4" s="41"/>
      <c r="AD4" s="42"/>
      <c r="AE4" s="36"/>
      <c r="AF4" s="36"/>
      <c r="AG4" s="36"/>
      <c r="AH4" s="34"/>
      <c r="AI4" s="36"/>
      <c r="AJ4" s="43"/>
      <c r="AK4" s="36"/>
      <c r="AL4" s="36"/>
      <c r="AM4" s="39"/>
      <c r="AN4" s="44"/>
      <c r="AO4" s="45"/>
      <c r="AP4" s="46" t="s">
        <v>6</v>
      </c>
      <c r="AQ4" s="47"/>
      <c r="AR4" s="48"/>
      <c r="AS4" s="49"/>
      <c r="AT4" s="50"/>
      <c r="AU4" s="50"/>
      <c r="AV4" s="52"/>
      <c r="AW4" s="53" t="s">
        <v>7</v>
      </c>
      <c r="AX4" s="54"/>
      <c r="AY4" s="215"/>
      <c r="AZ4" s="216"/>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1" t="s">
        <v>16</v>
      </c>
      <c r="M5" s="218" t="s">
        <v>18</v>
      </c>
      <c r="N5" s="218"/>
      <c r="O5" s="218"/>
      <c r="P5" s="218"/>
      <c r="Q5" s="218"/>
      <c r="R5" s="218"/>
      <c r="S5" s="218"/>
      <c r="T5" s="218"/>
      <c r="U5" s="218"/>
      <c r="V5" s="58" t="s">
        <v>19</v>
      </c>
      <c r="W5" s="58" t="s">
        <v>20</v>
      </c>
      <c r="X5" s="58" t="s">
        <v>17</v>
      </c>
      <c r="Y5" s="58" t="s">
        <v>17</v>
      </c>
      <c r="Z5" s="64" t="s">
        <v>21</v>
      </c>
      <c r="AA5" s="58" t="s">
        <v>21</v>
      </c>
      <c r="AB5" s="64" t="s">
        <v>21</v>
      </c>
      <c r="AC5" s="64"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219" t="s">
        <v>33</v>
      </c>
      <c r="AV5" s="73" t="s">
        <v>34</v>
      </c>
      <c r="AW5" s="74" t="s">
        <v>35</v>
      </c>
      <c r="AX5" s="74" t="s">
        <v>36</v>
      </c>
      <c r="AY5" s="220"/>
      <c r="AZ5" s="221" t="s">
        <v>17</v>
      </c>
      <c r="BA5" s="222" t="s">
        <v>37</v>
      </c>
      <c r="BB5" s="223"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7" t="s">
        <v>116</v>
      </c>
      <c r="B6" s="59" t="s">
        <v>39</v>
      </c>
      <c r="C6" s="60"/>
      <c r="D6" s="61" t="s">
        <v>40</v>
      </c>
      <c r="E6" s="60" t="s">
        <v>41</v>
      </c>
      <c r="F6" s="62" t="s">
        <v>42</v>
      </c>
      <c r="G6" s="58" t="s">
        <v>43</v>
      </c>
      <c r="H6" s="58" t="s">
        <v>44</v>
      </c>
      <c r="I6" s="58" t="s">
        <v>45</v>
      </c>
      <c r="J6" s="58" t="s">
        <v>45</v>
      </c>
      <c r="K6" s="58" t="s">
        <v>45</v>
      </c>
      <c r="L6" s="81" t="s">
        <v>46</v>
      </c>
      <c r="M6" s="61" t="s">
        <v>47</v>
      </c>
      <c r="N6" s="61" t="s">
        <v>48</v>
      </c>
      <c r="O6" s="61" t="s">
        <v>49</v>
      </c>
      <c r="P6" s="79" t="s">
        <v>50</v>
      </c>
      <c r="Q6" s="61" t="s">
        <v>51</v>
      </c>
      <c r="R6" s="61" t="s">
        <v>52</v>
      </c>
      <c r="S6" s="61"/>
      <c r="T6" s="61" t="s">
        <v>49</v>
      </c>
      <c r="U6" s="80" t="s">
        <v>53</v>
      </c>
      <c r="V6" s="58" t="s">
        <v>54</v>
      </c>
      <c r="W6" s="58" t="s">
        <v>55</v>
      </c>
      <c r="X6" s="58" t="s">
        <v>21</v>
      </c>
      <c r="Y6" s="58" t="s">
        <v>21</v>
      </c>
      <c r="Z6" s="64" t="s">
        <v>56</v>
      </c>
      <c r="AA6" s="58" t="s">
        <v>56</v>
      </c>
      <c r="AB6" s="64" t="s">
        <v>57</v>
      </c>
      <c r="AC6" s="64" t="s">
        <v>58</v>
      </c>
      <c r="AD6" s="65" t="s">
        <v>59</v>
      </c>
      <c r="AE6" s="58" t="s">
        <v>60</v>
      </c>
      <c r="AF6" s="78" t="s">
        <v>61</v>
      </c>
      <c r="AG6" s="81" t="s">
        <v>62</v>
      </c>
      <c r="AH6" s="58" t="s">
        <v>63</v>
      </c>
      <c r="AI6" s="68" t="s">
        <v>64</v>
      </c>
      <c r="AJ6" s="68"/>
      <c r="AK6" s="58" t="s">
        <v>65</v>
      </c>
      <c r="AL6" s="58" t="s">
        <v>65</v>
      </c>
      <c r="AM6" s="61" t="s">
        <v>65</v>
      </c>
      <c r="AN6" s="69" t="s">
        <v>117</v>
      </c>
      <c r="AO6" s="65" t="s">
        <v>67</v>
      </c>
      <c r="AP6" s="64" t="s">
        <v>68</v>
      </c>
      <c r="AQ6" s="70" t="s">
        <v>68</v>
      </c>
      <c r="AR6" s="65" t="s">
        <v>69</v>
      </c>
      <c r="AS6" s="71" t="s">
        <v>70</v>
      </c>
      <c r="AT6" s="71" t="s">
        <v>71</v>
      </c>
      <c r="AU6" s="219" t="s">
        <v>72</v>
      </c>
      <c r="AV6" s="82"/>
      <c r="AW6" s="74" t="s">
        <v>73</v>
      </c>
      <c r="AX6" s="74" t="s">
        <v>73</v>
      </c>
      <c r="AY6" s="220"/>
      <c r="AZ6" s="221" t="s">
        <v>74</v>
      </c>
      <c r="BA6" s="222" t="s">
        <v>75</v>
      </c>
      <c r="BB6" s="223"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1"/>
      <c r="M7" s="61"/>
      <c r="N7" s="61" t="s">
        <v>77</v>
      </c>
      <c r="O7" s="61" t="s">
        <v>78</v>
      </c>
      <c r="P7" s="79"/>
      <c r="Q7" s="61" t="s">
        <v>79</v>
      </c>
      <c r="R7" s="61" t="s">
        <v>79</v>
      </c>
      <c r="S7" s="61" t="s">
        <v>62</v>
      </c>
      <c r="T7" s="61" t="s">
        <v>62</v>
      </c>
      <c r="U7" s="80" t="s">
        <v>80</v>
      </c>
      <c r="V7" s="58"/>
      <c r="W7" s="58"/>
      <c r="X7" s="68" t="s">
        <v>81</v>
      </c>
      <c r="Y7" s="60" t="s">
        <v>82</v>
      </c>
      <c r="Z7" s="64" t="s">
        <v>83</v>
      </c>
      <c r="AA7" s="58" t="s">
        <v>84</v>
      </c>
      <c r="AB7" s="64" t="s">
        <v>85</v>
      </c>
      <c r="AC7" s="64"/>
      <c r="AD7" s="65"/>
      <c r="AE7" s="81"/>
      <c r="AF7" s="83" t="n">
        <v>1.7</v>
      </c>
      <c r="AG7" s="83" t="n">
        <v>1.3</v>
      </c>
      <c r="AH7" s="78"/>
      <c r="AI7" s="84" t="n">
        <v>12682.1753872626</v>
      </c>
      <c r="AJ7" s="68"/>
      <c r="AK7" s="58"/>
      <c r="AL7" s="58"/>
      <c r="AM7" s="61"/>
      <c r="AN7" s="69"/>
      <c r="AO7" s="65"/>
      <c r="AP7" s="64" t="s">
        <v>86</v>
      </c>
      <c r="AQ7" s="70" t="s">
        <v>87</v>
      </c>
      <c r="AR7" s="65" t="s">
        <v>88</v>
      </c>
      <c r="AS7" s="71" t="s">
        <v>89</v>
      </c>
      <c r="AT7" s="71" t="s">
        <v>90</v>
      </c>
      <c r="AU7" s="219" t="s">
        <v>91</v>
      </c>
      <c r="AV7" s="82"/>
      <c r="AW7" s="74"/>
      <c r="AX7" s="74"/>
      <c r="AY7" s="220"/>
      <c r="AZ7" s="221" t="s">
        <v>92</v>
      </c>
      <c r="BA7" s="222"/>
      <c r="BB7" s="223"/>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1"/>
      <c r="M8" s="61"/>
      <c r="N8" s="61"/>
      <c r="O8" s="61"/>
      <c r="P8" s="79"/>
      <c r="Q8" s="61" t="s">
        <v>62</v>
      </c>
      <c r="R8" s="61" t="s">
        <v>62</v>
      </c>
      <c r="S8" s="61"/>
      <c r="T8" s="61"/>
      <c r="U8" s="80"/>
      <c r="V8" s="58"/>
      <c r="W8" s="58"/>
      <c r="X8" s="68" t="s">
        <v>93</v>
      </c>
      <c r="Y8" s="60" t="s">
        <v>81</v>
      </c>
      <c r="Z8" s="64"/>
      <c r="AA8" s="60" t="s">
        <v>94</v>
      </c>
      <c r="AB8" s="64" t="s">
        <v>95</v>
      </c>
      <c r="AC8" s="64"/>
      <c r="AD8" s="65"/>
      <c r="AE8" s="81"/>
      <c r="AF8" s="83"/>
      <c r="AG8" s="83"/>
      <c r="AH8" s="78"/>
      <c r="AI8" s="84"/>
      <c r="AJ8" s="68"/>
      <c r="AK8" s="58"/>
      <c r="AL8" s="58"/>
      <c r="AM8" s="61"/>
      <c r="AN8" s="69"/>
      <c r="AO8" s="65"/>
      <c r="AP8" s="64"/>
      <c r="AQ8" s="70"/>
      <c r="AR8" s="65"/>
      <c r="AS8" s="71"/>
      <c r="AT8" s="71"/>
      <c r="AU8" s="219"/>
      <c r="AV8" s="82"/>
      <c r="AW8" s="74"/>
      <c r="AX8" s="74"/>
      <c r="AY8" s="220"/>
      <c r="AZ8" s="221"/>
      <c r="BA8" s="222"/>
      <c r="BB8" s="223"/>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1"/>
      <c r="M9" s="61"/>
      <c r="N9" s="61"/>
      <c r="O9" s="61"/>
      <c r="P9" s="79"/>
      <c r="Q9" s="61"/>
      <c r="R9" s="86" t="n">
        <v>4.2</v>
      </c>
      <c r="S9" s="61"/>
      <c r="T9" s="61"/>
      <c r="U9" s="80"/>
      <c r="V9" s="58"/>
      <c r="W9" s="58"/>
      <c r="X9" s="68"/>
      <c r="Y9" s="60" t="s">
        <v>93</v>
      </c>
      <c r="Z9" s="64"/>
      <c r="AA9" s="60" t="s">
        <v>93</v>
      </c>
      <c r="AB9" s="64" t="s">
        <v>96</v>
      </c>
      <c r="AC9" s="64"/>
      <c r="AD9" s="65"/>
      <c r="AE9" s="81"/>
      <c r="AF9" s="83"/>
      <c r="AG9" s="83"/>
      <c r="AH9" s="78"/>
      <c r="AI9" s="84"/>
      <c r="AJ9" s="68"/>
      <c r="AK9" s="58"/>
      <c r="AL9" s="58"/>
      <c r="AM9" s="61"/>
      <c r="AN9" s="69"/>
      <c r="AO9" s="65"/>
      <c r="AP9" s="64"/>
      <c r="AQ9" s="70"/>
      <c r="AR9" s="65"/>
      <c r="AS9" s="71"/>
      <c r="AT9" s="71"/>
      <c r="AU9" s="219"/>
      <c r="AV9" s="82"/>
      <c r="AW9" s="74"/>
      <c r="AX9" s="74"/>
      <c r="AY9" s="220"/>
      <c r="AZ9" s="221"/>
      <c r="BA9" s="222"/>
      <c r="BB9" s="223" t="s">
        <v>97</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98</v>
      </c>
      <c r="D10" s="61"/>
      <c r="E10" s="60" t="s">
        <v>99</v>
      </c>
      <c r="F10" s="62"/>
      <c r="G10" s="61" t="s">
        <v>42</v>
      </c>
      <c r="H10" s="61" t="s">
        <v>42</v>
      </c>
      <c r="I10" s="61" t="s">
        <v>42</v>
      </c>
      <c r="J10" s="61" t="s">
        <v>42</v>
      </c>
      <c r="K10" s="61" t="s">
        <v>42</v>
      </c>
      <c r="L10" s="81" t="s">
        <v>42</v>
      </c>
      <c r="M10" s="61" t="s">
        <v>42</v>
      </c>
      <c r="N10" s="61" t="s">
        <v>42</v>
      </c>
      <c r="O10" s="61" t="s">
        <v>42</v>
      </c>
      <c r="P10" s="61" t="s">
        <v>42</v>
      </c>
      <c r="Q10" s="61" t="s">
        <v>42</v>
      </c>
      <c r="R10" s="61" t="s">
        <v>42</v>
      </c>
      <c r="S10" s="61" t="s">
        <v>42</v>
      </c>
      <c r="T10" s="61" t="s">
        <v>42</v>
      </c>
      <c r="U10" s="81" t="s">
        <v>42</v>
      </c>
      <c r="V10" s="61" t="s">
        <v>42</v>
      </c>
      <c r="W10" s="61" t="s">
        <v>42</v>
      </c>
      <c r="X10" s="60" t="n">
        <v>153400</v>
      </c>
      <c r="Y10" s="60" t="n">
        <v>150400</v>
      </c>
      <c r="Z10" s="61"/>
      <c r="AA10" s="60"/>
      <c r="AB10" s="60" t="n">
        <v>72000</v>
      </c>
      <c r="AC10" s="61" t="s">
        <v>42</v>
      </c>
      <c r="AD10" s="61" t="s">
        <v>42</v>
      </c>
      <c r="AE10" s="81" t="s">
        <v>42</v>
      </c>
      <c r="AF10" s="61" t="s">
        <v>42</v>
      </c>
      <c r="AG10" s="61" t="s">
        <v>42</v>
      </c>
      <c r="AH10" s="78" t="s">
        <v>42</v>
      </c>
      <c r="AI10" s="61" t="s">
        <v>42</v>
      </c>
      <c r="AJ10" s="61" t="s">
        <v>42</v>
      </c>
      <c r="AK10" s="61" t="s">
        <v>42</v>
      </c>
      <c r="AL10" s="61" t="s">
        <v>42</v>
      </c>
      <c r="AM10" s="62" t="s">
        <v>42</v>
      </c>
      <c r="AN10" s="65" t="s">
        <v>42</v>
      </c>
      <c r="AO10" s="65" t="s">
        <v>42</v>
      </c>
      <c r="AP10" s="65" t="s">
        <v>42</v>
      </c>
      <c r="AQ10" s="70" t="s">
        <v>100</v>
      </c>
      <c r="AR10" s="65" t="s">
        <v>42</v>
      </c>
      <c r="AS10" s="65" t="s">
        <v>42</v>
      </c>
      <c r="AT10" s="65" t="s">
        <v>42</v>
      </c>
      <c r="AU10" s="65" t="s">
        <v>42</v>
      </c>
      <c r="AV10" s="82"/>
      <c r="AW10" s="74"/>
      <c r="AX10" s="74"/>
      <c r="AY10" s="220"/>
      <c r="AZ10" s="221" t="s">
        <v>101</v>
      </c>
      <c r="BA10" s="222" t="s">
        <v>42</v>
      </c>
      <c r="BB10" s="223" t="s">
        <v>99</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1"/>
      <c r="M11" s="61"/>
      <c r="N11" s="47" t="n">
        <v>1.03</v>
      </c>
      <c r="O11" s="47" t="n">
        <v>1.05</v>
      </c>
      <c r="P11" s="47" t="n">
        <v>1.02</v>
      </c>
      <c r="Q11" s="87" t="n">
        <v>1.02</v>
      </c>
      <c r="R11" s="88" t="n">
        <v>1.04</v>
      </c>
      <c r="S11" s="61"/>
      <c r="T11" s="87" t="n">
        <v>1.04</v>
      </c>
      <c r="U11" s="80"/>
      <c r="V11" s="58"/>
      <c r="W11" s="58"/>
      <c r="X11" s="61" t="s">
        <v>42</v>
      </c>
      <c r="Y11" s="61" t="s">
        <v>42</v>
      </c>
      <c r="Z11" s="61" t="s">
        <v>42</v>
      </c>
      <c r="AA11" s="60" t="s">
        <v>42</v>
      </c>
      <c r="AB11" s="89" t="s">
        <v>102</v>
      </c>
      <c r="AC11" s="64"/>
      <c r="AD11" s="64"/>
      <c r="AE11" s="90"/>
      <c r="AF11" s="83"/>
      <c r="AG11" s="83"/>
      <c r="AH11" s="78"/>
      <c r="AI11" s="84"/>
      <c r="AJ11" s="91"/>
      <c r="AK11" s="58"/>
      <c r="AL11" s="58"/>
      <c r="AM11" s="61"/>
      <c r="AN11" s="69"/>
      <c r="AO11" s="65"/>
      <c r="AP11" s="64"/>
      <c r="AQ11" s="70"/>
      <c r="AR11" s="70"/>
      <c r="AS11" s="92"/>
      <c r="AT11" s="92"/>
      <c r="AU11" s="92"/>
      <c r="AV11" s="82"/>
      <c r="AW11" s="74"/>
      <c r="AX11" s="74"/>
      <c r="AY11" s="220"/>
      <c r="AZ11" s="221" t="s">
        <v>42</v>
      </c>
      <c r="BA11" s="222"/>
      <c r="BB11" s="223"/>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103</v>
      </c>
      <c r="B12" s="224"/>
      <c r="C12" s="113"/>
      <c r="D12" s="113"/>
      <c r="E12" s="113"/>
      <c r="F12" s="225"/>
      <c r="G12" s="113"/>
      <c r="H12" s="226"/>
      <c r="I12" s="113"/>
      <c r="J12" s="113"/>
      <c r="K12" s="113"/>
      <c r="L12" s="113"/>
      <c r="M12" s="227"/>
      <c r="N12" s="113"/>
      <c r="O12" s="113"/>
      <c r="P12" s="171"/>
      <c r="Q12" s="113"/>
      <c r="R12" s="113"/>
      <c r="S12" s="113"/>
      <c r="T12" s="113"/>
      <c r="U12" s="228"/>
      <c r="V12" s="113"/>
      <c r="W12" s="113"/>
      <c r="X12" s="113"/>
      <c r="Y12" s="113"/>
      <c r="Z12" s="143"/>
      <c r="AA12" s="113"/>
      <c r="AB12" s="143"/>
      <c r="AC12" s="143"/>
      <c r="AD12" s="113"/>
      <c r="AE12" s="113"/>
      <c r="AF12" s="227"/>
      <c r="AG12" s="229"/>
      <c r="AH12" s="113"/>
      <c r="AI12" s="113"/>
      <c r="AJ12" s="230"/>
      <c r="AK12" s="113"/>
      <c r="AL12" s="113"/>
      <c r="AM12" s="113"/>
      <c r="AN12" s="231"/>
      <c r="AO12" s="143"/>
      <c r="AP12" s="232"/>
      <c r="AV12" s="233"/>
      <c r="AW12" s="226"/>
      <c r="AX12" s="226"/>
      <c r="AY12" s="234"/>
      <c r="AZ12" s="235"/>
      <c r="BA12" s="236"/>
      <c r="BB12" s="237"/>
    </row>
    <row r="13" s="244" customFormat="true" ht="12.95" hidden="false" customHeight="true" outlineLevel="0" collapsed="false">
      <c r="A13" s="238" t="s">
        <v>104</v>
      </c>
      <c r="B13" s="112" t="n">
        <f aca="false">NOV!B44</f>
        <v>6866.78</v>
      </c>
      <c r="C13" s="113" t="n">
        <f aca="false">NOV!C44</f>
        <v>179421</v>
      </c>
      <c r="D13" s="113" t="n">
        <f aca="false">NOV!D53</f>
        <v>5699</v>
      </c>
      <c r="E13" s="113" t="n">
        <f aca="false">NOV!E53</f>
        <v>27421</v>
      </c>
      <c r="F13" s="225" t="n">
        <f aca="false">NOV!F52</f>
        <v>2873.20393244265</v>
      </c>
      <c r="G13" s="113" t="n">
        <f aca="false">NOV!G52</f>
        <v>3357</v>
      </c>
      <c r="H13" s="226" t="n">
        <f aca="false">NOV!H52</f>
        <v>8.109</v>
      </c>
      <c r="I13" s="113" t="n">
        <f aca="false">NOV!I52</f>
        <v>3364.489</v>
      </c>
      <c r="J13" s="113" t="n">
        <f aca="false">NOV!J52</f>
        <v>419.376112679607</v>
      </c>
      <c r="K13" s="113" t="n">
        <f aca="false">NOV!K52</f>
        <v>3783.86511267961</v>
      </c>
      <c r="L13" s="113" t="n">
        <f aca="false">NOV!L52</f>
        <v>138.444932442652</v>
      </c>
      <c r="M13" s="227" t="n">
        <f aca="false">NOV!M52</f>
        <v>88.63</v>
      </c>
      <c r="N13" s="113" t="n">
        <f aca="false">NOV!N52</f>
        <v>0</v>
      </c>
      <c r="O13" s="113" t="n">
        <f aca="false">NOV!O52</f>
        <v>0</v>
      </c>
      <c r="P13" s="113" t="n">
        <f aca="false">NOV!P52</f>
        <v>0</v>
      </c>
      <c r="Q13" s="113" t="n">
        <f aca="false">NOV!Q52</f>
        <v>47.2884761044888</v>
      </c>
      <c r="R13" s="113" t="n">
        <f aca="false">NOV!R52</f>
        <v>46.7280539254823</v>
      </c>
      <c r="S13" s="239" t="n">
        <f aca="false">NOV!S52</f>
        <v>0</v>
      </c>
      <c r="T13" s="239" t="n">
        <f aca="false">NOV!T52</f>
        <v>13.92595776</v>
      </c>
      <c r="U13" s="240" t="n">
        <f aca="false">NOV!U52</f>
        <v>-19.3124877899711</v>
      </c>
      <c r="V13" s="113" t="n">
        <f aca="false">NOV!V52</f>
        <v>0</v>
      </c>
      <c r="W13" s="113" t="n">
        <f aca="false">NOV!W52</f>
        <v>0</v>
      </c>
      <c r="X13" s="113" t="n">
        <f aca="false">NOV!X52</f>
        <v>-15.0402</v>
      </c>
      <c r="Y13" s="113" t="n">
        <f aca="false">NOV!Y52</f>
        <v>-15.0402</v>
      </c>
      <c r="Z13" s="143"/>
      <c r="AA13" s="113"/>
      <c r="AB13" s="143"/>
      <c r="AC13" s="113" t="n">
        <f aca="false">NOV!AC52</f>
        <v>1714.14</v>
      </c>
      <c r="AD13" s="113"/>
      <c r="AE13" s="113"/>
      <c r="AF13" s="227"/>
      <c r="AG13" s="229"/>
      <c r="AH13" s="113" t="n">
        <f aca="false">NOV!AH52</f>
        <v>541.1</v>
      </c>
      <c r="AI13" s="113" t="n">
        <f aca="false">NOV!AI52</f>
        <v>2458.73684762419</v>
      </c>
      <c r="AJ13" s="113"/>
      <c r="AK13" s="113" t="n">
        <f aca="false">NOV!AK52</f>
        <v>629.73</v>
      </c>
      <c r="AL13" s="113" t="n">
        <f aca="false">NOV!AL52</f>
        <v>280.931180236955</v>
      </c>
      <c r="AM13" s="113" t="n">
        <f aca="false">NOV!AM52</f>
        <v>910.661180236955</v>
      </c>
      <c r="AN13" s="231" t="n">
        <f aca="false">NOV!AN52</f>
        <v>0</v>
      </c>
      <c r="AO13" s="143" t="n">
        <f aca="false">NOV!AO52</f>
        <v>0</v>
      </c>
      <c r="AP13" s="113"/>
      <c r="AQ13" s="241"/>
      <c r="AR13" s="241"/>
      <c r="AS13" s="241"/>
      <c r="AT13" s="241"/>
      <c r="AU13" s="161"/>
      <c r="AV13" s="233" t="n">
        <f aca="false">NOV!AV52</f>
        <v>1.66</v>
      </c>
      <c r="AW13" s="226"/>
      <c r="AX13" s="226"/>
      <c r="AY13" s="234"/>
      <c r="AZ13" s="242" t="n">
        <f aca="false">NOV!AZ52</f>
        <v>88.63</v>
      </c>
      <c r="BA13" s="236" t="n">
        <f aca="false">NOV!BA52</f>
        <v>0</v>
      </c>
      <c r="BB13" s="243"/>
    </row>
    <row r="14" customFormat="false" ht="3" hidden="false" customHeight="true" outlineLevel="0" collapsed="false">
      <c r="A14" s="245"/>
      <c r="B14" s="246"/>
      <c r="C14" s="247"/>
      <c r="D14" s="248"/>
      <c r="E14" s="247"/>
      <c r="F14" s="249"/>
      <c r="G14" s="248"/>
      <c r="H14" s="250"/>
      <c r="I14" s="248"/>
      <c r="J14" s="248"/>
      <c r="K14" s="248"/>
      <c r="L14" s="248"/>
      <c r="M14" s="251"/>
      <c r="N14" s="248"/>
      <c r="O14" s="248"/>
      <c r="P14" s="252"/>
      <c r="Q14" s="248"/>
      <c r="R14" s="248"/>
      <c r="S14" s="248"/>
      <c r="T14" s="248"/>
      <c r="U14" s="253"/>
      <c r="V14" s="248"/>
      <c r="W14" s="248"/>
      <c r="X14" s="248"/>
      <c r="Y14" s="248"/>
      <c r="Z14" s="254"/>
      <c r="AA14" s="248"/>
      <c r="AB14" s="254"/>
      <c r="AC14" s="254"/>
      <c r="AD14" s="247"/>
      <c r="AE14" s="248"/>
      <c r="AF14" s="251"/>
      <c r="AG14" s="255"/>
      <c r="AH14" s="248"/>
      <c r="AI14" s="247"/>
      <c r="AJ14" s="247"/>
      <c r="AK14" s="248"/>
      <c r="AL14" s="248"/>
      <c r="AM14" s="248"/>
      <c r="AN14" s="256"/>
      <c r="AO14" s="254"/>
      <c r="AP14" s="257"/>
      <c r="AQ14" s="258"/>
      <c r="AR14" s="258"/>
      <c r="AS14" s="258"/>
      <c r="AT14" s="258"/>
      <c r="AU14" s="257"/>
      <c r="AV14" s="259"/>
      <c r="AW14" s="257"/>
      <c r="AX14" s="257"/>
      <c r="AY14" s="257"/>
      <c r="AZ14" s="257"/>
      <c r="BA14" s="257"/>
      <c r="BB14" s="257"/>
    </row>
    <row r="15" customFormat="false" ht="12.95" hidden="false" customHeight="true" outlineLevel="0" collapsed="false">
      <c r="A15" s="192" t="n">
        <v>1</v>
      </c>
      <c r="B15" s="112" t="n">
        <v>6866.82</v>
      </c>
      <c r="C15" s="113" t="n">
        <v>179523</v>
      </c>
      <c r="D15" s="226" t="n">
        <f aca="false">C15-C13</f>
        <v>102</v>
      </c>
      <c r="E15" s="113" t="n">
        <f aca="false">C15-152000</f>
        <v>27523</v>
      </c>
      <c r="F15" s="260" t="n">
        <f aca="false">D15/$D$2</f>
        <v>51.4242500630199</v>
      </c>
      <c r="G15" s="142" t="n">
        <v>90</v>
      </c>
      <c r="H15" s="261" t="n">
        <v>0.147</v>
      </c>
      <c r="I15" s="142" t="n">
        <f aca="false">G15+H15</f>
        <v>90.147</v>
      </c>
      <c r="J15" s="143" t="n">
        <f aca="false">IF(L15&gt;0,L15,0)</f>
        <v>0</v>
      </c>
      <c r="K15" s="142" t="n">
        <f aca="false">I15+J15</f>
        <v>90.147</v>
      </c>
      <c r="L15" s="142" t="n">
        <f aca="false">F15-(I15-AK15)</f>
        <v>-17.2227499369801</v>
      </c>
      <c r="M15" s="262" t="n">
        <v>3.5</v>
      </c>
      <c r="N15" s="142" t="n">
        <v>0</v>
      </c>
      <c r="O15" s="142" t="n">
        <f aca="false">0*1.05</f>
        <v>0</v>
      </c>
      <c r="P15" s="171" t="n">
        <v>0</v>
      </c>
      <c r="Q15" s="138" t="n">
        <f aca="false">1072500/325851/1.9835*1.02</f>
        <v>1.69256832701415</v>
      </c>
      <c r="R15" s="138" t="n">
        <f aca="false">((1417512/646272)*1.04)-T15</f>
        <v>1.70035787845514</v>
      </c>
      <c r="S15" s="138" t="n">
        <v>0</v>
      </c>
      <c r="T15" s="138" t="n">
        <f aca="false">(0.5268*1.06)*1.04</f>
        <v>0.58074432</v>
      </c>
      <c r="U15" s="101" t="n">
        <f aca="false">M15-(Q15+R15+S15+T15)</f>
        <v>-0.473670525469292</v>
      </c>
      <c r="V15" s="142" t="n">
        <v>0</v>
      </c>
      <c r="W15" s="142" t="n">
        <v>0</v>
      </c>
      <c r="X15" s="142" t="n">
        <f aca="false">M15-N15-P15-O15-Q15-R15-S15-T15-U15+V15+W15</f>
        <v>0</v>
      </c>
      <c r="Y15" s="142" t="n">
        <f aca="false">X15-AO15</f>
        <v>0</v>
      </c>
      <c r="Z15" s="143"/>
      <c r="AA15" s="142"/>
      <c r="AB15" s="143"/>
      <c r="AC15" s="143"/>
      <c r="AD15" s="113"/>
      <c r="AE15" s="142" t="n">
        <v>0</v>
      </c>
      <c r="AF15" s="262"/>
      <c r="AG15" s="263"/>
      <c r="AH15" s="142" t="n">
        <v>18</v>
      </c>
      <c r="AI15" s="113" t="n">
        <f aca="false">AI13-AH15</f>
        <v>2440.73684762419</v>
      </c>
      <c r="AJ15" s="113"/>
      <c r="AK15" s="141" t="n">
        <f aca="false">N15+O15+P15+Q15+R15+S15+T15+U15+X15+AE15+AH15</f>
        <v>21.5</v>
      </c>
      <c r="AL15" s="142" t="n">
        <f aca="false">IF(L15&lt;0,L15*-1,0)</f>
        <v>17.2227499369801</v>
      </c>
      <c r="AM15" s="142" t="n">
        <f aca="false">AK15+AL15</f>
        <v>38.7227499369801</v>
      </c>
      <c r="AN15" s="231"/>
      <c r="AO15" s="143"/>
      <c r="AP15" s="232"/>
      <c r="AV15" s="233" t="n">
        <v>0.01</v>
      </c>
      <c r="AW15" s="226" t="n">
        <v>35</v>
      </c>
      <c r="AX15" s="226" t="n">
        <v>18</v>
      </c>
      <c r="AY15" s="234"/>
      <c r="AZ15" s="264" t="n">
        <f aca="false">SUM(N15,P15:U15)</f>
        <v>3.5</v>
      </c>
      <c r="BA15" s="193" t="n">
        <v>0</v>
      </c>
      <c r="BB15" s="265" t="n">
        <v>6689</v>
      </c>
    </row>
    <row r="16" customFormat="false" ht="12.95" hidden="false" customHeight="true" outlineLevel="0" collapsed="false">
      <c r="A16" s="192" t="n">
        <f aca="false">A15+1</f>
        <v>2</v>
      </c>
      <c r="B16" s="112" t="n">
        <v>6866.84</v>
      </c>
      <c r="C16" s="113" t="n">
        <v>179573</v>
      </c>
      <c r="D16" s="226" t="n">
        <f aca="false">C16-C15</f>
        <v>50</v>
      </c>
      <c r="E16" s="113" t="n">
        <f aca="false">C16-152000</f>
        <v>27573</v>
      </c>
      <c r="F16" s="260" t="n">
        <f aca="false">D16/$D$2</f>
        <v>25.2079657171666</v>
      </c>
      <c r="G16" s="142" t="n">
        <v>88</v>
      </c>
      <c r="H16" s="261" t="n">
        <v>0.148</v>
      </c>
      <c r="I16" s="142" t="n">
        <f aca="false">G16+H16</f>
        <v>88.148</v>
      </c>
      <c r="J16" s="143" t="n">
        <f aca="false">IF(L16&gt;0,L16,0)</f>
        <v>0</v>
      </c>
      <c r="K16" s="142" t="n">
        <f aca="false">I16+J16</f>
        <v>88.148</v>
      </c>
      <c r="L16" s="142" t="n">
        <f aca="false">F16-(I16-AK16)</f>
        <v>-41.5800342828334</v>
      </c>
      <c r="M16" s="262" t="n">
        <v>3.46</v>
      </c>
      <c r="N16" s="142" t="n">
        <v>0</v>
      </c>
      <c r="O16" s="142" t="n">
        <f aca="false">0*1.05</f>
        <v>0</v>
      </c>
      <c r="P16" s="171" t="n">
        <v>0</v>
      </c>
      <c r="Q16" s="138" t="n">
        <f aca="false">1081700/325851/1.9835*1.02</f>
        <v>1.70708732804775</v>
      </c>
      <c r="R16" s="138" t="n">
        <f aca="false">((1419464/646272)*1.04)-T16</f>
        <v>1.70349909453753</v>
      </c>
      <c r="S16" s="138" t="n">
        <v>0</v>
      </c>
      <c r="T16" s="138" t="n">
        <f aca="false">(0.5268*1.06)*1.04</f>
        <v>0.58074432</v>
      </c>
      <c r="U16" s="101" t="n">
        <f aca="false">M16-(Q16+R16+S16+T16)</f>
        <v>-0.531330742585279</v>
      </c>
      <c r="V16" s="142" t="n">
        <v>0</v>
      </c>
      <c r="W16" s="142" t="n">
        <v>0</v>
      </c>
      <c r="X16" s="142" t="n">
        <f aca="false">M16-N16-P16-O16-Q16-R16-S16-T16-U16+V16+W16</f>
        <v>0</v>
      </c>
      <c r="Y16" s="142" t="n">
        <f aca="false">X16-AO16</f>
        <v>0</v>
      </c>
      <c r="Z16" s="143"/>
      <c r="AA16" s="142"/>
      <c r="AB16" s="143"/>
      <c r="AC16" s="143"/>
      <c r="AD16" s="113"/>
      <c r="AE16" s="142" t="n">
        <v>0</v>
      </c>
      <c r="AF16" s="262"/>
      <c r="AG16" s="263"/>
      <c r="AH16" s="142" t="n">
        <v>17.9</v>
      </c>
      <c r="AI16" s="113" t="n">
        <f aca="false">AI15-AH16</f>
        <v>2422.83684762419</v>
      </c>
      <c r="AJ16" s="113"/>
      <c r="AK16" s="141" t="n">
        <f aca="false">N16+O16+P16+Q16+R16+S16+T16+U16+X16+AE16+AH16</f>
        <v>21.36</v>
      </c>
      <c r="AL16" s="142" t="n">
        <f aca="false">IF(L16&lt;0,L16*-1,0)</f>
        <v>41.5800342828334</v>
      </c>
      <c r="AM16" s="142" t="n">
        <f aca="false">AK16+AL16</f>
        <v>62.9400342828334</v>
      </c>
      <c r="AN16" s="231"/>
      <c r="AO16" s="143"/>
      <c r="AP16" s="232"/>
      <c r="AV16" s="233" t="n">
        <v>0</v>
      </c>
      <c r="AW16" s="226" t="n">
        <v>38</v>
      </c>
      <c r="AX16" s="226" t="n">
        <v>22</v>
      </c>
      <c r="AY16" s="234"/>
      <c r="AZ16" s="264" t="n">
        <f aca="false">SUM(N16,P16:U16)</f>
        <v>3.46</v>
      </c>
      <c r="BA16" s="193" t="n">
        <v>0</v>
      </c>
      <c r="BB16" s="265" t="n">
        <v>6693</v>
      </c>
    </row>
    <row r="17" customFormat="false" ht="12.95" hidden="false" customHeight="true" outlineLevel="0" collapsed="false">
      <c r="A17" s="192" t="n">
        <f aca="false">A16+1</f>
        <v>3</v>
      </c>
      <c r="B17" s="112" t="n">
        <v>6866.94</v>
      </c>
      <c r="C17" s="113" t="n">
        <v>179827</v>
      </c>
      <c r="D17" s="226" t="n">
        <f aca="false">C17-C16</f>
        <v>254</v>
      </c>
      <c r="E17" s="113" t="n">
        <f aca="false">C17-152000</f>
        <v>27827</v>
      </c>
      <c r="F17" s="260" t="n">
        <f aca="false">D17/$D$2</f>
        <v>128.056465843206</v>
      </c>
      <c r="G17" s="142" t="n">
        <v>85</v>
      </c>
      <c r="H17" s="261" t="n">
        <v>0.18</v>
      </c>
      <c r="I17" s="142" t="n">
        <f aca="false">G17+H17</f>
        <v>85.18</v>
      </c>
      <c r="J17" s="143" t="n">
        <f aca="false">IF(L17&gt;0,L17,0)</f>
        <v>64.1864658432064</v>
      </c>
      <c r="K17" s="142" t="n">
        <f aca="false">I17+J17</f>
        <v>149.366465843206</v>
      </c>
      <c r="L17" s="142" t="n">
        <f aca="false">F17-(I17-AK17)</f>
        <v>64.1864658432064</v>
      </c>
      <c r="M17" s="262" t="n">
        <v>3.41</v>
      </c>
      <c r="N17" s="142" t="n">
        <v>0</v>
      </c>
      <c r="O17" s="142" t="n">
        <f aca="false">0*1.05</f>
        <v>0</v>
      </c>
      <c r="P17" s="171" t="n">
        <v>0</v>
      </c>
      <c r="Q17" s="138" t="n">
        <f aca="false">794100/325851/1.9835*1.02</f>
        <v>1.25321073051929</v>
      </c>
      <c r="R17" s="138" t="n">
        <f aca="false">((1408368/646272)*1.04)-T17</f>
        <v>1.68564308344623</v>
      </c>
      <c r="S17" s="138" t="n">
        <v>0</v>
      </c>
      <c r="T17" s="138" t="n">
        <f aca="false">(0.5268*1.06)*1.04</f>
        <v>0.58074432</v>
      </c>
      <c r="U17" s="101" t="n">
        <f aca="false">M17-(Q17+R17+S17+T17)</f>
        <v>-0.109598133965517</v>
      </c>
      <c r="V17" s="142" t="n">
        <v>0</v>
      </c>
      <c r="W17" s="142" t="n">
        <v>0</v>
      </c>
      <c r="X17" s="142" t="n">
        <f aca="false">M17-N17-P17-O17-Q17-R17-S17-T17-U17+V17+W17</f>
        <v>0</v>
      </c>
      <c r="Y17" s="142" t="n">
        <f aca="false">X17-AO17</f>
        <v>0</v>
      </c>
      <c r="Z17" s="143"/>
      <c r="AA17" s="142"/>
      <c r="AB17" s="143"/>
      <c r="AC17" s="143"/>
      <c r="AD17" s="113"/>
      <c r="AE17" s="142" t="n">
        <v>0</v>
      </c>
      <c r="AF17" s="262"/>
      <c r="AG17" s="263"/>
      <c r="AH17" s="142" t="n">
        <v>17.9</v>
      </c>
      <c r="AI17" s="113" t="n">
        <f aca="false">AI16-AH17</f>
        <v>2404.93684762419</v>
      </c>
      <c r="AJ17" s="113"/>
      <c r="AK17" s="141" t="n">
        <f aca="false">N17+O17+P17+Q17+R17+S17+T17+U17+X17+AE17+AH17</f>
        <v>21.31</v>
      </c>
      <c r="AL17" s="142" t="n">
        <f aca="false">IF(L17&lt;0,L17*-1,0)</f>
        <v>0</v>
      </c>
      <c r="AM17" s="142" t="n">
        <f aca="false">AK17+AL17</f>
        <v>21.31</v>
      </c>
      <c r="AN17" s="231"/>
      <c r="AO17" s="143"/>
      <c r="AP17" s="232"/>
      <c r="AV17" s="233" t="n">
        <v>0.1</v>
      </c>
      <c r="AW17" s="226" t="n">
        <v>52</v>
      </c>
      <c r="AX17" s="226" t="n">
        <v>27</v>
      </c>
      <c r="AY17" s="234"/>
      <c r="AZ17" s="264" t="n">
        <f aca="false">SUM(N17,P17:U17)</f>
        <v>3.41</v>
      </c>
      <c r="BA17" s="193" t="n">
        <v>0</v>
      </c>
      <c r="BB17" s="265" t="n">
        <v>6696</v>
      </c>
    </row>
    <row r="18" customFormat="false" ht="12.95" hidden="false" customHeight="true" outlineLevel="0" collapsed="false">
      <c r="A18" s="192" t="n">
        <f aca="false">A17+1</f>
        <v>4</v>
      </c>
      <c r="B18" s="112" t="n">
        <v>6867.01</v>
      </c>
      <c r="C18" s="113" t="n">
        <v>180004</v>
      </c>
      <c r="D18" s="226" t="n">
        <f aca="false">C18-C17</f>
        <v>177</v>
      </c>
      <c r="E18" s="113" t="n">
        <f aca="false">C18-152000</f>
        <v>28004</v>
      </c>
      <c r="F18" s="260" t="n">
        <f aca="false">D18/$D$2</f>
        <v>89.2361986387698</v>
      </c>
      <c r="G18" s="142" t="n">
        <v>75</v>
      </c>
      <c r="H18" s="261" t="n">
        <v>0.196</v>
      </c>
      <c r="I18" s="142" t="n">
        <f aca="false">G18+H18</f>
        <v>75.196</v>
      </c>
      <c r="J18" s="143" t="n">
        <f aca="false">IF(L18&gt;0,L18,0)</f>
        <v>35.3501986387699</v>
      </c>
      <c r="K18" s="142" t="n">
        <f aca="false">I18+J18</f>
        <v>110.54619863877</v>
      </c>
      <c r="L18" s="142" t="n">
        <f aca="false">F18-(I18-AK18)</f>
        <v>35.3501986387699</v>
      </c>
      <c r="M18" s="262" t="n">
        <v>3.41</v>
      </c>
      <c r="N18" s="142" t="n">
        <v>0</v>
      </c>
      <c r="O18" s="142" t="n">
        <f aca="false">0*1.05</f>
        <v>0</v>
      </c>
      <c r="P18" s="171" t="n">
        <v>0</v>
      </c>
      <c r="Q18" s="138" t="n">
        <f aca="false">1062700/325851/1.9835*1.02</f>
        <v>1.6771024346088</v>
      </c>
      <c r="R18" s="138" t="n">
        <f aca="false">((1481824/646272)*1.04)-T18</f>
        <v>1.80385064930085</v>
      </c>
      <c r="S18" s="138" t="n">
        <v>0</v>
      </c>
      <c r="T18" s="138" t="n">
        <f aca="false">(0.5268*1.06)*1.04</f>
        <v>0.58074432</v>
      </c>
      <c r="U18" s="101" t="n">
        <f aca="false">M18-(Q18+R18+S18+T18)</f>
        <v>-0.651697403909653</v>
      </c>
      <c r="V18" s="142" t="n">
        <v>0</v>
      </c>
      <c r="W18" s="142" t="n">
        <v>0</v>
      </c>
      <c r="X18" s="142" t="n">
        <f aca="false">M18-N18-P18-O18-Q18-R18-S18-T18-U18+V18+W18</f>
        <v>0</v>
      </c>
      <c r="Y18" s="142" t="n">
        <f aca="false">X18-AO18</f>
        <v>0</v>
      </c>
      <c r="Z18" s="143"/>
      <c r="AA18" s="142"/>
      <c r="AB18" s="143"/>
      <c r="AC18" s="143"/>
      <c r="AD18" s="113"/>
      <c r="AE18" s="142" t="n">
        <v>0</v>
      </c>
      <c r="AF18" s="262"/>
      <c r="AG18" s="263"/>
      <c r="AH18" s="142" t="n">
        <v>17.9</v>
      </c>
      <c r="AI18" s="113" t="n">
        <f aca="false">AI17-AH18</f>
        <v>2387.03684762419</v>
      </c>
      <c r="AJ18" s="113"/>
      <c r="AK18" s="141" t="n">
        <f aca="false">N18+O18+P18+Q18+R18+S18+T18+U18+X18+AE18+AH18</f>
        <v>21.31</v>
      </c>
      <c r="AL18" s="142" t="n">
        <f aca="false">IF(L18&lt;0,L18*-1,0)</f>
        <v>0</v>
      </c>
      <c r="AM18" s="142" t="n">
        <f aca="false">AK18+AL18</f>
        <v>21.31</v>
      </c>
      <c r="AN18" s="231"/>
      <c r="AO18" s="143"/>
      <c r="AP18" s="232"/>
      <c r="AV18" s="233" t="n">
        <v>0.1</v>
      </c>
      <c r="AW18" s="226" t="n">
        <v>46</v>
      </c>
      <c r="AX18" s="226" t="n">
        <v>3</v>
      </c>
      <c r="AY18" s="234"/>
      <c r="AZ18" s="264" t="n">
        <f aca="false">SUM(N18,P18:U18)</f>
        <v>3.41</v>
      </c>
      <c r="BA18" s="193" t="n">
        <v>0</v>
      </c>
      <c r="BB18" s="265" t="n">
        <v>6719</v>
      </c>
    </row>
    <row r="19" customFormat="false" ht="12.95" hidden="false" customHeight="true" outlineLevel="0" collapsed="false">
      <c r="A19" s="192" t="n">
        <f aca="false">A18+1</f>
        <v>5</v>
      </c>
      <c r="B19" s="112" t="n">
        <v>6867.02</v>
      </c>
      <c r="C19" s="113" t="n">
        <v>180030</v>
      </c>
      <c r="D19" s="226" t="n">
        <f aca="false">C19-C18</f>
        <v>26</v>
      </c>
      <c r="E19" s="113" t="n">
        <f aca="false">C19-152000</f>
        <v>28030</v>
      </c>
      <c r="F19" s="260" t="n">
        <f aca="false">D19/$D$2</f>
        <v>13.1081421729266</v>
      </c>
      <c r="G19" s="142" t="n">
        <v>67</v>
      </c>
      <c r="H19" s="261" t="n">
        <v>0.414</v>
      </c>
      <c r="I19" s="142" t="n">
        <f aca="false">G19+H19</f>
        <v>67.414</v>
      </c>
      <c r="J19" s="143" t="n">
        <f aca="false">IF(L19&gt;0,L19,0)</f>
        <v>0</v>
      </c>
      <c r="K19" s="142" t="n">
        <f aca="false">I19+J19</f>
        <v>67.414</v>
      </c>
      <c r="L19" s="142" t="n">
        <f aca="false">F19-(I19-AK19)</f>
        <v>-32.9858578270734</v>
      </c>
      <c r="M19" s="262" t="n">
        <v>3.42</v>
      </c>
      <c r="N19" s="142" t="n">
        <v>0</v>
      </c>
      <c r="O19" s="142" t="n">
        <f aca="false">0*1.05</f>
        <v>0</v>
      </c>
      <c r="P19" s="171" t="n">
        <v>0</v>
      </c>
      <c r="Q19" s="138" t="n">
        <f aca="false">1133900/325851/1.9835*1.02</f>
        <v>1.78946687739053</v>
      </c>
      <c r="R19" s="138" t="n">
        <f aca="false">((1430536/646272)*1.04)-T19</f>
        <v>1.89659808411963</v>
      </c>
      <c r="S19" s="138" t="n">
        <v>0</v>
      </c>
      <c r="T19" s="138" t="n">
        <f aca="false">(0.3678*1.06)*1.04</f>
        <v>0.40546272</v>
      </c>
      <c r="U19" s="101" t="n">
        <f aca="false">M19-(Q19+R19+S19+T19)</f>
        <v>-0.671527681510161</v>
      </c>
      <c r="V19" s="142" t="n">
        <v>0</v>
      </c>
      <c r="W19" s="142" t="n">
        <v>0</v>
      </c>
      <c r="X19" s="142" t="n">
        <f aca="false">M19-N19-P19-O19-Q19-R19-S19-T19-U19+V19+W19</f>
        <v>0</v>
      </c>
      <c r="Y19" s="142" t="n">
        <f aca="false">X19-AO19</f>
        <v>0</v>
      </c>
      <c r="Z19" s="143"/>
      <c r="AA19" s="142"/>
      <c r="AB19" s="143"/>
      <c r="AC19" s="143"/>
      <c r="AD19" s="113"/>
      <c r="AE19" s="142" t="n">
        <v>0</v>
      </c>
      <c r="AF19" s="262"/>
      <c r="AG19" s="263"/>
      <c r="AH19" s="142" t="n">
        <v>17.9</v>
      </c>
      <c r="AI19" s="113" t="n">
        <f aca="false">AI18-AH19</f>
        <v>2369.13684762419</v>
      </c>
      <c r="AJ19" s="113"/>
      <c r="AK19" s="141" t="n">
        <f aca="false">N19+O19+P19+Q19+R19+S19+T19+U19+X19+AE19+AH19</f>
        <v>21.32</v>
      </c>
      <c r="AL19" s="142" t="n">
        <f aca="false">IF(L19&lt;0,L19*-1,0)</f>
        <v>32.9858578270734</v>
      </c>
      <c r="AM19" s="142" t="n">
        <f aca="false">AK19+AL19</f>
        <v>54.3058578270734</v>
      </c>
      <c r="AN19" s="231"/>
      <c r="AO19" s="143"/>
      <c r="AP19" s="232"/>
      <c r="AV19" s="233" t="n">
        <v>0</v>
      </c>
      <c r="AW19" s="226" t="n">
        <v>30</v>
      </c>
      <c r="AX19" s="226" t="n">
        <v>0</v>
      </c>
      <c r="AY19" s="234"/>
      <c r="AZ19" s="264" t="n">
        <f aca="false">SUM(N19,P19:U19)</f>
        <v>3.42</v>
      </c>
      <c r="BA19" s="193" t="n">
        <v>0</v>
      </c>
      <c r="BB19" s="265" t="n">
        <v>6731</v>
      </c>
    </row>
    <row r="20" customFormat="false" ht="12.95" hidden="false" customHeight="true" outlineLevel="0" collapsed="false">
      <c r="A20" s="192" t="n">
        <f aca="false">A19+1</f>
        <v>6</v>
      </c>
      <c r="B20" s="112" t="n">
        <v>6867.03</v>
      </c>
      <c r="C20" s="113" t="n">
        <v>180056</v>
      </c>
      <c r="D20" s="226" t="n">
        <f aca="false">C20-C19</f>
        <v>26</v>
      </c>
      <c r="E20" s="113" t="n">
        <f aca="false">C20-152000</f>
        <v>28056</v>
      </c>
      <c r="F20" s="260" t="n">
        <f aca="false">D20/$D$2</f>
        <v>13.1081421729266</v>
      </c>
      <c r="G20" s="142" t="n">
        <v>64</v>
      </c>
      <c r="H20" s="261" t="n">
        <v>0</v>
      </c>
      <c r="I20" s="142" t="n">
        <f aca="false">G20+H20</f>
        <v>64</v>
      </c>
      <c r="J20" s="143" t="n">
        <f aca="false">IF(L20&gt;0,L20,0)</f>
        <v>0</v>
      </c>
      <c r="K20" s="142" t="n">
        <f aca="false">I20+J20</f>
        <v>64</v>
      </c>
      <c r="L20" s="142" t="n">
        <f aca="false">F20-(I20-AK20)</f>
        <v>-29.4218578270734</v>
      </c>
      <c r="M20" s="262" t="n">
        <v>3.57</v>
      </c>
      <c r="N20" s="142" t="n">
        <v>0</v>
      </c>
      <c r="O20" s="142" t="n">
        <f aca="false">0*1.05</f>
        <v>0</v>
      </c>
      <c r="P20" s="171" t="n">
        <v>0</v>
      </c>
      <c r="Q20" s="138" t="n">
        <f aca="false">1022600/325851/1.9835*1.02</f>
        <v>1.61381852792976</v>
      </c>
      <c r="R20" s="138" t="n">
        <f aca="false">((1423752/646272)*1.04)-T20</f>
        <v>1.88568107084967</v>
      </c>
      <c r="S20" s="138" t="n">
        <v>0</v>
      </c>
      <c r="T20" s="138" t="n">
        <f aca="false">(0.3678*1.06)*1.04</f>
        <v>0.40546272</v>
      </c>
      <c r="U20" s="101" t="n">
        <f aca="false">M20-(Q20+R20+S20+T20)</f>
        <v>-0.334962318779438</v>
      </c>
      <c r="V20" s="142" t="n">
        <v>0</v>
      </c>
      <c r="W20" s="142" t="n">
        <v>0</v>
      </c>
      <c r="X20" s="142" t="n">
        <f aca="false">M20-N20-P20-O20-Q20-R20-S20-T20-U20+V20+W20</f>
        <v>0</v>
      </c>
      <c r="Y20" s="142" t="n">
        <f aca="false">X20-AO20</f>
        <v>0</v>
      </c>
      <c r="Z20" s="143"/>
      <c r="AA20" s="142"/>
      <c r="AB20" s="143"/>
      <c r="AC20" s="143"/>
      <c r="AD20" s="113"/>
      <c r="AE20" s="142" t="n">
        <v>0</v>
      </c>
      <c r="AF20" s="262"/>
      <c r="AG20" s="263"/>
      <c r="AH20" s="142" t="n">
        <v>17.9</v>
      </c>
      <c r="AI20" s="113" t="n">
        <f aca="false">AI19-AH20</f>
        <v>2351.23684762419</v>
      </c>
      <c r="AJ20" s="113"/>
      <c r="AK20" s="141" t="n">
        <f aca="false">N20+O20+P20+Q20+R20+S20+T20+U20+X20+AE20+AH20</f>
        <v>21.47</v>
      </c>
      <c r="AL20" s="142" t="n">
        <f aca="false">IF(L20&lt;0,L20*-1,0)</f>
        <v>29.4218578270734</v>
      </c>
      <c r="AM20" s="142" t="n">
        <f aca="false">AK20+AL20</f>
        <v>50.8918578270734</v>
      </c>
      <c r="AN20" s="231"/>
      <c r="AO20" s="143"/>
      <c r="AP20" s="232"/>
      <c r="AV20" s="233" t="n">
        <v>0</v>
      </c>
      <c r="AW20" s="226" t="n">
        <v>30</v>
      </c>
      <c r="AX20" s="226" t="n">
        <v>1</v>
      </c>
      <c r="AY20" s="234"/>
      <c r="AZ20" s="264" t="n">
        <f aca="false">SUM(N20,P20:U20)</f>
        <v>3.57</v>
      </c>
      <c r="BA20" s="193" t="n">
        <v>0</v>
      </c>
      <c r="BB20" s="265" t="n">
        <v>6740</v>
      </c>
    </row>
    <row r="21" customFormat="false" ht="12.95" hidden="false" customHeight="true" outlineLevel="0" collapsed="false">
      <c r="A21" s="192" t="n">
        <f aca="false">A20+1</f>
        <v>7</v>
      </c>
      <c r="B21" s="112" t="n">
        <v>6867.08</v>
      </c>
      <c r="C21" s="113" t="n">
        <v>180184</v>
      </c>
      <c r="D21" s="226" t="n">
        <f aca="false">C21-C20</f>
        <v>128</v>
      </c>
      <c r="E21" s="113" t="n">
        <f aca="false">C21-152000</f>
        <v>28184</v>
      </c>
      <c r="F21" s="260" t="n">
        <f aca="false">D21/$D$2</f>
        <v>64.5323922359466</v>
      </c>
      <c r="G21" s="142" t="n">
        <v>61</v>
      </c>
      <c r="H21" s="261" t="n">
        <v>0</v>
      </c>
      <c r="I21" s="142" t="n">
        <f aca="false">G21+H21</f>
        <v>61</v>
      </c>
      <c r="J21" s="143" t="n">
        <f aca="false">IF(L21&gt;0,L21,0)</f>
        <v>24.5923922359466</v>
      </c>
      <c r="K21" s="142" t="n">
        <f aca="false">I21+J21</f>
        <v>85.5923922359466</v>
      </c>
      <c r="L21" s="142" t="n">
        <f aca="false">F21-(I21-AK21)</f>
        <v>24.5923922359466</v>
      </c>
      <c r="M21" s="262" t="n">
        <v>3.16</v>
      </c>
      <c r="N21" s="142" t="n">
        <v>0</v>
      </c>
      <c r="O21" s="142" t="n">
        <f aca="false">0*1.05</f>
        <v>0</v>
      </c>
      <c r="P21" s="171" t="n">
        <v>0</v>
      </c>
      <c r="Q21" s="138" t="n">
        <f aca="false">983100/325851/1.9835*1.02</f>
        <v>1.55148151262248</v>
      </c>
      <c r="R21" s="138" t="n">
        <f aca="false">((1456511/646272)*1.04)-T21</f>
        <v>1.93839782169142</v>
      </c>
      <c r="S21" s="138" t="n">
        <v>0</v>
      </c>
      <c r="T21" s="138" t="n">
        <f aca="false">(0.3678*1.06)*1.04</f>
        <v>0.40546272</v>
      </c>
      <c r="U21" s="101" t="n">
        <f aca="false">M21-(Q21+R21+S21+T21)</f>
        <v>-0.735342054313907</v>
      </c>
      <c r="V21" s="142" t="n">
        <v>0</v>
      </c>
      <c r="W21" s="142" t="n">
        <v>0</v>
      </c>
      <c r="X21" s="142" t="n">
        <f aca="false">M21-N21-P21-O21-Q21-R21-S21-T21-U21+V21+W21</f>
        <v>0</v>
      </c>
      <c r="Y21" s="142" t="n">
        <f aca="false">X21-AO21</f>
        <v>0</v>
      </c>
      <c r="Z21" s="143"/>
      <c r="AA21" s="142"/>
      <c r="AB21" s="143"/>
      <c r="AC21" s="143"/>
      <c r="AD21" s="113"/>
      <c r="AE21" s="142" t="n">
        <v>0</v>
      </c>
      <c r="AF21" s="262"/>
      <c r="AG21" s="263"/>
      <c r="AH21" s="142" t="n">
        <v>17.9</v>
      </c>
      <c r="AI21" s="113" t="n">
        <f aca="false">AI20-AH21</f>
        <v>2333.33684762419</v>
      </c>
      <c r="AJ21" s="113"/>
      <c r="AK21" s="141" t="n">
        <f aca="false">N21+O21+P21+Q21+R21+S21+T21+U21+X21+AE21+AH21</f>
        <v>21.06</v>
      </c>
      <c r="AL21" s="142" t="n">
        <f aca="false">IF(L21&lt;0,L21*-1,0)</f>
        <v>0</v>
      </c>
      <c r="AM21" s="142" t="n">
        <f aca="false">AK21+AL21</f>
        <v>21.06</v>
      </c>
      <c r="AN21" s="231"/>
      <c r="AO21" s="143"/>
      <c r="AP21" s="232"/>
      <c r="AV21" s="233" t="n">
        <v>0.07</v>
      </c>
      <c r="AW21" s="226" t="n">
        <v>31</v>
      </c>
      <c r="AX21" s="226" t="n">
        <v>1</v>
      </c>
      <c r="AY21" s="234"/>
      <c r="AZ21" s="264" t="n">
        <f aca="false">SUM(N21,P21:U21)</f>
        <v>3.16</v>
      </c>
      <c r="BA21" s="193" t="n">
        <v>0</v>
      </c>
      <c r="BB21" s="265" t="n">
        <v>6750</v>
      </c>
    </row>
    <row r="22" customFormat="false" ht="12.95" hidden="false" customHeight="true" outlineLevel="0" collapsed="false">
      <c r="A22" s="192" t="n">
        <f aca="false">A21+1</f>
        <v>8</v>
      </c>
      <c r="B22" s="112" t="n">
        <v>6867.12</v>
      </c>
      <c r="C22" s="113" t="n">
        <v>180287</v>
      </c>
      <c r="D22" s="226" t="n">
        <f aca="false">C22-C21</f>
        <v>103</v>
      </c>
      <c r="E22" s="113" t="n">
        <f aca="false">C22-152000</f>
        <v>28287</v>
      </c>
      <c r="F22" s="260" t="n">
        <f aca="false">D22/$D$2</f>
        <v>51.9284093773632</v>
      </c>
      <c r="G22" s="142" t="n">
        <v>60</v>
      </c>
      <c r="H22" s="261" t="n">
        <v>0</v>
      </c>
      <c r="I22" s="142" t="n">
        <f aca="false">G22+H22</f>
        <v>60</v>
      </c>
      <c r="J22" s="143" t="n">
        <f aca="false">IF(L22&gt;0,L22,0)</f>
        <v>12.6884093773632</v>
      </c>
      <c r="K22" s="142" t="n">
        <f aca="false">I22+J22</f>
        <v>72.6884093773632</v>
      </c>
      <c r="L22" s="142" t="n">
        <f aca="false">F22-(I22-AK22)</f>
        <v>12.6884093773632</v>
      </c>
      <c r="M22" s="262" t="n">
        <v>2.86</v>
      </c>
      <c r="N22" s="142" t="n">
        <v>0</v>
      </c>
      <c r="O22" s="142" t="n">
        <f aca="false">0*1.05</f>
        <v>0</v>
      </c>
      <c r="P22" s="171" t="n">
        <v>0</v>
      </c>
      <c r="Q22" s="138" t="n">
        <f aca="false">1177900/325851/1.9835*1.02</f>
        <v>1.85890557798599</v>
      </c>
      <c r="R22" s="138" t="n">
        <f aca="false">((1412545/646272)*1.04)-T22</f>
        <v>1.86764643527827</v>
      </c>
      <c r="S22" s="138" t="n">
        <v>0</v>
      </c>
      <c r="T22" s="138" t="n">
        <f aca="false">(0.3678*1.06)*1.04</f>
        <v>0.40546272</v>
      </c>
      <c r="U22" s="101" t="n">
        <f aca="false">M22-(Q22+R22+S22+T22)</f>
        <v>-1.27201473326426</v>
      </c>
      <c r="V22" s="142" t="n">
        <v>0</v>
      </c>
      <c r="W22" s="142" t="n">
        <v>0</v>
      </c>
      <c r="X22" s="142" t="n">
        <f aca="false">M22-N22-P22-O22-Q22-R22-S22-T22-U22+V22+W22</f>
        <v>0</v>
      </c>
      <c r="Y22" s="142" t="n">
        <f aca="false">X22-AO22</f>
        <v>0</v>
      </c>
      <c r="Z22" s="143"/>
      <c r="AA22" s="142"/>
      <c r="AB22" s="143"/>
      <c r="AC22" s="143"/>
      <c r="AD22" s="113"/>
      <c r="AE22" s="142" t="n">
        <v>0</v>
      </c>
      <c r="AF22" s="262"/>
      <c r="AG22" s="263"/>
      <c r="AH22" s="142" t="n">
        <v>17.9</v>
      </c>
      <c r="AI22" s="113" t="n">
        <f aca="false">AI21-AH22</f>
        <v>2315.43684762419</v>
      </c>
      <c r="AJ22" s="113"/>
      <c r="AK22" s="141" t="n">
        <f aca="false">N22+O22+P22+Q22+R22+S22+T22+U22+X22+AE22+AH22</f>
        <v>20.76</v>
      </c>
      <c r="AL22" s="142" t="n">
        <f aca="false">IF(L22&lt;0,L22*-1,0)</f>
        <v>0</v>
      </c>
      <c r="AM22" s="142" t="n">
        <f aca="false">AK22+AL22</f>
        <v>20.76</v>
      </c>
      <c r="AN22" s="231"/>
      <c r="AO22" s="143"/>
      <c r="AP22" s="232"/>
      <c r="AV22" s="233" t="n">
        <v>0.07</v>
      </c>
      <c r="AW22" s="113" t="n">
        <v>29</v>
      </c>
      <c r="AX22" s="226" t="n">
        <v>-2</v>
      </c>
      <c r="AY22" s="234"/>
      <c r="AZ22" s="264" t="n">
        <f aca="false">SUM(N22,P22:U22)</f>
        <v>2.86</v>
      </c>
      <c r="BA22" s="193" t="n">
        <v>0</v>
      </c>
      <c r="BB22" s="265" t="n">
        <v>6762</v>
      </c>
    </row>
    <row r="23" customFormat="false" ht="12.95" hidden="false" customHeight="true" outlineLevel="0" collapsed="false">
      <c r="A23" s="192" t="n">
        <f aca="false">A22+1</f>
        <v>9</v>
      </c>
      <c r="B23" s="112" t="n">
        <v>6867.14</v>
      </c>
      <c r="C23" s="113" t="n">
        <v>180339</v>
      </c>
      <c r="D23" s="226" t="n">
        <f aca="false">C23-C22</f>
        <v>52</v>
      </c>
      <c r="E23" s="113" t="n">
        <f aca="false">C23-152000</f>
        <v>28339</v>
      </c>
      <c r="F23" s="260" t="n">
        <f aca="false">D23/$D$2</f>
        <v>26.2162843458533</v>
      </c>
      <c r="G23" s="142" t="n">
        <v>62</v>
      </c>
      <c r="H23" s="261" t="n">
        <v>0</v>
      </c>
      <c r="I23" s="142" t="n">
        <f aca="false">G23+H23</f>
        <v>62</v>
      </c>
      <c r="J23" s="143" t="n">
        <f aca="false">IF(L23&gt;0,L23,0)</f>
        <v>0</v>
      </c>
      <c r="K23" s="142" t="n">
        <f aca="false">I23+J23</f>
        <v>62</v>
      </c>
      <c r="L23" s="142" t="n">
        <f aca="false">F23-(I23-AK23)</f>
        <v>-14.6137156541467</v>
      </c>
      <c r="M23" s="262" t="n">
        <v>3.27</v>
      </c>
      <c r="N23" s="142" t="n">
        <v>0</v>
      </c>
      <c r="O23" s="142" t="n">
        <f aca="false">0*1.05</f>
        <v>0</v>
      </c>
      <c r="P23" s="171" t="n">
        <v>0</v>
      </c>
      <c r="Q23" s="138" t="n">
        <f aca="false">856700/325851/1.9835*1.02</f>
        <v>1.35200306363918</v>
      </c>
      <c r="R23" s="138" t="n">
        <f aca="false">((1385640/646272)*1.04)-T23</f>
        <v>1.8243501142246</v>
      </c>
      <c r="S23" s="138" t="n">
        <v>0</v>
      </c>
      <c r="T23" s="138" t="n">
        <f aca="false">(0.3678*1.06)*1.04</f>
        <v>0.40546272</v>
      </c>
      <c r="U23" s="101" t="n">
        <f aca="false">M23-(Q23+R23+S23+T23)</f>
        <v>-0.311815897863782</v>
      </c>
      <c r="V23" s="142" t="n">
        <v>0</v>
      </c>
      <c r="W23" s="142" t="n">
        <v>0</v>
      </c>
      <c r="X23" s="142" t="n">
        <f aca="false">M23-N23-P23-O23-Q23-R23-S23-T23-U23+V23+W23</f>
        <v>0</v>
      </c>
      <c r="Y23" s="142" t="n">
        <f aca="false">X23-AO23</f>
        <v>0</v>
      </c>
      <c r="Z23" s="143"/>
      <c r="AA23" s="142"/>
      <c r="AB23" s="143"/>
      <c r="AC23" s="143"/>
      <c r="AD23" s="113"/>
      <c r="AE23" s="142" t="n">
        <v>0</v>
      </c>
      <c r="AF23" s="262"/>
      <c r="AG23" s="263"/>
      <c r="AH23" s="142" t="n">
        <v>17.9</v>
      </c>
      <c r="AI23" s="113" t="n">
        <f aca="false">AI22-AH23</f>
        <v>2297.53684762419</v>
      </c>
      <c r="AJ23" s="113"/>
      <c r="AK23" s="141" t="n">
        <f aca="false">N23+O23+P23+Q23+R23+S23+T23+U23+X23+AE23+AH23</f>
        <v>21.17</v>
      </c>
      <c r="AL23" s="142" t="n">
        <f aca="false">IF(L23&lt;0,L23*-1,0)</f>
        <v>14.6137156541467</v>
      </c>
      <c r="AM23" s="142" t="n">
        <f aca="false">AK23+AL23</f>
        <v>35.7837156541467</v>
      </c>
      <c r="AN23" s="231"/>
      <c r="AO23" s="143"/>
      <c r="AP23" s="232"/>
      <c r="AV23" s="233" t="n">
        <v>0</v>
      </c>
      <c r="AW23" s="113" t="n">
        <v>21</v>
      </c>
      <c r="AX23" s="226" t="n">
        <v>-5</v>
      </c>
      <c r="AY23" s="234"/>
      <c r="AZ23" s="264" t="n">
        <f aca="false">SUM(N23,P23:U23)</f>
        <v>3.27</v>
      </c>
      <c r="BA23" s="193" t="n">
        <v>0</v>
      </c>
      <c r="BB23" s="265" t="n">
        <v>6767</v>
      </c>
    </row>
    <row r="24" customFormat="false" ht="12.95" hidden="false" customHeight="true" outlineLevel="0" collapsed="false">
      <c r="A24" s="192" t="n">
        <f aca="false">A23+1</f>
        <v>10</v>
      </c>
      <c r="B24" s="112" t="n">
        <v>6867.16</v>
      </c>
      <c r="C24" s="113" t="n">
        <v>180390</v>
      </c>
      <c r="D24" s="226" t="n">
        <f aca="false">C24-C23</f>
        <v>51</v>
      </c>
      <c r="E24" s="113" t="n">
        <f aca="false">C24-152000</f>
        <v>28390</v>
      </c>
      <c r="F24" s="260" t="n">
        <f aca="false">D24/$D$2</f>
        <v>25.71212503151</v>
      </c>
      <c r="G24" s="142" t="n">
        <v>60</v>
      </c>
      <c r="H24" s="261" t="n">
        <v>0</v>
      </c>
      <c r="I24" s="142" t="n">
        <f aca="false">G24+H24</f>
        <v>60</v>
      </c>
      <c r="J24" s="143" t="n">
        <f aca="false">IF(L24&gt;0,L24,0)</f>
        <v>0</v>
      </c>
      <c r="K24" s="142" t="n">
        <f aca="false">I24+J24</f>
        <v>60</v>
      </c>
      <c r="L24" s="142" t="n">
        <f aca="false">F24-(I24-AK24)</f>
        <v>-12.62787496849</v>
      </c>
      <c r="M24" s="262" t="n">
        <v>3.76</v>
      </c>
      <c r="N24" s="142" t="n">
        <v>0</v>
      </c>
      <c r="O24" s="142" t="n">
        <f aca="false">0*1.05</f>
        <v>0</v>
      </c>
      <c r="P24" s="171" t="n">
        <v>0</v>
      </c>
      <c r="Q24" s="138" t="n">
        <f aca="false">1217400/325851/1.9835*1.02</f>
        <v>1.92124259329327</v>
      </c>
      <c r="R24" s="138" t="n">
        <f aca="false">((1464000/646272)*1.04)-T24</f>
        <v>1.95044934179442</v>
      </c>
      <c r="S24" s="138" t="n">
        <v>0</v>
      </c>
      <c r="T24" s="138" t="n">
        <f aca="false">(0.3678*1.06)*1.04</f>
        <v>0.40546272</v>
      </c>
      <c r="U24" s="101" t="n">
        <f aca="false">M24-(Q24+R24+S24+T24)</f>
        <v>-0.517154655087682</v>
      </c>
      <c r="V24" s="142" t="n">
        <v>0</v>
      </c>
      <c r="W24" s="142" t="n">
        <v>0</v>
      </c>
      <c r="X24" s="142" t="n">
        <f aca="false">M24-N24-P24-O24-Q24-R24-S24-T24-U24+V24+W24</f>
        <v>0</v>
      </c>
      <c r="Y24" s="142" t="n">
        <f aca="false">X24-AO24</f>
        <v>0</v>
      </c>
      <c r="Z24" s="143"/>
      <c r="AA24" s="142"/>
      <c r="AB24" s="143"/>
      <c r="AC24" s="143"/>
      <c r="AD24" s="113"/>
      <c r="AE24" s="142" t="n">
        <v>0</v>
      </c>
      <c r="AF24" s="262"/>
      <c r="AG24" s="263"/>
      <c r="AH24" s="142" t="n">
        <v>17.9</v>
      </c>
      <c r="AI24" s="113" t="n">
        <f aca="false">AI23-AH24</f>
        <v>2279.63684762419</v>
      </c>
      <c r="AJ24" s="113"/>
      <c r="AK24" s="141" t="n">
        <f aca="false">N24+O24+P24+Q24+R24+S24+T24+U24+X24+AE24+AH24</f>
        <v>21.66</v>
      </c>
      <c r="AL24" s="142" t="n">
        <f aca="false">IF(L24&lt;0,L24*-1,0)</f>
        <v>12.62787496849</v>
      </c>
      <c r="AM24" s="142" t="n">
        <f aca="false">AK24+AL24</f>
        <v>34.28787496849</v>
      </c>
      <c r="AN24" s="231"/>
      <c r="AO24" s="143"/>
      <c r="AP24" s="232"/>
      <c r="AV24" s="233" t="n">
        <v>0</v>
      </c>
      <c r="AW24" s="113" t="n">
        <v>32</v>
      </c>
      <c r="AX24" s="226" t="n">
        <v>-2</v>
      </c>
      <c r="AY24" s="234"/>
      <c r="AZ24" s="264" t="n">
        <f aca="false">SUM(N24,P24:U24)</f>
        <v>3.76</v>
      </c>
      <c r="BA24" s="193" t="n">
        <v>0</v>
      </c>
      <c r="BB24" s="265" t="n">
        <v>6775</v>
      </c>
    </row>
    <row r="25" customFormat="false" ht="12.95" hidden="false" customHeight="true" outlineLevel="0" collapsed="false">
      <c r="A25" s="192" t="n">
        <f aca="false">A24+1</f>
        <v>11</v>
      </c>
      <c r="B25" s="112" t="n">
        <v>6867.16</v>
      </c>
      <c r="C25" s="113" t="n">
        <v>180390</v>
      </c>
      <c r="D25" s="226" t="n">
        <f aca="false">C25-C24</f>
        <v>0</v>
      </c>
      <c r="E25" s="113" t="n">
        <f aca="false">C25-152000</f>
        <v>28390</v>
      </c>
      <c r="F25" s="260" t="n">
        <f aca="false">D25/$D$2</f>
        <v>0</v>
      </c>
      <c r="G25" s="142" t="n">
        <v>61</v>
      </c>
      <c r="H25" s="261" t="n">
        <v>0</v>
      </c>
      <c r="I25" s="142" t="n">
        <f aca="false">G25+H25</f>
        <v>61</v>
      </c>
      <c r="J25" s="143" t="n">
        <f aca="false">IF(L25&gt;0,L25,0)</f>
        <v>0</v>
      </c>
      <c r="K25" s="142" t="n">
        <f aca="false">I25+J25</f>
        <v>61</v>
      </c>
      <c r="L25" s="142" t="n">
        <f aca="false">F25-(I25-AK25)</f>
        <v>-39.5</v>
      </c>
      <c r="M25" s="262" t="n">
        <v>3.6</v>
      </c>
      <c r="N25" s="142" t="n">
        <v>0</v>
      </c>
      <c r="O25" s="142" t="n">
        <f aca="false">0*1.05</f>
        <v>0</v>
      </c>
      <c r="P25" s="171" t="n">
        <v>0</v>
      </c>
      <c r="Q25" s="138" t="n">
        <f aca="false">1199900/325851/1.9835*1.02</f>
        <v>1.89362492828371</v>
      </c>
      <c r="R25" s="138" t="n">
        <f aca="false">((1432726/646272)*1.04)-T25</f>
        <v>1.90012229683502</v>
      </c>
      <c r="S25" s="138" t="n">
        <v>0</v>
      </c>
      <c r="T25" s="138" t="n">
        <f aca="false">(0.3678*1.06)*1.04</f>
        <v>0.40546272</v>
      </c>
      <c r="U25" s="101" t="n">
        <f aca="false">M25-(Q25+R25+S25+T25)</f>
        <v>-0.59920994511873</v>
      </c>
      <c r="V25" s="142" t="n">
        <v>0</v>
      </c>
      <c r="W25" s="142" t="n">
        <v>0</v>
      </c>
      <c r="X25" s="142" t="n">
        <f aca="false">M25-N25-P25-O25-Q25-R25-S25-T25-U25+V25+W25</f>
        <v>0</v>
      </c>
      <c r="Y25" s="142" t="n">
        <f aca="false">X25-AO25</f>
        <v>0</v>
      </c>
      <c r="Z25" s="143"/>
      <c r="AA25" s="142"/>
      <c r="AB25" s="143"/>
      <c r="AC25" s="143"/>
      <c r="AD25" s="113"/>
      <c r="AE25" s="142" t="n">
        <v>0</v>
      </c>
      <c r="AF25" s="262"/>
      <c r="AG25" s="263"/>
      <c r="AH25" s="142" t="n">
        <v>17.9</v>
      </c>
      <c r="AI25" s="113" t="n">
        <f aca="false">AI24-AH25</f>
        <v>2261.73684762419</v>
      </c>
      <c r="AJ25" s="113"/>
      <c r="AK25" s="141" t="n">
        <f aca="false">N25+O25+P25+Q25+R25+S25+T25+U25+X25+AE25+AH25</f>
        <v>21.5</v>
      </c>
      <c r="AL25" s="142" t="n">
        <f aca="false">IF(L25&lt;0,L25*-1,0)</f>
        <v>39.5</v>
      </c>
      <c r="AM25" s="142" t="n">
        <f aca="false">AK25+AL25</f>
        <v>61</v>
      </c>
      <c r="AN25" s="231"/>
      <c r="AO25" s="143"/>
      <c r="AP25" s="232"/>
      <c r="AV25" s="233" t="n">
        <v>0</v>
      </c>
      <c r="AW25" s="113" t="n">
        <v>41</v>
      </c>
      <c r="AX25" s="226" t="n">
        <v>5</v>
      </c>
      <c r="AY25" s="234"/>
      <c r="AZ25" s="264" t="n">
        <f aca="false">SUM(N25,P25:U25)</f>
        <v>3.6</v>
      </c>
      <c r="BA25" s="193" t="n">
        <v>0</v>
      </c>
      <c r="BB25" s="265" t="n">
        <v>6783</v>
      </c>
    </row>
    <row r="26" customFormat="false" ht="12.95" hidden="false" customHeight="true" outlineLevel="0" collapsed="false">
      <c r="A26" s="192" t="n">
        <f aca="false">A25+1</f>
        <v>12</v>
      </c>
      <c r="B26" s="112" t="n">
        <v>6867.19</v>
      </c>
      <c r="C26" s="113" t="n">
        <v>180467</v>
      </c>
      <c r="D26" s="226" t="n">
        <f aca="false">C26-C25</f>
        <v>77</v>
      </c>
      <c r="E26" s="113" t="n">
        <f aca="false">C26-152000</f>
        <v>28467</v>
      </c>
      <c r="F26" s="260" t="n">
        <f aca="false">D26/$D$2</f>
        <v>38.8202672044366</v>
      </c>
      <c r="G26" s="142" t="n">
        <v>56</v>
      </c>
      <c r="H26" s="261" t="n">
        <v>0</v>
      </c>
      <c r="I26" s="142" t="n">
        <f aca="false">G26+H26</f>
        <v>56</v>
      </c>
      <c r="J26" s="143" t="n">
        <f aca="false">IF(L26&gt;0,L26,0)</f>
        <v>4.4202672044366</v>
      </c>
      <c r="K26" s="142" t="n">
        <f aca="false">I26+J26</f>
        <v>60.4202672044366</v>
      </c>
      <c r="L26" s="142" t="n">
        <f aca="false">F26-(I26-AK26)</f>
        <v>4.4202672044366</v>
      </c>
      <c r="M26" s="262" t="n">
        <v>3.7</v>
      </c>
      <c r="N26" s="142" t="n">
        <v>0</v>
      </c>
      <c r="O26" s="142" t="n">
        <f aca="false">0*1.05</f>
        <v>0</v>
      </c>
      <c r="P26" s="171" t="n">
        <v>0</v>
      </c>
      <c r="Q26" s="138" t="n">
        <f aca="false">1169400/325851/1.9835*1.02</f>
        <v>1.84549128355277</v>
      </c>
      <c r="R26" s="138" t="n">
        <f aca="false">((1405746/646272)*1.04)-T26</f>
        <v>1.85670528356506</v>
      </c>
      <c r="S26" s="138" t="n">
        <v>0</v>
      </c>
      <c r="T26" s="138" t="n">
        <f aca="false">(0.3678*1.06)*1.04</f>
        <v>0.40546272</v>
      </c>
      <c r="U26" s="101" t="n">
        <f aca="false">M26-(Q26+R26+S26+T26)</f>
        <v>-0.407659287117836</v>
      </c>
      <c r="V26" s="142" t="n">
        <v>0</v>
      </c>
      <c r="W26" s="142" t="n">
        <v>0</v>
      </c>
      <c r="X26" s="142" t="n">
        <f aca="false">M26-N26-P26-O26-Q26-R26-S26-T26-U26+V26+W26</f>
        <v>0</v>
      </c>
      <c r="Y26" s="142" t="n">
        <f aca="false">X26-AO26</f>
        <v>0</v>
      </c>
      <c r="Z26" s="143"/>
      <c r="AA26" s="142"/>
      <c r="AB26" s="143"/>
      <c r="AC26" s="143"/>
      <c r="AD26" s="113"/>
      <c r="AE26" s="142" t="n">
        <v>0</v>
      </c>
      <c r="AF26" s="262"/>
      <c r="AG26" s="263"/>
      <c r="AH26" s="142" t="n">
        <v>17.9</v>
      </c>
      <c r="AI26" s="113" t="n">
        <f aca="false">AI25-AH26</f>
        <v>2243.83684762419</v>
      </c>
      <c r="AJ26" s="113"/>
      <c r="AK26" s="141" t="n">
        <f aca="false">N26+O26+P26+Q26+R26+S26+T26+U26+X26+AE26+AH26</f>
        <v>21.6</v>
      </c>
      <c r="AL26" s="142" t="n">
        <f aca="false">IF(L26&lt;0,L26*-1,0)</f>
        <v>0</v>
      </c>
      <c r="AM26" s="142" t="n">
        <f aca="false">AK26+AL26</f>
        <v>21.6</v>
      </c>
      <c r="AN26" s="231"/>
      <c r="AO26" s="143"/>
      <c r="AP26" s="232"/>
      <c r="AV26" s="233" t="n">
        <v>0</v>
      </c>
      <c r="AW26" s="113" t="n">
        <v>47</v>
      </c>
      <c r="AX26" s="226" t="n">
        <v>13</v>
      </c>
      <c r="AY26" s="234"/>
      <c r="AZ26" s="264" t="n">
        <f aca="false">SUM(N26,P26:U26)</f>
        <v>3.7</v>
      </c>
      <c r="BA26" s="193" t="n">
        <v>0</v>
      </c>
      <c r="BB26" s="265" t="n">
        <v>6794</v>
      </c>
    </row>
    <row r="27" customFormat="false" ht="12.95" hidden="false" customHeight="true" outlineLevel="0" collapsed="false">
      <c r="A27" s="192" t="n">
        <f aca="false">A26+1</f>
        <v>13</v>
      </c>
      <c r="B27" s="112" t="n">
        <v>6867.23</v>
      </c>
      <c r="C27" s="113" t="n">
        <v>180570</v>
      </c>
      <c r="D27" s="226" t="n">
        <f aca="false">C27-C26</f>
        <v>103</v>
      </c>
      <c r="E27" s="113" t="n">
        <f aca="false">C27-152000</f>
        <v>28570</v>
      </c>
      <c r="F27" s="260" t="n">
        <f aca="false">D27/$D$2</f>
        <v>51.9284093773632</v>
      </c>
      <c r="G27" s="142" t="n">
        <v>57</v>
      </c>
      <c r="H27" s="261" t="n">
        <v>0</v>
      </c>
      <c r="I27" s="142" t="n">
        <f aca="false">G27+H27</f>
        <v>57</v>
      </c>
      <c r="J27" s="143" t="n">
        <f aca="false">IF(L27&gt;0,L27,0)</f>
        <v>15.9184093773632</v>
      </c>
      <c r="K27" s="142" t="n">
        <f aca="false">I27+J27</f>
        <v>72.9184093773633</v>
      </c>
      <c r="L27" s="142" t="n">
        <f aca="false">F27-(I27-AK27)</f>
        <v>15.9184093773632</v>
      </c>
      <c r="M27" s="262" t="n">
        <v>3.09</v>
      </c>
      <c r="N27" s="142" t="n">
        <v>0</v>
      </c>
      <c r="O27" s="142" t="n">
        <f aca="false">0*1.05</f>
        <v>0</v>
      </c>
      <c r="P27" s="171" t="n">
        <v>0</v>
      </c>
      <c r="Q27" s="138" t="n">
        <f aca="false">998300/325851/1.9835*1.02</f>
        <v>1.57546942737364</v>
      </c>
      <c r="R27" s="138" t="n">
        <f aca="false">((1478096/646272)*1.04)-T27</f>
        <v>1.91250104153694</v>
      </c>
      <c r="S27" s="138" t="n">
        <v>0</v>
      </c>
      <c r="T27" s="138" t="n">
        <f aca="false">(0.4228*1.06)*1.04</f>
        <v>0.46609472</v>
      </c>
      <c r="U27" s="101" t="n">
        <f aca="false">M27-(Q27+R27+S27+T27)</f>
        <v>-0.864065188910577</v>
      </c>
      <c r="V27" s="142" t="n">
        <v>0</v>
      </c>
      <c r="W27" s="142" t="n">
        <v>0</v>
      </c>
      <c r="X27" s="142" t="n">
        <f aca="false">M27-N27-P27-O27-Q27-R27-S27-T27-U27+V27+W27</f>
        <v>0</v>
      </c>
      <c r="Y27" s="142" t="n">
        <f aca="false">X27-AO27</f>
        <v>0</v>
      </c>
      <c r="Z27" s="143"/>
      <c r="AA27" s="142"/>
      <c r="AB27" s="143"/>
      <c r="AC27" s="143"/>
      <c r="AD27" s="113"/>
      <c r="AE27" s="142" t="n">
        <v>0</v>
      </c>
      <c r="AF27" s="262"/>
      <c r="AG27" s="263"/>
      <c r="AH27" s="142" t="n">
        <v>17.9</v>
      </c>
      <c r="AI27" s="113" t="n">
        <f aca="false">AI26-AH27</f>
        <v>2225.93684762419</v>
      </c>
      <c r="AJ27" s="113"/>
      <c r="AK27" s="141" t="n">
        <f aca="false">N27+O27+P27+Q27+R27+S27+T27+U27+X27+AE27+AH27</f>
        <v>20.99</v>
      </c>
      <c r="AL27" s="142" t="n">
        <f aca="false">IF(L27&lt;0,L27*-1,0)</f>
        <v>0</v>
      </c>
      <c r="AM27" s="142" t="n">
        <f aca="false">AK27+AL27</f>
        <v>20.99</v>
      </c>
      <c r="AN27" s="231"/>
      <c r="AO27" s="143"/>
      <c r="AP27" s="232"/>
      <c r="AV27" s="233" t="n">
        <v>0</v>
      </c>
      <c r="AW27" s="113" t="n">
        <v>41</v>
      </c>
      <c r="AX27" s="226" t="n">
        <v>16</v>
      </c>
      <c r="AY27" s="234"/>
      <c r="AZ27" s="264" t="n">
        <f aca="false">SUM(N27,P27:U27)</f>
        <v>3.09</v>
      </c>
      <c r="BA27" s="193" t="n">
        <v>0</v>
      </c>
      <c r="BB27" s="265" t="n">
        <v>6823</v>
      </c>
    </row>
    <row r="28" customFormat="false" ht="12.95" hidden="false" customHeight="true" outlineLevel="0" collapsed="false">
      <c r="A28" s="192" t="n">
        <f aca="false">A27+1</f>
        <v>14</v>
      </c>
      <c r="B28" s="112" t="n">
        <v>6867.28</v>
      </c>
      <c r="C28" s="113" t="n">
        <v>180699</v>
      </c>
      <c r="D28" s="226" t="n">
        <f aca="false">C28-C27</f>
        <v>129</v>
      </c>
      <c r="E28" s="113" t="n">
        <f aca="false">C28-152000</f>
        <v>28699</v>
      </c>
      <c r="F28" s="260" t="n">
        <f aca="false">D28/$D$2</f>
        <v>65.0365515502899</v>
      </c>
      <c r="G28" s="142" t="n">
        <v>56</v>
      </c>
      <c r="H28" s="261" t="n">
        <v>0</v>
      </c>
      <c r="I28" s="142" t="n">
        <f aca="false">G28+H28</f>
        <v>56</v>
      </c>
      <c r="J28" s="143" t="n">
        <f aca="false">IF(L28&gt;0,L28,0)</f>
        <v>30.1565515502899</v>
      </c>
      <c r="K28" s="142" t="n">
        <f aca="false">I28+J28</f>
        <v>86.1565515502899</v>
      </c>
      <c r="L28" s="142" t="n">
        <f aca="false">F28-(I28-AK28)</f>
        <v>30.1565515502899</v>
      </c>
      <c r="M28" s="262" t="n">
        <v>3.22</v>
      </c>
      <c r="N28" s="142" t="n">
        <v>0</v>
      </c>
      <c r="O28" s="142" t="n">
        <f aca="false">0*1.05</f>
        <v>0</v>
      </c>
      <c r="P28" s="171" t="n">
        <v>0</v>
      </c>
      <c r="Q28" s="138" t="n">
        <f aca="false">1078400/325851/1.9835*1.02</f>
        <v>1.70187942550309</v>
      </c>
      <c r="R28" s="138" t="n">
        <f aca="false">((1431480/646272)*1.04)-T28</f>
        <v>1.83748519681521</v>
      </c>
      <c r="S28" s="138" t="n">
        <v>0</v>
      </c>
      <c r="T28" s="138" t="n">
        <f aca="false">(0.4228*1.06)*1.04</f>
        <v>0.46609472</v>
      </c>
      <c r="U28" s="101" t="n">
        <f aca="false">M28-(Q28+R28+S28+T28)</f>
        <v>-0.785459342318299</v>
      </c>
      <c r="V28" s="142" t="n">
        <v>0</v>
      </c>
      <c r="W28" s="142" t="n">
        <v>0</v>
      </c>
      <c r="X28" s="142" t="n">
        <f aca="false">M28-N28-P28-O28-Q28-R28-S28-T28-U28+V28+W28</f>
        <v>0</v>
      </c>
      <c r="Y28" s="142" t="n">
        <f aca="false">X28-AO28</f>
        <v>0</v>
      </c>
      <c r="Z28" s="143"/>
      <c r="AA28" s="142"/>
      <c r="AB28" s="143"/>
      <c r="AC28" s="143"/>
      <c r="AD28" s="113"/>
      <c r="AE28" s="142" t="n">
        <v>0</v>
      </c>
      <c r="AF28" s="262"/>
      <c r="AG28" s="263"/>
      <c r="AH28" s="142" t="n">
        <v>17.9</v>
      </c>
      <c r="AI28" s="113" t="n">
        <f aca="false">AI27-AH28</f>
        <v>2208.03684762419</v>
      </c>
      <c r="AJ28" s="113"/>
      <c r="AK28" s="141" t="n">
        <f aca="false">N28+O28+P28+Q28+R28+S28+T28+U28+X28+AE28+AH28</f>
        <v>21.12</v>
      </c>
      <c r="AL28" s="142" t="n">
        <f aca="false">IF(L28&lt;0,L28*-1,0)</f>
        <v>0</v>
      </c>
      <c r="AM28" s="142" t="n">
        <f aca="false">AK28+AL28</f>
        <v>21.12</v>
      </c>
      <c r="AN28" s="231"/>
      <c r="AO28" s="143"/>
      <c r="AP28" s="232"/>
      <c r="AV28" s="233" t="n">
        <v>0</v>
      </c>
      <c r="AW28" s="113" t="n">
        <v>47</v>
      </c>
      <c r="AX28" s="226" t="n">
        <v>16</v>
      </c>
      <c r="AY28" s="234"/>
      <c r="AZ28" s="264" t="n">
        <f aca="false">SUM(N28,P28:U28)</f>
        <v>3.22</v>
      </c>
      <c r="BA28" s="193" t="n">
        <v>0</v>
      </c>
      <c r="BB28" s="265" t="n">
        <v>6829</v>
      </c>
    </row>
    <row r="29" customFormat="false" ht="12.95" hidden="false" customHeight="true" outlineLevel="0" collapsed="false">
      <c r="A29" s="192" t="n">
        <f aca="false">A28+1</f>
        <v>15</v>
      </c>
      <c r="B29" s="112" t="n">
        <v>6867.35</v>
      </c>
      <c r="C29" s="113" t="n">
        <v>180879</v>
      </c>
      <c r="D29" s="226" t="n">
        <f aca="false">C29-C28</f>
        <v>180</v>
      </c>
      <c r="E29" s="113" t="n">
        <f aca="false">C29-152000</f>
        <v>28879</v>
      </c>
      <c r="F29" s="260" t="n">
        <f aca="false">D29/$D$2</f>
        <v>90.7486765817998</v>
      </c>
      <c r="G29" s="142" t="n">
        <v>55</v>
      </c>
      <c r="H29" s="261" t="n">
        <v>0</v>
      </c>
      <c r="I29" s="142" t="n">
        <f aca="false">G29+H29</f>
        <v>55</v>
      </c>
      <c r="J29" s="143" t="n">
        <f aca="false">IF(L29&gt;0,L29,0)</f>
        <v>56.8686765817998</v>
      </c>
      <c r="K29" s="142" t="n">
        <f aca="false">I29+J29</f>
        <v>111.8686765818</v>
      </c>
      <c r="L29" s="142" t="n">
        <f aca="false">F29-(I29-AK29)</f>
        <v>56.8686765817998</v>
      </c>
      <c r="M29" s="262" t="n">
        <v>3.22</v>
      </c>
      <c r="N29" s="142" t="n">
        <v>0</v>
      </c>
      <c r="O29" s="142" t="n">
        <f aca="false">0*1.05</f>
        <v>0</v>
      </c>
      <c r="P29" s="171" t="n">
        <v>0</v>
      </c>
      <c r="Q29" s="138" t="n">
        <f aca="false">1143600/325851/1.9835*1.02</f>
        <v>1.80477495456726</v>
      </c>
      <c r="R29" s="138" t="n">
        <f aca="false">((1414768/646272)*1.04)-T29</f>
        <v>1.81059175256883</v>
      </c>
      <c r="S29" s="138" t="n">
        <v>0</v>
      </c>
      <c r="T29" s="138" t="n">
        <f aca="false">(0.4228*1.06)*1.04</f>
        <v>0.46609472</v>
      </c>
      <c r="U29" s="101" t="n">
        <f aca="false">M29-(Q29+R29+S29+T29)</f>
        <v>-0.861461427136084</v>
      </c>
      <c r="V29" s="142" t="n">
        <v>0</v>
      </c>
      <c r="W29" s="142" t="n">
        <v>0</v>
      </c>
      <c r="X29" s="142" t="n">
        <f aca="false">M29-N29-P29-O29-Q29-R29-S29-T29-U29+V29+W29</f>
        <v>0</v>
      </c>
      <c r="Y29" s="142" t="n">
        <f aca="false">X29-AO29</f>
        <v>0</v>
      </c>
      <c r="Z29" s="143"/>
      <c r="AA29" s="142"/>
      <c r="AB29" s="143"/>
      <c r="AC29" s="143"/>
      <c r="AD29" s="113"/>
      <c r="AE29" s="142" t="n">
        <v>0</v>
      </c>
      <c r="AF29" s="262"/>
      <c r="AG29" s="263"/>
      <c r="AH29" s="142" t="n">
        <v>17.9</v>
      </c>
      <c r="AI29" s="113" t="n">
        <f aca="false">AI28-AH29</f>
        <v>2190.13684762419</v>
      </c>
      <c r="AJ29" s="113"/>
      <c r="AK29" s="141" t="n">
        <f aca="false">N29+O29+P29+Q29+R29+S29+T29+U29+X29+AE29+AH29</f>
        <v>21.12</v>
      </c>
      <c r="AL29" s="142" t="n">
        <f aca="false">IF(L29&lt;0,L29*-1,0)</f>
        <v>0</v>
      </c>
      <c r="AM29" s="142" t="n">
        <f aca="false">AK29+AL29</f>
        <v>21.12</v>
      </c>
      <c r="AN29" s="231"/>
      <c r="AO29" s="143"/>
      <c r="AP29" s="232"/>
      <c r="AV29" s="233" t="n">
        <v>0</v>
      </c>
      <c r="AW29" s="113" t="n">
        <v>52</v>
      </c>
      <c r="AX29" s="226" t="n">
        <v>14</v>
      </c>
      <c r="AY29" s="234"/>
      <c r="AZ29" s="264" t="n">
        <f aca="false">SUM(N29,P29:U29)</f>
        <v>3.22</v>
      </c>
      <c r="BA29" s="193" t="n">
        <v>0</v>
      </c>
      <c r="BB29" s="265" t="n">
        <v>6837</v>
      </c>
    </row>
    <row r="30" customFormat="false" ht="12.95" hidden="false" customHeight="true" outlineLevel="0" collapsed="false">
      <c r="A30" s="192" t="n">
        <f aca="false">A29+1</f>
        <v>16</v>
      </c>
      <c r="B30" s="112" t="n">
        <v>6867.37</v>
      </c>
      <c r="C30" s="113" t="n">
        <v>180930</v>
      </c>
      <c r="D30" s="226" t="n">
        <f aca="false">C30-C29</f>
        <v>51</v>
      </c>
      <c r="E30" s="113" t="n">
        <f aca="false">C30-152000</f>
        <v>28930</v>
      </c>
      <c r="F30" s="260" t="n">
        <f aca="false">D30/$D$2</f>
        <v>25.71212503151</v>
      </c>
      <c r="G30" s="142" t="n">
        <v>56</v>
      </c>
      <c r="H30" s="261" t="n">
        <v>0</v>
      </c>
      <c r="I30" s="142" t="n">
        <f aca="false">G30+H30</f>
        <v>56</v>
      </c>
      <c r="J30" s="143" t="n">
        <f aca="false">IF(L30&gt;0,L30,0)</f>
        <v>0</v>
      </c>
      <c r="K30" s="142" t="n">
        <f aca="false">I30+J30</f>
        <v>56</v>
      </c>
      <c r="L30" s="142" t="n">
        <f aca="false">F30-(I30-AK30)</f>
        <v>-8.66787496849005</v>
      </c>
      <c r="M30" s="262" t="n">
        <v>3.72</v>
      </c>
      <c r="N30" s="142" t="n">
        <v>0</v>
      </c>
      <c r="O30" s="142" t="n">
        <f aca="false">0*1.05</f>
        <v>0</v>
      </c>
      <c r="P30" s="171" t="n">
        <v>0</v>
      </c>
      <c r="Q30" s="138" t="n">
        <f aca="false">1105800/325851/1.9835*1.02</f>
        <v>1.74512079814662</v>
      </c>
      <c r="R30" s="138" t="n">
        <f aca="false">((1396752/646272)*1.04)-T30</f>
        <v>1.78159987298871</v>
      </c>
      <c r="S30" s="138" t="n">
        <v>0</v>
      </c>
      <c r="T30" s="138" t="n">
        <f aca="false">(0.4228*1.06)*1.04</f>
        <v>0.46609472</v>
      </c>
      <c r="U30" s="101" t="n">
        <f aca="false">M30-(Q30+R30+S30+T30)</f>
        <v>-0.272815391135331</v>
      </c>
      <c r="V30" s="142" t="n">
        <v>0</v>
      </c>
      <c r="W30" s="142" t="n">
        <v>0</v>
      </c>
      <c r="X30" s="142" t="n">
        <f aca="false">M30-N30-P30-O30-Q30-R30-S30-T30-U30+V30+W30</f>
        <v>0</v>
      </c>
      <c r="Y30" s="142" t="n">
        <f aca="false">X30-AO30</f>
        <v>0</v>
      </c>
      <c r="Z30" s="143"/>
      <c r="AA30" s="142"/>
      <c r="AB30" s="143"/>
      <c r="AC30" s="143"/>
      <c r="AD30" s="113"/>
      <c r="AE30" s="142" t="n">
        <v>0</v>
      </c>
      <c r="AF30" s="262"/>
      <c r="AG30" s="263"/>
      <c r="AH30" s="142" t="n">
        <v>17.9</v>
      </c>
      <c r="AI30" s="113" t="n">
        <f aca="false">AI29-AH30</f>
        <v>2172.23684762419</v>
      </c>
      <c r="AJ30" s="113"/>
      <c r="AK30" s="141" t="n">
        <f aca="false">N30+O30+P30+Q30+R30+S30+T30+U30+X30+AE30+AH30</f>
        <v>21.62</v>
      </c>
      <c r="AL30" s="142" t="n">
        <f aca="false">IF(L30&lt;0,L30*-1,0)</f>
        <v>8.66787496849005</v>
      </c>
      <c r="AM30" s="142" t="n">
        <f aca="false">AK30+AL30</f>
        <v>30.28787496849</v>
      </c>
      <c r="AN30" s="231"/>
      <c r="AO30" s="143"/>
      <c r="AP30" s="232"/>
      <c r="AV30" s="233" t="n">
        <v>0</v>
      </c>
      <c r="AW30" s="113" t="n">
        <v>55</v>
      </c>
      <c r="AX30" s="226" t="n">
        <v>18</v>
      </c>
      <c r="AY30" s="234"/>
      <c r="AZ30" s="264" t="n">
        <f aca="false">SUM(N30,P30:U30)</f>
        <v>3.72</v>
      </c>
      <c r="BA30" s="193" t="n">
        <v>0</v>
      </c>
      <c r="BB30" s="265" t="n">
        <v>6842</v>
      </c>
    </row>
    <row r="31" customFormat="false" ht="12.95" hidden="false" customHeight="true" outlineLevel="0" collapsed="false">
      <c r="A31" s="192" t="n">
        <f aca="false">A30+1</f>
        <v>17</v>
      </c>
      <c r="B31" s="112" t="n">
        <v>6867.42</v>
      </c>
      <c r="C31" s="113" t="n">
        <v>181059</v>
      </c>
      <c r="D31" s="226" t="n">
        <f aca="false">C31-C30</f>
        <v>129</v>
      </c>
      <c r="E31" s="113" t="n">
        <f aca="false">C31-152000</f>
        <v>29059</v>
      </c>
      <c r="F31" s="260" t="n">
        <f aca="false">D31/$D$2</f>
        <v>65.0365515502899</v>
      </c>
      <c r="G31" s="142" t="n">
        <v>56</v>
      </c>
      <c r="H31" s="261" t="n">
        <v>0</v>
      </c>
      <c r="I31" s="142" t="n">
        <f aca="false">G31+H31</f>
        <v>56</v>
      </c>
      <c r="J31" s="143" t="n">
        <f aca="false">IF(L31&gt;0,L31,0)</f>
        <v>30.0465515502899</v>
      </c>
      <c r="K31" s="142" t="n">
        <f aca="false">I31+J31</f>
        <v>86.0465515502899</v>
      </c>
      <c r="L31" s="142" t="n">
        <f aca="false">F31-(I31-AK31)</f>
        <v>30.0465515502899</v>
      </c>
      <c r="M31" s="262" t="n">
        <v>3.11</v>
      </c>
      <c r="N31" s="142" t="n">
        <v>0</v>
      </c>
      <c r="O31" s="142" t="n">
        <f aca="false">0*1.05</f>
        <v>0</v>
      </c>
      <c r="P31" s="171" t="n">
        <v>0</v>
      </c>
      <c r="Q31" s="138" t="n">
        <f aca="false">1169700/325851/1.9835*1.02</f>
        <v>1.84596472923865</v>
      </c>
      <c r="R31" s="138" t="n">
        <f aca="false">((1410728/646272)*1.04)-T31</f>
        <v>1.80409046518519</v>
      </c>
      <c r="S31" s="138" t="n">
        <v>0</v>
      </c>
      <c r="T31" s="138" t="n">
        <f aca="false">(0.4228*1.06)*1.04</f>
        <v>0.46609472</v>
      </c>
      <c r="U31" s="101" t="n">
        <f aca="false">M31-(Q31+R31+S31+T31)</f>
        <v>-1.00614991442384</v>
      </c>
      <c r="V31" s="142" t="n">
        <v>0</v>
      </c>
      <c r="W31" s="142" t="n">
        <v>0</v>
      </c>
      <c r="X31" s="142" t="n">
        <f aca="false">M31-N31-P31-O31-Q31-R31-S31-T31-U31+V31+W31</f>
        <v>0</v>
      </c>
      <c r="Y31" s="142" t="n">
        <f aca="false">X31-AO31</f>
        <v>0</v>
      </c>
      <c r="Z31" s="143"/>
      <c r="AA31" s="142"/>
      <c r="AB31" s="143"/>
      <c r="AC31" s="143"/>
      <c r="AD31" s="113"/>
      <c r="AE31" s="142" t="n">
        <v>0</v>
      </c>
      <c r="AF31" s="262"/>
      <c r="AG31" s="263"/>
      <c r="AH31" s="142" t="n">
        <v>17.9</v>
      </c>
      <c r="AI31" s="113" t="n">
        <f aca="false">AI30-AH31</f>
        <v>2154.33684762419</v>
      </c>
      <c r="AJ31" s="113"/>
      <c r="AK31" s="141" t="n">
        <f aca="false">N31+O31+P31+Q31+R31+S31+T31+U31+X31+AE31+AH31</f>
        <v>21.01</v>
      </c>
      <c r="AL31" s="142" t="n">
        <f aca="false">IF(L31&lt;0,L31*-1,0)</f>
        <v>0</v>
      </c>
      <c r="AM31" s="142" t="n">
        <f aca="false">AK31+AL31</f>
        <v>21.01</v>
      </c>
      <c r="AN31" s="231"/>
      <c r="AO31" s="143"/>
      <c r="AP31" s="232"/>
      <c r="AV31" s="233" t="n">
        <v>0</v>
      </c>
      <c r="AW31" s="113" t="n">
        <v>51</v>
      </c>
      <c r="AX31" s="226" t="n">
        <v>20</v>
      </c>
      <c r="AY31" s="234"/>
      <c r="AZ31" s="264" t="n">
        <f aca="false">SUM(N31,P31:U31)</f>
        <v>3.11</v>
      </c>
      <c r="BA31" s="193" t="n">
        <v>0</v>
      </c>
      <c r="BB31" s="265" t="n">
        <v>6851</v>
      </c>
    </row>
    <row r="32" customFormat="false" ht="12.95" hidden="false" customHeight="true" outlineLevel="0" collapsed="false">
      <c r="A32" s="192" t="n">
        <f aca="false">A31+1</f>
        <v>18</v>
      </c>
      <c r="B32" s="112" t="n">
        <v>6867.47</v>
      </c>
      <c r="C32" s="113" t="n">
        <v>181187</v>
      </c>
      <c r="D32" s="226" t="n">
        <f aca="false">C32-C31</f>
        <v>128</v>
      </c>
      <c r="E32" s="113" t="n">
        <f aca="false">C32-152000</f>
        <v>29187</v>
      </c>
      <c r="F32" s="260" t="n">
        <f aca="false">D32/$D$2</f>
        <v>64.5323922359466</v>
      </c>
      <c r="G32" s="142" t="n">
        <v>57</v>
      </c>
      <c r="H32" s="261" t="n">
        <v>0</v>
      </c>
      <c r="I32" s="142" t="n">
        <f aca="false">G32+H32</f>
        <v>57</v>
      </c>
      <c r="J32" s="143" t="n">
        <f aca="false">IF(L32&gt;0,L32,0)</f>
        <v>28.8923922359466</v>
      </c>
      <c r="K32" s="142" t="n">
        <f aca="false">I32+J32</f>
        <v>85.8923922359466</v>
      </c>
      <c r="L32" s="142" t="n">
        <f aca="false">F32-(I32-AK32)</f>
        <v>28.8923922359466</v>
      </c>
      <c r="M32" s="262" t="n">
        <v>3.46</v>
      </c>
      <c r="N32" s="142" t="n">
        <v>0</v>
      </c>
      <c r="O32" s="142" t="n">
        <f aca="false">0*1.05</f>
        <v>0</v>
      </c>
      <c r="P32" s="171" t="n">
        <v>0</v>
      </c>
      <c r="Q32" s="138" t="n">
        <f aca="false">848600/325851/1.9835*1.02</f>
        <v>1.33922003012048</v>
      </c>
      <c r="R32" s="138" t="n">
        <f aca="false">((1463800/646272)*1.04)-T32</f>
        <v>1.88949549588433</v>
      </c>
      <c r="S32" s="138" t="n">
        <v>0</v>
      </c>
      <c r="T32" s="138" t="n">
        <f aca="false">(0.4228*1.06)*1.04</f>
        <v>0.46609472</v>
      </c>
      <c r="U32" s="101" t="n">
        <f aca="false">M32-(Q32+R32+S32+T32)</f>
        <v>-0.234810246004809</v>
      </c>
      <c r="V32" s="142" t="n">
        <v>0</v>
      </c>
      <c r="W32" s="142" t="n">
        <v>0</v>
      </c>
      <c r="X32" s="142" t="n">
        <f aca="false">M32-N32-P32-O32-Q32-R32-S32-T32-U32+V32+W32</f>
        <v>0</v>
      </c>
      <c r="Y32" s="142" t="n">
        <f aca="false">X32-AO32</f>
        <v>0</v>
      </c>
      <c r="Z32" s="143"/>
      <c r="AA32" s="142"/>
      <c r="AB32" s="143"/>
      <c r="AC32" s="143"/>
      <c r="AD32" s="113"/>
      <c r="AE32" s="142" t="n">
        <v>0</v>
      </c>
      <c r="AF32" s="262"/>
      <c r="AG32" s="263"/>
      <c r="AH32" s="142" t="n">
        <v>17.9</v>
      </c>
      <c r="AI32" s="113" t="n">
        <f aca="false">AI31-AH32</f>
        <v>2136.43684762419</v>
      </c>
      <c r="AJ32" s="113"/>
      <c r="AK32" s="141" t="n">
        <f aca="false">N32+O32+P32+Q32+R32+S32+T32+U32+X32+AE32+AH32</f>
        <v>21.36</v>
      </c>
      <c r="AL32" s="142" t="n">
        <f aca="false">IF(L32&lt;0,L32*-1,0)</f>
        <v>0</v>
      </c>
      <c r="AM32" s="142" t="n">
        <f aca="false">AK32+AL32</f>
        <v>21.36</v>
      </c>
      <c r="AN32" s="231"/>
      <c r="AO32" s="143"/>
      <c r="AP32" s="232"/>
      <c r="AV32" s="233" t="n">
        <v>0</v>
      </c>
      <c r="AW32" s="113" t="n">
        <v>53</v>
      </c>
      <c r="AX32" s="226" t="n">
        <v>24</v>
      </c>
      <c r="AY32" s="234"/>
      <c r="AZ32" s="264" t="n">
        <f aca="false">SUM(N32,P32:U32)</f>
        <v>3.46</v>
      </c>
      <c r="BA32" s="193" t="n">
        <v>0</v>
      </c>
      <c r="BB32" s="265" t="n">
        <v>6859</v>
      </c>
    </row>
    <row r="33" customFormat="false" ht="12.95" hidden="false" customHeight="true" outlineLevel="0" collapsed="false">
      <c r="A33" s="192" t="n">
        <f aca="false">A32+1</f>
        <v>19</v>
      </c>
      <c r="B33" s="112" t="n">
        <v>6867.54</v>
      </c>
      <c r="C33" s="113" t="n">
        <v>181367</v>
      </c>
      <c r="D33" s="226" t="n">
        <f aca="false">C33-C32</f>
        <v>180</v>
      </c>
      <c r="E33" s="113" t="n">
        <f aca="false">C33-152000</f>
        <v>29367</v>
      </c>
      <c r="F33" s="260" t="n">
        <f aca="false">D33/$D$2</f>
        <v>90.7486765817998</v>
      </c>
      <c r="G33" s="142" t="n">
        <v>57</v>
      </c>
      <c r="H33" s="261" t="n">
        <v>0</v>
      </c>
      <c r="I33" s="142" t="n">
        <f aca="false">G33+H33</f>
        <v>57</v>
      </c>
      <c r="J33" s="143" t="n">
        <f aca="false">IF(L33&gt;0,L33,0)</f>
        <v>54.5386765817998</v>
      </c>
      <c r="K33" s="142" t="n">
        <f aca="false">I33+J33</f>
        <v>111.5386765818</v>
      </c>
      <c r="L33" s="142" t="n">
        <f aca="false">F33-(I33-AK33)</f>
        <v>54.5386765817998</v>
      </c>
      <c r="M33" s="262" t="n">
        <v>2.99</v>
      </c>
      <c r="N33" s="142" t="n">
        <v>0</v>
      </c>
      <c r="O33" s="142" t="n">
        <f aca="false">0*1.05</f>
        <v>0</v>
      </c>
      <c r="P33" s="171" t="n">
        <v>0</v>
      </c>
      <c r="Q33" s="138" t="n">
        <f aca="false">981700/325851/1.9835*1.02</f>
        <v>1.54927209942172</v>
      </c>
      <c r="R33" s="138" t="n">
        <f aca="false">((1430688/646272)*1.04)-T33</f>
        <v>1.83621068701129</v>
      </c>
      <c r="S33" s="138" t="n">
        <v>0</v>
      </c>
      <c r="T33" s="138" t="n">
        <f aca="false">(0.4228*1.06)*1.04</f>
        <v>0.46609472</v>
      </c>
      <c r="U33" s="101" t="n">
        <f aca="false">M33-(Q33+R33+S33+T33)</f>
        <v>-0.861577506433008</v>
      </c>
      <c r="V33" s="142" t="n">
        <v>0</v>
      </c>
      <c r="W33" s="142" t="n">
        <v>0</v>
      </c>
      <c r="X33" s="142" t="n">
        <f aca="false">M33-N33-P33-O33-Q33-R33-S33-T33-U33+V33+W33</f>
        <v>0</v>
      </c>
      <c r="Y33" s="142" t="n">
        <f aca="false">X33-AO33</f>
        <v>0</v>
      </c>
      <c r="Z33" s="143"/>
      <c r="AA33" s="142"/>
      <c r="AB33" s="143"/>
      <c r="AC33" s="143"/>
      <c r="AD33" s="113"/>
      <c r="AE33" s="142" t="n">
        <v>0</v>
      </c>
      <c r="AF33" s="262"/>
      <c r="AG33" s="263"/>
      <c r="AH33" s="142" t="n">
        <v>17.8</v>
      </c>
      <c r="AI33" s="113" t="n">
        <f aca="false">AI32-AH33</f>
        <v>2118.63684762419</v>
      </c>
      <c r="AJ33" s="113"/>
      <c r="AK33" s="141" t="n">
        <f aca="false">N33+O33+P33+Q33+R33+S33+T33+U33+X33+AE33+AH33</f>
        <v>20.79</v>
      </c>
      <c r="AL33" s="142" t="n">
        <f aca="false">IF(L33&lt;0,L33*-1,0)</f>
        <v>0</v>
      </c>
      <c r="AM33" s="142" t="n">
        <f aca="false">AK33+AL33</f>
        <v>20.79</v>
      </c>
      <c r="AN33" s="231"/>
      <c r="AO33" s="143"/>
      <c r="AP33" s="232"/>
      <c r="AV33" s="233" t="n">
        <v>0</v>
      </c>
      <c r="AW33" s="113" t="n">
        <v>51</v>
      </c>
      <c r="AX33" s="226" t="n">
        <v>28</v>
      </c>
      <c r="AY33" s="234"/>
      <c r="AZ33" s="264" t="n">
        <f aca="false">SUM(N33,P33:U33)</f>
        <v>2.99</v>
      </c>
      <c r="BA33" s="193" t="n">
        <v>0</v>
      </c>
      <c r="BB33" s="265" t="n">
        <v>6854</v>
      </c>
    </row>
    <row r="34" customFormat="false" ht="12.95" hidden="false" customHeight="true" outlineLevel="0" collapsed="false">
      <c r="A34" s="192" t="n">
        <f aca="false">A33+1</f>
        <v>20</v>
      </c>
      <c r="B34" s="112" t="n">
        <v>6867.62</v>
      </c>
      <c r="C34" s="113" t="n">
        <v>181573</v>
      </c>
      <c r="D34" s="226" t="n">
        <f aca="false">C34-C33</f>
        <v>206</v>
      </c>
      <c r="E34" s="113" t="n">
        <f aca="false">C34-152000</f>
        <v>29573</v>
      </c>
      <c r="F34" s="260" t="n">
        <f aca="false">D34/$D$2</f>
        <v>103.856818754727</v>
      </c>
      <c r="G34" s="142" t="n">
        <v>57</v>
      </c>
      <c r="H34" s="261" t="n">
        <v>0</v>
      </c>
      <c r="I34" s="142" t="n">
        <f aca="false">G34+H34</f>
        <v>57</v>
      </c>
      <c r="J34" s="143" t="n">
        <f aca="false">IF(L34&gt;0,L34,0)</f>
        <v>68.2568187547265</v>
      </c>
      <c r="K34" s="142" t="n">
        <f aca="false">I34+J34</f>
        <v>125.256818754726</v>
      </c>
      <c r="L34" s="142" t="n">
        <f aca="false">F34-(I34-AK34)</f>
        <v>68.2568187547265</v>
      </c>
      <c r="M34" s="262" t="n">
        <v>3.5</v>
      </c>
      <c r="N34" s="142" t="n">
        <v>0</v>
      </c>
      <c r="O34" s="142" t="n">
        <f aca="false">0*1.05</f>
        <v>0</v>
      </c>
      <c r="P34" s="171" t="n">
        <v>0</v>
      </c>
      <c r="Q34" s="138" t="n">
        <f aca="false">907800/325851/1.9835*1.02</f>
        <v>1.43264664546708</v>
      </c>
      <c r="R34" s="138" t="n">
        <f aca="false">((1452048/646272)*1.04)-T34</f>
        <v>1.89307279020796</v>
      </c>
      <c r="S34" s="138" t="n">
        <v>0</v>
      </c>
      <c r="T34" s="138" t="n">
        <f aca="false">(0.4024*1.06)*1.04</f>
        <v>0.44360576</v>
      </c>
      <c r="U34" s="101" t="n">
        <f aca="false">M34-(Q34+R34+S34+T34)</f>
        <v>-0.269325195675047</v>
      </c>
      <c r="V34" s="142" t="n">
        <v>0</v>
      </c>
      <c r="W34" s="142" t="n">
        <v>0</v>
      </c>
      <c r="X34" s="142" t="n">
        <f aca="false">M34-N34-P34-O34-Q34-R34-S34-T34-U34+V34+W34</f>
        <v>0</v>
      </c>
      <c r="Y34" s="142" t="n">
        <f aca="false">X34-AO34</f>
        <v>0</v>
      </c>
      <c r="Z34" s="143"/>
      <c r="AA34" s="142"/>
      <c r="AB34" s="143"/>
      <c r="AC34" s="143"/>
      <c r="AD34" s="113"/>
      <c r="AE34" s="142" t="n">
        <v>0</v>
      </c>
      <c r="AF34" s="262"/>
      <c r="AG34" s="263"/>
      <c r="AH34" s="142" t="n">
        <v>17.9</v>
      </c>
      <c r="AI34" s="113" t="n">
        <f aca="false">AI33-AH34</f>
        <v>2100.73684762419</v>
      </c>
      <c r="AJ34" s="113"/>
      <c r="AK34" s="141" t="n">
        <f aca="false">N34+O34+P34+Q34+R34+S34+T34+U34+X34+AE34+AH34</f>
        <v>21.4</v>
      </c>
      <c r="AL34" s="142" t="n">
        <f aca="false">IF(L34&lt;0,L34*-1,0)</f>
        <v>0</v>
      </c>
      <c r="AM34" s="142" t="n">
        <f aca="false">AK34+AL34</f>
        <v>21.4</v>
      </c>
      <c r="AN34" s="231"/>
      <c r="AO34" s="143"/>
      <c r="AP34" s="232"/>
      <c r="AV34" s="233" t="n">
        <v>0.03</v>
      </c>
      <c r="AW34" s="113" t="n">
        <v>40</v>
      </c>
      <c r="AX34" s="226" t="n">
        <v>21</v>
      </c>
      <c r="AY34" s="234"/>
      <c r="AZ34" s="264" t="n">
        <f aca="false">SUM(N34,P34:U34)</f>
        <v>3.5</v>
      </c>
      <c r="BA34" s="193" t="n">
        <v>0</v>
      </c>
      <c r="BB34" s="265" t="n">
        <v>6872</v>
      </c>
    </row>
    <row r="35" customFormat="false" ht="13.5" hidden="false" customHeight="true" outlineLevel="0" collapsed="false">
      <c r="A35" s="192" t="n">
        <f aca="false">A34+1</f>
        <v>21</v>
      </c>
      <c r="B35" s="112" t="n">
        <v>6867.64</v>
      </c>
      <c r="C35" s="113" t="n">
        <v>181624</v>
      </c>
      <c r="D35" s="226" t="n">
        <f aca="false">C35-C34</f>
        <v>51</v>
      </c>
      <c r="E35" s="113" t="n">
        <f aca="false">C35-152000</f>
        <v>29624</v>
      </c>
      <c r="F35" s="260" t="n">
        <f aca="false">D35/$D$2</f>
        <v>25.71212503151</v>
      </c>
      <c r="G35" s="142" t="n">
        <v>57</v>
      </c>
      <c r="H35" s="261" t="n">
        <v>0</v>
      </c>
      <c r="I35" s="142" t="n">
        <f aca="false">G35+H35</f>
        <v>57</v>
      </c>
      <c r="J35" s="143" t="n">
        <f aca="false">IF(L35&gt;0,L35,0)</f>
        <v>0</v>
      </c>
      <c r="K35" s="142" t="n">
        <f aca="false">I35+J35</f>
        <v>57</v>
      </c>
      <c r="L35" s="142" t="n">
        <f aca="false">F35-(I35-AK35)</f>
        <v>-10.4378749684901</v>
      </c>
      <c r="M35" s="262" t="n">
        <v>2.95</v>
      </c>
      <c r="N35" s="142" t="n">
        <v>0</v>
      </c>
      <c r="O35" s="142" t="n">
        <f aca="false">0*1.05</f>
        <v>0</v>
      </c>
      <c r="P35" s="171" t="n">
        <v>0</v>
      </c>
      <c r="Q35" s="138" t="n">
        <f aca="false">1157400/325851/1.9835*1.02</f>
        <v>1.82655345611765</v>
      </c>
      <c r="R35" s="138" t="n">
        <f aca="false">((1406128/646272)*1.04)-T35</f>
        <v>1.81917696925332</v>
      </c>
      <c r="S35" s="138" t="n">
        <v>0</v>
      </c>
      <c r="T35" s="138" t="n">
        <f aca="false">(0.4024*1.06)*1.04</f>
        <v>0.44360576</v>
      </c>
      <c r="U35" s="101" t="n">
        <f aca="false">M35-(Q35+R35+S35+T35)</f>
        <v>-1.13933618537097</v>
      </c>
      <c r="V35" s="142" t="n">
        <v>0</v>
      </c>
      <c r="W35" s="142" t="n">
        <v>0</v>
      </c>
      <c r="X35" s="142" t="n">
        <f aca="false">M35-N35-P35-O35-Q35-R35-S35-T35-U35+V35+W35</f>
        <v>0</v>
      </c>
      <c r="Y35" s="142" t="n">
        <f aca="false">X35-AO35</f>
        <v>0</v>
      </c>
      <c r="Z35" s="143"/>
      <c r="AA35" s="142"/>
      <c r="AB35" s="143"/>
      <c r="AC35" s="143"/>
      <c r="AD35" s="113"/>
      <c r="AE35" s="142" t="n">
        <v>0</v>
      </c>
      <c r="AF35" s="262"/>
      <c r="AG35" s="263"/>
      <c r="AH35" s="142" t="n">
        <v>17.9</v>
      </c>
      <c r="AI35" s="113" t="n">
        <f aca="false">AI34-AH35</f>
        <v>2082.83684762419</v>
      </c>
      <c r="AJ35" s="113"/>
      <c r="AK35" s="141" t="n">
        <f aca="false">N35+O35+P35+Q35+R35+S35+T35+U35+X35+AE35+AH35</f>
        <v>20.85</v>
      </c>
      <c r="AL35" s="142" t="n">
        <f aca="false">IF(L35&lt;0,L35*-1,0)</f>
        <v>10.4378749684901</v>
      </c>
      <c r="AM35" s="142" t="n">
        <f aca="false">AK35+AL35</f>
        <v>31.28787496849</v>
      </c>
      <c r="AN35" s="231"/>
      <c r="AO35" s="143"/>
      <c r="AP35" s="232"/>
      <c r="AV35" s="233" t="n">
        <v>0.03</v>
      </c>
      <c r="AW35" s="113" t="n">
        <v>33</v>
      </c>
      <c r="AX35" s="226" t="n">
        <v>13</v>
      </c>
      <c r="AY35" s="234"/>
      <c r="AZ35" s="264" t="n">
        <f aca="false">SUM(N35,P35:U35)</f>
        <v>2.95</v>
      </c>
      <c r="BA35" s="193" t="n">
        <v>0</v>
      </c>
      <c r="BB35" s="265" t="n">
        <v>6863</v>
      </c>
    </row>
    <row r="36" customFormat="false" ht="12.95" hidden="false" customHeight="true" outlineLevel="0" collapsed="false">
      <c r="A36" s="192" t="n">
        <f aca="false">A35+1</f>
        <v>22</v>
      </c>
      <c r="B36" s="112" t="n">
        <v>6867.69</v>
      </c>
      <c r="C36" s="113" t="n">
        <v>181753</v>
      </c>
      <c r="D36" s="226" t="n">
        <f aca="false">C36-C35</f>
        <v>129</v>
      </c>
      <c r="E36" s="113" t="n">
        <f aca="false">C36-152000</f>
        <v>29753</v>
      </c>
      <c r="F36" s="260" t="n">
        <f aca="false">D36/$D$2</f>
        <v>65.0365515502899</v>
      </c>
      <c r="G36" s="142" t="n">
        <v>56</v>
      </c>
      <c r="H36" s="261" t="n">
        <v>0</v>
      </c>
      <c r="I36" s="142" t="n">
        <f aca="false">G36+H36</f>
        <v>56</v>
      </c>
      <c r="J36" s="143" t="n">
        <f aca="false">IF(L36&gt;0,L36,0)</f>
        <v>30.3965515502899</v>
      </c>
      <c r="K36" s="142" t="n">
        <f aca="false">I36+J36</f>
        <v>86.3965515502899</v>
      </c>
      <c r="L36" s="142" t="n">
        <f aca="false">F36-(I36-AK36)</f>
        <v>30.3965515502899</v>
      </c>
      <c r="M36" s="262" t="n">
        <v>3.46</v>
      </c>
      <c r="N36" s="142" t="n">
        <v>0</v>
      </c>
      <c r="O36" s="142" t="n">
        <f aca="false">0*1.05</f>
        <v>0</v>
      </c>
      <c r="P36" s="171" t="n">
        <v>0</v>
      </c>
      <c r="Q36" s="138" t="n">
        <f aca="false">1065800/325851/1.9835*1.02</f>
        <v>1.68199470669621</v>
      </c>
      <c r="R36" s="138" t="n">
        <f aca="false">((1434720/646272)*1.04)-T36</f>
        <v>1.86518806055853</v>
      </c>
      <c r="S36" s="138" t="n">
        <v>0</v>
      </c>
      <c r="T36" s="138" t="n">
        <f aca="false">(0.4024*1.06)*1.04</f>
        <v>0.44360576</v>
      </c>
      <c r="U36" s="101" t="n">
        <f aca="false">M36-(Q36+R36+S36+T36)</f>
        <v>-0.530788527254735</v>
      </c>
      <c r="V36" s="142" t="n">
        <v>0</v>
      </c>
      <c r="W36" s="142" t="n">
        <v>0</v>
      </c>
      <c r="X36" s="142" t="n">
        <f aca="false">M36-N36-P36-O36-Q36-R36-S36-T36-U36+V36+W36</f>
        <v>0</v>
      </c>
      <c r="Y36" s="142" t="n">
        <f aca="false">X36-AO36</f>
        <v>0</v>
      </c>
      <c r="Z36" s="143"/>
      <c r="AA36" s="142"/>
      <c r="AB36" s="143"/>
      <c r="AC36" s="143"/>
      <c r="AD36" s="113"/>
      <c r="AE36" s="142" t="n">
        <v>0</v>
      </c>
      <c r="AF36" s="262"/>
      <c r="AG36" s="263"/>
      <c r="AH36" s="142" t="n">
        <v>17.9</v>
      </c>
      <c r="AI36" s="113" t="n">
        <f aca="false">AI35-AH36</f>
        <v>2064.93684762419</v>
      </c>
      <c r="AJ36" s="113"/>
      <c r="AK36" s="141" t="n">
        <f aca="false">N36+O36+P36+Q36+R36+S36+T36+U36+X36+AE36+AH36</f>
        <v>21.36</v>
      </c>
      <c r="AL36" s="142" t="n">
        <f aca="false">IF(L36&lt;0,L36*-1,0)</f>
        <v>0</v>
      </c>
      <c r="AM36" s="142" t="n">
        <f aca="false">AK36+AL36</f>
        <v>21.36</v>
      </c>
      <c r="AN36" s="231"/>
      <c r="AO36" s="143"/>
      <c r="AP36" s="232"/>
      <c r="AV36" s="233" t="n">
        <v>0</v>
      </c>
      <c r="AW36" s="113" t="n">
        <v>34</v>
      </c>
      <c r="AX36" s="226" t="n">
        <v>8</v>
      </c>
      <c r="AY36" s="234"/>
      <c r="AZ36" s="264" t="n">
        <f aca="false">SUM(N36,P36:U36)</f>
        <v>3.46</v>
      </c>
      <c r="BA36" s="193" t="n">
        <v>0</v>
      </c>
      <c r="BB36" s="265" t="n">
        <v>6851</v>
      </c>
    </row>
    <row r="37" customFormat="false" ht="12.95" hidden="false" customHeight="true" outlineLevel="0" collapsed="false">
      <c r="A37" s="192" t="n">
        <f aca="false">A36+1</f>
        <v>23</v>
      </c>
      <c r="B37" s="112" t="n">
        <v>6867.73</v>
      </c>
      <c r="C37" s="113" t="n">
        <v>181856</v>
      </c>
      <c r="D37" s="226" t="n">
        <f aca="false">C37-C36</f>
        <v>103</v>
      </c>
      <c r="E37" s="113" t="n">
        <f aca="false">C37-152000</f>
        <v>29856</v>
      </c>
      <c r="F37" s="260" t="n">
        <f aca="false">D37/$D$2</f>
        <v>51.9284093773632</v>
      </c>
      <c r="G37" s="142" t="n">
        <v>56</v>
      </c>
      <c r="H37" s="261" t="n">
        <v>0</v>
      </c>
      <c r="I37" s="142" t="n">
        <f aca="false">G37+H37</f>
        <v>56</v>
      </c>
      <c r="J37" s="143" t="n">
        <f aca="false">IF(L37&gt;0,L37,0)</f>
        <v>17.0784093773632</v>
      </c>
      <c r="K37" s="142" t="n">
        <f aca="false">I37+J37</f>
        <v>73.0784093773633</v>
      </c>
      <c r="L37" s="142" t="n">
        <f aca="false">F37-(I37-AK37)</f>
        <v>17.0784093773632</v>
      </c>
      <c r="M37" s="262" t="n">
        <v>3.25</v>
      </c>
      <c r="N37" s="142" t="n">
        <v>0</v>
      </c>
      <c r="O37" s="142" t="n">
        <f aca="false">0*1.05</f>
        <v>0</v>
      </c>
      <c r="P37" s="171" t="n">
        <v>0</v>
      </c>
      <c r="Q37" s="138" t="n">
        <f aca="false">1053300/325851/1.9835*1.02</f>
        <v>1.66226780311796</v>
      </c>
      <c r="R37" s="138" t="n">
        <f aca="false">((1426656/646272)*1.04)-T37</f>
        <v>1.85221123346405</v>
      </c>
      <c r="S37" s="138" t="n">
        <v>0</v>
      </c>
      <c r="T37" s="138" t="n">
        <f aca="false">(0.4024*1.06)*1.04</f>
        <v>0.44360576</v>
      </c>
      <c r="U37" s="101" t="n">
        <f aca="false">M37-(Q37+R37+S37+T37)</f>
        <v>-0.708084796582007</v>
      </c>
      <c r="V37" s="142" t="n">
        <v>0</v>
      </c>
      <c r="W37" s="142" t="n">
        <v>0</v>
      </c>
      <c r="X37" s="142" t="n">
        <f aca="false">M37-N37-P37-O37-Q37-R37-S37-T37-U37+V37+W37</f>
        <v>0</v>
      </c>
      <c r="Y37" s="142" t="n">
        <f aca="false">X37-AO37</f>
        <v>0</v>
      </c>
      <c r="Z37" s="143"/>
      <c r="AA37" s="142"/>
      <c r="AB37" s="143"/>
      <c r="AC37" s="143"/>
      <c r="AD37" s="113"/>
      <c r="AE37" s="142" t="n">
        <v>0</v>
      </c>
      <c r="AF37" s="262"/>
      <c r="AG37" s="263"/>
      <c r="AH37" s="142" t="n">
        <v>17.9</v>
      </c>
      <c r="AI37" s="113" t="n">
        <f aca="false">AI36-AH37</f>
        <v>2047.03684762419</v>
      </c>
      <c r="AJ37" s="113"/>
      <c r="AK37" s="141" t="n">
        <f aca="false">N37+O37+P37+Q37+R37+S37+T37+U37+X37+AE37+AH37</f>
        <v>21.15</v>
      </c>
      <c r="AL37" s="142" t="n">
        <f aca="false">IF(L37&lt;0,L37*-1,0)</f>
        <v>0</v>
      </c>
      <c r="AM37" s="142" t="n">
        <f aca="false">AK37+AL37</f>
        <v>21.15</v>
      </c>
      <c r="AN37" s="231"/>
      <c r="AO37" s="143"/>
      <c r="AP37" s="232"/>
      <c r="AV37" s="233" t="n">
        <v>0</v>
      </c>
      <c r="AW37" s="113" t="n">
        <v>41</v>
      </c>
      <c r="AX37" s="232" t="n">
        <v>17</v>
      </c>
      <c r="AY37" s="266"/>
      <c r="AZ37" s="264" t="n">
        <f aca="false">SUM(N37,P37:U37)</f>
        <v>3.25</v>
      </c>
      <c r="BA37" s="193" t="n">
        <v>0</v>
      </c>
      <c r="BB37" s="265" t="n">
        <v>6862</v>
      </c>
    </row>
    <row r="38" customFormat="false" ht="12.95" hidden="false" customHeight="true" outlineLevel="0" collapsed="false">
      <c r="A38" s="192" t="n">
        <f aca="false">A37+1</f>
        <v>24</v>
      </c>
      <c r="B38" s="112" t="n">
        <v>6867.77</v>
      </c>
      <c r="C38" s="113" t="n">
        <v>181959</v>
      </c>
      <c r="D38" s="226" t="n">
        <f aca="false">C38-C37</f>
        <v>103</v>
      </c>
      <c r="E38" s="113" t="n">
        <f aca="false">C38-152000</f>
        <v>29959</v>
      </c>
      <c r="F38" s="260" t="n">
        <f aca="false">D38/$D$2</f>
        <v>51.9284093773632</v>
      </c>
      <c r="G38" s="142" t="n">
        <v>56</v>
      </c>
      <c r="H38" s="261" t="n">
        <v>0</v>
      </c>
      <c r="I38" s="142" t="n">
        <f aca="false">G38+H38</f>
        <v>56</v>
      </c>
      <c r="J38" s="143" t="n">
        <f aca="false">IF(L38&gt;0,L38,0)</f>
        <v>17.0484093773632</v>
      </c>
      <c r="K38" s="142" t="n">
        <f aca="false">I38+J38</f>
        <v>73.0484093773632</v>
      </c>
      <c r="L38" s="142" t="n">
        <f aca="false">F38-(I38-AK38)</f>
        <v>17.0484093773632</v>
      </c>
      <c r="M38" s="262" t="n">
        <v>3.22</v>
      </c>
      <c r="N38" s="142" t="n">
        <v>0</v>
      </c>
      <c r="O38" s="142" t="n">
        <f aca="false">0*1.05</f>
        <v>0</v>
      </c>
      <c r="P38" s="171" t="n">
        <v>0</v>
      </c>
      <c r="Q38" s="138" t="n">
        <f aca="false">910100/325851/1.9835*1.02</f>
        <v>1.43627639572548</v>
      </c>
      <c r="R38" s="138" t="n">
        <f aca="false">((1535616/646272)*1.04)-T38</f>
        <v>2.02755288527629</v>
      </c>
      <c r="S38" s="138" t="n">
        <v>0</v>
      </c>
      <c r="T38" s="138" t="n">
        <f aca="false">(0.4024*1.06)*1.04</f>
        <v>0.44360576</v>
      </c>
      <c r="U38" s="101" t="n">
        <f aca="false">M38-(Q38+R38+S38+T38)</f>
        <v>-0.687435041001775</v>
      </c>
      <c r="V38" s="142" t="n">
        <v>0</v>
      </c>
      <c r="W38" s="142" t="n">
        <v>0</v>
      </c>
      <c r="X38" s="142" t="n">
        <f aca="false">M38-N38-P38-O38-Q38-R38-S38-T38-U38+V38+W38</f>
        <v>0</v>
      </c>
      <c r="Y38" s="142" t="n">
        <f aca="false">X38-AO38</f>
        <v>0</v>
      </c>
      <c r="Z38" s="143"/>
      <c r="AA38" s="142"/>
      <c r="AB38" s="143"/>
      <c r="AC38" s="143"/>
      <c r="AD38" s="113"/>
      <c r="AE38" s="142" t="n">
        <v>0</v>
      </c>
      <c r="AF38" s="262"/>
      <c r="AG38" s="263"/>
      <c r="AH38" s="142" t="n">
        <v>17.9</v>
      </c>
      <c r="AI38" s="113" t="n">
        <f aca="false">AI37-AH38</f>
        <v>2029.13684762419</v>
      </c>
      <c r="AJ38" s="113"/>
      <c r="AK38" s="141" t="n">
        <f aca="false">N38+O38+P38+Q38+R38+S38+T38+U38+X38+AE38+AH38</f>
        <v>21.12</v>
      </c>
      <c r="AL38" s="142" t="n">
        <f aca="false">IF(L38&lt;0,L38*-1,0)</f>
        <v>0</v>
      </c>
      <c r="AM38" s="142" t="n">
        <f aca="false">AK38+AL38</f>
        <v>21.12</v>
      </c>
      <c r="AN38" s="231"/>
      <c r="AO38" s="143"/>
      <c r="AP38" s="232"/>
      <c r="AV38" s="233" t="n">
        <v>0</v>
      </c>
      <c r="AW38" s="113" t="n">
        <v>46</v>
      </c>
      <c r="AX38" s="232" t="n">
        <v>18</v>
      </c>
      <c r="AY38" s="266"/>
      <c r="AZ38" s="264" t="n">
        <f aca="false">SUM(N38,P38:U38)</f>
        <v>3.22</v>
      </c>
      <c r="BA38" s="193" t="n">
        <v>0</v>
      </c>
      <c r="BB38" s="265" t="n">
        <v>6857</v>
      </c>
    </row>
    <row r="39" customFormat="false" ht="12.95" hidden="false" customHeight="true" outlineLevel="0" collapsed="false">
      <c r="A39" s="192" t="n">
        <f aca="false">A38+1</f>
        <v>25</v>
      </c>
      <c r="B39" s="112" t="n">
        <v>6867.81</v>
      </c>
      <c r="C39" s="113" t="n">
        <v>182061</v>
      </c>
      <c r="D39" s="226" t="n">
        <f aca="false">C39-C38</f>
        <v>102</v>
      </c>
      <c r="E39" s="113" t="n">
        <f aca="false">C39-152000</f>
        <v>30061</v>
      </c>
      <c r="F39" s="260" t="n">
        <f aca="false">D39/$D$2</f>
        <v>51.4242500630199</v>
      </c>
      <c r="G39" s="142" t="n">
        <v>56</v>
      </c>
      <c r="H39" s="261" t="n">
        <v>0</v>
      </c>
      <c r="I39" s="142" t="n">
        <f aca="false">G39+H39</f>
        <v>56</v>
      </c>
      <c r="J39" s="143" t="n">
        <f aca="false">IF(L39&gt;0,L39,0)</f>
        <v>16.6942500630199</v>
      </c>
      <c r="K39" s="142" t="n">
        <f aca="false">I39+J39</f>
        <v>72.6942500630199</v>
      </c>
      <c r="L39" s="142" t="n">
        <f aca="false">F39-(I39-AK39)</f>
        <v>16.6942500630199</v>
      </c>
      <c r="M39" s="262" t="n">
        <v>3.37</v>
      </c>
      <c r="N39" s="142" t="n">
        <v>0</v>
      </c>
      <c r="O39" s="142" t="n">
        <f aca="false">0*1.05</f>
        <v>0</v>
      </c>
      <c r="P39" s="171" t="n">
        <v>0</v>
      </c>
      <c r="Q39" s="138" t="n">
        <f aca="false">996600/325851/1.9835*1.02</f>
        <v>1.572786568487</v>
      </c>
      <c r="R39" s="138" t="n">
        <f aca="false">((1381264/646272)*1.04)-T39</f>
        <v>1.77916508571202</v>
      </c>
      <c r="S39" s="138" t="n">
        <v>0</v>
      </c>
      <c r="T39" s="138" t="n">
        <f aca="false">(0.4024*1.06)*1.04</f>
        <v>0.44360576</v>
      </c>
      <c r="U39" s="101" t="n">
        <f aca="false">M39-(Q39+R39+S39+T39)</f>
        <v>-0.425557414199019</v>
      </c>
      <c r="V39" s="142" t="n">
        <v>0</v>
      </c>
      <c r="W39" s="142" t="n">
        <v>0</v>
      </c>
      <c r="X39" s="142" t="n">
        <f aca="false">M39-N39-P39-O39-Q39-R39-S39-T39-U39+V39+W39</f>
        <v>0</v>
      </c>
      <c r="Y39" s="142" t="n">
        <f aca="false">X39-AO39</f>
        <v>0</v>
      </c>
      <c r="Z39" s="143"/>
      <c r="AA39" s="142"/>
      <c r="AB39" s="143"/>
      <c r="AC39" s="143"/>
      <c r="AD39" s="113"/>
      <c r="AE39" s="142" t="n">
        <v>0</v>
      </c>
      <c r="AF39" s="262"/>
      <c r="AG39" s="263"/>
      <c r="AH39" s="142" t="n">
        <v>17.9</v>
      </c>
      <c r="AI39" s="113" t="n">
        <f aca="false">AI38-AH39</f>
        <v>2011.23684762419</v>
      </c>
      <c r="AJ39" s="113"/>
      <c r="AK39" s="141" t="n">
        <f aca="false">N39+O39+P39+Q39+R39+S39+T39+U39+X39+AE39+AH39</f>
        <v>21.27</v>
      </c>
      <c r="AL39" s="142" t="n">
        <f aca="false">IF(L39&lt;0,L39*-1,0)</f>
        <v>0</v>
      </c>
      <c r="AM39" s="142" t="n">
        <f aca="false">AK39+AL39</f>
        <v>21.27</v>
      </c>
      <c r="AN39" s="231"/>
      <c r="AO39" s="143"/>
      <c r="AP39" s="232"/>
      <c r="AV39" s="233" t="n">
        <v>0</v>
      </c>
      <c r="AW39" s="113" t="n">
        <v>48</v>
      </c>
      <c r="AX39" s="232" t="n">
        <v>17</v>
      </c>
      <c r="AY39" s="266"/>
      <c r="AZ39" s="264" t="n">
        <f aca="false">SUM(N39,P39:U39)</f>
        <v>3.37</v>
      </c>
      <c r="BA39" s="193" t="n">
        <v>0</v>
      </c>
      <c r="BB39" s="265" t="n">
        <v>6848</v>
      </c>
    </row>
    <row r="40" customFormat="false" ht="12.95" hidden="false" customHeight="true" outlineLevel="0" collapsed="false">
      <c r="A40" s="192" t="n">
        <f aca="false">A39+1</f>
        <v>26</v>
      </c>
      <c r="B40" s="112" t="n">
        <v>6867.84</v>
      </c>
      <c r="C40" s="113" t="n">
        <v>182139</v>
      </c>
      <c r="D40" s="226" t="n">
        <f aca="false">C40-C39</f>
        <v>78</v>
      </c>
      <c r="E40" s="113" t="n">
        <f aca="false">C40-152000</f>
        <v>30139</v>
      </c>
      <c r="F40" s="260" t="n">
        <f aca="false">D40/$D$2</f>
        <v>39.3244265187799</v>
      </c>
      <c r="G40" s="142" t="n">
        <v>55</v>
      </c>
      <c r="H40" s="261" t="n">
        <v>0</v>
      </c>
      <c r="I40" s="142" t="n">
        <f aca="false">G40+H40</f>
        <v>55</v>
      </c>
      <c r="J40" s="143" t="n">
        <f aca="false">IF(L40&gt;0,L40,0)</f>
        <v>5.06442651877993</v>
      </c>
      <c r="K40" s="142" t="n">
        <f aca="false">I40+J40</f>
        <v>60.0644265187799</v>
      </c>
      <c r="L40" s="142" t="n">
        <f aca="false">F40-(I40-AK40)</f>
        <v>5.06442651877993</v>
      </c>
      <c r="M40" s="262" t="n">
        <v>2.84</v>
      </c>
      <c r="N40" s="142" t="n">
        <v>0</v>
      </c>
      <c r="O40" s="142" t="n">
        <f aca="false">0*1.05</f>
        <v>0</v>
      </c>
      <c r="P40" s="171" t="n">
        <v>0</v>
      </c>
      <c r="Q40" s="138" t="n">
        <f aca="false">929500/325851/1.9835*1.02</f>
        <v>1.46689255007893</v>
      </c>
      <c r="R40" s="138" t="n">
        <f aca="false">((1503696/646272)*1.04)-T40</f>
        <v>1.97618627802733</v>
      </c>
      <c r="S40" s="138" t="n">
        <v>0</v>
      </c>
      <c r="T40" s="138" t="n">
        <f aca="false">(0.4024*1.06)*1.04</f>
        <v>0.44360576</v>
      </c>
      <c r="U40" s="101" t="n">
        <f aca="false">M40-(Q40+R40+S40+T40)</f>
        <v>-1.04668458810626</v>
      </c>
      <c r="V40" s="142" t="n">
        <v>0</v>
      </c>
      <c r="W40" s="142" t="n">
        <v>0</v>
      </c>
      <c r="X40" s="142" t="n">
        <f aca="false">M40-N40-P40-O40-Q40-R40-S40-T40-U40+V40+W40</f>
        <v>0</v>
      </c>
      <c r="Y40" s="142" t="n">
        <f aca="false">X40-AO40</f>
        <v>0</v>
      </c>
      <c r="Z40" s="143"/>
      <c r="AA40" s="142"/>
      <c r="AB40" s="143"/>
      <c r="AC40" s="143"/>
      <c r="AD40" s="113"/>
      <c r="AE40" s="142" t="n">
        <v>0</v>
      </c>
      <c r="AF40" s="262"/>
      <c r="AG40" s="263"/>
      <c r="AH40" s="142" t="n">
        <v>17.9</v>
      </c>
      <c r="AI40" s="113" t="n">
        <f aca="false">AI39-AH40</f>
        <v>1993.33684762419</v>
      </c>
      <c r="AJ40" s="113"/>
      <c r="AK40" s="141" t="n">
        <f aca="false">N40+O40+P40+Q40+R40+S40+T40+U40+X40+AE40+AH40</f>
        <v>20.74</v>
      </c>
      <c r="AL40" s="142" t="n">
        <f aca="false">IF(L40&lt;0,L40*-1,0)</f>
        <v>0</v>
      </c>
      <c r="AM40" s="142" t="n">
        <f aca="false">AK40+AL40</f>
        <v>20.74</v>
      </c>
      <c r="AN40" s="231"/>
      <c r="AO40" s="143"/>
      <c r="AP40" s="232"/>
      <c r="AV40" s="233" t="n">
        <v>0</v>
      </c>
      <c r="AW40" s="113" t="n">
        <v>50</v>
      </c>
      <c r="AX40" s="226" t="n">
        <v>16</v>
      </c>
      <c r="AY40" s="234"/>
      <c r="AZ40" s="264" t="n">
        <f aca="false">SUM(N40,P40:U40)</f>
        <v>2.84</v>
      </c>
      <c r="BA40" s="193" t="n">
        <v>0</v>
      </c>
      <c r="BB40" s="265" t="n">
        <v>6843</v>
      </c>
    </row>
    <row r="41" customFormat="false" ht="12.95" hidden="false" customHeight="true" outlineLevel="0" collapsed="false">
      <c r="A41" s="192" t="n">
        <f aca="false">A40+1</f>
        <v>27</v>
      </c>
      <c r="B41" s="112" t="n">
        <v>6867.88</v>
      </c>
      <c r="C41" s="113" t="n">
        <v>182241</v>
      </c>
      <c r="D41" s="226" t="n">
        <f aca="false">C41-C40</f>
        <v>102</v>
      </c>
      <c r="E41" s="113" t="n">
        <f aca="false">C41-152000</f>
        <v>30241</v>
      </c>
      <c r="F41" s="260" t="n">
        <f aca="false">D41/$D$2</f>
        <v>51.4242500630199</v>
      </c>
      <c r="G41" s="142" t="n">
        <v>56</v>
      </c>
      <c r="H41" s="261" t="n">
        <v>0</v>
      </c>
      <c r="I41" s="142" t="n">
        <f aca="false">G41+H41</f>
        <v>56</v>
      </c>
      <c r="J41" s="143" t="n">
        <f aca="false">IF(L41&gt;0,L41,0)</f>
        <v>16.2242500630199</v>
      </c>
      <c r="K41" s="142" t="n">
        <f aca="false">I41+J41</f>
        <v>72.2242500630199</v>
      </c>
      <c r="L41" s="142" t="n">
        <f aca="false">F41-(I41-AK41)</f>
        <v>16.2242500630199</v>
      </c>
      <c r="M41" s="262" t="n">
        <v>2.9</v>
      </c>
      <c r="N41" s="142" t="n">
        <v>0</v>
      </c>
      <c r="O41" s="142" t="n">
        <f aca="false">0*1.05</f>
        <v>0</v>
      </c>
      <c r="P41" s="171" t="n">
        <v>0</v>
      </c>
      <c r="Q41" s="138" t="n">
        <f aca="false">935400/325851/1.9835*1.02</f>
        <v>1.47620364856787</v>
      </c>
      <c r="R41" s="138" t="n">
        <f aca="false">((1193232/646272)*1.04)-T41</f>
        <v>1.46720803489008</v>
      </c>
      <c r="S41" s="138" t="n">
        <v>0</v>
      </c>
      <c r="T41" s="138" t="n">
        <f aca="false">(0.4109*1.06)*1.04</f>
        <v>0.45297616</v>
      </c>
      <c r="U41" s="101" t="n">
        <f aca="false">M41-(Q41+R41+S41+T41)</f>
        <v>-0.496387843457946</v>
      </c>
      <c r="V41" s="142" t="n">
        <v>0</v>
      </c>
      <c r="W41" s="142" t="n">
        <v>0</v>
      </c>
      <c r="X41" s="142" t="n">
        <f aca="false">M41-N41-P41-O41-Q41-R41-S41-T41-U41+V41+W41</f>
        <v>0</v>
      </c>
      <c r="Y41" s="142" t="n">
        <f aca="false">X41-AO41</f>
        <v>0</v>
      </c>
      <c r="Z41" s="143"/>
      <c r="AA41" s="142"/>
      <c r="AB41" s="143"/>
      <c r="AC41" s="143"/>
      <c r="AD41" s="113"/>
      <c r="AE41" s="142" t="n">
        <v>0</v>
      </c>
      <c r="AF41" s="262"/>
      <c r="AG41" s="263"/>
      <c r="AH41" s="142" t="n">
        <v>17.9</v>
      </c>
      <c r="AI41" s="113" t="n">
        <f aca="false">AI40-AH41</f>
        <v>1975.43684762419</v>
      </c>
      <c r="AJ41" s="113"/>
      <c r="AK41" s="141" t="n">
        <f aca="false">N41+O41+P41+Q41+R41+S41+T41+U41+X41+AE41+AH41</f>
        <v>20.8</v>
      </c>
      <c r="AL41" s="142" t="n">
        <f aca="false">IF(L41&lt;0,L41*-1,0)</f>
        <v>0</v>
      </c>
      <c r="AM41" s="142" t="n">
        <f aca="false">AK41+AL41</f>
        <v>20.8</v>
      </c>
      <c r="AN41" s="231"/>
      <c r="AO41" s="143"/>
      <c r="AP41" s="232"/>
      <c r="AV41" s="233" t="n">
        <v>0</v>
      </c>
      <c r="AW41" s="113" t="n">
        <v>48</v>
      </c>
      <c r="AX41" s="226" t="n">
        <v>18</v>
      </c>
      <c r="AY41" s="234"/>
      <c r="AZ41" s="264" t="n">
        <f aca="false">SUM(N41,P41:U41)</f>
        <v>2.9</v>
      </c>
      <c r="BA41" s="193" t="n">
        <v>0</v>
      </c>
      <c r="BB41" s="265" t="n">
        <v>6843</v>
      </c>
    </row>
    <row r="42" customFormat="false" ht="12.95" hidden="false" customHeight="true" outlineLevel="0" collapsed="false">
      <c r="A42" s="192" t="n">
        <f aca="false">A41+1</f>
        <v>28</v>
      </c>
      <c r="B42" s="112" t="n">
        <v>6867.9</v>
      </c>
      <c r="C42" s="113" t="n">
        <v>182293</v>
      </c>
      <c r="D42" s="226" t="n">
        <f aca="false">C42-C41</f>
        <v>52</v>
      </c>
      <c r="E42" s="113" t="n">
        <f aca="false">C42-152000</f>
        <v>30293</v>
      </c>
      <c r="F42" s="260" t="n">
        <f aca="false">D42/$D$2</f>
        <v>26.2162843458533</v>
      </c>
      <c r="G42" s="142" t="n">
        <v>57</v>
      </c>
      <c r="H42" s="261" t="n">
        <v>0</v>
      </c>
      <c r="I42" s="142" t="n">
        <f aca="false">G42+H42</f>
        <v>57</v>
      </c>
      <c r="J42" s="143" t="n">
        <f aca="false">IF(L42&gt;0,L42,0)</f>
        <v>0</v>
      </c>
      <c r="K42" s="142" t="n">
        <f aca="false">I42+J42</f>
        <v>57</v>
      </c>
      <c r="L42" s="142" t="n">
        <f aca="false">F42-(I42-AK42)</f>
        <v>-9.98371565414671</v>
      </c>
      <c r="M42" s="262" t="n">
        <v>2.9</v>
      </c>
      <c r="N42" s="142" t="n">
        <v>0</v>
      </c>
      <c r="O42" s="142" t="n">
        <f aca="false">0*1.05</f>
        <v>0</v>
      </c>
      <c r="P42" s="171" t="n">
        <v>0</v>
      </c>
      <c r="Q42" s="138" t="n">
        <f aca="false">1033600/325851/1.9835*1.02</f>
        <v>1.63117820307863</v>
      </c>
      <c r="R42" s="138" t="n">
        <f aca="false">((1323168/646272)*1.04)-T42</f>
        <v>1.67630488575163</v>
      </c>
      <c r="S42" s="138" t="n">
        <v>0</v>
      </c>
      <c r="T42" s="138" t="n">
        <f aca="false">(0.4109*1.06)*1.04</f>
        <v>0.45297616</v>
      </c>
      <c r="U42" s="101" t="n">
        <f aca="false">M42-(Q42+R42+S42+T42)</f>
        <v>-0.860459248830261</v>
      </c>
      <c r="V42" s="142" t="n">
        <v>0</v>
      </c>
      <c r="W42" s="142" t="n">
        <v>0</v>
      </c>
      <c r="X42" s="142" t="n">
        <f aca="false">M42-N42-P42-O42-Q42-R42-S42-T42-U42+V42+W42</f>
        <v>0</v>
      </c>
      <c r="Y42" s="142" t="n">
        <f aca="false">X42-AO42</f>
        <v>0</v>
      </c>
      <c r="Z42" s="143"/>
      <c r="AA42" s="142"/>
      <c r="AB42" s="143"/>
      <c r="AC42" s="143"/>
      <c r="AD42" s="113"/>
      <c r="AE42" s="142" t="n">
        <v>0</v>
      </c>
      <c r="AF42" s="262"/>
      <c r="AG42" s="263"/>
      <c r="AH42" s="142" t="n">
        <v>17.9</v>
      </c>
      <c r="AI42" s="113" t="n">
        <f aca="false">AI41-AH42</f>
        <v>1957.53684762419</v>
      </c>
      <c r="AJ42" s="113"/>
      <c r="AK42" s="141" t="n">
        <f aca="false">N42+O42+P42+Q42+R42+S42+T42+U42+X42+AE42+AH42</f>
        <v>20.8</v>
      </c>
      <c r="AL42" s="142" t="n">
        <f aca="false">IF(L42&lt;0,L42*-1,0)</f>
        <v>9.98371565414671</v>
      </c>
      <c r="AM42" s="142" t="n">
        <f aca="false">AK42+AL42</f>
        <v>30.7837156541467</v>
      </c>
      <c r="AN42" s="231"/>
      <c r="AO42" s="143"/>
      <c r="AP42" s="232"/>
      <c r="AV42" s="233" t="n">
        <v>0</v>
      </c>
      <c r="AW42" s="113" t="n">
        <v>46</v>
      </c>
      <c r="AX42" s="226" t="n">
        <v>22</v>
      </c>
      <c r="AY42" s="234"/>
      <c r="AZ42" s="264" t="n">
        <f aca="false">SUM(N42,P42:U42)</f>
        <v>2.9</v>
      </c>
      <c r="BA42" s="193" t="n">
        <v>0</v>
      </c>
      <c r="BB42" s="265" t="n">
        <v>6843</v>
      </c>
    </row>
    <row r="43" customFormat="false" ht="12.95" hidden="false" customHeight="true" outlineLevel="0" collapsed="false">
      <c r="A43" s="192" t="n">
        <f aca="false">A42+1</f>
        <v>29</v>
      </c>
      <c r="B43" s="112" t="n">
        <v>6867.95</v>
      </c>
      <c r="C43" s="113" t="n">
        <v>182421</v>
      </c>
      <c r="D43" s="226" t="n">
        <f aca="false">C43-C42</f>
        <v>128</v>
      </c>
      <c r="E43" s="113" t="n">
        <f aca="false">C43-152000</f>
        <v>30421</v>
      </c>
      <c r="F43" s="260" t="n">
        <f aca="false">D43/$D$2</f>
        <v>64.5323922359466</v>
      </c>
      <c r="G43" s="142" t="n">
        <v>57</v>
      </c>
      <c r="H43" s="261" t="n">
        <v>0</v>
      </c>
      <c r="I43" s="142" t="n">
        <f aca="false">G43+H43</f>
        <v>57</v>
      </c>
      <c r="J43" s="143" t="n">
        <f aca="false">IF(L43&gt;0,L43,0)</f>
        <v>28.3323922359466</v>
      </c>
      <c r="K43" s="142" t="n">
        <f aca="false">I43+J43</f>
        <v>85.3323922359466</v>
      </c>
      <c r="L43" s="142" t="n">
        <f aca="false">F43-(I43-AK43)</f>
        <v>28.3323922359466</v>
      </c>
      <c r="M43" s="262" t="n">
        <v>2.9</v>
      </c>
      <c r="N43" s="142" t="n">
        <v>0</v>
      </c>
      <c r="O43" s="142" t="n">
        <f aca="false">0*1.05</f>
        <v>0</v>
      </c>
      <c r="P43" s="171" t="n">
        <v>0</v>
      </c>
      <c r="Q43" s="138" t="n">
        <f aca="false">982800/325851/1.9835*1.02</f>
        <v>1.55100806693661</v>
      </c>
      <c r="R43" s="138" t="n">
        <f aca="false">((1283408/646272)*1.04)-T43</f>
        <v>1.61232191882749</v>
      </c>
      <c r="S43" s="138" t="n">
        <v>0</v>
      </c>
      <c r="T43" s="138" t="n">
        <f aca="false">(0.4109*1.06)*1.04</f>
        <v>0.45297616</v>
      </c>
      <c r="U43" s="101" t="n">
        <f aca="false">M43-(Q43+R43+S43+T43)</f>
        <v>-0.716306145764096</v>
      </c>
      <c r="V43" s="142" t="n">
        <v>0</v>
      </c>
      <c r="W43" s="142" t="n">
        <v>0</v>
      </c>
      <c r="X43" s="142" t="n">
        <f aca="false">M43-N43-P43-O43-Q43-R43-S43-T43-U43+V43+W43</f>
        <v>0</v>
      </c>
      <c r="Y43" s="142" t="n">
        <f aca="false">X43-AO43</f>
        <v>0</v>
      </c>
      <c r="Z43" s="143"/>
      <c r="AA43" s="142"/>
      <c r="AB43" s="143"/>
      <c r="AC43" s="143"/>
      <c r="AD43" s="113"/>
      <c r="AE43" s="142" t="n">
        <v>0</v>
      </c>
      <c r="AF43" s="262"/>
      <c r="AG43" s="263"/>
      <c r="AH43" s="142" t="n">
        <v>17.9</v>
      </c>
      <c r="AI43" s="113" t="n">
        <f aca="false">AI42-AH43</f>
        <v>1939.63684762419</v>
      </c>
      <c r="AJ43" s="113"/>
      <c r="AK43" s="141" t="n">
        <f aca="false">N43+O43+P43+Q43+R43+S43+T43+U43+X43+AE43+AH43</f>
        <v>20.8</v>
      </c>
      <c r="AL43" s="142" t="n">
        <f aca="false">IF(L43&lt;0,L43*-1,0)</f>
        <v>0</v>
      </c>
      <c r="AM43" s="142" t="n">
        <f aca="false">AK43+AL43</f>
        <v>20.8</v>
      </c>
      <c r="AN43" s="231"/>
      <c r="AO43" s="143"/>
      <c r="AP43" s="232"/>
      <c r="AV43" s="233" t="n">
        <v>0</v>
      </c>
      <c r="AW43" s="113" t="n">
        <v>43</v>
      </c>
      <c r="AX43" s="226" t="n">
        <v>18</v>
      </c>
      <c r="AY43" s="234"/>
      <c r="AZ43" s="264" t="n">
        <f aca="false">SUM(N43,P43:U43)</f>
        <v>2.9</v>
      </c>
      <c r="BA43" s="193" t="n">
        <v>0</v>
      </c>
      <c r="BB43" s="265" t="n">
        <v>6828</v>
      </c>
    </row>
    <row r="44" customFormat="false" ht="12.95" hidden="false" customHeight="true" outlineLevel="0" collapsed="false">
      <c r="A44" s="192" t="n">
        <v>30</v>
      </c>
      <c r="B44" s="112" t="n">
        <v>6867.98</v>
      </c>
      <c r="C44" s="113" t="n">
        <v>182499</v>
      </c>
      <c r="D44" s="226" t="n">
        <f aca="false">C44-C43</f>
        <v>78</v>
      </c>
      <c r="E44" s="113" t="n">
        <f aca="false">C44-152000</f>
        <v>30499</v>
      </c>
      <c r="F44" s="260" t="n">
        <f aca="false">D44/$D$2</f>
        <v>39.3244265187799</v>
      </c>
      <c r="G44" s="142" t="n">
        <v>56</v>
      </c>
      <c r="H44" s="261" t="n">
        <v>0</v>
      </c>
      <c r="I44" s="142" t="n">
        <f aca="false">G44+H44</f>
        <v>56</v>
      </c>
      <c r="J44" s="143" t="n">
        <f aca="false">IF(L44&gt;0,L44,0)</f>
        <v>4.12442651877993</v>
      </c>
      <c r="K44" s="142" t="n">
        <f aca="false">I44+J44</f>
        <v>60.1244265187799</v>
      </c>
      <c r="L44" s="142" t="n">
        <f aca="false">F44-(I44-AK44)</f>
        <v>4.12442651877993</v>
      </c>
      <c r="M44" s="262" t="n">
        <v>2.9</v>
      </c>
      <c r="N44" s="142" t="n">
        <v>0</v>
      </c>
      <c r="O44" s="142" t="n">
        <f aca="false">0*1.05</f>
        <v>0</v>
      </c>
      <c r="P44" s="171" t="n">
        <v>0</v>
      </c>
      <c r="Q44" s="138" t="n">
        <f aca="false">1011400/325851/1.9835*1.02</f>
        <v>1.59614322232365</v>
      </c>
      <c r="R44" s="138" t="n">
        <f aca="false">((1307312/646272)*1.04)-T44</f>
        <v>1.6507889420004</v>
      </c>
      <c r="S44" s="138" t="n">
        <v>0</v>
      </c>
      <c r="T44" s="138" t="n">
        <f aca="false">(0.4109*1.06)*1.04</f>
        <v>0.45297616</v>
      </c>
      <c r="U44" s="101" t="n">
        <f aca="false">M44-(Q44+R44+S44+T44)</f>
        <v>-0.799908324324045</v>
      </c>
      <c r="V44" s="142" t="n">
        <v>0</v>
      </c>
      <c r="W44" s="142" t="n">
        <v>0</v>
      </c>
      <c r="X44" s="142" t="n">
        <f aca="false">M44-N44-P44-O44-Q44-R44-S44-T44-U44+V44+W44</f>
        <v>0</v>
      </c>
      <c r="Y44" s="142" t="n">
        <f aca="false">X44-AO44</f>
        <v>0</v>
      </c>
      <c r="Z44" s="143"/>
      <c r="AA44" s="142"/>
      <c r="AB44" s="143"/>
      <c r="AC44" s="143"/>
      <c r="AD44" s="113"/>
      <c r="AE44" s="142" t="n">
        <v>0</v>
      </c>
      <c r="AF44" s="262"/>
      <c r="AG44" s="263"/>
      <c r="AH44" s="142" t="n">
        <v>17.9</v>
      </c>
      <c r="AI44" s="113" t="n">
        <f aca="false">AI43-AH44</f>
        <v>1921.73684762419</v>
      </c>
      <c r="AJ44" s="113"/>
      <c r="AK44" s="141" t="n">
        <f aca="false">N44+O44+P44+Q44+R44+S44+T44+U44+X44+AE44+AH44</f>
        <v>20.8</v>
      </c>
      <c r="AL44" s="142" t="n">
        <f aca="false">IF(L44&lt;0,L44*-1,0)</f>
        <v>0</v>
      </c>
      <c r="AM44" s="142" t="n">
        <f aca="false">AK44+AL44</f>
        <v>20.8</v>
      </c>
      <c r="AN44" s="231"/>
      <c r="AO44" s="143"/>
      <c r="AP44" s="232"/>
      <c r="AV44" s="233" t="n">
        <v>0</v>
      </c>
      <c r="AW44" s="113" t="n">
        <v>45</v>
      </c>
      <c r="AX44" s="226" t="n">
        <v>16</v>
      </c>
      <c r="AY44" s="234"/>
      <c r="AZ44" s="264" t="n">
        <f aca="false">SUM(N44,P44:U44)</f>
        <v>2.9</v>
      </c>
      <c r="BA44" s="193" t="n">
        <v>0</v>
      </c>
      <c r="BB44" s="265" t="n">
        <v>6847</v>
      </c>
    </row>
    <row r="45" customFormat="false" ht="12.95" hidden="false" customHeight="true" outlineLevel="0" collapsed="false">
      <c r="A45" s="192" t="n">
        <v>31</v>
      </c>
      <c r="B45" s="112" t="n">
        <v>6868</v>
      </c>
      <c r="C45" s="113" t="n">
        <v>182550</v>
      </c>
      <c r="D45" s="226" t="n">
        <f aca="false">C45-C44</f>
        <v>51</v>
      </c>
      <c r="E45" s="113" t="n">
        <f aca="false">C45-152000</f>
        <v>30550</v>
      </c>
      <c r="F45" s="260" t="n">
        <f aca="false">D45/$D$2</f>
        <v>25.71212503151</v>
      </c>
      <c r="G45" s="142" t="n">
        <v>55</v>
      </c>
      <c r="H45" s="261" t="n">
        <v>0</v>
      </c>
      <c r="I45" s="142" t="n">
        <f aca="false">G45+H45</f>
        <v>55</v>
      </c>
      <c r="J45" s="143" t="n">
        <f aca="false">IF(L45&gt;0,L45,0)</f>
        <v>0</v>
      </c>
      <c r="K45" s="142" t="n">
        <f aca="false">I45+J45</f>
        <v>55</v>
      </c>
      <c r="L45" s="142" t="n">
        <f aca="false">F45-(I45-AK45)</f>
        <v>-8.48787496849005</v>
      </c>
      <c r="M45" s="262" t="n">
        <v>2.9</v>
      </c>
      <c r="N45" s="142" t="n">
        <v>0</v>
      </c>
      <c r="O45" s="142" t="n">
        <f aca="false">0*1.05</f>
        <v>0</v>
      </c>
      <c r="P45" s="171" t="n">
        <v>0</v>
      </c>
      <c r="Q45" s="138" t="n">
        <f aca="false">953600/325851/1.9835*1.02</f>
        <v>1.5049260201778</v>
      </c>
      <c r="R45" s="138" t="n">
        <f aca="false">((1359120/646272)*1.04)-T45</f>
        <v>1.73415990654783</v>
      </c>
      <c r="S45" s="138" t="n">
        <v>0</v>
      </c>
      <c r="T45" s="138" t="n">
        <f aca="false">(0.4109*1.06)*1.04</f>
        <v>0.45297616</v>
      </c>
      <c r="U45" s="101" t="n">
        <f aca="false">M45-(Q45+R45+S45+T45)</f>
        <v>-0.792062086725636</v>
      </c>
      <c r="V45" s="142" t="n">
        <v>0</v>
      </c>
      <c r="W45" s="142" t="n">
        <v>0</v>
      </c>
      <c r="X45" s="142" t="n">
        <f aca="false">M45-N45-P45-O45-Q45-R45-S45-T45-U45+V45+W45</f>
        <v>0</v>
      </c>
      <c r="Y45" s="142" t="n">
        <f aca="false">X45-AO45</f>
        <v>0</v>
      </c>
      <c r="Z45" s="143"/>
      <c r="AA45" s="142"/>
      <c r="AB45" s="143"/>
      <c r="AC45" s="143"/>
      <c r="AD45" s="113"/>
      <c r="AE45" s="142" t="n">
        <v>0</v>
      </c>
      <c r="AF45" s="262"/>
      <c r="AG45" s="263"/>
      <c r="AH45" s="142" t="n">
        <v>17.9</v>
      </c>
      <c r="AI45" s="113" t="n">
        <f aca="false">AI44-AH45</f>
        <v>1903.83684762419</v>
      </c>
      <c r="AJ45" s="113"/>
      <c r="AK45" s="141" t="n">
        <f aca="false">N45+O45+P45+Q45+R45+S45+T45+U45+X45+AE45+AH45</f>
        <v>20.8</v>
      </c>
      <c r="AL45" s="142" t="n">
        <f aca="false">IF(L45&lt;0,L45*-1,0)</f>
        <v>8.48787496849005</v>
      </c>
      <c r="AM45" s="260" t="n">
        <f aca="false">AK45+AL45</f>
        <v>29.28787496849</v>
      </c>
      <c r="AN45" s="226"/>
      <c r="AO45" s="143"/>
      <c r="AP45" s="232"/>
      <c r="AV45" s="233" t="n">
        <v>0</v>
      </c>
      <c r="AW45" s="113" t="n">
        <v>49</v>
      </c>
      <c r="AX45" s="226" t="n">
        <v>20</v>
      </c>
      <c r="AY45" s="234"/>
      <c r="AZ45" s="264" t="n">
        <f aca="false">SUM(N45,P45:U45)</f>
        <v>2.9</v>
      </c>
      <c r="BA45" s="193" t="n">
        <v>0</v>
      </c>
      <c r="BB45" s="265" t="n">
        <v>6827</v>
      </c>
    </row>
    <row r="46" customFormat="false" ht="3" hidden="false" customHeight="true" outlineLevel="0" collapsed="false">
      <c r="A46" s="245"/>
      <c r="B46" s="267"/>
      <c r="C46" s="247"/>
      <c r="D46" s="248"/>
      <c r="E46" s="247"/>
      <c r="F46" s="249"/>
      <c r="G46" s="248"/>
      <c r="H46" s="250"/>
      <c r="I46" s="248"/>
      <c r="J46" s="248"/>
      <c r="K46" s="248"/>
      <c r="L46" s="248"/>
      <c r="M46" s="248"/>
      <c r="N46" s="248"/>
      <c r="O46" s="248"/>
      <c r="P46" s="252"/>
      <c r="Q46" s="248"/>
      <c r="R46" s="248"/>
      <c r="S46" s="248"/>
      <c r="T46" s="248"/>
      <c r="U46" s="253"/>
      <c r="V46" s="248"/>
      <c r="W46" s="248"/>
      <c r="X46" s="248" t="n">
        <f aca="false">M46-N46-O46-Q46-R46-S46+V46+W46</f>
        <v>0</v>
      </c>
      <c r="Y46" s="248" t="n">
        <f aca="false">N46-O46-P46-R46-S46-U46+W46+X46</f>
        <v>0</v>
      </c>
      <c r="Z46" s="254"/>
      <c r="AA46" s="248"/>
      <c r="AB46" s="254"/>
      <c r="AC46" s="254"/>
      <c r="AD46" s="247"/>
      <c r="AE46" s="248"/>
      <c r="AF46" s="251"/>
      <c r="AG46" s="255"/>
      <c r="AH46" s="268"/>
      <c r="AI46" s="248"/>
      <c r="AJ46" s="248"/>
      <c r="AK46" s="248" t="n">
        <f aca="false">N46+O46+Q46+R46+S46+X46+AE46+AH46</f>
        <v>0</v>
      </c>
      <c r="AL46" s="248"/>
      <c r="AM46" s="249"/>
      <c r="AN46" s="257"/>
      <c r="AO46" s="254"/>
      <c r="AP46" s="257"/>
      <c r="AQ46" s="258"/>
      <c r="AR46" s="258"/>
      <c r="AS46" s="258"/>
      <c r="AT46" s="258"/>
      <c r="AU46" s="257"/>
      <c r="AV46" s="259"/>
      <c r="AW46" s="257"/>
      <c r="AX46" s="257" t="s">
        <v>118</v>
      </c>
      <c r="AY46" s="257" t="s">
        <v>118</v>
      </c>
      <c r="AZ46" s="257" t="s">
        <v>118</v>
      </c>
      <c r="BA46" s="257" t="s">
        <v>118</v>
      </c>
      <c r="BB46" s="257" t="s">
        <v>118</v>
      </c>
    </row>
    <row r="47" customFormat="false" ht="12.95" hidden="false" customHeight="true" outlineLevel="0" collapsed="false">
      <c r="A47" s="194" t="s">
        <v>105</v>
      </c>
      <c r="B47" s="224"/>
      <c r="C47" s="113"/>
      <c r="D47" s="113"/>
      <c r="E47" s="113"/>
      <c r="F47" s="225" t="n">
        <f aca="false">SUM(F15:F45)</f>
        <v>1577.51449458029</v>
      </c>
      <c r="G47" s="113" t="n">
        <f aca="false">SUM(G15:G45)</f>
        <v>1897</v>
      </c>
      <c r="H47" s="113" t="n">
        <f aca="false">SUM(H15:H45)</f>
        <v>1.085</v>
      </c>
      <c r="I47" s="113" t="n">
        <f aca="false">SUM(I15:I45)</f>
        <v>1898.085</v>
      </c>
      <c r="J47" s="113" t="n">
        <f aca="false">SUM(J15:J45)</f>
        <v>560.878925636501</v>
      </c>
      <c r="K47" s="113" t="n">
        <f aca="false">SUM(K15:K45)</f>
        <v>2458.9639256365</v>
      </c>
      <c r="L47" s="113" t="n">
        <f aca="false">SUM(L15:L45)</f>
        <v>335.349494580287</v>
      </c>
      <c r="M47" s="227" t="n">
        <f aca="false">SUM(M15:M45)</f>
        <v>101.02</v>
      </c>
      <c r="N47" s="113" t="n">
        <f aca="false">SUM(N15:N45)</f>
        <v>0</v>
      </c>
      <c r="O47" s="113" t="n">
        <f aca="false">SUM(O15:O45)</f>
        <v>0</v>
      </c>
      <c r="P47" s="171"/>
      <c r="Q47" s="113" t="n">
        <f aca="false">SUM(Q15:Q45)</f>
        <v>50.556581936034</v>
      </c>
      <c r="R47" s="113" t="n">
        <f aca="false">SUM(R15:R45)</f>
        <v>56.2386126566053</v>
      </c>
      <c r="S47" s="113" t="n">
        <f aca="false">SUM(S15:S45)</f>
        <v>0</v>
      </c>
      <c r="T47" s="113" t="n">
        <f aca="false">SUM(T15:T45)</f>
        <v>14.1994632</v>
      </c>
      <c r="U47" s="228" t="n">
        <f aca="false">SUM(U15:U45)</f>
        <v>-19.9746577926393</v>
      </c>
      <c r="V47" s="113" t="n">
        <f aca="false">SUM(V15:V45)</f>
        <v>0</v>
      </c>
      <c r="W47" s="113" t="n">
        <f aca="false">SUM(W15:W45)</f>
        <v>0</v>
      </c>
      <c r="X47" s="113" t="n">
        <f aca="false">SUM(X15:X45)</f>
        <v>0</v>
      </c>
      <c r="Y47" s="113" t="n">
        <f aca="false">SUM(Y15:Y45)</f>
        <v>0</v>
      </c>
      <c r="Z47" s="143"/>
      <c r="AA47" s="113"/>
      <c r="AB47" s="143"/>
      <c r="AC47" s="142" t="n">
        <f aca="false">SUM(AC15:AC45)</f>
        <v>0</v>
      </c>
      <c r="AD47" s="113"/>
      <c r="AE47" s="113"/>
      <c r="AF47" s="227"/>
      <c r="AG47" s="229"/>
      <c r="AH47" s="113" t="n">
        <f aca="false">SUM(AH15:AH45)</f>
        <v>554.9</v>
      </c>
      <c r="AI47" s="113"/>
      <c r="AJ47" s="84" t="n">
        <f aca="false">SUM(AJ15:AJ45)</f>
        <v>0</v>
      </c>
      <c r="AK47" s="113" t="n">
        <f aca="false">SUM(AK15:AK45)</f>
        <v>655.92</v>
      </c>
      <c r="AL47" s="113" t="n">
        <f aca="false">SUM(AL15:AL45)</f>
        <v>225.529431056214</v>
      </c>
      <c r="AM47" s="225" t="n">
        <f aca="false">SUM(AM15:AM45)</f>
        <v>881.449431056214</v>
      </c>
      <c r="AN47" s="113" t="n">
        <f aca="false">SUM(AN15:AN45)</f>
        <v>0</v>
      </c>
      <c r="AO47" s="143" t="n">
        <f aca="false">SUM(AO15:AO45)</f>
        <v>0</v>
      </c>
      <c r="AP47" s="232"/>
      <c r="AV47" s="233" t="n">
        <f aca="false">SUM(AV15:AV45)</f>
        <v>0.41</v>
      </c>
      <c r="AW47" s="226" t="n">
        <f aca="false">AVERAGE(AW15:AW45)</f>
        <v>42.0967741935484</v>
      </c>
      <c r="AX47" s="226" t="n">
        <f aca="false">AVERAGE(AX15:AX45)</f>
        <v>13.5806451612903</v>
      </c>
      <c r="AY47" s="234" t="s">
        <v>106</v>
      </c>
      <c r="AZ47" s="269" t="n">
        <f aca="false">SUM(AZ15:AZ45)</f>
        <v>101.02</v>
      </c>
      <c r="BA47" s="193" t="n">
        <f aca="false">SUM(BA15:BA45)</f>
        <v>0</v>
      </c>
      <c r="BB47" s="265"/>
    </row>
    <row r="48" customFormat="false" ht="12.95" hidden="false" customHeight="true" outlineLevel="0" collapsed="false">
      <c r="A48" s="194" t="s">
        <v>107</v>
      </c>
      <c r="B48" s="224"/>
      <c r="C48" s="113"/>
      <c r="D48" s="113" t="n">
        <f aca="false">SUM(D15:D45)</f>
        <v>3129</v>
      </c>
      <c r="E48" s="113"/>
      <c r="F48" s="225" t="n">
        <f aca="false">F47*$D$2</f>
        <v>3129</v>
      </c>
      <c r="G48" s="113" t="n">
        <f aca="false">G47*$D$2</f>
        <v>3762.6995</v>
      </c>
      <c r="H48" s="113" t="n">
        <f aca="false">H47*$D$2</f>
        <v>2.1520975</v>
      </c>
      <c r="I48" s="113" t="n">
        <f aca="false">I47*$D$2</f>
        <v>3764.8515975</v>
      </c>
      <c r="J48" s="113" t="n">
        <f aca="false">J47*$D$2</f>
        <v>1112.503349</v>
      </c>
      <c r="K48" s="113" t="n">
        <f aca="false">K47*$D$2</f>
        <v>4877.3549465</v>
      </c>
      <c r="L48" s="113" t="n">
        <f aca="false">L47*$D$2</f>
        <v>665.1657225</v>
      </c>
      <c r="M48" s="227" t="n">
        <f aca="false">M47*$D$2</f>
        <v>200.37317</v>
      </c>
      <c r="N48" s="113" t="n">
        <f aca="false">N47*$D$2</f>
        <v>0</v>
      </c>
      <c r="O48" s="113" t="n">
        <f aca="false">O47*$D$2</f>
        <v>0</v>
      </c>
      <c r="P48" s="171"/>
      <c r="Q48" s="113" t="n">
        <f aca="false">Q47*$D$2</f>
        <v>100.278980270123</v>
      </c>
      <c r="R48" s="113" t="n">
        <f aca="false">R47*$D$2</f>
        <v>111.549288204377</v>
      </c>
      <c r="S48" s="113" t="n">
        <f aca="false">S47*$D$2</f>
        <v>0</v>
      </c>
      <c r="T48" s="113" t="n">
        <f aca="false">T47*$D$2</f>
        <v>28.1646352572</v>
      </c>
      <c r="U48" s="228" t="n">
        <f aca="false">U47*$D$2</f>
        <v>-39.6197337317</v>
      </c>
      <c r="V48" s="113" t="n">
        <f aca="false">V47*$D$2</f>
        <v>0</v>
      </c>
      <c r="W48" s="113" t="n">
        <f aca="false">W47*$D$2</f>
        <v>0</v>
      </c>
      <c r="X48" s="113" t="n">
        <f aca="false">X47*$D$2</f>
        <v>0</v>
      </c>
      <c r="Y48" s="113" t="n">
        <f aca="false">Y47*$D$2</f>
        <v>0</v>
      </c>
      <c r="Z48" s="143"/>
      <c r="AA48" s="113"/>
      <c r="AB48" s="143"/>
      <c r="AC48" s="142" t="n">
        <f aca="false">AC47*$D$2</f>
        <v>0</v>
      </c>
      <c r="AD48" s="113"/>
      <c r="AE48" s="113"/>
      <c r="AF48" s="227"/>
      <c r="AG48" s="229"/>
      <c r="AH48" s="113" t="n">
        <f aca="false">AH47*$D$2</f>
        <v>1100.64415</v>
      </c>
      <c r="AI48" s="113"/>
      <c r="AJ48" s="84" t="n">
        <f aca="false">AJ47*$D$2</f>
        <v>0</v>
      </c>
      <c r="AK48" s="113" t="n">
        <f aca="false">AK47*$D$2</f>
        <v>1301.01732</v>
      </c>
      <c r="AL48" s="113" t="n">
        <f aca="false">AL47*$D$2</f>
        <v>447.3376265</v>
      </c>
      <c r="AM48" s="225" t="n">
        <f aca="false">AM47*$D$2</f>
        <v>1748.3549465</v>
      </c>
      <c r="AN48" s="113" t="n">
        <f aca="false">AN47*$D$2</f>
        <v>0</v>
      </c>
      <c r="AO48" s="143" t="n">
        <f aca="false">AO47*$D$2</f>
        <v>0</v>
      </c>
      <c r="AP48" s="232"/>
      <c r="AV48" s="233"/>
      <c r="AW48" s="226" t="n">
        <f aca="false">MAX(AW15:AW45)</f>
        <v>55</v>
      </c>
      <c r="AX48" s="226" t="n">
        <f aca="false">MAX(AX15:AX45)</f>
        <v>28</v>
      </c>
      <c r="AY48" s="234" t="s">
        <v>108</v>
      </c>
      <c r="AZ48" s="269" t="n">
        <f aca="false">AZ47*$D$2</f>
        <v>200.37317</v>
      </c>
      <c r="BA48" s="193" t="n">
        <f aca="false">BA47*D2</f>
        <v>0</v>
      </c>
      <c r="BB48" s="265"/>
    </row>
    <row r="49" customFormat="false" ht="3" hidden="false" customHeight="true" outlineLevel="0" collapsed="false">
      <c r="A49" s="245"/>
      <c r="B49" s="267"/>
      <c r="C49" s="247"/>
      <c r="D49" s="247"/>
      <c r="E49" s="247"/>
      <c r="F49" s="270"/>
      <c r="G49" s="247"/>
      <c r="H49" s="247"/>
      <c r="I49" s="247"/>
      <c r="J49" s="247"/>
      <c r="K49" s="247"/>
      <c r="L49" s="247"/>
      <c r="M49" s="271"/>
      <c r="N49" s="247"/>
      <c r="O49" s="247"/>
      <c r="P49" s="252"/>
      <c r="Q49" s="247"/>
      <c r="R49" s="247"/>
      <c r="S49" s="247"/>
      <c r="T49" s="247"/>
      <c r="U49" s="253"/>
      <c r="V49" s="247"/>
      <c r="W49" s="247"/>
      <c r="X49" s="247"/>
      <c r="Y49" s="247"/>
      <c r="Z49" s="254"/>
      <c r="AA49" s="247"/>
      <c r="AB49" s="254"/>
      <c r="AC49" s="248"/>
      <c r="AD49" s="247"/>
      <c r="AE49" s="247"/>
      <c r="AF49" s="271"/>
      <c r="AG49" s="272"/>
      <c r="AH49" s="247"/>
      <c r="AI49" s="248"/>
      <c r="AJ49" s="126"/>
      <c r="AK49" s="247"/>
      <c r="AL49" s="247"/>
      <c r="AM49" s="270"/>
      <c r="AN49" s="247"/>
      <c r="AO49" s="254"/>
      <c r="AP49" s="247"/>
      <c r="AQ49" s="273"/>
      <c r="AR49" s="273"/>
      <c r="AS49" s="258"/>
      <c r="AT49" s="258"/>
      <c r="AU49" s="257"/>
      <c r="AV49" s="274"/>
      <c r="AW49" s="247"/>
      <c r="AX49" s="247"/>
      <c r="AY49" s="247"/>
      <c r="AZ49" s="247"/>
      <c r="BA49" s="247"/>
      <c r="BB49" s="247"/>
    </row>
    <row r="50" customFormat="false" ht="12.95" hidden="false" customHeight="true" outlineLevel="0" collapsed="false">
      <c r="A50" s="194" t="s">
        <v>109</v>
      </c>
      <c r="B50" s="224"/>
      <c r="C50" s="113"/>
      <c r="D50" s="113"/>
      <c r="E50" s="113"/>
      <c r="F50" s="225"/>
      <c r="G50" s="113"/>
      <c r="H50" s="113"/>
      <c r="I50" s="113"/>
      <c r="J50" s="113"/>
      <c r="K50" s="113"/>
      <c r="L50" s="113"/>
      <c r="M50" s="227"/>
      <c r="N50" s="113"/>
      <c r="O50" s="113"/>
      <c r="P50" s="171"/>
      <c r="Q50" s="113"/>
      <c r="R50" s="113"/>
      <c r="S50" s="113"/>
      <c r="T50" s="113"/>
      <c r="U50" s="228"/>
      <c r="V50" s="113"/>
      <c r="W50" s="113"/>
      <c r="X50" s="113"/>
      <c r="Y50" s="113"/>
      <c r="Z50" s="143"/>
      <c r="AA50" s="113"/>
      <c r="AB50" s="143"/>
      <c r="AC50" s="142"/>
      <c r="AD50" s="113"/>
      <c r="AE50" s="113"/>
      <c r="AF50" s="227"/>
      <c r="AG50" s="229"/>
      <c r="AH50" s="113"/>
      <c r="AI50" s="113"/>
      <c r="AJ50" s="84"/>
      <c r="AK50" s="113"/>
      <c r="AL50" s="113"/>
      <c r="AM50" s="225"/>
      <c r="AN50" s="113"/>
      <c r="AO50" s="143"/>
      <c r="AP50" s="232"/>
      <c r="AV50" s="233"/>
      <c r="AW50" s="226" t="n">
        <f aca="false">MIN(AW15:AW45)</f>
        <v>21</v>
      </c>
      <c r="AX50" s="226" t="n">
        <f aca="false">MIN(AX15:AX45)</f>
        <v>-5</v>
      </c>
      <c r="AY50" s="234" t="s">
        <v>110</v>
      </c>
      <c r="AZ50" s="269"/>
      <c r="BB50" s="265"/>
    </row>
    <row r="51" customFormat="false" ht="12.95" hidden="false" customHeight="true" outlineLevel="0" collapsed="false">
      <c r="A51" s="194" t="s">
        <v>111</v>
      </c>
      <c r="B51" s="224"/>
      <c r="C51" s="113"/>
      <c r="D51" s="113"/>
      <c r="E51" s="113"/>
      <c r="F51" s="225"/>
      <c r="G51" s="113"/>
      <c r="H51" s="113"/>
      <c r="I51" s="113"/>
      <c r="J51" s="113"/>
      <c r="K51" s="113"/>
      <c r="L51" s="113"/>
      <c r="M51" s="227"/>
      <c r="N51" s="113"/>
      <c r="O51" s="113"/>
      <c r="P51" s="171"/>
      <c r="Q51" s="113"/>
      <c r="R51" s="113"/>
      <c r="S51" s="113"/>
      <c r="T51" s="113"/>
      <c r="U51" s="228"/>
      <c r="V51" s="113"/>
      <c r="W51" s="113"/>
      <c r="X51" s="113"/>
      <c r="Y51" s="113"/>
      <c r="Z51" s="143"/>
      <c r="AA51" s="113"/>
      <c r="AB51" s="143"/>
      <c r="AC51" s="142"/>
      <c r="AD51" s="113"/>
      <c r="AE51" s="113"/>
      <c r="AF51" s="227"/>
      <c r="AG51" s="229"/>
      <c r="AH51" s="113"/>
      <c r="AI51" s="113"/>
      <c r="AJ51" s="84"/>
      <c r="AK51" s="113"/>
      <c r="AL51" s="113"/>
      <c r="AM51" s="225"/>
      <c r="AN51" s="113"/>
      <c r="AO51" s="143"/>
      <c r="AP51" s="232"/>
      <c r="AV51" s="233"/>
      <c r="AW51" s="226"/>
      <c r="AX51" s="226"/>
      <c r="AY51" s="234"/>
      <c r="AZ51" s="269"/>
      <c r="BB51" s="265"/>
    </row>
    <row r="52" customFormat="false" ht="3" hidden="false" customHeight="true" outlineLevel="0" collapsed="false">
      <c r="A52" s="245"/>
      <c r="B52" s="267"/>
      <c r="C52" s="247"/>
      <c r="D52" s="247"/>
      <c r="E52" s="247"/>
      <c r="F52" s="270"/>
      <c r="G52" s="247"/>
      <c r="H52" s="257"/>
      <c r="I52" s="247"/>
      <c r="J52" s="247"/>
      <c r="K52" s="247"/>
      <c r="L52" s="247"/>
      <c r="M52" s="271"/>
      <c r="N52" s="247"/>
      <c r="O52" s="247"/>
      <c r="P52" s="252"/>
      <c r="Q52" s="247"/>
      <c r="R52" s="247"/>
      <c r="S52" s="247"/>
      <c r="T52" s="247"/>
      <c r="U52" s="253"/>
      <c r="V52" s="247"/>
      <c r="W52" s="247"/>
      <c r="X52" s="247"/>
      <c r="Y52" s="247"/>
      <c r="Z52" s="254"/>
      <c r="AA52" s="247"/>
      <c r="AB52" s="254"/>
      <c r="AC52" s="248"/>
      <c r="AD52" s="247"/>
      <c r="AE52" s="247"/>
      <c r="AF52" s="271"/>
      <c r="AG52" s="272"/>
      <c r="AH52" s="247"/>
      <c r="AI52" s="247"/>
      <c r="AJ52" s="126"/>
      <c r="AK52" s="247"/>
      <c r="AL52" s="247"/>
      <c r="AM52" s="270"/>
      <c r="AN52" s="247"/>
      <c r="AO52" s="254"/>
      <c r="AP52" s="275"/>
      <c r="AQ52" s="276"/>
      <c r="AR52" s="276"/>
      <c r="AS52" s="258"/>
      <c r="AT52" s="258"/>
      <c r="AU52" s="257"/>
      <c r="AV52" s="259"/>
      <c r="AW52" s="275"/>
      <c r="AX52" s="275"/>
      <c r="AY52" s="275"/>
      <c r="AZ52" s="275"/>
      <c r="BA52" s="275"/>
      <c r="BB52" s="275"/>
    </row>
    <row r="53" customFormat="false" ht="12.95" hidden="false" customHeight="true" outlineLevel="0" collapsed="false">
      <c r="A53" s="194" t="s">
        <v>112</v>
      </c>
      <c r="B53" s="224"/>
      <c r="C53" s="113"/>
      <c r="D53" s="113"/>
      <c r="E53" s="113"/>
      <c r="F53" s="225" t="n">
        <f aca="false">F13+F47</f>
        <v>4450.71842702294</v>
      </c>
      <c r="G53" s="113" t="n">
        <f aca="false">G13+G47</f>
        <v>5254</v>
      </c>
      <c r="H53" s="226" t="n">
        <f aca="false">H13+H47</f>
        <v>9.194</v>
      </c>
      <c r="I53" s="113" t="n">
        <f aca="false">I13+I47</f>
        <v>5262.574</v>
      </c>
      <c r="J53" s="113" t="n">
        <f aca="false">J13+J47</f>
        <v>980.255038316108</v>
      </c>
      <c r="K53" s="113" t="n">
        <f aca="false">K13+K47</f>
        <v>6242.82903831611</v>
      </c>
      <c r="L53" s="113" t="n">
        <f aca="false">L13+L47</f>
        <v>473.794427022939</v>
      </c>
      <c r="M53" s="227" t="n">
        <f aca="false">M13+M47</f>
        <v>189.65</v>
      </c>
      <c r="N53" s="113" t="n">
        <f aca="false">N13+N47</f>
        <v>0</v>
      </c>
      <c r="O53" s="113" t="n">
        <v>0</v>
      </c>
      <c r="P53" s="171"/>
      <c r="Q53" s="113" t="n">
        <f aca="false">Q13+Q47</f>
        <v>97.8450580405228</v>
      </c>
      <c r="R53" s="113" t="n">
        <f aca="false">R13+R47</f>
        <v>102.966666582088</v>
      </c>
      <c r="S53" s="113" t="n">
        <f aca="false">S13+S47</f>
        <v>0</v>
      </c>
      <c r="T53" s="113" t="n">
        <f aca="false">T13+T47</f>
        <v>28.12542096</v>
      </c>
      <c r="U53" s="228" t="n">
        <f aca="false">U13+U47</f>
        <v>-39.2871455826103</v>
      </c>
      <c r="V53" s="113" t="n">
        <f aca="false">V13+V47</f>
        <v>0</v>
      </c>
      <c r="W53" s="113" t="n">
        <f aca="false">W13+W47</f>
        <v>0</v>
      </c>
      <c r="X53" s="113" t="n">
        <f aca="false">X13+X47</f>
        <v>-15.0402</v>
      </c>
      <c r="Y53" s="113" t="n">
        <f aca="false">Y13+Y47</f>
        <v>-15.0402</v>
      </c>
      <c r="Z53" s="143"/>
      <c r="AA53" s="113"/>
      <c r="AB53" s="143"/>
      <c r="AC53" s="113" t="n">
        <f aca="false">AC13+AC47</f>
        <v>1714.14</v>
      </c>
      <c r="AD53" s="113"/>
      <c r="AE53" s="113"/>
      <c r="AF53" s="227"/>
      <c r="AG53" s="229"/>
      <c r="AH53" s="113" t="n">
        <f aca="false">AH13+AH47</f>
        <v>1096</v>
      </c>
      <c r="AI53" s="113" t="n">
        <f aca="false">AI45</f>
        <v>1903.83684762419</v>
      </c>
      <c r="AJ53" s="84" t="n">
        <f aca="false">AJ14+AJ47</f>
        <v>0</v>
      </c>
      <c r="AK53" s="113" t="n">
        <f aca="false">AK13+AK47</f>
        <v>1285.65</v>
      </c>
      <c r="AL53" s="113" t="n">
        <f aca="false">AL13+AL47</f>
        <v>506.460611293169</v>
      </c>
      <c r="AM53" s="225" t="n">
        <f aca="false">AM13+AM47</f>
        <v>1792.11061129317</v>
      </c>
      <c r="AN53" s="113" t="n">
        <f aca="false">AN13+AN47</f>
        <v>0</v>
      </c>
      <c r="AO53" s="143" t="n">
        <f aca="false">AO13+AO47</f>
        <v>0</v>
      </c>
      <c r="AP53" s="232"/>
      <c r="AV53" s="233" t="n">
        <f aca="false">AV13+AV47</f>
        <v>2.07</v>
      </c>
      <c r="AW53" s="226"/>
      <c r="AX53" s="226"/>
      <c r="AY53" s="234"/>
      <c r="AZ53" s="269" t="n">
        <f aca="false">AZ13+AZ47</f>
        <v>189.65</v>
      </c>
      <c r="BA53" s="244" t="n">
        <f aca="false">BA47+BA13</f>
        <v>0</v>
      </c>
      <c r="BB53" s="265"/>
    </row>
    <row r="54" customFormat="false" ht="12.95" hidden="false" customHeight="true" outlineLevel="0" collapsed="false">
      <c r="A54" s="194" t="s">
        <v>113</v>
      </c>
      <c r="B54" s="224"/>
      <c r="C54" s="113"/>
      <c r="D54" s="113" t="n">
        <f aca="false">D13+D48</f>
        <v>8828</v>
      </c>
      <c r="E54" s="113" t="n">
        <f aca="false">E45</f>
        <v>30550</v>
      </c>
      <c r="F54" s="225" t="n">
        <f aca="false">F53*$D$2</f>
        <v>8828</v>
      </c>
      <c r="G54" s="113" t="n">
        <f aca="false">G53*$D$2</f>
        <v>10421.309</v>
      </c>
      <c r="H54" s="226" t="n">
        <f aca="false">H53*$D$2</f>
        <v>18.236299</v>
      </c>
      <c r="I54" s="113" t="n">
        <f aca="false">I53*$D$2</f>
        <v>10438.315529</v>
      </c>
      <c r="J54" s="113" t="n">
        <f aca="false">J53*$D$2</f>
        <v>1944.3358685</v>
      </c>
      <c r="K54" s="113" t="n">
        <f aca="false">K53*$D$2</f>
        <v>12382.6513975</v>
      </c>
      <c r="L54" s="113" t="n">
        <f aca="false">L53*$D$2</f>
        <v>939.771245999999</v>
      </c>
      <c r="M54" s="227" t="n">
        <f aca="false">M53*$D$2</f>
        <v>376.170775</v>
      </c>
      <c r="N54" s="113" t="n">
        <f aca="false">N53*$D$2</f>
        <v>0</v>
      </c>
      <c r="O54" s="113" t="n">
        <f aca="false">O53*$D$2</f>
        <v>0</v>
      </c>
      <c r="P54" s="171"/>
      <c r="Q54" s="113" t="n">
        <f aca="false">Q53*$D$2</f>
        <v>194.075672623377</v>
      </c>
      <c r="R54" s="113" t="n">
        <f aca="false">R53*$D$2</f>
        <v>204.234383165571</v>
      </c>
      <c r="S54" s="239" t="n">
        <f aca="false">S53*$D$2</f>
        <v>0</v>
      </c>
      <c r="T54" s="239" t="n">
        <f aca="false">T53*$D$2</f>
        <v>55.78677247416</v>
      </c>
      <c r="U54" s="240" t="n">
        <f aca="false">U53*$D$2</f>
        <v>-77.9260532631076</v>
      </c>
      <c r="V54" s="113" t="n">
        <f aca="false">V53*$D$2</f>
        <v>0</v>
      </c>
      <c r="W54" s="113" t="n">
        <f aca="false">W53*$D$2</f>
        <v>0</v>
      </c>
      <c r="X54" s="113" t="n">
        <f aca="false">X53*$D$2</f>
        <v>-29.8322367</v>
      </c>
      <c r="Y54" s="113" t="n">
        <f aca="false">Y53*$D$2</f>
        <v>-29.8322367</v>
      </c>
      <c r="Z54" s="143"/>
      <c r="AA54" s="113"/>
      <c r="AB54" s="143"/>
      <c r="AC54" s="113" t="n">
        <f aca="false">AC53*$D$2</f>
        <v>3399.99669</v>
      </c>
      <c r="AD54" s="113"/>
      <c r="AE54" s="113"/>
      <c r="AF54" s="277"/>
      <c r="AG54" s="278"/>
      <c r="AH54" s="113" t="n">
        <f aca="false">AH53*$D$2</f>
        <v>2173.916</v>
      </c>
      <c r="AI54" s="113" t="n">
        <f aca="false">AI53*$D$2</f>
        <v>3776.26038726258</v>
      </c>
      <c r="AJ54" s="84" t="n">
        <f aca="false">AJ53*$D$2</f>
        <v>0</v>
      </c>
      <c r="AK54" s="113" t="n">
        <f aca="false">AK53*$D$2</f>
        <v>2550.086775</v>
      </c>
      <c r="AL54" s="113" t="n">
        <f aca="false">AL53*$D$2</f>
        <v>1004.5646225</v>
      </c>
      <c r="AM54" s="279" t="n">
        <f aca="false">AM53*$D$2</f>
        <v>3554.6513975</v>
      </c>
      <c r="AN54" s="113" t="n">
        <f aca="false">AN53*$D$2</f>
        <v>0</v>
      </c>
      <c r="AO54" s="143" t="n">
        <f aca="false">AO53*$D$2</f>
        <v>0</v>
      </c>
      <c r="AP54" s="232"/>
      <c r="AV54" s="233"/>
      <c r="AW54" s="226"/>
      <c r="AX54" s="226"/>
      <c r="AY54" s="234"/>
      <c r="AZ54" s="242" t="n">
        <f aca="false">AZ53*$D$2</f>
        <v>376.170775</v>
      </c>
      <c r="BA54" s="193" t="n">
        <f aca="false">BA53*D2</f>
        <v>0</v>
      </c>
      <c r="BB54" s="265"/>
    </row>
    <row r="55" customFormat="false" ht="3" hidden="false" customHeight="true" outlineLevel="0" collapsed="false">
      <c r="A55" s="245"/>
      <c r="B55" s="267"/>
      <c r="C55" s="247"/>
      <c r="D55" s="248"/>
      <c r="E55" s="247"/>
      <c r="F55" s="249"/>
      <c r="G55" s="248"/>
      <c r="H55" s="250"/>
      <c r="I55" s="248"/>
      <c r="J55" s="248"/>
      <c r="K55" s="248"/>
      <c r="L55" s="248"/>
      <c r="M55" s="251"/>
      <c r="N55" s="248"/>
      <c r="O55" s="248"/>
      <c r="P55" s="252"/>
      <c r="Q55" s="248"/>
      <c r="R55" s="248"/>
      <c r="S55" s="248"/>
      <c r="T55" s="248"/>
      <c r="U55" s="253"/>
      <c r="V55" s="248"/>
      <c r="W55" s="248"/>
      <c r="X55" s="248"/>
      <c r="Y55" s="248"/>
      <c r="Z55" s="254"/>
      <c r="AA55" s="248"/>
      <c r="AB55" s="254"/>
      <c r="AC55" s="254"/>
      <c r="AD55" s="247"/>
      <c r="AE55" s="248"/>
      <c r="AF55" s="251"/>
      <c r="AG55" s="255"/>
      <c r="AH55" s="248"/>
      <c r="AI55" s="247"/>
      <c r="AJ55" s="247"/>
      <c r="AK55" s="248"/>
      <c r="AL55" s="248"/>
      <c r="AM55" s="248"/>
      <c r="AN55" s="267"/>
      <c r="AO55" s="254"/>
      <c r="AP55" s="248"/>
      <c r="AQ55" s="280"/>
      <c r="AR55" s="280"/>
      <c r="AS55" s="258"/>
      <c r="AT55" s="258"/>
      <c r="AU55" s="257"/>
      <c r="AV55" s="267"/>
      <c r="AW55" s="248"/>
      <c r="AX55" s="248"/>
      <c r="AY55" s="248"/>
      <c r="AZ55" s="248"/>
      <c r="BA55" s="248"/>
      <c r="BB55" s="248"/>
    </row>
    <row r="56" customFormat="false" ht="11.1" hidden="false" customHeight="true" outlineLevel="0" collapsed="false">
      <c r="A56" s="194"/>
      <c r="B56" s="281"/>
      <c r="D56" s="194"/>
      <c r="F56" s="194"/>
      <c r="G56" s="194"/>
      <c r="I56" s="194"/>
      <c r="J56" s="194"/>
      <c r="K56" s="194"/>
      <c r="L56" s="194"/>
      <c r="M56" s="194"/>
      <c r="N56" s="194"/>
      <c r="O56" s="194"/>
      <c r="Q56" s="194"/>
      <c r="R56" s="194"/>
      <c r="S56" s="194"/>
      <c r="T56" s="194"/>
      <c r="V56" s="194"/>
      <c r="W56" s="194"/>
      <c r="X56" s="194"/>
      <c r="Y56" s="194"/>
      <c r="AA56" s="194"/>
      <c r="AD56" s="161"/>
      <c r="AE56" s="194"/>
      <c r="AF56" s="194"/>
      <c r="AG56" s="194"/>
      <c r="AH56" s="194"/>
      <c r="AI56" s="161"/>
      <c r="AJ56" s="238"/>
      <c r="AK56" s="194"/>
      <c r="AL56" s="194"/>
      <c r="AM56" s="194"/>
      <c r="AN56" s="192"/>
      <c r="AO56" s="201"/>
      <c r="AX56" s="191"/>
      <c r="AY56" s="191"/>
    </row>
    <row r="57" customFormat="false" ht="11.1" hidden="false" customHeight="true" outlineLevel="0" collapsed="false">
      <c r="A57" s="194"/>
      <c r="B57" s="282"/>
      <c r="F57" s="194"/>
      <c r="G57" s="194"/>
      <c r="I57" s="195"/>
      <c r="J57" s="194"/>
      <c r="K57" s="186"/>
      <c r="L57" s="194"/>
      <c r="M57" s="194"/>
      <c r="N57" s="194"/>
      <c r="O57" s="194"/>
      <c r="Q57" s="194"/>
      <c r="R57" s="194"/>
      <c r="S57" s="194"/>
      <c r="T57" s="194"/>
      <c r="V57" s="194"/>
      <c r="W57" s="194"/>
      <c r="X57" s="194"/>
      <c r="Y57" s="194"/>
      <c r="AA57" s="194"/>
      <c r="AD57" s="161"/>
      <c r="AE57" s="194"/>
      <c r="AF57" s="194"/>
      <c r="AG57" s="194"/>
      <c r="AH57" s="194"/>
      <c r="AI57" s="161"/>
      <c r="AJ57" s="238"/>
      <c r="AK57" s="194"/>
      <c r="AL57" s="194"/>
      <c r="AM57" s="194"/>
      <c r="AN57" s="192"/>
      <c r="AO57" s="201"/>
      <c r="AX57" s="191"/>
      <c r="AY57" s="191"/>
    </row>
    <row r="58" customFormat="false" ht="11.1" hidden="false" customHeight="true" outlineLevel="0" collapsed="false">
      <c r="D58" s="161"/>
      <c r="Q58" s="110"/>
      <c r="R58" s="110"/>
      <c r="S58" s="110"/>
      <c r="T58" s="110"/>
      <c r="X58" s="56"/>
      <c r="Y58" s="56"/>
      <c r="AA58" s="56"/>
      <c r="AD58" s="161"/>
      <c r="AH58" s="56"/>
      <c r="AI58" s="161"/>
      <c r="AJ58" s="238"/>
      <c r="AM58" s="56"/>
      <c r="AN58" s="192"/>
      <c r="AO58" s="201"/>
      <c r="AX58" s="191"/>
      <c r="AY58" s="191"/>
    </row>
    <row r="59" customFormat="false" ht="11.1" hidden="false" customHeight="true" outlineLevel="0" collapsed="false">
      <c r="B59" s="8"/>
      <c r="D59" s="161"/>
    </row>
    <row r="60" customFormat="false" ht="11.1" hidden="false" customHeight="true" outlineLevel="0" collapsed="false">
      <c r="G60" s="283"/>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88" width="5.66"/>
    <col collapsed="false" customWidth="true" hidden="false" outlineLevel="0" max="11" min="9" style="56" width="6.32"/>
    <col collapsed="false" customWidth="true" hidden="false" outlineLevel="0" max="12" min="12" style="56" width="6.82"/>
    <col collapsed="false" customWidth="true" hidden="false" outlineLevel="0" max="13" min="13" style="110" width="5.49"/>
    <col collapsed="false" customWidth="true" hidden="false" outlineLevel="0" max="14" min="14" style="110" width="4.49"/>
    <col collapsed="false" customWidth="true" hidden="false" outlineLevel="0" max="15" min="15" style="110" width="5.49"/>
    <col collapsed="false" customWidth="true" hidden="false" outlineLevel="0" max="16" min="16" style="8" width="4.82"/>
    <col collapsed="false" customWidth="true" hidden="false" outlineLevel="0" max="20" min="17" style="56" width="4.32"/>
    <col collapsed="false" customWidth="true" hidden="false" outlineLevel="0" max="21" min="21" style="8" width="5.16"/>
    <col collapsed="false" customWidth="true" hidden="false" outlineLevel="0" max="23" min="22" style="56" width="5.49"/>
    <col collapsed="false" customWidth="true" hidden="false" outlineLevel="0" max="27" min="24" style="161" width="6.32"/>
    <col collapsed="false" customWidth="true" hidden="false" outlineLevel="0" max="28" min="28" style="110" width="5.49"/>
    <col collapsed="false" customWidth="true" hidden="false" outlineLevel="0" max="29" min="29" style="110" width="5.99"/>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56" width="5.49"/>
    <col collapsed="false" customWidth="true" hidden="false" outlineLevel="0" max="41" min="41" style="110" width="5.49"/>
    <col collapsed="false" customWidth="true" hidden="false" outlineLevel="0" max="42" min="42" style="56" width="6.32"/>
    <col collapsed="false" customWidth="true" hidden="false" outlineLevel="0" max="43" min="43" style="190" width="6.32"/>
    <col collapsed="false" customWidth="true" hidden="false" outlineLevel="0" max="44" min="44" style="190" width="5.49"/>
    <col collapsed="false" customWidth="true" hidden="false" outlineLevel="0" max="45" min="45" style="190" width="5.32"/>
    <col collapsed="false" customWidth="true" hidden="false" outlineLevel="0" max="46" min="46" style="190" width="5.82"/>
    <col collapsed="false" customWidth="true" hidden="false" outlineLevel="0" max="47" min="47" style="56" width="4.99"/>
    <col collapsed="false" customWidth="true" hidden="false" outlineLevel="0" max="48" min="48" style="188" width="5.32"/>
    <col collapsed="false" customWidth="true" hidden="false" outlineLevel="0" max="49" min="49" style="191" width="3.82"/>
    <col collapsed="false" customWidth="true" hidden="false" outlineLevel="0" max="51" min="50" style="192" width="3.82"/>
    <col collapsed="false" customWidth="true" hidden="false" outlineLevel="0" max="52" min="52" style="189" width="5.82"/>
    <col collapsed="false" customWidth="false" hidden="false" outlineLevel="0" max="257" min="53" style="193" width="9.32"/>
  </cols>
  <sheetData>
    <row r="1" customFormat="false" ht="14.1" hidden="false" customHeight="true" outlineLevel="0" collapsed="false">
      <c r="A1" s="194"/>
      <c r="B1" s="194"/>
      <c r="D1" s="194"/>
      <c r="F1" s="194"/>
      <c r="G1" s="194"/>
      <c r="H1" s="195"/>
      <c r="I1" s="194"/>
      <c r="J1" s="194"/>
      <c r="K1" s="196" t="s">
        <v>0</v>
      </c>
      <c r="L1" s="194"/>
      <c r="M1" s="194"/>
      <c r="N1" s="194"/>
      <c r="O1" s="194"/>
      <c r="Q1" s="194"/>
      <c r="R1" s="194"/>
      <c r="S1" s="194"/>
      <c r="T1" s="194"/>
      <c r="V1" s="194"/>
      <c r="W1" s="194"/>
      <c r="AD1" s="194"/>
      <c r="AE1" s="194"/>
      <c r="AF1" s="194"/>
      <c r="AG1" s="194"/>
      <c r="AI1" s="194"/>
      <c r="AJ1" s="197"/>
      <c r="AK1" s="194"/>
      <c r="AL1" s="194"/>
    </row>
    <row r="2" customFormat="false" ht="14.1" hidden="false" customHeight="true" outlineLevel="0" collapsed="false">
      <c r="A2" s="197" t="s">
        <v>1</v>
      </c>
      <c r="B2" s="194"/>
      <c r="D2" s="198" t="n">
        <v>1.9835</v>
      </c>
      <c r="F2" s="194"/>
      <c r="G2" s="194"/>
      <c r="H2" s="195"/>
      <c r="I2" s="194"/>
      <c r="J2" s="194"/>
      <c r="K2" s="199" t="s">
        <v>119</v>
      </c>
      <c r="L2" s="199"/>
      <c r="M2" s="199"/>
      <c r="N2" s="199"/>
      <c r="O2" s="199"/>
      <c r="P2" s="199"/>
      <c r="Q2" s="199"/>
      <c r="R2" s="199"/>
      <c r="S2" s="199"/>
      <c r="T2" s="199"/>
      <c r="U2" s="199"/>
      <c r="V2" s="199"/>
      <c r="W2" s="200"/>
      <c r="X2" s="89"/>
      <c r="Y2" s="89"/>
      <c r="Z2" s="89"/>
      <c r="AA2" s="89"/>
      <c r="AB2" s="201"/>
      <c r="AC2" s="201"/>
      <c r="AD2" s="200"/>
      <c r="AE2" s="194"/>
      <c r="AF2" s="194"/>
      <c r="AG2" s="194"/>
      <c r="AI2" s="194"/>
      <c r="AJ2" s="197"/>
      <c r="AK2" s="194"/>
      <c r="AL2" s="194"/>
    </row>
    <row r="3" customFormat="false" ht="14.1" hidden="false" customHeight="true" outlineLevel="0" collapsed="false">
      <c r="A3" s="202"/>
      <c r="B3" s="202"/>
      <c r="C3" s="203"/>
      <c r="D3" s="204"/>
      <c r="E3" s="203"/>
      <c r="F3" s="202"/>
      <c r="G3" s="202"/>
      <c r="H3" s="205"/>
      <c r="I3" s="202"/>
      <c r="J3" s="202"/>
      <c r="K3" s="202"/>
      <c r="L3" s="202"/>
      <c r="M3" s="202"/>
      <c r="N3" s="202"/>
      <c r="O3" s="202"/>
      <c r="P3" s="206"/>
      <c r="Q3" s="202"/>
      <c r="R3" s="202"/>
      <c r="S3" s="202"/>
      <c r="T3" s="202"/>
      <c r="U3" s="206"/>
      <c r="V3" s="202"/>
      <c r="W3" s="202"/>
      <c r="X3" s="203"/>
      <c r="Y3" s="203"/>
      <c r="Z3" s="203"/>
      <c r="AA3" s="203"/>
      <c r="AB3" s="207"/>
      <c r="AC3" s="207"/>
      <c r="AD3" s="202"/>
      <c r="AE3" s="202"/>
      <c r="AF3" s="202"/>
      <c r="AG3" s="202"/>
      <c r="AH3" s="203"/>
      <c r="AI3" s="202"/>
      <c r="AJ3" s="208"/>
      <c r="AK3" s="202"/>
      <c r="AL3" s="202"/>
      <c r="AM3" s="206"/>
      <c r="AN3" s="209"/>
      <c r="AO3" s="207"/>
      <c r="AP3" s="209"/>
      <c r="AQ3" s="210"/>
      <c r="AV3" s="211"/>
      <c r="AW3" s="212"/>
      <c r="AX3" s="213"/>
      <c r="BA3" s="214"/>
      <c r="BB3" s="214"/>
    </row>
    <row r="4" s="1" customFormat="true" ht="14.1" hidden="false" customHeight="true" outlineLevel="0" collapsed="false">
      <c r="A4" s="32"/>
      <c r="B4" s="33"/>
      <c r="C4" s="34"/>
      <c r="D4" s="35" t="s">
        <v>3</v>
      </c>
      <c r="E4" s="34"/>
      <c r="F4" s="32"/>
      <c r="G4" s="36"/>
      <c r="H4" s="36"/>
      <c r="I4" s="37" t="s">
        <v>115</v>
      </c>
      <c r="J4" s="36"/>
      <c r="K4" s="36"/>
      <c r="L4" s="38"/>
      <c r="M4" s="36"/>
      <c r="N4" s="36"/>
      <c r="O4" s="36"/>
      <c r="P4" s="39"/>
      <c r="Q4" s="36"/>
      <c r="R4" s="36"/>
      <c r="S4" s="36"/>
      <c r="T4" s="36"/>
      <c r="U4" s="39"/>
      <c r="V4" s="36"/>
      <c r="W4" s="36"/>
      <c r="X4" s="40" t="s">
        <v>5</v>
      </c>
      <c r="Y4" s="40"/>
      <c r="Z4" s="40"/>
      <c r="AA4" s="40"/>
      <c r="AB4" s="41"/>
      <c r="AC4" s="41"/>
      <c r="AD4" s="42"/>
      <c r="AE4" s="36"/>
      <c r="AF4" s="36"/>
      <c r="AG4" s="36"/>
      <c r="AH4" s="34"/>
      <c r="AI4" s="36"/>
      <c r="AJ4" s="43"/>
      <c r="AK4" s="36"/>
      <c r="AL4" s="36"/>
      <c r="AM4" s="39"/>
      <c r="AN4" s="44"/>
      <c r="AO4" s="45"/>
      <c r="AP4" s="46" t="s">
        <v>6</v>
      </c>
      <c r="AQ4" s="47"/>
      <c r="AR4" s="48"/>
      <c r="AS4" s="49"/>
      <c r="AT4" s="50"/>
      <c r="AU4" s="50"/>
      <c r="AV4" s="52"/>
      <c r="AW4" s="53" t="s">
        <v>7</v>
      </c>
      <c r="AX4" s="54"/>
      <c r="AY4" s="215"/>
      <c r="AZ4" s="216"/>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1" t="s">
        <v>16</v>
      </c>
      <c r="M5" s="218" t="s">
        <v>18</v>
      </c>
      <c r="N5" s="218"/>
      <c r="O5" s="218"/>
      <c r="P5" s="218"/>
      <c r="Q5" s="218"/>
      <c r="R5" s="218"/>
      <c r="S5" s="218"/>
      <c r="T5" s="218"/>
      <c r="U5" s="218"/>
      <c r="V5" s="58" t="s">
        <v>19</v>
      </c>
      <c r="W5" s="58" t="s">
        <v>20</v>
      </c>
      <c r="X5" s="58" t="s">
        <v>17</v>
      </c>
      <c r="Y5" s="58" t="s">
        <v>17</v>
      </c>
      <c r="Z5" s="64" t="s">
        <v>21</v>
      </c>
      <c r="AA5" s="58" t="s">
        <v>21</v>
      </c>
      <c r="AB5" s="64" t="s">
        <v>21</v>
      </c>
      <c r="AC5" s="64"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219" t="s">
        <v>33</v>
      </c>
      <c r="AV5" s="73" t="s">
        <v>34</v>
      </c>
      <c r="AW5" s="74" t="s">
        <v>35</v>
      </c>
      <c r="AX5" s="74" t="s">
        <v>36</v>
      </c>
      <c r="AY5" s="220"/>
      <c r="AZ5" s="221" t="s">
        <v>17</v>
      </c>
      <c r="BA5" s="222" t="s">
        <v>37</v>
      </c>
      <c r="BB5" s="223"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7" t="s">
        <v>116</v>
      </c>
      <c r="B6" s="59" t="s">
        <v>39</v>
      </c>
      <c r="C6" s="60"/>
      <c r="D6" s="61" t="s">
        <v>40</v>
      </c>
      <c r="E6" s="60" t="s">
        <v>41</v>
      </c>
      <c r="F6" s="62" t="s">
        <v>42</v>
      </c>
      <c r="G6" s="58" t="s">
        <v>43</v>
      </c>
      <c r="H6" s="58" t="s">
        <v>44</v>
      </c>
      <c r="I6" s="58" t="s">
        <v>45</v>
      </c>
      <c r="J6" s="58" t="s">
        <v>45</v>
      </c>
      <c r="K6" s="58" t="s">
        <v>45</v>
      </c>
      <c r="L6" s="81" t="s">
        <v>46</v>
      </c>
      <c r="M6" s="61" t="s">
        <v>47</v>
      </c>
      <c r="N6" s="61" t="s">
        <v>48</v>
      </c>
      <c r="O6" s="61" t="s">
        <v>49</v>
      </c>
      <c r="P6" s="79" t="s">
        <v>50</v>
      </c>
      <c r="Q6" s="61" t="s">
        <v>51</v>
      </c>
      <c r="R6" s="61" t="s">
        <v>52</v>
      </c>
      <c r="S6" s="61"/>
      <c r="T6" s="61" t="s">
        <v>49</v>
      </c>
      <c r="U6" s="80" t="s">
        <v>53</v>
      </c>
      <c r="V6" s="58" t="s">
        <v>54</v>
      </c>
      <c r="W6" s="58" t="s">
        <v>55</v>
      </c>
      <c r="X6" s="58" t="s">
        <v>21</v>
      </c>
      <c r="Y6" s="58" t="s">
        <v>21</v>
      </c>
      <c r="Z6" s="64" t="s">
        <v>56</v>
      </c>
      <c r="AA6" s="58" t="s">
        <v>56</v>
      </c>
      <c r="AB6" s="64" t="s">
        <v>57</v>
      </c>
      <c r="AC6" s="64" t="s">
        <v>58</v>
      </c>
      <c r="AD6" s="65" t="s">
        <v>59</v>
      </c>
      <c r="AE6" s="58" t="s">
        <v>60</v>
      </c>
      <c r="AF6" s="78" t="s">
        <v>61</v>
      </c>
      <c r="AG6" s="81"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219" t="s">
        <v>72</v>
      </c>
      <c r="AV6" s="82"/>
      <c r="AW6" s="74" t="s">
        <v>73</v>
      </c>
      <c r="AX6" s="74" t="s">
        <v>73</v>
      </c>
      <c r="AY6" s="220"/>
      <c r="AZ6" s="221" t="s">
        <v>74</v>
      </c>
      <c r="BA6" s="222" t="s">
        <v>75</v>
      </c>
      <c r="BB6" s="223"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1"/>
      <c r="M7" s="61"/>
      <c r="N7" s="61" t="s">
        <v>77</v>
      </c>
      <c r="O7" s="61" t="s">
        <v>78</v>
      </c>
      <c r="P7" s="79"/>
      <c r="Q7" s="61" t="s">
        <v>79</v>
      </c>
      <c r="R7" s="61" t="s">
        <v>79</v>
      </c>
      <c r="S7" s="61" t="s">
        <v>62</v>
      </c>
      <c r="T7" s="61" t="s">
        <v>62</v>
      </c>
      <c r="U7" s="80" t="s">
        <v>80</v>
      </c>
      <c r="V7" s="58"/>
      <c r="W7" s="58"/>
      <c r="X7" s="68" t="s">
        <v>81</v>
      </c>
      <c r="Y7" s="60" t="s">
        <v>82</v>
      </c>
      <c r="Z7" s="64" t="s">
        <v>83</v>
      </c>
      <c r="AA7" s="58" t="s">
        <v>84</v>
      </c>
      <c r="AB7" s="64" t="s">
        <v>85</v>
      </c>
      <c r="AC7" s="64"/>
      <c r="AD7" s="65"/>
      <c r="AE7" s="81"/>
      <c r="AF7" s="83" t="n">
        <v>1.7</v>
      </c>
      <c r="AG7" s="83" t="n">
        <v>1.3</v>
      </c>
      <c r="AH7" s="78"/>
      <c r="AI7" s="84" t="n">
        <v>12682.1753872626</v>
      </c>
      <c r="AJ7" s="68"/>
      <c r="AK7" s="58"/>
      <c r="AL7" s="58"/>
      <c r="AM7" s="61"/>
      <c r="AN7" s="69"/>
      <c r="AO7" s="65"/>
      <c r="AP7" s="64" t="s">
        <v>86</v>
      </c>
      <c r="AQ7" s="70" t="s">
        <v>87</v>
      </c>
      <c r="AR7" s="65" t="s">
        <v>88</v>
      </c>
      <c r="AS7" s="71" t="s">
        <v>89</v>
      </c>
      <c r="AT7" s="71" t="s">
        <v>90</v>
      </c>
      <c r="AU7" s="219" t="s">
        <v>91</v>
      </c>
      <c r="AV7" s="82"/>
      <c r="AW7" s="74"/>
      <c r="AX7" s="74"/>
      <c r="AY7" s="220"/>
      <c r="AZ7" s="221" t="s">
        <v>92</v>
      </c>
      <c r="BA7" s="222"/>
      <c r="BB7" s="223"/>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1"/>
      <c r="M8" s="61"/>
      <c r="N8" s="61"/>
      <c r="O8" s="61"/>
      <c r="P8" s="79"/>
      <c r="Q8" s="61" t="s">
        <v>62</v>
      </c>
      <c r="R8" s="61" t="s">
        <v>62</v>
      </c>
      <c r="S8" s="61"/>
      <c r="T8" s="61"/>
      <c r="U8" s="80"/>
      <c r="V8" s="58"/>
      <c r="W8" s="58"/>
      <c r="X8" s="68" t="s">
        <v>93</v>
      </c>
      <c r="Y8" s="60" t="s">
        <v>81</v>
      </c>
      <c r="Z8" s="64"/>
      <c r="AA8" s="60" t="s">
        <v>94</v>
      </c>
      <c r="AB8" s="64" t="s">
        <v>95</v>
      </c>
      <c r="AC8" s="64"/>
      <c r="AD8" s="65"/>
      <c r="AE8" s="81"/>
      <c r="AF8" s="83"/>
      <c r="AG8" s="83"/>
      <c r="AH8" s="78"/>
      <c r="AI8" s="84"/>
      <c r="AJ8" s="68"/>
      <c r="AK8" s="58"/>
      <c r="AL8" s="58"/>
      <c r="AM8" s="61"/>
      <c r="AN8" s="69"/>
      <c r="AO8" s="65"/>
      <c r="AP8" s="64"/>
      <c r="AQ8" s="70"/>
      <c r="AR8" s="65"/>
      <c r="AS8" s="71"/>
      <c r="AT8" s="71"/>
      <c r="AU8" s="219"/>
      <c r="AV8" s="82"/>
      <c r="AW8" s="74"/>
      <c r="AX8" s="74"/>
      <c r="AY8" s="220"/>
      <c r="AZ8" s="221"/>
      <c r="BA8" s="222"/>
      <c r="BB8" s="223"/>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1"/>
      <c r="M9" s="61"/>
      <c r="N9" s="61"/>
      <c r="O9" s="61"/>
      <c r="P9" s="79"/>
      <c r="Q9" s="61"/>
      <c r="R9" s="86" t="n">
        <v>4.2</v>
      </c>
      <c r="S9" s="61"/>
      <c r="T9" s="61"/>
      <c r="U9" s="80"/>
      <c r="V9" s="58"/>
      <c r="W9" s="58"/>
      <c r="X9" s="68"/>
      <c r="Y9" s="60" t="s">
        <v>93</v>
      </c>
      <c r="Z9" s="64"/>
      <c r="AA9" s="60" t="s">
        <v>93</v>
      </c>
      <c r="AB9" s="64" t="s">
        <v>96</v>
      </c>
      <c r="AC9" s="64"/>
      <c r="AD9" s="65"/>
      <c r="AE9" s="81"/>
      <c r="AF9" s="83"/>
      <c r="AG9" s="83"/>
      <c r="AH9" s="78"/>
      <c r="AI9" s="84"/>
      <c r="AJ9" s="68"/>
      <c r="AK9" s="58"/>
      <c r="AL9" s="58"/>
      <c r="AM9" s="61"/>
      <c r="AN9" s="69"/>
      <c r="AO9" s="65"/>
      <c r="AP9" s="64"/>
      <c r="AQ9" s="70"/>
      <c r="AR9" s="65"/>
      <c r="AS9" s="71"/>
      <c r="AT9" s="71"/>
      <c r="AU9" s="219"/>
      <c r="AV9" s="82"/>
      <c r="AW9" s="74"/>
      <c r="AX9" s="74"/>
      <c r="AY9" s="220"/>
      <c r="AZ9" s="221"/>
      <c r="BA9" s="222"/>
      <c r="BB9" s="223" t="s">
        <v>97</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98</v>
      </c>
      <c r="D10" s="61"/>
      <c r="E10" s="60" t="s">
        <v>99</v>
      </c>
      <c r="F10" s="62"/>
      <c r="G10" s="61" t="s">
        <v>42</v>
      </c>
      <c r="H10" s="61" t="s">
        <v>42</v>
      </c>
      <c r="I10" s="61" t="s">
        <v>42</v>
      </c>
      <c r="J10" s="61" t="s">
        <v>42</v>
      </c>
      <c r="K10" s="61" t="s">
        <v>42</v>
      </c>
      <c r="L10" s="81" t="s">
        <v>42</v>
      </c>
      <c r="M10" s="61" t="s">
        <v>42</v>
      </c>
      <c r="N10" s="61" t="s">
        <v>42</v>
      </c>
      <c r="O10" s="61" t="s">
        <v>42</v>
      </c>
      <c r="P10" s="61" t="s">
        <v>42</v>
      </c>
      <c r="Q10" s="61" t="s">
        <v>42</v>
      </c>
      <c r="R10" s="61" t="s">
        <v>42</v>
      </c>
      <c r="S10" s="61" t="s">
        <v>42</v>
      </c>
      <c r="T10" s="61" t="s">
        <v>42</v>
      </c>
      <c r="U10" s="81" t="s">
        <v>42</v>
      </c>
      <c r="V10" s="61" t="s">
        <v>42</v>
      </c>
      <c r="W10" s="61" t="s">
        <v>42</v>
      </c>
      <c r="X10" s="60" t="n">
        <v>153400</v>
      </c>
      <c r="Y10" s="60" t="n">
        <v>150400</v>
      </c>
      <c r="Z10" s="61"/>
      <c r="AA10" s="60"/>
      <c r="AB10" s="60" t="n">
        <v>72000</v>
      </c>
      <c r="AC10" s="61" t="s">
        <v>42</v>
      </c>
      <c r="AD10" s="61" t="s">
        <v>42</v>
      </c>
      <c r="AE10" s="81" t="s">
        <v>42</v>
      </c>
      <c r="AF10" s="61" t="s">
        <v>42</v>
      </c>
      <c r="AG10" s="61" t="s">
        <v>42</v>
      </c>
      <c r="AH10" s="78" t="s">
        <v>42</v>
      </c>
      <c r="AI10" s="61" t="s">
        <v>42</v>
      </c>
      <c r="AJ10" s="61" t="s">
        <v>42</v>
      </c>
      <c r="AK10" s="61" t="s">
        <v>42</v>
      </c>
      <c r="AL10" s="61" t="s">
        <v>42</v>
      </c>
      <c r="AM10" s="62" t="s">
        <v>42</v>
      </c>
      <c r="AN10" s="65" t="s">
        <v>42</v>
      </c>
      <c r="AO10" s="65" t="s">
        <v>42</v>
      </c>
      <c r="AP10" s="65" t="s">
        <v>42</v>
      </c>
      <c r="AQ10" s="70" t="s">
        <v>100</v>
      </c>
      <c r="AR10" s="65" t="s">
        <v>42</v>
      </c>
      <c r="AS10" s="65" t="s">
        <v>42</v>
      </c>
      <c r="AT10" s="65" t="s">
        <v>42</v>
      </c>
      <c r="AU10" s="65" t="s">
        <v>42</v>
      </c>
      <c r="AV10" s="82"/>
      <c r="AW10" s="74"/>
      <c r="AX10" s="74"/>
      <c r="AY10" s="220"/>
      <c r="AZ10" s="221" t="s">
        <v>101</v>
      </c>
      <c r="BA10" s="222" t="s">
        <v>42</v>
      </c>
      <c r="BB10" s="223" t="s">
        <v>99</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1"/>
      <c r="M11" s="61"/>
      <c r="N11" s="47" t="n">
        <v>1.03</v>
      </c>
      <c r="O11" s="47" t="n">
        <v>1.05</v>
      </c>
      <c r="P11" s="47" t="n">
        <v>1.02</v>
      </c>
      <c r="Q11" s="87" t="n">
        <v>1.02</v>
      </c>
      <c r="R11" s="88" t="n">
        <v>1.04</v>
      </c>
      <c r="S11" s="61"/>
      <c r="T11" s="87" t="n">
        <v>1.04</v>
      </c>
      <c r="U11" s="80"/>
      <c r="V11" s="58"/>
      <c r="W11" s="58"/>
      <c r="X11" s="61" t="s">
        <v>42</v>
      </c>
      <c r="Y11" s="61" t="s">
        <v>42</v>
      </c>
      <c r="Z11" s="61" t="s">
        <v>42</v>
      </c>
      <c r="AA11" s="60" t="s">
        <v>42</v>
      </c>
      <c r="AB11" s="89" t="s">
        <v>102</v>
      </c>
      <c r="AC11" s="64"/>
      <c r="AD11" s="64"/>
      <c r="AE11" s="90"/>
      <c r="AF11" s="83"/>
      <c r="AG11" s="83"/>
      <c r="AH11" s="78"/>
      <c r="AI11" s="84"/>
      <c r="AJ11" s="91"/>
      <c r="AK11" s="58"/>
      <c r="AL11" s="58"/>
      <c r="AM11" s="61"/>
      <c r="AN11" s="69"/>
      <c r="AO11" s="65"/>
      <c r="AP11" s="64"/>
      <c r="AQ11" s="70"/>
      <c r="AR11" s="70"/>
      <c r="AS11" s="92"/>
      <c r="AT11" s="92"/>
      <c r="AU11" s="92"/>
      <c r="AV11" s="82"/>
      <c r="AW11" s="74"/>
      <c r="AX11" s="74"/>
      <c r="AY11" s="220"/>
      <c r="AZ11" s="221" t="s">
        <v>42</v>
      </c>
      <c r="BA11" s="222"/>
      <c r="BB11" s="223"/>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103</v>
      </c>
      <c r="B12" s="224"/>
      <c r="C12" s="113"/>
      <c r="D12" s="113"/>
      <c r="E12" s="113"/>
      <c r="F12" s="225"/>
      <c r="G12" s="113"/>
      <c r="H12" s="226"/>
      <c r="I12" s="113"/>
      <c r="J12" s="113"/>
      <c r="K12" s="113"/>
      <c r="L12" s="113"/>
      <c r="M12" s="227"/>
      <c r="N12" s="113"/>
      <c r="O12" s="113"/>
      <c r="P12" s="171"/>
      <c r="Q12" s="113"/>
      <c r="R12" s="113"/>
      <c r="S12" s="113"/>
      <c r="T12" s="113"/>
      <c r="U12" s="228"/>
      <c r="V12" s="113"/>
      <c r="W12" s="113"/>
      <c r="X12" s="113"/>
      <c r="Y12" s="113"/>
      <c r="Z12" s="113"/>
      <c r="AA12" s="113"/>
      <c r="AB12" s="143"/>
      <c r="AC12" s="143"/>
      <c r="AD12" s="113"/>
      <c r="AE12" s="113"/>
      <c r="AF12" s="227"/>
      <c r="AG12" s="229"/>
      <c r="AH12" s="113"/>
      <c r="AI12" s="113"/>
      <c r="AJ12" s="230"/>
      <c r="AK12" s="113"/>
      <c r="AL12" s="113"/>
      <c r="AM12" s="113"/>
      <c r="AN12" s="231"/>
      <c r="AO12" s="143"/>
      <c r="AP12" s="232"/>
      <c r="AU12" s="85"/>
      <c r="AV12" s="284"/>
      <c r="AW12" s="226"/>
      <c r="AX12" s="226"/>
      <c r="AY12" s="226"/>
      <c r="AZ12" s="235"/>
      <c r="BA12" s="285"/>
      <c r="BB12" s="237"/>
    </row>
    <row r="13" s="244" customFormat="true" ht="12.95" hidden="false" customHeight="true" outlineLevel="0" collapsed="false">
      <c r="A13" s="238" t="s">
        <v>104</v>
      </c>
      <c r="B13" s="112" t="n">
        <f aca="false">DEC!B45</f>
        <v>6868</v>
      </c>
      <c r="C13" s="239" t="n">
        <f aca="false">DEC!C45</f>
        <v>182550</v>
      </c>
      <c r="D13" s="113" t="n">
        <f aca="false">DEC!D54</f>
        <v>8828</v>
      </c>
      <c r="E13" s="113" t="n">
        <f aca="false">DEC!E54</f>
        <v>30550</v>
      </c>
      <c r="F13" s="225" t="n">
        <f aca="false">DEC!F53</f>
        <v>4450.71842702294</v>
      </c>
      <c r="G13" s="113" t="n">
        <f aca="false">DEC!G53</f>
        <v>5254</v>
      </c>
      <c r="H13" s="239" t="n">
        <f aca="false">DEC!H53</f>
        <v>9.194</v>
      </c>
      <c r="I13" s="113" t="n">
        <f aca="false">DEC!I53</f>
        <v>5262.574</v>
      </c>
      <c r="J13" s="239" t="n">
        <f aca="false">DEC!J53</f>
        <v>980.255038316108</v>
      </c>
      <c r="K13" s="113" t="n">
        <f aca="false">DEC!K53</f>
        <v>6242.82903831611</v>
      </c>
      <c r="L13" s="278" t="n">
        <f aca="false">DEC!L53</f>
        <v>473.794427022939</v>
      </c>
      <c r="M13" s="113" t="n">
        <f aca="false">DEC!M53</f>
        <v>189.65</v>
      </c>
      <c r="N13" s="239" t="n">
        <f aca="false">DEC!N53</f>
        <v>0</v>
      </c>
      <c r="O13" s="113" t="n">
        <f aca="false">DEC!O53</f>
        <v>0</v>
      </c>
      <c r="P13" s="239" t="n">
        <f aca="false">DEC!P53</f>
        <v>0</v>
      </c>
      <c r="Q13" s="113" t="n">
        <f aca="false">DEC!Q53</f>
        <v>97.8450580405228</v>
      </c>
      <c r="R13" s="239" t="n">
        <f aca="false">DEC!R53</f>
        <v>102.966666582088</v>
      </c>
      <c r="S13" s="113" t="n">
        <f aca="false">DEC!S53</f>
        <v>0</v>
      </c>
      <c r="T13" s="113" t="n">
        <f aca="false">DEC!T53</f>
        <v>28.12542096</v>
      </c>
      <c r="U13" s="278" t="n">
        <f aca="false">DEC!U53</f>
        <v>-39.2871455826103</v>
      </c>
      <c r="V13" s="113" t="n">
        <f aca="false">DEC!V53</f>
        <v>0</v>
      </c>
      <c r="W13" s="239" t="n">
        <f aca="false">DEC!W53</f>
        <v>0</v>
      </c>
      <c r="X13" s="113" t="n">
        <f aca="false">DEC!X53</f>
        <v>-15.0402</v>
      </c>
      <c r="Y13" s="239" t="n">
        <f aca="false">DEC!Y53</f>
        <v>-15.0402</v>
      </c>
      <c r="Z13" s="113"/>
      <c r="AA13" s="113"/>
      <c r="AB13" s="143"/>
      <c r="AC13" s="286" t="n">
        <f aca="false">DEC!AC53</f>
        <v>1714.14</v>
      </c>
      <c r="AD13" s="113"/>
      <c r="AE13" s="113"/>
      <c r="AF13" s="227"/>
      <c r="AG13" s="229"/>
      <c r="AH13" s="239" t="n">
        <f aca="false">DEC!AH53</f>
        <v>1096</v>
      </c>
      <c r="AI13" s="239" t="n">
        <f aca="false">DEC!AI53</f>
        <v>1903.83684762419</v>
      </c>
      <c r="AJ13" s="113"/>
      <c r="AK13" s="239" t="n">
        <f aca="false">DEC!AK53</f>
        <v>1285.65</v>
      </c>
      <c r="AL13" s="239" t="n">
        <f aca="false">DEC!AL53</f>
        <v>506.460611293169</v>
      </c>
      <c r="AM13" s="239" t="n">
        <f aca="false">DEC!AM53</f>
        <v>1792.11061129317</v>
      </c>
      <c r="AN13" s="231" t="n">
        <f aca="false">DEC!AN53</f>
        <v>0</v>
      </c>
      <c r="AO13" s="286" t="n">
        <f aca="false">DEC!AO53</f>
        <v>0</v>
      </c>
      <c r="AP13" s="113"/>
      <c r="AQ13" s="241"/>
      <c r="AR13" s="241"/>
      <c r="AS13" s="241"/>
      <c r="AT13" s="241"/>
      <c r="AU13" s="114"/>
      <c r="AV13" s="287" t="n">
        <f aca="false">DEC!AV53</f>
        <v>2.07</v>
      </c>
      <c r="AW13" s="226"/>
      <c r="AX13" s="226"/>
      <c r="AY13" s="226"/>
      <c r="AZ13" s="288" t="n">
        <f aca="false">DEC!AZ53</f>
        <v>189.65</v>
      </c>
      <c r="BA13" s="236" t="n">
        <f aca="false">DEC!BA53</f>
        <v>0</v>
      </c>
      <c r="BB13" s="243"/>
    </row>
    <row r="14" customFormat="false" ht="3" hidden="false" customHeight="true" outlineLevel="0" collapsed="false">
      <c r="A14" s="245"/>
      <c r="B14" s="246"/>
      <c r="C14" s="247"/>
      <c r="D14" s="248"/>
      <c r="E14" s="247"/>
      <c r="F14" s="249"/>
      <c r="G14" s="248"/>
      <c r="H14" s="250"/>
      <c r="I14" s="248"/>
      <c r="J14" s="248"/>
      <c r="K14" s="248"/>
      <c r="L14" s="248"/>
      <c r="M14" s="251"/>
      <c r="N14" s="248"/>
      <c r="O14" s="248"/>
      <c r="P14" s="252"/>
      <c r="Q14" s="248"/>
      <c r="R14" s="248"/>
      <c r="S14" s="248"/>
      <c r="T14" s="248"/>
      <c r="U14" s="253"/>
      <c r="V14" s="248"/>
      <c r="W14" s="248"/>
      <c r="X14" s="248"/>
      <c r="Y14" s="248"/>
      <c r="Z14" s="248"/>
      <c r="AA14" s="248"/>
      <c r="AB14" s="254"/>
      <c r="AC14" s="254"/>
      <c r="AD14" s="247"/>
      <c r="AE14" s="248"/>
      <c r="AF14" s="251"/>
      <c r="AG14" s="255"/>
      <c r="AH14" s="248"/>
      <c r="AI14" s="247"/>
      <c r="AJ14" s="247"/>
      <c r="AK14" s="248"/>
      <c r="AL14" s="248"/>
      <c r="AM14" s="248"/>
      <c r="AN14" s="256"/>
      <c r="AO14" s="254"/>
      <c r="AP14" s="257"/>
      <c r="AQ14" s="258"/>
      <c r="AR14" s="258"/>
      <c r="AS14" s="258"/>
      <c r="AT14" s="258"/>
      <c r="AU14" s="289"/>
      <c r="AV14" s="275"/>
      <c r="AW14" s="257"/>
      <c r="AX14" s="257"/>
      <c r="AY14" s="257"/>
      <c r="AZ14" s="257"/>
      <c r="BA14" s="257"/>
      <c r="BB14" s="257"/>
    </row>
    <row r="15" customFormat="false" ht="12.95" hidden="false" customHeight="true" outlineLevel="0" collapsed="false">
      <c r="A15" s="192" t="n">
        <v>1</v>
      </c>
      <c r="B15" s="112" t="n">
        <v>6868.05</v>
      </c>
      <c r="C15" s="113" t="n">
        <v>182680</v>
      </c>
      <c r="D15" s="226" t="n">
        <f aca="false">C15-C13</f>
        <v>130</v>
      </c>
      <c r="E15" s="113" t="n">
        <f aca="false">C15-152000</f>
        <v>30680</v>
      </c>
      <c r="F15" s="260" t="n">
        <f aca="false">D15/$D$2</f>
        <v>65.5407108646332</v>
      </c>
      <c r="G15" s="142" t="n">
        <v>56</v>
      </c>
      <c r="H15" s="261" t="n">
        <v>0</v>
      </c>
      <c r="I15" s="142" t="n">
        <f aca="false">G15+H15</f>
        <v>56</v>
      </c>
      <c r="J15" s="143" t="n">
        <f aca="false">IF(L15&gt;0,L15,0)</f>
        <v>30.4607108646332</v>
      </c>
      <c r="K15" s="142" t="n">
        <f aca="false">I15+J15</f>
        <v>86.4607108646332</v>
      </c>
      <c r="L15" s="142" t="n">
        <f aca="false">F15-(I15-AK15)</f>
        <v>30.4607108646332</v>
      </c>
      <c r="M15" s="262" t="n">
        <v>3.02</v>
      </c>
      <c r="N15" s="142" t="n">
        <v>0</v>
      </c>
      <c r="O15" s="142" t="n">
        <v>0</v>
      </c>
      <c r="P15" s="171" t="n">
        <v>0</v>
      </c>
      <c r="Q15" s="138" t="n">
        <f aca="false">990100/325851/1.9835*1.02</f>
        <v>1.56252857862631</v>
      </c>
      <c r="R15" s="138" t="n">
        <f aca="false">((1260864/646272)*1.04)-T15</f>
        <v>1.57879944784314</v>
      </c>
      <c r="S15" s="138" t="n">
        <v>0</v>
      </c>
      <c r="T15" s="138" t="n">
        <f aca="false">(0.4084*1.06)*1.04</f>
        <v>0.45022016</v>
      </c>
      <c r="U15" s="101" t="n">
        <f aca="false">M15-(Q15+R15+S15+T15)</f>
        <v>-0.571548186469443</v>
      </c>
      <c r="V15" s="142" t="n">
        <v>0</v>
      </c>
      <c r="W15" s="142" t="n">
        <v>0</v>
      </c>
      <c r="X15" s="142" t="n">
        <f aca="false">M15-N15-P15-O15-Q15-R15-S15-T15-U15+V15+W15</f>
        <v>0</v>
      </c>
      <c r="Y15" s="142" t="n">
        <f aca="false">X15-AO15</f>
        <v>0</v>
      </c>
      <c r="Z15" s="142"/>
      <c r="AA15" s="142"/>
      <c r="AB15" s="143"/>
      <c r="AC15" s="143"/>
      <c r="AD15" s="113"/>
      <c r="AE15" s="142" t="n">
        <v>0</v>
      </c>
      <c r="AF15" s="262"/>
      <c r="AG15" s="263"/>
      <c r="AH15" s="142" t="n">
        <v>17.9</v>
      </c>
      <c r="AI15" s="113" t="n">
        <f aca="false">AI13-AH15</f>
        <v>1885.93684762419</v>
      </c>
      <c r="AJ15" s="113"/>
      <c r="AK15" s="141" t="n">
        <f aca="false">N15+O15+P15+Q15+R15+S15+T15+U15+X15+AE15+AH15</f>
        <v>20.92</v>
      </c>
      <c r="AL15" s="142" t="n">
        <f aca="false">IF(L15&lt;0,L15*-1,0)</f>
        <v>0</v>
      </c>
      <c r="AM15" s="142" t="n">
        <f aca="false">AK15+AL15</f>
        <v>20.92</v>
      </c>
      <c r="AN15" s="146"/>
      <c r="AO15" s="143"/>
      <c r="AP15" s="232"/>
      <c r="AU15" s="85"/>
      <c r="AV15" s="284" t="n">
        <v>0</v>
      </c>
      <c r="AW15" s="226" t="n">
        <v>50</v>
      </c>
      <c r="AX15" s="226" t="n">
        <v>23</v>
      </c>
      <c r="AY15" s="226"/>
      <c r="AZ15" s="264" t="n">
        <f aca="false">SUM(N15,P15:U15)</f>
        <v>3.02</v>
      </c>
      <c r="BA15" s="193" t="n">
        <v>0</v>
      </c>
      <c r="BB15" s="265" t="n">
        <v>6846</v>
      </c>
    </row>
    <row r="16" customFormat="false" ht="12.95" hidden="false" customHeight="true" outlineLevel="0" collapsed="false">
      <c r="A16" s="192" t="n">
        <f aca="false">A15+1</f>
        <v>2</v>
      </c>
      <c r="B16" s="112" t="n">
        <v>6868.09</v>
      </c>
      <c r="C16" s="113" t="n">
        <v>182785</v>
      </c>
      <c r="D16" s="226" t="n">
        <f aca="false">C16-C15</f>
        <v>105</v>
      </c>
      <c r="E16" s="113" t="n">
        <f aca="false">C16-152000</f>
        <v>30785</v>
      </c>
      <c r="F16" s="260" t="n">
        <f aca="false">D16/$D$2</f>
        <v>52.9367280060499</v>
      </c>
      <c r="G16" s="142" t="n">
        <v>55</v>
      </c>
      <c r="H16" s="261" t="n">
        <v>0</v>
      </c>
      <c r="I16" s="142" t="n">
        <f aca="false">G16+H16</f>
        <v>55</v>
      </c>
      <c r="J16" s="143" t="n">
        <f aca="false">IF(L16&gt;0,L16,0)</f>
        <v>19.0567280060499</v>
      </c>
      <c r="K16" s="142" t="n">
        <f aca="false">I16+J16</f>
        <v>74.0567280060499</v>
      </c>
      <c r="L16" s="142" t="n">
        <f aca="false">F16-(I16-AK16)</f>
        <v>19.0567280060499</v>
      </c>
      <c r="M16" s="262" t="n">
        <v>3.22</v>
      </c>
      <c r="N16" s="142" t="n">
        <v>0</v>
      </c>
      <c r="O16" s="142" t="n">
        <v>0</v>
      </c>
      <c r="P16" s="171" t="n">
        <v>0</v>
      </c>
      <c r="Q16" s="138" t="n">
        <f aca="false">936100/325851/1.9835*1.02</f>
        <v>1.47730835516825</v>
      </c>
      <c r="R16" s="138" t="n">
        <f aca="false">((1172032/646272)*1.04)-T16</f>
        <v>1.43584836842147</v>
      </c>
      <c r="S16" s="138" t="n">
        <v>0</v>
      </c>
      <c r="T16" s="138" t="n">
        <f aca="false">(0.4084*1.06)*1.04</f>
        <v>0.45022016</v>
      </c>
      <c r="U16" s="101" t="n">
        <f aca="false">M16-(Q16+R16+S16+T16)</f>
        <v>-0.14337688358972</v>
      </c>
      <c r="V16" s="142" t="n">
        <v>0</v>
      </c>
      <c r="W16" s="142" t="n">
        <v>0</v>
      </c>
      <c r="X16" s="142" t="n">
        <f aca="false">M16-N16-P16-O16-Q16-R16-S16-T16-U16+V16+W16</f>
        <v>0</v>
      </c>
      <c r="Y16" s="142" t="n">
        <f aca="false">X16-AO16</f>
        <v>0</v>
      </c>
      <c r="Z16" s="142"/>
      <c r="AA16" s="142"/>
      <c r="AB16" s="143"/>
      <c r="AC16" s="143"/>
      <c r="AD16" s="113"/>
      <c r="AE16" s="142" t="n">
        <v>0</v>
      </c>
      <c r="AF16" s="262"/>
      <c r="AG16" s="263"/>
      <c r="AH16" s="142" t="n">
        <v>17.9</v>
      </c>
      <c r="AI16" s="113" t="n">
        <f aca="false">AI15-AH16</f>
        <v>1868.03684762419</v>
      </c>
      <c r="AJ16" s="113"/>
      <c r="AK16" s="141" t="n">
        <f aca="false">N16+O16+P16+Q16+R16+S16+T16+U16+X16+AE16+AH16</f>
        <v>21.12</v>
      </c>
      <c r="AL16" s="142" t="n">
        <f aca="false">IF(L16&lt;0,L16*-1,0)</f>
        <v>0</v>
      </c>
      <c r="AM16" s="142" t="n">
        <f aca="false">AK16+AL16</f>
        <v>21.12</v>
      </c>
      <c r="AN16" s="146"/>
      <c r="AO16" s="143"/>
      <c r="AP16" s="232"/>
      <c r="AU16" s="85"/>
      <c r="AV16" s="284" t="n">
        <v>0</v>
      </c>
      <c r="AW16" s="226" t="n">
        <v>52</v>
      </c>
      <c r="AX16" s="226" t="n">
        <v>19</v>
      </c>
      <c r="AY16" s="234"/>
      <c r="AZ16" s="264" t="n">
        <f aca="false">SUM(N16,P16:U16)</f>
        <v>3.22</v>
      </c>
      <c r="BA16" s="193" t="n">
        <v>0</v>
      </c>
      <c r="BB16" s="265" t="n">
        <v>6848</v>
      </c>
    </row>
    <row r="17" customFormat="false" ht="12.95" hidden="false" customHeight="true" outlineLevel="0" collapsed="false">
      <c r="A17" s="192" t="n">
        <f aca="false">A16+1</f>
        <v>3</v>
      </c>
      <c r="B17" s="112" t="n">
        <v>6868.09</v>
      </c>
      <c r="C17" s="113" t="n">
        <v>182785</v>
      </c>
      <c r="D17" s="226" t="n">
        <f aca="false">C17-C16</f>
        <v>0</v>
      </c>
      <c r="E17" s="113" t="n">
        <f aca="false">C17-152000</f>
        <v>30785</v>
      </c>
      <c r="F17" s="260" t="n">
        <f aca="false">D17/$D$2</f>
        <v>0</v>
      </c>
      <c r="G17" s="142" t="n">
        <v>54</v>
      </c>
      <c r="H17" s="261" t="n">
        <v>0</v>
      </c>
      <c r="I17" s="142" t="n">
        <f aca="false">G17+H17</f>
        <v>54</v>
      </c>
      <c r="J17" s="143" t="n">
        <f aca="false">IF(L17&gt;0,L17,0)</f>
        <v>0</v>
      </c>
      <c r="K17" s="142" t="n">
        <f aca="false">I17+J17</f>
        <v>54</v>
      </c>
      <c r="L17" s="142" t="n">
        <f aca="false">F17-(I17-AK17)</f>
        <v>-33.49</v>
      </c>
      <c r="M17" s="262" t="n">
        <v>2.61</v>
      </c>
      <c r="N17" s="142" t="n">
        <v>0</v>
      </c>
      <c r="O17" s="142" t="n">
        <v>0</v>
      </c>
      <c r="P17" s="171" t="n">
        <v>0</v>
      </c>
      <c r="Q17" s="138" t="n">
        <f aca="false">933200/325851/1.9835*1.02</f>
        <v>1.4727317135381</v>
      </c>
      <c r="R17" s="138" t="n">
        <f aca="false">((1180560/646272)*1.04)-T17</f>
        <v>1.41131859802733</v>
      </c>
      <c r="S17" s="138" t="n">
        <v>0</v>
      </c>
      <c r="T17" s="138" t="n">
        <f aca="false">(0.4431*1.06)*1.04</f>
        <v>0.48847344</v>
      </c>
      <c r="U17" s="101" t="n">
        <f aca="false">M17-(Q17+R17+S17+T17)</f>
        <v>-0.762523751565427</v>
      </c>
      <c r="V17" s="142" t="n">
        <v>0</v>
      </c>
      <c r="W17" s="142" t="n">
        <v>0</v>
      </c>
      <c r="X17" s="142" t="n">
        <f aca="false">M17-N17-P17-O17-Q17-R17-S17-T17-U17+V17+W17</f>
        <v>0</v>
      </c>
      <c r="Y17" s="142" t="n">
        <f aca="false">X17-AO17</f>
        <v>0</v>
      </c>
      <c r="Z17" s="142"/>
      <c r="AA17" s="142"/>
      <c r="AB17" s="143"/>
      <c r="AC17" s="143"/>
      <c r="AD17" s="113"/>
      <c r="AE17" s="142" t="n">
        <v>0</v>
      </c>
      <c r="AF17" s="262"/>
      <c r="AG17" s="263"/>
      <c r="AH17" s="142" t="n">
        <v>17.9</v>
      </c>
      <c r="AI17" s="113" t="n">
        <f aca="false">AI16-AH17</f>
        <v>1850.13684762419</v>
      </c>
      <c r="AJ17" s="113"/>
      <c r="AK17" s="141" t="n">
        <f aca="false">N17+O17+P17+Q17+R17+S17+T17+U17+X17+AE17+AH17</f>
        <v>20.51</v>
      </c>
      <c r="AL17" s="142" t="n">
        <f aca="false">IF(L17&lt;0,L17*-1,0)</f>
        <v>33.49</v>
      </c>
      <c r="AM17" s="142" t="n">
        <f aca="false">AK17+AL17</f>
        <v>54</v>
      </c>
      <c r="AN17" s="146"/>
      <c r="AO17" s="143"/>
      <c r="AP17" s="232"/>
      <c r="AU17" s="85"/>
      <c r="AV17" s="284" t="n">
        <v>0</v>
      </c>
      <c r="AW17" s="226" t="n">
        <v>52</v>
      </c>
      <c r="AX17" s="226" t="n">
        <v>22</v>
      </c>
      <c r="AY17" s="234"/>
      <c r="AZ17" s="264" t="n">
        <f aca="false">SUM(N17,P17:U17)</f>
        <v>2.61</v>
      </c>
      <c r="BA17" s="193" t="n">
        <v>0</v>
      </c>
      <c r="BB17" s="265" t="n">
        <v>6850</v>
      </c>
    </row>
    <row r="18" customFormat="false" ht="12.95" hidden="false" customHeight="true" outlineLevel="0" collapsed="false">
      <c r="A18" s="192" t="n">
        <f aca="false">A17+1</f>
        <v>4</v>
      </c>
      <c r="B18" s="112" t="n">
        <v>6868.14</v>
      </c>
      <c r="C18" s="113" t="n">
        <v>182915</v>
      </c>
      <c r="D18" s="226" t="n">
        <f aca="false">C18-C17</f>
        <v>130</v>
      </c>
      <c r="E18" s="113" t="n">
        <f aca="false">C18-152000</f>
        <v>30915</v>
      </c>
      <c r="F18" s="260" t="n">
        <f aca="false">D18/$D$2</f>
        <v>65.5407108646332</v>
      </c>
      <c r="G18" s="142" t="n">
        <v>55</v>
      </c>
      <c r="H18" s="261" t="n">
        <v>0</v>
      </c>
      <c r="I18" s="142" t="n">
        <f aca="false">G18+H18</f>
        <v>55</v>
      </c>
      <c r="J18" s="143" t="n">
        <f aca="false">IF(L18&gt;0,L18,0)</f>
        <v>31.0407108646332</v>
      </c>
      <c r="K18" s="142" t="n">
        <f aca="false">I18+J18</f>
        <v>86.0407108646332</v>
      </c>
      <c r="L18" s="142" t="n">
        <f aca="false">F18-(I18-AK18)</f>
        <v>31.0407108646332</v>
      </c>
      <c r="M18" s="262" t="n">
        <v>2.6</v>
      </c>
      <c r="N18" s="142" t="n">
        <v>0</v>
      </c>
      <c r="O18" s="142" t="n">
        <v>0</v>
      </c>
      <c r="P18" s="171" t="n">
        <v>0</v>
      </c>
      <c r="Q18" s="138" t="n">
        <f aca="false">1061000/325851/1.9835*1.02</f>
        <v>1.67441957572216</v>
      </c>
      <c r="R18" s="138" t="n">
        <f aca="false">((1145418/646272)*1.04)-T18</f>
        <v>1.35476705316696</v>
      </c>
      <c r="S18" s="138" t="n">
        <v>0</v>
      </c>
      <c r="T18" s="138" t="n">
        <f aca="false">(0.4431*1.06)*1.04</f>
        <v>0.48847344</v>
      </c>
      <c r="U18" s="101" t="n">
        <f aca="false">M18-(Q18+R18+S18+T18)</f>
        <v>-0.917660068889123</v>
      </c>
      <c r="V18" s="142" t="n">
        <v>0</v>
      </c>
      <c r="W18" s="142" t="n">
        <v>0</v>
      </c>
      <c r="X18" s="142" t="n">
        <f aca="false">M18-N18-P18-O18-Q18-R18-S18-T18-U18+V18+W18</f>
        <v>0</v>
      </c>
      <c r="Y18" s="142" t="n">
        <f aca="false">X18-AO18</f>
        <v>0</v>
      </c>
      <c r="Z18" s="142"/>
      <c r="AA18" s="142"/>
      <c r="AB18" s="143"/>
      <c r="AC18" s="143"/>
      <c r="AD18" s="113"/>
      <c r="AE18" s="142" t="n">
        <v>0</v>
      </c>
      <c r="AF18" s="262"/>
      <c r="AG18" s="263"/>
      <c r="AH18" s="142" t="n">
        <v>17.9</v>
      </c>
      <c r="AI18" s="113" t="n">
        <f aca="false">AI17-AH18</f>
        <v>1832.23684762419</v>
      </c>
      <c r="AJ18" s="113"/>
      <c r="AK18" s="141" t="n">
        <f aca="false">N18+O18+P18+Q18+R18+S18+T18+U18+X18+AE18+AH18</f>
        <v>20.5</v>
      </c>
      <c r="AL18" s="142" t="n">
        <f aca="false">IF(L18&lt;0,L18*-1,0)</f>
        <v>0</v>
      </c>
      <c r="AM18" s="142" t="n">
        <f aca="false">AK18+AL18</f>
        <v>20.5</v>
      </c>
      <c r="AN18" s="146"/>
      <c r="AO18" s="143"/>
      <c r="AP18" s="232"/>
      <c r="AU18" s="85"/>
      <c r="AV18" s="284" t="n">
        <v>0</v>
      </c>
      <c r="AW18" s="226" t="n">
        <v>50</v>
      </c>
      <c r="AX18" s="226" t="n">
        <v>18</v>
      </c>
      <c r="AY18" s="234"/>
      <c r="AZ18" s="264" t="n">
        <f aca="false">SUM(N18,P18:U18)</f>
        <v>2.6</v>
      </c>
      <c r="BA18" s="193" t="n">
        <v>0</v>
      </c>
      <c r="BB18" s="265" t="n">
        <v>6851</v>
      </c>
    </row>
    <row r="19" customFormat="false" ht="12.95" hidden="false" customHeight="true" outlineLevel="0" collapsed="false">
      <c r="A19" s="192" t="n">
        <f aca="false">A18+1</f>
        <v>5</v>
      </c>
      <c r="B19" s="112" t="n">
        <v>6868.14</v>
      </c>
      <c r="C19" s="113" t="n">
        <v>182915</v>
      </c>
      <c r="D19" s="226" t="n">
        <f aca="false">C19-C18</f>
        <v>0</v>
      </c>
      <c r="E19" s="113" t="n">
        <f aca="false">C19-152000</f>
        <v>30915</v>
      </c>
      <c r="F19" s="260" t="n">
        <f aca="false">D19/$D$2</f>
        <v>0</v>
      </c>
      <c r="G19" s="142" t="n">
        <v>56</v>
      </c>
      <c r="H19" s="261" t="n">
        <v>0</v>
      </c>
      <c r="I19" s="142" t="n">
        <f aca="false">G19+H19</f>
        <v>56</v>
      </c>
      <c r="J19" s="143" t="n">
        <f aca="false">IF(L19&gt;0,L19,0)</f>
        <v>0</v>
      </c>
      <c r="K19" s="142" t="n">
        <f aca="false">I19+J19</f>
        <v>56</v>
      </c>
      <c r="L19" s="142" t="n">
        <f aca="false">F19-(I19-AK19)</f>
        <v>-35.5</v>
      </c>
      <c r="M19" s="262" t="n">
        <v>2.6</v>
      </c>
      <c r="N19" s="142" t="n">
        <v>0</v>
      </c>
      <c r="O19" s="142" t="n">
        <v>0</v>
      </c>
      <c r="P19" s="171" t="n">
        <v>0</v>
      </c>
      <c r="Q19" s="138" t="n">
        <f aca="false">927500/325851/1.9835*1.02</f>
        <v>1.46373624550641</v>
      </c>
      <c r="R19" s="138" t="n">
        <f aca="false">((1145286/646272)*1.04)-T19</f>
        <v>1.35455463486631</v>
      </c>
      <c r="S19" s="138" t="n">
        <v>0</v>
      </c>
      <c r="T19" s="138" t="n">
        <f aca="false">(0.4431*1.06)*1.04</f>
        <v>0.48847344</v>
      </c>
      <c r="U19" s="101" t="n">
        <f aca="false">M19-(Q19+R19+S19+T19)</f>
        <v>-0.706764320372722</v>
      </c>
      <c r="V19" s="142" t="n">
        <v>0</v>
      </c>
      <c r="W19" s="142" t="n">
        <v>0</v>
      </c>
      <c r="X19" s="142" t="n">
        <f aca="false">M19-N19-P19-O19-Q19-R19-S19-T19-U19+V19+W19</f>
        <v>0</v>
      </c>
      <c r="Y19" s="142" t="n">
        <f aca="false">X19-AO19</f>
        <v>0</v>
      </c>
      <c r="Z19" s="142"/>
      <c r="AA19" s="142"/>
      <c r="AB19" s="143"/>
      <c r="AC19" s="143"/>
      <c r="AD19" s="113"/>
      <c r="AE19" s="142" t="n">
        <v>0</v>
      </c>
      <c r="AF19" s="262"/>
      <c r="AG19" s="263"/>
      <c r="AH19" s="142" t="n">
        <v>17.9</v>
      </c>
      <c r="AI19" s="113" t="n">
        <f aca="false">AI18-AH19</f>
        <v>1814.33684762419</v>
      </c>
      <c r="AJ19" s="113"/>
      <c r="AK19" s="141" t="n">
        <f aca="false">N19+O19+P19+Q19+R19+S19+T19+U19+X19+AE19+AH19</f>
        <v>20.5</v>
      </c>
      <c r="AL19" s="142" t="n">
        <f aca="false">IF(L19&lt;0,L19*-1,0)</f>
        <v>35.5</v>
      </c>
      <c r="AM19" s="142" t="n">
        <f aca="false">AK19+AL19</f>
        <v>56</v>
      </c>
      <c r="AN19" s="146"/>
      <c r="AO19" s="143"/>
      <c r="AP19" s="232"/>
      <c r="AU19" s="85"/>
      <c r="AV19" s="284" t="n">
        <v>0</v>
      </c>
      <c r="AW19" s="226" t="n">
        <v>41</v>
      </c>
      <c r="AX19" s="226" t="n">
        <v>5</v>
      </c>
      <c r="AY19" s="234"/>
      <c r="AZ19" s="264" t="n">
        <f aca="false">SUM(N19,P19:U19)</f>
        <v>2.6</v>
      </c>
      <c r="BA19" s="193" t="n">
        <v>0</v>
      </c>
      <c r="BB19" s="265" t="n">
        <v>6852</v>
      </c>
    </row>
    <row r="20" customFormat="false" ht="12.95" hidden="false" customHeight="true" outlineLevel="0" collapsed="false">
      <c r="A20" s="192" t="n">
        <f aca="false">A19+1</f>
        <v>6</v>
      </c>
      <c r="B20" s="112" t="n">
        <v>6868.17</v>
      </c>
      <c r="C20" s="113" t="n">
        <v>182993</v>
      </c>
      <c r="D20" s="226" t="n">
        <f aca="false">C20-C19</f>
        <v>78</v>
      </c>
      <c r="E20" s="113" t="n">
        <f aca="false">C20-152000</f>
        <v>30993</v>
      </c>
      <c r="F20" s="260" t="n">
        <f aca="false">D20/$D$2</f>
        <v>39.3244265187799</v>
      </c>
      <c r="G20" s="142" t="n">
        <v>57</v>
      </c>
      <c r="H20" s="261" t="n">
        <v>0</v>
      </c>
      <c r="I20" s="142" t="n">
        <f aca="false">G20+H20</f>
        <v>57</v>
      </c>
      <c r="J20" s="143" t="n">
        <f aca="false">IF(L20&gt;0,L20,0)</f>
        <v>3.28442651877993</v>
      </c>
      <c r="K20" s="142" t="n">
        <f aca="false">I20+J20</f>
        <v>60.2844265187799</v>
      </c>
      <c r="L20" s="142" t="n">
        <f aca="false">F20-(I20-AK20)</f>
        <v>3.28442651877993</v>
      </c>
      <c r="M20" s="262" t="n">
        <v>3.06</v>
      </c>
      <c r="N20" s="142" t="n">
        <v>0</v>
      </c>
      <c r="O20" s="142" t="n">
        <v>0</v>
      </c>
      <c r="P20" s="171" t="n">
        <v>0</v>
      </c>
      <c r="Q20" s="138" t="n">
        <f aca="false">1039700/325851/1.9835*1.02</f>
        <v>1.64080493202482</v>
      </c>
      <c r="R20" s="138" t="n">
        <f aca="false">((1169744/646272)*1.04)-T20</f>
        <v>1.39391317121014</v>
      </c>
      <c r="S20" s="138" t="n">
        <v>0</v>
      </c>
      <c r="T20" s="138" t="n">
        <f aca="false">(0.4431*1.06)*1.04</f>
        <v>0.48847344</v>
      </c>
      <c r="U20" s="101" t="n">
        <f aca="false">M20-(Q20+R20+S20+T20)</f>
        <v>-0.463191543234956</v>
      </c>
      <c r="V20" s="142" t="n">
        <v>0</v>
      </c>
      <c r="W20" s="142" t="n">
        <v>0</v>
      </c>
      <c r="X20" s="142" t="n">
        <f aca="false">M20-N20-P20-O20-Q20-R20-S20-T20-U20+V20+W20</f>
        <v>0</v>
      </c>
      <c r="Y20" s="142" t="n">
        <f aca="false">X20-AO20</f>
        <v>0</v>
      </c>
      <c r="Z20" s="142"/>
      <c r="AA20" s="142"/>
      <c r="AB20" s="143"/>
      <c r="AC20" s="143"/>
      <c r="AD20" s="113"/>
      <c r="AE20" s="142" t="n">
        <v>0</v>
      </c>
      <c r="AF20" s="262"/>
      <c r="AG20" s="263"/>
      <c r="AH20" s="142" t="n">
        <v>17.9</v>
      </c>
      <c r="AI20" s="113" t="n">
        <f aca="false">AI19-AH20</f>
        <v>1796.43684762419</v>
      </c>
      <c r="AJ20" s="113"/>
      <c r="AK20" s="141" t="n">
        <f aca="false">N20+O20+P20+Q20+R20+S20+T20+U20+X20+AE20+AH20</f>
        <v>20.96</v>
      </c>
      <c r="AL20" s="142" t="n">
        <f aca="false">IF(L20&lt;0,L20*-1,0)</f>
        <v>0</v>
      </c>
      <c r="AM20" s="142" t="n">
        <f aca="false">AK20+AL20</f>
        <v>20.96</v>
      </c>
      <c r="AN20" s="146"/>
      <c r="AO20" s="143"/>
      <c r="AP20" s="232"/>
      <c r="AU20" s="85"/>
      <c r="AV20" s="284" t="n">
        <v>0</v>
      </c>
      <c r="AW20" s="226" t="n">
        <v>43</v>
      </c>
      <c r="AX20" s="226" t="n">
        <v>11</v>
      </c>
      <c r="AY20" s="234"/>
      <c r="AZ20" s="264" t="n">
        <f aca="false">SUM(N20,P20:U20)</f>
        <v>3.06</v>
      </c>
      <c r="BA20" s="193" t="n">
        <v>0</v>
      </c>
      <c r="BB20" s="265" t="n">
        <v>6857</v>
      </c>
    </row>
    <row r="21" customFormat="false" ht="12.95" hidden="false" customHeight="true" outlineLevel="0" collapsed="false">
      <c r="A21" s="192" t="n">
        <f aca="false">A20+1</f>
        <v>7</v>
      </c>
      <c r="B21" s="112" t="n">
        <v>6868.18</v>
      </c>
      <c r="C21" s="113" t="n">
        <v>183019</v>
      </c>
      <c r="D21" s="226" t="n">
        <f aca="false">C21-C20</f>
        <v>26</v>
      </c>
      <c r="E21" s="113" t="n">
        <f aca="false">C21-152000</f>
        <v>31019</v>
      </c>
      <c r="F21" s="260" t="n">
        <f aca="false">D21/$D$2</f>
        <v>13.1081421729266</v>
      </c>
      <c r="G21" s="142" t="n">
        <v>55</v>
      </c>
      <c r="H21" s="261" t="n">
        <v>0</v>
      </c>
      <c r="I21" s="142" t="n">
        <f aca="false">G21+H21</f>
        <v>55</v>
      </c>
      <c r="J21" s="143" t="n">
        <f aca="false">IF(L21&gt;0,L21,0)</f>
        <v>0</v>
      </c>
      <c r="K21" s="142" t="n">
        <f aca="false">I21+J21</f>
        <v>55</v>
      </c>
      <c r="L21" s="142" t="n">
        <f aca="false">F21-(I21-AK21)</f>
        <v>-20.5818578270734</v>
      </c>
      <c r="M21" s="262" t="n">
        <v>3.41</v>
      </c>
      <c r="N21" s="142" t="n">
        <v>0</v>
      </c>
      <c r="O21" s="142" t="n">
        <v>0</v>
      </c>
      <c r="P21" s="171" t="n">
        <v>0</v>
      </c>
      <c r="Q21" s="138" t="n">
        <f aca="false">1366600/325851/1.9835*1.02</f>
        <v>2.1567029144033</v>
      </c>
      <c r="R21" s="138" t="n">
        <f aca="false">((1155536/646272)*1.04)-T21</f>
        <v>1.37104923775797</v>
      </c>
      <c r="S21" s="138" t="n">
        <v>0</v>
      </c>
      <c r="T21" s="138" t="n">
        <f aca="false">(0.4431*1.06)*1.04</f>
        <v>0.48847344</v>
      </c>
      <c r="U21" s="101" t="n">
        <f aca="false">M21-(Q21+R21+S21+T21)</f>
        <v>-0.606225592161273</v>
      </c>
      <c r="V21" s="142" t="n">
        <v>0</v>
      </c>
      <c r="W21" s="142" t="n">
        <v>0</v>
      </c>
      <c r="X21" s="142" t="n">
        <f aca="false">M21-N21-P21-O21-Q21-R21-S21-T21-U21+V21+W21</f>
        <v>0</v>
      </c>
      <c r="Y21" s="142" t="n">
        <f aca="false">X21-AO21</f>
        <v>0</v>
      </c>
      <c r="Z21" s="142"/>
      <c r="AA21" s="142"/>
      <c r="AB21" s="143"/>
      <c r="AC21" s="143"/>
      <c r="AD21" s="113"/>
      <c r="AE21" s="142" t="n">
        <v>0</v>
      </c>
      <c r="AF21" s="262"/>
      <c r="AG21" s="263"/>
      <c r="AH21" s="142" t="n">
        <v>17.9</v>
      </c>
      <c r="AI21" s="113" t="n">
        <f aca="false">AI20-AH21</f>
        <v>1778.53684762419</v>
      </c>
      <c r="AJ21" s="113"/>
      <c r="AK21" s="141" t="n">
        <f aca="false">N21+O21+P21+Q21+R21+S21+T21+U21+X21+AE21+AH21</f>
        <v>21.31</v>
      </c>
      <c r="AL21" s="142" t="n">
        <f aca="false">IF(L21&lt;0,L21*-1,0)</f>
        <v>20.5818578270734</v>
      </c>
      <c r="AM21" s="142" t="n">
        <f aca="false">AK21+AL21</f>
        <v>41.8918578270734</v>
      </c>
      <c r="AN21" s="146"/>
      <c r="AO21" s="143"/>
      <c r="AP21" s="232"/>
      <c r="AU21" s="85"/>
      <c r="AV21" s="284" t="n">
        <v>0</v>
      </c>
      <c r="AW21" s="226" t="n">
        <v>40</v>
      </c>
      <c r="AX21" s="226" t="n">
        <v>16</v>
      </c>
      <c r="AY21" s="234"/>
      <c r="AZ21" s="264" t="n">
        <f aca="false">SUM(N21,P21:U21)</f>
        <v>3.41</v>
      </c>
      <c r="BA21" s="193" t="n">
        <v>0</v>
      </c>
      <c r="BB21" s="265" t="n">
        <v>6862</v>
      </c>
    </row>
    <row r="22" customFormat="false" ht="12.95" hidden="false" customHeight="true" outlineLevel="0" collapsed="false">
      <c r="A22" s="192" t="n">
        <f aca="false">A21+1</f>
        <v>8</v>
      </c>
      <c r="B22" s="112" t="n">
        <v>6868.19</v>
      </c>
      <c r="C22" s="113" t="n">
        <v>183046</v>
      </c>
      <c r="D22" s="226" t="n">
        <f aca="false">C22-C21</f>
        <v>27</v>
      </c>
      <c r="E22" s="113" t="n">
        <f aca="false">C22-152000</f>
        <v>31046</v>
      </c>
      <c r="F22" s="260" t="n">
        <f aca="false">D22/$D$2</f>
        <v>13.61230148727</v>
      </c>
      <c r="G22" s="142" t="n">
        <v>54</v>
      </c>
      <c r="H22" s="261" t="n">
        <v>0</v>
      </c>
      <c r="I22" s="142" t="n">
        <f aca="false">G22+H22</f>
        <v>54</v>
      </c>
      <c r="J22" s="143" t="n">
        <f aca="false">IF(L22&gt;0,L22,0)</f>
        <v>0</v>
      </c>
      <c r="K22" s="142" t="n">
        <f aca="false">I22+J22</f>
        <v>54</v>
      </c>
      <c r="L22" s="142" t="n">
        <f aca="false">F22-(I22-AK22)</f>
        <v>-19.01769851273</v>
      </c>
      <c r="M22" s="262" t="n">
        <v>3.47</v>
      </c>
      <c r="N22" s="142" t="n">
        <v>0</v>
      </c>
      <c r="O22" s="142" t="n">
        <v>0</v>
      </c>
      <c r="P22" s="171" t="n">
        <v>0</v>
      </c>
      <c r="Q22" s="138" t="n">
        <f aca="false">1083500/325851/1.9835*1.02</f>
        <v>1.70992800216302</v>
      </c>
      <c r="R22" s="138" t="n">
        <f aca="false">((1132576/646272)*1.04)-T22</f>
        <v>1.33410132728065</v>
      </c>
      <c r="S22" s="138" t="n">
        <v>0</v>
      </c>
      <c r="T22" s="138" t="n">
        <f aca="false">(0.4431*1.06)*1.04</f>
        <v>0.48847344</v>
      </c>
      <c r="U22" s="101" t="n">
        <f aca="false">M22-(Q22+R22+S22+T22)</f>
        <v>-0.0625027694436651</v>
      </c>
      <c r="V22" s="142" t="n">
        <v>0</v>
      </c>
      <c r="W22" s="142" t="n">
        <v>0</v>
      </c>
      <c r="X22" s="142" t="n">
        <f aca="false">M22-N22-P22-O22-Q22-R22-S22-T22-U22+V22+W22</f>
        <v>0</v>
      </c>
      <c r="Y22" s="142" t="n">
        <f aca="false">X22-AO22</f>
        <v>0</v>
      </c>
      <c r="Z22" s="142"/>
      <c r="AA22" s="142"/>
      <c r="AB22" s="143"/>
      <c r="AC22" s="143"/>
      <c r="AD22" s="113"/>
      <c r="AE22" s="142" t="n">
        <v>0</v>
      </c>
      <c r="AF22" s="262"/>
      <c r="AG22" s="263"/>
      <c r="AH22" s="142" t="n">
        <v>17.9</v>
      </c>
      <c r="AI22" s="113" t="n">
        <f aca="false">AI21-AH22</f>
        <v>1760.63684762419</v>
      </c>
      <c r="AJ22" s="113"/>
      <c r="AK22" s="141" t="n">
        <f aca="false">N22+O22+P22+Q22+R22+S22+T22+U22+X22+AE22+AH22</f>
        <v>21.37</v>
      </c>
      <c r="AL22" s="142" t="n">
        <f aca="false">IF(L22&lt;0,L22*-1,0)</f>
        <v>19.01769851273</v>
      </c>
      <c r="AM22" s="142" t="n">
        <f aca="false">AK22+AL22</f>
        <v>40.38769851273</v>
      </c>
      <c r="AN22" s="146"/>
      <c r="AO22" s="143"/>
      <c r="AP22" s="232"/>
      <c r="AU22" s="85"/>
      <c r="AV22" s="284" t="n">
        <v>0</v>
      </c>
      <c r="AW22" s="113" t="n">
        <v>47</v>
      </c>
      <c r="AX22" s="226" t="n">
        <v>17</v>
      </c>
      <c r="AY22" s="234"/>
      <c r="AZ22" s="264" t="n">
        <f aca="false">SUM(N22,P22:U22)</f>
        <v>3.47</v>
      </c>
      <c r="BA22" s="193" t="n">
        <v>0</v>
      </c>
      <c r="BB22" s="265" t="n">
        <v>6867</v>
      </c>
    </row>
    <row r="23" customFormat="false" ht="12.95" hidden="false" customHeight="true" outlineLevel="0" collapsed="false">
      <c r="A23" s="192" t="n">
        <f aca="false">A22+1</f>
        <v>9</v>
      </c>
      <c r="B23" s="112" t="n">
        <v>6868.21</v>
      </c>
      <c r="C23" s="113" t="n">
        <v>183098</v>
      </c>
      <c r="D23" s="226" t="n">
        <f aca="false">C23-C22</f>
        <v>52</v>
      </c>
      <c r="E23" s="113" t="n">
        <f aca="false">C23-152000</f>
        <v>31098</v>
      </c>
      <c r="F23" s="260" t="n">
        <f aca="false">D23/$D$2</f>
        <v>26.2162843458533</v>
      </c>
      <c r="G23" s="142" t="n">
        <v>53</v>
      </c>
      <c r="H23" s="261" t="n">
        <v>0</v>
      </c>
      <c r="I23" s="142" t="n">
        <f aca="false">G23+H23</f>
        <v>53</v>
      </c>
      <c r="J23" s="143" t="n">
        <f aca="false">IF(L23&gt;0,L23,0)</f>
        <v>0</v>
      </c>
      <c r="K23" s="142" t="n">
        <f aca="false">I23+J23</f>
        <v>53</v>
      </c>
      <c r="L23" s="142" t="n">
        <f aca="false">F23-(I23-AK23)</f>
        <v>-6.35371565414671</v>
      </c>
      <c r="M23" s="262" t="n">
        <v>2.53</v>
      </c>
      <c r="N23" s="142" t="n">
        <v>0</v>
      </c>
      <c r="O23" s="142" t="n">
        <v>0</v>
      </c>
      <c r="P23" s="171" t="n">
        <v>0</v>
      </c>
      <c r="Q23" s="138" t="n">
        <f aca="false">994300/325851/1.9835*1.02</f>
        <v>1.5691568182286</v>
      </c>
      <c r="R23" s="138" t="n">
        <f aca="false">((1153082/646272)*1.04)-T23</f>
        <v>1.36710018844128</v>
      </c>
      <c r="S23" s="138" t="n">
        <v>0</v>
      </c>
      <c r="T23" s="138" t="n">
        <f aca="false">(0.4431*1.06)*1.04</f>
        <v>0.48847344</v>
      </c>
      <c r="U23" s="101" t="n">
        <f aca="false">M23-(Q23+R23+S23+T23)</f>
        <v>-0.894730446669874</v>
      </c>
      <c r="V23" s="142" t="n">
        <v>0</v>
      </c>
      <c r="W23" s="142" t="n">
        <v>0</v>
      </c>
      <c r="X23" s="142" t="n">
        <f aca="false">M23-N23-P23-O23-Q23-R23-S23-T23-U23+V23+W23</f>
        <v>0</v>
      </c>
      <c r="Y23" s="142" t="n">
        <f aca="false">X23-AO23</f>
        <v>0</v>
      </c>
      <c r="Z23" s="142"/>
      <c r="AA23" s="142"/>
      <c r="AB23" s="143"/>
      <c r="AC23" s="143"/>
      <c r="AD23" s="113"/>
      <c r="AE23" s="142" t="n">
        <v>0</v>
      </c>
      <c r="AF23" s="262"/>
      <c r="AG23" s="263"/>
      <c r="AH23" s="142" t="n">
        <v>17.9</v>
      </c>
      <c r="AI23" s="113" t="n">
        <f aca="false">AI22-AH23</f>
        <v>1742.73684762419</v>
      </c>
      <c r="AJ23" s="113"/>
      <c r="AK23" s="141" t="n">
        <f aca="false">N23+O23+P23+Q23+R23+S23+T23+U23+X23+AE23+AH23</f>
        <v>20.43</v>
      </c>
      <c r="AL23" s="142" t="n">
        <f aca="false">IF(L23&lt;0,L23*-1,0)</f>
        <v>6.35371565414671</v>
      </c>
      <c r="AM23" s="142" t="n">
        <f aca="false">AK23+AL23</f>
        <v>26.7837156541467</v>
      </c>
      <c r="AN23" s="146"/>
      <c r="AO23" s="143"/>
      <c r="AP23" s="232"/>
      <c r="AU23" s="85"/>
      <c r="AV23" s="284" t="n">
        <v>0</v>
      </c>
      <c r="AW23" s="113" t="n">
        <v>43</v>
      </c>
      <c r="AX23" s="226" t="n">
        <v>19</v>
      </c>
      <c r="AY23" s="234"/>
      <c r="AZ23" s="264" t="n">
        <f aca="false">SUM(N23,P23:U23)</f>
        <v>2.53</v>
      </c>
      <c r="BA23" s="193" t="n">
        <v>0</v>
      </c>
      <c r="BB23" s="265" t="n">
        <v>6869</v>
      </c>
    </row>
    <row r="24" customFormat="false" ht="12.95" hidden="false" customHeight="true" outlineLevel="0" collapsed="false">
      <c r="A24" s="192" t="n">
        <f aca="false">A23+1</f>
        <v>10</v>
      </c>
      <c r="B24" s="112" t="n">
        <v>6868.27</v>
      </c>
      <c r="C24" s="113" t="n">
        <v>183254</v>
      </c>
      <c r="D24" s="226" t="n">
        <f aca="false">C24-C23</f>
        <v>156</v>
      </c>
      <c r="E24" s="113" t="n">
        <f aca="false">C24-152000</f>
        <v>31254</v>
      </c>
      <c r="F24" s="260" t="n">
        <f aca="false">D24/$D$2</f>
        <v>78.6488530375599</v>
      </c>
      <c r="G24" s="142" t="n">
        <v>54</v>
      </c>
      <c r="H24" s="261" t="n">
        <v>0</v>
      </c>
      <c r="I24" s="142" t="n">
        <f aca="false">G24+H24</f>
        <v>54</v>
      </c>
      <c r="J24" s="143" t="n">
        <f aca="false">IF(L24&gt;0,L24,0)</f>
        <v>45.8588530375599</v>
      </c>
      <c r="K24" s="142" t="n">
        <f aca="false">I24+J24</f>
        <v>99.8588530375599</v>
      </c>
      <c r="L24" s="142" t="n">
        <f aca="false">F24-(I24-AK24)</f>
        <v>45.8588530375599</v>
      </c>
      <c r="M24" s="262" t="n">
        <v>3.31</v>
      </c>
      <c r="N24" s="142" t="n">
        <v>0</v>
      </c>
      <c r="O24" s="142" t="n">
        <v>0</v>
      </c>
      <c r="P24" s="171" t="n">
        <v>0</v>
      </c>
      <c r="Q24" s="138" t="n">
        <f aca="false">1038100/325851/1.9835*1.02</f>
        <v>1.6382798883668</v>
      </c>
      <c r="R24" s="138" t="n">
        <f aca="false">((1190502/646272)*1.04)-T24</f>
        <v>1.45829499821747</v>
      </c>
      <c r="S24" s="138" t="n">
        <v>0</v>
      </c>
      <c r="T24" s="138" t="n">
        <f aca="false">(0.415*1.06)*1.04</f>
        <v>0.457496</v>
      </c>
      <c r="U24" s="101" t="n">
        <f aca="false">M24-(Q24+R24+S24+T24)</f>
        <v>-0.244070886584267</v>
      </c>
      <c r="V24" s="142" t="n">
        <v>0</v>
      </c>
      <c r="W24" s="142" t="n">
        <v>0</v>
      </c>
      <c r="X24" s="142" t="n">
        <f aca="false">M24-N24-P24-O24-Q24-R24-S24-T24-U24+V24+W24</f>
        <v>0</v>
      </c>
      <c r="Y24" s="142" t="n">
        <f aca="false">X24-AO24</f>
        <v>0</v>
      </c>
      <c r="Z24" s="142"/>
      <c r="AA24" s="142"/>
      <c r="AB24" s="143"/>
      <c r="AC24" s="143"/>
      <c r="AD24" s="113"/>
      <c r="AE24" s="142" t="n">
        <v>0</v>
      </c>
      <c r="AF24" s="262"/>
      <c r="AG24" s="263"/>
      <c r="AH24" s="142" t="n">
        <v>17.9</v>
      </c>
      <c r="AI24" s="113" t="n">
        <f aca="false">AI23-AH24</f>
        <v>1724.83684762419</v>
      </c>
      <c r="AJ24" s="113"/>
      <c r="AK24" s="141" t="n">
        <f aca="false">N24+O24+P24+Q24+R24+S24+T24+U24+X24+AE24+AH24</f>
        <v>21.21</v>
      </c>
      <c r="AL24" s="142" t="n">
        <f aca="false">IF(L24&lt;0,L24*-1,0)</f>
        <v>0</v>
      </c>
      <c r="AM24" s="142" t="n">
        <f aca="false">AK24+AL24</f>
        <v>21.21</v>
      </c>
      <c r="AN24" s="146"/>
      <c r="AO24" s="143"/>
      <c r="AP24" s="232"/>
      <c r="AU24" s="85"/>
      <c r="AV24" s="284" t="n">
        <v>0</v>
      </c>
      <c r="AW24" s="113" t="n">
        <v>46</v>
      </c>
      <c r="AX24" s="226" t="n">
        <v>20</v>
      </c>
      <c r="AY24" s="234"/>
      <c r="AZ24" s="264" t="n">
        <f aca="false">SUM(N24,P24:U24)</f>
        <v>3.31</v>
      </c>
      <c r="BA24" s="193" t="n">
        <v>0</v>
      </c>
      <c r="BB24" s="265" t="n">
        <v>6883</v>
      </c>
    </row>
    <row r="25" customFormat="false" ht="12.95" hidden="false" customHeight="true" outlineLevel="0" collapsed="false">
      <c r="A25" s="192" t="n">
        <f aca="false">A24+1</f>
        <v>11</v>
      </c>
      <c r="B25" s="112" t="n">
        <v>6868.3</v>
      </c>
      <c r="C25" s="113" t="n">
        <v>183332</v>
      </c>
      <c r="D25" s="226" t="n">
        <f aca="false">C25-C24</f>
        <v>78</v>
      </c>
      <c r="E25" s="113" t="n">
        <f aca="false">C25-152000</f>
        <v>31332</v>
      </c>
      <c r="F25" s="260" t="n">
        <f aca="false">D25/$D$2</f>
        <v>39.3244265187799</v>
      </c>
      <c r="G25" s="142" t="n">
        <v>54</v>
      </c>
      <c r="H25" s="261" t="n">
        <v>0</v>
      </c>
      <c r="I25" s="142" t="n">
        <f aca="false">G25+H25</f>
        <v>54</v>
      </c>
      <c r="J25" s="143" t="n">
        <f aca="false">IF(L25&gt;0,L25,0)</f>
        <v>5.96442651877994</v>
      </c>
      <c r="K25" s="142" t="n">
        <f aca="false">I25+J25</f>
        <v>59.9644265187799</v>
      </c>
      <c r="L25" s="142" t="n">
        <f aca="false">F25-(I25-AK25)</f>
        <v>5.96442651877994</v>
      </c>
      <c r="M25" s="262" t="n">
        <v>2.74</v>
      </c>
      <c r="N25" s="142" t="n">
        <v>0</v>
      </c>
      <c r="O25" s="142" t="n">
        <v>0</v>
      </c>
      <c r="P25" s="171" t="n">
        <v>0</v>
      </c>
      <c r="Q25" s="138" t="n">
        <f aca="false">1092100/325851/1.9835*1.02</f>
        <v>1.72350011182485</v>
      </c>
      <c r="R25" s="138" t="n">
        <f aca="false">((1155824/646272)*1.04)-T25</f>
        <v>1.40249013586849</v>
      </c>
      <c r="S25" s="138" t="n">
        <v>0</v>
      </c>
      <c r="T25" s="138" t="n">
        <f aca="false">(0.415*1.06)*1.04</f>
        <v>0.457496</v>
      </c>
      <c r="U25" s="101" t="n">
        <f aca="false">M25-(Q25+R25+S25+T25)</f>
        <v>-0.843486247693343</v>
      </c>
      <c r="V25" s="142" t="n">
        <v>0</v>
      </c>
      <c r="W25" s="142" t="n">
        <v>0</v>
      </c>
      <c r="X25" s="142" t="n">
        <f aca="false">M25-N25-P25-O25-Q25-R25-S25-T25-U25+V25+W25</f>
        <v>0</v>
      </c>
      <c r="Y25" s="142" t="n">
        <f aca="false">X25-AO25</f>
        <v>0</v>
      </c>
      <c r="Z25" s="142"/>
      <c r="AA25" s="142"/>
      <c r="AB25" s="143"/>
      <c r="AC25" s="143"/>
      <c r="AD25" s="113"/>
      <c r="AE25" s="142" t="n">
        <v>0</v>
      </c>
      <c r="AF25" s="262"/>
      <c r="AG25" s="263"/>
      <c r="AH25" s="142" t="n">
        <v>17.9</v>
      </c>
      <c r="AI25" s="113" t="n">
        <f aca="false">AI24-AH25</f>
        <v>1706.93684762419</v>
      </c>
      <c r="AJ25" s="113"/>
      <c r="AK25" s="141" t="n">
        <f aca="false">N25+O25+P25+Q25+R25+S25+T25+U25+X25+AE25+AH25</f>
        <v>20.64</v>
      </c>
      <c r="AL25" s="142" t="n">
        <f aca="false">IF(L25&lt;0,L25*-1,0)</f>
        <v>0</v>
      </c>
      <c r="AM25" s="142" t="n">
        <f aca="false">AK25+AL25</f>
        <v>20.64</v>
      </c>
      <c r="AN25" s="146"/>
      <c r="AO25" s="143"/>
      <c r="AP25" s="232"/>
      <c r="AU25" s="85"/>
      <c r="AV25" s="284" t="n">
        <v>0</v>
      </c>
      <c r="AW25" s="113" t="n">
        <v>52</v>
      </c>
      <c r="AX25" s="226" t="n">
        <v>22</v>
      </c>
      <c r="AY25" s="234"/>
      <c r="AZ25" s="264" t="n">
        <f aca="false">SUM(N25,P25:U25)</f>
        <v>2.74</v>
      </c>
      <c r="BA25" s="193" t="n">
        <v>0</v>
      </c>
      <c r="BB25" s="265" t="n">
        <v>6897</v>
      </c>
    </row>
    <row r="26" customFormat="false" ht="12.95" hidden="false" customHeight="true" outlineLevel="0" collapsed="false">
      <c r="A26" s="192" t="n">
        <f aca="false">A25+1</f>
        <v>12</v>
      </c>
      <c r="B26" s="112" t="n">
        <v>6868.3</v>
      </c>
      <c r="C26" s="113" t="n">
        <v>183332</v>
      </c>
      <c r="D26" s="226" t="n">
        <f aca="false">C26-C25</f>
        <v>0</v>
      </c>
      <c r="E26" s="113" t="n">
        <f aca="false">C26-152000</f>
        <v>31332</v>
      </c>
      <c r="F26" s="260" t="n">
        <f aca="false">D26/$D$2</f>
        <v>0</v>
      </c>
      <c r="G26" s="142" t="n">
        <v>54</v>
      </c>
      <c r="H26" s="261" t="n">
        <v>0</v>
      </c>
      <c r="I26" s="142" t="n">
        <f aca="false">G26+H26</f>
        <v>54</v>
      </c>
      <c r="J26" s="143" t="n">
        <f aca="false">IF(L26&gt;0,L26,0)</f>
        <v>0</v>
      </c>
      <c r="K26" s="142" t="n">
        <f aca="false">I26+J26</f>
        <v>54</v>
      </c>
      <c r="L26" s="142" t="n">
        <f aca="false">F26-(I26-AK26)</f>
        <v>-32.85</v>
      </c>
      <c r="M26" s="262" t="n">
        <v>3.25</v>
      </c>
      <c r="N26" s="142" t="n">
        <v>0</v>
      </c>
      <c r="O26" s="142" t="n">
        <v>0</v>
      </c>
      <c r="P26" s="171" t="n">
        <v>0</v>
      </c>
      <c r="Q26" s="138" t="n">
        <f aca="false">1144400/325851/1.9835*1.02</f>
        <v>1.80603747639627</v>
      </c>
      <c r="R26" s="138" t="n">
        <f aca="false">((1137104/646272)*1.04)-T26</f>
        <v>1.37236535868489</v>
      </c>
      <c r="S26" s="138" t="n">
        <v>0</v>
      </c>
      <c r="T26" s="138" t="n">
        <f aca="false">(0.415*1.06)*1.04</f>
        <v>0.457496</v>
      </c>
      <c r="U26" s="101" t="n">
        <f aca="false">M26-(Q26+R26+S26+T26)</f>
        <v>-0.385898835081155</v>
      </c>
      <c r="V26" s="142" t="n">
        <v>0</v>
      </c>
      <c r="W26" s="142" t="n">
        <v>0</v>
      </c>
      <c r="X26" s="142" t="n">
        <f aca="false">M26-N26-P26-O26-Q26-R26-S26-T26-U26+V26+W26</f>
        <v>0</v>
      </c>
      <c r="Y26" s="142" t="n">
        <f aca="false">X26-AO26</f>
        <v>0</v>
      </c>
      <c r="Z26" s="142"/>
      <c r="AA26" s="142"/>
      <c r="AB26" s="143"/>
      <c r="AC26" s="143"/>
      <c r="AD26" s="113"/>
      <c r="AE26" s="142" t="n">
        <v>0</v>
      </c>
      <c r="AF26" s="262"/>
      <c r="AG26" s="263"/>
      <c r="AH26" s="142" t="n">
        <v>17.9</v>
      </c>
      <c r="AI26" s="113" t="n">
        <f aca="false">AI25-AH26</f>
        <v>1689.03684762419</v>
      </c>
      <c r="AJ26" s="113"/>
      <c r="AK26" s="141" t="n">
        <f aca="false">N26+O26+P26+Q26+R26+S26+T26+U26+X26+AE26+AH26</f>
        <v>21.15</v>
      </c>
      <c r="AL26" s="142" t="n">
        <f aca="false">IF(L26&lt;0,L26*-1,0)</f>
        <v>32.85</v>
      </c>
      <c r="AM26" s="142" t="n">
        <f aca="false">AK26+AL26</f>
        <v>54</v>
      </c>
      <c r="AN26" s="146"/>
      <c r="AO26" s="143"/>
      <c r="AP26" s="232"/>
      <c r="AU26" s="85"/>
      <c r="AV26" s="284" t="n">
        <v>0</v>
      </c>
      <c r="AW26" s="113" t="n">
        <v>41</v>
      </c>
      <c r="AX26" s="226" t="n">
        <v>21</v>
      </c>
      <c r="AY26" s="234"/>
      <c r="AZ26" s="264" t="n">
        <f aca="false">SUM(N26,P26:U26)</f>
        <v>3.25</v>
      </c>
      <c r="BA26" s="193" t="n">
        <v>0</v>
      </c>
      <c r="BB26" s="265" t="n">
        <v>6902</v>
      </c>
    </row>
    <row r="27" customFormat="false" ht="12.95" hidden="false" customHeight="true" outlineLevel="0" collapsed="false">
      <c r="A27" s="192" t="n">
        <f aca="false">A26+1</f>
        <v>13</v>
      </c>
      <c r="B27" s="112" t="n">
        <v>6868.36</v>
      </c>
      <c r="C27" s="113" t="n">
        <v>183489</v>
      </c>
      <c r="D27" s="226" t="n">
        <f aca="false">C27-C26</f>
        <v>157</v>
      </c>
      <c r="E27" s="113" t="n">
        <f aca="false">C27-152000</f>
        <v>31489</v>
      </c>
      <c r="F27" s="260" t="n">
        <f aca="false">D27/$D$2</f>
        <v>79.1530123519032</v>
      </c>
      <c r="G27" s="142" t="n">
        <v>52</v>
      </c>
      <c r="H27" s="261" t="n">
        <v>0</v>
      </c>
      <c r="I27" s="142" t="n">
        <f aca="false">G27+H27</f>
        <v>52</v>
      </c>
      <c r="J27" s="143" t="n">
        <f aca="false">IF(L27&gt;0,L27,0)</f>
        <v>48.4130123519032</v>
      </c>
      <c r="K27" s="142" t="n">
        <f aca="false">I27+J27</f>
        <v>100.413012351903</v>
      </c>
      <c r="L27" s="142" t="n">
        <f aca="false">F27-(I27-AK27)</f>
        <v>48.4130123519032</v>
      </c>
      <c r="M27" s="262" t="n">
        <v>3.36</v>
      </c>
      <c r="N27" s="142" t="n">
        <v>0</v>
      </c>
      <c r="O27" s="142" t="n">
        <v>0</v>
      </c>
      <c r="P27" s="171" t="n">
        <v>0</v>
      </c>
      <c r="Q27" s="138" t="n">
        <f aca="false">1292700/325851/1.9835*1.02</f>
        <v>2.04007746044867</v>
      </c>
      <c r="R27" s="138" t="n">
        <f aca="false">((1153454/646272)*1.04)-T27</f>
        <v>1.39867626183403</v>
      </c>
      <c r="S27" s="138" t="n">
        <v>0</v>
      </c>
      <c r="T27" s="138" t="n">
        <f aca="false">(0.415*1.06)*1.04</f>
        <v>0.457496</v>
      </c>
      <c r="U27" s="101" t="n">
        <f aca="false">M27-(Q27+R27+S27+T27)</f>
        <v>-0.536249722282693</v>
      </c>
      <c r="V27" s="142" t="n">
        <v>0</v>
      </c>
      <c r="W27" s="142" t="n">
        <v>0</v>
      </c>
      <c r="X27" s="142" t="n">
        <f aca="false">M27-N27-P27-O27-Q27-R27-S27-T27-U27+V27+W27</f>
        <v>0</v>
      </c>
      <c r="Y27" s="142" t="n">
        <f aca="false">X27-AO27</f>
        <v>0</v>
      </c>
      <c r="Z27" s="142"/>
      <c r="AA27" s="142"/>
      <c r="AB27" s="143"/>
      <c r="AC27" s="143"/>
      <c r="AD27" s="113"/>
      <c r="AE27" s="142" t="n">
        <v>0</v>
      </c>
      <c r="AF27" s="262"/>
      <c r="AG27" s="263"/>
      <c r="AH27" s="142" t="n">
        <v>17.9</v>
      </c>
      <c r="AI27" s="113" t="n">
        <f aca="false">AI26-AH27</f>
        <v>1671.13684762419</v>
      </c>
      <c r="AJ27" s="113"/>
      <c r="AK27" s="141" t="n">
        <f aca="false">N27+O27+P27+Q27+R27+S27+T27+U27+X27+AE27+AH27</f>
        <v>21.26</v>
      </c>
      <c r="AL27" s="142" t="n">
        <f aca="false">IF(L27&lt;0,L27*-1,0)</f>
        <v>0</v>
      </c>
      <c r="AM27" s="142" t="n">
        <f aca="false">AK27+AL27</f>
        <v>21.26</v>
      </c>
      <c r="AN27" s="146"/>
      <c r="AO27" s="143"/>
      <c r="AP27" s="232"/>
      <c r="AU27" s="85"/>
      <c r="AV27" s="284" t="n">
        <v>0</v>
      </c>
      <c r="AW27" s="113" t="n">
        <v>44</v>
      </c>
      <c r="AX27" s="226" t="n">
        <v>13</v>
      </c>
      <c r="AY27" s="234"/>
      <c r="AZ27" s="264" t="n">
        <f aca="false">SUM(N27,P27:U27)</f>
        <v>3.36</v>
      </c>
      <c r="BA27" s="193" t="n">
        <v>0</v>
      </c>
      <c r="BB27" s="265" t="n">
        <v>6887</v>
      </c>
    </row>
    <row r="28" customFormat="false" ht="12.95" hidden="false" customHeight="true" outlineLevel="0" collapsed="false">
      <c r="A28" s="192" t="n">
        <f aca="false">A27+1</f>
        <v>14</v>
      </c>
      <c r="B28" s="112" t="n">
        <v>6868.37</v>
      </c>
      <c r="C28" s="113" t="n">
        <v>183515</v>
      </c>
      <c r="D28" s="226" t="n">
        <f aca="false">C28-C27</f>
        <v>26</v>
      </c>
      <c r="E28" s="113" t="n">
        <f aca="false">C28-152000</f>
        <v>31515</v>
      </c>
      <c r="F28" s="260" t="n">
        <f aca="false">D28/$D$2</f>
        <v>13.1081421729266</v>
      </c>
      <c r="G28" s="142" t="n">
        <v>52</v>
      </c>
      <c r="H28" s="261" t="n">
        <v>0</v>
      </c>
      <c r="I28" s="142" t="n">
        <f aca="false">G28+H28</f>
        <v>52</v>
      </c>
      <c r="J28" s="143" t="n">
        <f aca="false">IF(L28&gt;0,L28,0)</f>
        <v>0</v>
      </c>
      <c r="K28" s="142" t="n">
        <f aca="false">I28+J28</f>
        <v>52</v>
      </c>
      <c r="L28" s="142" t="n">
        <f aca="false">F28-(I28-AK28)</f>
        <v>-17.5318578270734</v>
      </c>
      <c r="M28" s="262" t="n">
        <v>3.36</v>
      </c>
      <c r="N28" s="142" t="n">
        <v>0</v>
      </c>
      <c r="O28" s="142" t="n">
        <v>0</v>
      </c>
      <c r="P28" s="171" t="n">
        <v>0</v>
      </c>
      <c r="Q28" s="138" t="n">
        <f aca="false">1029900/325851/1.9835*1.02</f>
        <v>1.62533903961946</v>
      </c>
      <c r="R28" s="138" t="n">
        <f aca="false">((1123090/646272)*1.04)-T28</f>
        <v>1.3498136157655</v>
      </c>
      <c r="S28" s="138" t="n">
        <v>0</v>
      </c>
      <c r="T28" s="138" t="n">
        <f aca="false">(0.415*1.06)*1.04</f>
        <v>0.457496</v>
      </c>
      <c r="U28" s="101" t="n">
        <f aca="false">M28-(Q28+R28+S28+T28)</f>
        <v>-0.0726486553849628</v>
      </c>
      <c r="V28" s="142" t="n">
        <v>0</v>
      </c>
      <c r="W28" s="142" t="n">
        <v>0</v>
      </c>
      <c r="X28" s="142" t="n">
        <f aca="false">M28-N28-P28-O28-Q28-R28-S28-T28-U28+V28+W28</f>
        <v>0</v>
      </c>
      <c r="Y28" s="142" t="n">
        <f aca="false">X28-AO28</f>
        <v>0</v>
      </c>
      <c r="Z28" s="142"/>
      <c r="AA28" s="142"/>
      <c r="AB28" s="143"/>
      <c r="AC28" s="143"/>
      <c r="AD28" s="113"/>
      <c r="AE28" s="142" t="n">
        <v>0</v>
      </c>
      <c r="AF28" s="262"/>
      <c r="AG28" s="263"/>
      <c r="AH28" s="142" t="n">
        <v>18</v>
      </c>
      <c r="AI28" s="113" t="n">
        <f aca="false">AI27-AH28</f>
        <v>1653.13684762419</v>
      </c>
      <c r="AJ28" s="113"/>
      <c r="AK28" s="141" t="n">
        <f aca="false">N28+O28+P28+Q28+R28+S28+T28+U28+X28+AE28+AH28</f>
        <v>21.36</v>
      </c>
      <c r="AL28" s="142" t="n">
        <f aca="false">IF(L28&lt;0,L28*-1,0)</f>
        <v>17.5318578270734</v>
      </c>
      <c r="AM28" s="142" t="n">
        <f aca="false">AK28+AL28</f>
        <v>38.8918578270734</v>
      </c>
      <c r="AN28" s="146"/>
      <c r="AO28" s="143"/>
      <c r="AP28" s="232"/>
      <c r="AU28" s="85"/>
      <c r="AV28" s="284" t="n">
        <v>0</v>
      </c>
      <c r="AW28" s="113" t="n">
        <v>48</v>
      </c>
      <c r="AX28" s="226" t="n">
        <v>18</v>
      </c>
      <c r="AY28" s="234"/>
      <c r="AZ28" s="264" t="n">
        <f aca="false">SUM(N28,P28:U28)</f>
        <v>3.36</v>
      </c>
      <c r="BA28" s="193" t="n">
        <v>0</v>
      </c>
      <c r="BB28" s="265" t="n">
        <v>6905</v>
      </c>
    </row>
    <row r="29" customFormat="false" ht="12.95" hidden="false" customHeight="true" outlineLevel="0" collapsed="false">
      <c r="A29" s="192" t="n">
        <f aca="false">A28+1</f>
        <v>15</v>
      </c>
      <c r="B29" s="112" t="n">
        <v>6868.4</v>
      </c>
      <c r="C29" s="113" t="n">
        <v>183593</v>
      </c>
      <c r="D29" s="226" t="n">
        <f aca="false">C29-C28</f>
        <v>78</v>
      </c>
      <c r="E29" s="113" t="n">
        <f aca="false">C29-152000</f>
        <v>31593</v>
      </c>
      <c r="F29" s="260" t="n">
        <f aca="false">D29/$D$2</f>
        <v>39.3244265187799</v>
      </c>
      <c r="G29" s="142" t="n">
        <v>52</v>
      </c>
      <c r="H29" s="261" t="n">
        <v>0</v>
      </c>
      <c r="I29" s="142" t="n">
        <f aca="false">G29+H29</f>
        <v>52</v>
      </c>
      <c r="J29" s="143" t="n">
        <f aca="false">IF(L29&gt;0,L29,0)</f>
        <v>7.76442651877994</v>
      </c>
      <c r="K29" s="142" t="n">
        <f aca="false">I29+J29</f>
        <v>59.7644265187799</v>
      </c>
      <c r="L29" s="142" t="n">
        <f aca="false">F29-(I29-AK29)</f>
        <v>7.76442651877994</v>
      </c>
      <c r="M29" s="262" t="n">
        <v>2.54</v>
      </c>
      <c r="N29" s="142" t="n">
        <v>0</v>
      </c>
      <c r="O29" s="142" t="n">
        <v>0</v>
      </c>
      <c r="P29" s="171" t="n">
        <v>0</v>
      </c>
      <c r="Q29" s="138" t="n">
        <f aca="false">1123500/325851/1.9835*1.02</f>
        <v>1.77305409361343</v>
      </c>
      <c r="R29" s="138" t="n">
        <f aca="false">((1236478/646272)*1.04)-T29</f>
        <v>1.53228093602694</v>
      </c>
      <c r="S29" s="138" t="n">
        <v>0</v>
      </c>
      <c r="T29" s="138" t="n">
        <f aca="false">(0.415*1.06)*1.04</f>
        <v>0.457496</v>
      </c>
      <c r="U29" s="101" t="n">
        <f aca="false">M29-(Q29+R29+S29+T29)</f>
        <v>-1.22283102964036</v>
      </c>
      <c r="V29" s="142" t="n">
        <v>0</v>
      </c>
      <c r="W29" s="142" t="n">
        <v>0</v>
      </c>
      <c r="X29" s="142" t="n">
        <f aca="false">M29-N29-P29-O29-Q29-R29-S29-T29-U29+V29+W29</f>
        <v>0</v>
      </c>
      <c r="Y29" s="142" t="n">
        <f aca="false">X29-AO29</f>
        <v>0</v>
      </c>
      <c r="Z29" s="142"/>
      <c r="AA29" s="142"/>
      <c r="AB29" s="143"/>
      <c r="AC29" s="143"/>
      <c r="AD29" s="113"/>
      <c r="AE29" s="142" t="n">
        <v>0</v>
      </c>
      <c r="AF29" s="262"/>
      <c r="AG29" s="263"/>
      <c r="AH29" s="142" t="n">
        <v>17.9</v>
      </c>
      <c r="AI29" s="113" t="n">
        <f aca="false">AI28-AH29</f>
        <v>1635.23684762419</v>
      </c>
      <c r="AJ29" s="113"/>
      <c r="AK29" s="141" t="n">
        <f aca="false">N29+O29+P29+Q29+R29+S29+T29+U29+X29+AE29+AH29</f>
        <v>20.44</v>
      </c>
      <c r="AL29" s="142" t="n">
        <f aca="false">IF(L29&lt;0,L29*-1,0)</f>
        <v>0</v>
      </c>
      <c r="AM29" s="142" t="n">
        <f aca="false">AK29+AL29</f>
        <v>20.44</v>
      </c>
      <c r="AN29" s="146"/>
      <c r="AO29" s="143"/>
      <c r="AP29" s="232"/>
      <c r="AU29" s="85"/>
      <c r="AV29" s="284" t="n">
        <v>0</v>
      </c>
      <c r="AW29" s="113" t="n">
        <v>54</v>
      </c>
      <c r="AX29" s="226" t="n">
        <v>22</v>
      </c>
      <c r="AY29" s="234"/>
      <c r="AZ29" s="264" t="n">
        <f aca="false">SUM(N29,P29:U29)</f>
        <v>2.54</v>
      </c>
      <c r="BA29" s="193" t="n">
        <v>0</v>
      </c>
      <c r="BB29" s="265" t="n">
        <v>6909</v>
      </c>
    </row>
    <row r="30" customFormat="false" ht="12.95" hidden="false" customHeight="true" outlineLevel="0" collapsed="false">
      <c r="A30" s="192" t="n">
        <f aca="false">A29+1</f>
        <v>16</v>
      </c>
      <c r="B30" s="112" t="n">
        <v>6868.41</v>
      </c>
      <c r="C30" s="113" t="n">
        <v>183619</v>
      </c>
      <c r="D30" s="226" t="n">
        <f aca="false">C30-C29</f>
        <v>26</v>
      </c>
      <c r="E30" s="113" t="n">
        <f aca="false">C30-152000</f>
        <v>31619</v>
      </c>
      <c r="F30" s="260" t="n">
        <f aca="false">D30/$D$2</f>
        <v>13.1081421729266</v>
      </c>
      <c r="G30" s="142" t="n">
        <v>52</v>
      </c>
      <c r="H30" s="261" t="n">
        <v>0</v>
      </c>
      <c r="I30" s="142" t="n">
        <f aca="false">G30+H30</f>
        <v>52</v>
      </c>
      <c r="J30" s="143" t="n">
        <f aca="false">IF(L30&gt;0,L30,0)</f>
        <v>0</v>
      </c>
      <c r="K30" s="142" t="n">
        <f aca="false">I30+J30</f>
        <v>52</v>
      </c>
      <c r="L30" s="142" t="n">
        <f aca="false">F30-(I30-AK30)</f>
        <v>-16.9918578270734</v>
      </c>
      <c r="M30" s="262" t="n">
        <v>3.7</v>
      </c>
      <c r="N30" s="142" t="n">
        <v>0</v>
      </c>
      <c r="O30" s="142" t="n">
        <v>0</v>
      </c>
      <c r="P30" s="171" t="n">
        <v>0</v>
      </c>
      <c r="Q30" s="138" t="n">
        <f aca="false">1056800/325851/1.9835*1.02</f>
        <v>1.66779133611987</v>
      </c>
      <c r="R30" s="138" t="n">
        <f aca="false">((2239426/646272)*1.04)-T30</f>
        <v>3.14625449514755</v>
      </c>
      <c r="S30" s="138" t="n">
        <v>0</v>
      </c>
      <c r="T30" s="138" t="n">
        <f aca="false">(0.415*1.06)*1.04</f>
        <v>0.457496</v>
      </c>
      <c r="U30" s="101" t="n">
        <f aca="false">M30-(Q30+R30+S30+T30)</f>
        <v>-1.57154183126742</v>
      </c>
      <c r="V30" s="142" t="n">
        <v>0</v>
      </c>
      <c r="W30" s="142" t="n">
        <v>0</v>
      </c>
      <c r="X30" s="142" t="n">
        <f aca="false">M30-N30-P30-O30-Q30-R30-S30-T30-U30+V30+W30</f>
        <v>0</v>
      </c>
      <c r="Y30" s="142" t="n">
        <f aca="false">X30-AO30</f>
        <v>0</v>
      </c>
      <c r="Z30" s="142"/>
      <c r="AA30" s="142"/>
      <c r="AB30" s="143"/>
      <c r="AC30" s="143"/>
      <c r="AD30" s="113"/>
      <c r="AE30" s="142" t="n">
        <v>0</v>
      </c>
      <c r="AF30" s="262"/>
      <c r="AG30" s="263"/>
      <c r="AH30" s="142" t="n">
        <v>18.2</v>
      </c>
      <c r="AI30" s="113" t="n">
        <f aca="false">AI29-AH30</f>
        <v>1617.03684762419</v>
      </c>
      <c r="AJ30" s="113"/>
      <c r="AK30" s="141" t="n">
        <f aca="false">N30+O30+P30+Q30+R30+S30+T30+U30+X30+AE30+AH30</f>
        <v>21.9</v>
      </c>
      <c r="AL30" s="142" t="n">
        <f aca="false">IF(L30&lt;0,L30*-1,0)</f>
        <v>16.9918578270734</v>
      </c>
      <c r="AM30" s="142" t="n">
        <f aca="false">AK30+AL30</f>
        <v>38.8918578270734</v>
      </c>
      <c r="AN30" s="146"/>
      <c r="AO30" s="143"/>
      <c r="AP30" s="232"/>
      <c r="AU30" s="85"/>
      <c r="AV30" s="284" t="n">
        <v>0</v>
      </c>
      <c r="AW30" s="113" t="n">
        <v>52</v>
      </c>
      <c r="AX30" s="226" t="n">
        <v>19</v>
      </c>
      <c r="AY30" s="234"/>
      <c r="AZ30" s="264" t="n">
        <f aca="false">SUM(N30,P30:U30)</f>
        <v>3.7</v>
      </c>
      <c r="BA30" s="193" t="n">
        <v>0</v>
      </c>
      <c r="BB30" s="265" t="n">
        <v>6921</v>
      </c>
    </row>
    <row r="31" customFormat="false" ht="12.95" hidden="false" customHeight="true" outlineLevel="0" collapsed="false">
      <c r="A31" s="192" t="n">
        <f aca="false">A30+1</f>
        <v>17</v>
      </c>
      <c r="B31" s="112" t="n">
        <v>6868.45</v>
      </c>
      <c r="C31" s="113" t="n">
        <v>183724</v>
      </c>
      <c r="D31" s="226" t="n">
        <f aca="false">C31-C30</f>
        <v>105</v>
      </c>
      <c r="E31" s="113" t="n">
        <f aca="false">C31-152000</f>
        <v>31724</v>
      </c>
      <c r="F31" s="260" t="n">
        <f aca="false">D31/$D$2</f>
        <v>52.9367280060499</v>
      </c>
      <c r="G31" s="142" t="n">
        <v>52</v>
      </c>
      <c r="H31" s="261" t="n">
        <v>0</v>
      </c>
      <c r="I31" s="142" t="n">
        <f aca="false">G31+H31</f>
        <v>52</v>
      </c>
      <c r="J31" s="143" t="n">
        <f aca="false">IF(L31&gt;0,L31,0)</f>
        <v>23.2067280060499</v>
      </c>
      <c r="K31" s="142" t="n">
        <f aca="false">I31+J31</f>
        <v>75.2067280060499</v>
      </c>
      <c r="L31" s="142" t="n">
        <f aca="false">F31-(I31-AK31)</f>
        <v>23.2067280060499</v>
      </c>
      <c r="M31" s="262" t="n">
        <v>3.87</v>
      </c>
      <c r="N31" s="142" t="n">
        <v>0</v>
      </c>
      <c r="O31" s="142" t="n">
        <v>0</v>
      </c>
      <c r="P31" s="171" t="n">
        <v>0</v>
      </c>
      <c r="Q31" s="138" t="n">
        <f aca="false">926100/325851/1.9835*1.02</f>
        <v>1.46152683230565</v>
      </c>
      <c r="R31" s="138" t="n">
        <f aca="false">((1078992/646272)*1.04)-T31</f>
        <v>1.31423685105169</v>
      </c>
      <c r="S31" s="138" t="n">
        <v>0</v>
      </c>
      <c r="T31" s="138" t="n">
        <f aca="false">(0.3829*1.06)*1.04</f>
        <v>0.42210896</v>
      </c>
      <c r="U31" s="101" t="n">
        <f aca="false">M31-(Q31+R31+S31+T31)</f>
        <v>0.672127356642659</v>
      </c>
      <c r="V31" s="142" t="n">
        <v>0</v>
      </c>
      <c r="W31" s="142" t="n">
        <v>0</v>
      </c>
      <c r="X31" s="142" t="n">
        <f aca="false">M31-N31-P31-O31-Q31-R31-S31-T31-U31+V31+W31</f>
        <v>0</v>
      </c>
      <c r="Y31" s="142" t="n">
        <f aca="false">X31-AO31</f>
        <v>0</v>
      </c>
      <c r="Z31" s="142"/>
      <c r="AA31" s="142"/>
      <c r="AB31" s="143"/>
      <c r="AC31" s="143"/>
      <c r="AD31" s="113"/>
      <c r="AE31" s="142" t="n">
        <v>0</v>
      </c>
      <c r="AF31" s="262"/>
      <c r="AG31" s="263"/>
      <c r="AH31" s="142" t="n">
        <v>18.4</v>
      </c>
      <c r="AI31" s="113" t="n">
        <f aca="false">AI30-AH31</f>
        <v>1598.63684762419</v>
      </c>
      <c r="AJ31" s="113"/>
      <c r="AK31" s="141" t="n">
        <f aca="false">N31+O31+P31+Q31+R31+S31+T31+U31+X31+AE31+AH31</f>
        <v>22.27</v>
      </c>
      <c r="AL31" s="142" t="n">
        <f aca="false">IF(L31&lt;0,L31*-1,0)</f>
        <v>0</v>
      </c>
      <c r="AM31" s="142" t="n">
        <f aca="false">AK31+AL31</f>
        <v>22.27</v>
      </c>
      <c r="AN31" s="146"/>
      <c r="AO31" s="143"/>
      <c r="AP31" s="232"/>
      <c r="AU31" s="85"/>
      <c r="AV31" s="284" t="n">
        <v>0</v>
      </c>
      <c r="AW31" s="113" t="n">
        <v>54</v>
      </c>
      <c r="AX31" s="226" t="n">
        <v>20</v>
      </c>
      <c r="AY31" s="234"/>
      <c r="AZ31" s="264" t="n">
        <f aca="false">SUM(N31,P31:U31)</f>
        <v>3.87</v>
      </c>
      <c r="BA31" s="193" t="n">
        <v>0</v>
      </c>
      <c r="BB31" s="265" t="n">
        <v>6917</v>
      </c>
    </row>
    <row r="32" customFormat="false" ht="12.95" hidden="false" customHeight="true" outlineLevel="0" collapsed="false">
      <c r="A32" s="192" t="n">
        <f aca="false">A31+1</f>
        <v>18</v>
      </c>
      <c r="B32" s="112" t="n">
        <v>6868.46</v>
      </c>
      <c r="C32" s="113" t="n">
        <v>183750</v>
      </c>
      <c r="D32" s="226" t="n">
        <f aca="false">C32-C31</f>
        <v>26</v>
      </c>
      <c r="E32" s="113" t="n">
        <f aca="false">C32-152000</f>
        <v>31750</v>
      </c>
      <c r="F32" s="260" t="n">
        <f aca="false">D32/$D$2</f>
        <v>13.1081421729266</v>
      </c>
      <c r="G32" s="142" t="n">
        <v>52</v>
      </c>
      <c r="H32" s="261" t="n">
        <v>0</v>
      </c>
      <c r="I32" s="142" t="n">
        <f aca="false">G32+H32</f>
        <v>52</v>
      </c>
      <c r="J32" s="143" t="n">
        <f aca="false">IF(L32&gt;0,L32,0)</f>
        <v>0</v>
      </c>
      <c r="K32" s="142" t="n">
        <f aca="false">I32+J32</f>
        <v>52</v>
      </c>
      <c r="L32" s="142" t="n">
        <f aca="false">F32-(I32-AK32)</f>
        <v>-17.3818578270734</v>
      </c>
      <c r="M32" s="262" t="n">
        <v>3.11</v>
      </c>
      <c r="N32" s="142" t="n">
        <v>0</v>
      </c>
      <c r="O32" s="142" t="n">
        <v>0</v>
      </c>
      <c r="P32" s="171" t="n">
        <v>0</v>
      </c>
      <c r="Q32" s="138" t="n">
        <f aca="false">902200/325851/1.9835*1.02</f>
        <v>1.42380899266403</v>
      </c>
      <c r="R32" s="138" t="n">
        <f aca="false">((1145984/646272)*1.04)-T32</f>
        <v>1.42204235709249</v>
      </c>
      <c r="S32" s="138" t="n">
        <v>0</v>
      </c>
      <c r="T32" s="138" t="n">
        <f aca="false">(0.3829*1.06)*1.04</f>
        <v>0.42210896</v>
      </c>
      <c r="U32" s="101" t="n">
        <f aca="false">M32-(Q32+R32+S32+T32)</f>
        <v>-0.157960309756521</v>
      </c>
      <c r="V32" s="142" t="n">
        <v>0</v>
      </c>
      <c r="W32" s="142" t="n">
        <v>0</v>
      </c>
      <c r="X32" s="142" t="n">
        <f aca="false">M32-N32-P32-O32-Q32-R32-S32-T32-U32+V32+W32</f>
        <v>0</v>
      </c>
      <c r="Y32" s="142" t="n">
        <f aca="false">X32-AO32</f>
        <v>0</v>
      </c>
      <c r="Z32" s="142"/>
      <c r="AA32" s="142"/>
      <c r="AB32" s="143"/>
      <c r="AC32" s="143"/>
      <c r="AD32" s="113"/>
      <c r="AE32" s="142" t="n">
        <v>0</v>
      </c>
      <c r="AF32" s="262"/>
      <c r="AG32" s="263"/>
      <c r="AH32" s="142" t="n">
        <v>18.4</v>
      </c>
      <c r="AI32" s="113" t="n">
        <f aca="false">AI31-AH32</f>
        <v>1580.23684762419</v>
      </c>
      <c r="AJ32" s="113"/>
      <c r="AK32" s="141" t="n">
        <f aca="false">N32+O32+P32+Q32+R32+S32+T32+U32+X32+AE32+AH32</f>
        <v>21.51</v>
      </c>
      <c r="AL32" s="142" t="n">
        <f aca="false">IF(L32&lt;0,L32*-1,0)</f>
        <v>17.3818578270734</v>
      </c>
      <c r="AM32" s="142" t="n">
        <f aca="false">AK32+AL32</f>
        <v>38.8918578270734</v>
      </c>
      <c r="AN32" s="146"/>
      <c r="AO32" s="143"/>
      <c r="AP32" s="232"/>
      <c r="AU32" s="85"/>
      <c r="AV32" s="284" t="n">
        <v>0</v>
      </c>
      <c r="AW32" s="113" t="n">
        <v>56</v>
      </c>
      <c r="AX32" s="226" t="n">
        <v>23</v>
      </c>
      <c r="AY32" s="234"/>
      <c r="AZ32" s="264" t="n">
        <f aca="false">SUM(N32,P32:U32)</f>
        <v>3.11</v>
      </c>
      <c r="BA32" s="193" t="n">
        <v>0</v>
      </c>
      <c r="BB32" s="265" t="n">
        <v>6931</v>
      </c>
    </row>
    <row r="33" customFormat="false" ht="12.95" hidden="false" customHeight="true" outlineLevel="0" collapsed="false">
      <c r="A33" s="192" t="n">
        <f aca="false">A32+1</f>
        <v>19</v>
      </c>
      <c r="B33" s="112" t="n">
        <v>6868.49</v>
      </c>
      <c r="C33" s="113" t="n">
        <v>183828</v>
      </c>
      <c r="D33" s="226" t="n">
        <f aca="false">C33-C32</f>
        <v>78</v>
      </c>
      <c r="E33" s="113" t="n">
        <f aca="false">C33-152000</f>
        <v>31828</v>
      </c>
      <c r="F33" s="260" t="n">
        <f aca="false">D33/$D$2</f>
        <v>39.3244265187799</v>
      </c>
      <c r="G33" s="142" t="n">
        <v>52</v>
      </c>
      <c r="H33" s="261" t="n">
        <v>0</v>
      </c>
      <c r="I33" s="142" t="n">
        <f aca="false">G33+H33</f>
        <v>52</v>
      </c>
      <c r="J33" s="143" t="n">
        <f aca="false">IF(L33&gt;0,L33,0)</f>
        <v>9.17442651877994</v>
      </c>
      <c r="K33" s="142" t="n">
        <f aca="false">I33+J33</f>
        <v>61.1744265187799</v>
      </c>
      <c r="L33" s="142" t="n">
        <f aca="false">F33-(I33-AK33)</f>
        <v>9.17442651877994</v>
      </c>
      <c r="M33" s="262" t="n">
        <v>3.35</v>
      </c>
      <c r="N33" s="142" t="n">
        <v>0</v>
      </c>
      <c r="O33" s="142" t="n">
        <v>0</v>
      </c>
      <c r="P33" s="171" t="n">
        <v>0</v>
      </c>
      <c r="Q33" s="138" t="n">
        <f aca="false">1140500/325851/1.9835*1.02</f>
        <v>1.79988268247985</v>
      </c>
      <c r="R33" s="138" t="n">
        <f aca="false">((1171808/646272)*1.04)-T33</f>
        <v>1.46359910100218</v>
      </c>
      <c r="S33" s="138" t="n">
        <v>0</v>
      </c>
      <c r="T33" s="138" t="n">
        <f aca="false">(0.3829*1.06)*1.04</f>
        <v>0.42210896</v>
      </c>
      <c r="U33" s="101" t="n">
        <f aca="false">M33-(Q33+R33+S33+T33)</f>
        <v>-0.33559074348203</v>
      </c>
      <c r="V33" s="142" t="n">
        <v>0</v>
      </c>
      <c r="W33" s="142" t="n">
        <v>0</v>
      </c>
      <c r="X33" s="142" t="n">
        <f aca="false">M33-N33-P33-O33-Q33-R33-S33-T33-U33+V33+W33</f>
        <v>0</v>
      </c>
      <c r="Y33" s="142" t="n">
        <f aca="false">X33-AO33</f>
        <v>0</v>
      </c>
      <c r="Z33" s="142"/>
      <c r="AA33" s="142"/>
      <c r="AB33" s="143"/>
      <c r="AC33" s="143"/>
      <c r="AD33" s="113"/>
      <c r="AE33" s="142" t="n">
        <v>0</v>
      </c>
      <c r="AF33" s="262"/>
      <c r="AG33" s="263"/>
      <c r="AH33" s="142" t="n">
        <v>18.5</v>
      </c>
      <c r="AI33" s="113" t="n">
        <f aca="false">AI32-AH33</f>
        <v>1561.73684762419</v>
      </c>
      <c r="AJ33" s="113"/>
      <c r="AK33" s="141" t="n">
        <f aca="false">N33+O33+P33+Q33+R33+S33+T33+U33+X33+AE33+AH33</f>
        <v>21.85</v>
      </c>
      <c r="AL33" s="142" t="n">
        <f aca="false">IF(L33&lt;0,L33*-1,0)</f>
        <v>0</v>
      </c>
      <c r="AM33" s="142" t="n">
        <f aca="false">AK33+AL33</f>
        <v>21.85</v>
      </c>
      <c r="AN33" s="146"/>
      <c r="AO33" s="143"/>
      <c r="AP33" s="232"/>
      <c r="AU33" s="85"/>
      <c r="AV33" s="284" t="n">
        <v>0</v>
      </c>
      <c r="AW33" s="113" t="n">
        <v>54</v>
      </c>
      <c r="AX33" s="226" t="n">
        <v>22</v>
      </c>
      <c r="AY33" s="234"/>
      <c r="AZ33" s="264" t="n">
        <f aca="false">SUM(N33,P33:U33)</f>
        <v>3.35</v>
      </c>
      <c r="BA33" s="193" t="n">
        <v>0</v>
      </c>
      <c r="BB33" s="265" t="n">
        <v>6943</v>
      </c>
    </row>
    <row r="34" customFormat="false" ht="12.95" hidden="false" customHeight="true" outlineLevel="0" collapsed="false">
      <c r="A34" s="192" t="n">
        <f aca="false">A33+1</f>
        <v>20</v>
      </c>
      <c r="B34" s="112" t="n">
        <v>6868.51</v>
      </c>
      <c r="C34" s="113" t="n">
        <v>183880</v>
      </c>
      <c r="D34" s="226" t="n">
        <f aca="false">C34-C33</f>
        <v>52</v>
      </c>
      <c r="E34" s="113" t="n">
        <f aca="false">C34-152000</f>
        <v>31880</v>
      </c>
      <c r="F34" s="260" t="n">
        <f aca="false">D34/$D$2</f>
        <v>26.2162843458533</v>
      </c>
      <c r="G34" s="142" t="n">
        <v>51</v>
      </c>
      <c r="H34" s="261" t="n">
        <v>0</v>
      </c>
      <c r="I34" s="142" t="n">
        <f aca="false">G34+H34</f>
        <v>51</v>
      </c>
      <c r="J34" s="143" t="n">
        <f aca="false">IF(L34&gt;0,L34,0)</f>
        <v>0</v>
      </c>
      <c r="K34" s="142" t="n">
        <f aca="false">I34+J34</f>
        <v>51</v>
      </c>
      <c r="L34" s="142" t="n">
        <f aca="false">F34-(I34-AK34)</f>
        <v>-3.35371565414671</v>
      </c>
      <c r="M34" s="262" t="n">
        <v>2.93</v>
      </c>
      <c r="N34" s="142" t="n">
        <v>0</v>
      </c>
      <c r="O34" s="142" t="n">
        <v>0</v>
      </c>
      <c r="P34" s="171" t="n">
        <v>0</v>
      </c>
      <c r="Q34" s="138" t="n">
        <f aca="false">1388000/325851/1.9835*1.02</f>
        <v>2.19047537332927</v>
      </c>
      <c r="R34" s="138" t="n">
        <f aca="false">((1105072/646272)*1.04)-T34</f>
        <v>1.35620555772628</v>
      </c>
      <c r="S34" s="138" t="n">
        <v>0</v>
      </c>
      <c r="T34" s="138" t="n">
        <f aca="false">(0.3829*1.06)*1.04</f>
        <v>0.42210896</v>
      </c>
      <c r="U34" s="101" t="n">
        <f aca="false">M34-(Q34+R34+S34+T34)</f>
        <v>-1.03878989105555</v>
      </c>
      <c r="V34" s="142" t="n">
        <v>0</v>
      </c>
      <c r="W34" s="142" t="n">
        <v>0</v>
      </c>
      <c r="X34" s="142" t="n">
        <f aca="false">M34-N34-P34-O34-Q34-R34-S34-T34-U34+V34+W34</f>
        <v>0</v>
      </c>
      <c r="Y34" s="142" t="n">
        <f aca="false">X34-AO34</f>
        <v>0</v>
      </c>
      <c r="Z34" s="142"/>
      <c r="AA34" s="142"/>
      <c r="AB34" s="143"/>
      <c r="AC34" s="143"/>
      <c r="AD34" s="113"/>
      <c r="AE34" s="142" t="n">
        <v>0</v>
      </c>
      <c r="AF34" s="262"/>
      <c r="AG34" s="263"/>
      <c r="AH34" s="142" t="n">
        <v>18.5</v>
      </c>
      <c r="AI34" s="113" t="n">
        <f aca="false">AI33-AH34</f>
        <v>1543.23684762419</v>
      </c>
      <c r="AJ34" s="113"/>
      <c r="AK34" s="141" t="n">
        <f aca="false">N34+O34+P34+Q34+R34+S34+T34+U34+X34+AE34+AH34</f>
        <v>21.43</v>
      </c>
      <c r="AL34" s="142" t="n">
        <f aca="false">IF(L34&lt;0,L34*-1,0)</f>
        <v>3.35371565414671</v>
      </c>
      <c r="AM34" s="142" t="n">
        <f aca="false">AK34+AL34</f>
        <v>24.7837156541467</v>
      </c>
      <c r="AN34" s="146"/>
      <c r="AO34" s="143"/>
      <c r="AP34" s="232"/>
      <c r="AU34" s="85"/>
      <c r="AV34" s="284" t="n">
        <v>0</v>
      </c>
      <c r="AW34" s="113" t="n">
        <v>56</v>
      </c>
      <c r="AX34" s="226" t="n">
        <v>22</v>
      </c>
      <c r="AY34" s="234"/>
      <c r="AZ34" s="264" t="n">
        <f aca="false">SUM(N34,P34:U34)</f>
        <v>2.93</v>
      </c>
      <c r="BA34" s="193" t="n">
        <v>0</v>
      </c>
      <c r="BB34" s="265" t="n">
        <v>6956</v>
      </c>
    </row>
    <row r="35" customFormat="false" ht="12.95" hidden="false" customHeight="true" outlineLevel="0" collapsed="false">
      <c r="A35" s="192" t="n">
        <f aca="false">A34+1</f>
        <v>21</v>
      </c>
      <c r="B35" s="112" t="n">
        <v>6868.53</v>
      </c>
      <c r="C35" s="113" t="n">
        <v>183932</v>
      </c>
      <c r="D35" s="226" t="n">
        <f aca="false">C35-C34</f>
        <v>52</v>
      </c>
      <c r="E35" s="113" t="n">
        <f aca="false">C35-152000</f>
        <v>31932</v>
      </c>
      <c r="F35" s="260" t="n">
        <f aca="false">D35/$D$2</f>
        <v>26.2162843458533</v>
      </c>
      <c r="G35" s="142" t="n">
        <v>51</v>
      </c>
      <c r="H35" s="261" t="n">
        <v>0</v>
      </c>
      <c r="I35" s="142" t="n">
        <f aca="false">G35+H35</f>
        <v>51</v>
      </c>
      <c r="J35" s="143" t="n">
        <f aca="false">IF(L35&gt;0,L35,0)</f>
        <v>0</v>
      </c>
      <c r="K35" s="142" t="n">
        <f aca="false">I35+J35</f>
        <v>51</v>
      </c>
      <c r="L35" s="142" t="n">
        <f aca="false">F35-(I35-AK35)</f>
        <v>-3.02371565414671</v>
      </c>
      <c r="M35" s="262" t="n">
        <v>3.26</v>
      </c>
      <c r="N35" s="142" t="n">
        <v>0</v>
      </c>
      <c r="O35" s="142" t="n">
        <v>0</v>
      </c>
      <c r="P35" s="171" t="n">
        <v>0</v>
      </c>
      <c r="Q35" s="138" t="n">
        <f aca="false">913900/325851/1.9835*1.02</f>
        <v>1.44227337441327</v>
      </c>
      <c r="R35" s="138" t="n">
        <f aca="false">((1196464/646272)*1.04)-T35</f>
        <v>1.50327626479699</v>
      </c>
      <c r="S35" s="138" t="n">
        <v>0</v>
      </c>
      <c r="T35" s="138" t="n">
        <f aca="false">(0.3829*1.06)*1.04</f>
        <v>0.42210896</v>
      </c>
      <c r="U35" s="101" t="n">
        <f aca="false">M35-(Q35+R35+S35+T35)</f>
        <v>-0.107658599210262</v>
      </c>
      <c r="V35" s="142" t="n">
        <v>0</v>
      </c>
      <c r="W35" s="142" t="n">
        <v>0</v>
      </c>
      <c r="X35" s="142" t="n">
        <f aca="false">M35-N35-P35-O35-Q35-R35-S35-T35-U35+V35+W35</f>
        <v>0</v>
      </c>
      <c r="Y35" s="142" t="n">
        <f aca="false">X35-AO35</f>
        <v>0</v>
      </c>
      <c r="Z35" s="142"/>
      <c r="AA35" s="142"/>
      <c r="AB35" s="143"/>
      <c r="AC35" s="143"/>
      <c r="AD35" s="113"/>
      <c r="AE35" s="142" t="n">
        <v>0</v>
      </c>
      <c r="AF35" s="262"/>
      <c r="AG35" s="263"/>
      <c r="AH35" s="142" t="n">
        <v>18.5</v>
      </c>
      <c r="AI35" s="113" t="n">
        <f aca="false">AI34-AH35</f>
        <v>1524.73684762419</v>
      </c>
      <c r="AJ35" s="113"/>
      <c r="AK35" s="141" t="n">
        <f aca="false">N35+O35+P35+Q35+R35+S35+T35+U35+X35+AE35+AH35</f>
        <v>21.76</v>
      </c>
      <c r="AL35" s="142" t="n">
        <f aca="false">IF(L35&lt;0,L35*-1,0)</f>
        <v>3.02371565414671</v>
      </c>
      <c r="AM35" s="142" t="n">
        <f aca="false">AK35+AL35</f>
        <v>24.7837156541467</v>
      </c>
      <c r="AN35" s="146"/>
      <c r="AO35" s="143"/>
      <c r="AP35" s="232"/>
      <c r="AU35" s="85"/>
      <c r="AV35" s="284" t="n">
        <v>0</v>
      </c>
      <c r="AW35" s="113" t="n">
        <v>54</v>
      </c>
      <c r="AX35" s="226" t="n">
        <v>21</v>
      </c>
      <c r="AY35" s="234"/>
      <c r="AZ35" s="264" t="n">
        <f aca="false">SUM(N35,P35:U35)</f>
        <v>3.26</v>
      </c>
      <c r="BA35" s="193" t="n">
        <v>0</v>
      </c>
      <c r="BB35" s="265" t="n">
        <v>6960</v>
      </c>
    </row>
    <row r="36" customFormat="false" ht="12.95" hidden="false" customHeight="true" outlineLevel="0" collapsed="false">
      <c r="A36" s="192" t="n">
        <f aca="false">A35+1</f>
        <v>22</v>
      </c>
      <c r="B36" s="112" t="n">
        <v>6868.55</v>
      </c>
      <c r="C36" s="113" t="n">
        <v>183984</v>
      </c>
      <c r="D36" s="226" t="n">
        <f aca="false">C36-C35</f>
        <v>52</v>
      </c>
      <c r="E36" s="113" t="n">
        <f aca="false">C36-152000</f>
        <v>31984</v>
      </c>
      <c r="F36" s="260" t="n">
        <f aca="false">D36/$D$2</f>
        <v>26.2162843458533</v>
      </c>
      <c r="G36" s="142" t="n">
        <v>51</v>
      </c>
      <c r="H36" s="261" t="n">
        <v>0</v>
      </c>
      <c r="I36" s="142" t="n">
        <f aca="false">G36+H36</f>
        <v>51</v>
      </c>
      <c r="J36" s="143" t="n">
        <f aca="false">IF(L36&gt;0,L36,0)</f>
        <v>0</v>
      </c>
      <c r="K36" s="142" t="n">
        <f aca="false">I36+J36</f>
        <v>51</v>
      </c>
      <c r="L36" s="142" t="n">
        <f aca="false">F36-(I36-AK36)</f>
        <v>-3.08371565414671</v>
      </c>
      <c r="M36" s="262" t="n">
        <v>3.2</v>
      </c>
      <c r="N36" s="142" t="n">
        <v>0</v>
      </c>
      <c r="O36" s="142" t="n">
        <v>0</v>
      </c>
      <c r="P36" s="171" t="n">
        <v>0</v>
      </c>
      <c r="Q36" s="138" t="n">
        <f aca="false">1057100/325851/1.9835*1.02</f>
        <v>1.66826478180574</v>
      </c>
      <c r="R36" s="138" t="n">
        <f aca="false">((1105904/646272)*1.04)-T36</f>
        <v>1.35754443671222</v>
      </c>
      <c r="S36" s="138" t="n">
        <v>0</v>
      </c>
      <c r="T36" s="138" t="n">
        <f aca="false">(0.3829*1.06)*1.04</f>
        <v>0.42210896</v>
      </c>
      <c r="U36" s="101" t="n">
        <f aca="false">M36-(Q36+R36+S36+T36)</f>
        <v>-0.247918178517964</v>
      </c>
      <c r="V36" s="142" t="n">
        <v>0</v>
      </c>
      <c r="W36" s="142" t="n">
        <v>0</v>
      </c>
      <c r="X36" s="142" t="n">
        <f aca="false">M36-N36-P36-O36-Q36-R36-S36-T36-U36+V36+W36</f>
        <v>0</v>
      </c>
      <c r="Y36" s="142" t="n">
        <f aca="false">X36-AO36</f>
        <v>0</v>
      </c>
      <c r="Z36" s="142"/>
      <c r="AA36" s="142"/>
      <c r="AB36" s="143"/>
      <c r="AC36" s="143"/>
      <c r="AD36" s="113"/>
      <c r="AE36" s="142" t="n">
        <v>0</v>
      </c>
      <c r="AF36" s="262"/>
      <c r="AG36" s="263"/>
      <c r="AH36" s="142" t="n">
        <v>18.5</v>
      </c>
      <c r="AI36" s="113" t="n">
        <f aca="false">AI35-AH36</f>
        <v>1506.23684762419</v>
      </c>
      <c r="AJ36" s="113"/>
      <c r="AK36" s="141" t="n">
        <f aca="false">N36+O36+P36+Q36+R36+S36+T36+U36+X36+AE36+AH36</f>
        <v>21.7</v>
      </c>
      <c r="AL36" s="142" t="n">
        <f aca="false">IF(L36&lt;0,L36*-1,0)</f>
        <v>3.08371565414671</v>
      </c>
      <c r="AM36" s="142" t="n">
        <f aca="false">AK36+AL36</f>
        <v>24.7837156541467</v>
      </c>
      <c r="AN36" s="146"/>
      <c r="AO36" s="143"/>
      <c r="AP36" s="232"/>
      <c r="AU36" s="85"/>
      <c r="AV36" s="284" t="n">
        <v>0</v>
      </c>
      <c r="AW36" s="113" t="n">
        <v>52</v>
      </c>
      <c r="AX36" s="226" t="n">
        <v>20</v>
      </c>
      <c r="AY36" s="234"/>
      <c r="AZ36" s="264" t="n">
        <f aca="false">SUM(N36,P36:U36)</f>
        <v>3.2</v>
      </c>
      <c r="BA36" s="193" t="n">
        <v>0</v>
      </c>
      <c r="BB36" s="265" t="n">
        <v>6976</v>
      </c>
    </row>
    <row r="37" customFormat="false" ht="12.95" hidden="false" customHeight="true" outlineLevel="0" collapsed="false">
      <c r="A37" s="192" t="n">
        <f aca="false">A36+1</f>
        <v>23</v>
      </c>
      <c r="B37" s="112" t="n">
        <v>6868.58</v>
      </c>
      <c r="C37" s="113" t="n">
        <v>184063</v>
      </c>
      <c r="D37" s="226" t="n">
        <f aca="false">C37-C36</f>
        <v>79</v>
      </c>
      <c r="E37" s="113" t="n">
        <f aca="false">C37-152000</f>
        <v>32063</v>
      </c>
      <c r="F37" s="260" t="n">
        <f aca="false">D37/$D$2</f>
        <v>39.8285858331233</v>
      </c>
      <c r="G37" s="142" t="n">
        <v>51</v>
      </c>
      <c r="H37" s="261" t="n">
        <v>0</v>
      </c>
      <c r="I37" s="142" t="n">
        <f aca="false">G37+H37</f>
        <v>51</v>
      </c>
      <c r="J37" s="143" t="n">
        <f aca="false">IF(L37&gt;0,L37,0)</f>
        <v>10.2285858331233</v>
      </c>
      <c r="K37" s="142" t="n">
        <f aca="false">I37+J37</f>
        <v>61.2285858331233</v>
      </c>
      <c r="L37" s="142" t="n">
        <f aca="false">F37-(I37-AK37)</f>
        <v>10.2285858331233</v>
      </c>
      <c r="M37" s="262" t="n">
        <v>2.9</v>
      </c>
      <c r="N37" s="142" t="n">
        <v>0</v>
      </c>
      <c r="O37" s="142" t="n">
        <v>0</v>
      </c>
      <c r="P37" s="171" t="n">
        <v>0</v>
      </c>
      <c r="Q37" s="138" t="n">
        <f aca="false">1025400/325851/1.9835*1.02</f>
        <v>1.61823735433129</v>
      </c>
      <c r="R37" s="138" t="n">
        <f aca="false">((1160656/646272)*1.04)-T37</f>
        <v>1.44565297305605</v>
      </c>
      <c r="S37" s="138" t="n">
        <v>0</v>
      </c>
      <c r="T37" s="138" t="n">
        <f aca="false">(0.3829*1.06)*1.04</f>
        <v>0.42210896</v>
      </c>
      <c r="U37" s="101" t="n">
        <f aca="false">M37-(Q37+R37+S37+T37)</f>
        <v>-0.585999287387344</v>
      </c>
      <c r="V37" s="142" t="n">
        <v>0</v>
      </c>
      <c r="W37" s="142" t="n">
        <v>0</v>
      </c>
      <c r="X37" s="142" t="n">
        <f aca="false">M37-N37-P37-O37-Q37-R37-S37-T37-U37+V37+W37</f>
        <v>0</v>
      </c>
      <c r="Y37" s="142" t="n">
        <f aca="false">X37-AO37</f>
        <v>0</v>
      </c>
      <c r="Z37" s="142"/>
      <c r="AA37" s="142"/>
      <c r="AB37" s="143"/>
      <c r="AC37" s="143"/>
      <c r="AD37" s="113"/>
      <c r="AE37" s="142" t="n">
        <v>0</v>
      </c>
      <c r="AF37" s="262"/>
      <c r="AG37" s="263"/>
      <c r="AH37" s="142" t="n">
        <v>18.5</v>
      </c>
      <c r="AI37" s="113" t="n">
        <f aca="false">AI36-AH37</f>
        <v>1487.73684762419</v>
      </c>
      <c r="AJ37" s="113"/>
      <c r="AK37" s="141" t="n">
        <f aca="false">N37+O37+P37+Q37+R37+S37+T37+U37+X37+AE37+AH37</f>
        <v>21.4</v>
      </c>
      <c r="AL37" s="142" t="n">
        <f aca="false">IF(L37&lt;0,L37*-1,0)</f>
        <v>0</v>
      </c>
      <c r="AM37" s="142" t="n">
        <f aca="false">AK37+AL37</f>
        <v>21.4</v>
      </c>
      <c r="AN37" s="146"/>
      <c r="AO37" s="143"/>
      <c r="AP37" s="232"/>
      <c r="AV37" s="233" t="n">
        <v>0</v>
      </c>
      <c r="AW37" s="113" t="n">
        <v>49</v>
      </c>
      <c r="AX37" s="232" t="n">
        <v>19</v>
      </c>
      <c r="AY37" s="266"/>
      <c r="AZ37" s="264" t="n">
        <f aca="false">SUM(N37,P37:U37)</f>
        <v>2.9</v>
      </c>
      <c r="BA37" s="193" t="n">
        <v>0</v>
      </c>
      <c r="BB37" s="265" t="n">
        <v>6991</v>
      </c>
    </row>
    <row r="38" customFormat="false" ht="12.95" hidden="false" customHeight="true" outlineLevel="0" collapsed="false">
      <c r="A38" s="192" t="n">
        <f aca="false">A37+1</f>
        <v>24</v>
      </c>
      <c r="B38" s="112" t="n">
        <v>6868.61</v>
      </c>
      <c r="C38" s="113" t="n">
        <v>184141</v>
      </c>
      <c r="D38" s="226" t="n">
        <f aca="false">C38-C37</f>
        <v>78</v>
      </c>
      <c r="E38" s="113" t="n">
        <f aca="false">C38-152000</f>
        <v>32141</v>
      </c>
      <c r="F38" s="260" t="n">
        <f aca="false">D38/$D$2</f>
        <v>39.3244265187799</v>
      </c>
      <c r="G38" s="142" t="n">
        <v>51</v>
      </c>
      <c r="H38" s="261" t="n">
        <v>0</v>
      </c>
      <c r="I38" s="142" t="n">
        <f aca="false">G38+H38</f>
        <v>51</v>
      </c>
      <c r="J38" s="143" t="n">
        <f aca="false">IF(L38&gt;0,L38,0)</f>
        <v>9.27442651877994</v>
      </c>
      <c r="K38" s="142" t="n">
        <f aca="false">I38+J38</f>
        <v>60.2744265187799</v>
      </c>
      <c r="L38" s="142" t="n">
        <f aca="false">F38-(I38-AK38)</f>
        <v>9.27442651877994</v>
      </c>
      <c r="M38" s="262" t="n">
        <v>3.05</v>
      </c>
      <c r="N38" s="142" t="n">
        <v>0</v>
      </c>
      <c r="O38" s="142" t="n">
        <v>0</v>
      </c>
      <c r="P38" s="171" t="n">
        <v>0</v>
      </c>
      <c r="Q38" s="138" t="n">
        <f aca="false">932100/325851/1.9835*1.02</f>
        <v>1.47099574602321</v>
      </c>
      <c r="R38" s="138" t="n">
        <f aca="false">((1209152/646272)*1.04)-T38</f>
        <v>1.43792744933254</v>
      </c>
      <c r="S38" s="138" t="n">
        <v>0</v>
      </c>
      <c r="T38" s="138" t="n">
        <f aca="false">(0.4607*1.06)*1.04</f>
        <v>0.50787568</v>
      </c>
      <c r="U38" s="101" t="n">
        <f aca="false">M38-(Q38+R38+S38+T38)</f>
        <v>-0.36679887535575</v>
      </c>
      <c r="V38" s="142" t="n">
        <v>0</v>
      </c>
      <c r="W38" s="142" t="n">
        <v>0</v>
      </c>
      <c r="X38" s="142" t="n">
        <f aca="false">M38-N38-P38-O38-Q38-R38-S38-T38-U38+V38+W38</f>
        <v>0</v>
      </c>
      <c r="Y38" s="142" t="n">
        <f aca="false">X38-AO38</f>
        <v>0</v>
      </c>
      <c r="Z38" s="142"/>
      <c r="AA38" s="142"/>
      <c r="AB38" s="143"/>
      <c r="AC38" s="143"/>
      <c r="AD38" s="113"/>
      <c r="AE38" s="142" t="n">
        <v>0</v>
      </c>
      <c r="AF38" s="262"/>
      <c r="AG38" s="263"/>
      <c r="AH38" s="142" t="n">
        <v>17.9</v>
      </c>
      <c r="AI38" s="113" t="n">
        <f aca="false">AI37-AH38</f>
        <v>1469.83684762419</v>
      </c>
      <c r="AJ38" s="113"/>
      <c r="AK38" s="141" t="n">
        <f aca="false">N38+O38+P38+Q38+R38+S38+T38+U38+X38+AE38+AH38</f>
        <v>20.95</v>
      </c>
      <c r="AL38" s="142" t="n">
        <f aca="false">IF(L38&lt;0,L38*-1,0)</f>
        <v>0</v>
      </c>
      <c r="AM38" s="142" t="n">
        <f aca="false">AK38+AL38</f>
        <v>20.95</v>
      </c>
      <c r="AN38" s="146"/>
      <c r="AO38" s="143"/>
      <c r="AP38" s="232"/>
      <c r="AV38" s="233" t="n">
        <v>0</v>
      </c>
      <c r="AW38" s="113" t="n">
        <v>54</v>
      </c>
      <c r="AX38" s="232" t="n">
        <v>14</v>
      </c>
      <c r="AY38" s="266"/>
      <c r="AZ38" s="264" t="n">
        <f aca="false">SUM(N38,P38:U38)</f>
        <v>3.05</v>
      </c>
      <c r="BA38" s="193" t="n">
        <v>0</v>
      </c>
      <c r="BB38" s="265" t="n">
        <v>6996</v>
      </c>
    </row>
    <row r="39" customFormat="false" ht="12.95" hidden="false" customHeight="true" outlineLevel="0" collapsed="false">
      <c r="A39" s="192" t="n">
        <f aca="false">A38+1</f>
        <v>25</v>
      </c>
      <c r="B39" s="112" t="n">
        <v>6868.63</v>
      </c>
      <c r="C39" s="113" t="n">
        <v>184193</v>
      </c>
      <c r="D39" s="226" t="n">
        <f aca="false">C39-C38</f>
        <v>52</v>
      </c>
      <c r="E39" s="113" t="n">
        <f aca="false">C39-152000</f>
        <v>32193</v>
      </c>
      <c r="F39" s="260" t="n">
        <f aca="false">D39/$D$2</f>
        <v>26.2162843458533</v>
      </c>
      <c r="G39" s="142" t="n">
        <v>52</v>
      </c>
      <c r="H39" s="261" t="n">
        <v>0</v>
      </c>
      <c r="I39" s="142" t="n">
        <f aca="false">G39+H39</f>
        <v>52</v>
      </c>
      <c r="J39" s="143" t="n">
        <f aca="false">IF(L39&gt;0,L39,0)</f>
        <v>0</v>
      </c>
      <c r="K39" s="142" t="n">
        <f aca="false">I39+J39</f>
        <v>52</v>
      </c>
      <c r="L39" s="142" t="n">
        <f aca="false">F39-(I39-AK39)</f>
        <v>-5.40371565414671</v>
      </c>
      <c r="M39" s="262" t="n">
        <v>3.08</v>
      </c>
      <c r="N39" s="142" t="n">
        <v>0</v>
      </c>
      <c r="O39" s="142" t="n">
        <v>0</v>
      </c>
      <c r="P39" s="171" t="n">
        <v>0</v>
      </c>
      <c r="Q39" s="138" t="n">
        <f aca="false">950400/325851/1.9835*1.02</f>
        <v>1.49987593286177</v>
      </c>
      <c r="R39" s="138" t="n">
        <f aca="false">((1132272/646272)*1.04)-T39</f>
        <v>1.31420988149733</v>
      </c>
      <c r="S39" s="138" t="n">
        <v>0</v>
      </c>
      <c r="T39" s="138" t="n">
        <f aca="false">(0.4607*1.06)*1.04</f>
        <v>0.50787568</v>
      </c>
      <c r="U39" s="101" t="n">
        <f aca="false">M39-(Q39+R39+S39+T39)</f>
        <v>-0.241961494359098</v>
      </c>
      <c r="V39" s="142" t="n">
        <v>0</v>
      </c>
      <c r="W39" s="142" t="n">
        <v>0</v>
      </c>
      <c r="X39" s="142" t="n">
        <f aca="false">M39-N39-P39-O39-Q39-R39-S39-T39-U39+V39+W39</f>
        <v>0</v>
      </c>
      <c r="Y39" s="142" t="n">
        <f aca="false">X39-AO39</f>
        <v>0</v>
      </c>
      <c r="Z39" s="142"/>
      <c r="AA39" s="142"/>
      <c r="AB39" s="143"/>
      <c r="AC39" s="143"/>
      <c r="AD39" s="113"/>
      <c r="AE39" s="142" t="n">
        <v>0</v>
      </c>
      <c r="AF39" s="262"/>
      <c r="AG39" s="263"/>
      <c r="AH39" s="142" t="n">
        <v>17.3</v>
      </c>
      <c r="AI39" s="113" t="n">
        <f aca="false">AI38-AH39</f>
        <v>1452.53684762419</v>
      </c>
      <c r="AJ39" s="113"/>
      <c r="AK39" s="141" t="n">
        <f aca="false">N39+O39+P39+Q39+R39+S39+T39+U39+X39+AE39+AH39</f>
        <v>20.38</v>
      </c>
      <c r="AL39" s="142" t="n">
        <f aca="false">IF(L39&lt;0,L39*-1,0)</f>
        <v>5.40371565414671</v>
      </c>
      <c r="AM39" s="142" t="n">
        <f aca="false">AK39+AL39</f>
        <v>25.7837156541467</v>
      </c>
      <c r="AN39" s="146"/>
      <c r="AO39" s="143"/>
      <c r="AP39" s="232"/>
      <c r="AV39" s="233" t="n">
        <v>0</v>
      </c>
      <c r="AW39" s="113" t="n">
        <v>50</v>
      </c>
      <c r="AX39" s="232" t="n">
        <v>17</v>
      </c>
      <c r="AY39" s="266"/>
      <c r="AZ39" s="264" t="n">
        <f aca="false">SUM(N39,P39:U39)</f>
        <v>3.08</v>
      </c>
      <c r="BA39" s="193" t="n">
        <v>0</v>
      </c>
      <c r="BB39" s="265" t="n">
        <v>7012</v>
      </c>
    </row>
    <row r="40" customFormat="false" ht="12.95" hidden="false" customHeight="true" outlineLevel="0" collapsed="false">
      <c r="A40" s="192" t="n">
        <f aca="false">A39+1</f>
        <v>26</v>
      </c>
      <c r="B40" s="112" t="n">
        <v>6868.64</v>
      </c>
      <c r="C40" s="113" t="n">
        <v>184219</v>
      </c>
      <c r="D40" s="226" t="n">
        <f aca="false">C40-C39</f>
        <v>26</v>
      </c>
      <c r="E40" s="113" t="n">
        <f aca="false">C40-152000</f>
        <v>32219</v>
      </c>
      <c r="F40" s="260" t="n">
        <f aca="false">D40/$D$2</f>
        <v>13.1081421729266</v>
      </c>
      <c r="G40" s="142" t="n">
        <v>52</v>
      </c>
      <c r="H40" s="261" t="n">
        <v>0</v>
      </c>
      <c r="I40" s="142" t="n">
        <f aca="false">G40+H40</f>
        <v>52</v>
      </c>
      <c r="J40" s="143" t="n">
        <f aca="false">IF(L40&gt;0,L40,0)</f>
        <v>0</v>
      </c>
      <c r="K40" s="142" t="n">
        <f aca="false">I40+J40</f>
        <v>52</v>
      </c>
      <c r="L40" s="142" t="n">
        <f aca="false">F40-(I40-AK40)</f>
        <v>-18.6618578270734</v>
      </c>
      <c r="M40" s="262" t="n">
        <v>2.93</v>
      </c>
      <c r="N40" s="142" t="n">
        <v>0</v>
      </c>
      <c r="O40" s="142" t="n">
        <v>0</v>
      </c>
      <c r="P40" s="171" t="n">
        <v>0</v>
      </c>
      <c r="Q40" s="138" t="n">
        <f aca="false">1045500/325851/1.9835*1.02</f>
        <v>1.64995821528512</v>
      </c>
      <c r="R40" s="138" t="n">
        <f aca="false">((1148912/646272)*1.04)-T40</f>
        <v>1.34098746121608</v>
      </c>
      <c r="S40" s="138" t="n">
        <v>0</v>
      </c>
      <c r="T40" s="138" t="n">
        <f aca="false">(0.4607*1.06)*1.04</f>
        <v>0.50787568</v>
      </c>
      <c r="U40" s="101" t="n">
        <f aca="false">M40-(Q40+R40+S40+T40)</f>
        <v>-0.568821356501207</v>
      </c>
      <c r="V40" s="142" t="n">
        <v>0</v>
      </c>
      <c r="W40" s="142" t="n">
        <v>0</v>
      </c>
      <c r="X40" s="142" t="n">
        <f aca="false">M40-N40-P40-O40-Q40-R40-S40-T40-U40+V40+W40</f>
        <v>0</v>
      </c>
      <c r="Y40" s="142" t="n">
        <f aca="false">X40-AO40</f>
        <v>0</v>
      </c>
      <c r="Z40" s="142"/>
      <c r="AA40" s="142"/>
      <c r="AB40" s="143"/>
      <c r="AC40" s="143"/>
      <c r="AD40" s="113"/>
      <c r="AE40" s="142" t="n">
        <v>0</v>
      </c>
      <c r="AF40" s="262"/>
      <c r="AG40" s="263"/>
      <c r="AH40" s="142" t="n">
        <v>17.3</v>
      </c>
      <c r="AI40" s="113" t="n">
        <f aca="false">AI39-AH40</f>
        <v>1435.23684762419</v>
      </c>
      <c r="AJ40" s="113"/>
      <c r="AK40" s="141" t="n">
        <f aca="false">N40+O40+P40+Q40+R40+S40+T40+U40+X40+AE40+AH40</f>
        <v>20.23</v>
      </c>
      <c r="AL40" s="142" t="n">
        <f aca="false">IF(L40&lt;0,L40*-1,0)</f>
        <v>18.6618578270734</v>
      </c>
      <c r="AM40" s="142" t="n">
        <f aca="false">AK40+AL40</f>
        <v>38.8918578270734</v>
      </c>
      <c r="AN40" s="146"/>
      <c r="AO40" s="143"/>
      <c r="AP40" s="232"/>
      <c r="AV40" s="233" t="n">
        <v>0</v>
      </c>
      <c r="AW40" s="113" t="n">
        <v>54</v>
      </c>
      <c r="AX40" s="226" t="n">
        <v>18</v>
      </c>
      <c r="AY40" s="234"/>
      <c r="AZ40" s="264" t="n">
        <f aca="false">SUM(N40,P40:U40)</f>
        <v>2.93</v>
      </c>
      <c r="BA40" s="193" t="n">
        <v>0</v>
      </c>
      <c r="BB40" s="265" t="n">
        <v>7024</v>
      </c>
    </row>
    <row r="41" customFormat="false" ht="12.95" hidden="false" customHeight="true" outlineLevel="0" collapsed="false">
      <c r="A41" s="192" t="n">
        <f aca="false">A40+1</f>
        <v>27</v>
      </c>
      <c r="B41" s="112" t="n">
        <v>6868.63</v>
      </c>
      <c r="C41" s="113" t="n">
        <v>184193</v>
      </c>
      <c r="D41" s="226" t="n">
        <f aca="false">C41-C40</f>
        <v>-26</v>
      </c>
      <c r="E41" s="113" t="n">
        <f aca="false">C41-152000</f>
        <v>32193</v>
      </c>
      <c r="F41" s="260" t="n">
        <f aca="false">D41/$D$2</f>
        <v>-13.1081421729266</v>
      </c>
      <c r="G41" s="142" t="n">
        <v>52</v>
      </c>
      <c r="H41" s="261" t="n">
        <v>0</v>
      </c>
      <c r="I41" s="142" t="n">
        <f aca="false">G41+H41</f>
        <v>52</v>
      </c>
      <c r="J41" s="143" t="n">
        <f aca="false">IF(L41&gt;0,L41,0)</f>
        <v>0</v>
      </c>
      <c r="K41" s="142" t="n">
        <f aca="false">I41+J41</f>
        <v>52</v>
      </c>
      <c r="L41" s="142" t="n">
        <f aca="false">F41-(I41-AK41)</f>
        <v>-44.6081421729267</v>
      </c>
      <c r="M41" s="262" t="n">
        <v>3.2</v>
      </c>
      <c r="N41" s="142" t="n">
        <v>0</v>
      </c>
      <c r="O41" s="142" t="n">
        <v>0</v>
      </c>
      <c r="P41" s="171" t="n">
        <v>0</v>
      </c>
      <c r="Q41" s="138" t="n">
        <f aca="false">983900/325851/1.9835*1.02</f>
        <v>1.55274403445149</v>
      </c>
      <c r="R41" s="138" t="n">
        <f aca="false">((1104144/646272)*1.04)-T41</f>
        <v>1.26894547270351</v>
      </c>
      <c r="S41" s="138" t="n">
        <v>0</v>
      </c>
      <c r="T41" s="138" t="n">
        <f aca="false">(0.4607*1.06)*1.04</f>
        <v>0.50787568</v>
      </c>
      <c r="U41" s="101" t="n">
        <f aca="false">M41-(Q41+R41+S41+T41)</f>
        <v>-0.129565187154997</v>
      </c>
      <c r="V41" s="142" t="n">
        <v>0</v>
      </c>
      <c r="W41" s="142" t="n">
        <v>0</v>
      </c>
      <c r="X41" s="142" t="n">
        <f aca="false">M41-N41-P41-O41-Q41-R41-S41-T41-U41+V41+W41</f>
        <v>0</v>
      </c>
      <c r="Y41" s="142" t="n">
        <f aca="false">X41-AO41</f>
        <v>0</v>
      </c>
      <c r="Z41" s="142"/>
      <c r="AA41" s="142"/>
      <c r="AB41" s="143"/>
      <c r="AC41" s="143"/>
      <c r="AD41" s="113"/>
      <c r="AE41" s="142" t="n">
        <v>0</v>
      </c>
      <c r="AF41" s="262"/>
      <c r="AG41" s="263"/>
      <c r="AH41" s="142" t="n">
        <v>17.3</v>
      </c>
      <c r="AI41" s="113" t="n">
        <f aca="false">AI40-AH41</f>
        <v>1417.93684762419</v>
      </c>
      <c r="AJ41" s="113"/>
      <c r="AK41" s="141" t="n">
        <f aca="false">N41+O41+P41+Q41+R41+S41+T41+U41+X41+AE41+AH41</f>
        <v>20.5</v>
      </c>
      <c r="AL41" s="142" t="n">
        <f aca="false">IF(L41&lt;0,L41*-1,0)</f>
        <v>44.6081421729267</v>
      </c>
      <c r="AM41" s="142" t="n">
        <f aca="false">AK41+AL41</f>
        <v>65.1081421729266</v>
      </c>
      <c r="AN41" s="146"/>
      <c r="AO41" s="143"/>
      <c r="AP41" s="232"/>
      <c r="AV41" s="233" t="n">
        <v>0</v>
      </c>
      <c r="AW41" s="113" t="n">
        <v>54</v>
      </c>
      <c r="AX41" s="226" t="n">
        <v>21</v>
      </c>
      <c r="AY41" s="234"/>
      <c r="AZ41" s="264" t="n">
        <f aca="false">SUM(N41,P41:U41)</f>
        <v>3.2</v>
      </c>
      <c r="BA41" s="193" t="n">
        <v>0</v>
      </c>
      <c r="BB41" s="265" t="n">
        <v>7029</v>
      </c>
    </row>
    <row r="42" customFormat="false" ht="12.95" hidden="false" customHeight="true" outlineLevel="0" collapsed="false">
      <c r="A42" s="192" t="n">
        <f aca="false">A41+1</f>
        <v>28</v>
      </c>
      <c r="B42" s="112" t="n">
        <v>6868.65</v>
      </c>
      <c r="C42" s="113" t="n">
        <v>184245</v>
      </c>
      <c r="D42" s="226" t="n">
        <f aca="false">C42-C41</f>
        <v>52</v>
      </c>
      <c r="E42" s="113" t="n">
        <f aca="false">C42-152000</f>
        <v>32245</v>
      </c>
      <c r="F42" s="260" t="n">
        <f aca="false">D42/$D$2</f>
        <v>26.2162843458533</v>
      </c>
      <c r="G42" s="142" t="n">
        <v>51</v>
      </c>
      <c r="H42" s="261" t="n">
        <v>0</v>
      </c>
      <c r="I42" s="142" t="n">
        <f aca="false">G42+H42</f>
        <v>51</v>
      </c>
      <c r="J42" s="143" t="n">
        <f aca="false">IF(L42&gt;0,L42,0)</f>
        <v>0</v>
      </c>
      <c r="K42" s="142" t="n">
        <f aca="false">I42+J42</f>
        <v>51</v>
      </c>
      <c r="L42" s="142" t="n">
        <f aca="false">F42-(I42-AK42)</f>
        <v>-4.68371565414671</v>
      </c>
      <c r="M42" s="262" t="n">
        <v>2.8</v>
      </c>
      <c r="N42" s="142" t="n">
        <v>0</v>
      </c>
      <c r="O42" s="142" t="n">
        <v>0</v>
      </c>
      <c r="P42" s="171" t="n">
        <v>0</v>
      </c>
      <c r="Q42" s="138" t="n">
        <f aca="false">1003300/325851/1.9835*1.02</f>
        <v>1.58336018880494</v>
      </c>
      <c r="R42" s="138" t="n">
        <f aca="false">((1093792/646272)*1.04)-T42</f>
        <v>1.2522867283977</v>
      </c>
      <c r="S42" s="138" t="n">
        <v>0</v>
      </c>
      <c r="T42" s="138" t="n">
        <f aca="false">(0.4607*1.06)*1.04</f>
        <v>0.50787568</v>
      </c>
      <c r="U42" s="101" t="n">
        <f aca="false">M42-(Q42+R42+S42+T42)</f>
        <v>-0.543522597202644</v>
      </c>
      <c r="V42" s="142" t="n">
        <v>0</v>
      </c>
      <c r="W42" s="142" t="n">
        <v>0</v>
      </c>
      <c r="X42" s="142" t="n">
        <f aca="false">M42-N42-P42-O42-Q42-R42-S42-T42-U42+V42+W42</f>
        <v>0</v>
      </c>
      <c r="Y42" s="142" t="n">
        <f aca="false">X42-AO42</f>
        <v>0</v>
      </c>
      <c r="Z42" s="142"/>
      <c r="AA42" s="142"/>
      <c r="AB42" s="143"/>
      <c r="AC42" s="143"/>
      <c r="AD42" s="113"/>
      <c r="AE42" s="142" t="n">
        <v>0</v>
      </c>
      <c r="AF42" s="262"/>
      <c r="AG42" s="263"/>
      <c r="AH42" s="142" t="n">
        <v>17.3</v>
      </c>
      <c r="AI42" s="113" t="n">
        <f aca="false">AI41-AH42</f>
        <v>1400.63684762419</v>
      </c>
      <c r="AJ42" s="113"/>
      <c r="AK42" s="141" t="n">
        <f aca="false">N42+O42+P42+Q42+R42+S42+T42+U42+X42+AE42+AH42</f>
        <v>20.1</v>
      </c>
      <c r="AL42" s="142" t="n">
        <f aca="false">IF(L42&lt;0,L42*-1,0)</f>
        <v>4.68371565414671</v>
      </c>
      <c r="AM42" s="142" t="n">
        <f aca="false">AK42+AL42</f>
        <v>24.7837156541467</v>
      </c>
      <c r="AN42" s="146"/>
      <c r="AO42" s="143"/>
      <c r="AP42" s="232"/>
      <c r="AV42" s="233" t="n">
        <v>0</v>
      </c>
      <c r="AW42" s="113" t="n">
        <v>54</v>
      </c>
      <c r="AX42" s="226" t="n">
        <v>20</v>
      </c>
      <c r="AY42" s="234"/>
      <c r="AZ42" s="264" t="n">
        <f aca="false">SUM(N42,P42:U42)</f>
        <v>2.8</v>
      </c>
      <c r="BA42" s="193" t="n">
        <v>0</v>
      </c>
      <c r="BB42" s="265" t="n">
        <v>7039</v>
      </c>
    </row>
    <row r="43" customFormat="false" ht="12.95" hidden="false" customHeight="true" outlineLevel="0" collapsed="false">
      <c r="A43" s="192" t="n">
        <f aca="false">A42+1</f>
        <v>29</v>
      </c>
      <c r="B43" s="112" t="n">
        <v>6868.67</v>
      </c>
      <c r="C43" s="113" t="n">
        <v>184297</v>
      </c>
      <c r="D43" s="226" t="n">
        <f aca="false">C43-C42</f>
        <v>52</v>
      </c>
      <c r="E43" s="113" t="n">
        <f aca="false">C43-152000</f>
        <v>32297</v>
      </c>
      <c r="F43" s="260" t="n">
        <f aca="false">D43/$D$2</f>
        <v>26.2162843458533</v>
      </c>
      <c r="G43" s="142" t="n">
        <v>51</v>
      </c>
      <c r="H43" s="261" t="n">
        <v>0</v>
      </c>
      <c r="I43" s="142" t="n">
        <f aca="false">G43+H43</f>
        <v>51</v>
      </c>
      <c r="J43" s="143" t="n">
        <f aca="false">IF(L43&gt;0,L43,0)</f>
        <v>0</v>
      </c>
      <c r="K43" s="142" t="n">
        <f aca="false">I43+J43</f>
        <v>51</v>
      </c>
      <c r="L43" s="142" t="n">
        <f aca="false">F43-(I43-AK43)</f>
        <v>-4.24371565414671</v>
      </c>
      <c r="M43" s="262" t="n">
        <v>3.24</v>
      </c>
      <c r="N43" s="142" t="n">
        <v>0</v>
      </c>
      <c r="O43" s="142" t="n">
        <v>0</v>
      </c>
      <c r="P43" s="171" t="n">
        <v>0</v>
      </c>
      <c r="Q43" s="138" t="n">
        <f aca="false">964600/325851/1.9835*1.02</f>
        <v>1.52228569532667</v>
      </c>
      <c r="R43" s="138" t="n">
        <f aca="false">((1206896/646272)*1.04)-T43</f>
        <v>1.43429702746683</v>
      </c>
      <c r="S43" s="138" t="n">
        <v>0</v>
      </c>
      <c r="T43" s="138" t="n">
        <f aca="false">(0.4607*1.06)*1.04</f>
        <v>0.50787568</v>
      </c>
      <c r="U43" s="101" t="n">
        <f aca="false">M43-(Q43+R43+S43+T43)</f>
        <v>-0.224458402793493</v>
      </c>
      <c r="V43" s="142" t="n">
        <v>0</v>
      </c>
      <c r="W43" s="142" t="n">
        <v>0</v>
      </c>
      <c r="X43" s="142" t="n">
        <f aca="false">M43-N43-P43-O43-Q43-R43-S43-T43-U43+V43+W43</f>
        <v>0</v>
      </c>
      <c r="Y43" s="142" t="n">
        <f aca="false">X43-AO43</f>
        <v>0</v>
      </c>
      <c r="Z43" s="142"/>
      <c r="AA43" s="142"/>
      <c r="AB43" s="143"/>
      <c r="AC43" s="143"/>
      <c r="AD43" s="113"/>
      <c r="AE43" s="142" t="n">
        <v>0</v>
      </c>
      <c r="AF43" s="262"/>
      <c r="AG43" s="263"/>
      <c r="AH43" s="142" t="n">
        <v>17.3</v>
      </c>
      <c r="AI43" s="113" t="n">
        <f aca="false">AI42-AH43</f>
        <v>1383.33684762419</v>
      </c>
      <c r="AJ43" s="113"/>
      <c r="AK43" s="141" t="n">
        <f aca="false">N43+O43+P43+Q43+R43+S43+T43+U43+X43+AE43+AH43</f>
        <v>20.54</v>
      </c>
      <c r="AL43" s="142" t="n">
        <f aca="false">IF(L43&lt;0,L43*-1,0)</f>
        <v>4.24371565414671</v>
      </c>
      <c r="AM43" s="142" t="n">
        <f aca="false">AK43+AL43</f>
        <v>24.7837156541467</v>
      </c>
      <c r="AN43" s="146"/>
      <c r="AO43" s="143"/>
      <c r="AP43" s="232"/>
      <c r="AV43" s="233" t="n">
        <v>0</v>
      </c>
      <c r="AW43" s="113" t="n">
        <v>53</v>
      </c>
      <c r="AX43" s="226" t="n">
        <v>20</v>
      </c>
      <c r="AY43" s="234"/>
      <c r="AZ43" s="264" t="n">
        <f aca="false">SUM(N43,P43:U43)</f>
        <v>3.24</v>
      </c>
      <c r="BA43" s="193" t="n">
        <v>0</v>
      </c>
      <c r="BB43" s="265" t="n">
        <v>7051</v>
      </c>
    </row>
    <row r="44" customFormat="false" ht="12.95" hidden="false" customHeight="true" outlineLevel="0" collapsed="false">
      <c r="A44" s="192" t="n">
        <v>30</v>
      </c>
      <c r="B44" s="112" t="n">
        <v>6868.71</v>
      </c>
      <c r="C44" s="113" t="n">
        <v>184402</v>
      </c>
      <c r="D44" s="226" t="n">
        <f aca="false">C44-C43</f>
        <v>105</v>
      </c>
      <c r="E44" s="113" t="n">
        <f aca="false">C44-152000</f>
        <v>32402</v>
      </c>
      <c r="F44" s="260" t="n">
        <f aca="false">D44/$D$2</f>
        <v>52.9367280060499</v>
      </c>
      <c r="G44" s="142" t="n">
        <v>52</v>
      </c>
      <c r="H44" s="261" t="n">
        <v>0</v>
      </c>
      <c r="I44" s="142" t="n">
        <f aca="false">G44+H44</f>
        <v>52</v>
      </c>
      <c r="J44" s="143" t="n">
        <f aca="false">IF(L44&gt;0,L44,0)</f>
        <v>21.2667280060499</v>
      </c>
      <c r="K44" s="142" t="n">
        <f aca="false">I44+J44</f>
        <v>73.2667280060499</v>
      </c>
      <c r="L44" s="142" t="n">
        <f aca="false">F44-(I44-AK44)</f>
        <v>21.2667280060499</v>
      </c>
      <c r="M44" s="262" t="n">
        <v>3.03</v>
      </c>
      <c r="N44" s="142" t="n">
        <v>0</v>
      </c>
      <c r="O44" s="142" t="n">
        <v>0</v>
      </c>
      <c r="P44" s="171" t="n">
        <v>0</v>
      </c>
      <c r="Q44" s="138" t="n">
        <f aca="false">896100/325851/1.9835*1.02</f>
        <v>1.41418226371784</v>
      </c>
      <c r="R44" s="138" t="n">
        <f aca="false">((1182480/646272)*1.04)-T44</f>
        <v>1.39500607876411</v>
      </c>
      <c r="S44" s="138" t="n">
        <v>0</v>
      </c>
      <c r="T44" s="138" t="n">
        <f aca="false">(0.4607*1.06)*1.04</f>
        <v>0.50787568</v>
      </c>
      <c r="U44" s="101" t="n">
        <f aca="false">M44-(Q44+R44+S44+T44)</f>
        <v>-0.287064022481951</v>
      </c>
      <c r="V44" s="142" t="n">
        <v>0</v>
      </c>
      <c r="W44" s="142" t="n">
        <v>0</v>
      </c>
      <c r="X44" s="142" t="n">
        <f aca="false">M44-N44-P44-O44-Q44-R44-S44-T44-U44+V44+W44</f>
        <v>0</v>
      </c>
      <c r="Y44" s="142" t="n">
        <f aca="false">X44-AO44</f>
        <v>0</v>
      </c>
      <c r="Z44" s="142"/>
      <c r="AA44" s="142"/>
      <c r="AB44" s="143"/>
      <c r="AC44" s="143"/>
      <c r="AD44" s="113"/>
      <c r="AE44" s="142" t="n">
        <v>0</v>
      </c>
      <c r="AF44" s="262"/>
      <c r="AG44" s="263"/>
      <c r="AH44" s="142" t="n">
        <v>17.3</v>
      </c>
      <c r="AI44" s="113" t="n">
        <f aca="false">AI43-AH44</f>
        <v>1366.03684762419</v>
      </c>
      <c r="AJ44" s="113"/>
      <c r="AK44" s="141" t="n">
        <f aca="false">N44+O44+P44+Q44+R44+S44+T44+U44+X44+AE44+AH44</f>
        <v>20.33</v>
      </c>
      <c r="AL44" s="142" t="n">
        <f aca="false">IF(L44&lt;0,L44*-1,0)</f>
        <v>0</v>
      </c>
      <c r="AM44" s="142" t="n">
        <f aca="false">AK44+AL44</f>
        <v>20.33</v>
      </c>
      <c r="AN44" s="146"/>
      <c r="AO44" s="143"/>
      <c r="AP44" s="232"/>
      <c r="AV44" s="233" t="n">
        <v>0.02</v>
      </c>
      <c r="AW44" s="113" t="n">
        <v>53</v>
      </c>
      <c r="AX44" s="226" t="n">
        <v>32</v>
      </c>
      <c r="AY44" s="234"/>
      <c r="AZ44" s="264" t="n">
        <f aca="false">SUM(N44,P44:U44)</f>
        <v>3.03</v>
      </c>
      <c r="BA44" s="193" t="n">
        <v>0</v>
      </c>
      <c r="BB44" s="265" t="n">
        <v>7099</v>
      </c>
    </row>
    <row r="45" customFormat="false" ht="12.95" hidden="false" customHeight="true" outlineLevel="0" collapsed="false">
      <c r="A45" s="192" t="n">
        <v>31</v>
      </c>
      <c r="B45" s="112" t="n">
        <v>6868.74</v>
      </c>
      <c r="C45" s="113" t="n">
        <v>184480</v>
      </c>
      <c r="D45" s="226" t="n">
        <f aca="false">C45-C44</f>
        <v>78</v>
      </c>
      <c r="E45" s="113" t="n">
        <f aca="false">C45-152000</f>
        <v>32480</v>
      </c>
      <c r="F45" s="260" t="n">
        <f aca="false">D45/$D$2</f>
        <v>39.3244265187799</v>
      </c>
      <c r="G45" s="142" t="n">
        <v>51</v>
      </c>
      <c r="H45" s="261" t="n">
        <v>0</v>
      </c>
      <c r="I45" s="142" t="n">
        <f aca="false">G45+H45</f>
        <v>51</v>
      </c>
      <c r="J45" s="143" t="n">
        <f aca="false">IF(L45&gt;0,L45,0)</f>
        <v>8.20442651877994</v>
      </c>
      <c r="K45" s="142" t="n">
        <f aca="false">I45+J45</f>
        <v>59.2044265187799</v>
      </c>
      <c r="L45" s="142" t="n">
        <f aca="false">F45-(I45-AK45)</f>
        <v>8.20442651877994</v>
      </c>
      <c r="M45" s="262" t="n">
        <v>2.58</v>
      </c>
      <c r="N45" s="142" t="n">
        <v>0</v>
      </c>
      <c r="O45" s="142" t="n">
        <v>0</v>
      </c>
      <c r="P45" s="171" t="n">
        <v>0</v>
      </c>
      <c r="Q45" s="138" t="n">
        <f aca="false">764900/325851/1.9835*1.02</f>
        <v>1.20712868376049</v>
      </c>
      <c r="R45" s="138" t="n">
        <f aca="false">((1164208/646272)*1.04)-T45</f>
        <v>1.32679775641909</v>
      </c>
      <c r="S45" s="138" t="n">
        <v>0</v>
      </c>
      <c r="T45" s="138" t="n">
        <f aca="false">(0.4959*1.06)*1.04</f>
        <v>0.54668016</v>
      </c>
      <c r="U45" s="101" t="n">
        <f aca="false">M45-(Q45+R45+S45+T45)</f>
        <v>-0.500606600179582</v>
      </c>
      <c r="V45" s="142" t="n">
        <v>0</v>
      </c>
      <c r="W45" s="142" t="n">
        <v>0</v>
      </c>
      <c r="X45" s="142" t="n">
        <f aca="false">M45-N45-P45-O45-Q45-R45-S45-T45-U45+V45+W45</f>
        <v>0</v>
      </c>
      <c r="Y45" s="142" t="n">
        <f aca="false">X45-AO45</f>
        <v>0</v>
      </c>
      <c r="Z45" s="142"/>
      <c r="AA45" s="142"/>
      <c r="AB45" s="143"/>
      <c r="AC45" s="143"/>
      <c r="AD45" s="113"/>
      <c r="AE45" s="142" t="n">
        <v>0</v>
      </c>
      <c r="AF45" s="262"/>
      <c r="AG45" s="263"/>
      <c r="AH45" s="142" t="n">
        <v>17.3</v>
      </c>
      <c r="AI45" s="113" t="n">
        <f aca="false">AI44-AH45</f>
        <v>1348.73684762419</v>
      </c>
      <c r="AJ45" s="113"/>
      <c r="AK45" s="141" t="n">
        <f aca="false">N45+O45+P45+Q45+R45+S45+T45+U45+X45+AE45+AH45</f>
        <v>19.88</v>
      </c>
      <c r="AL45" s="142" t="n">
        <f aca="false">IF(L45&lt;0,L45*-1,0)</f>
        <v>0</v>
      </c>
      <c r="AM45" s="260" t="n">
        <f aca="false">AK45+AL45</f>
        <v>19.88</v>
      </c>
      <c r="AN45" s="143"/>
      <c r="AO45" s="143"/>
      <c r="AP45" s="232"/>
      <c r="AV45" s="233" t="n">
        <v>0.18</v>
      </c>
      <c r="AW45" s="113" t="n">
        <v>46</v>
      </c>
      <c r="AX45" s="226" t="n">
        <v>25</v>
      </c>
      <c r="AY45" s="234"/>
      <c r="AZ45" s="264" t="n">
        <f aca="false">SUM(N45,P45:U45)</f>
        <v>2.58</v>
      </c>
      <c r="BA45" s="193" t="n">
        <v>0</v>
      </c>
      <c r="BB45" s="265" t="n">
        <v>7131</v>
      </c>
    </row>
    <row r="46" customFormat="false" ht="3" hidden="false" customHeight="true" outlineLevel="0" collapsed="false">
      <c r="A46" s="245"/>
      <c r="B46" s="267"/>
      <c r="C46" s="247"/>
      <c r="D46" s="248"/>
      <c r="E46" s="247"/>
      <c r="F46" s="249"/>
      <c r="G46" s="248"/>
      <c r="H46" s="250"/>
      <c r="I46" s="248"/>
      <c r="J46" s="248"/>
      <c r="K46" s="248"/>
      <c r="L46" s="248"/>
      <c r="M46" s="248"/>
      <c r="N46" s="248"/>
      <c r="O46" s="248"/>
      <c r="P46" s="252"/>
      <c r="Q46" s="248"/>
      <c r="R46" s="248"/>
      <c r="S46" s="248"/>
      <c r="T46" s="248"/>
      <c r="U46" s="253"/>
      <c r="V46" s="248"/>
      <c r="W46" s="248"/>
      <c r="X46" s="248" t="n">
        <f aca="false">M46-N46-O46-Q46-R46-S46+V46+W46</f>
        <v>0</v>
      </c>
      <c r="Y46" s="248" t="n">
        <f aca="false">N46-O46-P46-R46-S46-U46+W46+X46</f>
        <v>0</v>
      </c>
      <c r="Z46" s="248"/>
      <c r="AA46" s="248"/>
      <c r="AB46" s="254"/>
      <c r="AC46" s="254"/>
      <c r="AD46" s="247"/>
      <c r="AE46" s="248"/>
      <c r="AF46" s="251"/>
      <c r="AG46" s="255"/>
      <c r="AH46" s="248"/>
      <c r="AI46" s="248"/>
      <c r="AJ46" s="248"/>
      <c r="AK46" s="248" t="n">
        <f aca="false">N46+O46+Q46+R46+S46+X46+AE46+AH46</f>
        <v>0</v>
      </c>
      <c r="AL46" s="248"/>
      <c r="AM46" s="249"/>
      <c r="AN46" s="257"/>
      <c r="AO46" s="254"/>
      <c r="AP46" s="257"/>
      <c r="AQ46" s="258"/>
      <c r="AR46" s="258"/>
      <c r="AS46" s="258"/>
      <c r="AT46" s="258"/>
      <c r="AU46" s="257"/>
      <c r="AV46" s="259"/>
      <c r="AW46" s="257"/>
      <c r="AX46" s="257" t="s">
        <v>118</v>
      </c>
      <c r="AY46" s="257" t="s">
        <v>118</v>
      </c>
      <c r="AZ46" s="257" t="s">
        <v>118</v>
      </c>
      <c r="BA46" s="257" t="s">
        <v>118</v>
      </c>
      <c r="BB46" s="257" t="s">
        <v>118</v>
      </c>
    </row>
    <row r="47" customFormat="false" ht="12.95" hidden="false" customHeight="true" outlineLevel="0" collapsed="false">
      <c r="A47" s="194" t="s">
        <v>105</v>
      </c>
      <c r="B47" s="224"/>
      <c r="C47" s="113"/>
      <c r="D47" s="113"/>
      <c r="E47" s="113"/>
      <c r="F47" s="225" t="n">
        <f aca="false">SUM(F15:F45)</f>
        <v>973.027476682632</v>
      </c>
      <c r="G47" s="113" t="n">
        <f aca="false">SUM(G15:G45)</f>
        <v>1637</v>
      </c>
      <c r="H47" s="113" t="n">
        <f aca="false">SUM(H15:H45)</f>
        <v>0</v>
      </c>
      <c r="I47" s="113" t="n">
        <f aca="false">SUM(I15:I45)</f>
        <v>1637</v>
      </c>
      <c r="J47" s="113" t="n">
        <f aca="false">SUM(J15:J45)</f>
        <v>273.198616082682</v>
      </c>
      <c r="K47" s="113" t="n">
        <f aca="false">SUM(K15:K45)</f>
        <v>1910.19861608268</v>
      </c>
      <c r="L47" s="113" t="n">
        <f aca="false">SUM(L15:L45)</f>
        <v>-13.5625233173683</v>
      </c>
      <c r="M47" s="227" t="n">
        <f aca="false">SUM(M15:M45)</f>
        <v>95.31</v>
      </c>
      <c r="N47" s="113" t="n">
        <f aca="false">SUM(N15:N45)</f>
        <v>0</v>
      </c>
      <c r="O47" s="113" t="n">
        <f aca="false">SUM(O15:O45)</f>
        <v>0</v>
      </c>
      <c r="P47" s="171"/>
      <c r="Q47" s="113" t="n">
        <f aca="false">SUM(Q15:Q45)</f>
        <v>50.5063966933309</v>
      </c>
      <c r="R47" s="113" t="n">
        <f aca="false">SUM(R15:R45)</f>
        <v>44.8946432257952</v>
      </c>
      <c r="S47" s="113" t="n">
        <f aca="false">SUM(S15:S45)</f>
        <v>0</v>
      </c>
      <c r="T47" s="113" t="n">
        <f aca="false">SUM(T15:T45)</f>
        <v>14.57879904</v>
      </c>
      <c r="U47" s="290" t="n">
        <f aca="false">SUM(U15:U45)</f>
        <v>-14.6698389591261</v>
      </c>
      <c r="V47" s="113" t="n">
        <f aca="false">SUM(V15:V45)</f>
        <v>0</v>
      </c>
      <c r="W47" s="113" t="n">
        <f aca="false">SUM(W15:W45)</f>
        <v>0</v>
      </c>
      <c r="X47" s="113" t="n">
        <f aca="false">SUM(X15:X45)</f>
        <v>0</v>
      </c>
      <c r="Y47" s="113" t="n">
        <f aca="false">SUM(Y15:Y45)</f>
        <v>0</v>
      </c>
      <c r="Z47" s="113"/>
      <c r="AA47" s="113"/>
      <c r="AB47" s="143"/>
      <c r="AC47" s="113" t="n">
        <f aca="false">SUM(AC15:AC45)</f>
        <v>0</v>
      </c>
      <c r="AD47" s="113"/>
      <c r="AE47" s="113"/>
      <c r="AF47" s="227"/>
      <c r="AG47" s="229"/>
      <c r="AH47" s="113" t="n">
        <f aca="false">SUM(AH15:AH45)</f>
        <v>555.1</v>
      </c>
      <c r="AI47" s="113"/>
      <c r="AJ47" s="84" t="n">
        <f aca="false">SUM(AJ15:AJ45)</f>
        <v>0</v>
      </c>
      <c r="AK47" s="113" t="n">
        <f aca="false">SUM(AK15:AK45)</f>
        <v>650.41</v>
      </c>
      <c r="AL47" s="113" t="n">
        <f aca="false">SUM(AL15:AL45)</f>
        <v>286.76113940005</v>
      </c>
      <c r="AM47" s="225" t="n">
        <f aca="false">SUM(AM15:AM45)</f>
        <v>937.17113940005</v>
      </c>
      <c r="AN47" s="143" t="n">
        <f aca="false">SUM(AN15:AN45)</f>
        <v>0</v>
      </c>
      <c r="AO47" s="143" t="n">
        <f aca="false">SUM(AO15:AO45)</f>
        <v>0</v>
      </c>
      <c r="AP47" s="232"/>
      <c r="AV47" s="233" t="n">
        <f aca="false">SUM(AV15:AV45)</f>
        <v>0.2</v>
      </c>
      <c r="AW47" s="226" t="n">
        <f aca="false">AVERAGE(AW15:AW45)</f>
        <v>49.9354838709678</v>
      </c>
      <c r="AX47" s="226" t="n">
        <f aca="false">AVERAGE(AX15:AX45)</f>
        <v>19.3225806451613</v>
      </c>
      <c r="AY47" s="234" t="s">
        <v>106</v>
      </c>
      <c r="AZ47" s="269" t="n">
        <f aca="false">SUM(AZ15:AZ45)</f>
        <v>95.31</v>
      </c>
      <c r="BA47" s="193" t="n">
        <f aca="false">SUM(BA15:BA45)</f>
        <v>0</v>
      </c>
      <c r="BB47" s="265"/>
    </row>
    <row r="48" customFormat="false" ht="12.95" hidden="false" customHeight="true" outlineLevel="0" collapsed="false">
      <c r="A48" s="194" t="s">
        <v>107</v>
      </c>
      <c r="B48" s="224"/>
      <c r="C48" s="113"/>
      <c r="D48" s="113" t="n">
        <f aca="false">SUM(D15:D45)</f>
        <v>1930</v>
      </c>
      <c r="E48" s="113"/>
      <c r="F48" s="225" t="n">
        <f aca="false">F47*$D$2</f>
        <v>1930</v>
      </c>
      <c r="G48" s="113" t="n">
        <f aca="false">G47*$D$2</f>
        <v>3246.9895</v>
      </c>
      <c r="H48" s="113" t="n">
        <f aca="false">H47*$D$2</f>
        <v>0</v>
      </c>
      <c r="I48" s="113" t="n">
        <f aca="false">I47*$D$2</f>
        <v>3246.9895</v>
      </c>
      <c r="J48" s="113" t="n">
        <f aca="false">J47*$D$2</f>
        <v>541.889455</v>
      </c>
      <c r="K48" s="113" t="n">
        <f aca="false">K47*$D$2</f>
        <v>3788.878955</v>
      </c>
      <c r="L48" s="113" t="n">
        <f aca="false">L47*$D$2</f>
        <v>-26.901265</v>
      </c>
      <c r="M48" s="227" t="n">
        <f aca="false">M47*$D$2</f>
        <v>189.047385</v>
      </c>
      <c r="N48" s="113" t="n">
        <f aca="false">N47*$D$2</f>
        <v>0</v>
      </c>
      <c r="O48" s="113" t="n">
        <f aca="false">O47*$D$2</f>
        <v>0</v>
      </c>
      <c r="P48" s="171"/>
      <c r="Q48" s="113" t="n">
        <f aca="false">Q47*$D$2</f>
        <v>100.179437841222</v>
      </c>
      <c r="R48" s="113" t="n">
        <f aca="false">R47*$D$2</f>
        <v>89.0485248383648</v>
      </c>
      <c r="S48" s="113" t="n">
        <f aca="false">S47*$D$2</f>
        <v>0</v>
      </c>
      <c r="T48" s="113" t="n">
        <f aca="false">T47*$D$2</f>
        <v>28.91704789584</v>
      </c>
      <c r="U48" s="290" t="n">
        <f aca="false">U47*$D$2</f>
        <v>-29.0976255754267</v>
      </c>
      <c r="V48" s="113" t="n">
        <f aca="false">V47*$D$2</f>
        <v>0</v>
      </c>
      <c r="W48" s="113" t="n">
        <f aca="false">W47*$D$2</f>
        <v>0</v>
      </c>
      <c r="X48" s="113" t="n">
        <f aca="false">X47*$D$2</f>
        <v>0</v>
      </c>
      <c r="Y48" s="113" t="n">
        <f aca="false">Y47*$D$2</f>
        <v>0</v>
      </c>
      <c r="Z48" s="113"/>
      <c r="AA48" s="113"/>
      <c r="AB48" s="143"/>
      <c r="AC48" s="113" t="n">
        <f aca="false">AC47*$D$2</f>
        <v>0</v>
      </c>
      <c r="AD48" s="113"/>
      <c r="AE48" s="113"/>
      <c r="AF48" s="227"/>
      <c r="AG48" s="229"/>
      <c r="AH48" s="113" t="n">
        <f aca="false">AH47*$D$2</f>
        <v>1101.04085</v>
      </c>
      <c r="AI48" s="113"/>
      <c r="AJ48" s="84" t="n">
        <f aca="false">AJ47*$D$2</f>
        <v>0</v>
      </c>
      <c r="AK48" s="113" t="n">
        <f aca="false">AK47*$D$2</f>
        <v>1290.088235</v>
      </c>
      <c r="AL48" s="113" t="n">
        <f aca="false">AL47*$D$2</f>
        <v>568.79072</v>
      </c>
      <c r="AM48" s="225" t="n">
        <f aca="false">AM47*$D$2</f>
        <v>1858.878955</v>
      </c>
      <c r="AN48" s="143" t="n">
        <f aca="false">AN47*$D$2</f>
        <v>0</v>
      </c>
      <c r="AO48" s="143" t="n">
        <f aca="false">AO47*$D$2</f>
        <v>0</v>
      </c>
      <c r="AP48" s="232"/>
      <c r="AV48" s="233"/>
      <c r="AW48" s="226" t="n">
        <f aca="false">MAX(AW15:AW45)</f>
        <v>56</v>
      </c>
      <c r="AX48" s="226" t="n">
        <f aca="false">MAX(AX15:AX45)</f>
        <v>32</v>
      </c>
      <c r="AY48" s="234" t="s">
        <v>108</v>
      </c>
      <c r="AZ48" s="269" t="n">
        <f aca="false">AZ47*$D$2</f>
        <v>189.047385</v>
      </c>
      <c r="BA48" s="193" t="n">
        <f aca="false">BA47*D2</f>
        <v>0</v>
      </c>
      <c r="BB48" s="265"/>
    </row>
    <row r="49" customFormat="false" ht="3" hidden="false" customHeight="true" outlineLevel="0" collapsed="false">
      <c r="A49" s="245"/>
      <c r="B49" s="267"/>
      <c r="C49" s="247"/>
      <c r="D49" s="247"/>
      <c r="E49" s="247"/>
      <c r="F49" s="270"/>
      <c r="G49" s="247"/>
      <c r="H49" s="247"/>
      <c r="I49" s="247"/>
      <c r="J49" s="247"/>
      <c r="K49" s="247"/>
      <c r="L49" s="247"/>
      <c r="M49" s="271"/>
      <c r="N49" s="247"/>
      <c r="O49" s="247"/>
      <c r="P49" s="252"/>
      <c r="Q49" s="247"/>
      <c r="R49" s="247"/>
      <c r="S49" s="247"/>
      <c r="T49" s="247"/>
      <c r="U49" s="291"/>
      <c r="V49" s="247"/>
      <c r="W49" s="247"/>
      <c r="X49" s="247"/>
      <c r="Y49" s="247"/>
      <c r="Z49" s="247"/>
      <c r="AA49" s="247"/>
      <c r="AB49" s="254"/>
      <c r="AC49" s="247"/>
      <c r="AD49" s="247"/>
      <c r="AE49" s="247"/>
      <c r="AF49" s="271"/>
      <c r="AG49" s="272"/>
      <c r="AH49" s="247"/>
      <c r="AI49" s="248"/>
      <c r="AJ49" s="126"/>
      <c r="AK49" s="247"/>
      <c r="AL49" s="247"/>
      <c r="AM49" s="270"/>
      <c r="AN49" s="254"/>
      <c r="AO49" s="254"/>
      <c r="AP49" s="247"/>
      <c r="AQ49" s="273"/>
      <c r="AR49" s="273"/>
      <c r="AS49" s="258"/>
      <c r="AT49" s="258"/>
      <c r="AU49" s="257"/>
      <c r="AV49" s="274"/>
      <c r="AW49" s="247"/>
      <c r="AX49" s="247"/>
      <c r="AY49" s="247"/>
      <c r="AZ49" s="247"/>
      <c r="BA49" s="247"/>
      <c r="BB49" s="247"/>
    </row>
    <row r="50" customFormat="false" ht="12.95" hidden="false" customHeight="true" outlineLevel="0" collapsed="false">
      <c r="A50" s="194" t="s">
        <v>109</v>
      </c>
      <c r="B50" s="224"/>
      <c r="C50" s="113"/>
      <c r="D50" s="113"/>
      <c r="E50" s="113"/>
      <c r="F50" s="225"/>
      <c r="G50" s="113"/>
      <c r="H50" s="113"/>
      <c r="I50" s="113"/>
      <c r="J50" s="113"/>
      <c r="K50" s="113"/>
      <c r="L50" s="113"/>
      <c r="M50" s="227"/>
      <c r="N50" s="113"/>
      <c r="O50" s="113"/>
      <c r="P50" s="171"/>
      <c r="Q50" s="113"/>
      <c r="R50" s="113"/>
      <c r="S50" s="113"/>
      <c r="T50" s="113"/>
      <c r="U50" s="290"/>
      <c r="V50" s="113"/>
      <c r="W50" s="113"/>
      <c r="X50" s="113"/>
      <c r="Y50" s="113"/>
      <c r="Z50" s="113"/>
      <c r="AA50" s="113"/>
      <c r="AB50" s="143"/>
      <c r="AC50" s="113"/>
      <c r="AD50" s="113"/>
      <c r="AE50" s="113"/>
      <c r="AF50" s="227"/>
      <c r="AG50" s="229"/>
      <c r="AH50" s="113"/>
      <c r="AI50" s="113"/>
      <c r="AJ50" s="84"/>
      <c r="AK50" s="113"/>
      <c r="AL50" s="113"/>
      <c r="AM50" s="225"/>
      <c r="AN50" s="143"/>
      <c r="AO50" s="143"/>
      <c r="AP50" s="232"/>
      <c r="AV50" s="233"/>
      <c r="AW50" s="226" t="n">
        <f aca="false">MIN(AW15:AW45)</f>
        <v>40</v>
      </c>
      <c r="AX50" s="226" t="n">
        <f aca="false">MIN(AX15:AX45)</f>
        <v>5</v>
      </c>
      <c r="AY50" s="234" t="s">
        <v>110</v>
      </c>
      <c r="AZ50" s="269"/>
      <c r="BB50" s="265"/>
    </row>
    <row r="51" customFormat="false" ht="12.95" hidden="false" customHeight="true" outlineLevel="0" collapsed="false">
      <c r="A51" s="194" t="s">
        <v>111</v>
      </c>
      <c r="B51" s="224"/>
      <c r="C51" s="113"/>
      <c r="D51" s="113"/>
      <c r="E51" s="113"/>
      <c r="F51" s="225"/>
      <c r="G51" s="113"/>
      <c r="H51" s="113"/>
      <c r="I51" s="113"/>
      <c r="J51" s="113"/>
      <c r="K51" s="113"/>
      <c r="L51" s="113"/>
      <c r="M51" s="227"/>
      <c r="N51" s="113"/>
      <c r="O51" s="113"/>
      <c r="P51" s="171"/>
      <c r="Q51" s="113"/>
      <c r="R51" s="113"/>
      <c r="S51" s="113"/>
      <c r="T51" s="113"/>
      <c r="U51" s="290"/>
      <c r="V51" s="113"/>
      <c r="W51" s="113"/>
      <c r="X51" s="113"/>
      <c r="Y51" s="113"/>
      <c r="Z51" s="113"/>
      <c r="AA51" s="113"/>
      <c r="AB51" s="143"/>
      <c r="AC51" s="113"/>
      <c r="AD51" s="113"/>
      <c r="AE51" s="113"/>
      <c r="AF51" s="227"/>
      <c r="AG51" s="229"/>
      <c r="AH51" s="113"/>
      <c r="AI51" s="113"/>
      <c r="AJ51" s="84"/>
      <c r="AK51" s="113"/>
      <c r="AL51" s="113"/>
      <c r="AM51" s="225"/>
      <c r="AN51" s="143"/>
      <c r="AO51" s="143"/>
      <c r="AP51" s="232"/>
      <c r="AV51" s="233"/>
      <c r="AW51" s="226"/>
      <c r="AX51" s="226"/>
      <c r="AY51" s="234"/>
      <c r="AZ51" s="269"/>
      <c r="BB51" s="265"/>
    </row>
    <row r="52" customFormat="false" ht="3" hidden="false" customHeight="true" outlineLevel="0" collapsed="false">
      <c r="A52" s="245"/>
      <c r="B52" s="267"/>
      <c r="C52" s="247"/>
      <c r="D52" s="247"/>
      <c r="E52" s="247"/>
      <c r="F52" s="270"/>
      <c r="G52" s="247"/>
      <c r="H52" s="257"/>
      <c r="I52" s="247"/>
      <c r="J52" s="247"/>
      <c r="K52" s="247"/>
      <c r="L52" s="247"/>
      <c r="M52" s="271"/>
      <c r="N52" s="247"/>
      <c r="O52" s="247"/>
      <c r="P52" s="252"/>
      <c r="Q52" s="247"/>
      <c r="R52" s="247"/>
      <c r="S52" s="247"/>
      <c r="T52" s="247"/>
      <c r="U52" s="291"/>
      <c r="V52" s="247"/>
      <c r="W52" s="247"/>
      <c r="X52" s="247"/>
      <c r="Y52" s="247"/>
      <c r="Z52" s="247"/>
      <c r="AA52" s="247"/>
      <c r="AB52" s="254"/>
      <c r="AC52" s="247"/>
      <c r="AD52" s="247"/>
      <c r="AE52" s="247"/>
      <c r="AF52" s="271"/>
      <c r="AG52" s="272"/>
      <c r="AH52" s="247"/>
      <c r="AI52" s="247"/>
      <c r="AJ52" s="126"/>
      <c r="AK52" s="247"/>
      <c r="AL52" s="247"/>
      <c r="AM52" s="270"/>
      <c r="AN52" s="254"/>
      <c r="AO52" s="254"/>
      <c r="AP52" s="275"/>
      <c r="AQ52" s="276"/>
      <c r="AR52" s="276"/>
      <c r="AS52" s="258"/>
      <c r="AT52" s="258"/>
      <c r="AU52" s="257"/>
      <c r="AV52" s="259"/>
      <c r="AW52" s="275"/>
      <c r="AX52" s="275"/>
      <c r="AY52" s="275"/>
      <c r="AZ52" s="275"/>
      <c r="BA52" s="275"/>
      <c r="BB52" s="275"/>
    </row>
    <row r="53" customFormat="false" ht="12.95" hidden="false" customHeight="true" outlineLevel="0" collapsed="false">
      <c r="A53" s="194" t="s">
        <v>112</v>
      </c>
      <c r="B53" s="224"/>
      <c r="C53" s="113"/>
      <c r="D53" s="113"/>
      <c r="E53" s="113"/>
      <c r="F53" s="225" t="n">
        <f aca="false">F13+F47</f>
        <v>5423.74590370557</v>
      </c>
      <c r="G53" s="113" t="n">
        <f aca="false">G13+G47</f>
        <v>6891</v>
      </c>
      <c r="H53" s="226" t="n">
        <f aca="false">H13+H47</f>
        <v>9.194</v>
      </c>
      <c r="I53" s="113" t="n">
        <f aca="false">I13+I47</f>
        <v>6899.574</v>
      </c>
      <c r="J53" s="113" t="n">
        <f aca="false">J13+J47</f>
        <v>1253.45365439879</v>
      </c>
      <c r="K53" s="113" t="n">
        <f aca="false">K13+K47</f>
        <v>8153.02765439879</v>
      </c>
      <c r="L53" s="113" t="n">
        <f aca="false">L13+L47</f>
        <v>460.231903705571</v>
      </c>
      <c r="M53" s="227" t="n">
        <f aca="false">M13+M47</f>
        <v>284.96</v>
      </c>
      <c r="N53" s="113" t="n">
        <f aca="false">N13+N47</f>
        <v>0</v>
      </c>
      <c r="O53" s="113" t="n">
        <v>0</v>
      </c>
      <c r="P53" s="171"/>
      <c r="Q53" s="113" t="n">
        <f aca="false">Q13+Q47</f>
        <v>148.351454733854</v>
      </c>
      <c r="R53" s="113" t="n">
        <f aca="false">R13+R47</f>
        <v>147.861309807883</v>
      </c>
      <c r="S53" s="113" t="n">
        <f aca="false">S13+S47</f>
        <v>0</v>
      </c>
      <c r="T53" s="113" t="n">
        <f aca="false">T13+T47</f>
        <v>42.70422</v>
      </c>
      <c r="U53" s="290" t="n">
        <f aca="false">U13+U47</f>
        <v>-53.9569845417365</v>
      </c>
      <c r="V53" s="113" t="n">
        <f aca="false">V13+V47</f>
        <v>0</v>
      </c>
      <c r="W53" s="113" t="n">
        <f aca="false">W13+W47</f>
        <v>0</v>
      </c>
      <c r="X53" s="113" t="n">
        <f aca="false">X13+X47</f>
        <v>-15.0402</v>
      </c>
      <c r="Y53" s="113" t="n">
        <f aca="false">Y13+Y47</f>
        <v>-15.0402</v>
      </c>
      <c r="Z53" s="113"/>
      <c r="AA53" s="113"/>
      <c r="AB53" s="143"/>
      <c r="AC53" s="142" t="n">
        <f aca="false">AC13+AC47</f>
        <v>1714.14</v>
      </c>
      <c r="AD53" s="113"/>
      <c r="AE53" s="113"/>
      <c r="AF53" s="227"/>
      <c r="AG53" s="229"/>
      <c r="AH53" s="113" t="n">
        <f aca="false">AH13+AH47</f>
        <v>1651.1</v>
      </c>
      <c r="AI53" s="113" t="n">
        <f aca="false">AI45</f>
        <v>1348.73684762419</v>
      </c>
      <c r="AJ53" s="84" t="n">
        <f aca="false">AJ14+AJ47</f>
        <v>0</v>
      </c>
      <c r="AK53" s="113" t="n">
        <f aca="false">AK13+AK47</f>
        <v>1936.06</v>
      </c>
      <c r="AL53" s="113" t="n">
        <f aca="false">AL13+AL47</f>
        <v>793.221750693219</v>
      </c>
      <c r="AM53" s="225" t="n">
        <f aca="false">AM13+AM47</f>
        <v>2729.28175069322</v>
      </c>
      <c r="AN53" s="143" t="n">
        <f aca="false">AN13+AN47</f>
        <v>0</v>
      </c>
      <c r="AO53" s="143" t="n">
        <f aca="false">AO13+AO47</f>
        <v>0</v>
      </c>
      <c r="AP53" s="232"/>
      <c r="AV53" s="233" t="n">
        <f aca="false">AV13+AV47</f>
        <v>2.27</v>
      </c>
      <c r="AW53" s="226"/>
      <c r="AX53" s="226"/>
      <c r="AY53" s="234"/>
      <c r="AZ53" s="269" t="n">
        <f aca="false">AZ13+AZ47</f>
        <v>284.96</v>
      </c>
      <c r="BA53" s="244" t="n">
        <f aca="false">BA47+BA13</f>
        <v>0</v>
      </c>
      <c r="BB53" s="265"/>
    </row>
    <row r="54" customFormat="false" ht="12.95" hidden="false" customHeight="true" outlineLevel="0" collapsed="false">
      <c r="A54" s="194" t="s">
        <v>113</v>
      </c>
      <c r="B54" s="224"/>
      <c r="C54" s="113"/>
      <c r="D54" s="113" t="n">
        <f aca="false">D13+D48</f>
        <v>10758</v>
      </c>
      <c r="E54" s="113" t="n">
        <f aca="false">E45</f>
        <v>32480</v>
      </c>
      <c r="F54" s="225" t="n">
        <f aca="false">F53*$D$2</f>
        <v>10758</v>
      </c>
      <c r="G54" s="113" t="n">
        <f aca="false">G53*$D$2</f>
        <v>13668.2985</v>
      </c>
      <c r="H54" s="226" t="n">
        <f aca="false">H53*$D$2</f>
        <v>18.236299</v>
      </c>
      <c r="I54" s="113" t="n">
        <f aca="false">I53*$D$2</f>
        <v>13685.305029</v>
      </c>
      <c r="J54" s="113" t="n">
        <f aca="false">J53*$D$2</f>
        <v>2486.2253235</v>
      </c>
      <c r="K54" s="113" t="n">
        <f aca="false">K53*$D$2</f>
        <v>16171.5303525</v>
      </c>
      <c r="L54" s="113" t="n">
        <f aca="false">L53*$D$2</f>
        <v>912.869981</v>
      </c>
      <c r="M54" s="227" t="n">
        <f aca="false">M53*$D$2</f>
        <v>565.21816</v>
      </c>
      <c r="N54" s="113" t="n">
        <f aca="false">N53*$D$2</f>
        <v>0</v>
      </c>
      <c r="O54" s="113" t="n">
        <f aca="false">O53*$D$2</f>
        <v>0</v>
      </c>
      <c r="P54" s="171"/>
      <c r="Q54" s="113" t="n">
        <f aca="false">Q53*$D$2</f>
        <v>294.255110464599</v>
      </c>
      <c r="R54" s="113" t="n">
        <f aca="false">R53*$D$2</f>
        <v>293.282908003935</v>
      </c>
      <c r="S54" s="239" t="n">
        <f aca="false">S53*$D$2</f>
        <v>0</v>
      </c>
      <c r="T54" s="239" t="n">
        <f aca="false">T53*$D$2</f>
        <v>84.70382037</v>
      </c>
      <c r="U54" s="292" t="n">
        <f aca="false">U53*$D$2</f>
        <v>-107.023678838534</v>
      </c>
      <c r="V54" s="113" t="n">
        <f aca="false">V53*$D$2</f>
        <v>0</v>
      </c>
      <c r="W54" s="113" t="n">
        <f aca="false">W53*$D$2</f>
        <v>0</v>
      </c>
      <c r="X54" s="113" t="n">
        <f aca="false">X53*$D$2</f>
        <v>-29.8322367</v>
      </c>
      <c r="Y54" s="113" t="n">
        <f aca="false">Y53*$D$2</f>
        <v>-29.8322367</v>
      </c>
      <c r="Z54" s="113"/>
      <c r="AA54" s="113"/>
      <c r="AB54" s="143"/>
      <c r="AC54" s="113" t="n">
        <f aca="false">AC53*$D$2</f>
        <v>3399.99669</v>
      </c>
      <c r="AD54" s="113"/>
      <c r="AE54" s="113"/>
      <c r="AF54" s="277"/>
      <c r="AG54" s="278"/>
      <c r="AH54" s="113" t="n">
        <f aca="false">AH53*$D$2</f>
        <v>3274.95685</v>
      </c>
      <c r="AI54" s="113" t="n">
        <f aca="false">AI53*$D$2</f>
        <v>2675.21953726258</v>
      </c>
      <c r="AJ54" s="84" t="n">
        <f aca="false">AJ53*$D$2</f>
        <v>0</v>
      </c>
      <c r="AK54" s="113" t="n">
        <f aca="false">AK53*$D$2</f>
        <v>3840.17501</v>
      </c>
      <c r="AL54" s="113" t="n">
        <f aca="false">AL53*$D$2</f>
        <v>1573.3553425</v>
      </c>
      <c r="AM54" s="279" t="n">
        <f aca="false">AM53*$D$2</f>
        <v>5413.5303525</v>
      </c>
      <c r="AN54" s="143" t="n">
        <f aca="false">AN53*$D$2</f>
        <v>0</v>
      </c>
      <c r="AO54" s="143" t="n">
        <f aca="false">AO53*$D$2</f>
        <v>0</v>
      </c>
      <c r="AP54" s="232"/>
      <c r="AV54" s="233"/>
      <c r="AW54" s="226"/>
      <c r="AX54" s="226"/>
      <c r="AY54" s="234"/>
      <c r="AZ54" s="242" t="n">
        <f aca="false">AZ53*$D$2</f>
        <v>565.21816</v>
      </c>
      <c r="BA54" s="193" t="n">
        <f aca="false">BA53*D2</f>
        <v>0</v>
      </c>
      <c r="BB54" s="265"/>
    </row>
    <row r="55" customFormat="false" ht="3" hidden="false" customHeight="true" outlineLevel="0" collapsed="false">
      <c r="A55" s="245"/>
      <c r="B55" s="267"/>
      <c r="C55" s="247"/>
      <c r="D55" s="248"/>
      <c r="E55" s="247"/>
      <c r="F55" s="249"/>
      <c r="G55" s="248"/>
      <c r="H55" s="250"/>
      <c r="I55" s="248"/>
      <c r="J55" s="248"/>
      <c r="K55" s="248"/>
      <c r="L55" s="248"/>
      <c r="M55" s="251"/>
      <c r="N55" s="248"/>
      <c r="O55" s="248"/>
      <c r="P55" s="252"/>
      <c r="Q55" s="248"/>
      <c r="R55" s="248"/>
      <c r="S55" s="248"/>
      <c r="T55" s="248"/>
      <c r="U55" s="253"/>
      <c r="V55" s="248"/>
      <c r="W55" s="248"/>
      <c r="X55" s="248"/>
      <c r="Y55" s="248"/>
      <c r="Z55" s="248"/>
      <c r="AA55" s="248"/>
      <c r="AB55" s="254"/>
      <c r="AC55" s="254"/>
      <c r="AD55" s="247"/>
      <c r="AE55" s="248"/>
      <c r="AF55" s="251"/>
      <c r="AG55" s="255"/>
      <c r="AH55" s="248"/>
      <c r="AI55" s="247"/>
      <c r="AJ55" s="247"/>
      <c r="AK55" s="248"/>
      <c r="AL55" s="248"/>
      <c r="AM55" s="248"/>
      <c r="AN55" s="267"/>
      <c r="AO55" s="254"/>
      <c r="AP55" s="248"/>
      <c r="AQ55" s="280"/>
      <c r="AR55" s="280"/>
      <c r="AS55" s="258"/>
      <c r="AT55" s="258"/>
      <c r="AU55" s="257"/>
      <c r="AV55" s="267"/>
      <c r="AW55" s="248"/>
      <c r="AX55" s="248"/>
      <c r="AY55" s="248"/>
      <c r="AZ55" s="248"/>
      <c r="BA55" s="248"/>
      <c r="BB55" s="248"/>
    </row>
    <row r="56" customFormat="false" ht="11.1" hidden="false" customHeight="true" outlineLevel="0" collapsed="false">
      <c r="A56" s="194"/>
      <c r="B56" s="281"/>
      <c r="D56" s="194"/>
      <c r="F56" s="194"/>
      <c r="G56" s="194"/>
      <c r="I56" s="194"/>
      <c r="J56" s="194"/>
      <c r="K56" s="194"/>
      <c r="L56" s="194"/>
      <c r="M56" s="194"/>
      <c r="N56" s="194"/>
      <c r="O56" s="194"/>
      <c r="Q56" s="194"/>
      <c r="R56" s="194"/>
      <c r="S56" s="194"/>
      <c r="T56" s="194"/>
      <c r="V56" s="194"/>
      <c r="W56" s="194"/>
      <c r="X56" s="194"/>
      <c r="Y56" s="194"/>
      <c r="Z56" s="194"/>
      <c r="AA56" s="194"/>
      <c r="AD56" s="161"/>
      <c r="AE56" s="194"/>
      <c r="AF56" s="194"/>
      <c r="AG56" s="194"/>
      <c r="AH56" s="194"/>
      <c r="AI56" s="161"/>
      <c r="AJ56" s="238"/>
      <c r="AK56" s="194"/>
      <c r="AL56" s="194"/>
      <c r="AM56" s="194"/>
      <c r="AN56" s="192"/>
      <c r="AO56" s="201"/>
      <c r="AX56" s="191"/>
      <c r="AY56" s="191"/>
    </row>
    <row r="57" customFormat="false" ht="11.1" hidden="false" customHeight="true" outlineLevel="0" collapsed="false">
      <c r="A57" s="194"/>
      <c r="B57" s="282"/>
      <c r="F57" s="194"/>
      <c r="G57" s="194"/>
      <c r="I57" s="195"/>
      <c r="J57" s="194"/>
      <c r="K57" s="186"/>
      <c r="L57" s="194"/>
      <c r="M57" s="194"/>
      <c r="N57" s="194"/>
      <c r="O57" s="194"/>
      <c r="Q57" s="194"/>
      <c r="R57" s="194"/>
      <c r="S57" s="194"/>
      <c r="T57" s="194"/>
      <c r="V57" s="194"/>
      <c r="W57" s="194"/>
      <c r="X57" s="194"/>
      <c r="Y57" s="194"/>
      <c r="Z57" s="194"/>
      <c r="AA57" s="194"/>
      <c r="AD57" s="161"/>
      <c r="AE57" s="194"/>
      <c r="AF57" s="194"/>
      <c r="AG57" s="194"/>
      <c r="AH57" s="194"/>
      <c r="AI57" s="161"/>
      <c r="AJ57" s="238"/>
      <c r="AK57" s="194"/>
      <c r="AL57" s="194"/>
      <c r="AM57" s="194"/>
      <c r="AN57" s="192"/>
      <c r="AO57" s="201"/>
      <c r="AX57" s="191"/>
      <c r="AY57" s="191"/>
    </row>
    <row r="58" customFormat="false" ht="11.1" hidden="false" customHeight="true" outlineLevel="0" collapsed="false">
      <c r="D58" s="161"/>
      <c r="Q58" s="110"/>
      <c r="R58" s="110"/>
      <c r="S58" s="110"/>
      <c r="T58" s="110"/>
      <c r="X58" s="56"/>
      <c r="Y58" s="56"/>
      <c r="Z58" s="56"/>
      <c r="AA58" s="56"/>
      <c r="AD58" s="161"/>
      <c r="AH58" s="56"/>
      <c r="AI58" s="161"/>
      <c r="AJ58" s="238"/>
      <c r="AM58" s="56"/>
      <c r="AN58" s="192"/>
      <c r="AO58" s="201"/>
      <c r="AX58" s="191"/>
      <c r="AY58" s="191"/>
    </row>
    <row r="59" customFormat="false" ht="11.1" hidden="false" customHeight="true" outlineLevel="0" collapsed="false">
      <c r="B59" s="8"/>
      <c r="D59" s="161"/>
    </row>
    <row r="60" customFormat="false" ht="11.1" hidden="false" customHeight="true" outlineLevel="0" collapsed="false">
      <c r="G60" s="283"/>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293" width="5.66"/>
    <col collapsed="false" customWidth="true" hidden="false" outlineLevel="0" max="11" min="9" style="56" width="6.32"/>
    <col collapsed="false" customWidth="true" hidden="false" outlineLevel="0" max="12" min="12" style="56" width="6.82"/>
    <col collapsed="false" customWidth="true" hidden="false" outlineLevel="0" max="13" min="13" style="110" width="5.49"/>
    <col collapsed="false" customWidth="true" hidden="false" outlineLevel="0" max="14" min="14" style="110" width="4.49"/>
    <col collapsed="false" customWidth="true" hidden="false" outlineLevel="0" max="15" min="15" style="110" width="5.49"/>
    <col collapsed="false" customWidth="true" hidden="false" outlineLevel="0" max="16" min="16" style="8" width="4.82"/>
    <col collapsed="false" customWidth="true" hidden="false" outlineLevel="0" max="18" min="17" style="110" width="4.32"/>
    <col collapsed="false" customWidth="true" hidden="false" outlineLevel="0" max="20" min="19" style="8" width="4.32"/>
    <col collapsed="false" customWidth="true" hidden="false" outlineLevel="0" max="21" min="21" style="8" width="5.16"/>
    <col collapsed="false" customWidth="true" hidden="false" outlineLevel="0" max="23" min="22" style="56" width="5.49"/>
    <col collapsed="false" customWidth="true" hidden="false" outlineLevel="0" max="27" min="24" style="161" width="6.32"/>
    <col collapsed="false" customWidth="true" hidden="false" outlineLevel="0" max="28" min="28" style="56" width="5.49"/>
    <col collapsed="false" customWidth="true" hidden="false" outlineLevel="0" max="29" min="29" style="110" width="5.99"/>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191" width="5.49"/>
    <col collapsed="false" customWidth="true" hidden="false" outlineLevel="0" max="41" min="41" style="191" width="5.32"/>
    <col collapsed="false" customWidth="true" hidden="false" outlineLevel="0" max="42" min="42" style="56" width="6.32"/>
    <col collapsed="false" customWidth="true" hidden="false" outlineLevel="0" max="43" min="43" style="294" width="6.32"/>
    <col collapsed="false" customWidth="true" hidden="false" outlineLevel="0" max="44" min="44" style="294" width="5.49"/>
    <col collapsed="false" customWidth="true" hidden="false" outlineLevel="0" max="45" min="45" style="219" width="5.32"/>
    <col collapsed="false" customWidth="true" hidden="false" outlineLevel="0" max="46" min="46" style="189" width="5.82"/>
    <col collapsed="false" customWidth="true" hidden="false" outlineLevel="0" max="47" min="47" style="56" width="4.99"/>
    <col collapsed="false" customWidth="true" hidden="false" outlineLevel="0" max="48" min="48" style="188" width="5.32"/>
    <col collapsed="false" customWidth="true" hidden="false" outlineLevel="0" max="49" min="49" style="191" width="3.82"/>
    <col collapsed="false" customWidth="true" hidden="false" outlineLevel="0" max="50" min="50" style="192" width="3.82"/>
    <col collapsed="false" customWidth="true" hidden="false" outlineLevel="0" max="51" min="51" style="193" width="3.82"/>
    <col collapsed="false" customWidth="true" hidden="false" outlineLevel="0" max="52" min="52" style="295" width="5.49"/>
    <col collapsed="false" customWidth="false" hidden="false" outlineLevel="0" max="257" min="53" style="193" width="9.32"/>
  </cols>
  <sheetData>
    <row r="1" customFormat="false" ht="14.1" hidden="false" customHeight="true" outlineLevel="0" collapsed="false">
      <c r="A1" s="194" t="s">
        <v>118</v>
      </c>
      <c r="B1" s="194"/>
      <c r="D1" s="194"/>
      <c r="F1" s="194"/>
      <c r="G1" s="194"/>
      <c r="I1" s="194"/>
      <c r="J1" s="194"/>
      <c r="K1" s="196" t="s">
        <v>0</v>
      </c>
      <c r="L1" s="194"/>
      <c r="M1" s="194"/>
      <c r="N1" s="194"/>
      <c r="O1" s="194"/>
      <c r="Q1" s="194"/>
      <c r="R1" s="194"/>
      <c r="V1" s="194"/>
      <c r="W1" s="194"/>
      <c r="AB1" s="194"/>
      <c r="AD1" s="194"/>
      <c r="AE1" s="194"/>
      <c r="AF1" s="194"/>
      <c r="AG1" s="194"/>
      <c r="AI1" s="194"/>
      <c r="AJ1" s="197"/>
      <c r="AK1" s="194"/>
      <c r="AL1" s="194"/>
      <c r="AN1" s="296"/>
      <c r="AO1" s="296"/>
      <c r="AP1" s="197"/>
      <c r="AZ1" s="297"/>
    </row>
    <row r="2" customFormat="false" ht="14.1" hidden="false" customHeight="true" outlineLevel="0" collapsed="false">
      <c r="A2" s="197" t="s">
        <v>1</v>
      </c>
      <c r="B2" s="194"/>
      <c r="D2" s="198" t="n">
        <v>1.9835</v>
      </c>
      <c r="F2" s="194"/>
      <c r="G2" s="194"/>
      <c r="I2" s="194"/>
      <c r="J2" s="194"/>
      <c r="K2" s="298" t="s">
        <v>120</v>
      </c>
      <c r="L2" s="299"/>
      <c r="M2" s="200"/>
      <c r="N2" s="200"/>
      <c r="O2" s="200"/>
      <c r="P2" s="300"/>
      <c r="Q2" s="200"/>
      <c r="R2" s="200"/>
      <c r="S2" s="300"/>
      <c r="T2" s="300"/>
      <c r="U2" s="300"/>
      <c r="V2" s="200"/>
      <c r="W2" s="200"/>
      <c r="X2" s="89"/>
      <c r="Y2" s="89"/>
      <c r="Z2" s="89"/>
      <c r="AA2" s="89"/>
      <c r="AB2" s="200"/>
      <c r="AC2" s="201"/>
      <c r="AD2" s="200"/>
      <c r="AE2" s="194"/>
      <c r="AF2" s="194"/>
      <c r="AG2" s="194"/>
      <c r="AI2" s="194"/>
      <c r="AJ2" s="197"/>
      <c r="AK2" s="194"/>
      <c r="AL2" s="194"/>
      <c r="AN2" s="296"/>
      <c r="AO2" s="296"/>
      <c r="AP2" s="197"/>
    </row>
    <row r="3" customFormat="false" ht="14.1" hidden="false" customHeight="true" outlineLevel="0" collapsed="false">
      <c r="A3" s="202"/>
      <c r="B3" s="202"/>
      <c r="C3" s="203"/>
      <c r="D3" s="204"/>
      <c r="E3" s="203"/>
      <c r="F3" s="202"/>
      <c r="G3" s="202"/>
      <c r="H3" s="301"/>
      <c r="I3" s="202"/>
      <c r="J3" s="202"/>
      <c r="K3" s="202"/>
      <c r="L3" s="202"/>
      <c r="M3" s="202"/>
      <c r="N3" s="202"/>
      <c r="O3" s="202"/>
      <c r="P3" s="206"/>
      <c r="Q3" s="202"/>
      <c r="R3" s="202"/>
      <c r="S3" s="206"/>
      <c r="T3" s="206"/>
      <c r="U3" s="206"/>
      <c r="V3" s="202"/>
      <c r="W3" s="202"/>
      <c r="X3" s="203"/>
      <c r="Y3" s="203"/>
      <c r="Z3" s="203"/>
      <c r="AA3" s="203"/>
      <c r="AB3" s="202"/>
      <c r="AC3" s="207"/>
      <c r="AD3" s="202"/>
      <c r="AE3" s="202"/>
      <c r="AF3" s="202"/>
      <c r="AG3" s="202"/>
      <c r="AH3" s="203"/>
      <c r="AI3" s="202"/>
      <c r="AJ3" s="208"/>
      <c r="AK3" s="202"/>
      <c r="AL3" s="202"/>
      <c r="AM3" s="206"/>
      <c r="AN3" s="302"/>
      <c r="AO3" s="302"/>
      <c r="AP3" s="208"/>
      <c r="AQ3" s="303"/>
      <c r="AV3" s="211"/>
      <c r="AW3" s="212"/>
      <c r="AX3" s="213"/>
      <c r="BA3" s="214"/>
      <c r="BB3" s="214"/>
    </row>
    <row r="4" s="1" customFormat="true" ht="14.1" hidden="false" customHeight="true" outlineLevel="0" collapsed="false">
      <c r="A4" s="32"/>
      <c r="B4" s="33"/>
      <c r="C4" s="34"/>
      <c r="D4" s="35" t="s">
        <v>3</v>
      </c>
      <c r="E4" s="34"/>
      <c r="F4" s="32"/>
      <c r="G4" s="36"/>
      <c r="H4" s="36"/>
      <c r="I4" s="37" t="s">
        <v>115</v>
      </c>
      <c r="J4" s="36"/>
      <c r="K4" s="36"/>
      <c r="L4" s="38"/>
      <c r="M4" s="36"/>
      <c r="N4" s="36"/>
      <c r="O4" s="36"/>
      <c r="P4" s="39"/>
      <c r="Q4" s="36"/>
      <c r="R4" s="36"/>
      <c r="S4" s="36"/>
      <c r="T4" s="36"/>
      <c r="U4" s="39"/>
      <c r="V4" s="36"/>
      <c r="W4" s="36"/>
      <c r="X4" s="40" t="s">
        <v>121</v>
      </c>
      <c r="Y4" s="40"/>
      <c r="Z4" s="40"/>
      <c r="AA4" s="40"/>
      <c r="AB4" s="41"/>
      <c r="AC4" s="42"/>
      <c r="AD4" s="42"/>
      <c r="AE4" s="36"/>
      <c r="AF4" s="36"/>
      <c r="AG4" s="36"/>
      <c r="AH4" s="34"/>
      <c r="AI4" s="36"/>
      <c r="AJ4" s="43"/>
      <c r="AK4" s="36"/>
      <c r="AL4" s="36"/>
      <c r="AM4" s="39"/>
      <c r="AN4" s="44"/>
      <c r="AO4" s="45"/>
      <c r="AP4" s="46" t="s">
        <v>6</v>
      </c>
      <c r="AQ4" s="47"/>
      <c r="AR4" s="48"/>
      <c r="AS4" s="49"/>
      <c r="AT4" s="50"/>
      <c r="AU4" s="50"/>
      <c r="AV4" s="52"/>
      <c r="AW4" s="53" t="s">
        <v>7</v>
      </c>
      <c r="AX4" s="54"/>
      <c r="AY4" s="304"/>
      <c r="AZ4" s="55"/>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1" t="s">
        <v>16</v>
      </c>
      <c r="M5" s="218" t="s">
        <v>18</v>
      </c>
      <c r="N5" s="218"/>
      <c r="O5" s="218"/>
      <c r="P5" s="218"/>
      <c r="Q5" s="218"/>
      <c r="R5" s="218"/>
      <c r="S5" s="218"/>
      <c r="T5" s="218"/>
      <c r="U5" s="218"/>
      <c r="V5" s="58" t="s">
        <v>19</v>
      </c>
      <c r="W5" s="58" t="s">
        <v>20</v>
      </c>
      <c r="X5" s="58" t="s">
        <v>17</v>
      </c>
      <c r="Y5" s="58" t="s">
        <v>17</v>
      </c>
      <c r="Z5" s="64" t="s">
        <v>21</v>
      </c>
      <c r="AA5" s="58" t="s">
        <v>21</v>
      </c>
      <c r="AB5" s="64" t="s">
        <v>21</v>
      </c>
      <c r="AC5" s="65"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219" t="s">
        <v>33</v>
      </c>
      <c r="AV5" s="73" t="s">
        <v>34</v>
      </c>
      <c r="AW5" s="74" t="s">
        <v>35</v>
      </c>
      <c r="AX5" s="74" t="s">
        <v>36</v>
      </c>
      <c r="AY5" s="148"/>
      <c r="AZ5" s="305" t="s">
        <v>17</v>
      </c>
      <c r="BA5" s="222" t="s">
        <v>37</v>
      </c>
      <c r="BB5" s="223"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7" t="s">
        <v>122</v>
      </c>
      <c r="B6" s="59" t="s">
        <v>39</v>
      </c>
      <c r="C6" s="60"/>
      <c r="D6" s="61" t="s">
        <v>40</v>
      </c>
      <c r="E6" s="60" t="s">
        <v>41</v>
      </c>
      <c r="F6" s="62" t="s">
        <v>42</v>
      </c>
      <c r="G6" s="58" t="s">
        <v>43</v>
      </c>
      <c r="H6" s="58" t="s">
        <v>44</v>
      </c>
      <c r="I6" s="58" t="s">
        <v>45</v>
      </c>
      <c r="J6" s="58" t="s">
        <v>45</v>
      </c>
      <c r="K6" s="58" t="s">
        <v>45</v>
      </c>
      <c r="L6" s="81" t="s">
        <v>46</v>
      </c>
      <c r="M6" s="61" t="s">
        <v>47</v>
      </c>
      <c r="N6" s="61" t="s">
        <v>48</v>
      </c>
      <c r="O6" s="61" t="s">
        <v>49</v>
      </c>
      <c r="P6" s="79" t="s">
        <v>50</v>
      </c>
      <c r="Q6" s="61" t="s">
        <v>51</v>
      </c>
      <c r="R6" s="61" t="s">
        <v>52</v>
      </c>
      <c r="S6" s="61"/>
      <c r="T6" s="61" t="s">
        <v>49</v>
      </c>
      <c r="U6" s="80" t="s">
        <v>53</v>
      </c>
      <c r="V6" s="58" t="s">
        <v>54</v>
      </c>
      <c r="W6" s="58" t="s">
        <v>55</v>
      </c>
      <c r="X6" s="58" t="s">
        <v>21</v>
      </c>
      <c r="Y6" s="58" t="s">
        <v>21</v>
      </c>
      <c r="Z6" s="64" t="s">
        <v>56</v>
      </c>
      <c r="AA6" s="58" t="s">
        <v>56</v>
      </c>
      <c r="AB6" s="64" t="s">
        <v>57</v>
      </c>
      <c r="AC6" s="65" t="s">
        <v>58</v>
      </c>
      <c r="AD6" s="65" t="s">
        <v>59</v>
      </c>
      <c r="AE6" s="58" t="s">
        <v>60</v>
      </c>
      <c r="AF6" s="78" t="s">
        <v>61</v>
      </c>
      <c r="AG6" s="81"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219" t="s">
        <v>72</v>
      </c>
      <c r="AV6" s="82"/>
      <c r="AW6" s="74" t="s">
        <v>73</v>
      </c>
      <c r="AX6" s="74" t="s">
        <v>73</v>
      </c>
      <c r="AY6" s="148"/>
      <c r="AZ6" s="305" t="s">
        <v>74</v>
      </c>
      <c r="BA6" s="222" t="s">
        <v>75</v>
      </c>
      <c r="BB6" s="223"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1"/>
      <c r="M7" s="61"/>
      <c r="N7" s="61" t="s">
        <v>77</v>
      </c>
      <c r="O7" s="61" t="s">
        <v>78</v>
      </c>
      <c r="P7" s="79"/>
      <c r="Q7" s="61" t="s">
        <v>79</v>
      </c>
      <c r="R7" s="61" t="s">
        <v>79</v>
      </c>
      <c r="S7" s="61" t="s">
        <v>62</v>
      </c>
      <c r="T7" s="61" t="s">
        <v>62</v>
      </c>
      <c r="U7" s="80" t="s">
        <v>80</v>
      </c>
      <c r="V7" s="58"/>
      <c r="W7" s="58"/>
      <c r="X7" s="68" t="s">
        <v>81</v>
      </c>
      <c r="Y7" s="60" t="s">
        <v>82</v>
      </c>
      <c r="Z7" s="64" t="s">
        <v>83</v>
      </c>
      <c r="AA7" s="58" t="s">
        <v>84</v>
      </c>
      <c r="AB7" s="64" t="s">
        <v>85</v>
      </c>
      <c r="AC7" s="65"/>
      <c r="AD7" s="65"/>
      <c r="AE7" s="81"/>
      <c r="AF7" s="83" t="n">
        <v>1.7</v>
      </c>
      <c r="AG7" s="83" t="n">
        <v>1.3</v>
      </c>
      <c r="AH7" s="78"/>
      <c r="AI7" s="84" t="n">
        <v>12682.1753872626</v>
      </c>
      <c r="AJ7" s="68"/>
      <c r="AK7" s="58"/>
      <c r="AL7" s="58"/>
      <c r="AM7" s="61"/>
      <c r="AN7" s="69"/>
      <c r="AO7" s="65"/>
      <c r="AP7" s="64" t="s">
        <v>86</v>
      </c>
      <c r="AQ7" s="70" t="s">
        <v>87</v>
      </c>
      <c r="AR7" s="65" t="s">
        <v>88</v>
      </c>
      <c r="AS7" s="71" t="s">
        <v>89</v>
      </c>
      <c r="AT7" s="71" t="s">
        <v>90</v>
      </c>
      <c r="AU7" s="219" t="s">
        <v>91</v>
      </c>
      <c r="AV7" s="82"/>
      <c r="AW7" s="74"/>
      <c r="AX7" s="74"/>
      <c r="AY7" s="148"/>
      <c r="AZ7" s="305" t="s">
        <v>92</v>
      </c>
      <c r="BA7" s="222"/>
      <c r="BB7" s="223"/>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1"/>
      <c r="M8" s="61"/>
      <c r="N8" s="61"/>
      <c r="O8" s="61"/>
      <c r="P8" s="79"/>
      <c r="Q8" s="61" t="s">
        <v>62</v>
      </c>
      <c r="R8" s="61" t="s">
        <v>62</v>
      </c>
      <c r="S8" s="61"/>
      <c r="T8" s="61"/>
      <c r="U8" s="80"/>
      <c r="V8" s="58"/>
      <c r="W8" s="58"/>
      <c r="X8" s="68" t="s">
        <v>93</v>
      </c>
      <c r="Y8" s="60" t="s">
        <v>81</v>
      </c>
      <c r="Z8" s="64"/>
      <c r="AA8" s="60" t="s">
        <v>94</v>
      </c>
      <c r="AB8" s="64" t="s">
        <v>95</v>
      </c>
      <c r="AC8" s="65"/>
      <c r="AD8" s="65"/>
      <c r="AE8" s="81"/>
      <c r="AF8" s="83"/>
      <c r="AG8" s="83"/>
      <c r="AH8" s="78"/>
      <c r="AI8" s="84"/>
      <c r="AJ8" s="68"/>
      <c r="AK8" s="58"/>
      <c r="AL8" s="58"/>
      <c r="AM8" s="61"/>
      <c r="AN8" s="69"/>
      <c r="AO8" s="65"/>
      <c r="AP8" s="64"/>
      <c r="AQ8" s="70"/>
      <c r="AR8" s="65"/>
      <c r="AS8" s="71"/>
      <c r="AT8" s="71"/>
      <c r="AU8" s="219"/>
      <c r="AV8" s="82"/>
      <c r="AW8" s="74"/>
      <c r="AX8" s="74"/>
      <c r="AY8" s="148"/>
      <c r="AZ8" s="305"/>
      <c r="BA8" s="222"/>
      <c r="BB8" s="223"/>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1"/>
      <c r="M9" s="61"/>
      <c r="N9" s="61"/>
      <c r="O9" s="61"/>
      <c r="P9" s="79"/>
      <c r="Q9" s="61"/>
      <c r="R9" s="86" t="n">
        <v>4.2</v>
      </c>
      <c r="S9" s="61"/>
      <c r="T9" s="61"/>
      <c r="U9" s="80"/>
      <c r="V9" s="58"/>
      <c r="W9" s="58"/>
      <c r="X9" s="68"/>
      <c r="Y9" s="60" t="s">
        <v>93</v>
      </c>
      <c r="Z9" s="64"/>
      <c r="AA9" s="60" t="s">
        <v>93</v>
      </c>
      <c r="AB9" s="64" t="s">
        <v>96</v>
      </c>
      <c r="AC9" s="65"/>
      <c r="AD9" s="65"/>
      <c r="AE9" s="81"/>
      <c r="AF9" s="83"/>
      <c r="AG9" s="83"/>
      <c r="AH9" s="78"/>
      <c r="AI9" s="84"/>
      <c r="AJ9" s="68"/>
      <c r="AK9" s="58"/>
      <c r="AL9" s="58"/>
      <c r="AM9" s="61"/>
      <c r="AN9" s="69"/>
      <c r="AO9" s="65"/>
      <c r="AP9" s="64"/>
      <c r="AQ9" s="70"/>
      <c r="AR9" s="65"/>
      <c r="AS9" s="71"/>
      <c r="AT9" s="71"/>
      <c r="AU9" s="219"/>
      <c r="AV9" s="82"/>
      <c r="AW9" s="74"/>
      <c r="AX9" s="74"/>
      <c r="AY9" s="148"/>
      <c r="AZ9" s="305"/>
      <c r="BA9" s="222"/>
      <c r="BB9" s="223" t="s">
        <v>97</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98</v>
      </c>
      <c r="D10" s="61"/>
      <c r="E10" s="60" t="s">
        <v>99</v>
      </c>
      <c r="F10" s="62"/>
      <c r="G10" s="61" t="s">
        <v>42</v>
      </c>
      <c r="H10" s="61" t="s">
        <v>42</v>
      </c>
      <c r="I10" s="61" t="s">
        <v>42</v>
      </c>
      <c r="J10" s="61" t="s">
        <v>42</v>
      </c>
      <c r="K10" s="61" t="s">
        <v>42</v>
      </c>
      <c r="L10" s="81" t="s">
        <v>42</v>
      </c>
      <c r="M10" s="61" t="s">
        <v>42</v>
      </c>
      <c r="N10" s="61" t="s">
        <v>42</v>
      </c>
      <c r="O10" s="61" t="s">
        <v>42</v>
      </c>
      <c r="P10" s="61" t="s">
        <v>42</v>
      </c>
      <c r="Q10" s="61" t="s">
        <v>42</v>
      </c>
      <c r="R10" s="61" t="s">
        <v>42</v>
      </c>
      <c r="S10" s="61" t="s">
        <v>42</v>
      </c>
      <c r="T10" s="61" t="s">
        <v>42</v>
      </c>
      <c r="U10" s="81" t="s">
        <v>42</v>
      </c>
      <c r="V10" s="61" t="s">
        <v>42</v>
      </c>
      <c r="W10" s="61" t="s">
        <v>42</v>
      </c>
      <c r="X10" s="60" t="n">
        <v>153400</v>
      </c>
      <c r="Y10" s="60" t="n">
        <v>150400</v>
      </c>
      <c r="Z10" s="61"/>
      <c r="AA10" s="60"/>
      <c r="AB10" s="60" t="n">
        <v>72000</v>
      </c>
      <c r="AC10" s="306" t="s">
        <v>42</v>
      </c>
      <c r="AD10" s="61" t="s">
        <v>42</v>
      </c>
      <c r="AE10" s="81" t="s">
        <v>42</v>
      </c>
      <c r="AF10" s="61" t="s">
        <v>42</v>
      </c>
      <c r="AG10" s="61" t="s">
        <v>42</v>
      </c>
      <c r="AH10" s="78" t="s">
        <v>42</v>
      </c>
      <c r="AI10" s="61" t="s">
        <v>42</v>
      </c>
      <c r="AJ10" s="61" t="s">
        <v>42</v>
      </c>
      <c r="AK10" s="61" t="s">
        <v>42</v>
      </c>
      <c r="AL10" s="61" t="s">
        <v>42</v>
      </c>
      <c r="AM10" s="62" t="s">
        <v>42</v>
      </c>
      <c r="AN10" s="65" t="s">
        <v>42</v>
      </c>
      <c r="AO10" s="65" t="s">
        <v>42</v>
      </c>
      <c r="AP10" s="65" t="s">
        <v>42</v>
      </c>
      <c r="AQ10" s="70" t="s">
        <v>100</v>
      </c>
      <c r="AR10" s="65" t="s">
        <v>42</v>
      </c>
      <c r="AS10" s="65" t="s">
        <v>42</v>
      </c>
      <c r="AT10" s="65" t="s">
        <v>42</v>
      </c>
      <c r="AU10" s="65" t="s">
        <v>42</v>
      </c>
      <c r="AV10" s="82"/>
      <c r="AW10" s="74"/>
      <c r="AX10" s="74"/>
      <c r="AY10" s="148"/>
      <c r="AZ10" s="305" t="s">
        <v>101</v>
      </c>
      <c r="BA10" s="222" t="s">
        <v>42</v>
      </c>
      <c r="BB10" s="223" t="s">
        <v>99</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1"/>
      <c r="M11" s="61"/>
      <c r="N11" s="47" t="n">
        <v>1.03</v>
      </c>
      <c r="O11" s="47" t="n">
        <v>1.05</v>
      </c>
      <c r="P11" s="47" t="n">
        <v>1.02</v>
      </c>
      <c r="Q11" s="87" t="n">
        <v>1.02</v>
      </c>
      <c r="R11" s="88" t="n">
        <v>1.04</v>
      </c>
      <c r="S11" s="61"/>
      <c r="T11" s="87" t="n">
        <v>1.04</v>
      </c>
      <c r="U11" s="80"/>
      <c r="V11" s="58"/>
      <c r="W11" s="58"/>
      <c r="X11" s="61" t="s">
        <v>42</v>
      </c>
      <c r="Y11" s="61" t="s">
        <v>42</v>
      </c>
      <c r="Z11" s="61" t="s">
        <v>42</v>
      </c>
      <c r="AA11" s="60" t="s">
        <v>42</v>
      </c>
      <c r="AB11" s="89" t="s">
        <v>102</v>
      </c>
      <c r="AC11" s="65"/>
      <c r="AD11" s="64"/>
      <c r="AE11" s="90"/>
      <c r="AF11" s="83"/>
      <c r="AG11" s="83"/>
      <c r="AH11" s="78"/>
      <c r="AI11" s="84"/>
      <c r="AJ11" s="91"/>
      <c r="AK11" s="58"/>
      <c r="AL11" s="58"/>
      <c r="AM11" s="61"/>
      <c r="AN11" s="69"/>
      <c r="AO11" s="65"/>
      <c r="AP11" s="64"/>
      <c r="AQ11" s="70"/>
      <c r="AR11" s="70"/>
      <c r="AS11" s="92"/>
      <c r="AT11" s="92"/>
      <c r="AU11" s="92"/>
      <c r="AV11" s="82"/>
      <c r="AW11" s="74"/>
      <c r="AX11" s="74"/>
      <c r="AY11" s="148"/>
      <c r="AZ11" s="305" t="s">
        <v>42</v>
      </c>
      <c r="BA11" s="222"/>
      <c r="BB11" s="223"/>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103</v>
      </c>
      <c r="B12" s="224"/>
      <c r="C12" s="113"/>
      <c r="D12" s="113"/>
      <c r="E12" s="113"/>
      <c r="F12" s="225"/>
      <c r="G12" s="113"/>
      <c r="H12" s="307"/>
      <c r="I12" s="113"/>
      <c r="J12" s="113"/>
      <c r="K12" s="113"/>
      <c r="L12" s="113"/>
      <c r="M12" s="227"/>
      <c r="N12" s="113"/>
      <c r="O12" s="113"/>
      <c r="P12" s="171"/>
      <c r="Q12" s="113"/>
      <c r="R12" s="113"/>
      <c r="S12" s="171"/>
      <c r="T12" s="171"/>
      <c r="U12" s="228"/>
      <c r="V12" s="113"/>
      <c r="W12" s="113"/>
      <c r="X12" s="113"/>
      <c r="Y12" s="113"/>
      <c r="Z12" s="113"/>
      <c r="AA12" s="113"/>
      <c r="AB12" s="113"/>
      <c r="AC12" s="143"/>
      <c r="AD12" s="113"/>
      <c r="AE12" s="113"/>
      <c r="AF12" s="227"/>
      <c r="AG12" s="229"/>
      <c r="AH12" s="113"/>
      <c r="AI12" s="113"/>
      <c r="AJ12" s="230"/>
      <c r="AK12" s="113"/>
      <c r="AL12" s="113"/>
      <c r="AM12" s="113"/>
      <c r="AN12" s="231"/>
      <c r="AO12" s="226"/>
      <c r="AP12" s="142"/>
      <c r="AQ12" s="232"/>
      <c r="AR12" s="232"/>
      <c r="AS12" s="308"/>
      <c r="AU12" s="85"/>
      <c r="AV12" s="284"/>
      <c r="AW12" s="226"/>
      <c r="AX12" s="226"/>
      <c r="AY12" s="265"/>
      <c r="AZ12" s="309"/>
      <c r="BA12" s="310"/>
      <c r="BB12" s="237"/>
    </row>
    <row r="13" s="244" customFormat="true" ht="12.95" hidden="false" customHeight="true" outlineLevel="0" collapsed="false">
      <c r="A13" s="161" t="s">
        <v>104</v>
      </c>
      <c r="B13" s="311" t="n">
        <f aca="false">JAN!B45</f>
        <v>6868.74</v>
      </c>
      <c r="C13" s="113" t="n">
        <f aca="false">JAN!C45</f>
        <v>184480</v>
      </c>
      <c r="D13" s="113" t="n">
        <f aca="false">JAN!D54</f>
        <v>10758</v>
      </c>
      <c r="E13" s="113" t="n">
        <f aca="false">JAN!E54</f>
        <v>32480</v>
      </c>
      <c r="F13" s="225" t="n">
        <f aca="false">JAN!F53</f>
        <v>5423.74590370557</v>
      </c>
      <c r="G13" s="113" t="n">
        <f aca="false">JAN!G53</f>
        <v>6891</v>
      </c>
      <c r="H13" s="239" t="n">
        <f aca="false">JAN!H53</f>
        <v>9.194</v>
      </c>
      <c r="I13" s="113" t="n">
        <f aca="false">JAN!I53</f>
        <v>6899.574</v>
      </c>
      <c r="J13" s="239" t="n">
        <f aca="false">JAN!J53</f>
        <v>1253.45365439879</v>
      </c>
      <c r="K13" s="113" t="n">
        <f aca="false">JAN!K53</f>
        <v>8153.02765439879</v>
      </c>
      <c r="L13" s="278" t="n">
        <f aca="false">JAN!L53</f>
        <v>460.231903705571</v>
      </c>
      <c r="M13" s="113" t="n">
        <f aca="false">JAN!M53</f>
        <v>284.96</v>
      </c>
      <c r="N13" s="239" t="n">
        <f aca="false">JAN!N53</f>
        <v>0</v>
      </c>
      <c r="O13" s="113" t="n">
        <f aca="false">JAN!O53</f>
        <v>0</v>
      </c>
      <c r="P13" s="113" t="n">
        <f aca="false">JAN!P53</f>
        <v>0</v>
      </c>
      <c r="Q13" s="113" t="n">
        <f aca="false">JAN!Q53</f>
        <v>148.351454733854</v>
      </c>
      <c r="R13" s="239" t="n">
        <f aca="false">JAN!R53</f>
        <v>147.861309807883</v>
      </c>
      <c r="S13" s="113" t="n">
        <f aca="false">JAN!S53</f>
        <v>0</v>
      </c>
      <c r="T13" s="113" t="n">
        <f aca="false">JAN!T53</f>
        <v>42.70422</v>
      </c>
      <c r="U13" s="278" t="n">
        <f aca="false">JAN!U53</f>
        <v>-53.9569845417365</v>
      </c>
      <c r="V13" s="113" t="n">
        <f aca="false">JAN!V53</f>
        <v>0</v>
      </c>
      <c r="W13" s="239" t="n">
        <f aca="false">JAN!W53</f>
        <v>0</v>
      </c>
      <c r="X13" s="113" t="n">
        <f aca="false">JAN!X53</f>
        <v>-15.0402</v>
      </c>
      <c r="Y13" s="239" t="n">
        <f aca="false">JAN!Y53</f>
        <v>-15.0402</v>
      </c>
      <c r="Z13" s="113"/>
      <c r="AA13" s="113"/>
      <c r="AB13" s="113"/>
      <c r="AC13" s="286" t="n">
        <f aca="false">JAN!AC53</f>
        <v>1714.14</v>
      </c>
      <c r="AD13" s="113"/>
      <c r="AE13" s="113"/>
      <c r="AF13" s="227"/>
      <c r="AG13" s="229"/>
      <c r="AH13" s="239" t="n">
        <f aca="false">JAN!AH53</f>
        <v>1651.1</v>
      </c>
      <c r="AI13" s="239" t="n">
        <f aca="false">JAN!AI53</f>
        <v>1348.73684762419</v>
      </c>
      <c r="AJ13" s="239" t="n">
        <f aca="false">JAN!AJ53</f>
        <v>0</v>
      </c>
      <c r="AK13" s="239" t="n">
        <f aca="false">JAN!AK53</f>
        <v>1936.06</v>
      </c>
      <c r="AL13" s="239" t="n">
        <f aca="false">JAN!AL53</f>
        <v>793.221750693219</v>
      </c>
      <c r="AM13" s="239" t="n">
        <f aca="false">JAN!AM53</f>
        <v>2729.28175069322</v>
      </c>
      <c r="AN13" s="231" t="n">
        <f aca="false">JAN!AN53</f>
        <v>0</v>
      </c>
      <c r="AO13" s="286" t="n">
        <f aca="false">JAN!AO53</f>
        <v>0</v>
      </c>
      <c r="AP13" s="113"/>
      <c r="AQ13" s="142"/>
      <c r="AR13" s="142"/>
      <c r="AS13" s="113"/>
      <c r="AT13" s="161"/>
      <c r="AU13" s="114"/>
      <c r="AV13" s="287" t="n">
        <f aca="false">JAN!AV53</f>
        <v>2.27</v>
      </c>
      <c r="AW13" s="226"/>
      <c r="AX13" s="226"/>
      <c r="AY13" s="312"/>
      <c r="AZ13" s="288" t="n">
        <f aca="false">JAN!AZ53</f>
        <v>284.96</v>
      </c>
      <c r="BA13" s="236" t="n">
        <f aca="false">JAN!BA53</f>
        <v>0</v>
      </c>
      <c r="BB13" s="243"/>
    </row>
    <row r="14" customFormat="false" ht="3" hidden="false" customHeight="true" outlineLevel="0" collapsed="false">
      <c r="A14" s="245"/>
      <c r="B14" s="246"/>
      <c r="C14" s="247"/>
      <c r="D14" s="248"/>
      <c r="E14" s="247"/>
      <c r="F14" s="249"/>
      <c r="G14" s="248"/>
      <c r="H14" s="313"/>
      <c r="I14" s="248"/>
      <c r="J14" s="248"/>
      <c r="K14" s="248"/>
      <c r="L14" s="248"/>
      <c r="M14" s="251"/>
      <c r="N14" s="248"/>
      <c r="O14" s="248"/>
      <c r="P14" s="252"/>
      <c r="Q14" s="248"/>
      <c r="R14" s="248"/>
      <c r="S14" s="252"/>
      <c r="T14" s="252"/>
      <c r="U14" s="253"/>
      <c r="V14" s="248"/>
      <c r="W14" s="248"/>
      <c r="X14" s="248"/>
      <c r="Y14" s="248"/>
      <c r="Z14" s="248"/>
      <c r="AA14" s="248"/>
      <c r="AB14" s="247"/>
      <c r="AC14" s="254"/>
      <c r="AD14" s="247"/>
      <c r="AE14" s="248"/>
      <c r="AF14" s="251"/>
      <c r="AG14" s="255"/>
      <c r="AH14" s="248"/>
      <c r="AI14" s="247"/>
      <c r="AJ14" s="314"/>
      <c r="AK14" s="248"/>
      <c r="AL14" s="248"/>
      <c r="AM14" s="248"/>
      <c r="AN14" s="256"/>
      <c r="AO14" s="257"/>
      <c r="AP14" s="257"/>
      <c r="AQ14" s="257"/>
      <c r="AR14" s="257"/>
      <c r="AS14" s="257"/>
      <c r="AT14" s="315"/>
      <c r="AU14" s="316"/>
      <c r="AV14" s="275"/>
      <c r="AW14" s="257"/>
      <c r="AX14" s="257"/>
      <c r="AY14" s="257"/>
      <c r="AZ14" s="257"/>
      <c r="BA14" s="257"/>
      <c r="BB14" s="257"/>
    </row>
    <row r="15" customFormat="false" ht="12.75" hidden="false" customHeight="true" outlineLevel="0" collapsed="false">
      <c r="A15" s="192" t="n">
        <v>1</v>
      </c>
      <c r="B15" s="112" t="n">
        <v>6868.78</v>
      </c>
      <c r="C15" s="113" t="n">
        <v>184584</v>
      </c>
      <c r="D15" s="226" t="n">
        <f aca="false">C15-C13</f>
        <v>104</v>
      </c>
      <c r="E15" s="113" t="n">
        <f aca="false">C15-152000</f>
        <v>32584</v>
      </c>
      <c r="F15" s="260" t="n">
        <f aca="false">D15/$D$2</f>
        <v>52.4325686917066</v>
      </c>
      <c r="G15" s="142" t="n">
        <v>51</v>
      </c>
      <c r="H15" s="307" t="n">
        <v>0</v>
      </c>
      <c r="I15" s="142" t="n">
        <f aca="false">G15+H15</f>
        <v>51</v>
      </c>
      <c r="J15" s="143" t="n">
        <f aca="false">IF(L15&gt;0,L15,0)</f>
        <v>21.8725686917066</v>
      </c>
      <c r="K15" s="142" t="n">
        <f aca="false">I15+J15</f>
        <v>72.8725686917066</v>
      </c>
      <c r="L15" s="142" t="n">
        <f aca="false">F15-(I15-AK15)</f>
        <v>21.8725686917066</v>
      </c>
      <c r="M15" s="262" t="n">
        <v>3.14</v>
      </c>
      <c r="N15" s="142" t="n">
        <v>0</v>
      </c>
      <c r="O15" s="142" t="n">
        <v>0</v>
      </c>
      <c r="P15" s="171" t="n">
        <v>0</v>
      </c>
      <c r="Q15" s="282" t="n">
        <f aca="false">921100/325851/1.9835*1.02</f>
        <v>1.45363607087435</v>
      </c>
      <c r="R15" s="138" t="n">
        <f aca="false">((1160032/646272)*1.04)-T15</f>
        <v>1.4050726538166</v>
      </c>
      <c r="S15" s="88" t="n">
        <v>0</v>
      </c>
      <c r="T15" s="138" t="n">
        <f aca="false">(0.4188*1.06)*1.04</f>
        <v>0.46168512</v>
      </c>
      <c r="U15" s="101" t="n">
        <f aca="false">M15-(Q15+R15+S15+T15)</f>
        <v>-0.180393844690943</v>
      </c>
      <c r="V15" s="142" t="n">
        <v>0</v>
      </c>
      <c r="W15" s="142" t="n">
        <v>0</v>
      </c>
      <c r="X15" s="142" t="n">
        <f aca="false">M15-N15-O15-P15-Q15-R15-S15-T15-U15+V15+W15</f>
        <v>0</v>
      </c>
      <c r="Y15" s="142" t="n">
        <f aca="false">X15-AO15</f>
        <v>0</v>
      </c>
      <c r="Z15" s="142"/>
      <c r="AA15" s="142"/>
      <c r="AB15" s="113"/>
      <c r="AC15" s="143"/>
      <c r="AD15" s="113"/>
      <c r="AE15" s="142" t="n">
        <v>0</v>
      </c>
      <c r="AF15" s="262"/>
      <c r="AG15" s="263"/>
      <c r="AH15" s="142" t="n">
        <v>17.3</v>
      </c>
      <c r="AI15" s="113" t="n">
        <f aca="false">AI13-AH15</f>
        <v>1331.43684762419</v>
      </c>
      <c r="AJ15" s="230"/>
      <c r="AK15" s="141" t="n">
        <f aca="false">N15+O15+P15+Q15+R15+S15+T15+U15+X15+AE15+AH15</f>
        <v>20.44</v>
      </c>
      <c r="AL15" s="142" t="n">
        <f aca="false">IF(L15&lt;0,L15*-1,0)</f>
        <v>0</v>
      </c>
      <c r="AM15" s="142" t="n">
        <f aca="false">AK15+AL15</f>
        <v>20.44</v>
      </c>
      <c r="AN15" s="146"/>
      <c r="AO15" s="226"/>
      <c r="AP15" s="232"/>
      <c r="AQ15" s="113"/>
      <c r="AR15" s="113"/>
      <c r="AS15" s="308"/>
      <c r="AU15" s="85"/>
      <c r="AV15" s="284" t="n">
        <v>0.07</v>
      </c>
      <c r="AW15" s="226" t="n">
        <v>39</v>
      </c>
      <c r="AX15" s="226" t="n">
        <v>14</v>
      </c>
      <c r="AY15" s="265"/>
      <c r="AZ15" s="264" t="n">
        <f aca="false">SUM(N15,P15:U15)</f>
        <v>3.14</v>
      </c>
      <c r="BA15" s="193" t="n">
        <v>0</v>
      </c>
      <c r="BB15" s="265" t="n">
        <v>7162</v>
      </c>
    </row>
    <row r="16" customFormat="false" ht="12.95" hidden="false" customHeight="true" outlineLevel="0" collapsed="false">
      <c r="A16" s="192" t="n">
        <f aca="false">A15+1</f>
        <v>2</v>
      </c>
      <c r="B16" s="112" t="n">
        <v>6868.81</v>
      </c>
      <c r="C16" s="113" t="n">
        <v>184663</v>
      </c>
      <c r="D16" s="226" t="n">
        <f aca="false">C16-C15</f>
        <v>79</v>
      </c>
      <c r="E16" s="113" t="n">
        <f aca="false">C16-152000</f>
        <v>32663</v>
      </c>
      <c r="F16" s="260" t="n">
        <f aca="false">D16/$D$2</f>
        <v>39.8285858331233</v>
      </c>
      <c r="G16" s="142" t="n">
        <v>51</v>
      </c>
      <c r="H16" s="307" t="n">
        <v>0</v>
      </c>
      <c r="I16" s="142" t="n">
        <f aca="false">G16+H16</f>
        <v>51</v>
      </c>
      <c r="J16" s="143" t="n">
        <f aca="false">IF(L16&gt;0,L16,0)</f>
        <v>8.70858583312327</v>
      </c>
      <c r="K16" s="142" t="n">
        <f aca="false">I16+J16</f>
        <v>59.7085858331233</v>
      </c>
      <c r="L16" s="142" t="n">
        <f aca="false">F16-(I16-AK16)</f>
        <v>8.70858583312327</v>
      </c>
      <c r="M16" s="262" t="n">
        <v>2.58</v>
      </c>
      <c r="N16" s="142" t="n">
        <v>0</v>
      </c>
      <c r="O16" s="142" t="n">
        <v>0</v>
      </c>
      <c r="P16" s="171" t="n">
        <v>0</v>
      </c>
      <c r="Q16" s="282" t="n">
        <f aca="false">909300/325851/1.9835*1.02</f>
        <v>1.43501387389647</v>
      </c>
      <c r="R16" s="138" t="n">
        <f aca="false">((1169296/646272)*1.04)-T16</f>
        <v>1.41998055637156</v>
      </c>
      <c r="S16" s="88" t="n">
        <v>0</v>
      </c>
      <c r="T16" s="138" t="n">
        <f aca="false">(0.4188*1.06)*1.04</f>
        <v>0.46168512</v>
      </c>
      <c r="U16" s="101" t="n">
        <f aca="false">M16-(Q16+R16+S16+T16)</f>
        <v>-0.736679550268033</v>
      </c>
      <c r="V16" s="142" t="n">
        <v>0</v>
      </c>
      <c r="W16" s="142" t="n">
        <v>0</v>
      </c>
      <c r="X16" s="142" t="n">
        <f aca="false">M16-N16-O16-P16-Q16-R16-S16-T16-U16+V16+W16</f>
        <v>0</v>
      </c>
      <c r="Y16" s="142" t="n">
        <f aca="false">X16-AO16</f>
        <v>0</v>
      </c>
      <c r="Z16" s="142"/>
      <c r="AA16" s="142"/>
      <c r="AB16" s="113"/>
      <c r="AC16" s="143"/>
      <c r="AD16" s="113"/>
      <c r="AE16" s="142" t="n">
        <v>0</v>
      </c>
      <c r="AF16" s="262"/>
      <c r="AG16" s="263"/>
      <c r="AH16" s="142" t="n">
        <v>17.3</v>
      </c>
      <c r="AI16" s="113" t="n">
        <f aca="false">AI15-AH16</f>
        <v>1314.13684762419</v>
      </c>
      <c r="AJ16" s="230"/>
      <c r="AK16" s="141" t="n">
        <f aca="false">N16+O16+P16+Q16+R16+S16+T16+U16+X16+AE16+AH16</f>
        <v>19.88</v>
      </c>
      <c r="AL16" s="142" t="n">
        <f aca="false">IF(L16&lt;0,L16*-1,0)</f>
        <v>0</v>
      </c>
      <c r="AM16" s="142" t="n">
        <f aca="false">AK16+AL16</f>
        <v>19.88</v>
      </c>
      <c r="AN16" s="146"/>
      <c r="AO16" s="226"/>
      <c r="AP16" s="232"/>
      <c r="AQ16" s="113"/>
      <c r="AR16" s="113"/>
      <c r="AS16" s="308"/>
      <c r="AV16" s="233" t="n">
        <v>0.03</v>
      </c>
      <c r="AW16" s="226" t="n">
        <v>37</v>
      </c>
      <c r="AX16" s="226" t="n">
        <v>8</v>
      </c>
      <c r="AY16" s="265"/>
      <c r="AZ16" s="264" t="n">
        <f aca="false">SUM(N16,P16:U16)</f>
        <v>2.58</v>
      </c>
      <c r="BA16" s="193" t="n">
        <v>0</v>
      </c>
      <c r="BB16" s="265" t="n">
        <v>7177</v>
      </c>
    </row>
    <row r="17" customFormat="false" ht="12.95" hidden="false" customHeight="true" outlineLevel="0" collapsed="false">
      <c r="A17" s="192" t="n">
        <f aca="false">A16+1</f>
        <v>3</v>
      </c>
      <c r="B17" s="112" t="n">
        <v>6868.87</v>
      </c>
      <c r="C17" s="113" t="n">
        <v>184819</v>
      </c>
      <c r="D17" s="226" t="n">
        <f aca="false">C17-C16</f>
        <v>156</v>
      </c>
      <c r="E17" s="113" t="n">
        <f aca="false">C17-152000</f>
        <v>32819</v>
      </c>
      <c r="F17" s="260" t="n">
        <f aca="false">D17/$D$2</f>
        <v>78.6488530375599</v>
      </c>
      <c r="G17" s="142" t="n">
        <v>50</v>
      </c>
      <c r="H17" s="307" t="n">
        <v>0</v>
      </c>
      <c r="I17" s="142" t="n">
        <f aca="false">G17+H17</f>
        <v>50</v>
      </c>
      <c r="J17" s="143" t="n">
        <f aca="false">IF(L17&gt;0,L17,0)</f>
        <v>49.1688530375599</v>
      </c>
      <c r="K17" s="142" t="n">
        <f aca="false">I17+J17</f>
        <v>99.1688530375599</v>
      </c>
      <c r="L17" s="142" t="n">
        <f aca="false">F17-(I17-AK17)</f>
        <v>49.1688530375599</v>
      </c>
      <c r="M17" s="262" t="n">
        <v>3.12</v>
      </c>
      <c r="N17" s="142" t="n">
        <v>0</v>
      </c>
      <c r="O17" s="142" t="n">
        <v>0</v>
      </c>
      <c r="P17" s="171" t="n">
        <v>0</v>
      </c>
      <c r="Q17" s="282" t="n">
        <f aca="false">1039500/325851/1.9835*1.02</f>
        <v>1.64048930156756</v>
      </c>
      <c r="R17" s="138" t="n">
        <f aca="false">((1183968/646272)*1.04)-T17</f>
        <v>1.44359117233512</v>
      </c>
      <c r="S17" s="88" t="n">
        <v>0</v>
      </c>
      <c r="T17" s="138" t="n">
        <f aca="false">(0.4188*1.06)*1.04</f>
        <v>0.46168512</v>
      </c>
      <c r="U17" s="101" t="n">
        <f aca="false">M17-(Q17+R17+S17+T17)</f>
        <v>-0.425765593902679</v>
      </c>
      <c r="V17" s="142" t="n">
        <v>0</v>
      </c>
      <c r="W17" s="142" t="n">
        <v>0</v>
      </c>
      <c r="X17" s="142" t="n">
        <f aca="false">M17-N17-O17-P17-Q17-R17-S17-T17-U17+V17+W17</f>
        <v>0</v>
      </c>
      <c r="Y17" s="142" t="n">
        <f aca="false">X17-AO17</f>
        <v>0</v>
      </c>
      <c r="Z17" s="142"/>
      <c r="AA17" s="142"/>
      <c r="AB17" s="113"/>
      <c r="AC17" s="143"/>
      <c r="AD17" s="113"/>
      <c r="AE17" s="142" t="n">
        <v>0</v>
      </c>
      <c r="AF17" s="262"/>
      <c r="AG17" s="263"/>
      <c r="AH17" s="142" t="n">
        <v>17.4</v>
      </c>
      <c r="AI17" s="113" t="n">
        <f aca="false">AI16-AH17</f>
        <v>1296.73684762419</v>
      </c>
      <c r="AJ17" s="230"/>
      <c r="AK17" s="141" t="n">
        <f aca="false">N17+O17+P17+Q17+R17+S17+T17+U17+X17+AE17+AH17</f>
        <v>20.52</v>
      </c>
      <c r="AL17" s="142" t="n">
        <f aca="false">IF(L17&lt;0,L17*-1,0)</f>
        <v>0</v>
      </c>
      <c r="AM17" s="142" t="n">
        <f aca="false">AK17+AL17</f>
        <v>20.52</v>
      </c>
      <c r="AN17" s="146"/>
      <c r="AO17" s="226"/>
      <c r="AP17" s="232"/>
      <c r="AQ17" s="113"/>
      <c r="AR17" s="113"/>
      <c r="AS17" s="308"/>
      <c r="AV17" s="233" t="n">
        <v>0.14</v>
      </c>
      <c r="AW17" s="226" t="n">
        <v>35</v>
      </c>
      <c r="AX17" s="226" t="n">
        <v>10</v>
      </c>
      <c r="AY17" s="265"/>
      <c r="AZ17" s="264" t="n">
        <f aca="false">SUM(N17,P17:U17)</f>
        <v>3.12</v>
      </c>
      <c r="BA17" s="193" t="n">
        <v>0</v>
      </c>
      <c r="BB17" s="265" t="n">
        <v>7194</v>
      </c>
    </row>
    <row r="18" customFormat="false" ht="12.95" hidden="false" customHeight="true" outlineLevel="0" collapsed="false">
      <c r="A18" s="317" t="n">
        <f aca="false">A17+1</f>
        <v>4</v>
      </c>
      <c r="B18" s="318" t="n">
        <v>6868.9</v>
      </c>
      <c r="C18" s="113" t="n">
        <v>184897</v>
      </c>
      <c r="D18" s="226" t="n">
        <f aca="false">C18-C17</f>
        <v>78</v>
      </c>
      <c r="E18" s="113" t="n">
        <f aca="false">C18-152000</f>
        <v>32897</v>
      </c>
      <c r="F18" s="260" t="n">
        <f aca="false">D18/$D$2</f>
        <v>39.3244265187799</v>
      </c>
      <c r="G18" s="142" t="n">
        <v>51</v>
      </c>
      <c r="H18" s="307" t="n">
        <v>0</v>
      </c>
      <c r="I18" s="142" t="n">
        <f aca="false">G18+H18</f>
        <v>51</v>
      </c>
      <c r="J18" s="143" t="n">
        <f aca="false">IF(L18&gt;0,L18,0)</f>
        <v>8.78442651877993</v>
      </c>
      <c r="K18" s="142" t="n">
        <f aca="false">I18+J18</f>
        <v>59.7844265187799</v>
      </c>
      <c r="L18" s="142" t="n">
        <f aca="false">F18-(I18-AK18)</f>
        <v>8.78442651877993</v>
      </c>
      <c r="M18" s="262" t="n">
        <v>2.56</v>
      </c>
      <c r="N18" s="142" t="n">
        <v>0</v>
      </c>
      <c r="O18" s="142" t="n">
        <v>0</v>
      </c>
      <c r="P18" s="171" t="n">
        <v>0</v>
      </c>
      <c r="Q18" s="282" t="n">
        <f aca="false">762100/325851/1.9835*1.02</f>
        <v>1.20270985735896</v>
      </c>
      <c r="R18" s="138" t="n">
        <f aca="false">((1168704/646272)*1.04)-T18</f>
        <v>1.41902789247772</v>
      </c>
      <c r="S18" s="88" t="n">
        <v>0</v>
      </c>
      <c r="T18" s="138" t="n">
        <f aca="false">(0.4188*1.06)*1.04</f>
        <v>0.46168512</v>
      </c>
      <c r="U18" s="101" t="n">
        <f aca="false">M18-(Q18+R18+S18+T18)</f>
        <v>-0.52342286983668</v>
      </c>
      <c r="V18" s="142" t="n">
        <v>0</v>
      </c>
      <c r="W18" s="142" t="n">
        <v>0</v>
      </c>
      <c r="X18" s="142" t="n">
        <f aca="false">M18-N18-O18-P18-Q18-R18-S18-T18-U18+V18+W18</f>
        <v>0</v>
      </c>
      <c r="Y18" s="142" t="n">
        <f aca="false">X18-AO18</f>
        <v>0</v>
      </c>
      <c r="Z18" s="142"/>
      <c r="AA18" s="142"/>
      <c r="AB18" s="113"/>
      <c r="AC18" s="143"/>
      <c r="AD18" s="113"/>
      <c r="AE18" s="142" t="n">
        <v>0</v>
      </c>
      <c r="AF18" s="262"/>
      <c r="AG18" s="263"/>
      <c r="AH18" s="142" t="n">
        <v>17.9</v>
      </c>
      <c r="AI18" s="113" t="n">
        <f aca="false">AI17-AH18</f>
        <v>1278.83684762419</v>
      </c>
      <c r="AJ18" s="230"/>
      <c r="AK18" s="141" t="n">
        <f aca="false">N18+O18+P18+Q18+R18+S18+T18+U18+X18+AE18+AH18</f>
        <v>20.46</v>
      </c>
      <c r="AL18" s="142" t="n">
        <f aca="false">IF(L18&lt;0,L18*-1,0)</f>
        <v>0</v>
      </c>
      <c r="AM18" s="142" t="n">
        <f aca="false">AK18+AL18</f>
        <v>20.46</v>
      </c>
      <c r="AN18" s="146"/>
      <c r="AO18" s="226"/>
      <c r="AP18" s="232"/>
      <c r="AQ18" s="113"/>
      <c r="AR18" s="113"/>
      <c r="AS18" s="308"/>
      <c r="AV18" s="233" t="n">
        <v>0.03</v>
      </c>
      <c r="AW18" s="226" t="n">
        <v>32</v>
      </c>
      <c r="AX18" s="226" t="n">
        <v>13</v>
      </c>
      <c r="AY18" s="265"/>
      <c r="AZ18" s="264" t="n">
        <f aca="false">SUM(N18,P18:U18)</f>
        <v>2.56</v>
      </c>
      <c r="BA18" s="193" t="n">
        <v>0</v>
      </c>
      <c r="BB18" s="265" t="n">
        <v>7220</v>
      </c>
    </row>
    <row r="19" customFormat="false" ht="12.95" hidden="false" customHeight="true" outlineLevel="0" collapsed="false">
      <c r="A19" s="317" t="n">
        <f aca="false">A18+1</f>
        <v>5</v>
      </c>
      <c r="B19" s="318" t="n">
        <v>6868.92</v>
      </c>
      <c r="C19" s="113" t="n">
        <v>184950</v>
      </c>
      <c r="D19" s="226" t="n">
        <f aca="false">C19-C18</f>
        <v>53</v>
      </c>
      <c r="E19" s="113" t="n">
        <f aca="false">C19-152000</f>
        <v>32950</v>
      </c>
      <c r="F19" s="260" t="n">
        <f aca="false">D19/$D$2</f>
        <v>26.7204436601966</v>
      </c>
      <c r="G19" s="142" t="n">
        <v>50</v>
      </c>
      <c r="H19" s="307" t="n">
        <v>0</v>
      </c>
      <c r="I19" s="142" t="n">
        <f aca="false">G19+H19</f>
        <v>50</v>
      </c>
      <c r="J19" s="143" t="n">
        <f aca="false">IF(L19&gt;0,L19,0)</f>
        <v>0</v>
      </c>
      <c r="K19" s="142" t="n">
        <f aca="false">I19+J19</f>
        <v>50</v>
      </c>
      <c r="L19" s="142" t="n">
        <f aca="false">F19-(I19-AK19)</f>
        <v>-2.34955633980338</v>
      </c>
      <c r="M19" s="262" t="n">
        <v>3.03</v>
      </c>
      <c r="N19" s="142" t="n">
        <v>0</v>
      </c>
      <c r="O19" s="142" t="n">
        <v>0</v>
      </c>
      <c r="P19" s="171" t="n">
        <v>0</v>
      </c>
      <c r="Q19" s="282" t="n">
        <f aca="false">847200/325851/1.9835*1.02</f>
        <v>1.33701061691971</v>
      </c>
      <c r="R19" s="138" t="n">
        <f aca="false">((1157328/646272)*1.04)-T19</f>
        <v>1.4007212971123</v>
      </c>
      <c r="S19" s="88" t="n">
        <v>0</v>
      </c>
      <c r="T19" s="138" t="n">
        <f aca="false">(0.4188*1.06)*1.04</f>
        <v>0.46168512</v>
      </c>
      <c r="U19" s="101" t="n">
        <f aca="false">M19-(Q19+R19+S19+T19)</f>
        <v>-0.169417034032011</v>
      </c>
      <c r="V19" s="142" t="n">
        <v>0</v>
      </c>
      <c r="W19" s="142" t="n">
        <v>0</v>
      </c>
      <c r="X19" s="142" t="n">
        <f aca="false">M19-N19-O19-P19-Q19-R19-S19-T19-U19+V19+W19</f>
        <v>0</v>
      </c>
      <c r="Y19" s="142" t="n">
        <f aca="false">X19-AO19</f>
        <v>0</v>
      </c>
      <c r="Z19" s="142"/>
      <c r="AA19" s="142"/>
      <c r="AB19" s="113"/>
      <c r="AC19" s="143"/>
      <c r="AD19" s="113"/>
      <c r="AE19" s="142" t="n">
        <v>0</v>
      </c>
      <c r="AF19" s="262"/>
      <c r="AG19" s="263"/>
      <c r="AH19" s="142" t="n">
        <v>17.9</v>
      </c>
      <c r="AI19" s="113" t="n">
        <f aca="false">AI18-AH19</f>
        <v>1260.93684762419</v>
      </c>
      <c r="AJ19" s="230"/>
      <c r="AK19" s="141" t="n">
        <f aca="false">N19+O19+P19+Q19+R19+S19+T19+U19+X19+AE19+AH19</f>
        <v>20.93</v>
      </c>
      <c r="AL19" s="142" t="n">
        <f aca="false">IF(L19&lt;0,L19*-1,0)</f>
        <v>2.34955633980338</v>
      </c>
      <c r="AM19" s="142" t="n">
        <f aca="false">AK19+AL19</f>
        <v>23.2795563398034</v>
      </c>
      <c r="AN19" s="146"/>
      <c r="AO19" s="226"/>
      <c r="AP19" s="232"/>
      <c r="AQ19" s="113"/>
      <c r="AR19" s="113"/>
      <c r="AS19" s="308"/>
      <c r="AV19" s="233" t="n">
        <v>0</v>
      </c>
      <c r="AW19" s="226" t="n">
        <v>36</v>
      </c>
      <c r="AX19" s="226" t="n">
        <v>6</v>
      </c>
      <c r="AY19" s="265"/>
      <c r="AZ19" s="264" t="n">
        <f aca="false">SUM(N19,P19:U19)</f>
        <v>3.03</v>
      </c>
      <c r="BA19" s="193" t="n">
        <v>0</v>
      </c>
      <c r="BB19" s="265" t="n">
        <v>7233</v>
      </c>
    </row>
    <row r="20" customFormat="false" ht="12.95" hidden="false" customHeight="true" outlineLevel="0" collapsed="false">
      <c r="A20" s="192" t="n">
        <f aca="false">A19+1</f>
        <v>6</v>
      </c>
      <c r="B20" s="112" t="n">
        <v>6868.96</v>
      </c>
      <c r="C20" s="113" t="n">
        <v>185054</v>
      </c>
      <c r="D20" s="226" t="n">
        <f aca="false">C20-C19</f>
        <v>104</v>
      </c>
      <c r="E20" s="113" t="n">
        <f aca="false">C20-152000</f>
        <v>33054</v>
      </c>
      <c r="F20" s="260" t="n">
        <f aca="false">D20/$D$2</f>
        <v>52.4325686917066</v>
      </c>
      <c r="G20" s="142" t="n">
        <v>50</v>
      </c>
      <c r="H20" s="307" t="n">
        <v>0</v>
      </c>
      <c r="I20" s="142" t="n">
        <f aca="false">G20+H20</f>
        <v>50</v>
      </c>
      <c r="J20" s="143" t="n">
        <f aca="false">IF(L20&gt;0,L20,0)</f>
        <v>23.0825686917066</v>
      </c>
      <c r="K20" s="142" t="n">
        <f aca="false">I20+J20</f>
        <v>73.0825686917066</v>
      </c>
      <c r="L20" s="142" t="n">
        <f aca="false">F20-(I20-AK20)</f>
        <v>23.0825686917066</v>
      </c>
      <c r="M20" s="262" t="n">
        <v>2.75</v>
      </c>
      <c r="N20" s="142" t="n">
        <v>0</v>
      </c>
      <c r="O20" s="142" t="n">
        <v>0</v>
      </c>
      <c r="P20" s="171" t="n">
        <v>0</v>
      </c>
      <c r="Q20" s="282" t="n">
        <f aca="false">885100/325851/1.9835*1.02</f>
        <v>1.39682258856898</v>
      </c>
      <c r="R20" s="138" t="n">
        <f aca="false">((1171520/646272)*1.04)-T20</f>
        <v>1.42355948289166</v>
      </c>
      <c r="S20" s="88" t="n">
        <v>0</v>
      </c>
      <c r="T20" s="138" t="n">
        <f aca="false">(0.4188*1.06)*1.04</f>
        <v>0.46168512</v>
      </c>
      <c r="U20" s="101" t="n">
        <f aca="false">M20-(Q20+R20+S20+T20)</f>
        <v>-0.532067191460637</v>
      </c>
      <c r="V20" s="142" t="n">
        <v>0</v>
      </c>
      <c r="W20" s="142" t="n">
        <v>0</v>
      </c>
      <c r="X20" s="142" t="n">
        <f aca="false">M20-N20-O20-P20-Q20-R20-S20-T20-U20+V20+W20</f>
        <v>0</v>
      </c>
      <c r="Y20" s="142" t="n">
        <f aca="false">X20-AO20</f>
        <v>0</v>
      </c>
      <c r="Z20" s="142"/>
      <c r="AA20" s="142"/>
      <c r="AB20" s="113"/>
      <c r="AC20" s="143"/>
      <c r="AD20" s="113"/>
      <c r="AE20" s="142" t="n">
        <v>0</v>
      </c>
      <c r="AF20" s="262"/>
      <c r="AG20" s="263"/>
      <c r="AH20" s="142" t="n">
        <v>17.9</v>
      </c>
      <c r="AI20" s="113" t="n">
        <f aca="false">AI19-AH20</f>
        <v>1243.03684762419</v>
      </c>
      <c r="AJ20" s="230"/>
      <c r="AK20" s="141" t="n">
        <f aca="false">N20+O20+P20+Q20+R20+S20+T20+U20+X20+AE20+AH20</f>
        <v>20.65</v>
      </c>
      <c r="AL20" s="142" t="n">
        <f aca="false">IF(L20&lt;0,L20*-1,0)</f>
        <v>0</v>
      </c>
      <c r="AM20" s="142" t="n">
        <f aca="false">AK20+AL20</f>
        <v>20.65</v>
      </c>
      <c r="AN20" s="146"/>
      <c r="AO20" s="226"/>
      <c r="AP20" s="142"/>
      <c r="AQ20" s="113"/>
      <c r="AR20" s="113"/>
      <c r="AS20" s="308"/>
      <c r="AV20" s="233" t="n">
        <v>0</v>
      </c>
      <c r="AW20" s="226" t="n">
        <v>42</v>
      </c>
      <c r="AX20" s="226" t="n">
        <v>10</v>
      </c>
      <c r="AY20" s="265"/>
      <c r="AZ20" s="264" t="n">
        <f aca="false">SUM(N20,P20:U20)</f>
        <v>2.75</v>
      </c>
      <c r="BA20" s="193" t="n">
        <v>0</v>
      </c>
      <c r="BB20" s="265" t="n">
        <v>7265</v>
      </c>
    </row>
    <row r="21" customFormat="false" ht="12.95" hidden="false" customHeight="true" outlineLevel="0" collapsed="false">
      <c r="A21" s="192" t="n">
        <f aca="false">A20+1</f>
        <v>7</v>
      </c>
      <c r="B21" s="112" t="n">
        <v>6869.01</v>
      </c>
      <c r="C21" s="113" t="n">
        <v>185185</v>
      </c>
      <c r="D21" s="226" t="n">
        <f aca="false">C21-C20</f>
        <v>131</v>
      </c>
      <c r="E21" s="113" t="n">
        <f aca="false">C21-152000</f>
        <v>33185</v>
      </c>
      <c r="F21" s="260" t="n">
        <f aca="false">D21/$D$2</f>
        <v>66.0448701789766</v>
      </c>
      <c r="G21" s="142" t="n">
        <v>51</v>
      </c>
      <c r="H21" s="307" t="n">
        <v>0</v>
      </c>
      <c r="I21" s="142" t="n">
        <f aca="false">G21+H21</f>
        <v>51</v>
      </c>
      <c r="J21" s="143" t="n">
        <f aca="false">IF(L21&gt;0,L21,0)</f>
        <v>35.6248701789765</v>
      </c>
      <c r="K21" s="142" t="n">
        <f aca="false">I21+J21</f>
        <v>86.6248701789766</v>
      </c>
      <c r="L21" s="142" t="n">
        <f aca="false">F21-(I21-AK21)</f>
        <v>35.6248701789765</v>
      </c>
      <c r="M21" s="262" t="n">
        <v>2.68</v>
      </c>
      <c r="N21" s="142" t="n">
        <v>0</v>
      </c>
      <c r="O21" s="142" t="n">
        <v>0</v>
      </c>
      <c r="P21" s="171" t="n">
        <v>0</v>
      </c>
      <c r="Q21" s="282" t="n">
        <f aca="false">725300/325851/1.9835*1.02</f>
        <v>1.14463385322458</v>
      </c>
      <c r="R21" s="138" t="n">
        <f aca="false">((1180784/646272)*1.04)-T21</f>
        <v>1.46150754544662</v>
      </c>
      <c r="S21" s="88" t="n">
        <v>0</v>
      </c>
      <c r="T21" s="138" t="n">
        <f aca="false">(0.3979*1.06)*1.04</f>
        <v>0.43864496</v>
      </c>
      <c r="U21" s="101" t="n">
        <f aca="false">M21-(Q21+R21+S21+T21)</f>
        <v>-0.364786358671206</v>
      </c>
      <c r="V21" s="142" t="n">
        <v>0</v>
      </c>
      <c r="W21" s="142" t="n">
        <v>0</v>
      </c>
      <c r="X21" s="142" t="n">
        <f aca="false">M21-N21-O21-P21-Q21-R21-S21-T21-U21+V21+W21</f>
        <v>0</v>
      </c>
      <c r="Y21" s="142" t="n">
        <f aca="false">X21-AO21</f>
        <v>0</v>
      </c>
      <c r="Z21" s="142"/>
      <c r="AA21" s="142"/>
      <c r="AB21" s="113"/>
      <c r="AC21" s="143"/>
      <c r="AD21" s="113"/>
      <c r="AE21" s="142" t="n">
        <v>0</v>
      </c>
      <c r="AF21" s="262"/>
      <c r="AG21" s="263"/>
      <c r="AH21" s="142" t="n">
        <v>17.9</v>
      </c>
      <c r="AI21" s="113" t="n">
        <f aca="false">AI20-AH21</f>
        <v>1225.13684762419</v>
      </c>
      <c r="AJ21" s="230"/>
      <c r="AK21" s="141" t="n">
        <f aca="false">N21+O21+P21+Q21+R21+S21+T21+U21+X21+AE21+AH21</f>
        <v>20.58</v>
      </c>
      <c r="AL21" s="142" t="n">
        <f aca="false">IF(L21&lt;0,L21*-1,0)</f>
        <v>0</v>
      </c>
      <c r="AM21" s="142" t="n">
        <f aca="false">AK21+AL21</f>
        <v>20.58</v>
      </c>
      <c r="AN21" s="146"/>
      <c r="AO21" s="226"/>
      <c r="AP21" s="142"/>
      <c r="AQ21" s="113"/>
      <c r="AR21" s="113"/>
      <c r="AS21" s="308"/>
      <c r="AV21" s="233" t="n">
        <v>0.1</v>
      </c>
      <c r="AW21" s="226" t="n">
        <v>40</v>
      </c>
      <c r="AX21" s="226" t="n">
        <v>21</v>
      </c>
      <c r="AY21" s="265"/>
      <c r="AZ21" s="264" t="n">
        <f aca="false">SUM(N21,P21:U21)</f>
        <v>2.68</v>
      </c>
      <c r="BA21" s="193" t="n">
        <v>0</v>
      </c>
      <c r="BB21" s="265" t="n">
        <v>7296</v>
      </c>
    </row>
    <row r="22" customFormat="false" ht="12.95" hidden="false" customHeight="true" outlineLevel="0" collapsed="false">
      <c r="A22" s="192" t="n">
        <f aca="false">A21+1</f>
        <v>8</v>
      </c>
      <c r="B22" s="112" t="n">
        <v>6869.02</v>
      </c>
      <c r="C22" s="113" t="n">
        <v>185211</v>
      </c>
      <c r="D22" s="226" t="n">
        <f aca="false">C22-C21</f>
        <v>26</v>
      </c>
      <c r="E22" s="113" t="n">
        <f aca="false">C22-152000</f>
        <v>33211</v>
      </c>
      <c r="F22" s="260" t="n">
        <f aca="false">D22/$D$2</f>
        <v>13.1081421729266</v>
      </c>
      <c r="G22" s="142" t="n">
        <v>51</v>
      </c>
      <c r="H22" s="307" t="n">
        <v>0</v>
      </c>
      <c r="I22" s="142" t="n">
        <f aca="false">G22+H22</f>
        <v>51</v>
      </c>
      <c r="J22" s="143" t="n">
        <f aca="false">IF(L22&gt;0,L22,0)</f>
        <v>0</v>
      </c>
      <c r="K22" s="142" t="n">
        <f aca="false">I22+J22</f>
        <v>51</v>
      </c>
      <c r="L22" s="142" t="n">
        <f aca="false">F22-(I22-AK22)</f>
        <v>-17.1618578270734</v>
      </c>
      <c r="M22" s="262" t="n">
        <v>2.83</v>
      </c>
      <c r="N22" s="142" t="n">
        <v>0</v>
      </c>
      <c r="O22" s="142" t="n">
        <v>0</v>
      </c>
      <c r="P22" s="171" t="n">
        <v>0</v>
      </c>
      <c r="Q22" s="282" t="n">
        <f aca="false">863000/325851/1.9835*1.02</f>
        <v>1.36194542304262</v>
      </c>
      <c r="R22" s="138" t="n">
        <f aca="false">((160090/646272)*1.04)-T22</f>
        <v>-0.1810234012755</v>
      </c>
      <c r="S22" s="88" t="n">
        <v>0</v>
      </c>
      <c r="T22" s="138" t="n">
        <f aca="false">(0.3979*1.06)*1.04</f>
        <v>0.43864496</v>
      </c>
      <c r="U22" s="101" t="n">
        <f aca="false">M22-(Q22+R22+S22+T22)</f>
        <v>1.21043301823288</v>
      </c>
      <c r="V22" s="142" t="n">
        <v>0</v>
      </c>
      <c r="W22" s="142" t="n">
        <v>0</v>
      </c>
      <c r="X22" s="142" t="n">
        <f aca="false">M22-N22-O22-P22-Q22-R22-S22-T22-U22+V22+W22</f>
        <v>0</v>
      </c>
      <c r="Y22" s="142" t="n">
        <f aca="false">X22-AO22</f>
        <v>0</v>
      </c>
      <c r="Z22" s="142"/>
      <c r="AA22" s="142"/>
      <c r="AB22" s="113"/>
      <c r="AC22" s="143"/>
      <c r="AD22" s="113"/>
      <c r="AE22" s="142" t="n">
        <v>0</v>
      </c>
      <c r="AF22" s="262"/>
      <c r="AG22" s="263"/>
      <c r="AH22" s="142" t="n">
        <v>17.9</v>
      </c>
      <c r="AI22" s="113" t="n">
        <f aca="false">AI21-AH22</f>
        <v>1207.23684762419</v>
      </c>
      <c r="AJ22" s="230"/>
      <c r="AK22" s="141" t="n">
        <f aca="false">N22+O22+P22+Q22+R22+S22+T22+U22+X22+AE22+AH22</f>
        <v>20.73</v>
      </c>
      <c r="AL22" s="142" t="n">
        <f aca="false">IF(L22&lt;0,L22*-1,0)</f>
        <v>17.1618578270734</v>
      </c>
      <c r="AM22" s="142" t="n">
        <f aca="false">AK22+AL22</f>
        <v>37.8918578270734</v>
      </c>
      <c r="AN22" s="146"/>
      <c r="AO22" s="226"/>
      <c r="AP22" s="142"/>
      <c r="AQ22" s="113"/>
      <c r="AR22" s="113"/>
      <c r="AS22" s="308"/>
      <c r="AV22" s="233" t="n">
        <v>0.09</v>
      </c>
      <c r="AW22" s="226" t="n">
        <v>47</v>
      </c>
      <c r="AX22" s="226" t="n">
        <v>22</v>
      </c>
      <c r="AY22" s="265"/>
      <c r="AZ22" s="264" t="n">
        <f aca="false">SUM(N22,P22:U22)</f>
        <v>2.83</v>
      </c>
      <c r="BA22" s="193" t="n">
        <v>0</v>
      </c>
      <c r="BB22" s="265" t="n">
        <v>7317</v>
      </c>
    </row>
    <row r="23" customFormat="false" ht="12.95" hidden="false" customHeight="true" outlineLevel="0" collapsed="false">
      <c r="A23" s="192" t="n">
        <f aca="false">A22+1</f>
        <v>9</v>
      </c>
      <c r="B23" s="112" t="n">
        <v>6869.05</v>
      </c>
      <c r="C23" s="113" t="n">
        <v>185290</v>
      </c>
      <c r="D23" s="226" t="n">
        <f aca="false">C23-C22</f>
        <v>79</v>
      </c>
      <c r="E23" s="113" t="n">
        <f aca="false">C23-152000</f>
        <v>33290</v>
      </c>
      <c r="F23" s="260" t="n">
        <f aca="false">D23/$D$2</f>
        <v>39.8285858331233</v>
      </c>
      <c r="G23" s="142" t="n">
        <v>50</v>
      </c>
      <c r="H23" s="307" t="n">
        <v>0</v>
      </c>
      <c r="I23" s="142" t="n">
        <f aca="false">G23+H23</f>
        <v>50</v>
      </c>
      <c r="J23" s="143" t="n">
        <f aca="false">IF(L23&gt;0,L23,0)</f>
        <v>10.7285858331233</v>
      </c>
      <c r="K23" s="142" t="n">
        <f aca="false">I23+J23</f>
        <v>60.7285858331233</v>
      </c>
      <c r="L23" s="142" t="n">
        <f aca="false">F23-(I23-AK23)</f>
        <v>10.7285858331233</v>
      </c>
      <c r="M23" s="262" t="n">
        <v>3</v>
      </c>
      <c r="N23" s="142" t="n">
        <v>0</v>
      </c>
      <c r="O23" s="142" t="n">
        <v>0</v>
      </c>
      <c r="P23" s="171" t="n">
        <v>0</v>
      </c>
      <c r="Q23" s="282" t="n">
        <f aca="false">902700/325851/1.9835*1.02</f>
        <v>1.42459806880716</v>
      </c>
      <c r="R23" s="138" t="n">
        <f aca="false">((1067046/646272)*1.04)-T23</f>
        <v>1.27847699484254</v>
      </c>
      <c r="S23" s="88" t="n">
        <v>0</v>
      </c>
      <c r="T23" s="138" t="n">
        <f aca="false">(0.3979*1.06)*1.04</f>
        <v>0.43864496</v>
      </c>
      <c r="U23" s="101" t="n">
        <f aca="false">M23-(Q23+R23+S23+T23)</f>
        <v>-0.141720023649699</v>
      </c>
      <c r="V23" s="142" t="n">
        <v>0</v>
      </c>
      <c r="W23" s="142" t="n">
        <v>0</v>
      </c>
      <c r="X23" s="142" t="n">
        <f aca="false">M23-N23-O23-P23-Q23-R23-S23-T23-U23+V23+W23</f>
        <v>0</v>
      </c>
      <c r="Y23" s="142" t="n">
        <f aca="false">X23-AO23</f>
        <v>0</v>
      </c>
      <c r="Z23" s="142"/>
      <c r="AA23" s="142"/>
      <c r="AB23" s="113"/>
      <c r="AC23" s="143"/>
      <c r="AD23" s="113"/>
      <c r="AE23" s="142" t="n">
        <v>0</v>
      </c>
      <c r="AF23" s="262"/>
      <c r="AG23" s="263"/>
      <c r="AH23" s="142" t="n">
        <v>17.9</v>
      </c>
      <c r="AI23" s="113" t="n">
        <f aca="false">AI22-AH23</f>
        <v>1189.33684762419</v>
      </c>
      <c r="AJ23" s="230"/>
      <c r="AK23" s="141" t="n">
        <f aca="false">N23+O23+P23+Q23+R23+S23+T23+U23+X23+AE23+AH23</f>
        <v>20.9</v>
      </c>
      <c r="AL23" s="142" t="n">
        <f aca="false">IF(L23&lt;0,L23*-1,0)</f>
        <v>0</v>
      </c>
      <c r="AM23" s="142" t="n">
        <f aca="false">AK23+AL23</f>
        <v>20.9</v>
      </c>
      <c r="AN23" s="146"/>
      <c r="AO23" s="226"/>
      <c r="AP23" s="142"/>
      <c r="AQ23" s="113"/>
      <c r="AR23" s="113"/>
      <c r="AS23" s="308"/>
      <c r="AV23" s="233" t="n">
        <v>0.02</v>
      </c>
      <c r="AW23" s="232" t="n">
        <v>49</v>
      </c>
      <c r="AX23" s="226" t="n">
        <v>26</v>
      </c>
      <c r="AY23" s="265"/>
      <c r="AZ23" s="264" t="n">
        <f aca="false">SUM(N23,P23:U23)</f>
        <v>3</v>
      </c>
      <c r="BA23" s="193" t="n">
        <v>0</v>
      </c>
      <c r="BB23" s="265" t="n">
        <v>7291</v>
      </c>
    </row>
    <row r="24" customFormat="false" ht="12.95" hidden="false" customHeight="true" outlineLevel="0" collapsed="false">
      <c r="A24" s="192" t="n">
        <f aca="false">A23+1</f>
        <v>10</v>
      </c>
      <c r="B24" s="112" t="n">
        <v>6869.1</v>
      </c>
      <c r="C24" s="113" t="n">
        <v>185423</v>
      </c>
      <c r="D24" s="226" t="n">
        <f aca="false">C24-C23</f>
        <v>133</v>
      </c>
      <c r="E24" s="113" t="n">
        <f aca="false">C24-152000</f>
        <v>33423</v>
      </c>
      <c r="F24" s="260" t="n">
        <f aca="false">D24/$D$2</f>
        <v>67.0531888076632</v>
      </c>
      <c r="G24" s="142" t="n">
        <v>50</v>
      </c>
      <c r="H24" s="307" t="n">
        <v>0</v>
      </c>
      <c r="I24" s="142" t="n">
        <f aca="false">G24+H24</f>
        <v>50</v>
      </c>
      <c r="J24" s="143" t="n">
        <f aca="false">IF(L24&gt;0,L24,0)</f>
        <v>37.3431888076632</v>
      </c>
      <c r="K24" s="142" t="n">
        <f aca="false">I24+J24</f>
        <v>87.3431888076632</v>
      </c>
      <c r="L24" s="142" t="n">
        <f aca="false">F24-(I24-AK24)</f>
        <v>37.3431888076632</v>
      </c>
      <c r="M24" s="262" t="n">
        <v>2.39</v>
      </c>
      <c r="N24" s="142" t="n">
        <v>0</v>
      </c>
      <c r="O24" s="142" t="n">
        <v>0</v>
      </c>
      <c r="P24" s="171" t="n">
        <v>0</v>
      </c>
      <c r="Q24" s="282" t="n">
        <f aca="false">929400/325851/1.9835*1.02</f>
        <v>1.46673473485031</v>
      </c>
      <c r="R24" s="138" t="n">
        <f aca="false">((1145264/646272)*1.04)-T24</f>
        <v>1.4043477118162</v>
      </c>
      <c r="S24" s="88" t="n">
        <v>0</v>
      </c>
      <c r="T24" s="138" t="n">
        <f aca="false">(0.3979*1.06)*1.04</f>
        <v>0.43864496</v>
      </c>
      <c r="U24" s="101" t="n">
        <f aca="false">M24-(Q24+R24+S24+T24)</f>
        <v>-0.919727406666508</v>
      </c>
      <c r="V24" s="142" t="n">
        <v>0</v>
      </c>
      <c r="W24" s="142" t="n">
        <v>0</v>
      </c>
      <c r="X24" s="142" t="n">
        <f aca="false">M24-N24-O24-P24-Q24-R24-S24-T24-U24+V24+W24</f>
        <v>0</v>
      </c>
      <c r="Y24" s="142" t="n">
        <f aca="false">X24-AO24</f>
        <v>0</v>
      </c>
      <c r="Z24" s="142"/>
      <c r="AA24" s="142"/>
      <c r="AB24" s="113"/>
      <c r="AC24" s="143"/>
      <c r="AD24" s="113"/>
      <c r="AE24" s="142" t="n">
        <v>0</v>
      </c>
      <c r="AF24" s="262"/>
      <c r="AG24" s="263"/>
      <c r="AH24" s="142" t="n">
        <v>17.9</v>
      </c>
      <c r="AI24" s="113" t="n">
        <f aca="false">AI23-AH24</f>
        <v>1171.43684762419</v>
      </c>
      <c r="AJ24" s="230"/>
      <c r="AK24" s="141" t="n">
        <f aca="false">N24+O24+P24+Q24+R24+S24+T24+U24+X24+AE24+AH24</f>
        <v>20.29</v>
      </c>
      <c r="AL24" s="142" t="n">
        <f aca="false">IF(L24&lt;0,L24*-1,0)</f>
        <v>0</v>
      </c>
      <c r="AM24" s="142" t="n">
        <f aca="false">AK24+AL24</f>
        <v>20.29</v>
      </c>
      <c r="AN24" s="146"/>
      <c r="AO24" s="226"/>
      <c r="AP24" s="142"/>
      <c r="AQ24" s="113"/>
      <c r="AR24" s="113"/>
      <c r="AS24" s="308"/>
      <c r="AV24" s="233" t="n">
        <v>0</v>
      </c>
      <c r="AW24" s="226" t="n">
        <v>50</v>
      </c>
      <c r="AX24" s="226" t="n">
        <v>29</v>
      </c>
      <c r="AY24" s="265"/>
      <c r="AZ24" s="264" t="n">
        <f aca="false">SUM(N24,P24:U24)</f>
        <v>2.39</v>
      </c>
      <c r="BA24" s="193" t="n">
        <v>0</v>
      </c>
      <c r="BB24" s="265" t="n">
        <v>7267</v>
      </c>
    </row>
    <row r="25" customFormat="false" ht="12.95" hidden="false" customHeight="true" outlineLevel="0" collapsed="false">
      <c r="A25" s="192" t="n">
        <f aca="false">A24+1</f>
        <v>11</v>
      </c>
      <c r="B25" s="112" t="n">
        <v>6869.12</v>
      </c>
      <c r="C25" s="113" t="n">
        <v>185476</v>
      </c>
      <c r="D25" s="226" t="n">
        <f aca="false">C25-C24</f>
        <v>53</v>
      </c>
      <c r="E25" s="113" t="n">
        <f aca="false">C25-152000</f>
        <v>33476</v>
      </c>
      <c r="F25" s="260" t="n">
        <f aca="false">D25/$D$2</f>
        <v>26.7204436601966</v>
      </c>
      <c r="G25" s="142" t="n">
        <v>49</v>
      </c>
      <c r="H25" s="307" t="n">
        <v>0</v>
      </c>
      <c r="I25" s="142" t="n">
        <f aca="false">G25+H25</f>
        <v>49</v>
      </c>
      <c r="J25" s="143" t="n">
        <f aca="false">IF(L25&gt;0,L25,0)</f>
        <v>0</v>
      </c>
      <c r="K25" s="142" t="n">
        <f aca="false">I25+J25</f>
        <v>49</v>
      </c>
      <c r="L25" s="142" t="n">
        <f aca="false">F25-(I25-AK25)</f>
        <v>-1.77955633980338</v>
      </c>
      <c r="M25" s="262" t="n">
        <v>2.6</v>
      </c>
      <c r="N25" s="142" t="n">
        <v>0</v>
      </c>
      <c r="O25" s="142" t="n">
        <v>0</v>
      </c>
      <c r="P25" s="171" t="n">
        <v>0</v>
      </c>
      <c r="Q25" s="282" t="n">
        <f aca="false">815500/325851/1.9835*1.02</f>
        <v>1.28698318944526</v>
      </c>
      <c r="R25" s="138" t="n">
        <f aca="false">((1074608/646272)*1.04)-T25</f>
        <v>1.29064598870271</v>
      </c>
      <c r="S25" s="88" t="n">
        <v>0</v>
      </c>
      <c r="T25" s="138" t="n">
        <f aca="false">(0.3979*1.06)*1.04</f>
        <v>0.43864496</v>
      </c>
      <c r="U25" s="101" t="n">
        <f aca="false">M25-(Q25+R25+S25+T25)</f>
        <v>-0.416274138147974</v>
      </c>
      <c r="V25" s="142" t="n">
        <v>0</v>
      </c>
      <c r="W25" s="142" t="n">
        <v>0</v>
      </c>
      <c r="X25" s="142" t="n">
        <f aca="false">M25-N25-O25-P25-Q25-R25-S25-T25-U25+V25+W25</f>
        <v>0</v>
      </c>
      <c r="Y25" s="142" t="n">
        <f aca="false">X25-AO25</f>
        <v>0</v>
      </c>
      <c r="Z25" s="142"/>
      <c r="AA25" s="142"/>
      <c r="AB25" s="113"/>
      <c r="AC25" s="143"/>
      <c r="AD25" s="113"/>
      <c r="AE25" s="142" t="n">
        <v>0</v>
      </c>
      <c r="AF25" s="262"/>
      <c r="AG25" s="263"/>
      <c r="AH25" s="142" t="n">
        <v>17.9</v>
      </c>
      <c r="AI25" s="113" t="n">
        <f aca="false">AI24-AH25</f>
        <v>1153.53684762419</v>
      </c>
      <c r="AJ25" s="230"/>
      <c r="AK25" s="141" t="n">
        <f aca="false">N25+O25+P25+Q25+R25+S25+T25+U25+X25+AE25+AH25</f>
        <v>20.5</v>
      </c>
      <c r="AL25" s="142" t="n">
        <f aca="false">IF(L25&lt;0,L25*-1,0)</f>
        <v>1.77955633980338</v>
      </c>
      <c r="AM25" s="142" t="n">
        <f aca="false">AK25+AL25</f>
        <v>22.2795563398034</v>
      </c>
      <c r="AN25" s="146"/>
      <c r="AO25" s="226"/>
      <c r="AP25" s="142"/>
      <c r="AQ25" s="113"/>
      <c r="AR25" s="113"/>
      <c r="AS25" s="308"/>
      <c r="AV25" s="233" t="n">
        <v>0</v>
      </c>
      <c r="AW25" s="226" t="n">
        <v>48</v>
      </c>
      <c r="AX25" s="226" t="n">
        <v>23</v>
      </c>
      <c r="AY25" s="265"/>
      <c r="AZ25" s="264" t="n">
        <f aca="false">SUM(N25,P25:U25)</f>
        <v>2.6</v>
      </c>
      <c r="BA25" s="193" t="n">
        <v>0</v>
      </c>
      <c r="BB25" s="265" t="n">
        <v>7427</v>
      </c>
    </row>
    <row r="26" customFormat="false" ht="12.95" hidden="false" customHeight="true" outlineLevel="0" collapsed="false">
      <c r="A26" s="192" t="n">
        <f aca="false">A25+1</f>
        <v>12</v>
      </c>
      <c r="B26" s="112" t="n">
        <v>6869.15</v>
      </c>
      <c r="C26" s="113" t="n">
        <v>185555</v>
      </c>
      <c r="D26" s="226" t="n">
        <f aca="false">C26-C25</f>
        <v>79</v>
      </c>
      <c r="E26" s="113" t="n">
        <f aca="false">C26-152000</f>
        <v>33555</v>
      </c>
      <c r="F26" s="260" t="n">
        <f aca="false">D26/$D$2</f>
        <v>39.8285858331233</v>
      </c>
      <c r="G26" s="142" t="n">
        <v>49</v>
      </c>
      <c r="H26" s="307" t="n">
        <v>0</v>
      </c>
      <c r="I26" s="142" t="n">
        <f aca="false">G26+H26</f>
        <v>49</v>
      </c>
      <c r="J26" s="143" t="n">
        <f aca="false">IF(L26&gt;0,L26,0)</f>
        <v>11.8685858331233</v>
      </c>
      <c r="K26" s="142" t="n">
        <f aca="false">I26+J26</f>
        <v>60.8685858331233</v>
      </c>
      <c r="L26" s="142" t="n">
        <f aca="false">F26-(I26-AK26)</f>
        <v>11.8685858331233</v>
      </c>
      <c r="M26" s="262" t="n">
        <v>3.14</v>
      </c>
      <c r="N26" s="142" t="n">
        <v>0</v>
      </c>
      <c r="O26" s="142" t="n">
        <v>0</v>
      </c>
      <c r="P26" s="171" t="n">
        <v>0</v>
      </c>
      <c r="Q26" s="282" t="n">
        <f aca="false">874100/325851/1.9835*1.02</f>
        <v>1.37946291342011</v>
      </c>
      <c r="R26" s="138" t="n">
        <f aca="false">((1264880/646272)*1.04)-T26</f>
        <v>1.59683731371757</v>
      </c>
      <c r="S26" s="88" t="n">
        <v>0</v>
      </c>
      <c r="T26" s="138" t="n">
        <f aca="false">(0.3979*1.06)*1.04</f>
        <v>0.43864496</v>
      </c>
      <c r="U26" s="101" t="n">
        <f aca="false">M26-(Q26+R26+S26+T26)</f>
        <v>-0.27494518713768</v>
      </c>
      <c r="V26" s="142" t="n">
        <v>0</v>
      </c>
      <c r="W26" s="142" t="n">
        <v>0</v>
      </c>
      <c r="X26" s="142" t="n">
        <f aca="false">M26-N26-O26-P26-Q26-R26-S26-T26-U26+V26+W26</f>
        <v>0</v>
      </c>
      <c r="Y26" s="142" t="n">
        <f aca="false">X26-AO26</f>
        <v>0</v>
      </c>
      <c r="Z26" s="142"/>
      <c r="AA26" s="142"/>
      <c r="AB26" s="113"/>
      <c r="AC26" s="143"/>
      <c r="AD26" s="113"/>
      <c r="AE26" s="142" t="n">
        <v>0</v>
      </c>
      <c r="AF26" s="262"/>
      <c r="AG26" s="263"/>
      <c r="AH26" s="142" t="n">
        <v>17.9</v>
      </c>
      <c r="AI26" s="113" t="n">
        <f aca="false">AI25-AH26</f>
        <v>1135.63684762419</v>
      </c>
      <c r="AJ26" s="230"/>
      <c r="AK26" s="141" t="n">
        <f aca="false">N26+O26+P26+Q26+R26+S26+T26+U26+X26+AE26+AH26</f>
        <v>21.04</v>
      </c>
      <c r="AL26" s="142" t="n">
        <f aca="false">IF(L26&lt;0,L26*-1,0)</f>
        <v>0</v>
      </c>
      <c r="AM26" s="142" t="n">
        <f aca="false">AK26+AL26</f>
        <v>21.04</v>
      </c>
      <c r="AN26" s="146"/>
      <c r="AO26" s="226"/>
      <c r="AP26" s="142"/>
      <c r="AQ26" s="113"/>
      <c r="AR26" s="113"/>
      <c r="AS26" s="308"/>
      <c r="AV26" s="233" t="n">
        <v>0</v>
      </c>
      <c r="AW26" s="226" t="n">
        <v>50</v>
      </c>
      <c r="AX26" s="226" t="n">
        <v>24</v>
      </c>
      <c r="AY26" s="265"/>
      <c r="AZ26" s="264" t="n">
        <f aca="false">SUM(N26,P26:U26)</f>
        <v>3.14</v>
      </c>
      <c r="BA26" s="193" t="n">
        <v>0</v>
      </c>
      <c r="BB26" s="265" t="n">
        <v>7436</v>
      </c>
    </row>
    <row r="27" customFormat="false" ht="12.95" hidden="false" customHeight="true" outlineLevel="0" collapsed="false">
      <c r="A27" s="192" t="n">
        <f aca="false">A26+1</f>
        <v>13</v>
      </c>
      <c r="B27" s="112" t="n">
        <v>6869.18</v>
      </c>
      <c r="C27" s="113" t="n">
        <v>185634</v>
      </c>
      <c r="D27" s="226" t="n">
        <f aca="false">C27-C26</f>
        <v>79</v>
      </c>
      <c r="E27" s="113" t="n">
        <f aca="false">C27-152000</f>
        <v>33634</v>
      </c>
      <c r="F27" s="260" t="n">
        <f aca="false">D27/$D$2</f>
        <v>39.8285858331233</v>
      </c>
      <c r="G27" s="142" t="n">
        <v>60.9</v>
      </c>
      <c r="H27" s="307" t="n">
        <v>0</v>
      </c>
      <c r="I27" s="142" t="n">
        <f aca="false">G27+H27</f>
        <v>60.9</v>
      </c>
      <c r="J27" s="143" t="n">
        <f aca="false">IF(L27&gt;0,L27,0)</f>
        <v>0</v>
      </c>
      <c r="K27" s="142" t="n">
        <f aca="false">I27+J27</f>
        <v>60.9</v>
      </c>
      <c r="L27" s="142" t="n">
        <f aca="false">F27-(I27-AK27)</f>
        <v>-0.311414166876737</v>
      </c>
      <c r="M27" s="262" t="n">
        <v>2.86</v>
      </c>
      <c r="N27" s="142" t="n">
        <v>0</v>
      </c>
      <c r="O27" s="142" t="n">
        <v>0</v>
      </c>
      <c r="P27" s="171" t="n">
        <v>0</v>
      </c>
      <c r="Q27" s="282" t="n">
        <f aca="false">711100/325851/1.9835*1.02</f>
        <v>1.12222409075969</v>
      </c>
      <c r="R27" s="138" t="n">
        <f aca="false">((1217232/646272)*1.04)-T27</f>
        <v>1.52016074409982</v>
      </c>
      <c r="S27" s="88" t="n">
        <v>0</v>
      </c>
      <c r="T27" s="138" t="n">
        <f aca="false">(0.3979*1.06)*1.04</f>
        <v>0.43864496</v>
      </c>
      <c r="U27" s="101" t="n">
        <f aca="false">M27-(Q27+R27+S27+T27)</f>
        <v>-0.221029794859509</v>
      </c>
      <c r="V27" s="142" t="n">
        <v>0</v>
      </c>
      <c r="W27" s="142" t="n">
        <v>0</v>
      </c>
      <c r="X27" s="142" t="n">
        <f aca="false">M27-N27-O27-P27-Q27-R27-S27-T27-U27+V27+W27</f>
        <v>0</v>
      </c>
      <c r="Y27" s="142" t="n">
        <f aca="false">X27-AO27</f>
        <v>0</v>
      </c>
      <c r="Z27" s="142"/>
      <c r="AA27" s="142"/>
      <c r="AB27" s="113"/>
      <c r="AC27" s="143"/>
      <c r="AD27" s="113"/>
      <c r="AE27" s="142" t="n">
        <v>0</v>
      </c>
      <c r="AF27" s="262"/>
      <c r="AG27" s="263"/>
      <c r="AH27" s="142" t="n">
        <v>17.9</v>
      </c>
      <c r="AI27" s="113" t="n">
        <f aca="false">AI26-AH27</f>
        <v>1117.73684762419</v>
      </c>
      <c r="AJ27" s="230"/>
      <c r="AK27" s="141" t="n">
        <f aca="false">N27+O27+P27+Q27+R27+S27+T27+U27+X27+AE27+AH27</f>
        <v>20.76</v>
      </c>
      <c r="AL27" s="142" t="n">
        <f aca="false">IF(L27&lt;0,L27*-1,0)</f>
        <v>0.311414166876737</v>
      </c>
      <c r="AM27" s="142" t="n">
        <f aca="false">AK27+AL27</f>
        <v>21.0714141668767</v>
      </c>
      <c r="AN27" s="146"/>
      <c r="AO27" s="226"/>
      <c r="AP27" s="142"/>
      <c r="AQ27" s="113"/>
      <c r="AR27" s="113"/>
      <c r="AS27" s="308"/>
      <c r="AV27" s="233" t="n">
        <v>0</v>
      </c>
      <c r="AW27" s="226" t="n">
        <v>58</v>
      </c>
      <c r="AX27" s="226" t="n">
        <v>26</v>
      </c>
      <c r="AY27" s="265"/>
      <c r="AZ27" s="264" t="n">
        <f aca="false">SUM(N27,P27:U27)</f>
        <v>2.86</v>
      </c>
      <c r="BA27" s="193" t="n">
        <v>0</v>
      </c>
      <c r="BB27" s="265" t="n">
        <v>7472</v>
      </c>
    </row>
    <row r="28" customFormat="false" ht="12.95" hidden="false" customHeight="true" outlineLevel="0" collapsed="false">
      <c r="A28" s="192" t="n">
        <f aca="false">A27+1</f>
        <v>14</v>
      </c>
      <c r="B28" s="112" t="n">
        <v>6869.23</v>
      </c>
      <c r="C28" s="113" t="n">
        <v>185767</v>
      </c>
      <c r="D28" s="226" t="n">
        <f aca="false">C28-C27</f>
        <v>133</v>
      </c>
      <c r="E28" s="113" t="n">
        <f aca="false">C28-152000</f>
        <v>33767</v>
      </c>
      <c r="F28" s="260" t="n">
        <f aca="false">D28/$D$2</f>
        <v>67.0531888076632</v>
      </c>
      <c r="G28" s="142" t="n">
        <v>88</v>
      </c>
      <c r="H28" s="307" t="n">
        <v>0</v>
      </c>
      <c r="I28" s="142" t="n">
        <f aca="false">G28+H28</f>
        <v>88</v>
      </c>
      <c r="J28" s="143" t="n">
        <f aca="false">IF(L28&gt;0,L28,0)</f>
        <v>0</v>
      </c>
      <c r="K28" s="142" t="n">
        <f aca="false">I28+J28</f>
        <v>88</v>
      </c>
      <c r="L28" s="142" t="n">
        <f aca="false">F28-(I28-AK28)</f>
        <v>-0.0268111923367798</v>
      </c>
      <c r="M28" s="262" t="n">
        <v>3.02</v>
      </c>
      <c r="N28" s="142" t="n">
        <v>0</v>
      </c>
      <c r="O28" s="142" t="n">
        <v>0</v>
      </c>
      <c r="P28" s="171" t="n">
        <v>0</v>
      </c>
      <c r="Q28" s="282" t="n">
        <f aca="false">861100/325851/1.9835*1.02</f>
        <v>1.35894693369873</v>
      </c>
      <c r="R28" s="138" t="n">
        <f aca="false">((1039936/646272)*1.04)-T28</f>
        <v>1.25590662173104</v>
      </c>
      <c r="S28" s="88" t="n">
        <v>0</v>
      </c>
      <c r="T28" s="138" t="n">
        <f aca="false">(0.3788*1.06)*1.04</f>
        <v>0.41758912</v>
      </c>
      <c r="U28" s="101" t="n">
        <f aca="false">M28-(Q28+R28+S28+T28)</f>
        <v>-0.0124426754297646</v>
      </c>
      <c r="V28" s="142" t="n">
        <v>0</v>
      </c>
      <c r="W28" s="142" t="n">
        <v>0</v>
      </c>
      <c r="X28" s="142" t="n">
        <f aca="false">M28-N28-O28-P28-Q28-R28-S28-T28-U28+V28+W28</f>
        <v>-1.66533453693773E-016</v>
      </c>
      <c r="Y28" s="142" t="n">
        <f aca="false">X28-AO28</f>
        <v>-1.66533453693773E-016</v>
      </c>
      <c r="Z28" s="142"/>
      <c r="AA28" s="142"/>
      <c r="AB28" s="113"/>
      <c r="AC28" s="143"/>
      <c r="AD28" s="113"/>
      <c r="AE28" s="142" t="n">
        <v>0</v>
      </c>
      <c r="AF28" s="262"/>
      <c r="AG28" s="263"/>
      <c r="AH28" s="142" t="n">
        <v>17.9</v>
      </c>
      <c r="AI28" s="113" t="n">
        <f aca="false">AI27-AH28</f>
        <v>1099.83684762419</v>
      </c>
      <c r="AJ28" s="230"/>
      <c r="AK28" s="141" t="n">
        <f aca="false">N28+O28+P28+Q28+R28+S28+T28+U28+X28+AE28+AH28</f>
        <v>20.92</v>
      </c>
      <c r="AL28" s="142" t="n">
        <f aca="false">IF(L28&lt;0,L28*-1,0)</f>
        <v>0.0268111923367798</v>
      </c>
      <c r="AM28" s="142" t="n">
        <f aca="false">AK28+AL28</f>
        <v>20.9468111923368</v>
      </c>
      <c r="AN28" s="146"/>
      <c r="AO28" s="226"/>
      <c r="AP28" s="142"/>
      <c r="AQ28" s="113"/>
      <c r="AR28" s="113"/>
      <c r="AS28" s="308"/>
      <c r="AV28" s="233" t="n">
        <v>0</v>
      </c>
      <c r="AW28" s="232" t="n">
        <v>58</v>
      </c>
      <c r="AX28" s="226" t="n">
        <v>34</v>
      </c>
      <c r="AY28" s="265"/>
      <c r="AZ28" s="264" t="n">
        <f aca="false">SUM(N28,P28:U28)</f>
        <v>3.02</v>
      </c>
      <c r="BA28" s="193" t="n">
        <v>0</v>
      </c>
      <c r="BB28" s="265" t="n">
        <v>7534</v>
      </c>
    </row>
    <row r="29" customFormat="false" ht="12.95" hidden="false" customHeight="true" outlineLevel="0" collapsed="false">
      <c r="A29" s="192" t="n">
        <f aca="false">A28+1</f>
        <v>15</v>
      </c>
      <c r="B29" s="112" t="n">
        <v>6869.29</v>
      </c>
      <c r="C29" s="113" t="n">
        <v>185925</v>
      </c>
      <c r="D29" s="226" t="n">
        <f aca="false">C29-C28</f>
        <v>158</v>
      </c>
      <c r="E29" s="113" t="n">
        <f aca="false">C29-152000</f>
        <v>33925</v>
      </c>
      <c r="F29" s="260" t="n">
        <f aca="false">D29/$D$2</f>
        <v>79.6571716662465</v>
      </c>
      <c r="G29" s="142" t="n">
        <v>100.4</v>
      </c>
      <c r="H29" s="307" t="n">
        <v>0</v>
      </c>
      <c r="I29" s="142" t="n">
        <f aca="false">G29+H29</f>
        <v>100.4</v>
      </c>
      <c r="J29" s="143" t="n">
        <f aca="false">IF(L29&gt;0,L29,0)</f>
        <v>0.00717166624652066</v>
      </c>
      <c r="K29" s="142" t="n">
        <f aca="false">I29+J29</f>
        <v>100.407171666247</v>
      </c>
      <c r="L29" s="142" t="n">
        <f aca="false">F29-(I29-AK29)</f>
        <v>0.00717166624652066</v>
      </c>
      <c r="M29" s="262" t="n">
        <v>2.85</v>
      </c>
      <c r="N29" s="142" t="n">
        <v>0</v>
      </c>
      <c r="O29" s="142" t="n">
        <v>0</v>
      </c>
      <c r="P29" s="171" t="n">
        <v>0</v>
      </c>
      <c r="Q29" s="282" t="n">
        <f aca="false">805100/325851/1.9835*1.02</f>
        <v>1.27057040566815</v>
      </c>
      <c r="R29" s="138" t="n">
        <f aca="false">((1439888/646272)*1.04)-T29</f>
        <v>1.89952119887503</v>
      </c>
      <c r="S29" s="88" t="n">
        <v>0</v>
      </c>
      <c r="T29" s="138" t="n">
        <f aca="false">(0.3788*1.06)*1.04</f>
        <v>0.41758912</v>
      </c>
      <c r="U29" s="101" t="n">
        <f aca="false">M29-(Q29+R29+S29+T29)</f>
        <v>-0.737680724543178</v>
      </c>
      <c r="V29" s="142" t="n">
        <v>0</v>
      </c>
      <c r="W29" s="142" t="n">
        <v>0</v>
      </c>
      <c r="X29" s="142" t="n">
        <f aca="false">M29-N29-O29-P29-Q29-R29-S29-T29-U29+V29+W29</f>
        <v>0</v>
      </c>
      <c r="Y29" s="142" t="n">
        <f aca="false">X29-AO29</f>
        <v>0</v>
      </c>
      <c r="Z29" s="142"/>
      <c r="AA29" s="142"/>
      <c r="AB29" s="113"/>
      <c r="AC29" s="143"/>
      <c r="AD29" s="113"/>
      <c r="AE29" s="142" t="n">
        <v>0</v>
      </c>
      <c r="AF29" s="262"/>
      <c r="AG29" s="263"/>
      <c r="AH29" s="142" t="n">
        <v>17.9</v>
      </c>
      <c r="AI29" s="113" t="n">
        <f aca="false">AI28-AH29</f>
        <v>1081.93684762419</v>
      </c>
      <c r="AJ29" s="230"/>
      <c r="AK29" s="141" t="n">
        <f aca="false">N29+O29+P29+Q29+R29+S29+T29+U29+X29+AE29+AH29</f>
        <v>20.75</v>
      </c>
      <c r="AL29" s="142" t="n">
        <f aca="false">IF(L29&lt;0,L29*-1,0)</f>
        <v>0</v>
      </c>
      <c r="AM29" s="142" t="n">
        <f aca="false">AK29+AL29</f>
        <v>20.75</v>
      </c>
      <c r="AN29" s="146"/>
      <c r="AO29" s="226"/>
      <c r="AP29" s="142"/>
      <c r="AQ29" s="113"/>
      <c r="AR29" s="113"/>
      <c r="AS29" s="308"/>
      <c r="AV29" s="233" t="n">
        <v>0</v>
      </c>
      <c r="AW29" s="232" t="n">
        <v>64</v>
      </c>
      <c r="AX29" s="226" t="n">
        <v>32</v>
      </c>
      <c r="AY29" s="265"/>
      <c r="AZ29" s="264" t="n">
        <f aca="false">SUM(N29,P29:U29)</f>
        <v>2.85</v>
      </c>
      <c r="BA29" s="193" t="n">
        <v>0</v>
      </c>
      <c r="BB29" s="265" t="n">
        <v>7631</v>
      </c>
    </row>
    <row r="30" customFormat="false" ht="12.95" hidden="false" customHeight="true" outlineLevel="0" collapsed="false">
      <c r="A30" s="192" t="n">
        <f aca="false">A29+1</f>
        <v>16</v>
      </c>
      <c r="B30" s="112" t="n">
        <v>6869.36</v>
      </c>
      <c r="C30" s="113" t="n">
        <v>186110</v>
      </c>
      <c r="D30" s="226" t="n">
        <f aca="false">C30-C29</f>
        <v>185</v>
      </c>
      <c r="E30" s="113" t="n">
        <f aca="false">C30-152000</f>
        <v>34110</v>
      </c>
      <c r="F30" s="260" t="n">
        <f aca="false">D30/$D$2</f>
        <v>93.2694731535165</v>
      </c>
      <c r="G30" s="142" t="n">
        <v>114.6</v>
      </c>
      <c r="H30" s="307" t="n">
        <v>0</v>
      </c>
      <c r="I30" s="142" t="n">
        <f aca="false">G30+H30</f>
        <v>114.6</v>
      </c>
      <c r="J30" s="143" t="n">
        <f aca="false">IF(L30&gt;0,L30,0)</f>
        <v>0.0294731535165198</v>
      </c>
      <c r="K30" s="142" t="n">
        <f aca="false">I30+J30</f>
        <v>114.629473153517</v>
      </c>
      <c r="L30" s="142" t="n">
        <f aca="false">F30-(I30-AK30)</f>
        <v>0.0294731535165198</v>
      </c>
      <c r="M30" s="262" t="n">
        <v>3.46</v>
      </c>
      <c r="N30" s="142" t="n">
        <v>0</v>
      </c>
      <c r="O30" s="142" t="n">
        <v>0</v>
      </c>
      <c r="P30" s="171" t="n">
        <v>0</v>
      </c>
      <c r="Q30" s="282" t="n">
        <f aca="false">859500/325851/1.9835*1.02</f>
        <v>1.35642189004071</v>
      </c>
      <c r="R30" s="138" t="n">
        <f aca="false">((1475339/646272)*1.04)-T30</f>
        <v>1.95656999566647</v>
      </c>
      <c r="S30" s="88" t="n">
        <v>0</v>
      </c>
      <c r="T30" s="138" t="n">
        <f aca="false">(0.3788*1.06)*1.04</f>
        <v>0.41758912</v>
      </c>
      <c r="U30" s="101" t="n">
        <f aca="false">M30-(Q30+R30+S30+T30)</f>
        <v>-0.270581005707181</v>
      </c>
      <c r="V30" s="142" t="n">
        <v>0</v>
      </c>
      <c r="W30" s="142" t="n">
        <v>0</v>
      </c>
      <c r="X30" s="142" t="n">
        <f aca="false">M30-N30-O30-P30-Q30-R30-S30-T30-U30+V30+W30</f>
        <v>0</v>
      </c>
      <c r="Y30" s="142" t="n">
        <f aca="false">X30-AO30</f>
        <v>0</v>
      </c>
      <c r="Z30" s="142"/>
      <c r="AA30" s="142"/>
      <c r="AB30" s="113"/>
      <c r="AC30" s="143"/>
      <c r="AD30" s="113"/>
      <c r="AE30" s="142" t="n">
        <v>0</v>
      </c>
      <c r="AF30" s="262"/>
      <c r="AG30" s="263"/>
      <c r="AH30" s="142" t="n">
        <v>17.9</v>
      </c>
      <c r="AI30" s="113" t="n">
        <f aca="false">AI29-AH30</f>
        <v>1064.03684762419</v>
      </c>
      <c r="AJ30" s="230"/>
      <c r="AK30" s="141" t="n">
        <f aca="false">N30+O30+P30+Q30+R30+S30+T30+U30+X30+AE30+AH30</f>
        <v>21.36</v>
      </c>
      <c r="AL30" s="142" t="n">
        <f aca="false">IF(L30&lt;0,L30*-1,0)</f>
        <v>0</v>
      </c>
      <c r="AM30" s="142" t="n">
        <f aca="false">AK30+AL30</f>
        <v>21.36</v>
      </c>
      <c r="AN30" s="146"/>
      <c r="AO30" s="226"/>
      <c r="AP30" s="142"/>
      <c r="AQ30" s="113"/>
      <c r="AR30" s="113"/>
      <c r="AS30" s="308"/>
      <c r="AV30" s="233" t="n">
        <v>0</v>
      </c>
      <c r="AW30" s="232" t="n">
        <v>64</v>
      </c>
      <c r="AX30" s="226" t="n">
        <v>32</v>
      </c>
      <c r="AY30" s="265"/>
      <c r="AZ30" s="264" t="n">
        <f aca="false">SUM(N30,P30:U30)</f>
        <v>3.46</v>
      </c>
      <c r="BA30" s="193" t="n">
        <v>0</v>
      </c>
      <c r="BB30" s="265" t="n">
        <v>7680</v>
      </c>
    </row>
    <row r="31" customFormat="false" ht="12.95" hidden="false" customHeight="true" outlineLevel="0" collapsed="false">
      <c r="A31" s="192" t="n">
        <f aca="false">A30+1</f>
        <v>17</v>
      </c>
      <c r="B31" s="112" t="n">
        <v>6869.41</v>
      </c>
      <c r="C31" s="113" t="n">
        <v>186243</v>
      </c>
      <c r="D31" s="226" t="n">
        <f aca="false">C31-C30</f>
        <v>133</v>
      </c>
      <c r="E31" s="113" t="n">
        <f aca="false">C31-152000</f>
        <v>34243</v>
      </c>
      <c r="F31" s="260" t="n">
        <f aca="false">D31/$D$2</f>
        <v>67.0531888076632</v>
      </c>
      <c r="G31" s="142" t="n">
        <v>88.1</v>
      </c>
      <c r="H31" s="307" t="n">
        <v>0</v>
      </c>
      <c r="I31" s="142" t="n">
        <f aca="false">G31+H31</f>
        <v>88.1</v>
      </c>
      <c r="J31" s="143" t="n">
        <f aca="false">IF(L31&gt;0,L31,0)</f>
        <v>0.0231888076632174</v>
      </c>
      <c r="K31" s="142" t="n">
        <f aca="false">I31+J31</f>
        <v>88.1231888076632</v>
      </c>
      <c r="L31" s="142" t="n">
        <f aca="false">F31-(I31-AK31)</f>
        <v>0.0231888076632174</v>
      </c>
      <c r="M31" s="262" t="n">
        <v>3.17</v>
      </c>
      <c r="N31" s="142" t="n">
        <v>0</v>
      </c>
      <c r="O31" s="142" t="n">
        <v>0</v>
      </c>
      <c r="P31" s="171" t="n">
        <v>0</v>
      </c>
      <c r="Q31" s="282" t="n">
        <f aca="false">1305400/325851/1.9835*1.02</f>
        <v>2.06011999448417</v>
      </c>
      <c r="R31" s="138" t="n">
        <f aca="false">((1426325/646272)*1.04)-T31</f>
        <v>1.87769521848287</v>
      </c>
      <c r="S31" s="88" t="n">
        <v>0</v>
      </c>
      <c r="T31" s="138" t="n">
        <f aca="false">(0.3788*1.06)*1.04</f>
        <v>0.41758912</v>
      </c>
      <c r="U31" s="101" t="n">
        <f aca="false">M31-(Q31+R31+S31+T31)</f>
        <v>-1.18540433296704</v>
      </c>
      <c r="V31" s="142" t="n">
        <v>0</v>
      </c>
      <c r="W31" s="142" t="n">
        <v>0</v>
      </c>
      <c r="X31" s="142" t="n">
        <f aca="false">M31-N31-O31-P31-Q31-R31-S31-T31-U31+V31+W31</f>
        <v>0</v>
      </c>
      <c r="Y31" s="142" t="n">
        <f aca="false">X31-AO31</f>
        <v>0</v>
      </c>
      <c r="Z31" s="142"/>
      <c r="AA31" s="142"/>
      <c r="AB31" s="113"/>
      <c r="AC31" s="143"/>
      <c r="AD31" s="113"/>
      <c r="AE31" s="142" t="n">
        <v>0</v>
      </c>
      <c r="AF31" s="262"/>
      <c r="AG31" s="263"/>
      <c r="AH31" s="142" t="n">
        <v>17.9</v>
      </c>
      <c r="AI31" s="113" t="n">
        <f aca="false">AI30-AH31</f>
        <v>1046.13684762419</v>
      </c>
      <c r="AJ31" s="230"/>
      <c r="AK31" s="141" t="n">
        <f aca="false">N31+O31+P31+Q31+R31+S31+T31+U31+X31+AE31+AH31</f>
        <v>21.07</v>
      </c>
      <c r="AL31" s="142" t="n">
        <f aca="false">IF(L31&lt;0,L31*-1,0)</f>
        <v>0</v>
      </c>
      <c r="AM31" s="142" t="n">
        <f aca="false">AK31+AL31</f>
        <v>21.07</v>
      </c>
      <c r="AN31" s="146"/>
      <c r="AO31" s="226"/>
      <c r="AP31" s="142"/>
      <c r="AQ31" s="113"/>
      <c r="AR31" s="113"/>
      <c r="AS31" s="308"/>
      <c r="AV31" s="233" t="n">
        <v>0</v>
      </c>
      <c r="AW31" s="232" t="n">
        <v>64</v>
      </c>
      <c r="AX31" s="226" t="n">
        <v>25</v>
      </c>
      <c r="AY31" s="265"/>
      <c r="AZ31" s="264" t="n">
        <f aca="false">SUM(N31,P31:U31)</f>
        <v>3.17</v>
      </c>
      <c r="BA31" s="193" t="n">
        <v>0</v>
      </c>
      <c r="BB31" s="265" t="n">
        <v>7674</v>
      </c>
    </row>
    <row r="32" customFormat="false" ht="12.95" hidden="false" customHeight="true" outlineLevel="0" collapsed="false">
      <c r="A32" s="192" t="n">
        <f aca="false">A31+1</f>
        <v>18</v>
      </c>
      <c r="B32" s="112" t="n">
        <v>6869.47</v>
      </c>
      <c r="C32" s="319" t="n">
        <v>186401</v>
      </c>
      <c r="D32" s="226" t="n">
        <f aca="false">C32-C31</f>
        <v>158</v>
      </c>
      <c r="E32" s="113" t="n">
        <f aca="false">C32-152000</f>
        <v>34401</v>
      </c>
      <c r="F32" s="260" t="n">
        <f aca="false">D32/$D$2</f>
        <v>79.6571716662465</v>
      </c>
      <c r="G32" s="142" t="n">
        <v>100.8</v>
      </c>
      <c r="H32" s="307" t="n">
        <v>0</v>
      </c>
      <c r="I32" s="142" t="n">
        <f aca="false">G32+H32</f>
        <v>100.8</v>
      </c>
      <c r="J32" s="143" t="n">
        <f aca="false">IF(L32&gt;0,L32,0)</f>
        <v>0</v>
      </c>
      <c r="K32" s="142" t="n">
        <f aca="false">I32+J32</f>
        <v>100.8</v>
      </c>
      <c r="L32" s="142" t="n">
        <f aca="false">F32-(I32-AK32)</f>
        <v>-0.0228283337534805</v>
      </c>
      <c r="M32" s="262" t="n">
        <v>3.22</v>
      </c>
      <c r="N32" s="142" t="n">
        <v>0</v>
      </c>
      <c r="O32" s="142" t="n">
        <v>0</v>
      </c>
      <c r="P32" s="171" t="n">
        <v>0</v>
      </c>
      <c r="Q32" s="282" t="n">
        <f aca="false">958400/325851/1.9835*1.02</f>
        <v>1.51250115115185</v>
      </c>
      <c r="R32" s="138" t="n">
        <f aca="false">((1505488/646272)*1.04)-T32</f>
        <v>2.00508665738166</v>
      </c>
      <c r="S32" s="88" t="n">
        <v>0</v>
      </c>
      <c r="T32" s="138" t="n">
        <f aca="false">(0.3788*1.06)*1.04</f>
        <v>0.41758912</v>
      </c>
      <c r="U32" s="101" t="n">
        <f aca="false">M32-(Q32+R32+S32+T32)</f>
        <v>-0.715176928533514</v>
      </c>
      <c r="V32" s="142" t="n">
        <v>0</v>
      </c>
      <c r="W32" s="142" t="n">
        <v>0</v>
      </c>
      <c r="X32" s="142" t="n">
        <f aca="false">M32-N32-O32-P32-Q32-R32-S32-T32-U32+V32+W32</f>
        <v>0</v>
      </c>
      <c r="Y32" s="142" t="n">
        <f aca="false">X32-AO32</f>
        <v>0</v>
      </c>
      <c r="Z32" s="142"/>
      <c r="AA32" s="142"/>
      <c r="AB32" s="113"/>
      <c r="AC32" s="143"/>
      <c r="AD32" s="113"/>
      <c r="AE32" s="142" t="n">
        <v>0</v>
      </c>
      <c r="AF32" s="262"/>
      <c r="AG32" s="263"/>
      <c r="AH32" s="142" t="n">
        <v>17.9</v>
      </c>
      <c r="AI32" s="113" t="n">
        <f aca="false">AI31-AH32</f>
        <v>1028.23684762419</v>
      </c>
      <c r="AJ32" s="230"/>
      <c r="AK32" s="141" t="n">
        <f aca="false">N32+O32+P32+Q32+R32+S32+T32+U32+X32+AE32+AH32</f>
        <v>21.12</v>
      </c>
      <c r="AL32" s="142" t="n">
        <f aca="false">IF(L32&lt;0,L32*-1,0)</f>
        <v>0.0228283337534805</v>
      </c>
      <c r="AM32" s="142" t="n">
        <f aca="false">AK32+AL32</f>
        <v>21.1428283337535</v>
      </c>
      <c r="AN32" s="146"/>
      <c r="AO32" s="226"/>
      <c r="AP32" s="142"/>
      <c r="AQ32" s="113"/>
      <c r="AR32" s="113"/>
      <c r="AS32" s="308"/>
      <c r="AV32" s="233" t="n">
        <v>0</v>
      </c>
      <c r="AW32" s="232" t="n">
        <v>60</v>
      </c>
      <c r="AX32" s="226" t="n">
        <v>27</v>
      </c>
      <c r="AY32" s="265"/>
      <c r="AZ32" s="264" t="n">
        <f aca="false">SUM(N32,P32:U32)</f>
        <v>3.22</v>
      </c>
      <c r="BA32" s="193" t="n">
        <v>0</v>
      </c>
      <c r="BB32" s="265" t="n">
        <v>7617</v>
      </c>
    </row>
    <row r="33" customFormat="false" ht="12.95" hidden="false" customHeight="true" outlineLevel="0" collapsed="false">
      <c r="A33" s="192" t="n">
        <f aca="false">A32+1</f>
        <v>19</v>
      </c>
      <c r="B33" s="112" t="n">
        <v>6869.55</v>
      </c>
      <c r="C33" s="319" t="n">
        <v>186613</v>
      </c>
      <c r="D33" s="226" t="n">
        <f aca="false">C33-C32</f>
        <v>212</v>
      </c>
      <c r="E33" s="113" t="n">
        <f aca="false">C33-152000</f>
        <v>34613</v>
      </c>
      <c r="F33" s="260" t="n">
        <f aca="false">D33/$D$2</f>
        <v>106.881774640787</v>
      </c>
      <c r="G33" s="142" t="n">
        <v>128</v>
      </c>
      <c r="H33" s="307" t="n">
        <v>0</v>
      </c>
      <c r="I33" s="142" t="n">
        <f aca="false">G33+H33</f>
        <v>128</v>
      </c>
      <c r="J33" s="143" t="n">
        <f aca="false">IF(L33&gt;0,L33,0)</f>
        <v>0.00177464078649336</v>
      </c>
      <c r="K33" s="142" t="n">
        <f aca="false">I33+J33</f>
        <v>128.001774640787</v>
      </c>
      <c r="L33" s="142" t="n">
        <f aca="false">F33-(I33-AK33)</f>
        <v>0.00177464078649336</v>
      </c>
      <c r="M33" s="262" t="n">
        <v>3.22</v>
      </c>
      <c r="N33" s="142" t="n">
        <v>0</v>
      </c>
      <c r="O33" s="142" t="n">
        <v>0</v>
      </c>
      <c r="P33" s="171" t="n">
        <v>0</v>
      </c>
      <c r="Q33" s="282" t="n">
        <f aca="false">811600/325851/1.9835*1.02</f>
        <v>1.28082839552884</v>
      </c>
      <c r="R33" s="138" t="n">
        <f aca="false">((1480368/646272)*1.04)-T33</f>
        <v>1.96466281107546</v>
      </c>
      <c r="S33" s="88" t="n">
        <v>0</v>
      </c>
      <c r="T33" s="138" t="n">
        <f aca="false">(0.3788*1.06)*1.04</f>
        <v>0.41758912</v>
      </c>
      <c r="U33" s="101" t="n">
        <f aca="false">M33-(Q33+R33+S33+T33)</f>
        <v>-0.443080326604306</v>
      </c>
      <c r="V33" s="142" t="n">
        <v>0</v>
      </c>
      <c r="W33" s="142" t="n">
        <v>0</v>
      </c>
      <c r="X33" s="142" t="n">
        <f aca="false">M33-N33-O33-P33-Q33-R33-S33-T33-U33+V33+W33</f>
        <v>0</v>
      </c>
      <c r="Y33" s="142" t="n">
        <f aca="false">X33-AO33</f>
        <v>0</v>
      </c>
      <c r="Z33" s="142"/>
      <c r="AA33" s="142"/>
      <c r="AB33" s="113"/>
      <c r="AC33" s="143"/>
      <c r="AD33" s="113"/>
      <c r="AE33" s="142" t="n">
        <v>0</v>
      </c>
      <c r="AF33" s="262"/>
      <c r="AG33" s="263"/>
      <c r="AH33" s="142" t="n">
        <v>17.9</v>
      </c>
      <c r="AI33" s="113" t="n">
        <f aca="false">AI32-AH33</f>
        <v>1010.33684762419</v>
      </c>
      <c r="AJ33" s="230"/>
      <c r="AK33" s="141" t="n">
        <f aca="false">N33+O33+P33+Q33+R33+S33+T33+U33+X33+AE33+AH33</f>
        <v>21.12</v>
      </c>
      <c r="AL33" s="142" t="n">
        <f aca="false">IF(L33&lt;0,L33*-1,0)</f>
        <v>0</v>
      </c>
      <c r="AM33" s="142" t="n">
        <f aca="false">AK33+AL33</f>
        <v>21.12</v>
      </c>
      <c r="AN33" s="146"/>
      <c r="AO33" s="226"/>
      <c r="AP33" s="142"/>
      <c r="AQ33" s="113"/>
      <c r="AR33" s="113"/>
      <c r="AS33" s="308"/>
      <c r="AV33" s="233" t="n">
        <v>0</v>
      </c>
      <c r="AW33" s="232" t="n">
        <v>56</v>
      </c>
      <c r="AX33" s="226" t="n">
        <v>26</v>
      </c>
      <c r="AY33" s="265"/>
      <c r="AZ33" s="264" t="n">
        <f aca="false">SUM(N33,P33:U33)</f>
        <v>3.22</v>
      </c>
      <c r="BA33" s="193" t="n">
        <v>0</v>
      </c>
      <c r="BB33" s="265" t="n">
        <v>7669</v>
      </c>
    </row>
    <row r="34" customFormat="false" ht="12.95" hidden="false" customHeight="true" outlineLevel="0" collapsed="false">
      <c r="A34" s="192" t="n">
        <f aca="false">A33+1</f>
        <v>20</v>
      </c>
      <c r="B34" s="112" t="n">
        <v>6869.56</v>
      </c>
      <c r="C34" s="113" t="n">
        <v>186639</v>
      </c>
      <c r="D34" s="226" t="n">
        <f aca="false">C34-C33</f>
        <v>26</v>
      </c>
      <c r="E34" s="113" t="n">
        <f aca="false">C34-152000</f>
        <v>34639</v>
      </c>
      <c r="F34" s="260" t="n">
        <f aca="false">D34/$D$2</f>
        <v>13.1081421729266</v>
      </c>
      <c r="G34" s="142" t="n">
        <v>34.2</v>
      </c>
      <c r="H34" s="307" t="n">
        <v>0</v>
      </c>
      <c r="I34" s="142" t="n">
        <f aca="false">G34+H34</f>
        <v>34.2</v>
      </c>
      <c r="J34" s="143" t="n">
        <f aca="false">IF(L34&gt;0,L34,0)</f>
        <v>0.0281421729266391</v>
      </c>
      <c r="K34" s="142" t="n">
        <f aca="false">I34+J34</f>
        <v>34.2281421729266</v>
      </c>
      <c r="L34" s="142" t="n">
        <f aca="false">F34-(I34-AK34)</f>
        <v>0.0281421729266391</v>
      </c>
      <c r="M34" s="262" t="n">
        <v>3.22</v>
      </c>
      <c r="N34" s="142" t="n">
        <v>0</v>
      </c>
      <c r="O34" s="142" t="n">
        <v>0</v>
      </c>
      <c r="P34" s="171" t="n">
        <v>0</v>
      </c>
      <c r="Q34" s="282" t="n">
        <f aca="false">952200/325851/1.9835*1.02</f>
        <v>1.50271660697704</v>
      </c>
      <c r="R34" s="138" t="n">
        <f aca="false">((1452684/646272)*1.04)-T34</f>
        <v>1.92011290020202</v>
      </c>
      <c r="S34" s="88" t="n">
        <v>0</v>
      </c>
      <c r="T34" s="138" t="n">
        <f aca="false">(0.3788*1.06)*1.04</f>
        <v>0.41758912</v>
      </c>
      <c r="U34" s="101" t="n">
        <f aca="false">M34-(Q34+R34+S34+T34)</f>
        <v>-0.620418627179061</v>
      </c>
      <c r="V34" s="142" t="n">
        <v>0</v>
      </c>
      <c r="W34" s="142" t="n">
        <v>0</v>
      </c>
      <c r="X34" s="142" t="n">
        <f aca="false">M34-N34-O34-P34-Q34-R34-S34-T34-U34+V34+W34</f>
        <v>0</v>
      </c>
      <c r="Y34" s="142" t="n">
        <f aca="false">X34-AO34</f>
        <v>0</v>
      </c>
      <c r="Z34" s="142"/>
      <c r="AA34" s="142"/>
      <c r="AB34" s="113"/>
      <c r="AC34" s="143"/>
      <c r="AD34" s="113"/>
      <c r="AE34" s="142" t="n">
        <v>0</v>
      </c>
      <c r="AF34" s="262"/>
      <c r="AG34" s="263"/>
      <c r="AH34" s="142" t="n">
        <v>17.9</v>
      </c>
      <c r="AI34" s="113" t="n">
        <f aca="false">AI33-AH34</f>
        <v>992.436847624189</v>
      </c>
      <c r="AJ34" s="230"/>
      <c r="AK34" s="141" t="n">
        <f aca="false">N34+O34+P34+Q34+R34+S34+T34+U34+X34+AE34+AH34</f>
        <v>21.12</v>
      </c>
      <c r="AL34" s="142" t="n">
        <f aca="false">IF(L34&lt;0,L34*-1,0)</f>
        <v>0</v>
      </c>
      <c r="AM34" s="142" t="n">
        <f aca="false">AK34+AL34</f>
        <v>21.12</v>
      </c>
      <c r="AN34" s="146"/>
      <c r="AO34" s="226"/>
      <c r="AP34" s="142"/>
      <c r="AQ34" s="113"/>
      <c r="AR34" s="113"/>
      <c r="AS34" s="308"/>
      <c r="AV34" s="233" t="n">
        <v>0</v>
      </c>
      <c r="AW34" s="232" t="n">
        <v>56</v>
      </c>
      <c r="AX34" s="226" t="n">
        <v>19</v>
      </c>
      <c r="AY34" s="265"/>
      <c r="AZ34" s="264" t="n">
        <f aca="false">SUM(N34,P34:U34)</f>
        <v>3.22</v>
      </c>
      <c r="BA34" s="193" t="n">
        <v>0</v>
      </c>
      <c r="BB34" s="265" t="n">
        <v>7696</v>
      </c>
    </row>
    <row r="35" customFormat="false" ht="12.95" hidden="false" customHeight="true" outlineLevel="0" collapsed="false">
      <c r="A35" s="192" t="n">
        <f aca="false">A34+1</f>
        <v>21</v>
      </c>
      <c r="B35" s="112" t="n">
        <v>6869.59</v>
      </c>
      <c r="C35" s="113" t="n">
        <v>186719</v>
      </c>
      <c r="D35" s="226" t="n">
        <f aca="false">C35-C34</f>
        <v>80</v>
      </c>
      <c r="E35" s="113" t="n">
        <f aca="false">C35-152000</f>
        <v>34719</v>
      </c>
      <c r="F35" s="260" t="n">
        <f aca="false">D35/$D$2</f>
        <v>40.3327451474666</v>
      </c>
      <c r="G35" s="142" t="n">
        <v>61.5</v>
      </c>
      <c r="H35" s="307" t="n">
        <v>0</v>
      </c>
      <c r="I35" s="142" t="n">
        <f aca="false">G35+H35</f>
        <v>61.5</v>
      </c>
      <c r="J35" s="143" t="n">
        <f aca="false">IF(L35&gt;0,L35,0)</f>
        <v>0</v>
      </c>
      <c r="K35" s="142" t="n">
        <f aca="false">I35+J35</f>
        <v>61.5</v>
      </c>
      <c r="L35" s="142" t="n">
        <f aca="false">F35-(I35-AK35)</f>
        <v>-0.0472548525334062</v>
      </c>
      <c r="M35" s="262" t="n">
        <v>3.22</v>
      </c>
      <c r="N35" s="142" t="n">
        <v>0</v>
      </c>
      <c r="O35" s="142" t="n">
        <v>0</v>
      </c>
      <c r="P35" s="171" t="n">
        <v>0</v>
      </c>
      <c r="Q35" s="282" t="n">
        <f aca="false">883800/325851/1.9835*1.02</f>
        <v>1.39477099059684</v>
      </c>
      <c r="R35" s="138" t="n">
        <f aca="false">((1467780/646272)*1.04)-T35</f>
        <v>1.90438870949495</v>
      </c>
      <c r="S35" s="88" t="n">
        <v>0</v>
      </c>
      <c r="T35" s="138" t="n">
        <f aca="false">(0.4151*1.06)*1.04</f>
        <v>0.45760624</v>
      </c>
      <c r="U35" s="101" t="n">
        <f aca="false">M35-(Q35+R35+S35+T35)</f>
        <v>-0.536765940091787</v>
      </c>
      <c r="V35" s="142" t="n">
        <v>0</v>
      </c>
      <c r="W35" s="142" t="n">
        <v>0</v>
      </c>
      <c r="X35" s="142" t="n">
        <f aca="false">M35-N35-O35-P35-Q35-R35-S35-T35-U35+V35+W35</f>
        <v>0</v>
      </c>
      <c r="Y35" s="142" t="n">
        <f aca="false">X35-AO35</f>
        <v>0</v>
      </c>
      <c r="Z35" s="142"/>
      <c r="AA35" s="142"/>
      <c r="AB35" s="113"/>
      <c r="AC35" s="143"/>
      <c r="AD35" s="113"/>
      <c r="AE35" s="142" t="n">
        <v>0</v>
      </c>
      <c r="AF35" s="262"/>
      <c r="AG35" s="263"/>
      <c r="AH35" s="142" t="n">
        <v>17.9</v>
      </c>
      <c r="AI35" s="113" t="n">
        <f aca="false">AI34-AH35</f>
        <v>974.536847624189</v>
      </c>
      <c r="AJ35" s="230"/>
      <c r="AK35" s="141" t="n">
        <f aca="false">N35+O35+P35+Q35+R35+S35+T35+U35+X35+AE35+AH35</f>
        <v>21.12</v>
      </c>
      <c r="AL35" s="142" t="n">
        <f aca="false">IF(L35&lt;0,L35*-1,0)</f>
        <v>0.0472548525334062</v>
      </c>
      <c r="AM35" s="142" t="n">
        <f aca="false">AK35+AL35</f>
        <v>21.1672548525334</v>
      </c>
      <c r="AN35" s="146"/>
      <c r="AO35" s="226"/>
      <c r="AP35" s="142"/>
      <c r="AQ35" s="113"/>
      <c r="AR35" s="113"/>
      <c r="AS35" s="308"/>
      <c r="AV35" s="233" t="n">
        <v>0</v>
      </c>
      <c r="AW35" s="226" t="n">
        <v>49</v>
      </c>
      <c r="AX35" s="226" t="n">
        <v>21</v>
      </c>
      <c r="AY35" s="265"/>
      <c r="AZ35" s="264" t="n">
        <f aca="false">SUM(N35,P35:U35)</f>
        <v>3.22</v>
      </c>
      <c r="BA35" s="193" t="n">
        <v>0</v>
      </c>
      <c r="BB35" s="265" t="n">
        <v>7706</v>
      </c>
    </row>
    <row r="36" customFormat="false" ht="12.95" hidden="false" customHeight="true" outlineLevel="0" collapsed="false">
      <c r="A36" s="192" t="n">
        <f aca="false">A35+1</f>
        <v>22</v>
      </c>
      <c r="B36" s="112" t="n">
        <v>6869.61</v>
      </c>
      <c r="C36" s="113" t="n">
        <v>186772</v>
      </c>
      <c r="D36" s="226" t="n">
        <f aca="false">C36-C35</f>
        <v>53</v>
      </c>
      <c r="E36" s="113" t="n">
        <f aca="false">C36-152000</f>
        <v>34772</v>
      </c>
      <c r="F36" s="260" t="n">
        <f aca="false">D36/$D$2</f>
        <v>26.7204436601966</v>
      </c>
      <c r="G36" s="142" t="n">
        <v>47.8</v>
      </c>
      <c r="H36" s="307" t="n">
        <v>0</v>
      </c>
      <c r="I36" s="142" t="n">
        <f aca="false">G36+H36</f>
        <v>47.8</v>
      </c>
      <c r="J36" s="143" t="n">
        <f aca="false">IF(L36&gt;0,L36,0)</f>
        <v>0.0404436601966225</v>
      </c>
      <c r="K36" s="142" t="n">
        <f aca="false">I36+J36</f>
        <v>47.8404436601966</v>
      </c>
      <c r="L36" s="142" t="n">
        <f aca="false">F36-(I36-AK36)</f>
        <v>0.0404436601966225</v>
      </c>
      <c r="M36" s="262" t="n">
        <v>3.22</v>
      </c>
      <c r="N36" s="142" t="n">
        <v>0</v>
      </c>
      <c r="O36" s="142" t="n">
        <v>0</v>
      </c>
      <c r="P36" s="171" t="n">
        <v>0</v>
      </c>
      <c r="Q36" s="282" t="n">
        <f aca="false">942300/325851/1.9835*1.02</f>
        <v>1.48709289934306</v>
      </c>
      <c r="R36" s="138" t="n">
        <f aca="false">((1444960/646272)*1.04)-T36</f>
        <v>1.86766609115468</v>
      </c>
      <c r="S36" s="88" t="n">
        <v>0</v>
      </c>
      <c r="T36" s="138" t="n">
        <f aca="false">(0.4151*1.06)*1.04</f>
        <v>0.45760624</v>
      </c>
      <c r="U36" s="101" t="n">
        <f aca="false">M36-(Q36+R36+S36+T36)</f>
        <v>-0.592365230497748</v>
      </c>
      <c r="V36" s="142" t="n">
        <v>0</v>
      </c>
      <c r="W36" s="142" t="n">
        <v>0</v>
      </c>
      <c r="X36" s="142" t="n">
        <f aca="false">M36-N36-O36-P36-Q36-R36-S36-T36-U36+V36+W36</f>
        <v>0</v>
      </c>
      <c r="Y36" s="142" t="n">
        <f aca="false">X36-AO36</f>
        <v>0</v>
      </c>
      <c r="Z36" s="142"/>
      <c r="AA36" s="142"/>
      <c r="AB36" s="113"/>
      <c r="AC36" s="143"/>
      <c r="AD36" s="113"/>
      <c r="AE36" s="142" t="n">
        <v>0</v>
      </c>
      <c r="AF36" s="262"/>
      <c r="AG36" s="263"/>
      <c r="AH36" s="142" t="n">
        <v>17.9</v>
      </c>
      <c r="AI36" s="113" t="n">
        <f aca="false">AI35-AH36</f>
        <v>956.636847624189</v>
      </c>
      <c r="AJ36" s="230"/>
      <c r="AK36" s="141" t="n">
        <f aca="false">N36+O36+P36+Q36+R36+S36+T36+U36+X36+AE36+AH36</f>
        <v>21.12</v>
      </c>
      <c r="AL36" s="142" t="n">
        <f aca="false">IF(L36&lt;0,L36*-1,0)</f>
        <v>0</v>
      </c>
      <c r="AM36" s="142" t="n">
        <f aca="false">AK36+AL36</f>
        <v>21.12</v>
      </c>
      <c r="AN36" s="146"/>
      <c r="AO36" s="226"/>
      <c r="AP36" s="142"/>
      <c r="AQ36" s="113"/>
      <c r="AR36" s="113"/>
      <c r="AS36" s="308"/>
      <c r="AV36" s="233" t="n">
        <v>0</v>
      </c>
      <c r="AW36" s="226" t="n">
        <v>54</v>
      </c>
      <c r="AX36" s="226" t="n">
        <v>26</v>
      </c>
      <c r="AY36" s="265"/>
      <c r="AZ36" s="264" t="n">
        <f aca="false">SUM(N36,P36:U36)</f>
        <v>3.22</v>
      </c>
      <c r="BA36" s="193" t="n">
        <v>0</v>
      </c>
      <c r="BB36" s="265" t="n">
        <v>7674</v>
      </c>
    </row>
    <row r="37" customFormat="false" ht="12.95" hidden="false" customHeight="true" outlineLevel="0" collapsed="false">
      <c r="A37" s="192" t="n">
        <f aca="false">A36+1</f>
        <v>23</v>
      </c>
      <c r="B37" s="112" t="n">
        <v>6869.64</v>
      </c>
      <c r="C37" s="113" t="n">
        <v>186851</v>
      </c>
      <c r="D37" s="226" t="n">
        <f aca="false">C37-C36</f>
        <v>79</v>
      </c>
      <c r="E37" s="113" t="n">
        <f aca="false">C37-152000</f>
        <v>34851</v>
      </c>
      <c r="F37" s="260" t="n">
        <f aca="false">D37/$D$2</f>
        <v>39.8285858331233</v>
      </c>
      <c r="G37" s="142" t="n">
        <v>61.1</v>
      </c>
      <c r="H37" s="307" t="n">
        <v>0</v>
      </c>
      <c r="I37" s="142" t="n">
        <f aca="false">G37+H37</f>
        <v>61.1</v>
      </c>
      <c r="J37" s="143" t="n">
        <f aca="false">IF(L37&gt;0,L37,0)</f>
        <v>0</v>
      </c>
      <c r="K37" s="142" t="n">
        <f aca="false">I37+J37</f>
        <v>61.1</v>
      </c>
      <c r="L37" s="142" t="n">
        <f aca="false">F37-(I37-AK37)</f>
        <v>-0.0314141668767363</v>
      </c>
      <c r="M37" s="262" t="n">
        <v>3.34</v>
      </c>
      <c r="N37" s="142" t="n">
        <v>0</v>
      </c>
      <c r="O37" s="142" t="n">
        <v>0</v>
      </c>
      <c r="P37" s="171" t="n">
        <v>0</v>
      </c>
      <c r="Q37" s="282" t="n">
        <f aca="false">1036300/325851/1.9835*1.02</f>
        <v>1.63543921425153</v>
      </c>
      <c r="R37" s="138" t="n">
        <f aca="false">((1261184/646272)*1.04)-T37</f>
        <v>1.57192832129927</v>
      </c>
      <c r="S37" s="88" t="n">
        <v>0</v>
      </c>
      <c r="T37" s="138" t="n">
        <f aca="false">(0.4151*1.06)*1.04</f>
        <v>0.45760624</v>
      </c>
      <c r="U37" s="101" t="n">
        <f aca="false">M37-(Q37+R37+S37+T37)</f>
        <v>-0.324973775550798</v>
      </c>
      <c r="V37" s="142" t="n">
        <v>0</v>
      </c>
      <c r="W37" s="142" t="n">
        <v>0</v>
      </c>
      <c r="X37" s="142" t="n">
        <f aca="false">M37-N37-O37-P37-Q37-R37-S37-T37-U37+V37+W37</f>
        <v>0</v>
      </c>
      <c r="Y37" s="142" t="n">
        <f aca="false">X37-AO37</f>
        <v>0</v>
      </c>
      <c r="Z37" s="142"/>
      <c r="AA37" s="142"/>
      <c r="AB37" s="113"/>
      <c r="AC37" s="143"/>
      <c r="AD37" s="113"/>
      <c r="AE37" s="142" t="n">
        <v>0</v>
      </c>
      <c r="AF37" s="262"/>
      <c r="AG37" s="263"/>
      <c r="AH37" s="142" t="n">
        <v>17.9</v>
      </c>
      <c r="AI37" s="113" t="n">
        <f aca="false">AI36-AH37</f>
        <v>938.736847624189</v>
      </c>
      <c r="AJ37" s="230"/>
      <c r="AK37" s="141" t="n">
        <f aca="false">N37+O37+P37+Q37+R37+S37+T37+U37+X37+AE37+AH37</f>
        <v>21.24</v>
      </c>
      <c r="AL37" s="142" t="n">
        <f aca="false">IF(L37&lt;0,L37*-1,0)</f>
        <v>0.0314141668767363</v>
      </c>
      <c r="AM37" s="142" t="n">
        <f aca="false">AK37+AL37</f>
        <v>21.2714141668767</v>
      </c>
      <c r="AN37" s="146"/>
      <c r="AO37" s="226"/>
      <c r="AP37" s="142"/>
      <c r="AQ37" s="113"/>
      <c r="AR37" s="113"/>
      <c r="AS37" s="308"/>
      <c r="AV37" s="233" t="n">
        <v>0</v>
      </c>
      <c r="AW37" s="226" t="n">
        <v>57</v>
      </c>
      <c r="AX37" s="232" t="n">
        <v>25</v>
      </c>
      <c r="AY37" s="265"/>
      <c r="AZ37" s="264" t="n">
        <f aca="false">SUM(N37,P37:U37)</f>
        <v>3.34</v>
      </c>
      <c r="BA37" s="193" t="n">
        <v>0</v>
      </c>
      <c r="BB37" s="265" t="n">
        <v>7654</v>
      </c>
    </row>
    <row r="38" customFormat="false" ht="12.95" hidden="false" customHeight="true" outlineLevel="0" collapsed="false">
      <c r="A38" s="192" t="n">
        <f aca="false">A37+1</f>
        <v>24</v>
      </c>
      <c r="B38" s="112" t="n">
        <v>6869.7</v>
      </c>
      <c r="C38" s="113" t="n">
        <v>187010</v>
      </c>
      <c r="D38" s="226" t="n">
        <f aca="false">C38-C37</f>
        <v>159</v>
      </c>
      <c r="E38" s="113" t="n">
        <f aca="false">C38-152000</f>
        <v>35010</v>
      </c>
      <c r="F38" s="260" t="n">
        <f aca="false">D38/$D$2</f>
        <v>80.1613309805899</v>
      </c>
      <c r="G38" s="142" t="n">
        <v>101</v>
      </c>
      <c r="H38" s="307" t="n">
        <v>0</v>
      </c>
      <c r="I38" s="142" t="n">
        <f aca="false">G38+H38</f>
        <v>101</v>
      </c>
      <c r="J38" s="143" t="n">
        <f aca="false">IF(L38&gt;0,L38,0)</f>
        <v>0</v>
      </c>
      <c r="K38" s="142" t="n">
        <f aca="false">I38+J38</f>
        <v>101</v>
      </c>
      <c r="L38" s="142" t="n">
        <f aca="false">F38-(I38-AK38)</f>
        <v>-0.0386690194101362</v>
      </c>
      <c r="M38" s="262" t="n">
        <v>2.9</v>
      </c>
      <c r="N38" s="142" t="n">
        <v>0</v>
      </c>
      <c r="O38" s="142" t="n">
        <v>0</v>
      </c>
      <c r="P38" s="171" t="n">
        <v>0</v>
      </c>
      <c r="Q38" s="282" t="n">
        <f aca="false">928400/325851/1.9835*1.02</f>
        <v>1.46515658256405</v>
      </c>
      <c r="R38" s="138" t="n">
        <f aca="false">((1182222/646272)*1.04)-T38</f>
        <v>1.44486033754011</v>
      </c>
      <c r="S38" s="88" t="n">
        <v>0</v>
      </c>
      <c r="T38" s="138" t="n">
        <f aca="false">(0.4151*1.06)*1.04</f>
        <v>0.45760624</v>
      </c>
      <c r="U38" s="101" t="n">
        <f aca="false">M38-(Q38+R38+S38+T38)</f>
        <v>-0.467623160104153</v>
      </c>
      <c r="V38" s="142" t="n">
        <v>0</v>
      </c>
      <c r="W38" s="142" t="n">
        <v>0</v>
      </c>
      <c r="X38" s="142" t="n">
        <f aca="false">M38-N38-O38-P38-Q38-R38-S38-T38-U38+V38+W38</f>
        <v>0</v>
      </c>
      <c r="Y38" s="142" t="n">
        <f aca="false">X38-AO38</f>
        <v>0</v>
      </c>
      <c r="Z38" s="142"/>
      <c r="AA38" s="142"/>
      <c r="AB38" s="113"/>
      <c r="AC38" s="143"/>
      <c r="AD38" s="113"/>
      <c r="AE38" s="142" t="n">
        <v>0</v>
      </c>
      <c r="AF38" s="262"/>
      <c r="AG38" s="263"/>
      <c r="AH38" s="142" t="n">
        <v>17.9</v>
      </c>
      <c r="AI38" s="113" t="n">
        <f aca="false">AI37-AH38</f>
        <v>920.836847624189</v>
      </c>
      <c r="AJ38" s="230"/>
      <c r="AK38" s="141" t="n">
        <f aca="false">N38+O38+P38+Q38+R38+S38+T38+U38+X38+AE38+AH38</f>
        <v>20.8</v>
      </c>
      <c r="AL38" s="142" t="n">
        <f aca="false">IF(L38&lt;0,L38*-1,0)</f>
        <v>0.0386690194101362</v>
      </c>
      <c r="AM38" s="142" t="n">
        <f aca="false">AK38+AL38</f>
        <v>20.8386690194101</v>
      </c>
      <c r="AN38" s="146"/>
      <c r="AO38" s="226"/>
      <c r="AP38" s="142"/>
      <c r="AQ38" s="113"/>
      <c r="AR38" s="113"/>
      <c r="AS38" s="308"/>
      <c r="AV38" s="233" t="n">
        <v>0</v>
      </c>
      <c r="AW38" s="226" t="n">
        <v>61</v>
      </c>
      <c r="AX38" s="232" t="n">
        <v>32</v>
      </c>
      <c r="AY38" s="265"/>
      <c r="AZ38" s="264" t="n">
        <f aca="false">SUM(N38,P38:U38)</f>
        <v>2.9</v>
      </c>
      <c r="BA38" s="193" t="n">
        <v>0</v>
      </c>
      <c r="BB38" s="265" t="n">
        <v>7703</v>
      </c>
    </row>
    <row r="39" customFormat="false" ht="12.95" hidden="false" customHeight="true" outlineLevel="0" collapsed="false">
      <c r="A39" s="192" t="n">
        <f aca="false">A38+1</f>
        <v>25</v>
      </c>
      <c r="B39" s="112" t="n">
        <v>6869.75</v>
      </c>
      <c r="C39" s="113" t="n">
        <v>187142</v>
      </c>
      <c r="D39" s="226" t="n">
        <f aca="false">C39-C38</f>
        <v>132</v>
      </c>
      <c r="E39" s="113" t="n">
        <f aca="false">C39-152000</f>
        <v>35142</v>
      </c>
      <c r="F39" s="260" t="n">
        <f aca="false">D39/$D$2</f>
        <v>66.5490294933199</v>
      </c>
      <c r="G39" s="142" t="n">
        <v>87.2</v>
      </c>
      <c r="H39" s="307" t="n">
        <v>0</v>
      </c>
      <c r="I39" s="142" t="n">
        <f aca="false">G39+H39</f>
        <v>87.2</v>
      </c>
      <c r="J39" s="143" t="n">
        <f aca="false">IF(L39&gt;0,L39,0)</f>
        <v>0.00902949331988623</v>
      </c>
      <c r="K39" s="142" t="n">
        <f aca="false">I39+J39</f>
        <v>87.2090294933199</v>
      </c>
      <c r="L39" s="142" t="n">
        <f aca="false">F39-(I39-AK39)</f>
        <v>0.00902949331988623</v>
      </c>
      <c r="M39" s="262" t="n">
        <v>2.76</v>
      </c>
      <c r="N39" s="142" t="n">
        <v>0</v>
      </c>
      <c r="O39" s="142" t="n">
        <v>0</v>
      </c>
      <c r="P39" s="171" t="n">
        <v>0</v>
      </c>
      <c r="Q39" s="282" t="n">
        <f aca="false">910800/325851/1.9835*1.02</f>
        <v>1.43738110232586</v>
      </c>
      <c r="R39" s="138" t="n">
        <f aca="false">((1178594/646272)*1.04)-T39</f>
        <v>1.43902205273123</v>
      </c>
      <c r="S39" s="88" t="n">
        <v>0</v>
      </c>
      <c r="T39" s="138" t="n">
        <f aca="false">(0.4151*1.06)*1.04</f>
        <v>0.45760624</v>
      </c>
      <c r="U39" s="101" t="n">
        <f aca="false">M39-(Q39+R39+S39+T39)</f>
        <v>-0.574009395057099</v>
      </c>
      <c r="V39" s="142" t="n">
        <v>0</v>
      </c>
      <c r="W39" s="142" t="n">
        <v>0</v>
      </c>
      <c r="X39" s="142" t="n">
        <f aca="false">M39-N39-O39-P39-Q39-R39-S39-T39-U39+V39+W39</f>
        <v>0</v>
      </c>
      <c r="Y39" s="142" t="n">
        <f aca="false">X39-AO39</f>
        <v>0</v>
      </c>
      <c r="Z39" s="142"/>
      <c r="AA39" s="142"/>
      <c r="AB39" s="113"/>
      <c r="AC39" s="143"/>
      <c r="AD39" s="113"/>
      <c r="AE39" s="142" t="n">
        <v>0</v>
      </c>
      <c r="AF39" s="262"/>
      <c r="AG39" s="263"/>
      <c r="AH39" s="142" t="n">
        <v>17.9</v>
      </c>
      <c r="AI39" s="113" t="n">
        <f aca="false">AI38-AH39</f>
        <v>902.936847624189</v>
      </c>
      <c r="AJ39" s="230"/>
      <c r="AK39" s="141" t="n">
        <f aca="false">N39+O39+P39+Q39+R39+S39+T39+U39+X39+AE39+AH39</f>
        <v>20.66</v>
      </c>
      <c r="AL39" s="142" t="n">
        <f aca="false">IF(L39&lt;0,L39*-1,0)</f>
        <v>0</v>
      </c>
      <c r="AM39" s="142" t="n">
        <f aca="false">AK39+AL39</f>
        <v>20.66</v>
      </c>
      <c r="AN39" s="146"/>
      <c r="AO39" s="226"/>
      <c r="AP39" s="142"/>
      <c r="AQ39" s="113"/>
      <c r="AR39" s="113"/>
      <c r="AS39" s="308"/>
      <c r="AV39" s="233" t="n">
        <v>0</v>
      </c>
      <c r="AW39" s="226" t="n">
        <v>61</v>
      </c>
      <c r="AX39" s="232" t="n">
        <v>31</v>
      </c>
      <c r="AY39" s="265"/>
      <c r="AZ39" s="264" t="n">
        <f aca="false">SUM(N39,P39:U39)</f>
        <v>2.76</v>
      </c>
      <c r="BA39" s="193" t="n">
        <v>0</v>
      </c>
      <c r="BB39" s="265" t="n">
        <v>7704</v>
      </c>
    </row>
    <row r="40" customFormat="false" ht="12.95" hidden="false" customHeight="true" outlineLevel="0" collapsed="false">
      <c r="A40" s="192" t="n">
        <f aca="false">A39+1</f>
        <v>26</v>
      </c>
      <c r="B40" s="112" t="n">
        <v>6869.81</v>
      </c>
      <c r="C40" s="113" t="n">
        <v>187301</v>
      </c>
      <c r="D40" s="226" t="n">
        <f aca="false">C40-C39</f>
        <v>159</v>
      </c>
      <c r="E40" s="113" t="n">
        <f aca="false">C40-152000</f>
        <v>35301</v>
      </c>
      <c r="F40" s="260" t="n">
        <f aca="false">D40/$D$2</f>
        <v>80.1613309805899</v>
      </c>
      <c r="G40" s="142" t="n">
        <v>101.2</v>
      </c>
      <c r="H40" s="307" t="n">
        <v>0</v>
      </c>
      <c r="I40" s="142" t="n">
        <f aca="false">G40+H40</f>
        <v>101.2</v>
      </c>
      <c r="J40" s="143" t="n">
        <f aca="false">IF(L40&gt;0,L40,0)</f>
        <v>0.0313309805898712</v>
      </c>
      <c r="K40" s="142" t="n">
        <f aca="false">I40+J40</f>
        <v>101.23133098059</v>
      </c>
      <c r="L40" s="142" t="n">
        <f aca="false">F40-(I40-AK40)</f>
        <v>0.0313309805898712</v>
      </c>
      <c r="M40" s="262" t="n">
        <v>3.17</v>
      </c>
      <c r="N40" s="142" t="n">
        <v>0</v>
      </c>
      <c r="O40" s="142" t="n">
        <v>0</v>
      </c>
      <c r="P40" s="171" t="n">
        <v>0</v>
      </c>
      <c r="Q40" s="282" t="n">
        <f aca="false">924400/325851/1.9835*1.02</f>
        <v>1.458843973419</v>
      </c>
      <c r="R40" s="138" t="n">
        <f aca="false">((1194464/646272)*1.04)-T40</f>
        <v>1.46456052569618</v>
      </c>
      <c r="S40" s="88" t="n">
        <v>0</v>
      </c>
      <c r="T40" s="138" t="n">
        <f aca="false">(0.4151*1.06)*1.04</f>
        <v>0.45760624</v>
      </c>
      <c r="U40" s="101" t="n">
        <f aca="false">M40-(Q40+R40+S40+T40)</f>
        <v>-0.211010739115183</v>
      </c>
      <c r="V40" s="142" t="n">
        <v>0</v>
      </c>
      <c r="W40" s="142" t="n">
        <v>0</v>
      </c>
      <c r="X40" s="142" t="n">
        <f aca="false">M40-N40-O40-P40-Q40-R40-S40-T40-U40+V40+W40</f>
        <v>0</v>
      </c>
      <c r="Y40" s="142" t="n">
        <f aca="false">X40-AO40</f>
        <v>0</v>
      </c>
      <c r="Z40" s="142"/>
      <c r="AA40" s="142"/>
      <c r="AB40" s="113"/>
      <c r="AC40" s="143"/>
      <c r="AD40" s="113"/>
      <c r="AE40" s="142" t="n">
        <v>0</v>
      </c>
      <c r="AF40" s="262"/>
      <c r="AG40" s="263"/>
      <c r="AH40" s="142" t="n">
        <v>17.9</v>
      </c>
      <c r="AI40" s="113" t="n">
        <f aca="false">AI39-AH40</f>
        <v>885.036847624189</v>
      </c>
      <c r="AJ40" s="230"/>
      <c r="AK40" s="141" t="n">
        <f aca="false">N40+O40+P40+Q40+R40+S40+T40+U40+X40+AE40+AH40</f>
        <v>21.07</v>
      </c>
      <c r="AL40" s="142" t="n">
        <f aca="false">IF(L40&lt;0,L40*-1,0)</f>
        <v>0</v>
      </c>
      <c r="AM40" s="142" t="n">
        <f aca="false">AK40+AL40</f>
        <v>21.07</v>
      </c>
      <c r="AN40" s="146"/>
      <c r="AO40" s="226"/>
      <c r="AP40" s="142"/>
      <c r="AQ40" s="113"/>
      <c r="AR40" s="113"/>
      <c r="AS40" s="308"/>
      <c r="AV40" s="233" t="n">
        <v>0</v>
      </c>
      <c r="AW40" s="226" t="n">
        <v>62</v>
      </c>
      <c r="AX40" s="226" t="n">
        <v>26</v>
      </c>
      <c r="AY40" s="265"/>
      <c r="AZ40" s="264" t="n">
        <f aca="false">SUM(N40,P40:U40)</f>
        <v>3.17</v>
      </c>
      <c r="BA40" s="193" t="n">
        <v>0</v>
      </c>
      <c r="BB40" s="265" t="n">
        <v>7749</v>
      </c>
    </row>
    <row r="41" customFormat="false" ht="12.95" hidden="false" customHeight="true" outlineLevel="0" collapsed="false">
      <c r="A41" s="192" t="n">
        <f aca="false">A40+1</f>
        <v>27</v>
      </c>
      <c r="B41" s="112" t="n">
        <v>6869.92</v>
      </c>
      <c r="C41" s="113" t="n">
        <v>187591</v>
      </c>
      <c r="D41" s="226" t="n">
        <f aca="false">C41-C40</f>
        <v>290</v>
      </c>
      <c r="E41" s="113" t="n">
        <f aca="false">C41-152000</f>
        <v>35591</v>
      </c>
      <c r="F41" s="260" t="n">
        <f aca="false">D41/$D$2</f>
        <v>146.206201159566</v>
      </c>
      <c r="G41" s="142" t="n">
        <v>167.2</v>
      </c>
      <c r="H41" s="307" t="n">
        <v>0</v>
      </c>
      <c r="I41" s="142" t="n">
        <f aca="false">G41+H41</f>
        <v>167.2</v>
      </c>
      <c r="J41" s="143" t="n">
        <f aca="false">IF(L41&gt;0,L41,0)</f>
        <v>0.0262011595664546</v>
      </c>
      <c r="K41" s="142" t="n">
        <f aca="false">I41+J41</f>
        <v>167.226201159566</v>
      </c>
      <c r="L41" s="142" t="n">
        <f aca="false">F41-(I41-AK41)</f>
        <v>0.0262011595664546</v>
      </c>
      <c r="M41" s="262" t="n">
        <v>2.92</v>
      </c>
      <c r="N41" s="142" t="n">
        <v>0</v>
      </c>
      <c r="O41" s="142" t="n">
        <v>0</v>
      </c>
      <c r="P41" s="171" t="n">
        <v>0</v>
      </c>
      <c r="Q41" s="282" t="n">
        <f aca="false">954100/325851/1.9835*1.02</f>
        <v>1.50571509632094</v>
      </c>
      <c r="R41" s="138" t="n">
        <f aca="false">((1205792/646272)*1.04)-T41</f>
        <v>1.48278987804318</v>
      </c>
      <c r="S41" s="88" t="n">
        <v>0</v>
      </c>
      <c r="T41" s="138" t="n">
        <f aca="false">(0.4151*1.06)*1.04</f>
        <v>0.45760624</v>
      </c>
      <c r="U41" s="101" t="n">
        <f aca="false">M41-(Q41+R41+S41+T41)</f>
        <v>-0.526111214364112</v>
      </c>
      <c r="V41" s="142" t="n">
        <v>0</v>
      </c>
      <c r="W41" s="142" t="n">
        <v>0</v>
      </c>
      <c r="X41" s="142" t="n">
        <f aca="false">M41-N41-O41-P41-Q41-R41-S41-T41-U41+V41+W41</f>
        <v>0</v>
      </c>
      <c r="Y41" s="142" t="n">
        <f aca="false">X41-AO41</f>
        <v>0</v>
      </c>
      <c r="Z41" s="142"/>
      <c r="AA41" s="142"/>
      <c r="AB41" s="113"/>
      <c r="AC41" s="143"/>
      <c r="AD41" s="113"/>
      <c r="AE41" s="142" t="n">
        <v>0</v>
      </c>
      <c r="AF41" s="262"/>
      <c r="AG41" s="263"/>
      <c r="AH41" s="142" t="n">
        <v>18.1</v>
      </c>
      <c r="AI41" s="113" t="n">
        <f aca="false">AI40-AH41</f>
        <v>866.936847624189</v>
      </c>
      <c r="AJ41" s="230"/>
      <c r="AK41" s="141" t="n">
        <f aca="false">N41+O41+P41+Q41+R41+S41+T41+U41+X41+AE41+AH41</f>
        <v>21.02</v>
      </c>
      <c r="AL41" s="142" t="n">
        <f aca="false">IF(L41&lt;0,L41*-1,0)</f>
        <v>0</v>
      </c>
      <c r="AM41" s="142" t="n">
        <f aca="false">AK41+AL41</f>
        <v>21.02</v>
      </c>
      <c r="AN41" s="146"/>
      <c r="AO41" s="226"/>
      <c r="AP41" s="142"/>
      <c r="AQ41" s="113"/>
      <c r="AR41" s="113"/>
      <c r="AS41" s="308"/>
      <c r="AV41" s="233" t="n">
        <v>0.1</v>
      </c>
      <c r="AW41" s="226" t="n">
        <v>51</v>
      </c>
      <c r="AX41" s="226" t="n">
        <v>27</v>
      </c>
      <c r="AY41" s="265"/>
      <c r="AZ41" s="264" t="n">
        <f aca="false">SUM(N41,P41:U41)</f>
        <v>2.92</v>
      </c>
      <c r="BA41" s="193" t="n">
        <v>0</v>
      </c>
      <c r="BB41" s="265" t="n">
        <v>7340</v>
      </c>
    </row>
    <row r="42" customFormat="false" ht="12.95" hidden="false" customHeight="true" outlineLevel="0" collapsed="false">
      <c r="A42" s="192" t="n">
        <v>28</v>
      </c>
      <c r="B42" s="112" t="n">
        <v>6870.03</v>
      </c>
      <c r="C42" s="113" t="n">
        <v>187883</v>
      </c>
      <c r="D42" s="226" t="n">
        <f aca="false">C42-C41</f>
        <v>292</v>
      </c>
      <c r="E42" s="113" t="n">
        <f aca="false">C42-152000</f>
        <v>35883</v>
      </c>
      <c r="F42" s="260" t="n">
        <f aca="false">D42/$D$2</f>
        <v>147.214519788253</v>
      </c>
      <c r="G42" s="142" t="n">
        <v>168.5</v>
      </c>
      <c r="H42" s="307" t="n">
        <v>0</v>
      </c>
      <c r="I42" s="142" t="n">
        <f aca="false">G42+H42</f>
        <v>168.5</v>
      </c>
      <c r="J42" s="143" t="n">
        <f aca="false">IF(L42&gt;0,L42,0)</f>
        <v>0</v>
      </c>
      <c r="K42" s="142" t="n">
        <f aca="false">I42+J42</f>
        <v>168.5</v>
      </c>
      <c r="L42" s="142" t="n">
        <f aca="false">F42-(I42-AK42)</f>
        <v>-0.0454802117469058</v>
      </c>
      <c r="M42" s="262" t="n">
        <v>3.34</v>
      </c>
      <c r="N42" s="142" t="n">
        <v>0</v>
      </c>
      <c r="O42" s="142" t="n">
        <v>0</v>
      </c>
      <c r="P42" s="171" t="n">
        <v>0</v>
      </c>
      <c r="Q42" s="282" t="n">
        <f aca="false">759200/325851/1.9835*1.02</f>
        <v>1.19813321572881</v>
      </c>
      <c r="R42" s="138" t="n">
        <f aca="false">((1219552/646272)*1.04)-T42</f>
        <v>1.46535671665676</v>
      </c>
      <c r="S42" s="88" t="n">
        <v>0</v>
      </c>
      <c r="T42" s="138" t="n">
        <f aca="false">(0.451*1.06)*1.04</f>
        <v>0.4971824</v>
      </c>
      <c r="U42" s="101" t="n">
        <f aca="false">M42-(Q42+R42+S42+T42)</f>
        <v>0.17932766761443</v>
      </c>
      <c r="V42" s="142" t="n">
        <v>0</v>
      </c>
      <c r="W42" s="142" t="n">
        <v>0</v>
      </c>
      <c r="X42" s="142" t="n">
        <f aca="false">M42-N42-O42-P42-Q42-R42-S42-T42-U42+V42+W42</f>
        <v>0</v>
      </c>
      <c r="Y42" s="142" t="n">
        <f aca="false">X42-AO42</f>
        <v>0</v>
      </c>
      <c r="Z42" s="142"/>
      <c r="AA42" s="142"/>
      <c r="AB42" s="113"/>
      <c r="AC42" s="143"/>
      <c r="AD42" s="113"/>
      <c r="AE42" s="142" t="n">
        <v>0</v>
      </c>
      <c r="AF42" s="262"/>
      <c r="AG42" s="263"/>
      <c r="AH42" s="142" t="n">
        <v>17.9</v>
      </c>
      <c r="AI42" s="113" t="n">
        <f aca="false">AI41-AH42</f>
        <v>849.036847624189</v>
      </c>
      <c r="AJ42" s="230"/>
      <c r="AK42" s="141" t="n">
        <f aca="false">N42+O42+P42+Q42+R42+S42+T42+U42+X42+AE42+AH42</f>
        <v>21.24</v>
      </c>
      <c r="AL42" s="142" t="n">
        <f aca="false">IF(L42&lt;0,L42*-1,0)</f>
        <v>0.0454802117469058</v>
      </c>
      <c r="AM42" s="142" t="n">
        <f aca="false">AK42+AL42</f>
        <v>21.2854802117469</v>
      </c>
      <c r="AN42" s="146"/>
      <c r="AO42" s="226"/>
      <c r="AP42" s="142"/>
      <c r="AQ42" s="113"/>
      <c r="AR42" s="113"/>
      <c r="AS42" s="308"/>
      <c r="AV42" s="233" t="n">
        <v>0.34</v>
      </c>
      <c r="AW42" s="226" t="n">
        <v>51</v>
      </c>
      <c r="AX42" s="226" t="n">
        <v>20</v>
      </c>
      <c r="AY42" s="265"/>
      <c r="AZ42" s="264" t="n">
        <f aca="false">SUM(N42,P42:U42)</f>
        <v>3.34</v>
      </c>
      <c r="BA42" s="193" t="n">
        <v>0</v>
      </c>
      <c r="BB42" s="265" t="n">
        <v>7072</v>
      </c>
    </row>
    <row r="43" customFormat="false" ht="3" hidden="false" customHeight="true" outlineLevel="0" collapsed="false">
      <c r="A43" s="320"/>
      <c r="B43" s="267"/>
      <c r="C43" s="247"/>
      <c r="D43" s="247"/>
      <c r="E43" s="247"/>
      <c r="F43" s="270"/>
      <c r="G43" s="247"/>
      <c r="H43" s="257"/>
      <c r="I43" s="247"/>
      <c r="J43" s="247"/>
      <c r="K43" s="247"/>
      <c r="L43" s="247"/>
      <c r="M43" s="271"/>
      <c r="N43" s="247"/>
      <c r="O43" s="247"/>
      <c r="P43" s="252"/>
      <c r="Q43" s="247"/>
      <c r="R43" s="247"/>
      <c r="S43" s="257"/>
      <c r="T43" s="257"/>
      <c r="U43" s="253"/>
      <c r="V43" s="247"/>
      <c r="W43" s="247"/>
      <c r="X43" s="247"/>
      <c r="Y43" s="247"/>
      <c r="Z43" s="247"/>
      <c r="AA43" s="247"/>
      <c r="AB43" s="247"/>
      <c r="AC43" s="254"/>
      <c r="AD43" s="247"/>
      <c r="AE43" s="247"/>
      <c r="AF43" s="271"/>
      <c r="AG43" s="272"/>
      <c r="AH43" s="247"/>
      <c r="AI43" s="248"/>
      <c r="AJ43" s="321"/>
      <c r="AK43" s="247"/>
      <c r="AL43" s="247"/>
      <c r="AM43" s="270"/>
      <c r="AN43" s="257"/>
      <c r="AO43" s="257"/>
      <c r="AP43" s="247"/>
      <c r="AQ43" s="247"/>
      <c r="AR43" s="247"/>
      <c r="AS43" s="257"/>
      <c r="AT43" s="315"/>
      <c r="AU43" s="315"/>
      <c r="AV43" s="274"/>
      <c r="AW43" s="247"/>
      <c r="AX43" s="247"/>
      <c r="AY43" s="247"/>
      <c r="AZ43" s="247"/>
      <c r="BA43" s="247"/>
      <c r="BB43" s="247"/>
    </row>
    <row r="44" customFormat="false" ht="12.95" hidden="false" customHeight="true" outlineLevel="0" collapsed="false">
      <c r="A44" s="197" t="s">
        <v>105</v>
      </c>
      <c r="B44" s="231"/>
      <c r="C44" s="226"/>
      <c r="D44" s="226"/>
      <c r="E44" s="226"/>
      <c r="F44" s="234" t="n">
        <f aca="false">SUM(F15:F42)</f>
        <v>1715.65414671036</v>
      </c>
      <c r="G44" s="226" t="n">
        <f aca="false">SUM(G15:G42)</f>
        <v>2113.5</v>
      </c>
      <c r="H44" s="226" t="n">
        <f aca="false">SUM(H15:H42)</f>
        <v>0</v>
      </c>
      <c r="I44" s="226" t="n">
        <f aca="false">SUM(I15:I42)</f>
        <v>2113.5</v>
      </c>
      <c r="J44" s="226" t="n">
        <f aca="false">SUM(J15:J42)</f>
        <v>207.378989160575</v>
      </c>
      <c r="K44" s="226" t="n">
        <f aca="false">SUM(K15:K42)</f>
        <v>2320.87898916057</v>
      </c>
      <c r="L44" s="226" t="n">
        <f aca="false">SUM(L15:L42)</f>
        <v>185.56414671036</v>
      </c>
      <c r="M44" s="322" t="n">
        <f aca="false">SUM(M15:M42)</f>
        <v>83.71</v>
      </c>
      <c r="N44" s="226" t="n">
        <f aca="false">SUM(N15:N42)</f>
        <v>0</v>
      </c>
      <c r="O44" s="226" t="n">
        <f aca="false">SUM(O15:O42)</f>
        <v>0</v>
      </c>
      <c r="P44" s="226" t="n">
        <f aca="false">SUM(P15:P42)</f>
        <v>0</v>
      </c>
      <c r="Q44" s="226" t="n">
        <f aca="false">SUM(Q15:Q42)</f>
        <v>39.5769030348354</v>
      </c>
      <c r="R44" s="226" t="n">
        <f aca="false">SUM(R15:R42)</f>
        <v>42.4030339883858</v>
      </c>
      <c r="S44" s="226" t="n">
        <f aca="false">SUM(S15:S42)</f>
        <v>0</v>
      </c>
      <c r="T44" s="226" t="n">
        <f aca="false">SUM(T15:T42)</f>
        <v>12.46417536</v>
      </c>
      <c r="U44" s="323" t="n">
        <f aca="false">SUM(U15:U42)</f>
        <v>-10.7341123832212</v>
      </c>
      <c r="V44" s="226" t="n">
        <f aca="false">SUM(V15:V42)</f>
        <v>0</v>
      </c>
      <c r="W44" s="226" t="n">
        <f aca="false">SUM(W15:W42)</f>
        <v>0</v>
      </c>
      <c r="X44" s="226" t="n">
        <f aca="false">SUM(X15:X42)</f>
        <v>-1.66533453693773E-016</v>
      </c>
      <c r="Y44" s="226" t="n">
        <f aca="false">SUM(Y15:Y42)</f>
        <v>-1.66533453693773E-016</v>
      </c>
      <c r="Z44" s="226"/>
      <c r="AA44" s="226"/>
      <c r="AB44" s="226"/>
      <c r="AC44" s="143" t="n">
        <f aca="false">SUM(AC15:AC42)</f>
        <v>0</v>
      </c>
      <c r="AD44" s="226"/>
      <c r="AE44" s="226"/>
      <c r="AF44" s="262"/>
      <c r="AG44" s="263"/>
      <c r="AH44" s="226" t="n">
        <f aca="false">SUM(AH15:AH42)</f>
        <v>499.7</v>
      </c>
      <c r="AI44" s="226"/>
      <c r="AJ44" s="226" t="n">
        <f aca="false">SUM(AJ15:AJ42)</f>
        <v>0</v>
      </c>
      <c r="AK44" s="226" t="n">
        <f aca="false">SUM(AK15:AK42)</f>
        <v>583.41</v>
      </c>
      <c r="AL44" s="226" t="n">
        <f aca="false">SUM(AL15:AL42)</f>
        <v>21.8148424502143</v>
      </c>
      <c r="AM44" s="234" t="n">
        <f aca="false">SUM(AM15:AM42)</f>
        <v>605.224842450214</v>
      </c>
      <c r="AN44" s="226" t="n">
        <f aca="false">SUM(AN15:AN42)</f>
        <v>0</v>
      </c>
      <c r="AO44" s="226" t="n">
        <f aca="false">SUM(AO15:AO42)</f>
        <v>0</v>
      </c>
      <c r="AP44" s="142"/>
      <c r="AQ44" s="142"/>
      <c r="AR44" s="142"/>
      <c r="AS44" s="308"/>
      <c r="AV44" s="233" t="n">
        <f aca="false">SUM(AV15:AV42)</f>
        <v>0.92</v>
      </c>
      <c r="AW44" s="226" t="n">
        <f aca="false">AVERAGE(AW15:AW42)</f>
        <v>51.1071428571429</v>
      </c>
      <c r="AX44" s="226" t="n">
        <f aca="false">AVERAGE(AX15:AX42)</f>
        <v>22.6785714285714</v>
      </c>
      <c r="AY44" s="324" t="s">
        <v>123</v>
      </c>
      <c r="AZ44" s="325" t="n">
        <f aca="false">SUM(AZ15:AZ42)</f>
        <v>83.71</v>
      </c>
      <c r="BA44" s="193" t="n">
        <f aca="false">SUM(BA15:BA42)</f>
        <v>0</v>
      </c>
      <c r="BB44" s="265"/>
    </row>
    <row r="45" customFormat="false" ht="12.95" hidden="false" customHeight="true" outlineLevel="0" collapsed="false">
      <c r="A45" s="197" t="s">
        <v>107</v>
      </c>
      <c r="B45" s="231"/>
      <c r="C45" s="226"/>
      <c r="D45" s="226" t="n">
        <f aca="false">SUM(D15:D42)</f>
        <v>3403</v>
      </c>
      <c r="E45" s="226"/>
      <c r="F45" s="234" t="n">
        <f aca="false">F44*$D$2</f>
        <v>3403</v>
      </c>
      <c r="G45" s="226" t="n">
        <f aca="false">G44*$D$2</f>
        <v>4192.12725</v>
      </c>
      <c r="H45" s="226" t="n">
        <f aca="false">H44*$D$2</f>
        <v>0</v>
      </c>
      <c r="I45" s="226" t="n">
        <f aca="false">I44*$D$2</f>
        <v>4192.12725</v>
      </c>
      <c r="J45" s="226" t="n">
        <f aca="false">J44*$D$2</f>
        <v>411.336225</v>
      </c>
      <c r="K45" s="226" t="n">
        <f aca="false">K44*$D$2</f>
        <v>4603.463475</v>
      </c>
      <c r="L45" s="226" t="n">
        <f aca="false">L44*$D$2</f>
        <v>368.066485</v>
      </c>
      <c r="M45" s="326" t="n">
        <f aca="false">M44*$D$2</f>
        <v>166.038785</v>
      </c>
      <c r="N45" s="226" t="n">
        <f aca="false">N44*$D$2</f>
        <v>0</v>
      </c>
      <c r="O45" s="226" t="n">
        <f aca="false">O44*$D$2</f>
        <v>0</v>
      </c>
      <c r="P45" s="171"/>
      <c r="Q45" s="226" t="n">
        <f aca="false">Q44*$D$2</f>
        <v>78.5007871695959</v>
      </c>
      <c r="R45" s="226" t="n">
        <f aca="false">R44*$D$2</f>
        <v>84.1064179159633</v>
      </c>
      <c r="S45" s="226" t="n">
        <f aca="false">S44*$D$2</f>
        <v>0</v>
      </c>
      <c r="T45" s="226" t="n">
        <f aca="false">T44*$D$2</f>
        <v>24.72269182656</v>
      </c>
      <c r="U45" s="327" t="n">
        <f aca="false">U44*$D$2</f>
        <v>-21.2911119121192</v>
      </c>
      <c r="V45" s="226" t="n">
        <f aca="false">V44*$D$2</f>
        <v>0</v>
      </c>
      <c r="W45" s="226" t="n">
        <f aca="false">W44*$D$2</f>
        <v>0</v>
      </c>
      <c r="X45" s="226" t="n">
        <f aca="false">X44*$D$2</f>
        <v>-3.303191054016E-016</v>
      </c>
      <c r="Y45" s="226" t="n">
        <f aca="false">Y44*$D$2</f>
        <v>-3.303191054016E-016</v>
      </c>
      <c r="Z45" s="226"/>
      <c r="AA45" s="226"/>
      <c r="AB45" s="226"/>
      <c r="AC45" s="143" t="n">
        <f aca="false">AC44*$D$2</f>
        <v>0</v>
      </c>
      <c r="AD45" s="226"/>
      <c r="AE45" s="226"/>
      <c r="AF45" s="262"/>
      <c r="AG45" s="263"/>
      <c r="AH45" s="226" t="n">
        <f aca="false">AH44*$D$2</f>
        <v>991.15495</v>
      </c>
      <c r="AI45" s="226"/>
      <c r="AJ45" s="226" t="n">
        <f aca="false">AJ44*$D$2</f>
        <v>0</v>
      </c>
      <c r="AK45" s="226" t="n">
        <f aca="false">AK44*$D$2</f>
        <v>1157.193735</v>
      </c>
      <c r="AL45" s="226" t="n">
        <f aca="false">AL44*$D$2</f>
        <v>43.2697400000001</v>
      </c>
      <c r="AM45" s="234" t="n">
        <f aca="false">AM44*$D$2</f>
        <v>1200.463475</v>
      </c>
      <c r="AN45" s="226" t="n">
        <f aca="false">AN44*$D$2</f>
        <v>0</v>
      </c>
      <c r="AO45" s="226" t="n">
        <f aca="false">AO44*$D$2</f>
        <v>0</v>
      </c>
      <c r="AP45" s="142"/>
      <c r="AQ45" s="142"/>
      <c r="AR45" s="142"/>
      <c r="AS45" s="308"/>
      <c r="AV45" s="233"/>
      <c r="AW45" s="226" t="n">
        <f aca="false">MAX(AW15:AW42)</f>
        <v>64</v>
      </c>
      <c r="AX45" s="226" t="n">
        <f aca="false">MAX(AX15:AX42)</f>
        <v>34</v>
      </c>
      <c r="AY45" s="234" t="s">
        <v>108</v>
      </c>
      <c r="AZ45" s="325" t="n">
        <f aca="false">AZ44*$D$2</f>
        <v>166.038785</v>
      </c>
      <c r="BA45" s="193" t="n">
        <f aca="false">BA44*D2</f>
        <v>0</v>
      </c>
      <c r="BB45" s="265"/>
    </row>
    <row r="46" customFormat="false" ht="3" hidden="false" customHeight="true" outlineLevel="0" collapsed="false">
      <c r="A46" s="320"/>
      <c r="B46" s="267"/>
      <c r="C46" s="247"/>
      <c r="D46" s="247"/>
      <c r="E46" s="247"/>
      <c r="F46" s="270"/>
      <c r="G46" s="247"/>
      <c r="H46" s="257"/>
      <c r="I46" s="247"/>
      <c r="J46" s="247"/>
      <c r="K46" s="247"/>
      <c r="L46" s="247"/>
      <c r="M46" s="271"/>
      <c r="N46" s="247"/>
      <c r="O46" s="247"/>
      <c r="P46" s="252"/>
      <c r="Q46" s="247"/>
      <c r="R46" s="247"/>
      <c r="S46" s="257"/>
      <c r="T46" s="257"/>
      <c r="U46" s="253"/>
      <c r="V46" s="247"/>
      <c r="W46" s="247"/>
      <c r="X46" s="247"/>
      <c r="Y46" s="247"/>
      <c r="Z46" s="247"/>
      <c r="AA46" s="247"/>
      <c r="AB46" s="247"/>
      <c r="AC46" s="254"/>
      <c r="AD46" s="247"/>
      <c r="AE46" s="247"/>
      <c r="AF46" s="271"/>
      <c r="AG46" s="272"/>
      <c r="AH46" s="247"/>
      <c r="AI46" s="248"/>
      <c r="AJ46" s="247"/>
      <c r="AK46" s="247"/>
      <c r="AL46" s="247"/>
      <c r="AM46" s="270"/>
      <c r="AN46" s="257"/>
      <c r="AO46" s="257"/>
      <c r="AP46" s="247"/>
      <c r="AQ46" s="247"/>
      <c r="AR46" s="247"/>
      <c r="AS46" s="257"/>
      <c r="AT46" s="315"/>
      <c r="AU46" s="315"/>
      <c r="AV46" s="274"/>
      <c r="AW46" s="247"/>
      <c r="AX46" s="247"/>
      <c r="AY46" s="247"/>
      <c r="AZ46" s="247"/>
      <c r="BA46" s="247"/>
      <c r="BB46" s="247"/>
    </row>
    <row r="47" customFormat="false" ht="12.95" hidden="false" customHeight="true" outlineLevel="0" collapsed="false">
      <c r="A47" s="197" t="s">
        <v>109</v>
      </c>
      <c r="B47" s="231"/>
      <c r="C47" s="226"/>
      <c r="D47" s="226"/>
      <c r="E47" s="226"/>
      <c r="F47" s="234"/>
      <c r="G47" s="226"/>
      <c r="H47" s="226"/>
      <c r="I47" s="226"/>
      <c r="J47" s="226"/>
      <c r="K47" s="226"/>
      <c r="L47" s="226"/>
      <c r="M47" s="326"/>
      <c r="N47" s="226"/>
      <c r="O47" s="226"/>
      <c r="P47" s="171"/>
      <c r="Q47" s="226"/>
      <c r="R47" s="226"/>
      <c r="S47" s="226"/>
      <c r="T47" s="226"/>
      <c r="U47" s="228"/>
      <c r="V47" s="226"/>
      <c r="W47" s="226"/>
      <c r="X47" s="226"/>
      <c r="Y47" s="226"/>
      <c r="Z47" s="226"/>
      <c r="AA47" s="226"/>
      <c r="AB47" s="226"/>
      <c r="AC47" s="143"/>
      <c r="AD47" s="226"/>
      <c r="AE47" s="226"/>
      <c r="AF47" s="262"/>
      <c r="AG47" s="263"/>
      <c r="AH47" s="226"/>
      <c r="AI47" s="226"/>
      <c r="AJ47" s="226"/>
      <c r="AK47" s="226"/>
      <c r="AL47" s="226"/>
      <c r="AM47" s="234"/>
      <c r="AN47" s="226"/>
      <c r="AO47" s="226"/>
      <c r="AP47" s="226"/>
      <c r="AQ47" s="226"/>
      <c r="AR47" s="226"/>
      <c r="AS47" s="328"/>
      <c r="AV47" s="231"/>
      <c r="AW47" s="226" t="n">
        <f aca="false">MIN(AW15:AW42)</f>
        <v>32</v>
      </c>
      <c r="AX47" s="226" t="n">
        <f aca="false">MIN(AX15:AX42)</f>
        <v>6</v>
      </c>
      <c r="AY47" s="234" t="s">
        <v>110</v>
      </c>
      <c r="AZ47" s="325"/>
      <c r="BB47" s="265"/>
    </row>
    <row r="48" customFormat="false" ht="12.95" hidden="false" customHeight="true" outlineLevel="0" collapsed="false">
      <c r="A48" s="197" t="s">
        <v>111</v>
      </c>
      <c r="B48" s="231"/>
      <c r="C48" s="226"/>
      <c r="D48" s="226"/>
      <c r="E48" s="226"/>
      <c r="F48" s="234"/>
      <c r="G48" s="226"/>
      <c r="H48" s="226"/>
      <c r="I48" s="226"/>
      <c r="J48" s="226"/>
      <c r="K48" s="226"/>
      <c r="L48" s="226"/>
      <c r="M48" s="326"/>
      <c r="N48" s="226"/>
      <c r="O48" s="226"/>
      <c r="P48" s="171"/>
      <c r="Q48" s="226"/>
      <c r="R48" s="226"/>
      <c r="S48" s="226"/>
      <c r="T48" s="226"/>
      <c r="U48" s="228"/>
      <c r="V48" s="226"/>
      <c r="W48" s="226"/>
      <c r="X48" s="226"/>
      <c r="Y48" s="226"/>
      <c r="Z48" s="226"/>
      <c r="AA48" s="226"/>
      <c r="AB48" s="226"/>
      <c r="AC48" s="143"/>
      <c r="AD48" s="226"/>
      <c r="AE48" s="226"/>
      <c r="AF48" s="262"/>
      <c r="AG48" s="263"/>
      <c r="AH48" s="226"/>
      <c r="AI48" s="226"/>
      <c r="AJ48" s="226"/>
      <c r="AK48" s="226"/>
      <c r="AL48" s="226"/>
      <c r="AM48" s="234"/>
      <c r="AN48" s="226"/>
      <c r="AO48" s="226"/>
      <c r="AP48" s="226"/>
      <c r="AQ48" s="226"/>
      <c r="AR48" s="226"/>
      <c r="AS48" s="328"/>
      <c r="AV48" s="231"/>
      <c r="AW48" s="226"/>
      <c r="AX48" s="226"/>
      <c r="AY48" s="265"/>
      <c r="AZ48" s="325"/>
      <c r="BB48" s="265"/>
    </row>
    <row r="49" customFormat="false" ht="3" hidden="false" customHeight="true" outlineLevel="0" collapsed="false">
      <c r="A49" s="320"/>
      <c r="B49" s="256"/>
      <c r="C49" s="257"/>
      <c r="D49" s="257"/>
      <c r="E49" s="257"/>
      <c r="F49" s="289"/>
      <c r="G49" s="257"/>
      <c r="H49" s="257"/>
      <c r="I49" s="257"/>
      <c r="J49" s="257"/>
      <c r="K49" s="257"/>
      <c r="L49" s="257"/>
      <c r="M49" s="329"/>
      <c r="N49" s="257"/>
      <c r="O49" s="257"/>
      <c r="P49" s="252"/>
      <c r="Q49" s="257"/>
      <c r="R49" s="257"/>
      <c r="S49" s="257"/>
      <c r="T49" s="257"/>
      <c r="U49" s="253"/>
      <c r="V49" s="257"/>
      <c r="W49" s="257"/>
      <c r="X49" s="257"/>
      <c r="Y49" s="257"/>
      <c r="Z49" s="257"/>
      <c r="AA49" s="257"/>
      <c r="AB49" s="257"/>
      <c r="AC49" s="254"/>
      <c r="AD49" s="257"/>
      <c r="AE49" s="257"/>
      <c r="AF49" s="329"/>
      <c r="AG49" s="291"/>
      <c r="AH49" s="257"/>
      <c r="AI49" s="257"/>
      <c r="AJ49" s="257"/>
      <c r="AK49" s="257"/>
      <c r="AL49" s="257"/>
      <c r="AM49" s="289"/>
      <c r="AN49" s="257"/>
      <c r="AO49" s="257"/>
      <c r="AP49" s="257"/>
      <c r="AQ49" s="257"/>
      <c r="AR49" s="257"/>
      <c r="AS49" s="257"/>
      <c r="AT49" s="315"/>
      <c r="AU49" s="315"/>
      <c r="AV49" s="256"/>
      <c r="AW49" s="257"/>
      <c r="AX49" s="257"/>
      <c r="AY49" s="257"/>
      <c r="AZ49" s="257"/>
      <c r="BA49" s="275"/>
      <c r="BB49" s="257"/>
    </row>
    <row r="50" customFormat="false" ht="12.95" hidden="false" customHeight="true" outlineLevel="0" collapsed="false">
      <c r="A50" s="197" t="s">
        <v>112</v>
      </c>
      <c r="B50" s="231"/>
      <c r="C50" s="226"/>
      <c r="D50" s="226"/>
      <c r="E50" s="226"/>
      <c r="F50" s="234" t="n">
        <f aca="false">F13+F44</f>
        <v>7139.40005041593</v>
      </c>
      <c r="G50" s="226" t="n">
        <f aca="false">G13+G44</f>
        <v>9004.5</v>
      </c>
      <c r="H50" s="226" t="n">
        <f aca="false">H13+H44</f>
        <v>9.194</v>
      </c>
      <c r="I50" s="226" t="n">
        <f aca="false">I13+I44</f>
        <v>9013.074</v>
      </c>
      <c r="J50" s="226" t="n">
        <f aca="false">J13+J44</f>
        <v>1460.83264355936</v>
      </c>
      <c r="K50" s="226" t="n">
        <f aca="false">K13+K44</f>
        <v>10473.9066435594</v>
      </c>
      <c r="L50" s="226" t="n">
        <f aca="false">L13+L44</f>
        <v>645.796050415931</v>
      </c>
      <c r="M50" s="326" t="n">
        <f aca="false">M13+M44</f>
        <v>368.67</v>
      </c>
      <c r="N50" s="226" t="n">
        <f aca="false">N13+N44</f>
        <v>0</v>
      </c>
      <c r="O50" s="226" t="n">
        <f aca="false">O13+O44</f>
        <v>0</v>
      </c>
      <c r="P50" s="226" t="n">
        <f aca="false">P13+P44</f>
        <v>0</v>
      </c>
      <c r="Q50" s="226" t="n">
        <f aca="false">Q13+Q44</f>
        <v>187.928357768689</v>
      </c>
      <c r="R50" s="226" t="n">
        <f aca="false">R13+R44</f>
        <v>190.264343796269</v>
      </c>
      <c r="S50" s="226" t="n">
        <f aca="false">S13+S44</f>
        <v>0</v>
      </c>
      <c r="T50" s="226" t="n">
        <f aca="false">T13+T44</f>
        <v>55.16839536</v>
      </c>
      <c r="U50" s="327" t="n">
        <f aca="false">U13+U44</f>
        <v>-64.6910969249577</v>
      </c>
      <c r="V50" s="226" t="n">
        <f aca="false">V13+V44</f>
        <v>0</v>
      </c>
      <c r="W50" s="226" t="n">
        <f aca="false">W13+W44</f>
        <v>0</v>
      </c>
      <c r="X50" s="226" t="n">
        <f aca="false">X13+X44</f>
        <v>-15.0402</v>
      </c>
      <c r="Y50" s="226" t="n">
        <f aca="false">Y13+Y44</f>
        <v>-15.0402</v>
      </c>
      <c r="Z50" s="226"/>
      <c r="AA50" s="226"/>
      <c r="AB50" s="226"/>
      <c r="AC50" s="143" t="n">
        <f aca="false">AC13+AC44</f>
        <v>1714.14</v>
      </c>
      <c r="AD50" s="226"/>
      <c r="AE50" s="226"/>
      <c r="AF50" s="262"/>
      <c r="AG50" s="263"/>
      <c r="AH50" s="226" t="n">
        <f aca="false">AH13+AH44</f>
        <v>2150.8</v>
      </c>
      <c r="AI50" s="226" t="n">
        <f aca="false">AI42</f>
        <v>849.036847624189</v>
      </c>
      <c r="AJ50" s="226" t="n">
        <f aca="false">AJ13+AJ44</f>
        <v>0</v>
      </c>
      <c r="AK50" s="226" t="n">
        <f aca="false">AK13+AK44</f>
        <v>2519.47</v>
      </c>
      <c r="AL50" s="226" t="n">
        <f aca="false">AL13+AL44</f>
        <v>815.036593143434</v>
      </c>
      <c r="AM50" s="234" t="n">
        <f aca="false">AM13+AM44</f>
        <v>3334.50659314343</v>
      </c>
      <c r="AN50" s="226" t="n">
        <f aca="false">AN13+AN44</f>
        <v>0</v>
      </c>
      <c r="AO50" s="226" t="n">
        <f aca="false">AO13+AO44</f>
        <v>0</v>
      </c>
      <c r="AP50" s="226"/>
      <c r="AQ50" s="226"/>
      <c r="AR50" s="226"/>
      <c r="AS50" s="328"/>
      <c r="AV50" s="330" t="n">
        <f aca="false">AV13+AV44</f>
        <v>3.19</v>
      </c>
      <c r="AW50" s="226"/>
      <c r="AX50" s="226"/>
      <c r="AY50" s="265"/>
      <c r="AZ50" s="325" t="n">
        <f aca="false">AZ13+AZ44</f>
        <v>368.67</v>
      </c>
      <c r="BA50" s="244" t="n">
        <f aca="false">BA44+BA13</f>
        <v>0</v>
      </c>
      <c r="BB50" s="265"/>
    </row>
    <row r="51" customFormat="false" ht="12.95" hidden="false" customHeight="true" outlineLevel="0" collapsed="false">
      <c r="A51" s="197" t="s">
        <v>113</v>
      </c>
      <c r="B51" s="231"/>
      <c r="C51" s="226"/>
      <c r="D51" s="226" t="n">
        <f aca="false">D13+D45</f>
        <v>14161</v>
      </c>
      <c r="E51" s="113" t="n">
        <f aca="false">E42</f>
        <v>35883</v>
      </c>
      <c r="F51" s="234" t="n">
        <f aca="false">F50*$D$2</f>
        <v>14161</v>
      </c>
      <c r="G51" s="226" t="n">
        <f aca="false">G50*$D$2</f>
        <v>17860.42575</v>
      </c>
      <c r="H51" s="226" t="n">
        <f aca="false">H50*$D$2</f>
        <v>18.236299</v>
      </c>
      <c r="I51" s="226" t="n">
        <f aca="false">I50*$D$2</f>
        <v>17877.432279</v>
      </c>
      <c r="J51" s="226" t="n">
        <f aca="false">J50*$D$2</f>
        <v>2897.5615485</v>
      </c>
      <c r="K51" s="226" t="n">
        <f aca="false">K50*$D$2</f>
        <v>20774.9938275</v>
      </c>
      <c r="L51" s="226" t="n">
        <f aca="false">L50*$D$2</f>
        <v>1280.936466</v>
      </c>
      <c r="M51" s="326" t="n">
        <f aca="false">M50*$D$2</f>
        <v>731.256945</v>
      </c>
      <c r="N51" s="226" t="n">
        <f aca="false">N50*$D$2</f>
        <v>0</v>
      </c>
      <c r="O51" s="226" t="n">
        <f aca="false">O50*$D$2</f>
        <v>0</v>
      </c>
      <c r="P51" s="226" t="n">
        <f aca="false">P50*$D$2</f>
        <v>0</v>
      </c>
      <c r="Q51" s="226" t="n">
        <f aca="false">Q50*$D$2</f>
        <v>372.755897634195</v>
      </c>
      <c r="R51" s="226" t="n">
        <f aca="false">R50*$D$2</f>
        <v>377.389325919899</v>
      </c>
      <c r="S51" s="226" t="n">
        <f aca="false">S50*$D$2</f>
        <v>0</v>
      </c>
      <c r="T51" s="226" t="n">
        <f aca="false">T50*$D$2</f>
        <v>109.42651219656</v>
      </c>
      <c r="U51" s="327" t="n">
        <f aca="false">U50*$D$2</f>
        <v>-128.314790750653</v>
      </c>
      <c r="V51" s="226" t="n">
        <f aca="false">V50*$D$2</f>
        <v>0</v>
      </c>
      <c r="W51" s="226" t="n">
        <f aca="false">W50*$D$2</f>
        <v>0</v>
      </c>
      <c r="X51" s="226" t="n">
        <f aca="false">X50*$D$2</f>
        <v>-29.8322367</v>
      </c>
      <c r="Y51" s="226" t="n">
        <f aca="false">Y50*$D$2</f>
        <v>-29.8322367</v>
      </c>
      <c r="Z51" s="226"/>
      <c r="AA51" s="226"/>
      <c r="AB51" s="226"/>
      <c r="AC51" s="143" t="n">
        <f aca="false">AC50*$D$2</f>
        <v>3399.99669</v>
      </c>
      <c r="AD51" s="226"/>
      <c r="AE51" s="226"/>
      <c r="AF51" s="262"/>
      <c r="AG51" s="263"/>
      <c r="AH51" s="226" t="n">
        <f aca="false">AH50*$D$2</f>
        <v>4266.1118</v>
      </c>
      <c r="AI51" s="226" t="n">
        <f aca="false">AI50*$D$2</f>
        <v>1684.06458726258</v>
      </c>
      <c r="AJ51" s="226" t="n">
        <f aca="false">AJ50*$D$2</f>
        <v>0</v>
      </c>
      <c r="AK51" s="226" t="n">
        <f aca="false">AK50*$D$2</f>
        <v>4997.368745</v>
      </c>
      <c r="AL51" s="226" t="n">
        <f aca="false">AL50*$D$2</f>
        <v>1616.6250825</v>
      </c>
      <c r="AM51" s="331" t="n">
        <f aca="false">AM50*$D$2</f>
        <v>6613.9938275</v>
      </c>
      <c r="AN51" s="226" t="n">
        <f aca="false">AN50*$D$2</f>
        <v>0</v>
      </c>
      <c r="AO51" s="226" t="n">
        <f aca="false">AO50*$D$2</f>
        <v>0</v>
      </c>
      <c r="AP51" s="226"/>
      <c r="AQ51" s="226"/>
      <c r="AR51" s="226"/>
      <c r="AS51" s="328"/>
      <c r="AT51" s="332"/>
      <c r="AV51" s="231"/>
      <c r="AW51" s="226"/>
      <c r="AX51" s="226"/>
      <c r="AY51" s="265"/>
      <c r="AZ51" s="325" t="n">
        <f aca="false">AZ50*$D$2</f>
        <v>731.256945</v>
      </c>
      <c r="BA51" s="193" t="n">
        <f aca="false">BA50*D2</f>
        <v>0</v>
      </c>
      <c r="BB51" s="265"/>
    </row>
    <row r="52" customFormat="false" ht="3" hidden="false" customHeight="true" outlineLevel="0" collapsed="false">
      <c r="A52" s="245"/>
      <c r="B52" s="267"/>
      <c r="C52" s="247"/>
      <c r="D52" s="248"/>
      <c r="E52" s="247"/>
      <c r="F52" s="249"/>
      <c r="G52" s="248"/>
      <c r="H52" s="313"/>
      <c r="I52" s="248"/>
      <c r="J52" s="248"/>
      <c r="K52" s="248"/>
      <c r="L52" s="248"/>
      <c r="M52" s="251"/>
      <c r="N52" s="248"/>
      <c r="O52" s="248"/>
      <c r="P52" s="252"/>
      <c r="Q52" s="248"/>
      <c r="R52" s="248"/>
      <c r="S52" s="252"/>
      <c r="T52" s="252"/>
      <c r="U52" s="253"/>
      <c r="V52" s="248"/>
      <c r="W52" s="248"/>
      <c r="X52" s="248"/>
      <c r="Y52" s="248"/>
      <c r="Z52" s="248"/>
      <c r="AA52" s="248"/>
      <c r="AB52" s="247"/>
      <c r="AC52" s="254"/>
      <c r="AD52" s="247"/>
      <c r="AE52" s="248"/>
      <c r="AF52" s="251"/>
      <c r="AG52" s="255"/>
      <c r="AH52" s="248"/>
      <c r="AI52" s="247"/>
      <c r="AJ52" s="314"/>
      <c r="AK52" s="248"/>
      <c r="AL52" s="248"/>
      <c r="AM52" s="248"/>
      <c r="AN52" s="256"/>
      <c r="AO52" s="257"/>
      <c r="AP52" s="248"/>
      <c r="AQ52" s="248"/>
      <c r="AR52" s="248"/>
      <c r="AS52" s="257"/>
      <c r="AT52" s="315"/>
      <c r="AU52" s="315"/>
      <c r="AV52" s="267"/>
      <c r="AW52" s="248"/>
      <c r="AX52" s="248"/>
      <c r="AY52" s="248"/>
      <c r="AZ52" s="248"/>
      <c r="BA52" s="248"/>
      <c r="BB52" s="248"/>
    </row>
    <row r="53" customFormat="false" ht="11.1" hidden="false" customHeight="true" outlineLevel="0" collapsed="false">
      <c r="A53" s="194"/>
      <c r="B53" s="281"/>
      <c r="D53" s="194"/>
      <c r="F53" s="194"/>
      <c r="G53" s="194"/>
      <c r="I53" s="194"/>
      <c r="J53" s="194"/>
      <c r="K53" s="194"/>
      <c r="L53" s="194"/>
      <c r="M53" s="194"/>
      <c r="N53" s="194"/>
      <c r="O53" s="194"/>
      <c r="Q53" s="194"/>
      <c r="R53" s="194"/>
      <c r="V53" s="194"/>
      <c r="W53" s="194"/>
      <c r="X53" s="194"/>
      <c r="Y53" s="194"/>
      <c r="Z53" s="194"/>
      <c r="AA53" s="194"/>
      <c r="AB53" s="161"/>
      <c r="AD53" s="161"/>
      <c r="AE53" s="194"/>
      <c r="AF53" s="194"/>
      <c r="AG53" s="194"/>
      <c r="AH53" s="194"/>
      <c r="AI53" s="161"/>
      <c r="AJ53" s="238"/>
      <c r="AK53" s="194"/>
      <c r="AL53" s="194"/>
      <c r="AM53" s="194"/>
      <c r="AP53" s="197"/>
      <c r="AQ53" s="333"/>
      <c r="AR53" s="333"/>
    </row>
    <row r="54" customFormat="false" ht="11.1" hidden="false" customHeight="true" outlineLevel="0" collapsed="false">
      <c r="A54" s="194"/>
      <c r="B54" s="282"/>
      <c r="F54" s="194"/>
      <c r="G54" s="194"/>
      <c r="H54" s="334"/>
      <c r="I54" s="161"/>
      <c r="J54" s="194"/>
      <c r="K54" s="186"/>
      <c r="L54" s="194"/>
      <c r="M54" s="194"/>
      <c r="N54" s="194"/>
      <c r="O54" s="194"/>
      <c r="Q54" s="194"/>
      <c r="R54" s="194"/>
      <c r="V54" s="194"/>
      <c r="W54" s="194"/>
      <c r="X54" s="194"/>
      <c r="Y54" s="194"/>
      <c r="Z54" s="194"/>
      <c r="AA54" s="194"/>
      <c r="AB54" s="161"/>
      <c r="AD54" s="161"/>
      <c r="AE54" s="194"/>
      <c r="AF54" s="194"/>
      <c r="AG54" s="194"/>
      <c r="AH54" s="194"/>
      <c r="AI54" s="161"/>
      <c r="AJ54" s="238"/>
      <c r="AK54" s="194"/>
      <c r="AL54" s="194"/>
      <c r="AM54" s="194"/>
      <c r="AN54" s="192"/>
      <c r="AO54" s="192"/>
      <c r="AP54" s="197"/>
      <c r="AQ54" s="333"/>
      <c r="AR54" s="333"/>
      <c r="AX54" s="191"/>
    </row>
    <row r="55" customFormat="false" ht="11.1" hidden="false" customHeight="true" outlineLevel="0" collapsed="false">
      <c r="D55" s="161"/>
      <c r="I55" s="161"/>
      <c r="X55" s="56"/>
      <c r="Y55" s="56"/>
      <c r="Z55" s="56"/>
      <c r="AA55" s="56"/>
      <c r="AB55" s="161"/>
      <c r="AD55" s="161"/>
      <c r="AH55" s="56"/>
      <c r="AI55" s="161"/>
      <c r="AJ55" s="238"/>
      <c r="AM55" s="56"/>
      <c r="AN55" s="192"/>
      <c r="AO55" s="192"/>
      <c r="AP55" s="189"/>
      <c r="AQ55" s="219"/>
      <c r="AR55" s="219"/>
      <c r="AX55" s="191"/>
    </row>
    <row r="56" customFormat="false" ht="11.1" hidden="false" customHeight="true" outlineLevel="0" collapsed="false">
      <c r="B56" s="8"/>
      <c r="D56" s="161"/>
      <c r="I56" s="161"/>
      <c r="X56" s="56"/>
      <c r="Y56" s="56"/>
      <c r="Z56" s="56"/>
      <c r="AA56" s="56"/>
      <c r="AB56" s="161"/>
      <c r="AD56" s="161"/>
      <c r="AH56" s="56"/>
      <c r="AI56" s="161"/>
      <c r="AJ56" s="238"/>
      <c r="AM56" s="56"/>
      <c r="AN56" s="192"/>
      <c r="AO56" s="192"/>
      <c r="AP56" s="189"/>
      <c r="AQ56" s="219"/>
      <c r="AR56" s="219"/>
      <c r="AX56" s="191"/>
    </row>
    <row r="57" customFormat="false" ht="11.1" hidden="false" customHeight="true" outlineLevel="0" collapsed="false">
      <c r="G57" s="283"/>
      <c r="X57" s="56"/>
      <c r="Y57" s="56"/>
      <c r="Z57" s="56"/>
      <c r="AA57" s="56"/>
      <c r="AB57" s="161"/>
      <c r="AD57" s="161"/>
      <c r="AH57" s="56"/>
      <c r="AI57" s="161"/>
      <c r="AJ57" s="238"/>
      <c r="AM57" s="56"/>
      <c r="AN57" s="192"/>
      <c r="AO57" s="192"/>
      <c r="AP57" s="189"/>
      <c r="AQ57" s="219"/>
      <c r="AR57" s="219"/>
      <c r="AX57" s="191"/>
    </row>
    <row r="58" customFormat="false" ht="11.1" hidden="false" customHeight="true" outlineLevel="0" collapsed="false">
      <c r="X58" s="56"/>
      <c r="Y58" s="56"/>
      <c r="Z58" s="56"/>
      <c r="AA58" s="56"/>
      <c r="AB58" s="161"/>
      <c r="AD58" s="161"/>
      <c r="AH58" s="56"/>
      <c r="AI58" s="161"/>
      <c r="AJ58" s="238"/>
      <c r="AM58" s="56"/>
      <c r="AN58" s="192"/>
      <c r="AO58" s="192"/>
      <c r="AX58" s="191"/>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88" width="5.66"/>
    <col collapsed="false" customWidth="true" hidden="false" outlineLevel="0" max="11" min="9" style="56" width="6.32"/>
    <col collapsed="false" customWidth="true" hidden="false" outlineLevel="0" max="12" min="12" style="56" width="6.82"/>
    <col collapsed="false" customWidth="true" hidden="false" outlineLevel="0" max="13" min="13" style="110" width="5.49"/>
    <col collapsed="false" customWidth="true" hidden="false" outlineLevel="0" max="14" min="14" style="110" width="4.49"/>
    <col collapsed="false" customWidth="true" hidden="false" outlineLevel="0" max="15" min="15" style="110" width="5.49"/>
    <col collapsed="false" customWidth="true" hidden="false" outlineLevel="0" max="16" min="16" style="8" width="4.82"/>
    <col collapsed="false" customWidth="true" hidden="false" outlineLevel="0" max="18" min="17" style="110" width="4.32"/>
    <col collapsed="false" customWidth="true" hidden="false" outlineLevel="0" max="20" min="19" style="56" width="4.32"/>
    <col collapsed="false" customWidth="true" hidden="false" outlineLevel="0" max="21" min="21" style="300" width="5.16"/>
    <col collapsed="false" customWidth="true" hidden="false" outlineLevel="0" max="23" min="22" style="56" width="5.49"/>
    <col collapsed="false" customWidth="true" hidden="false" outlineLevel="0" max="27" min="24" style="161" width="6.32"/>
    <col collapsed="false" customWidth="true" hidden="false" outlineLevel="0" max="28" min="28" style="56" width="5.49"/>
    <col collapsed="false" customWidth="true" hidden="false" outlineLevel="0" max="29" min="29" style="110" width="5.82"/>
    <col collapsed="false" customWidth="true" hidden="false" outlineLevel="0" max="33" min="30" style="56" width="5.49"/>
    <col collapsed="false" customWidth="true" hidden="false" outlineLevel="0" max="34" min="34" style="161" width="6.32"/>
    <col collapsed="false" customWidth="true" hidden="false" outlineLevel="0" max="35" min="35" style="56" width="5.49"/>
    <col collapsed="false" customWidth="true" hidden="false" outlineLevel="0" max="36" min="36" style="335"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191" width="5.49"/>
    <col collapsed="false" customWidth="true" hidden="false" outlineLevel="0" max="41" min="41" style="110" width="5.49"/>
    <col collapsed="false" customWidth="true" hidden="false" outlineLevel="0" max="43" min="42" style="56" width="6.32"/>
    <col collapsed="false" customWidth="true" hidden="false" outlineLevel="0" max="44" min="44" style="56" width="5.49"/>
    <col collapsed="false" customWidth="true" hidden="false" outlineLevel="0" max="45" min="45" style="56" width="5.32"/>
    <col collapsed="false" customWidth="true" hidden="false" outlineLevel="0" max="46" min="46" style="294" width="5.82"/>
    <col collapsed="false" customWidth="true" hidden="false" outlineLevel="0" max="47" min="47" style="189" width="4.99"/>
    <col collapsed="false" customWidth="true" hidden="false" outlineLevel="0" max="48" min="48" style="188" width="5.32"/>
    <col collapsed="false" customWidth="true" hidden="false" outlineLevel="0" max="49" min="49" style="191" width="3.82"/>
    <col collapsed="false" customWidth="true" hidden="false" outlineLevel="0" max="50" min="50" style="192" width="3.82"/>
    <col collapsed="false" customWidth="true" hidden="false" outlineLevel="0" max="51" min="51" style="193" width="3.82"/>
    <col collapsed="false" customWidth="true" hidden="false" outlineLevel="0" max="52" min="52" style="193" width="5.49"/>
    <col collapsed="false" customWidth="false" hidden="false" outlineLevel="0" max="257" min="53" style="193" width="9.32"/>
  </cols>
  <sheetData>
    <row r="1" customFormat="false" ht="14.1" hidden="false" customHeight="true" outlineLevel="0" collapsed="false">
      <c r="A1" s="194"/>
      <c r="B1" s="194"/>
      <c r="D1" s="194"/>
      <c r="F1" s="194"/>
      <c r="G1" s="194"/>
      <c r="I1" s="194"/>
      <c r="J1" s="194"/>
      <c r="K1" s="196" t="s">
        <v>0</v>
      </c>
      <c r="L1" s="194"/>
      <c r="M1" s="194"/>
      <c r="N1" s="194"/>
      <c r="O1" s="194"/>
      <c r="Q1" s="194"/>
      <c r="R1" s="194"/>
      <c r="S1" s="194"/>
      <c r="T1" s="194"/>
      <c r="V1" s="194"/>
      <c r="W1" s="194"/>
      <c r="AB1" s="194"/>
      <c r="AD1" s="194"/>
      <c r="AE1" s="194"/>
      <c r="AF1" s="194"/>
      <c r="AG1" s="194"/>
      <c r="AI1" s="194"/>
      <c r="AK1" s="194"/>
      <c r="AL1" s="194"/>
      <c r="AN1" s="296"/>
      <c r="AO1" s="335"/>
      <c r="AP1" s="197"/>
    </row>
    <row r="2" customFormat="false" ht="14.1" hidden="false" customHeight="true" outlineLevel="0" collapsed="false">
      <c r="A2" s="197" t="s">
        <v>1</v>
      </c>
      <c r="B2" s="194"/>
      <c r="D2" s="198" t="n">
        <v>1.9835</v>
      </c>
      <c r="F2" s="194"/>
      <c r="G2" s="194"/>
      <c r="I2" s="194"/>
      <c r="J2" s="194"/>
      <c r="K2" s="299" t="s">
        <v>124</v>
      </c>
      <c r="L2" s="299"/>
      <c r="M2" s="299"/>
      <c r="N2" s="299"/>
      <c r="O2" s="299"/>
      <c r="P2" s="299"/>
      <c r="Q2" s="299"/>
      <c r="R2" s="299"/>
      <c r="S2" s="299"/>
      <c r="T2" s="299"/>
      <c r="V2" s="200"/>
      <c r="W2" s="200"/>
      <c r="X2" s="89"/>
      <c r="Y2" s="89"/>
      <c r="Z2" s="89"/>
      <c r="AA2" s="89"/>
      <c r="AB2" s="200"/>
      <c r="AC2" s="201"/>
      <c r="AD2" s="200"/>
      <c r="AE2" s="194"/>
      <c r="AF2" s="194"/>
      <c r="AG2" s="194"/>
      <c r="AI2" s="194"/>
      <c r="AK2" s="194"/>
      <c r="AL2" s="194"/>
      <c r="AN2" s="296"/>
      <c r="AO2" s="335"/>
      <c r="AP2" s="197"/>
    </row>
    <row r="3" customFormat="false" ht="14.1" hidden="false" customHeight="true" outlineLevel="0" collapsed="false">
      <c r="A3" s="202"/>
      <c r="B3" s="202"/>
      <c r="C3" s="203"/>
      <c r="D3" s="204"/>
      <c r="E3" s="203"/>
      <c r="F3" s="202"/>
      <c r="G3" s="202"/>
      <c r="H3" s="211"/>
      <c r="I3" s="202"/>
      <c r="J3" s="202"/>
      <c r="K3" s="202"/>
      <c r="L3" s="202"/>
      <c r="M3" s="202"/>
      <c r="N3" s="202"/>
      <c r="O3" s="202"/>
      <c r="P3" s="206"/>
      <c r="Q3" s="202"/>
      <c r="R3" s="202"/>
      <c r="S3" s="202"/>
      <c r="T3" s="202"/>
      <c r="U3" s="336"/>
      <c r="V3" s="202"/>
      <c r="W3" s="202"/>
      <c r="X3" s="203"/>
      <c r="Y3" s="203"/>
      <c r="Z3" s="203"/>
      <c r="AA3" s="203"/>
      <c r="AB3" s="202"/>
      <c r="AC3" s="207"/>
      <c r="AD3" s="202"/>
      <c r="AE3" s="202"/>
      <c r="AF3" s="202"/>
      <c r="AG3" s="202"/>
      <c r="AH3" s="203"/>
      <c r="AI3" s="202"/>
      <c r="AJ3" s="337"/>
      <c r="AK3" s="202"/>
      <c r="AL3" s="202"/>
      <c r="AM3" s="206"/>
      <c r="AN3" s="302"/>
      <c r="AO3" s="337"/>
      <c r="AP3" s="208"/>
      <c r="AQ3" s="209"/>
      <c r="AV3" s="211"/>
      <c r="AW3" s="212"/>
      <c r="AX3" s="213"/>
      <c r="BA3" s="214"/>
      <c r="BB3" s="214"/>
    </row>
    <row r="4" s="1" customFormat="true" ht="14.1" hidden="false" customHeight="true" outlineLevel="0" collapsed="false">
      <c r="A4" s="32"/>
      <c r="B4" s="33"/>
      <c r="C4" s="34"/>
      <c r="D4" s="35" t="s">
        <v>3</v>
      </c>
      <c r="E4" s="34"/>
      <c r="F4" s="32"/>
      <c r="G4" s="36"/>
      <c r="H4" s="36"/>
      <c r="I4" s="37" t="s">
        <v>115</v>
      </c>
      <c r="J4" s="36"/>
      <c r="K4" s="36"/>
      <c r="L4" s="38"/>
      <c r="M4" s="36"/>
      <c r="N4" s="36"/>
      <c r="O4" s="36"/>
      <c r="P4" s="39"/>
      <c r="Q4" s="36"/>
      <c r="R4" s="36"/>
      <c r="S4" s="36"/>
      <c r="T4" s="36"/>
      <c r="U4" s="39"/>
      <c r="V4" s="36"/>
      <c r="W4" s="36"/>
      <c r="X4" s="40" t="s">
        <v>121</v>
      </c>
      <c r="Y4" s="40"/>
      <c r="Z4" s="40"/>
      <c r="AA4" s="40"/>
      <c r="AB4" s="41"/>
      <c r="AC4" s="42"/>
      <c r="AD4" s="42"/>
      <c r="AE4" s="36"/>
      <c r="AF4" s="36"/>
      <c r="AG4" s="36"/>
      <c r="AH4" s="34"/>
      <c r="AI4" s="36"/>
      <c r="AJ4" s="43"/>
      <c r="AK4" s="36"/>
      <c r="AL4" s="36"/>
      <c r="AM4" s="39"/>
      <c r="AN4" s="44"/>
      <c r="AO4" s="45"/>
      <c r="AP4" s="46" t="s">
        <v>6</v>
      </c>
      <c r="AQ4" s="47"/>
      <c r="AR4" s="48"/>
      <c r="AS4" s="49"/>
      <c r="AT4" s="50"/>
      <c r="AU4" s="50"/>
      <c r="AV4" s="52"/>
      <c r="AW4" s="53" t="s">
        <v>7</v>
      </c>
      <c r="AX4" s="54"/>
      <c r="AY4" s="304"/>
      <c r="AZ4" s="338"/>
      <c r="BA4" s="71"/>
      <c r="BB4" s="217"/>
    </row>
    <row r="5" customFormat="fals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1" t="s">
        <v>16</v>
      </c>
      <c r="M5" s="218" t="s">
        <v>18</v>
      </c>
      <c r="N5" s="218"/>
      <c r="O5" s="218"/>
      <c r="P5" s="218"/>
      <c r="Q5" s="218"/>
      <c r="R5" s="218"/>
      <c r="S5" s="218"/>
      <c r="T5" s="218"/>
      <c r="U5" s="218"/>
      <c r="V5" s="58" t="s">
        <v>19</v>
      </c>
      <c r="W5" s="58" t="s">
        <v>20</v>
      </c>
      <c r="X5" s="58" t="s">
        <v>17</v>
      </c>
      <c r="Y5" s="58" t="s">
        <v>17</v>
      </c>
      <c r="Z5" s="64" t="s">
        <v>21</v>
      </c>
      <c r="AA5" s="58" t="s">
        <v>21</v>
      </c>
      <c r="AB5" s="64" t="s">
        <v>21</v>
      </c>
      <c r="AC5" s="65" t="s">
        <v>22</v>
      </c>
      <c r="AD5" s="65" t="s">
        <v>21</v>
      </c>
      <c r="AE5" s="58" t="s">
        <v>23</v>
      </c>
      <c r="AF5" s="66" t="s">
        <v>24</v>
      </c>
      <c r="AG5" s="67"/>
      <c r="AH5" s="58" t="s">
        <v>25</v>
      </c>
      <c r="AI5" s="68" t="s">
        <v>26</v>
      </c>
      <c r="AJ5" s="68" t="s">
        <v>27</v>
      </c>
      <c r="AK5" s="58" t="s">
        <v>15</v>
      </c>
      <c r="AL5" s="58" t="s">
        <v>16</v>
      </c>
      <c r="AM5" s="61" t="s">
        <v>17</v>
      </c>
      <c r="AN5" s="69" t="s">
        <v>28</v>
      </c>
      <c r="AO5" s="65" t="s">
        <v>21</v>
      </c>
      <c r="AP5" s="64" t="s">
        <v>29</v>
      </c>
      <c r="AQ5" s="70" t="s">
        <v>29</v>
      </c>
      <c r="AR5" s="65" t="s">
        <v>30</v>
      </c>
      <c r="AS5" s="71" t="s">
        <v>31</v>
      </c>
      <c r="AT5" s="71" t="s">
        <v>32</v>
      </c>
      <c r="AU5" s="219" t="s">
        <v>33</v>
      </c>
      <c r="AV5" s="73" t="s">
        <v>34</v>
      </c>
      <c r="AW5" s="74" t="s">
        <v>35</v>
      </c>
      <c r="AX5" s="74" t="s">
        <v>36</v>
      </c>
      <c r="AY5" s="148"/>
      <c r="AZ5" s="305" t="s">
        <v>17</v>
      </c>
      <c r="BA5" s="222" t="s">
        <v>37</v>
      </c>
      <c r="BB5" s="223" t="s">
        <v>37</v>
      </c>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row>
    <row r="6" customFormat="false" ht="12.95" hidden="false" customHeight="true" outlineLevel="0" collapsed="false">
      <c r="A6" s="77" t="s">
        <v>125</v>
      </c>
      <c r="B6" s="59" t="s">
        <v>39</v>
      </c>
      <c r="C6" s="60"/>
      <c r="D6" s="61" t="s">
        <v>40</v>
      </c>
      <c r="E6" s="60" t="s">
        <v>41</v>
      </c>
      <c r="F6" s="62" t="s">
        <v>42</v>
      </c>
      <c r="G6" s="58" t="s">
        <v>43</v>
      </c>
      <c r="H6" s="58" t="s">
        <v>44</v>
      </c>
      <c r="I6" s="58" t="s">
        <v>45</v>
      </c>
      <c r="J6" s="58" t="s">
        <v>45</v>
      </c>
      <c r="K6" s="58" t="s">
        <v>45</v>
      </c>
      <c r="L6" s="81" t="s">
        <v>46</v>
      </c>
      <c r="M6" s="61" t="s">
        <v>47</v>
      </c>
      <c r="N6" s="61" t="s">
        <v>48</v>
      </c>
      <c r="O6" s="61" t="s">
        <v>49</v>
      </c>
      <c r="P6" s="79" t="s">
        <v>50</v>
      </c>
      <c r="Q6" s="61" t="s">
        <v>51</v>
      </c>
      <c r="R6" s="61" t="s">
        <v>52</v>
      </c>
      <c r="S6" s="61"/>
      <c r="T6" s="61" t="s">
        <v>49</v>
      </c>
      <c r="U6" s="80" t="s">
        <v>53</v>
      </c>
      <c r="V6" s="58" t="s">
        <v>54</v>
      </c>
      <c r="W6" s="58" t="s">
        <v>55</v>
      </c>
      <c r="X6" s="58" t="s">
        <v>21</v>
      </c>
      <c r="Y6" s="58" t="s">
        <v>21</v>
      </c>
      <c r="Z6" s="64" t="s">
        <v>56</v>
      </c>
      <c r="AA6" s="58" t="s">
        <v>56</v>
      </c>
      <c r="AB6" s="64" t="s">
        <v>57</v>
      </c>
      <c r="AC6" s="65" t="s">
        <v>58</v>
      </c>
      <c r="AD6" s="65" t="s">
        <v>59</v>
      </c>
      <c r="AE6" s="58" t="s">
        <v>60</v>
      </c>
      <c r="AF6" s="78" t="s">
        <v>61</v>
      </c>
      <c r="AG6" s="81" t="s">
        <v>62</v>
      </c>
      <c r="AH6" s="58" t="s">
        <v>63</v>
      </c>
      <c r="AI6" s="68" t="s">
        <v>64</v>
      </c>
      <c r="AJ6" s="68"/>
      <c r="AK6" s="58" t="s">
        <v>65</v>
      </c>
      <c r="AL6" s="58" t="s">
        <v>65</v>
      </c>
      <c r="AM6" s="61" t="s">
        <v>65</v>
      </c>
      <c r="AN6" s="69" t="s">
        <v>66</v>
      </c>
      <c r="AO6" s="65" t="s">
        <v>67</v>
      </c>
      <c r="AP6" s="64" t="s">
        <v>68</v>
      </c>
      <c r="AQ6" s="70" t="s">
        <v>68</v>
      </c>
      <c r="AR6" s="65" t="s">
        <v>69</v>
      </c>
      <c r="AS6" s="71" t="s">
        <v>70</v>
      </c>
      <c r="AT6" s="71" t="s">
        <v>71</v>
      </c>
      <c r="AU6" s="219" t="s">
        <v>72</v>
      </c>
      <c r="AV6" s="82"/>
      <c r="AW6" s="74" t="s">
        <v>73</v>
      </c>
      <c r="AX6" s="74" t="s">
        <v>73</v>
      </c>
      <c r="AY6" s="148"/>
      <c r="AZ6" s="305" t="s">
        <v>74</v>
      </c>
      <c r="BA6" s="222" t="s">
        <v>75</v>
      </c>
      <c r="BB6" s="223" t="s">
        <v>76</v>
      </c>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row>
    <row r="7" customFormat="false" ht="12.95" hidden="false" customHeight="true" outlineLevel="0" collapsed="false">
      <c r="A7" s="58"/>
      <c r="B7" s="59"/>
      <c r="C7" s="60"/>
      <c r="D7" s="61"/>
      <c r="E7" s="60"/>
      <c r="F7" s="62"/>
      <c r="G7" s="58"/>
      <c r="H7" s="58"/>
      <c r="I7" s="58"/>
      <c r="J7" s="58"/>
      <c r="K7" s="58"/>
      <c r="L7" s="81"/>
      <c r="M7" s="61"/>
      <c r="N7" s="61" t="s">
        <v>77</v>
      </c>
      <c r="O7" s="61" t="s">
        <v>78</v>
      </c>
      <c r="P7" s="79"/>
      <c r="Q7" s="61" t="s">
        <v>79</v>
      </c>
      <c r="R7" s="61" t="s">
        <v>79</v>
      </c>
      <c r="S7" s="61" t="s">
        <v>62</v>
      </c>
      <c r="T7" s="61" t="s">
        <v>62</v>
      </c>
      <c r="U7" s="80" t="s">
        <v>80</v>
      </c>
      <c r="V7" s="58"/>
      <c r="W7" s="58"/>
      <c r="X7" s="68" t="s">
        <v>81</v>
      </c>
      <c r="Y7" s="60" t="s">
        <v>82</v>
      </c>
      <c r="Z7" s="64" t="s">
        <v>83</v>
      </c>
      <c r="AA7" s="58" t="s">
        <v>84</v>
      </c>
      <c r="AB7" s="64" t="s">
        <v>85</v>
      </c>
      <c r="AC7" s="65"/>
      <c r="AD7" s="65"/>
      <c r="AE7" s="81"/>
      <c r="AF7" s="83" t="n">
        <v>1.7</v>
      </c>
      <c r="AG7" s="83" t="n">
        <v>1.3</v>
      </c>
      <c r="AH7" s="78"/>
      <c r="AI7" s="84" t="n">
        <v>12682.1753872626</v>
      </c>
      <c r="AJ7" s="68"/>
      <c r="AK7" s="58"/>
      <c r="AL7" s="58"/>
      <c r="AM7" s="61"/>
      <c r="AN7" s="69"/>
      <c r="AO7" s="65"/>
      <c r="AP7" s="64" t="s">
        <v>86</v>
      </c>
      <c r="AQ7" s="70" t="s">
        <v>87</v>
      </c>
      <c r="AR7" s="65" t="s">
        <v>88</v>
      </c>
      <c r="AS7" s="71" t="s">
        <v>89</v>
      </c>
      <c r="AT7" s="71" t="s">
        <v>90</v>
      </c>
      <c r="AU7" s="219" t="s">
        <v>91</v>
      </c>
      <c r="AV7" s="82"/>
      <c r="AW7" s="74"/>
      <c r="AX7" s="74"/>
      <c r="AY7" s="148"/>
      <c r="AZ7" s="305" t="s">
        <v>92</v>
      </c>
      <c r="BA7" s="222"/>
      <c r="BB7" s="223"/>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row>
    <row r="8" customFormat="false" ht="12.95" hidden="false" customHeight="true" outlineLevel="0" collapsed="false">
      <c r="A8" s="58"/>
      <c r="B8" s="59"/>
      <c r="C8" s="60"/>
      <c r="D8" s="61"/>
      <c r="E8" s="60"/>
      <c r="F8" s="62"/>
      <c r="G8" s="58"/>
      <c r="H8" s="58"/>
      <c r="I8" s="58"/>
      <c r="J8" s="58"/>
      <c r="K8" s="58"/>
      <c r="L8" s="81"/>
      <c r="M8" s="61"/>
      <c r="N8" s="61"/>
      <c r="O8" s="61"/>
      <c r="P8" s="79"/>
      <c r="Q8" s="61" t="s">
        <v>62</v>
      </c>
      <c r="R8" s="61" t="s">
        <v>62</v>
      </c>
      <c r="S8" s="61"/>
      <c r="T8" s="61"/>
      <c r="U8" s="80"/>
      <c r="V8" s="58"/>
      <c r="W8" s="58"/>
      <c r="X8" s="68" t="s">
        <v>93</v>
      </c>
      <c r="Y8" s="60" t="s">
        <v>81</v>
      </c>
      <c r="Z8" s="64"/>
      <c r="AA8" s="60" t="s">
        <v>94</v>
      </c>
      <c r="AB8" s="64" t="s">
        <v>95</v>
      </c>
      <c r="AC8" s="65"/>
      <c r="AD8" s="65"/>
      <c r="AE8" s="81"/>
      <c r="AF8" s="83"/>
      <c r="AG8" s="83"/>
      <c r="AH8" s="78"/>
      <c r="AI8" s="84"/>
      <c r="AJ8" s="68"/>
      <c r="AK8" s="58"/>
      <c r="AL8" s="58"/>
      <c r="AM8" s="61"/>
      <c r="AN8" s="69"/>
      <c r="AO8" s="65"/>
      <c r="AP8" s="64"/>
      <c r="AQ8" s="70"/>
      <c r="AR8" s="65"/>
      <c r="AS8" s="71"/>
      <c r="AT8" s="71"/>
      <c r="AU8" s="219"/>
      <c r="AV8" s="82"/>
      <c r="AW8" s="74"/>
      <c r="AX8" s="74"/>
      <c r="AY8" s="148"/>
      <c r="AZ8" s="305"/>
      <c r="BA8" s="222"/>
      <c r="BB8" s="223"/>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row>
    <row r="9" customFormat="false" ht="12.95" hidden="false" customHeight="true" outlineLevel="0" collapsed="false">
      <c r="A9" s="58"/>
      <c r="B9" s="59"/>
      <c r="C9" s="60"/>
      <c r="D9" s="61"/>
      <c r="E9" s="60"/>
      <c r="F9" s="62"/>
      <c r="G9" s="58"/>
      <c r="H9" s="58"/>
      <c r="I9" s="58"/>
      <c r="J9" s="58"/>
      <c r="K9" s="58"/>
      <c r="L9" s="81"/>
      <c r="M9" s="61"/>
      <c r="N9" s="61"/>
      <c r="O9" s="61"/>
      <c r="P9" s="79"/>
      <c r="Q9" s="61"/>
      <c r="R9" s="86" t="n">
        <v>4.2</v>
      </c>
      <c r="S9" s="61"/>
      <c r="T9" s="61"/>
      <c r="U9" s="80"/>
      <c r="V9" s="58"/>
      <c r="W9" s="58"/>
      <c r="X9" s="68"/>
      <c r="Y9" s="60" t="s">
        <v>93</v>
      </c>
      <c r="Z9" s="64"/>
      <c r="AA9" s="60" t="s">
        <v>93</v>
      </c>
      <c r="AB9" s="64" t="s">
        <v>96</v>
      </c>
      <c r="AC9" s="65"/>
      <c r="AD9" s="65"/>
      <c r="AE9" s="81"/>
      <c r="AF9" s="83"/>
      <c r="AG9" s="83"/>
      <c r="AH9" s="78"/>
      <c r="AI9" s="84"/>
      <c r="AJ9" s="68"/>
      <c r="AK9" s="58"/>
      <c r="AL9" s="58"/>
      <c r="AM9" s="61"/>
      <c r="AN9" s="69"/>
      <c r="AO9" s="65"/>
      <c r="AP9" s="64"/>
      <c r="AQ9" s="70"/>
      <c r="AR9" s="65"/>
      <c r="AS9" s="71"/>
      <c r="AT9" s="71"/>
      <c r="AU9" s="219"/>
      <c r="AV9" s="82"/>
      <c r="AW9" s="74"/>
      <c r="AX9" s="74"/>
      <c r="AY9" s="148"/>
      <c r="AZ9" s="305"/>
      <c r="BA9" s="222"/>
      <c r="BB9" s="223" t="s">
        <v>97</v>
      </c>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row>
    <row r="10" customFormat="false" ht="12.95" hidden="false" customHeight="true" outlineLevel="0" collapsed="false">
      <c r="A10" s="58"/>
      <c r="B10" s="59"/>
      <c r="C10" s="60" t="s">
        <v>98</v>
      </c>
      <c r="D10" s="61"/>
      <c r="E10" s="60" t="s">
        <v>99</v>
      </c>
      <c r="F10" s="62"/>
      <c r="G10" s="61" t="s">
        <v>42</v>
      </c>
      <c r="H10" s="61" t="s">
        <v>42</v>
      </c>
      <c r="I10" s="61" t="s">
        <v>42</v>
      </c>
      <c r="J10" s="61" t="s">
        <v>42</v>
      </c>
      <c r="K10" s="61" t="s">
        <v>42</v>
      </c>
      <c r="L10" s="81" t="s">
        <v>42</v>
      </c>
      <c r="M10" s="61" t="s">
        <v>42</v>
      </c>
      <c r="N10" s="61" t="s">
        <v>42</v>
      </c>
      <c r="O10" s="61" t="s">
        <v>42</v>
      </c>
      <c r="P10" s="61" t="s">
        <v>42</v>
      </c>
      <c r="Q10" s="61" t="s">
        <v>42</v>
      </c>
      <c r="R10" s="61" t="s">
        <v>42</v>
      </c>
      <c r="S10" s="61" t="s">
        <v>42</v>
      </c>
      <c r="T10" s="61" t="s">
        <v>42</v>
      </c>
      <c r="U10" s="81" t="s">
        <v>42</v>
      </c>
      <c r="V10" s="61" t="s">
        <v>42</v>
      </c>
      <c r="W10" s="61" t="s">
        <v>42</v>
      </c>
      <c r="X10" s="60" t="n">
        <v>153400</v>
      </c>
      <c r="Y10" s="60" t="n">
        <v>150400</v>
      </c>
      <c r="Z10" s="61"/>
      <c r="AA10" s="60"/>
      <c r="AB10" s="60" t="n">
        <v>72000</v>
      </c>
      <c r="AC10" s="306" t="s">
        <v>42</v>
      </c>
      <c r="AD10" s="61" t="s">
        <v>42</v>
      </c>
      <c r="AE10" s="81" t="s">
        <v>42</v>
      </c>
      <c r="AF10" s="61" t="s">
        <v>42</v>
      </c>
      <c r="AG10" s="61" t="s">
        <v>42</v>
      </c>
      <c r="AH10" s="78" t="s">
        <v>42</v>
      </c>
      <c r="AI10" s="61" t="s">
        <v>42</v>
      </c>
      <c r="AJ10" s="61" t="s">
        <v>42</v>
      </c>
      <c r="AK10" s="61" t="s">
        <v>42</v>
      </c>
      <c r="AL10" s="61" t="s">
        <v>42</v>
      </c>
      <c r="AM10" s="61" t="s">
        <v>42</v>
      </c>
      <c r="AN10" s="69" t="s">
        <v>42</v>
      </c>
      <c r="AO10" s="65" t="s">
        <v>42</v>
      </c>
      <c r="AP10" s="65" t="s">
        <v>42</v>
      </c>
      <c r="AQ10" s="70" t="s">
        <v>100</v>
      </c>
      <c r="AR10" s="65" t="s">
        <v>42</v>
      </c>
      <c r="AS10" s="65" t="s">
        <v>42</v>
      </c>
      <c r="AT10" s="65" t="s">
        <v>42</v>
      </c>
      <c r="AU10" s="65" t="s">
        <v>42</v>
      </c>
      <c r="AV10" s="82"/>
      <c r="AW10" s="74"/>
      <c r="AX10" s="74"/>
      <c r="AY10" s="148"/>
      <c r="AZ10" s="305" t="s">
        <v>101</v>
      </c>
      <c r="BA10" s="222" t="s">
        <v>42</v>
      </c>
      <c r="BB10" s="223" t="s">
        <v>99</v>
      </c>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row>
    <row r="11" customFormat="false" ht="12.95" hidden="false" customHeight="true" outlineLevel="0" collapsed="false">
      <c r="A11" s="58"/>
      <c r="B11" s="59"/>
      <c r="C11" s="60"/>
      <c r="D11" s="61"/>
      <c r="E11" s="60"/>
      <c r="F11" s="62"/>
      <c r="G11" s="58"/>
      <c r="H11" s="58"/>
      <c r="I11" s="58"/>
      <c r="J11" s="58"/>
      <c r="K11" s="58"/>
      <c r="L11" s="81"/>
      <c r="M11" s="61"/>
      <c r="N11" s="47" t="n">
        <v>1.03</v>
      </c>
      <c r="O11" s="47" t="n">
        <v>1.05</v>
      </c>
      <c r="P11" s="47" t="n">
        <v>1.02</v>
      </c>
      <c r="Q11" s="87" t="n">
        <v>1.02</v>
      </c>
      <c r="R11" s="88" t="n">
        <v>1.04</v>
      </c>
      <c r="S11" s="61"/>
      <c r="T11" s="87" t="n">
        <v>1.04</v>
      </c>
      <c r="U11" s="80"/>
      <c r="V11" s="58"/>
      <c r="W11" s="58"/>
      <c r="X11" s="61" t="s">
        <v>42</v>
      </c>
      <c r="Y11" s="61" t="s">
        <v>42</v>
      </c>
      <c r="Z11" s="61" t="s">
        <v>42</v>
      </c>
      <c r="AA11" s="60" t="s">
        <v>42</v>
      </c>
      <c r="AB11" s="89" t="s">
        <v>102</v>
      </c>
      <c r="AC11" s="65"/>
      <c r="AD11" s="64"/>
      <c r="AE11" s="90"/>
      <c r="AF11" s="83"/>
      <c r="AG11" s="83"/>
      <c r="AH11" s="78"/>
      <c r="AI11" s="84"/>
      <c r="AJ11" s="91"/>
      <c r="AK11" s="58"/>
      <c r="AL11" s="58"/>
      <c r="AM11" s="61"/>
      <c r="AN11" s="69"/>
      <c r="AO11" s="65"/>
      <c r="AP11" s="64"/>
      <c r="AQ11" s="70"/>
      <c r="AR11" s="70"/>
      <c r="AS11" s="92"/>
      <c r="AT11" s="92"/>
      <c r="AU11" s="92"/>
      <c r="AV11" s="82"/>
      <c r="AW11" s="74"/>
      <c r="AX11" s="74"/>
      <c r="AY11" s="148"/>
      <c r="AZ11" s="305" t="s">
        <v>42</v>
      </c>
      <c r="BA11" s="222"/>
      <c r="BB11" s="223"/>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row>
    <row r="12" customFormat="false" ht="12.95" hidden="false" customHeight="true" outlineLevel="0" collapsed="false">
      <c r="A12" s="197" t="s">
        <v>103</v>
      </c>
      <c r="B12" s="224"/>
      <c r="C12" s="113"/>
      <c r="D12" s="113"/>
      <c r="E12" s="113"/>
      <c r="F12" s="225"/>
      <c r="G12" s="113"/>
      <c r="H12" s="284"/>
      <c r="I12" s="113"/>
      <c r="J12" s="113"/>
      <c r="K12" s="113"/>
      <c r="L12" s="113"/>
      <c r="M12" s="227"/>
      <c r="N12" s="113"/>
      <c r="O12" s="113"/>
      <c r="P12" s="171"/>
      <c r="Q12" s="113"/>
      <c r="R12" s="113"/>
      <c r="S12" s="113"/>
      <c r="T12" s="113"/>
      <c r="U12" s="339"/>
      <c r="V12" s="113"/>
      <c r="W12" s="113"/>
      <c r="X12" s="113"/>
      <c r="Y12" s="113"/>
      <c r="Z12" s="113"/>
      <c r="AA12" s="113"/>
      <c r="AB12" s="113"/>
      <c r="AC12" s="143"/>
      <c r="AD12" s="113"/>
      <c r="AE12" s="113"/>
      <c r="AF12" s="227"/>
      <c r="AG12" s="229"/>
      <c r="AH12" s="113"/>
      <c r="AI12" s="113"/>
      <c r="AJ12" s="340"/>
      <c r="AK12" s="113"/>
      <c r="AL12" s="113"/>
      <c r="AM12" s="113"/>
      <c r="AN12" s="231"/>
      <c r="AO12" s="143"/>
      <c r="AP12" s="142"/>
      <c r="AQ12" s="232"/>
      <c r="AR12" s="232"/>
      <c r="AS12" s="232"/>
      <c r="AV12" s="233"/>
      <c r="AW12" s="226"/>
      <c r="AX12" s="226"/>
      <c r="AY12" s="265"/>
      <c r="AZ12" s="341"/>
      <c r="BA12" s="310"/>
      <c r="BB12" s="237"/>
    </row>
    <row r="13" s="244" customFormat="true" ht="12.95" hidden="false" customHeight="true" outlineLevel="0" collapsed="false">
      <c r="A13" s="238" t="s">
        <v>104</v>
      </c>
      <c r="B13" s="311" t="n">
        <f aca="false">FEB!B42</f>
        <v>6870.03</v>
      </c>
      <c r="C13" s="113" t="n">
        <f aca="false">FEB!C42</f>
        <v>187883</v>
      </c>
      <c r="D13" s="113" t="n">
        <f aca="false">FEB!D51</f>
        <v>14161</v>
      </c>
      <c r="E13" s="113" t="n">
        <f aca="false">FEB!E51</f>
        <v>35883</v>
      </c>
      <c r="F13" s="225" t="n">
        <f aca="false">FEB!F50</f>
        <v>7139.40005041593</v>
      </c>
      <c r="G13" s="113" t="n">
        <f aca="false">FEB!G50</f>
        <v>9004.5</v>
      </c>
      <c r="H13" s="342" t="n">
        <f aca="false">FEB!H50</f>
        <v>9.194</v>
      </c>
      <c r="I13" s="113" t="n">
        <f aca="false">FEB!I50</f>
        <v>9013.074</v>
      </c>
      <c r="J13" s="113" t="n">
        <f aca="false">FEB!J50</f>
        <v>1460.83264355936</v>
      </c>
      <c r="K13" s="113" t="n">
        <f aca="false">FEB!K50</f>
        <v>10473.9066435594</v>
      </c>
      <c r="L13" s="113" t="n">
        <f aca="false">FEB!L50</f>
        <v>645.796050415931</v>
      </c>
      <c r="M13" s="227" t="n">
        <f aca="false">FEB!M50</f>
        <v>368.67</v>
      </c>
      <c r="N13" s="113" t="n">
        <f aca="false">FEB!N50</f>
        <v>0</v>
      </c>
      <c r="O13" s="113" t="n">
        <f aca="false">FEB!O50</f>
        <v>0</v>
      </c>
      <c r="P13" s="113" t="n">
        <f aca="false">FEB!P50</f>
        <v>0</v>
      </c>
      <c r="Q13" s="113" t="n">
        <f aca="false">FEB!Q50</f>
        <v>187.928357768689</v>
      </c>
      <c r="R13" s="113" t="n">
        <f aca="false">FEB!R50</f>
        <v>190.264343796269</v>
      </c>
      <c r="S13" s="113" t="n">
        <f aca="false">FEB!S50</f>
        <v>0</v>
      </c>
      <c r="T13" s="113" t="n">
        <f aca="false">FEB!T50</f>
        <v>55.16839536</v>
      </c>
      <c r="U13" s="327" t="n">
        <f aca="false">FEB!U50</f>
        <v>-64.6910969249577</v>
      </c>
      <c r="V13" s="113" t="n">
        <f aca="false">FEB!V50</f>
        <v>0</v>
      </c>
      <c r="W13" s="113" t="n">
        <f aca="false">FEB!W50</f>
        <v>0</v>
      </c>
      <c r="X13" s="113" t="n">
        <f aca="false">FEB!X50</f>
        <v>-15.0402</v>
      </c>
      <c r="Y13" s="113" t="n">
        <f aca="false">FEB!Y50</f>
        <v>-15.0402</v>
      </c>
      <c r="Z13" s="113"/>
      <c r="AA13" s="113"/>
      <c r="AB13" s="113"/>
      <c r="AC13" s="143" t="n">
        <f aca="false">FEB!AC50</f>
        <v>1714.14</v>
      </c>
      <c r="AD13" s="113"/>
      <c r="AE13" s="113"/>
      <c r="AF13" s="227"/>
      <c r="AG13" s="229"/>
      <c r="AH13" s="277" t="n">
        <f aca="false">FEB!AH50</f>
        <v>2150.8</v>
      </c>
      <c r="AI13" s="113" t="n">
        <f aca="false">FEB!AI50</f>
        <v>849.036847624189</v>
      </c>
      <c r="AJ13" s="143" t="n">
        <f aca="false">FEB!AJ50</f>
        <v>0</v>
      </c>
      <c r="AK13" s="113" t="n">
        <f aca="false">FEB!AK50</f>
        <v>2519.47</v>
      </c>
      <c r="AL13" s="113" t="n">
        <f aca="false">FEB!AL50</f>
        <v>815.036593143434</v>
      </c>
      <c r="AM13" s="113" t="n">
        <f aca="false">FEB!AM50</f>
        <v>3334.50659314343</v>
      </c>
      <c r="AN13" s="231" t="n">
        <f aca="false">FEB!AN50</f>
        <v>0</v>
      </c>
      <c r="AO13" s="143" t="n">
        <f aca="false">FEB!AO50</f>
        <v>0</v>
      </c>
      <c r="AP13" s="113"/>
      <c r="AQ13" s="142"/>
      <c r="AR13" s="142"/>
      <c r="AS13" s="113"/>
      <c r="AT13" s="89"/>
      <c r="AU13" s="161"/>
      <c r="AV13" s="233" t="n">
        <f aca="false">FEB!AV50</f>
        <v>3.19</v>
      </c>
      <c r="AW13" s="226"/>
      <c r="AX13" s="226"/>
      <c r="AY13" s="312"/>
      <c r="AZ13" s="242" t="n">
        <f aca="false">FEB!AZ50</f>
        <v>368.67</v>
      </c>
      <c r="BA13" s="236" t="n">
        <f aca="false">FEB!BA50</f>
        <v>0</v>
      </c>
      <c r="BB13" s="243"/>
    </row>
    <row r="14" customFormat="false" ht="3" hidden="false" customHeight="true" outlineLevel="0" collapsed="false">
      <c r="A14" s="245"/>
      <c r="B14" s="246"/>
      <c r="C14" s="247"/>
      <c r="D14" s="248"/>
      <c r="E14" s="247"/>
      <c r="F14" s="249"/>
      <c r="G14" s="248"/>
      <c r="H14" s="275"/>
      <c r="I14" s="248"/>
      <c r="J14" s="248"/>
      <c r="K14" s="248"/>
      <c r="L14" s="248"/>
      <c r="M14" s="251"/>
      <c r="N14" s="248"/>
      <c r="O14" s="248"/>
      <c r="P14" s="252"/>
      <c r="Q14" s="248"/>
      <c r="R14" s="248"/>
      <c r="S14" s="248"/>
      <c r="T14" s="248"/>
      <c r="U14" s="343"/>
      <c r="V14" s="248"/>
      <c r="W14" s="248"/>
      <c r="X14" s="248"/>
      <c r="Y14" s="248"/>
      <c r="Z14" s="248"/>
      <c r="AA14" s="248"/>
      <c r="AB14" s="247"/>
      <c r="AC14" s="254"/>
      <c r="AD14" s="247"/>
      <c r="AE14" s="248"/>
      <c r="AF14" s="251"/>
      <c r="AG14" s="255"/>
      <c r="AH14" s="248"/>
      <c r="AI14" s="247"/>
      <c r="AJ14" s="254"/>
      <c r="AK14" s="248"/>
      <c r="AL14" s="248"/>
      <c r="AM14" s="248"/>
      <c r="AN14" s="256"/>
      <c r="AO14" s="254"/>
      <c r="AP14" s="257"/>
      <c r="AQ14" s="257"/>
      <c r="AR14" s="257"/>
      <c r="AS14" s="257"/>
      <c r="AT14" s="344"/>
      <c r="AU14" s="344"/>
      <c r="AV14" s="259"/>
      <c r="AW14" s="257"/>
      <c r="AX14" s="257"/>
      <c r="AY14" s="257"/>
      <c r="AZ14" s="257"/>
      <c r="BA14" s="257"/>
      <c r="BB14" s="257"/>
    </row>
    <row r="15" customFormat="false" ht="12.95" hidden="false" customHeight="true" outlineLevel="0" collapsed="false">
      <c r="A15" s="192" t="n">
        <v>1</v>
      </c>
      <c r="B15" s="112" t="n">
        <v>6870.14</v>
      </c>
      <c r="C15" s="113" t="n">
        <v>188178</v>
      </c>
      <c r="D15" s="226" t="n">
        <f aca="false">C15-C13</f>
        <v>295</v>
      </c>
      <c r="E15" s="113" t="n">
        <f aca="false">C15-152000</f>
        <v>36178</v>
      </c>
      <c r="F15" s="260" t="n">
        <f aca="false">D15/$D$2</f>
        <v>148.726997731283</v>
      </c>
      <c r="G15" s="142" t="n">
        <v>169.5</v>
      </c>
      <c r="H15" s="345" t="n">
        <v>0</v>
      </c>
      <c r="I15" s="142" t="n">
        <f aca="false">G15+H15</f>
        <v>169.5</v>
      </c>
      <c r="J15" s="143" t="n">
        <f aca="false">IF(L15&gt;0,L15,0)</f>
        <v>0</v>
      </c>
      <c r="K15" s="142" t="n">
        <f aca="false">I15+J15</f>
        <v>169.5</v>
      </c>
      <c r="L15" s="142" t="n">
        <f aca="false">F15-(I15-AK15)</f>
        <v>-0.0330022687168992</v>
      </c>
      <c r="M15" s="262" t="n">
        <v>2.64</v>
      </c>
      <c r="N15" s="142" t="n">
        <v>0</v>
      </c>
      <c r="O15" s="142" t="n">
        <v>0</v>
      </c>
      <c r="P15" s="171" t="n">
        <v>0</v>
      </c>
      <c r="Q15" s="346" t="n">
        <f aca="false">847900/325851/1.9835*1.02</f>
        <v>1.33811532352009</v>
      </c>
      <c r="R15" s="138" t="n">
        <f aca="false">((1292432/646272)*1.04)-T15</f>
        <v>1.68207384629035</v>
      </c>
      <c r="S15" s="138" t="n">
        <v>0</v>
      </c>
      <c r="T15" s="138" t="n">
        <f aca="false">(0.3608*1.06)*1.04</f>
        <v>0.39774592</v>
      </c>
      <c r="U15" s="101" t="n">
        <f aca="false">M15-(Q15+R15+S15+T15)</f>
        <v>-0.777935089810448</v>
      </c>
      <c r="V15" s="142" t="n">
        <v>0</v>
      </c>
      <c r="W15" s="142" t="n">
        <v>0</v>
      </c>
      <c r="X15" s="142" t="n">
        <f aca="false">M15-N15-O15-P15-Q15-R15-S15-T15-U15+V15+W15</f>
        <v>0</v>
      </c>
      <c r="Y15" s="142" t="n">
        <f aca="false">X15-AO15</f>
        <v>0</v>
      </c>
      <c r="Z15" s="142"/>
      <c r="AA15" s="142"/>
      <c r="AB15" s="113"/>
      <c r="AC15" s="143"/>
      <c r="AD15" s="113"/>
      <c r="AE15" s="142" t="n">
        <v>0</v>
      </c>
      <c r="AF15" s="262"/>
      <c r="AG15" s="263"/>
      <c r="AH15" s="142" t="n">
        <v>18.1</v>
      </c>
      <c r="AI15" s="113" t="n">
        <f aca="false">AI13-AH15</f>
        <v>830.936847624189</v>
      </c>
      <c r="AJ15" s="143"/>
      <c r="AK15" s="141" t="n">
        <f aca="false">N15+O15+P15+Q15+R15+S15+T15+U15+X15+AE15+AH15</f>
        <v>20.74</v>
      </c>
      <c r="AL15" s="142" t="n">
        <f aca="false">IF(L15&lt;0,L15*-1,0)</f>
        <v>0.0330022687168992</v>
      </c>
      <c r="AM15" s="142" t="n">
        <f aca="false">AK15+AL15</f>
        <v>20.7730022687169</v>
      </c>
      <c r="AN15" s="231"/>
      <c r="AO15" s="143"/>
      <c r="AP15" s="232"/>
      <c r="AQ15" s="113"/>
      <c r="AR15" s="113"/>
      <c r="AS15" s="232"/>
      <c r="AU15" s="56"/>
      <c r="AV15" s="233" t="n">
        <v>0.16</v>
      </c>
      <c r="AW15" s="226" t="n">
        <v>49</v>
      </c>
      <c r="AX15" s="226" t="n">
        <v>34</v>
      </c>
      <c r="AY15" s="265"/>
      <c r="AZ15" s="264" t="n">
        <f aca="false">SUM(N15,P15:U15)</f>
        <v>2.64</v>
      </c>
      <c r="BA15" s="193" t="n">
        <v>0</v>
      </c>
      <c r="BB15" s="265" t="n">
        <v>7067</v>
      </c>
    </row>
    <row r="16" customFormat="false" ht="12.95" hidden="false" customHeight="true" outlineLevel="0" collapsed="false">
      <c r="A16" s="192" t="n">
        <f aca="false">A15+1</f>
        <v>2</v>
      </c>
      <c r="B16" s="112" t="n">
        <v>6870.25</v>
      </c>
      <c r="C16" s="113" t="n">
        <v>188473</v>
      </c>
      <c r="D16" s="226" t="n">
        <f aca="false">C16-C15</f>
        <v>295</v>
      </c>
      <c r="E16" s="113" t="n">
        <f aca="false">C16-152000</f>
        <v>36473</v>
      </c>
      <c r="F16" s="260" t="n">
        <f aca="false">D16/$D$2</f>
        <v>148.726997731283</v>
      </c>
      <c r="G16" s="142" t="n">
        <v>169.7</v>
      </c>
      <c r="H16" s="345" t="n">
        <v>0</v>
      </c>
      <c r="I16" s="142" t="n">
        <f aca="false">G16+H16</f>
        <v>169.7</v>
      </c>
      <c r="J16" s="143" t="n">
        <f aca="false">IF(L16&gt;0,L16,0)</f>
        <v>0</v>
      </c>
      <c r="K16" s="142" t="n">
        <f aca="false">I16+J16</f>
        <v>169.7</v>
      </c>
      <c r="L16" s="142" t="n">
        <f aca="false">F16-(I16-AK16)</f>
        <v>-0.00300226871689802</v>
      </c>
      <c r="M16" s="262" t="n">
        <v>3.07</v>
      </c>
      <c r="N16" s="142" t="n">
        <v>0</v>
      </c>
      <c r="O16" s="142" t="n">
        <v>0</v>
      </c>
      <c r="P16" s="171" t="n">
        <v>0</v>
      </c>
      <c r="Q16" s="346" t="n">
        <f aca="false">911500/325851/1.9835*1.02</f>
        <v>1.43848580892625</v>
      </c>
      <c r="R16" s="138" t="n">
        <f aca="false">((1216000/646272)*1.04)-T16</f>
        <v>1.55907721329372</v>
      </c>
      <c r="S16" s="138" t="n">
        <v>0</v>
      </c>
      <c r="T16" s="138" t="n">
        <f aca="false">(0.3608*1.06)*1.04</f>
        <v>0.39774592</v>
      </c>
      <c r="U16" s="101" t="n">
        <f aca="false">M16-(Q16+R16+S16+T16)</f>
        <v>-0.325308942219969</v>
      </c>
      <c r="V16" s="142" t="n">
        <v>0</v>
      </c>
      <c r="W16" s="142" t="n">
        <v>0</v>
      </c>
      <c r="X16" s="142" t="n">
        <f aca="false">M16-N16-O16-P16-Q16-R16-S16-T16-U16+V16+W16</f>
        <v>0</v>
      </c>
      <c r="Y16" s="142" t="n">
        <f aca="false">X16-AO16</f>
        <v>0</v>
      </c>
      <c r="Z16" s="142"/>
      <c r="AA16" s="142"/>
      <c r="AB16" s="113"/>
      <c r="AC16" s="143"/>
      <c r="AD16" s="113"/>
      <c r="AE16" s="142" t="n">
        <v>0</v>
      </c>
      <c r="AF16" s="262"/>
      <c r="AG16" s="263"/>
      <c r="AH16" s="142" t="n">
        <v>17.9</v>
      </c>
      <c r="AI16" s="113" t="n">
        <f aca="false">AI15-AH16</f>
        <v>813.036847624189</v>
      </c>
      <c r="AJ16" s="143"/>
      <c r="AK16" s="141" t="n">
        <f aca="false">N16+O16+P16+Q16+R16+S16+T16+U16+X16+AE16+AH16</f>
        <v>20.97</v>
      </c>
      <c r="AL16" s="142" t="n">
        <f aca="false">IF(L16&lt;0,L16*-1,0)</f>
        <v>0.00300226871689802</v>
      </c>
      <c r="AM16" s="142" t="n">
        <f aca="false">AK16+AL16</f>
        <v>20.9730022687169</v>
      </c>
      <c r="AN16" s="231"/>
      <c r="AO16" s="143"/>
      <c r="AP16" s="232"/>
      <c r="AQ16" s="113"/>
      <c r="AR16" s="113"/>
      <c r="AS16" s="232"/>
      <c r="AU16" s="56"/>
      <c r="AV16" s="233" t="n">
        <v>0.05</v>
      </c>
      <c r="AW16" s="226" t="n">
        <v>53</v>
      </c>
      <c r="AX16" s="226" t="n">
        <v>30</v>
      </c>
      <c r="AY16" s="265"/>
      <c r="AZ16" s="264" t="n">
        <f aca="false">SUM(N16,P16:U16)</f>
        <v>3.07</v>
      </c>
      <c r="BA16" s="193" t="n">
        <v>0</v>
      </c>
      <c r="BB16" s="265" t="n">
        <v>7055</v>
      </c>
    </row>
    <row r="17" customFormat="false" ht="12.95" hidden="false" customHeight="true" outlineLevel="0" collapsed="false">
      <c r="A17" s="192" t="n">
        <f aca="false">A16+1</f>
        <v>3</v>
      </c>
      <c r="B17" s="112" t="n">
        <v>6870.36</v>
      </c>
      <c r="C17" s="113" t="n">
        <v>188768</v>
      </c>
      <c r="D17" s="226" t="n">
        <f aca="false">C17-C16</f>
        <v>295</v>
      </c>
      <c r="E17" s="113" t="n">
        <f aca="false">C17-152000</f>
        <v>36768</v>
      </c>
      <c r="F17" s="260" t="n">
        <f aca="false">D17/$D$2</f>
        <v>148.726997731283</v>
      </c>
      <c r="G17" s="142" t="n">
        <v>173.3</v>
      </c>
      <c r="H17" s="345" t="n">
        <v>0</v>
      </c>
      <c r="I17" s="142" t="n">
        <f aca="false">G17+H17</f>
        <v>173.3</v>
      </c>
      <c r="J17" s="143" t="n">
        <f aca="false">IF(L17&gt;0,L17,0)</f>
        <v>0.0469977312830849</v>
      </c>
      <c r="K17" s="142" t="n">
        <f aca="false">I17+J17</f>
        <v>173.346997731283</v>
      </c>
      <c r="L17" s="142" t="n">
        <f aca="false">F17-(I17-AK17)</f>
        <v>0.0469977312830849</v>
      </c>
      <c r="M17" s="262" t="n">
        <v>3.52</v>
      </c>
      <c r="N17" s="142" t="n">
        <v>0</v>
      </c>
      <c r="O17" s="142" t="n">
        <v>0</v>
      </c>
      <c r="P17" s="171" t="n">
        <v>0</v>
      </c>
      <c r="Q17" s="346" t="n">
        <f aca="false">1054400/325851/1.9835*1.02</f>
        <v>1.66400377063284</v>
      </c>
      <c r="R17" s="138" t="n">
        <f aca="false">((1246656/646272)*1.04)-T17</f>
        <v>1.60840975439097</v>
      </c>
      <c r="S17" s="138" t="n">
        <v>0</v>
      </c>
      <c r="T17" s="138" t="n">
        <f aca="false">(0.3608*1.06)*1.04</f>
        <v>0.39774592</v>
      </c>
      <c r="U17" s="101" t="n">
        <f aca="false">M17-(Q17+R17+S17+T17)</f>
        <v>-0.15015944502381</v>
      </c>
      <c r="V17" s="142" t="n">
        <v>0</v>
      </c>
      <c r="W17" s="142" t="n">
        <v>0</v>
      </c>
      <c r="X17" s="142" t="n">
        <f aca="false">M17-N17-O17-P17-Q17-R17-S17-T17-U17+V17+W17</f>
        <v>0</v>
      </c>
      <c r="Y17" s="142" t="n">
        <f aca="false">X17-AO17</f>
        <v>0</v>
      </c>
      <c r="Z17" s="142"/>
      <c r="AA17" s="142"/>
      <c r="AB17" s="113"/>
      <c r="AC17" s="143"/>
      <c r="AD17" s="113"/>
      <c r="AE17" s="142" t="n">
        <v>0</v>
      </c>
      <c r="AF17" s="262"/>
      <c r="AG17" s="263"/>
      <c r="AH17" s="142" t="n">
        <v>21.1</v>
      </c>
      <c r="AI17" s="113" t="n">
        <f aca="false">AI16-AH17</f>
        <v>791.936847624189</v>
      </c>
      <c r="AJ17" s="143"/>
      <c r="AK17" s="141" t="n">
        <f aca="false">N17+O17+P17+Q17+R17+S17+T17+U17+X17+AE17+AH17</f>
        <v>24.62</v>
      </c>
      <c r="AL17" s="142" t="n">
        <f aca="false">IF(L17&lt;0,L17*-1,0)</f>
        <v>0</v>
      </c>
      <c r="AM17" s="142" t="n">
        <f aca="false">AK17+AL17</f>
        <v>24.62</v>
      </c>
      <c r="AN17" s="231"/>
      <c r="AO17" s="143"/>
      <c r="AP17" s="232"/>
      <c r="AQ17" s="113"/>
      <c r="AR17" s="113"/>
      <c r="AS17" s="232"/>
      <c r="AU17" s="56"/>
      <c r="AV17" s="233" t="n">
        <v>0</v>
      </c>
      <c r="AW17" s="226" t="n">
        <v>52</v>
      </c>
      <c r="AX17" s="226" t="n">
        <v>30</v>
      </c>
      <c r="AY17" s="265"/>
      <c r="AZ17" s="264" t="n">
        <f aca="false">SUM(N17,P17:U17)</f>
        <v>3.52</v>
      </c>
      <c r="BA17" s="193" t="n">
        <v>0</v>
      </c>
      <c r="BB17" s="265" t="n">
        <v>7072</v>
      </c>
    </row>
    <row r="18" customFormat="false" ht="12.95" hidden="false" customHeight="true" outlineLevel="0" collapsed="false">
      <c r="A18" s="192" t="n">
        <f aca="false">A17+1</f>
        <v>4</v>
      </c>
      <c r="B18" s="112" t="n">
        <v>6870.43</v>
      </c>
      <c r="C18" s="113" t="n">
        <v>188956</v>
      </c>
      <c r="D18" s="226" t="n">
        <f aca="false">C18-C17</f>
        <v>188</v>
      </c>
      <c r="E18" s="113" t="n">
        <f aca="false">C18-152000</f>
        <v>36956</v>
      </c>
      <c r="F18" s="260" t="n">
        <f aca="false">D18/$D$2</f>
        <v>94.7819510965465</v>
      </c>
      <c r="G18" s="142" t="n">
        <v>69</v>
      </c>
      <c r="H18" s="345" t="n">
        <v>0</v>
      </c>
      <c r="I18" s="142" t="n">
        <f aca="false">G18+H18</f>
        <v>69</v>
      </c>
      <c r="J18" s="143" t="n">
        <f aca="false">IF(L18&gt;0,L18,0)</f>
        <v>55.4819510965465</v>
      </c>
      <c r="K18" s="142" t="n">
        <f aca="false">I18+J18</f>
        <v>124.481951096547</v>
      </c>
      <c r="L18" s="142" t="n">
        <f aca="false">F18-(I18-AK18)</f>
        <v>55.4819510965465</v>
      </c>
      <c r="M18" s="262" t="n">
        <v>3.8</v>
      </c>
      <c r="N18" s="142" t="n">
        <v>0</v>
      </c>
      <c r="O18" s="142" t="n">
        <v>0</v>
      </c>
      <c r="P18" s="171" t="n">
        <v>0</v>
      </c>
      <c r="Q18" s="346" t="n">
        <f aca="false">721400/325851/1.9835*1.02</f>
        <v>1.13847905930817</v>
      </c>
      <c r="R18" s="138" t="n">
        <f aca="false">((1251344/646272)*1.04)-T18</f>
        <v>1.61595382252327</v>
      </c>
      <c r="S18" s="138" t="n">
        <v>0</v>
      </c>
      <c r="T18" s="138" t="n">
        <f aca="false">(0.3608*1.06)*1.04</f>
        <v>0.39774592</v>
      </c>
      <c r="U18" s="101" t="n">
        <f aca="false">M18-(Q18+R18+S18+T18)</f>
        <v>0.64782119816856</v>
      </c>
      <c r="V18" s="142" t="n">
        <v>0</v>
      </c>
      <c r="W18" s="142" t="n">
        <v>0</v>
      </c>
      <c r="X18" s="142" t="n">
        <f aca="false">M18-N18-O18-P18-Q18-R18-S18-T18-U18+V18+W18</f>
        <v>0</v>
      </c>
      <c r="Y18" s="142" t="n">
        <f aca="false">X18-AO18</f>
        <v>0</v>
      </c>
      <c r="Z18" s="142"/>
      <c r="AA18" s="142"/>
      <c r="AB18" s="113"/>
      <c r="AC18" s="143"/>
      <c r="AD18" s="113"/>
      <c r="AE18" s="142" t="n">
        <v>0</v>
      </c>
      <c r="AF18" s="262"/>
      <c r="AG18" s="263"/>
      <c r="AH18" s="142" t="n">
        <v>25.9</v>
      </c>
      <c r="AI18" s="113" t="n">
        <f aca="false">AI17-AH18</f>
        <v>766.036847624189</v>
      </c>
      <c r="AJ18" s="143"/>
      <c r="AK18" s="141" t="n">
        <f aca="false">N18+O18+P18+Q18+R18+S18+T18+U18+X18+AE18+AH18</f>
        <v>29.7</v>
      </c>
      <c r="AL18" s="142" t="n">
        <f aca="false">IF(L18&lt;0,L18*-1,0)</f>
        <v>0</v>
      </c>
      <c r="AM18" s="142" t="n">
        <f aca="false">AK18+AL18</f>
        <v>29.7</v>
      </c>
      <c r="AN18" s="231"/>
      <c r="AO18" s="143"/>
      <c r="AP18" s="232"/>
      <c r="AQ18" s="113"/>
      <c r="AR18" s="113"/>
      <c r="AS18" s="232"/>
      <c r="AU18" s="56"/>
      <c r="AV18" s="233" t="n">
        <v>0.01</v>
      </c>
      <c r="AW18" s="226" t="n">
        <v>54</v>
      </c>
      <c r="AX18" s="226" t="n">
        <v>29</v>
      </c>
      <c r="AY18" s="265"/>
      <c r="AZ18" s="264" t="n">
        <f aca="false">SUM(N18,P18:U18)</f>
        <v>3.8</v>
      </c>
      <c r="BA18" s="193" t="n">
        <v>0</v>
      </c>
      <c r="BB18" s="265" t="n">
        <v>7089</v>
      </c>
    </row>
    <row r="19" customFormat="false" ht="12.95" hidden="false" customHeight="true" outlineLevel="0" collapsed="false">
      <c r="A19" s="192" t="n">
        <f aca="false">A18+1</f>
        <v>5</v>
      </c>
      <c r="B19" s="112" t="n">
        <v>6870.49</v>
      </c>
      <c r="C19" s="113" t="n">
        <v>189117</v>
      </c>
      <c r="D19" s="226" t="n">
        <f aca="false">C19-C18</f>
        <v>161</v>
      </c>
      <c r="E19" s="113" t="n">
        <f aca="false">C19-152000</f>
        <v>37117</v>
      </c>
      <c r="F19" s="260" t="n">
        <f aca="false">D19/$D$2</f>
        <v>81.1696496092765</v>
      </c>
      <c r="G19" s="142" t="n">
        <v>69</v>
      </c>
      <c r="H19" s="345" t="n">
        <v>0</v>
      </c>
      <c r="I19" s="142" t="n">
        <f aca="false">G19+H19</f>
        <v>69</v>
      </c>
      <c r="J19" s="143" t="n">
        <f aca="false">IF(L19&gt;0,L19,0)</f>
        <v>43.3096496092765</v>
      </c>
      <c r="K19" s="142" t="n">
        <f aca="false">I19+J19</f>
        <v>112.309649609277</v>
      </c>
      <c r="L19" s="142" t="n">
        <f aca="false">F19-(I19-AK19)</f>
        <v>43.3096496092765</v>
      </c>
      <c r="M19" s="262" t="n">
        <v>3.44</v>
      </c>
      <c r="N19" s="142" t="n">
        <v>0</v>
      </c>
      <c r="O19" s="142" t="n">
        <v>0</v>
      </c>
      <c r="P19" s="171" t="n">
        <v>0</v>
      </c>
      <c r="Q19" s="346" t="n">
        <f aca="false">841500/325851/1.9835*1.02</f>
        <v>1.32801514888803</v>
      </c>
      <c r="R19" s="138" t="n">
        <f aca="false">((1205264/646272)*1.04)-T19</f>
        <v>1.54180052484056</v>
      </c>
      <c r="S19" s="138" t="n">
        <v>0</v>
      </c>
      <c r="T19" s="138" t="n">
        <f aca="false">(0.3608*1.06)*1.04</f>
        <v>0.39774592</v>
      </c>
      <c r="U19" s="101" t="n">
        <f aca="false">M19-(Q19+R19+S19+T19)</f>
        <v>0.17243840627141</v>
      </c>
      <c r="V19" s="142" t="n">
        <v>0</v>
      </c>
      <c r="W19" s="142" t="n">
        <v>0</v>
      </c>
      <c r="X19" s="142" t="n">
        <f aca="false">M19-N19-O19-P19-Q19-R19-S19-T19-U19+V19+W19</f>
        <v>0</v>
      </c>
      <c r="Y19" s="142" t="n">
        <f aca="false">X19-AO19</f>
        <v>0</v>
      </c>
      <c r="Z19" s="142"/>
      <c r="AA19" s="142"/>
      <c r="AB19" s="113"/>
      <c r="AC19" s="143"/>
      <c r="AD19" s="113"/>
      <c r="AE19" s="142" t="n">
        <v>0</v>
      </c>
      <c r="AF19" s="262"/>
      <c r="AG19" s="263"/>
      <c r="AH19" s="142" t="n">
        <v>27.7</v>
      </c>
      <c r="AI19" s="113" t="n">
        <f aca="false">AI18-AH19</f>
        <v>738.336847624189</v>
      </c>
      <c r="AJ19" s="143"/>
      <c r="AK19" s="141" t="n">
        <f aca="false">N19+O19+P19+Q19+R19+S19+T19+U19+X19+AE19+AH19</f>
        <v>31.14</v>
      </c>
      <c r="AL19" s="142" t="n">
        <f aca="false">IF(L19&lt;0,L19*-1,0)</f>
        <v>0</v>
      </c>
      <c r="AM19" s="142" t="n">
        <f aca="false">AK19+AL19</f>
        <v>31.14</v>
      </c>
      <c r="AN19" s="231"/>
      <c r="AO19" s="143"/>
      <c r="AP19" s="232"/>
      <c r="AQ19" s="113"/>
      <c r="AR19" s="113"/>
      <c r="AS19" s="232"/>
      <c r="AU19" s="56"/>
      <c r="AV19" s="233" t="n">
        <v>0</v>
      </c>
      <c r="AW19" s="226" t="n">
        <v>58</v>
      </c>
      <c r="AX19" s="226" t="n">
        <v>26</v>
      </c>
      <c r="AY19" s="265"/>
      <c r="AZ19" s="264" t="n">
        <f aca="false">SUM(N19,P19:U19)</f>
        <v>3.44</v>
      </c>
      <c r="BA19" s="193" t="n">
        <v>0</v>
      </c>
      <c r="BB19" s="265" t="n">
        <v>7084</v>
      </c>
    </row>
    <row r="20" customFormat="false" ht="12.95" hidden="false" customHeight="true" outlineLevel="0" collapsed="false">
      <c r="A20" s="192" t="n">
        <f aca="false">A19+1</f>
        <v>6</v>
      </c>
      <c r="B20" s="112" t="n">
        <v>6870.54</v>
      </c>
      <c r="C20" s="113" t="n">
        <v>189251</v>
      </c>
      <c r="D20" s="226" t="n">
        <f aca="false">C20-C19</f>
        <v>134</v>
      </c>
      <c r="E20" s="113" t="n">
        <f aca="false">C20-152000</f>
        <v>37251</v>
      </c>
      <c r="F20" s="260" t="n">
        <f aca="false">D20/$D$2</f>
        <v>67.5573481220066</v>
      </c>
      <c r="G20" s="142" t="n">
        <v>70</v>
      </c>
      <c r="H20" s="345" t="n">
        <v>0</v>
      </c>
      <c r="I20" s="142" t="n">
        <f aca="false">G20+H20</f>
        <v>70</v>
      </c>
      <c r="J20" s="143" t="n">
        <f aca="false">IF(L20&gt;0,L20,0)</f>
        <v>28.8373481220066</v>
      </c>
      <c r="K20" s="142" t="n">
        <f aca="false">I20+J20</f>
        <v>98.8373481220066</v>
      </c>
      <c r="L20" s="142" t="n">
        <f aca="false">F20-(I20-AK20)</f>
        <v>28.8373481220066</v>
      </c>
      <c r="M20" s="262" t="n">
        <v>3.18</v>
      </c>
      <c r="N20" s="142" t="n">
        <v>0</v>
      </c>
      <c r="O20" s="142" t="n">
        <v>0</v>
      </c>
      <c r="P20" s="171" t="n">
        <v>0</v>
      </c>
      <c r="Q20" s="346" t="n">
        <f aca="false">1251700/325851/1.9835*1.02</f>
        <v>1.97537321671199</v>
      </c>
      <c r="R20" s="138" t="n">
        <f aca="false">((1236208/646272)*1.04)-T20</f>
        <v>1.59159652404833</v>
      </c>
      <c r="S20" s="138" t="n">
        <v>0</v>
      </c>
      <c r="T20" s="138" t="n">
        <f aca="false">(0.3608*1.06)*1.04</f>
        <v>0.39774592</v>
      </c>
      <c r="U20" s="101" t="n">
        <f aca="false">M20-(Q20+R20+S20+T20)</f>
        <v>-0.784715660760321</v>
      </c>
      <c r="V20" s="142" t="n">
        <v>0</v>
      </c>
      <c r="W20" s="142" t="n">
        <v>0</v>
      </c>
      <c r="X20" s="142" t="n">
        <f aca="false">M20-N20-O20-P20-Q20-R20-S20-T20-U20+V20+W20</f>
        <v>0</v>
      </c>
      <c r="Y20" s="142" t="n">
        <f aca="false">X20-AO20</f>
        <v>0</v>
      </c>
      <c r="Z20" s="142"/>
      <c r="AA20" s="142"/>
      <c r="AB20" s="113"/>
      <c r="AC20" s="143"/>
      <c r="AD20" s="113"/>
      <c r="AE20" s="142" t="n">
        <v>0</v>
      </c>
      <c r="AF20" s="262"/>
      <c r="AG20" s="263"/>
      <c r="AH20" s="142" t="n">
        <v>28.1</v>
      </c>
      <c r="AI20" s="113" t="n">
        <f aca="false">AI19-AH20</f>
        <v>710.236847624189</v>
      </c>
      <c r="AJ20" s="143"/>
      <c r="AK20" s="141" t="n">
        <f aca="false">N20+O20+P20+Q20+R20+S20+T20+U20+X20+AE20+AH20</f>
        <v>31.28</v>
      </c>
      <c r="AL20" s="142" t="n">
        <f aca="false">IF(L20&lt;0,L20*-1,0)</f>
        <v>0</v>
      </c>
      <c r="AM20" s="142" t="n">
        <f aca="false">AK20+AL20</f>
        <v>31.28</v>
      </c>
      <c r="AN20" s="231"/>
      <c r="AO20" s="143"/>
      <c r="AP20" s="142"/>
      <c r="AQ20" s="113"/>
      <c r="AR20" s="113"/>
      <c r="AS20" s="232"/>
      <c r="AU20" s="56"/>
      <c r="AV20" s="233" t="n">
        <v>0</v>
      </c>
      <c r="AW20" s="226" t="n">
        <v>60</v>
      </c>
      <c r="AX20" s="226" t="n">
        <v>29</v>
      </c>
      <c r="AY20" s="265"/>
      <c r="AZ20" s="264" t="n">
        <f aca="false">SUM(N20,P20:U20)</f>
        <v>3.18</v>
      </c>
      <c r="BA20" s="193" t="n">
        <v>0</v>
      </c>
      <c r="BB20" s="265" t="n">
        <v>7095</v>
      </c>
    </row>
    <row r="21" customFormat="false" ht="12.95" hidden="false" customHeight="true" outlineLevel="0" collapsed="false">
      <c r="A21" s="192" t="n">
        <f aca="false">A20+1</f>
        <v>7</v>
      </c>
      <c r="B21" s="112" t="n">
        <v>6870.62</v>
      </c>
      <c r="C21" s="113" t="n">
        <v>189465</v>
      </c>
      <c r="D21" s="226" t="n">
        <f aca="false">C21-C20</f>
        <v>214</v>
      </c>
      <c r="E21" s="113" t="n">
        <f aca="false">C21-152000</f>
        <v>37465</v>
      </c>
      <c r="F21" s="260" t="n">
        <f aca="false">D21/$D$2</f>
        <v>107.890093269473</v>
      </c>
      <c r="G21" s="142" t="n">
        <v>71</v>
      </c>
      <c r="H21" s="345" t="n">
        <v>0</v>
      </c>
      <c r="I21" s="142" t="n">
        <f aca="false">G21+H21</f>
        <v>71</v>
      </c>
      <c r="J21" s="143" t="n">
        <f aca="false">IF(L21&gt;0,L21,0)</f>
        <v>68.4100932694732</v>
      </c>
      <c r="K21" s="142" t="n">
        <f aca="false">I21+J21</f>
        <v>139.410093269473</v>
      </c>
      <c r="L21" s="142" t="n">
        <f aca="false">F21-(I21-AK21)</f>
        <v>68.4100932694732</v>
      </c>
      <c r="M21" s="262" t="n">
        <v>3.22</v>
      </c>
      <c r="N21" s="142" t="n">
        <v>0</v>
      </c>
      <c r="O21" s="142" t="n">
        <v>0</v>
      </c>
      <c r="P21" s="171" t="n">
        <v>0</v>
      </c>
      <c r="Q21" s="346" t="n">
        <f aca="false">804400/325851/1.9835*1.02</f>
        <v>1.26946569906777</v>
      </c>
      <c r="R21" s="138" t="n">
        <f aca="false">((1231088/646272)*1.04)-T21</f>
        <v>1.54642686875025</v>
      </c>
      <c r="S21" s="138" t="n">
        <v>0</v>
      </c>
      <c r="T21" s="138" t="n">
        <f aca="false">(0.3943*1.06)*1.04</f>
        <v>0.43467632</v>
      </c>
      <c r="U21" s="101" t="n">
        <f aca="false">M21-(Q21+R21+S21+T21)</f>
        <v>-0.0305688878180179</v>
      </c>
      <c r="V21" s="142" t="n">
        <v>0</v>
      </c>
      <c r="W21" s="142" t="n">
        <v>0</v>
      </c>
      <c r="X21" s="142" t="n">
        <f aca="false">M21-N21-O21-P21-Q21-R21-S21-T21-U21+V21+W21</f>
        <v>-1.11022302462516E-016</v>
      </c>
      <c r="Y21" s="142" t="n">
        <f aca="false">X21-AO21</f>
        <v>-1.11022302462516E-016</v>
      </c>
      <c r="Z21" s="142"/>
      <c r="AA21" s="142"/>
      <c r="AB21" s="113"/>
      <c r="AC21" s="143"/>
      <c r="AD21" s="113"/>
      <c r="AE21" s="142" t="n">
        <v>0</v>
      </c>
      <c r="AF21" s="262"/>
      <c r="AG21" s="263"/>
      <c r="AH21" s="142" t="n">
        <v>28.3</v>
      </c>
      <c r="AI21" s="113" t="n">
        <f aca="false">AI20-AH21</f>
        <v>681.936847624189</v>
      </c>
      <c r="AJ21" s="143"/>
      <c r="AK21" s="141" t="n">
        <f aca="false">N21+O21+P21+Q21+R21+S21+T21+U21+X21+AE21+AH21</f>
        <v>31.52</v>
      </c>
      <c r="AL21" s="142" t="n">
        <f aca="false">IF(L21&lt;0,L21*-1,0)</f>
        <v>0</v>
      </c>
      <c r="AM21" s="142" t="n">
        <f aca="false">AK21+AL21</f>
        <v>31.52</v>
      </c>
      <c r="AN21" s="231"/>
      <c r="AO21" s="143"/>
      <c r="AP21" s="142"/>
      <c r="AQ21" s="113"/>
      <c r="AR21" s="113"/>
      <c r="AS21" s="232"/>
      <c r="AU21" s="56"/>
      <c r="AV21" s="233" t="n">
        <v>0</v>
      </c>
      <c r="AW21" s="226" t="n">
        <v>60</v>
      </c>
      <c r="AX21" s="226" t="n">
        <v>29</v>
      </c>
      <c r="AY21" s="265"/>
      <c r="AZ21" s="264" t="n">
        <f aca="false">SUM(N21,P21:U21)</f>
        <v>3.22</v>
      </c>
      <c r="BA21" s="193" t="n">
        <v>0</v>
      </c>
      <c r="BB21" s="265" t="n">
        <v>7089</v>
      </c>
    </row>
    <row r="22" customFormat="false" ht="12.95" hidden="false" customHeight="true" outlineLevel="0" collapsed="false">
      <c r="A22" s="192" t="n">
        <f aca="false">A21+1</f>
        <v>8</v>
      </c>
      <c r="B22" s="112" t="n">
        <v>6870.66</v>
      </c>
      <c r="C22" s="113" t="n">
        <v>189573</v>
      </c>
      <c r="D22" s="226" t="n">
        <f aca="false">C22-C21</f>
        <v>108</v>
      </c>
      <c r="E22" s="113" t="n">
        <f aca="false">C22-152000</f>
        <v>37573</v>
      </c>
      <c r="F22" s="260" t="n">
        <f aca="false">D22/$D$2</f>
        <v>54.4492059490799</v>
      </c>
      <c r="G22" s="142" t="n">
        <v>73</v>
      </c>
      <c r="H22" s="345" t="n">
        <v>1.01</v>
      </c>
      <c r="I22" s="142" t="n">
        <f aca="false">G22+H22</f>
        <v>74.01</v>
      </c>
      <c r="J22" s="143" t="n">
        <f aca="false">IF(L22&gt;0,L22,0)</f>
        <v>12.2192059490799</v>
      </c>
      <c r="K22" s="142" t="n">
        <f aca="false">I22+J22</f>
        <v>86.2292059490799</v>
      </c>
      <c r="L22" s="142" t="n">
        <f aca="false">F22-(I22-AK22)</f>
        <v>12.2192059490799</v>
      </c>
      <c r="M22" s="262" t="n">
        <v>3.08</v>
      </c>
      <c r="N22" s="142" t="n">
        <v>0</v>
      </c>
      <c r="O22" s="142" t="n">
        <v>0</v>
      </c>
      <c r="P22" s="171" t="n">
        <v>0</v>
      </c>
      <c r="Q22" s="346" t="n">
        <f aca="false">897500/325851/1.9835*1.02</f>
        <v>1.4163916769186</v>
      </c>
      <c r="R22" s="138" t="n">
        <f aca="false">((1126528/646272)*1.04)-T22</f>
        <v>1.37816582695979</v>
      </c>
      <c r="S22" s="138" t="n">
        <v>0</v>
      </c>
      <c r="T22" s="138" t="n">
        <f aca="false">(0.3943*1.06)*1.04</f>
        <v>0.43467632</v>
      </c>
      <c r="U22" s="101" t="n">
        <f aca="false">M22-(Q22+R22+S22+T22)</f>
        <v>-0.149233823878397</v>
      </c>
      <c r="V22" s="142" t="n">
        <v>0</v>
      </c>
      <c r="W22" s="142" t="n">
        <v>0</v>
      </c>
      <c r="X22" s="142" t="n">
        <f aca="false">M22-N22-O22-P22-Q22-R22-S22-T22-U22+V22+W22</f>
        <v>0</v>
      </c>
      <c r="Y22" s="142" t="n">
        <f aca="false">X22-AO22</f>
        <v>0</v>
      </c>
      <c r="Z22" s="142"/>
      <c r="AA22" s="142"/>
      <c r="AB22" s="113"/>
      <c r="AC22" s="143"/>
      <c r="AD22" s="113"/>
      <c r="AE22" s="142" t="n">
        <v>0</v>
      </c>
      <c r="AF22" s="262"/>
      <c r="AG22" s="263"/>
      <c r="AH22" s="142" t="n">
        <v>28.7</v>
      </c>
      <c r="AI22" s="113" t="n">
        <f aca="false">AI21-AH22</f>
        <v>653.236847624189</v>
      </c>
      <c r="AJ22" s="143"/>
      <c r="AK22" s="141" t="n">
        <f aca="false">N22+O22+P22+Q22+R22+S22+T22+U22+X22+AE22+AH22</f>
        <v>31.78</v>
      </c>
      <c r="AL22" s="142" t="n">
        <f aca="false">IF(L22&lt;0,L22*-1,0)</f>
        <v>0</v>
      </c>
      <c r="AM22" s="142" t="n">
        <f aca="false">AK22+AL22</f>
        <v>31.78</v>
      </c>
      <c r="AN22" s="231"/>
      <c r="AO22" s="143"/>
      <c r="AP22" s="142"/>
      <c r="AQ22" s="113"/>
      <c r="AR22" s="113"/>
      <c r="AS22" s="232"/>
      <c r="AU22" s="56"/>
      <c r="AV22" s="233" t="n">
        <v>0</v>
      </c>
      <c r="AW22" s="226" t="n">
        <v>54</v>
      </c>
      <c r="AX22" s="226" t="n">
        <v>31</v>
      </c>
      <c r="AY22" s="265"/>
      <c r="AZ22" s="264" t="n">
        <f aca="false">SUM(N22,P22:U22)</f>
        <v>3.08</v>
      </c>
      <c r="BA22" s="193" t="n">
        <v>0</v>
      </c>
      <c r="BB22" s="265" t="n">
        <v>7104</v>
      </c>
    </row>
    <row r="23" customFormat="false" ht="12.95" hidden="false" customHeight="true" outlineLevel="0" collapsed="false">
      <c r="A23" s="192" t="n">
        <f aca="false">A22+1</f>
        <v>9</v>
      </c>
      <c r="B23" s="112" t="n">
        <v>6870.69</v>
      </c>
      <c r="C23" s="113" t="n">
        <v>189653</v>
      </c>
      <c r="D23" s="226" t="n">
        <f aca="false">C23-C22</f>
        <v>80</v>
      </c>
      <c r="E23" s="113" t="n">
        <f aca="false">C23-152000</f>
        <v>37653</v>
      </c>
      <c r="F23" s="260" t="n">
        <f aca="false">D23/$D$2</f>
        <v>40.3327451474666</v>
      </c>
      <c r="G23" s="142" t="n">
        <v>82</v>
      </c>
      <c r="H23" s="345" t="n">
        <v>0.879</v>
      </c>
      <c r="I23" s="142" t="n">
        <f aca="false">G23+H23</f>
        <v>82.879</v>
      </c>
      <c r="J23" s="143" t="n">
        <f aca="false">IF(L23&gt;0,L23,0)</f>
        <v>0</v>
      </c>
      <c r="K23" s="142" t="n">
        <f aca="false">I23+J23</f>
        <v>82.879</v>
      </c>
      <c r="L23" s="142" t="n">
        <f aca="false">F23-(I23-AK23)</f>
        <v>-10.9662548525334</v>
      </c>
      <c r="M23" s="262" t="n">
        <v>2.88</v>
      </c>
      <c r="N23" s="142" t="n">
        <v>0</v>
      </c>
      <c r="O23" s="142" t="n">
        <v>0</v>
      </c>
      <c r="P23" s="171" t="n">
        <v>0</v>
      </c>
      <c r="Q23" s="346" t="n">
        <f aca="false">1025500/325851/1.9835*1.02</f>
        <v>1.61839516955992</v>
      </c>
      <c r="R23" s="138" t="n">
        <f aca="false">((1306944/646272)*1.04)-T23</f>
        <v>1.66849658552585</v>
      </c>
      <c r="S23" s="138" t="n">
        <v>0</v>
      </c>
      <c r="T23" s="138" t="n">
        <f aca="false">(0.3943*1.06)*1.04</f>
        <v>0.43467632</v>
      </c>
      <c r="U23" s="101" t="n">
        <f aca="false">M23-(Q23+R23+S23+T23)</f>
        <v>-0.841568075085766</v>
      </c>
      <c r="V23" s="142" t="n">
        <v>0</v>
      </c>
      <c r="W23" s="142" t="n">
        <v>0</v>
      </c>
      <c r="X23" s="142" t="n">
        <f aca="false">M23-N23-O23-P23-Q23-R23-S23-T23-U23+V23+W23</f>
        <v>0</v>
      </c>
      <c r="Y23" s="142" t="n">
        <f aca="false">X23-AO23</f>
        <v>0</v>
      </c>
      <c r="Z23" s="142"/>
      <c r="AA23" s="142"/>
      <c r="AB23" s="113"/>
      <c r="AC23" s="143"/>
      <c r="AD23" s="113"/>
      <c r="AE23" s="142" t="n">
        <v>0</v>
      </c>
      <c r="AF23" s="262"/>
      <c r="AG23" s="263"/>
      <c r="AH23" s="142" t="n">
        <v>28.7</v>
      </c>
      <c r="AI23" s="113" t="n">
        <f aca="false">AI22-AH23</f>
        <v>624.536847624189</v>
      </c>
      <c r="AJ23" s="143"/>
      <c r="AK23" s="141" t="n">
        <f aca="false">N23+O23+P23+Q23+R23+S23+T23+U23+X23+AE23+AH23</f>
        <v>31.58</v>
      </c>
      <c r="AL23" s="142" t="n">
        <f aca="false">IF(L23&lt;0,L23*-1,0)</f>
        <v>10.9662548525334</v>
      </c>
      <c r="AM23" s="142" t="n">
        <f aca="false">AK23+AL23</f>
        <v>42.5462548525334</v>
      </c>
      <c r="AN23" s="231"/>
      <c r="AO23" s="143"/>
      <c r="AP23" s="142"/>
      <c r="AQ23" s="113"/>
      <c r="AR23" s="113"/>
      <c r="AS23" s="232"/>
      <c r="AU23" s="56"/>
      <c r="AV23" s="233" t="n">
        <v>0</v>
      </c>
      <c r="AW23" s="232" t="n">
        <v>54</v>
      </c>
      <c r="AX23" s="226" t="n">
        <v>31</v>
      </c>
      <c r="AY23" s="265"/>
      <c r="AZ23" s="264" t="n">
        <f aca="false">SUM(N23,P23:U23)</f>
        <v>2.88</v>
      </c>
      <c r="BA23" s="193" t="n">
        <v>0</v>
      </c>
      <c r="BB23" s="265" t="n">
        <v>7110</v>
      </c>
    </row>
    <row r="24" customFormat="false" ht="12.95" hidden="false" customHeight="true" outlineLevel="0" collapsed="false">
      <c r="A24" s="192" t="n">
        <f aca="false">A23+1</f>
        <v>10</v>
      </c>
      <c r="B24" s="112" t="n">
        <v>6870.75</v>
      </c>
      <c r="C24" s="113" t="n">
        <v>189814</v>
      </c>
      <c r="D24" s="226" t="n">
        <f aca="false">C24-C23</f>
        <v>161</v>
      </c>
      <c r="E24" s="113" t="n">
        <f aca="false">C24-152000</f>
        <v>37814</v>
      </c>
      <c r="F24" s="260" t="n">
        <f aca="false">D24/$D$2</f>
        <v>81.1696496092765</v>
      </c>
      <c r="G24" s="142" t="n">
        <v>97</v>
      </c>
      <c r="H24" s="345" t="n">
        <v>1</v>
      </c>
      <c r="I24" s="142" t="n">
        <f aca="false">G24+H24</f>
        <v>98</v>
      </c>
      <c r="J24" s="143" t="n">
        <f aca="false">IF(L24&gt;0,L24,0)</f>
        <v>14.7796496092765</v>
      </c>
      <c r="K24" s="142" t="n">
        <f aca="false">I24+J24</f>
        <v>112.779649609277</v>
      </c>
      <c r="L24" s="142" t="n">
        <f aca="false">F24-(I24-AK24)</f>
        <v>14.7796496092765</v>
      </c>
      <c r="M24" s="262" t="n">
        <v>3.51</v>
      </c>
      <c r="N24" s="142" t="n">
        <v>0</v>
      </c>
      <c r="O24" s="142" t="n">
        <v>0</v>
      </c>
      <c r="P24" s="171" t="n">
        <v>0</v>
      </c>
      <c r="Q24" s="346" t="n">
        <f aca="false">996100/325851/1.9835*1.02</f>
        <v>1.57199749234387</v>
      </c>
      <c r="R24" s="138" t="n">
        <f aca="false">((1245680/646272)*1.04)-T24</f>
        <v>1.56990874634977</v>
      </c>
      <c r="S24" s="138" t="n">
        <v>0</v>
      </c>
      <c r="T24" s="138" t="n">
        <f aca="false">(0.3943*1.06)*1.04</f>
        <v>0.43467632</v>
      </c>
      <c r="U24" s="101" t="n">
        <f aca="false">M24-(Q24+R24+S24+T24)</f>
        <v>-0.0665825586936397</v>
      </c>
      <c r="V24" s="142" t="n">
        <v>0</v>
      </c>
      <c r="W24" s="142" t="n">
        <v>0</v>
      </c>
      <c r="X24" s="142" t="n">
        <f aca="false">M24-N24-O24-P24-Q24-R24-S24-T24-U24+V24+W24</f>
        <v>0</v>
      </c>
      <c r="Y24" s="142" t="n">
        <f aca="false">X24-AO24</f>
        <v>0</v>
      </c>
      <c r="Z24" s="142"/>
      <c r="AA24" s="142"/>
      <c r="AB24" s="113"/>
      <c r="AC24" s="143"/>
      <c r="AD24" s="113"/>
      <c r="AE24" s="142" t="n">
        <v>0</v>
      </c>
      <c r="AF24" s="262"/>
      <c r="AG24" s="263"/>
      <c r="AH24" s="142" t="n">
        <v>28.1</v>
      </c>
      <c r="AI24" s="113" t="n">
        <f aca="false">AI23-AH24</f>
        <v>596.436847624189</v>
      </c>
      <c r="AJ24" s="143"/>
      <c r="AK24" s="141" t="n">
        <f aca="false">N24+O24+P24+Q24+R24+S24+T24+U24+X24+AE24+AH24</f>
        <v>31.61</v>
      </c>
      <c r="AL24" s="142" t="n">
        <f aca="false">IF(L24&lt;0,L24*-1,0)</f>
        <v>0</v>
      </c>
      <c r="AM24" s="142" t="n">
        <f aca="false">AK24+AL24</f>
        <v>31.61</v>
      </c>
      <c r="AN24" s="231"/>
      <c r="AO24" s="143"/>
      <c r="AP24" s="142"/>
      <c r="AQ24" s="113"/>
      <c r="AR24" s="113"/>
      <c r="AS24" s="232"/>
      <c r="AU24" s="56"/>
      <c r="AV24" s="233" t="n">
        <v>0</v>
      </c>
      <c r="AW24" s="226" t="n">
        <v>63</v>
      </c>
      <c r="AX24" s="226" t="n">
        <v>28</v>
      </c>
      <c r="AY24" s="265"/>
      <c r="AZ24" s="264" t="n">
        <f aca="false">SUM(N24,P24:U24)</f>
        <v>3.51</v>
      </c>
      <c r="BA24" s="193" t="n">
        <v>0</v>
      </c>
      <c r="BB24" s="265" t="n">
        <v>7102</v>
      </c>
    </row>
    <row r="25" customFormat="false" ht="12.95" hidden="false" customHeight="true" outlineLevel="0" collapsed="false">
      <c r="A25" s="192" t="n">
        <f aca="false">A24+1</f>
        <v>11</v>
      </c>
      <c r="B25" s="112" t="n">
        <v>6870.83</v>
      </c>
      <c r="C25" s="113" t="n">
        <v>190028</v>
      </c>
      <c r="D25" s="226" t="n">
        <f aca="false">C25-C24</f>
        <v>214</v>
      </c>
      <c r="E25" s="113" t="n">
        <f aca="false">C25-152000</f>
        <v>38028</v>
      </c>
      <c r="F25" s="260" t="n">
        <f aca="false">D25/$D$2</f>
        <v>107.890093269473</v>
      </c>
      <c r="G25" s="142" t="n">
        <v>112</v>
      </c>
      <c r="H25" s="345" t="n">
        <v>0.982</v>
      </c>
      <c r="I25" s="142" t="n">
        <f aca="false">G25+H25</f>
        <v>112.982</v>
      </c>
      <c r="J25" s="143" t="n">
        <f aca="false">IF(L25&gt;0,L25,0)</f>
        <v>25.8380932694732</v>
      </c>
      <c r="K25" s="142" t="n">
        <f aca="false">I25+J25</f>
        <v>138.820093269473</v>
      </c>
      <c r="L25" s="142" t="n">
        <f aca="false">F25-(I25-AK25)</f>
        <v>25.8380932694732</v>
      </c>
      <c r="M25" s="262" t="n">
        <v>2.73</v>
      </c>
      <c r="N25" s="142" t="n">
        <v>0</v>
      </c>
      <c r="O25" s="142" t="n">
        <v>0</v>
      </c>
      <c r="P25" s="171" t="n">
        <v>0</v>
      </c>
      <c r="Q25" s="346" t="n">
        <f aca="false">897100/325851/1.9835*1.02</f>
        <v>1.4157604160041</v>
      </c>
      <c r="R25" s="138" t="n">
        <f aca="false">((1192272/646272)*1.04)-T25</f>
        <v>1.48396301452169</v>
      </c>
      <c r="S25" s="138" t="n">
        <v>0</v>
      </c>
      <c r="T25" s="138" t="n">
        <f aca="false">(0.3943*1.06)*1.04</f>
        <v>0.43467632</v>
      </c>
      <c r="U25" s="101" t="n">
        <f aca="false">M25-(Q25+R25+S25+T25)</f>
        <v>-0.604399750525786</v>
      </c>
      <c r="V25" s="142" t="n">
        <v>0</v>
      </c>
      <c r="W25" s="142" t="n">
        <v>0</v>
      </c>
      <c r="X25" s="142" t="n">
        <f aca="false">M25-N25-O25-P25-Q25-R25-S25-T25-U25+V25+W25</f>
        <v>0</v>
      </c>
      <c r="Y25" s="142" t="n">
        <f aca="false">X25-AO25</f>
        <v>0</v>
      </c>
      <c r="Z25" s="142"/>
      <c r="AA25" s="142"/>
      <c r="AB25" s="113"/>
      <c r="AC25" s="143"/>
      <c r="AD25" s="113"/>
      <c r="AE25" s="142" t="n">
        <v>0</v>
      </c>
      <c r="AF25" s="262"/>
      <c r="AG25" s="263"/>
      <c r="AH25" s="142" t="n">
        <v>28.2</v>
      </c>
      <c r="AI25" s="113" t="n">
        <f aca="false">AI24-AH25</f>
        <v>568.236847624189</v>
      </c>
      <c r="AJ25" s="143"/>
      <c r="AK25" s="141" t="n">
        <f aca="false">N25+O25+P25+Q25+R25+S25+T25+U25+X25+AE25+AH25</f>
        <v>30.93</v>
      </c>
      <c r="AL25" s="142" t="n">
        <f aca="false">IF(L25&lt;0,L25*-1,0)</f>
        <v>0</v>
      </c>
      <c r="AM25" s="142" t="n">
        <f aca="false">AK25+AL25</f>
        <v>30.93</v>
      </c>
      <c r="AN25" s="231"/>
      <c r="AO25" s="143"/>
      <c r="AP25" s="142"/>
      <c r="AQ25" s="113"/>
      <c r="AR25" s="113"/>
      <c r="AS25" s="232"/>
      <c r="AU25" s="56"/>
      <c r="AV25" s="233" t="n">
        <v>0</v>
      </c>
      <c r="AW25" s="226" t="n">
        <v>49</v>
      </c>
      <c r="AX25" s="226" t="n">
        <v>30</v>
      </c>
      <c r="AY25" s="265"/>
      <c r="AZ25" s="264" t="n">
        <f aca="false">SUM(N25,P25:U25)</f>
        <v>2.73</v>
      </c>
      <c r="BA25" s="193" t="n">
        <v>0</v>
      </c>
      <c r="BB25" s="265" t="n">
        <v>7106</v>
      </c>
    </row>
    <row r="26" customFormat="false" ht="12.95" hidden="false" customHeight="true" outlineLevel="0" collapsed="false">
      <c r="A26" s="192" t="n">
        <f aca="false">A25+1</f>
        <v>12</v>
      </c>
      <c r="B26" s="112" t="n">
        <v>6870.88</v>
      </c>
      <c r="C26" s="113" t="n">
        <v>190162</v>
      </c>
      <c r="D26" s="226" t="n">
        <f aca="false">C26-C25</f>
        <v>134</v>
      </c>
      <c r="E26" s="113" t="n">
        <f aca="false">C26-152000</f>
        <v>38162</v>
      </c>
      <c r="F26" s="260" t="n">
        <f aca="false">D26/$D$2</f>
        <v>67.5573481220066</v>
      </c>
      <c r="G26" s="142" t="n">
        <v>103</v>
      </c>
      <c r="H26" s="345" t="n">
        <v>0.781</v>
      </c>
      <c r="I26" s="142" t="n">
        <f aca="false">G26+H26</f>
        <v>103.781</v>
      </c>
      <c r="J26" s="143" t="n">
        <f aca="false">IF(L26&gt;0,L26,0)</f>
        <v>0</v>
      </c>
      <c r="K26" s="142" t="n">
        <f aca="false">I26+J26</f>
        <v>103.781</v>
      </c>
      <c r="L26" s="142" t="n">
        <f aca="false">F26-(I26-AK26)</f>
        <v>-4.29365187799344</v>
      </c>
      <c r="M26" s="262" t="n">
        <v>3.43</v>
      </c>
      <c r="N26" s="142" t="n">
        <v>0</v>
      </c>
      <c r="O26" s="142" t="n">
        <v>0</v>
      </c>
      <c r="P26" s="171" t="n">
        <v>0</v>
      </c>
      <c r="Q26" s="346" t="n">
        <f aca="false">948400/325851/1.9835*1.02</f>
        <v>1.49671962828925</v>
      </c>
      <c r="R26" s="138" t="n">
        <f aca="false">((1267360/646272)*1.04)-T26</f>
        <v>1.60479684300257</v>
      </c>
      <c r="S26" s="138" t="n">
        <v>0</v>
      </c>
      <c r="T26" s="138" t="n">
        <f aca="false">(0.3943*1.06)*1.04</f>
        <v>0.43467632</v>
      </c>
      <c r="U26" s="101" t="n">
        <f aca="false">M26-(Q26+R26+S26+T26)</f>
        <v>-0.106192791291826</v>
      </c>
      <c r="V26" s="142" t="n">
        <v>0</v>
      </c>
      <c r="W26" s="142" t="n">
        <v>0</v>
      </c>
      <c r="X26" s="142" t="n">
        <f aca="false">M26-N26-O26-P26-Q26-R26-S26-T26-U26+V26+W26</f>
        <v>0</v>
      </c>
      <c r="Y26" s="142" t="n">
        <f aca="false">X26-AO26</f>
        <v>0</v>
      </c>
      <c r="Z26" s="142"/>
      <c r="AA26" s="142"/>
      <c r="AB26" s="113"/>
      <c r="AC26" s="143"/>
      <c r="AD26" s="113"/>
      <c r="AE26" s="142" t="n">
        <v>0</v>
      </c>
      <c r="AF26" s="262"/>
      <c r="AG26" s="263"/>
      <c r="AH26" s="142" t="n">
        <v>28.5</v>
      </c>
      <c r="AI26" s="113" t="n">
        <f aca="false">AI25-AH26</f>
        <v>539.736847624189</v>
      </c>
      <c r="AJ26" s="143"/>
      <c r="AK26" s="141" t="n">
        <f aca="false">N26+O26+P26+Q26+R26+S26+T26+U26+X26+AE26+AH26</f>
        <v>31.93</v>
      </c>
      <c r="AL26" s="142" t="n">
        <f aca="false">IF(L26&lt;0,L26*-1,0)</f>
        <v>4.29365187799344</v>
      </c>
      <c r="AM26" s="142" t="n">
        <f aca="false">AK26+AL26</f>
        <v>36.2236518779934</v>
      </c>
      <c r="AN26" s="231"/>
      <c r="AO26" s="143"/>
      <c r="AP26" s="142"/>
      <c r="AQ26" s="113"/>
      <c r="AR26" s="113"/>
      <c r="AS26" s="232"/>
      <c r="AU26" s="56"/>
      <c r="AV26" s="233" t="n">
        <v>0</v>
      </c>
      <c r="AW26" s="226" t="n">
        <v>55</v>
      </c>
      <c r="AX26" s="226" t="n">
        <v>23</v>
      </c>
      <c r="AY26" s="265"/>
      <c r="AZ26" s="264" t="n">
        <f aca="false">SUM(N26,P26:U26)</f>
        <v>3.43</v>
      </c>
      <c r="BA26" s="193" t="n">
        <v>0</v>
      </c>
      <c r="BB26" s="265" t="n">
        <v>7119</v>
      </c>
    </row>
    <row r="27" customFormat="false" ht="12.95" hidden="false" customHeight="true" outlineLevel="0" collapsed="false">
      <c r="A27" s="192" t="n">
        <f aca="false">A26+1</f>
        <v>13</v>
      </c>
      <c r="B27" s="112" t="n">
        <v>6870.93</v>
      </c>
      <c r="C27" s="113" t="n">
        <v>190296</v>
      </c>
      <c r="D27" s="226" t="n">
        <f aca="false">C27-C26</f>
        <v>134</v>
      </c>
      <c r="E27" s="113" t="n">
        <f aca="false">C27-152000</f>
        <v>38296</v>
      </c>
      <c r="F27" s="260" t="n">
        <f aca="false">D27/$D$2</f>
        <v>67.5573481220066</v>
      </c>
      <c r="G27" s="142" t="n">
        <v>97</v>
      </c>
      <c r="H27" s="345" t="n">
        <v>0.776</v>
      </c>
      <c r="I27" s="142" t="n">
        <f aca="false">G27+H27</f>
        <v>97.776</v>
      </c>
      <c r="J27" s="143" t="n">
        <f aca="false">IF(L27&gt;0,L27,0)</f>
        <v>1.92134812200656</v>
      </c>
      <c r="K27" s="142" t="n">
        <f aca="false">I27+J27</f>
        <v>99.6973481220066</v>
      </c>
      <c r="L27" s="142" t="n">
        <f aca="false">F27-(I27-AK27)</f>
        <v>1.92134812200656</v>
      </c>
      <c r="M27" s="262" t="n">
        <v>3.54</v>
      </c>
      <c r="N27" s="142" t="n">
        <v>0</v>
      </c>
      <c r="O27" s="142" t="n">
        <v>0</v>
      </c>
      <c r="P27" s="171" t="n">
        <v>0</v>
      </c>
      <c r="Q27" s="346" t="n">
        <f aca="false">868700/325851/1.9835*1.02</f>
        <v>1.37094089107431</v>
      </c>
      <c r="R27" s="138" t="n">
        <f aca="false">((1274464/646272)*1.04)-T27</f>
        <v>1.61622880972866</v>
      </c>
      <c r="S27" s="138" t="n">
        <v>0</v>
      </c>
      <c r="T27" s="138" t="n">
        <f aca="false">(0.3943*1.06)*1.04</f>
        <v>0.43467632</v>
      </c>
      <c r="U27" s="101" t="n">
        <f aca="false">M27-(Q27+R27+S27+T27)</f>
        <v>0.118153979197034</v>
      </c>
      <c r="V27" s="142" t="n">
        <v>0</v>
      </c>
      <c r="W27" s="142" t="n">
        <v>0</v>
      </c>
      <c r="X27" s="142" t="n">
        <f aca="false">M27-N27-O27-P27-Q27-R27-S27-T27-U27+V27+W27</f>
        <v>0</v>
      </c>
      <c r="Y27" s="142" t="n">
        <f aca="false">X27-AO27</f>
        <v>0</v>
      </c>
      <c r="Z27" s="142"/>
      <c r="AA27" s="142"/>
      <c r="AB27" s="113"/>
      <c r="AC27" s="143"/>
      <c r="AD27" s="113"/>
      <c r="AE27" s="142" t="n">
        <v>0</v>
      </c>
      <c r="AF27" s="262"/>
      <c r="AG27" s="263"/>
      <c r="AH27" s="142" t="n">
        <v>28.6</v>
      </c>
      <c r="AI27" s="113" t="n">
        <f aca="false">AI26-AH27</f>
        <v>511.136847624189</v>
      </c>
      <c r="AJ27" s="143"/>
      <c r="AK27" s="141" t="n">
        <f aca="false">N27+O27+P27+Q27+R27+S27+T27+U27+X27+AE27+AH27</f>
        <v>32.14</v>
      </c>
      <c r="AL27" s="142" t="n">
        <f aca="false">IF(L27&lt;0,L27*-1,0)</f>
        <v>0</v>
      </c>
      <c r="AM27" s="142" t="n">
        <f aca="false">AK27+AL27</f>
        <v>32.14</v>
      </c>
      <c r="AN27" s="231"/>
      <c r="AO27" s="143"/>
      <c r="AP27" s="142"/>
      <c r="AQ27" s="113"/>
      <c r="AR27" s="113"/>
      <c r="AS27" s="232"/>
      <c r="AU27" s="56"/>
      <c r="AV27" s="233" t="n">
        <v>0</v>
      </c>
      <c r="AW27" s="226" t="n">
        <v>59</v>
      </c>
      <c r="AX27" s="226" t="n">
        <v>26</v>
      </c>
      <c r="AY27" s="265"/>
      <c r="AZ27" s="264" t="n">
        <f aca="false">SUM(N27,P27:U27)</f>
        <v>3.54</v>
      </c>
      <c r="BA27" s="193" t="n">
        <v>0</v>
      </c>
      <c r="BB27" s="265" t="n">
        <v>7115</v>
      </c>
    </row>
    <row r="28" customFormat="false" ht="12.95" hidden="false" customHeight="true" outlineLevel="0" collapsed="false">
      <c r="A28" s="192" t="n">
        <f aca="false">A27+1</f>
        <v>14</v>
      </c>
      <c r="B28" s="112" t="n">
        <v>6871</v>
      </c>
      <c r="C28" s="113" t="n">
        <v>190484</v>
      </c>
      <c r="D28" s="226" t="n">
        <f aca="false">C28-C27</f>
        <v>188</v>
      </c>
      <c r="E28" s="113" t="n">
        <f aca="false">C28-152000</f>
        <v>38484</v>
      </c>
      <c r="F28" s="260" t="n">
        <f aca="false">D28/$D$2</f>
        <v>94.7819510965465</v>
      </c>
      <c r="G28" s="142" t="n">
        <v>94</v>
      </c>
      <c r="H28" s="345" t="n">
        <v>0.82</v>
      </c>
      <c r="I28" s="142" t="n">
        <f aca="false">G28+H28</f>
        <v>94.82</v>
      </c>
      <c r="J28" s="143" t="n">
        <f aca="false">IF(L28&gt;0,L28,0)</f>
        <v>31.6819510965465</v>
      </c>
      <c r="K28" s="142" t="n">
        <f aca="false">I28+J28</f>
        <v>126.501951096547</v>
      </c>
      <c r="L28" s="142" t="n">
        <f aca="false">F28-(I28-AK28)</f>
        <v>31.6819510965465</v>
      </c>
      <c r="M28" s="262" t="n">
        <v>3.02</v>
      </c>
      <c r="N28" s="142" t="n">
        <v>0</v>
      </c>
      <c r="O28" s="142" t="n">
        <v>0</v>
      </c>
      <c r="P28" s="171" t="n">
        <v>0</v>
      </c>
      <c r="Q28" s="346" t="n">
        <f aca="false">897500/325851/1.9835*1.02</f>
        <v>1.4163916769186</v>
      </c>
      <c r="R28" s="138" t="n">
        <f aca="false">((1145200/646272)*1.04)-T28</f>
        <v>1.40049656112498</v>
      </c>
      <c r="S28" s="138" t="n">
        <v>0</v>
      </c>
      <c r="T28" s="138" t="n">
        <f aca="false">(0.4013*1.06)*1.04</f>
        <v>0.44239312</v>
      </c>
      <c r="U28" s="101" t="n">
        <f aca="false">M28-(Q28+R28+S28+T28)</f>
        <v>-0.239281358043578</v>
      </c>
      <c r="V28" s="142" t="n">
        <v>0</v>
      </c>
      <c r="W28" s="142" t="n">
        <v>0</v>
      </c>
      <c r="X28" s="142" t="n">
        <f aca="false">M28-N28-O28-P28-Q28-R28-S28-T28-U28+V28+W28</f>
        <v>0</v>
      </c>
      <c r="Y28" s="142" t="n">
        <f aca="false">X28-AO28</f>
        <v>0</v>
      </c>
      <c r="Z28" s="142"/>
      <c r="AA28" s="142"/>
      <c r="AB28" s="113"/>
      <c r="AC28" s="143"/>
      <c r="AD28" s="113"/>
      <c r="AE28" s="142" t="n">
        <v>0</v>
      </c>
      <c r="AF28" s="262"/>
      <c r="AG28" s="263"/>
      <c r="AH28" s="142" t="n">
        <v>28.7</v>
      </c>
      <c r="AI28" s="113" t="n">
        <f aca="false">AI27-AH28</f>
        <v>482.436847624189</v>
      </c>
      <c r="AJ28" s="143"/>
      <c r="AK28" s="141" t="n">
        <f aca="false">N28+O28+P28+Q28+R28+S28+T28+U28+X28+AE28+AH28</f>
        <v>31.72</v>
      </c>
      <c r="AL28" s="142" t="n">
        <f aca="false">IF(L28&lt;0,L28*-1,0)</f>
        <v>0</v>
      </c>
      <c r="AM28" s="142" t="n">
        <f aca="false">AK28+AL28</f>
        <v>31.72</v>
      </c>
      <c r="AN28" s="231"/>
      <c r="AO28" s="143"/>
      <c r="AP28" s="142"/>
      <c r="AQ28" s="113"/>
      <c r="AR28" s="113"/>
      <c r="AS28" s="232"/>
      <c r="AU28" s="56"/>
      <c r="AV28" s="233" t="n">
        <v>0</v>
      </c>
      <c r="AW28" s="232" t="n">
        <v>60</v>
      </c>
      <c r="AX28" s="226" t="n">
        <v>25</v>
      </c>
      <c r="AY28" s="265"/>
      <c r="AZ28" s="264" t="n">
        <f aca="false">SUM(N28,P28:U28)</f>
        <v>3.02</v>
      </c>
      <c r="BA28" s="193" t="n">
        <v>0</v>
      </c>
      <c r="BB28" s="265" t="n">
        <v>7119</v>
      </c>
    </row>
    <row r="29" customFormat="false" ht="12.95" hidden="false" customHeight="true" outlineLevel="0" collapsed="false">
      <c r="A29" s="192" t="n">
        <f aca="false">A28+1</f>
        <v>15</v>
      </c>
      <c r="B29" s="112" t="n">
        <v>6871.05</v>
      </c>
      <c r="C29" s="113" t="n">
        <v>190620</v>
      </c>
      <c r="D29" s="226" t="n">
        <f aca="false">C29-C28</f>
        <v>136</v>
      </c>
      <c r="E29" s="113" t="n">
        <f aca="false">C29-152000</f>
        <v>38620</v>
      </c>
      <c r="F29" s="260" t="n">
        <f aca="false">D29/$D$2</f>
        <v>68.5656667506932</v>
      </c>
      <c r="G29" s="142" t="n">
        <v>93</v>
      </c>
      <c r="H29" s="345" t="n">
        <v>0.786</v>
      </c>
      <c r="I29" s="142" t="n">
        <f aca="false">G29+H29</f>
        <v>93.786</v>
      </c>
      <c r="J29" s="143" t="n">
        <f aca="false">IF(L29&gt;0,L29,0)</f>
        <v>7.13966675069321</v>
      </c>
      <c r="K29" s="142" t="n">
        <f aca="false">I29+J29</f>
        <v>100.925666750693</v>
      </c>
      <c r="L29" s="142" t="n">
        <f aca="false">F29-(I29-AK29)</f>
        <v>7.13966675069321</v>
      </c>
      <c r="M29" s="262" t="n">
        <v>3.76</v>
      </c>
      <c r="N29" s="142" t="n">
        <v>0</v>
      </c>
      <c r="O29" s="142" t="n">
        <v>0</v>
      </c>
      <c r="P29" s="171" t="n">
        <v>0</v>
      </c>
      <c r="Q29" s="346" t="n">
        <f aca="false">861800/325851/1.9835*1.02</f>
        <v>1.36005164029911</v>
      </c>
      <c r="R29" s="138" t="n">
        <f aca="false">((1225824/646272)*1.04)-T29</f>
        <v>1.53023908439691</v>
      </c>
      <c r="S29" s="138" t="n">
        <v>0</v>
      </c>
      <c r="T29" s="138" t="n">
        <f aca="false">(0.4013*1.06)*1.04</f>
        <v>0.44239312</v>
      </c>
      <c r="U29" s="101" t="n">
        <f aca="false">M29-(Q29+R29+S29+T29)</f>
        <v>0.427316155303978</v>
      </c>
      <c r="V29" s="142" t="n">
        <v>0</v>
      </c>
      <c r="W29" s="142" t="n">
        <v>0</v>
      </c>
      <c r="X29" s="142" t="n">
        <f aca="false">M29-N29-O29-P29-Q29-R29-S29-T29-U29+V29+W29</f>
        <v>0</v>
      </c>
      <c r="Y29" s="142" t="n">
        <f aca="false">X29-AO29</f>
        <v>0</v>
      </c>
      <c r="Z29" s="142"/>
      <c r="AA29" s="142"/>
      <c r="AB29" s="113"/>
      <c r="AC29" s="143"/>
      <c r="AD29" s="113"/>
      <c r="AE29" s="142" t="n">
        <v>0</v>
      </c>
      <c r="AF29" s="262"/>
      <c r="AG29" s="263"/>
      <c r="AH29" s="142" t="n">
        <v>28.6</v>
      </c>
      <c r="AI29" s="113" t="n">
        <f aca="false">AI28-AH29</f>
        <v>453.836847624189</v>
      </c>
      <c r="AJ29" s="143"/>
      <c r="AK29" s="141" t="n">
        <f aca="false">N29+O29+P29+Q29+R29+S29+T29+U29+X29+AE29+AH29</f>
        <v>32.36</v>
      </c>
      <c r="AL29" s="142" t="n">
        <f aca="false">IF(L29&lt;0,L29*-1,0)</f>
        <v>0</v>
      </c>
      <c r="AM29" s="142" t="n">
        <f aca="false">AK29+AL29</f>
        <v>32.36</v>
      </c>
      <c r="AN29" s="231"/>
      <c r="AO29" s="143"/>
      <c r="AP29" s="142"/>
      <c r="AQ29" s="113"/>
      <c r="AR29" s="113"/>
      <c r="AS29" s="232"/>
      <c r="AU29" s="56"/>
      <c r="AV29" s="233" t="n">
        <v>0</v>
      </c>
      <c r="AW29" s="232" t="n">
        <v>59</v>
      </c>
      <c r="AX29" s="226" t="n">
        <v>24</v>
      </c>
      <c r="AY29" s="265"/>
      <c r="AZ29" s="264" t="n">
        <f aca="false">SUM(N29,P29:U29)</f>
        <v>3.76</v>
      </c>
      <c r="BA29" s="193" t="n">
        <v>0</v>
      </c>
      <c r="BB29" s="265" t="n">
        <v>7123</v>
      </c>
    </row>
    <row r="30" customFormat="false" ht="12.95" hidden="false" customHeight="true" outlineLevel="0" collapsed="false">
      <c r="A30" s="192" t="n">
        <f aca="false">A29+1</f>
        <v>16</v>
      </c>
      <c r="B30" s="112" t="n">
        <v>6871.09</v>
      </c>
      <c r="C30" s="113" t="n">
        <v>190729</v>
      </c>
      <c r="D30" s="226" t="n">
        <f aca="false">C30-C29</f>
        <v>109</v>
      </c>
      <c r="E30" s="113" t="n">
        <f aca="false">C30-152000</f>
        <v>38729</v>
      </c>
      <c r="F30" s="260" t="n">
        <f aca="false">D30/$D$2</f>
        <v>54.9533652634232</v>
      </c>
      <c r="G30" s="142" t="n">
        <v>90</v>
      </c>
      <c r="H30" s="345" t="n">
        <v>0.615</v>
      </c>
      <c r="I30" s="142" t="n">
        <f aca="false">G30+H30</f>
        <v>90.615</v>
      </c>
      <c r="J30" s="143" t="n">
        <f aca="false">IF(L30&gt;0,L30,0)</f>
        <v>0</v>
      </c>
      <c r="K30" s="142" t="n">
        <f aca="false">I30+J30</f>
        <v>90.615</v>
      </c>
      <c r="L30" s="142" t="n">
        <f aca="false">F30-(I30-AK30)</f>
        <v>-3.88163473657675</v>
      </c>
      <c r="M30" s="262" t="n">
        <v>3.18</v>
      </c>
      <c r="N30" s="142" t="n">
        <v>0</v>
      </c>
      <c r="O30" s="142" t="n">
        <v>0</v>
      </c>
      <c r="P30" s="171" t="n">
        <v>0</v>
      </c>
      <c r="Q30" s="346" t="n">
        <f aca="false">1107800/325851/1.9835*1.02</f>
        <v>1.74827710271914</v>
      </c>
      <c r="R30" s="138" t="n">
        <f aca="false">((1308928/646272)*1.04)-T30</f>
        <v>1.66397249695385</v>
      </c>
      <c r="S30" s="138" t="n">
        <v>0</v>
      </c>
      <c r="T30" s="138" t="n">
        <f aca="false">(0.4013*1.06)*1.04</f>
        <v>0.44239312</v>
      </c>
      <c r="U30" s="101" t="n">
        <f aca="false">M30-(Q30+R30+S30+T30)</f>
        <v>-0.674642719672993</v>
      </c>
      <c r="V30" s="142" t="n">
        <v>0</v>
      </c>
      <c r="W30" s="142" t="n">
        <v>0</v>
      </c>
      <c r="X30" s="142" t="n">
        <f aca="false">M30-N30-O30-P30-Q30-R30-S30-T30-U30+V30+W30</f>
        <v>0</v>
      </c>
      <c r="Y30" s="142" t="n">
        <f aca="false">X30-AO30</f>
        <v>0</v>
      </c>
      <c r="Z30" s="142"/>
      <c r="AA30" s="142"/>
      <c r="AB30" s="113"/>
      <c r="AC30" s="143"/>
      <c r="AD30" s="113"/>
      <c r="AE30" s="142" t="n">
        <v>0</v>
      </c>
      <c r="AF30" s="262"/>
      <c r="AG30" s="263"/>
      <c r="AH30" s="142" t="n">
        <v>28.6</v>
      </c>
      <c r="AI30" s="113" t="n">
        <f aca="false">AI29-AH30</f>
        <v>425.236847624189</v>
      </c>
      <c r="AJ30" s="143"/>
      <c r="AK30" s="141" t="n">
        <f aca="false">N30+O30+P30+Q30+R30+S30+T30+U30+X30+AE30+AH30</f>
        <v>31.78</v>
      </c>
      <c r="AL30" s="142" t="n">
        <f aca="false">IF(L30&lt;0,L30*-1,0)</f>
        <v>3.88163473657675</v>
      </c>
      <c r="AM30" s="142" t="n">
        <f aca="false">AK30+AL30</f>
        <v>35.6616347365768</v>
      </c>
      <c r="AN30" s="231"/>
      <c r="AO30" s="143"/>
      <c r="AP30" s="142"/>
      <c r="AQ30" s="106"/>
      <c r="AR30" s="106"/>
      <c r="AS30" s="232"/>
      <c r="AU30" s="56"/>
      <c r="AV30" s="233" t="n">
        <v>0</v>
      </c>
      <c r="AW30" s="232" t="n">
        <v>49</v>
      </c>
      <c r="AX30" s="226" t="n">
        <v>30</v>
      </c>
      <c r="AY30" s="265"/>
      <c r="AZ30" s="264" t="n">
        <f aca="false">SUM(N30,P30:U30)</f>
        <v>3.18</v>
      </c>
      <c r="BA30" s="193" t="n">
        <v>0</v>
      </c>
      <c r="BB30" s="265" t="n">
        <v>7146</v>
      </c>
    </row>
    <row r="31" customFormat="false" ht="12.95" hidden="false" customHeight="true" outlineLevel="0" collapsed="false">
      <c r="A31" s="192" t="n">
        <v>17</v>
      </c>
      <c r="B31" s="112" t="n">
        <v>6871.14</v>
      </c>
      <c r="C31" s="113" t="n">
        <v>190864</v>
      </c>
      <c r="D31" s="226" t="n">
        <f aca="false">C31-C30</f>
        <v>135</v>
      </c>
      <c r="E31" s="113" t="n">
        <f aca="false">C31-152000</f>
        <v>38864</v>
      </c>
      <c r="F31" s="260" t="n">
        <f aca="false">D31/$D$2</f>
        <v>68.0615074363499</v>
      </c>
      <c r="G31" s="142" t="n">
        <v>109</v>
      </c>
      <c r="H31" s="345" t="n">
        <v>0.748</v>
      </c>
      <c r="I31" s="142" t="n">
        <f aca="false">G31+H31</f>
        <v>109.748</v>
      </c>
      <c r="J31" s="143" t="n">
        <f aca="false">IF(L31&gt;0,L31,0)</f>
        <v>0</v>
      </c>
      <c r="K31" s="142" t="n">
        <f aca="false">I31+J31</f>
        <v>109.748</v>
      </c>
      <c r="L31" s="142" t="n">
        <f aca="false">F31-(I31-AK31)</f>
        <v>-9.31649256365013</v>
      </c>
      <c r="M31" s="262" t="n">
        <v>3.67</v>
      </c>
      <c r="N31" s="142" t="n">
        <v>0</v>
      </c>
      <c r="O31" s="142" t="n">
        <v>0</v>
      </c>
      <c r="P31" s="171" t="n">
        <v>0</v>
      </c>
      <c r="Q31" s="346" t="n">
        <f aca="false">908900/325851/1.9835*1.02</f>
        <v>1.43438261298197</v>
      </c>
      <c r="R31" s="138" t="n">
        <f aca="false">((1113136/646272)*1.04)-T31</f>
        <v>1.34889822482076</v>
      </c>
      <c r="S31" s="138" t="n">
        <v>0</v>
      </c>
      <c r="T31" s="138" t="n">
        <f aca="false">(0.4013*1.06)*1.04</f>
        <v>0.44239312</v>
      </c>
      <c r="U31" s="101" t="n">
        <f aca="false">M31-(Q31+R31+S31+T31)</f>
        <v>0.444326042197273</v>
      </c>
      <c r="V31" s="142" t="n">
        <v>0</v>
      </c>
      <c r="W31" s="142" t="n">
        <v>0</v>
      </c>
      <c r="X31" s="142" t="n">
        <f aca="false">M31-N31-O31-P31-Q31-R31-S31-T31-U31+V31+W31</f>
        <v>0</v>
      </c>
      <c r="Y31" s="142" t="n">
        <f aca="false">X31-AO31</f>
        <v>0</v>
      </c>
      <c r="Z31" s="142"/>
      <c r="AA31" s="142"/>
      <c r="AB31" s="113"/>
      <c r="AC31" s="143"/>
      <c r="AD31" s="113"/>
      <c r="AE31" s="142" t="n">
        <v>0</v>
      </c>
      <c r="AF31" s="262"/>
      <c r="AG31" s="263"/>
      <c r="AH31" s="142" t="n">
        <v>28.7</v>
      </c>
      <c r="AI31" s="113" t="n">
        <f aca="false">AI30-AH31</f>
        <v>396.536847624189</v>
      </c>
      <c r="AJ31" s="143"/>
      <c r="AK31" s="141" t="n">
        <f aca="false">N31+O31+P31+Q31+R31+S31+T31+U31+X31+AE31+AH31</f>
        <v>32.37</v>
      </c>
      <c r="AL31" s="142" t="n">
        <f aca="false">IF(L31&lt;0,L31*-1,0)</f>
        <v>9.31649256365013</v>
      </c>
      <c r="AM31" s="142" t="n">
        <f aca="false">AK31+AL31</f>
        <v>41.6864925636501</v>
      </c>
      <c r="AN31" s="231"/>
      <c r="AO31" s="143"/>
      <c r="AP31" s="142"/>
      <c r="AQ31" s="113"/>
      <c r="AR31" s="113"/>
      <c r="AS31" s="232"/>
      <c r="AU31" s="56"/>
      <c r="AV31" s="233" t="n">
        <v>0</v>
      </c>
      <c r="AW31" s="232" t="n">
        <v>64</v>
      </c>
      <c r="AX31" s="226" t="n">
        <v>28</v>
      </c>
      <c r="AY31" s="265"/>
      <c r="AZ31" s="264" t="n">
        <f aca="false">SUM(N31,P31:U31)</f>
        <v>3.67</v>
      </c>
      <c r="BA31" s="193" t="n">
        <v>0</v>
      </c>
      <c r="BB31" s="265" t="n">
        <v>7132</v>
      </c>
    </row>
    <row r="32" customFormat="false" ht="12.95" hidden="false" customHeight="true" outlineLevel="0" collapsed="false">
      <c r="A32" s="192" t="n">
        <f aca="false">A31+1</f>
        <v>18</v>
      </c>
      <c r="B32" s="112" t="n">
        <v>6871.22</v>
      </c>
      <c r="C32" s="113" t="n">
        <v>191082</v>
      </c>
      <c r="D32" s="226" t="n">
        <f aca="false">C32-C31</f>
        <v>218</v>
      </c>
      <c r="E32" s="113" t="n">
        <f aca="false">C32-152000</f>
        <v>39082</v>
      </c>
      <c r="F32" s="260" t="n">
        <f aca="false">D32/$D$2</f>
        <v>109.906730526847</v>
      </c>
      <c r="G32" s="142" t="n">
        <v>106</v>
      </c>
      <c r="H32" s="345" t="n">
        <v>0.759</v>
      </c>
      <c r="I32" s="142" t="n">
        <f aca="false">G32+H32</f>
        <v>106.759</v>
      </c>
      <c r="J32" s="143" t="n">
        <f aca="false">IF(L32&gt;0,L32,0)</f>
        <v>34.9877305268465</v>
      </c>
      <c r="K32" s="142" t="n">
        <f aca="false">I32+J32</f>
        <v>141.746730526846</v>
      </c>
      <c r="L32" s="142" t="n">
        <f aca="false">F32-(I32-AK32)</f>
        <v>34.9877305268465</v>
      </c>
      <c r="M32" s="262" t="n">
        <v>3.14</v>
      </c>
      <c r="N32" s="142" t="n">
        <v>0</v>
      </c>
      <c r="O32" s="142" t="n">
        <v>0</v>
      </c>
      <c r="P32" s="171" t="n">
        <v>0</v>
      </c>
      <c r="Q32" s="346" t="n">
        <f aca="false">876100/325851/1.9835*1.02</f>
        <v>1.38261921799263</v>
      </c>
      <c r="R32" s="138" t="n">
        <f aca="false">((1247260/646272)*1.04)-T32</f>
        <v>1.56473452903941</v>
      </c>
      <c r="S32" s="138" t="n">
        <v>0</v>
      </c>
      <c r="T32" s="138" t="n">
        <f aca="false">(0.4013*1.06)*1.04</f>
        <v>0.44239312</v>
      </c>
      <c r="U32" s="101" t="n">
        <f aca="false">M32-(Q32+R32+S32+T32)</f>
        <v>-0.249746867032047</v>
      </c>
      <c r="V32" s="142" t="n">
        <v>0</v>
      </c>
      <c r="W32" s="142" t="n">
        <v>0</v>
      </c>
      <c r="X32" s="142" t="n">
        <f aca="false">M32-N32-O32-P32-Q32-R32-S32-T32-U32+V32+W32</f>
        <v>0</v>
      </c>
      <c r="Y32" s="142" t="n">
        <f aca="false">X32-AO32</f>
        <v>0</v>
      </c>
      <c r="Z32" s="142"/>
      <c r="AA32" s="142"/>
      <c r="AB32" s="113"/>
      <c r="AC32" s="143"/>
      <c r="AD32" s="113"/>
      <c r="AE32" s="142" t="n">
        <v>0</v>
      </c>
      <c r="AF32" s="262"/>
      <c r="AG32" s="263"/>
      <c r="AH32" s="142" t="n">
        <v>28.7</v>
      </c>
      <c r="AI32" s="113" t="n">
        <f aca="false">AI31-AH32</f>
        <v>367.836847624189</v>
      </c>
      <c r="AJ32" s="143"/>
      <c r="AK32" s="141" t="n">
        <f aca="false">N32+O32+P32+Q32+R32+S32+T32+U32+X32+AE32+AH32</f>
        <v>31.84</v>
      </c>
      <c r="AL32" s="142" t="n">
        <f aca="false">IF(L32&lt;0,L32*-1,0)</f>
        <v>0</v>
      </c>
      <c r="AM32" s="142" t="n">
        <f aca="false">AK32+AL32</f>
        <v>31.84</v>
      </c>
      <c r="AN32" s="231"/>
      <c r="AO32" s="143"/>
      <c r="AP32" s="142"/>
      <c r="AQ32" s="113"/>
      <c r="AR32" s="113"/>
      <c r="AS32" s="232"/>
      <c r="AU32" s="56"/>
      <c r="AV32" s="233" t="n">
        <v>0</v>
      </c>
      <c r="AW32" s="232" t="n">
        <v>47</v>
      </c>
      <c r="AX32" s="226" t="n">
        <v>21</v>
      </c>
      <c r="AY32" s="265"/>
      <c r="AZ32" s="264" t="n">
        <f aca="false">SUM(N32,P32:U32)</f>
        <v>3.14</v>
      </c>
      <c r="BA32" s="193" t="n">
        <v>0</v>
      </c>
      <c r="BB32" s="265" t="n">
        <v>7128</v>
      </c>
    </row>
    <row r="33" customFormat="false" ht="12.95" hidden="false" customHeight="true" outlineLevel="0" collapsed="false">
      <c r="A33" s="192" t="n">
        <f aca="false">A32+1</f>
        <v>19</v>
      </c>
      <c r="B33" s="112" t="n">
        <v>6871.27</v>
      </c>
      <c r="C33" s="319" t="n">
        <v>191218</v>
      </c>
      <c r="D33" s="226" t="n">
        <f aca="false">C33-C32</f>
        <v>136</v>
      </c>
      <c r="E33" s="113" t="n">
        <f aca="false">C33-152000</f>
        <v>39218</v>
      </c>
      <c r="F33" s="260" t="n">
        <f aca="false">D33/$D$2</f>
        <v>68.5656667506932</v>
      </c>
      <c r="G33" s="142" t="n">
        <v>98</v>
      </c>
      <c r="H33" s="345" t="n">
        <v>0.577</v>
      </c>
      <c r="I33" s="142" t="n">
        <f aca="false">G33+H33</f>
        <v>98.577</v>
      </c>
      <c r="J33" s="143" t="n">
        <f aca="false">IF(L33&gt;0,L33,0)</f>
        <v>2.36866675069321</v>
      </c>
      <c r="K33" s="142" t="n">
        <f aca="false">I33+J33</f>
        <v>100.945666750693</v>
      </c>
      <c r="L33" s="142" t="n">
        <f aca="false">F33-(I33-AK33)</f>
        <v>2.36866675069321</v>
      </c>
      <c r="M33" s="262" t="n">
        <v>3.68</v>
      </c>
      <c r="N33" s="142" t="n">
        <v>0</v>
      </c>
      <c r="O33" s="142" t="n">
        <v>0</v>
      </c>
      <c r="P33" s="171" t="n">
        <v>0</v>
      </c>
      <c r="Q33" s="346" t="n">
        <f aca="false">878400/325851/1.9835*1.02</f>
        <v>1.38624896825103</v>
      </c>
      <c r="R33" s="138" t="n">
        <f aca="false">((1206420/646272)*1.04)-T33</f>
        <v>1.49901359420083</v>
      </c>
      <c r="S33" s="138" t="n">
        <v>0</v>
      </c>
      <c r="T33" s="138" t="n">
        <f aca="false">(0.4013*1.06)*1.04</f>
        <v>0.44239312</v>
      </c>
      <c r="U33" s="101" t="n">
        <f aca="false">M33-(Q33+R33+S33+T33)</f>
        <v>0.352344317548136</v>
      </c>
      <c r="V33" s="142" t="n">
        <v>0</v>
      </c>
      <c r="W33" s="142" t="n">
        <v>0</v>
      </c>
      <c r="X33" s="142" t="n">
        <f aca="false">M33-N33-O33-P33-Q33-R33-S33-T33-U33+V33+W33</f>
        <v>0</v>
      </c>
      <c r="Y33" s="142" t="n">
        <f aca="false">X33-AO33</f>
        <v>0</v>
      </c>
      <c r="Z33" s="142"/>
      <c r="AA33" s="142"/>
      <c r="AB33" s="113"/>
      <c r="AC33" s="143"/>
      <c r="AD33" s="113"/>
      <c r="AE33" s="142" t="n">
        <v>0</v>
      </c>
      <c r="AF33" s="262"/>
      <c r="AG33" s="263"/>
      <c r="AH33" s="142" t="n">
        <v>28.7</v>
      </c>
      <c r="AI33" s="113" t="n">
        <f aca="false">AI32-AH33</f>
        <v>339.136847624189</v>
      </c>
      <c r="AJ33" s="143"/>
      <c r="AK33" s="141" t="n">
        <f aca="false">N33+O33+P33+Q33+R33+S33+T33+U33+X33+AE33+AH33</f>
        <v>32.38</v>
      </c>
      <c r="AL33" s="142" t="n">
        <f aca="false">IF(L33&lt;0,L33*-1,0)</f>
        <v>0</v>
      </c>
      <c r="AM33" s="142" t="n">
        <f aca="false">AK33+AL33</f>
        <v>32.38</v>
      </c>
      <c r="AN33" s="231"/>
      <c r="AO33" s="143"/>
      <c r="AP33" s="142"/>
      <c r="AQ33" s="113"/>
      <c r="AR33" s="113"/>
      <c r="AS33" s="232"/>
      <c r="AU33" s="56"/>
      <c r="AV33" s="233" t="n">
        <v>0</v>
      </c>
      <c r="AW33" s="232" t="n">
        <v>53</v>
      </c>
      <c r="AX33" s="226" t="n">
        <v>19</v>
      </c>
      <c r="AY33" s="265"/>
      <c r="AZ33" s="264" t="n">
        <f aca="false">SUM(N33,P33:U33)</f>
        <v>3.68</v>
      </c>
      <c r="BA33" s="193" t="n">
        <v>0</v>
      </c>
      <c r="BB33" s="265" t="n">
        <v>7132</v>
      </c>
    </row>
    <row r="34" customFormat="false" ht="12.95" hidden="false" customHeight="true" outlineLevel="0" collapsed="false">
      <c r="A34" s="192" t="n">
        <f aca="false">A33+1</f>
        <v>20</v>
      </c>
      <c r="B34" s="112" t="n">
        <v>6871.32</v>
      </c>
      <c r="C34" s="113" t="n">
        <v>191353</v>
      </c>
      <c r="D34" s="226" t="n">
        <f aca="false">C34-C33</f>
        <v>135</v>
      </c>
      <c r="E34" s="113" t="n">
        <f aca="false">C34-152000</f>
        <v>39353</v>
      </c>
      <c r="F34" s="260" t="n">
        <f aca="false">D34/$D$2</f>
        <v>68.0615074363499</v>
      </c>
      <c r="G34" s="142" t="n">
        <v>102</v>
      </c>
      <c r="H34" s="345" t="n">
        <v>0.496</v>
      </c>
      <c r="I34" s="142" t="n">
        <f aca="false">G34+H34</f>
        <v>102.496</v>
      </c>
      <c r="J34" s="143" t="n">
        <f aca="false">IF(L34&gt;0,L34,0)</f>
        <v>0</v>
      </c>
      <c r="K34" s="142" t="n">
        <f aca="false">I34+J34</f>
        <v>102.496</v>
      </c>
      <c r="L34" s="142" t="n">
        <f aca="false">F34-(I34-AK34)</f>
        <v>-1.76449256365011</v>
      </c>
      <c r="M34" s="262" t="n">
        <v>3.97</v>
      </c>
      <c r="N34" s="142" t="n">
        <v>0</v>
      </c>
      <c r="O34" s="142" t="n">
        <v>0</v>
      </c>
      <c r="P34" s="171" t="n">
        <v>0</v>
      </c>
      <c r="Q34" s="346" t="n">
        <f aca="false">943200/325851/1.9835*1.02</f>
        <v>1.4885132364007</v>
      </c>
      <c r="R34" s="138" t="n">
        <f aca="false">((1214240/646272)*1.04)-T34</f>
        <v>1.51159776928501</v>
      </c>
      <c r="S34" s="138" t="n">
        <v>0</v>
      </c>
      <c r="T34" s="138" t="n">
        <f aca="false">(0.4013*1.06)*1.04</f>
        <v>0.44239312</v>
      </c>
      <c r="U34" s="101" t="n">
        <f aca="false">M34-(Q34+R34+S34+T34)</f>
        <v>0.527495874314295</v>
      </c>
      <c r="V34" s="142" t="n">
        <v>0</v>
      </c>
      <c r="W34" s="142" t="n">
        <v>0</v>
      </c>
      <c r="X34" s="142" t="n">
        <f aca="false">M34-N34-O34-P34-Q34-R34-S34-T34-U34+V34+W34</f>
        <v>0</v>
      </c>
      <c r="Y34" s="142" t="n">
        <f aca="false">X34-AO34</f>
        <v>0</v>
      </c>
      <c r="Z34" s="142"/>
      <c r="AA34" s="142"/>
      <c r="AB34" s="113"/>
      <c r="AC34" s="143"/>
      <c r="AD34" s="113"/>
      <c r="AE34" s="142" t="n">
        <v>0</v>
      </c>
      <c r="AF34" s="262"/>
      <c r="AG34" s="263"/>
      <c r="AH34" s="142" t="n">
        <v>28.7</v>
      </c>
      <c r="AI34" s="113" t="n">
        <f aca="false">AI33-AH34</f>
        <v>310.436847624189</v>
      </c>
      <c r="AJ34" s="143"/>
      <c r="AK34" s="141" t="n">
        <f aca="false">N34+O34+P34+Q34+R34+S34+T34+U34+X34+AE34+AH34</f>
        <v>32.67</v>
      </c>
      <c r="AL34" s="142" t="n">
        <f aca="false">IF(L34&lt;0,L34*-1,0)</f>
        <v>1.76449256365011</v>
      </c>
      <c r="AM34" s="142" t="n">
        <f aca="false">AK34+AL34</f>
        <v>34.4344925636501</v>
      </c>
      <c r="AN34" s="231"/>
      <c r="AO34" s="143"/>
      <c r="AP34" s="142"/>
      <c r="AQ34" s="113"/>
      <c r="AR34" s="113"/>
      <c r="AS34" s="232"/>
      <c r="AU34" s="56"/>
      <c r="AV34" s="233" t="n">
        <v>0</v>
      </c>
      <c r="AW34" s="232" t="n">
        <v>59</v>
      </c>
      <c r="AX34" s="226" t="n">
        <v>21</v>
      </c>
      <c r="AY34" s="265"/>
      <c r="AZ34" s="264" t="n">
        <f aca="false">SUM(N34,P34:U34)</f>
        <v>3.97</v>
      </c>
      <c r="BA34" s="193" t="n">
        <v>0</v>
      </c>
      <c r="BB34" s="265" t="n">
        <v>7146</v>
      </c>
    </row>
    <row r="35" customFormat="false" ht="12.95" hidden="false" customHeight="true" outlineLevel="0" collapsed="false">
      <c r="A35" s="192" t="n">
        <f aca="false">A34+1</f>
        <v>21</v>
      </c>
      <c r="B35" s="112" t="n">
        <v>6871.37</v>
      </c>
      <c r="C35" s="113" t="n">
        <v>191489</v>
      </c>
      <c r="D35" s="226" t="n">
        <f aca="false">C35-C34</f>
        <v>136</v>
      </c>
      <c r="E35" s="113" t="n">
        <f aca="false">C35-152000</f>
        <v>39489</v>
      </c>
      <c r="F35" s="260" t="n">
        <f aca="false">D35/$D$2</f>
        <v>68.5656667506932</v>
      </c>
      <c r="G35" s="347" t="n">
        <v>116</v>
      </c>
      <c r="H35" s="345" t="n">
        <v>0.552</v>
      </c>
      <c r="I35" s="142" t="n">
        <f aca="false">G35+H35</f>
        <v>116.552</v>
      </c>
      <c r="J35" s="143" t="n">
        <f aca="false">IF(L35&gt;0,L35,0)</f>
        <v>0</v>
      </c>
      <c r="K35" s="142" t="n">
        <f aca="false">I35+J35</f>
        <v>116.552</v>
      </c>
      <c r="L35" s="142" t="n">
        <f aca="false">F35-(I35-AK35)</f>
        <v>-13.8563332493068</v>
      </c>
      <c r="M35" s="262" t="n">
        <v>5.33</v>
      </c>
      <c r="N35" s="142" t="n">
        <v>0</v>
      </c>
      <c r="O35" s="142" t="n">
        <v>0</v>
      </c>
      <c r="P35" s="171" t="n">
        <v>0</v>
      </c>
      <c r="Q35" s="346" t="n">
        <f aca="false">859500/325851/1.9835*1.02</f>
        <v>1.35642189004071</v>
      </c>
      <c r="R35" s="138" t="n">
        <f aca="false">((2004272/646272)*1.04)-T35</f>
        <v>2.74909692945138</v>
      </c>
      <c r="S35" s="138" t="n">
        <v>0</v>
      </c>
      <c r="T35" s="138" t="n">
        <f aca="false">(0.432*1.06)*1.04</f>
        <v>0.4762368</v>
      </c>
      <c r="U35" s="101" t="n">
        <f aca="false">M35-(Q35+R35+S35+T35)</f>
        <v>0.748244380507912</v>
      </c>
      <c r="V35" s="142" t="n">
        <v>0</v>
      </c>
      <c r="W35" s="142" t="n">
        <v>0</v>
      </c>
      <c r="X35" s="142" t="n">
        <f aca="false">M35-N35-O35-P35-Q35-R35-S35-T35-U35+V35+W35</f>
        <v>0</v>
      </c>
      <c r="Y35" s="142" t="n">
        <f aca="false">X35-AO35</f>
        <v>0</v>
      </c>
      <c r="Z35" s="142"/>
      <c r="AA35" s="142"/>
      <c r="AB35" s="113"/>
      <c r="AC35" s="143"/>
      <c r="AD35" s="113"/>
      <c r="AE35" s="142" t="n">
        <v>0</v>
      </c>
      <c r="AF35" s="262"/>
      <c r="AG35" s="263"/>
      <c r="AH35" s="142" t="n">
        <v>28.8</v>
      </c>
      <c r="AI35" s="113" t="n">
        <f aca="false">AI34-AH35</f>
        <v>281.636847624189</v>
      </c>
      <c r="AJ35" s="143"/>
      <c r="AK35" s="141" t="n">
        <f aca="false">N35+O35+P35+Q35+R35+S35+T35+U35+X35+AE35+AH35</f>
        <v>34.13</v>
      </c>
      <c r="AL35" s="142" t="n">
        <f aca="false">IF(L35&lt;0,L35*-1,0)</f>
        <v>13.8563332493068</v>
      </c>
      <c r="AM35" s="142" t="n">
        <f aca="false">AK35+AL35</f>
        <v>47.9863332493068</v>
      </c>
      <c r="AN35" s="231"/>
      <c r="AO35" s="143"/>
      <c r="AP35" s="142"/>
      <c r="AQ35" s="113"/>
      <c r="AR35" s="113"/>
      <c r="AS35" s="232"/>
      <c r="AU35" s="56"/>
      <c r="AV35" s="233" t="n">
        <v>0</v>
      </c>
      <c r="AW35" s="226" t="n">
        <v>57</v>
      </c>
      <c r="AX35" s="226" t="n">
        <v>23</v>
      </c>
      <c r="AY35" s="265"/>
      <c r="AZ35" s="264" t="n">
        <f aca="false">SUM(N35,P35:U35)</f>
        <v>5.33</v>
      </c>
      <c r="BA35" s="193" t="n">
        <v>0</v>
      </c>
      <c r="BB35" s="265" t="n">
        <v>7147</v>
      </c>
    </row>
    <row r="36" customFormat="false" ht="12.95" hidden="false" customHeight="true" outlineLevel="0" collapsed="false">
      <c r="A36" s="192" t="n">
        <f aca="false">A35+1</f>
        <v>22</v>
      </c>
      <c r="B36" s="112" t="n">
        <v>6871.43</v>
      </c>
      <c r="C36" s="113" t="n">
        <v>191652</v>
      </c>
      <c r="D36" s="226" t="n">
        <f aca="false">C36-C35</f>
        <v>163</v>
      </c>
      <c r="E36" s="113" t="n">
        <f aca="false">C36-152000</f>
        <v>39652</v>
      </c>
      <c r="F36" s="260" t="n">
        <f aca="false">D36/$D$2</f>
        <v>82.1779682379632</v>
      </c>
      <c r="G36" s="142" t="n">
        <v>114</v>
      </c>
      <c r="H36" s="345" t="n">
        <v>0.608</v>
      </c>
      <c r="I36" s="142" t="n">
        <f aca="false">G36+H36</f>
        <v>114.608</v>
      </c>
      <c r="J36" s="143" t="n">
        <f aca="false">IF(L36&gt;0,L36,0)</f>
        <v>1.5599682379632</v>
      </c>
      <c r="K36" s="142" t="n">
        <f aca="false">I36+J36</f>
        <v>116.167968237963</v>
      </c>
      <c r="L36" s="142" t="n">
        <f aca="false">F36-(I36-AK36)</f>
        <v>1.5599682379632</v>
      </c>
      <c r="M36" s="262" t="n">
        <v>5.19</v>
      </c>
      <c r="N36" s="142" t="n">
        <v>0</v>
      </c>
      <c r="O36" s="142" t="n">
        <v>0</v>
      </c>
      <c r="P36" s="171" t="n">
        <v>0</v>
      </c>
      <c r="Q36" s="346" t="n">
        <f aca="false">998700/325851/1.9835*1.02</f>
        <v>1.57610068828814</v>
      </c>
      <c r="R36" s="138" t="n">
        <f aca="false">((2097600/646272)*1.04)-T36</f>
        <v>2.89928310493167</v>
      </c>
      <c r="S36" s="138" t="n">
        <v>0</v>
      </c>
      <c r="T36" s="138" t="n">
        <f aca="false">(0.432*1.06)*1.04</f>
        <v>0.4762368</v>
      </c>
      <c r="U36" s="101" t="n">
        <f aca="false">M36-(Q36+R36+S36+T36)</f>
        <v>0.238379406780187</v>
      </c>
      <c r="V36" s="142" t="n">
        <v>0</v>
      </c>
      <c r="W36" s="142" t="n">
        <v>0</v>
      </c>
      <c r="X36" s="142" t="n">
        <f aca="false">M36-N36-O36-P36-Q36-R36-S36-T36-U36+V36+W36</f>
        <v>0</v>
      </c>
      <c r="Y36" s="142" t="n">
        <f aca="false">X36-AO36</f>
        <v>0</v>
      </c>
      <c r="Z36" s="142"/>
      <c r="AA36" s="142"/>
      <c r="AB36" s="113"/>
      <c r="AC36" s="143"/>
      <c r="AD36" s="113"/>
      <c r="AE36" s="142" t="n">
        <v>0</v>
      </c>
      <c r="AF36" s="262"/>
      <c r="AG36" s="263"/>
      <c r="AH36" s="142" t="n">
        <v>28.8</v>
      </c>
      <c r="AI36" s="113" t="n">
        <f aca="false">AI35-AH36</f>
        <v>252.836847624189</v>
      </c>
      <c r="AJ36" s="143"/>
      <c r="AK36" s="141" t="n">
        <f aca="false">N36+O36+P36+Q36+R36+S36+T36+U36+X36+AE36+AH36</f>
        <v>33.99</v>
      </c>
      <c r="AL36" s="142" t="n">
        <f aca="false">IF(L36&lt;0,L36*-1,0)</f>
        <v>0</v>
      </c>
      <c r="AM36" s="142" t="n">
        <f aca="false">AK36+AL36</f>
        <v>33.99</v>
      </c>
      <c r="AN36" s="231"/>
      <c r="AO36" s="143"/>
      <c r="AP36" s="142"/>
      <c r="AQ36" s="113"/>
      <c r="AR36" s="113"/>
      <c r="AS36" s="232"/>
      <c r="AU36" s="56"/>
      <c r="AV36" s="233" t="n">
        <v>0</v>
      </c>
      <c r="AW36" s="226" t="n">
        <v>59</v>
      </c>
      <c r="AX36" s="226" t="n">
        <v>21</v>
      </c>
      <c r="AY36" s="265"/>
      <c r="AZ36" s="264" t="n">
        <f aca="false">SUM(N36,P36:U36)</f>
        <v>5.19</v>
      </c>
      <c r="BA36" s="193" t="n">
        <v>0</v>
      </c>
      <c r="BB36" s="265" t="n">
        <v>7168</v>
      </c>
    </row>
    <row r="37" customFormat="false" ht="12.95" hidden="false" customHeight="true" outlineLevel="0" collapsed="false">
      <c r="A37" s="192" t="n">
        <f aca="false">A36+1</f>
        <v>23</v>
      </c>
      <c r="B37" s="112" t="n">
        <v>6871.5</v>
      </c>
      <c r="C37" s="113" t="n">
        <v>191842</v>
      </c>
      <c r="D37" s="226" t="n">
        <f aca="false">C37-C36</f>
        <v>190</v>
      </c>
      <c r="E37" s="113" t="n">
        <f aca="false">C37-152000</f>
        <v>39842</v>
      </c>
      <c r="F37" s="260" t="n">
        <f aca="false">D37/$D$2</f>
        <v>95.7902697252332</v>
      </c>
      <c r="G37" s="142" t="n">
        <v>104</v>
      </c>
      <c r="H37" s="345" t="n">
        <v>0.567</v>
      </c>
      <c r="I37" s="142" t="n">
        <f aca="false">G37+H37</f>
        <v>104.567</v>
      </c>
      <c r="J37" s="143" t="n">
        <f aca="false">IF(L37&gt;0,L37,0)</f>
        <v>24.4932697252332</v>
      </c>
      <c r="K37" s="142" t="n">
        <f aca="false">I37+J37</f>
        <v>129.060269725233</v>
      </c>
      <c r="L37" s="142" t="n">
        <f aca="false">F37-(I37-AK37)</f>
        <v>24.4932697252332</v>
      </c>
      <c r="M37" s="262" t="n">
        <v>4.57</v>
      </c>
      <c r="N37" s="142" t="n">
        <v>0</v>
      </c>
      <c r="O37" s="142" t="n">
        <v>0</v>
      </c>
      <c r="P37" s="171" t="n">
        <v>0</v>
      </c>
      <c r="Q37" s="346" t="n">
        <f aca="false">1076600/325851/1.9835*1.02</f>
        <v>1.69903875138782</v>
      </c>
      <c r="R37" s="138" t="n">
        <f aca="false">((1174466/646272)*1.04)-T37</f>
        <v>1.41374859314716</v>
      </c>
      <c r="S37" s="138" t="n">
        <v>0</v>
      </c>
      <c r="T37" s="138" t="n">
        <f aca="false">(0.432*1.06)*1.04</f>
        <v>0.4762368</v>
      </c>
      <c r="U37" s="101" t="n">
        <f aca="false">M37-(Q37+R37+S37+T37)</f>
        <v>0.980975855465023</v>
      </c>
      <c r="V37" s="142" t="n">
        <v>0</v>
      </c>
      <c r="W37" s="142" t="n">
        <v>0</v>
      </c>
      <c r="X37" s="142" t="n">
        <f aca="false">M37-N37-O37-P37-Q37-R37-S37-T37-U37+V37+W37</f>
        <v>0</v>
      </c>
      <c r="Y37" s="142" t="n">
        <f aca="false">X37-AO37</f>
        <v>0</v>
      </c>
      <c r="Z37" s="142"/>
      <c r="AA37" s="142"/>
      <c r="AB37" s="113"/>
      <c r="AC37" s="143"/>
      <c r="AD37" s="113"/>
      <c r="AE37" s="142" t="n">
        <v>0</v>
      </c>
      <c r="AF37" s="262"/>
      <c r="AG37" s="263"/>
      <c r="AH37" s="142" t="n">
        <v>28.7</v>
      </c>
      <c r="AI37" s="113" t="n">
        <f aca="false">AI36-AH37</f>
        <v>224.136847624189</v>
      </c>
      <c r="AJ37" s="143"/>
      <c r="AK37" s="141" t="n">
        <f aca="false">N37+O37+P37+Q37+R37+S37+T37+U37+X37+AE37+AH37</f>
        <v>33.27</v>
      </c>
      <c r="AL37" s="142" t="n">
        <f aca="false">IF(L37&lt;0,L37*-1,0)</f>
        <v>0</v>
      </c>
      <c r="AM37" s="142" t="n">
        <f aca="false">AK37+AL37</f>
        <v>33.27</v>
      </c>
      <c r="AN37" s="231"/>
      <c r="AO37" s="143"/>
      <c r="AP37" s="142"/>
      <c r="AQ37" s="113"/>
      <c r="AR37" s="113"/>
      <c r="AS37" s="232"/>
      <c r="AU37" s="56"/>
      <c r="AV37" s="233" t="n">
        <v>0</v>
      </c>
      <c r="AW37" s="226" t="n">
        <v>59</v>
      </c>
      <c r="AX37" s="232" t="n">
        <v>25</v>
      </c>
      <c r="AY37" s="265"/>
      <c r="AZ37" s="264" t="n">
        <f aca="false">SUM(N37,P37:U37)</f>
        <v>4.57</v>
      </c>
      <c r="BA37" s="193" t="n">
        <v>0</v>
      </c>
      <c r="BB37" s="265" t="n">
        <v>7160</v>
      </c>
    </row>
    <row r="38" customFormat="false" ht="12.95" hidden="false" customHeight="true" outlineLevel="0" collapsed="false">
      <c r="A38" s="192" t="n">
        <f aca="false">A37+1</f>
        <v>24</v>
      </c>
      <c r="B38" s="112" t="n">
        <v>6871.54</v>
      </c>
      <c r="C38" s="113" t="n">
        <v>191951</v>
      </c>
      <c r="D38" s="226" t="n">
        <f aca="false">C38-C37</f>
        <v>109</v>
      </c>
      <c r="E38" s="113" t="n">
        <f aca="false">C38-152000</f>
        <v>39951</v>
      </c>
      <c r="F38" s="260" t="n">
        <f aca="false">D38/$D$2</f>
        <v>54.9533652634232</v>
      </c>
      <c r="G38" s="142" t="n">
        <v>109</v>
      </c>
      <c r="H38" s="307" t="n">
        <v>0.725</v>
      </c>
      <c r="I38" s="142" t="n">
        <f aca="false">G38+H38</f>
        <v>109.725</v>
      </c>
      <c r="J38" s="143" t="n">
        <f aca="false">IF(L38&gt;0,L38,0)</f>
        <v>0</v>
      </c>
      <c r="K38" s="142" t="n">
        <f aca="false">I38+J38</f>
        <v>109.725</v>
      </c>
      <c r="L38" s="142" t="n">
        <f aca="false">F38-(I38-AK38)</f>
        <v>-0.171634736576749</v>
      </c>
      <c r="M38" s="262" t="n">
        <v>26</v>
      </c>
      <c r="N38" s="142" t="n">
        <v>0</v>
      </c>
      <c r="O38" s="142" t="n">
        <v>0</v>
      </c>
      <c r="P38" s="171" t="n">
        <v>0</v>
      </c>
      <c r="Q38" s="346" t="n">
        <f aca="false">990000/325851/1.9835*1.02</f>
        <v>1.56237076339768</v>
      </c>
      <c r="R38" s="138" t="n">
        <f aca="false">((1219006/646272)*1.04)-T38</f>
        <v>1.48542367732224</v>
      </c>
      <c r="S38" s="138" t="n">
        <v>0</v>
      </c>
      <c r="T38" s="138" t="n">
        <f aca="false">(0.432*1.06)*1.04</f>
        <v>0.4762368</v>
      </c>
      <c r="U38" s="101" t="n">
        <v>0</v>
      </c>
      <c r="V38" s="142" t="n">
        <v>0</v>
      </c>
      <c r="W38" s="142" t="n">
        <v>0</v>
      </c>
      <c r="X38" s="142" t="n">
        <f aca="false">M38-N38-O38-P38-Q38-R38-S38-T38-U38+V38+W38</f>
        <v>22.4759687592801</v>
      </c>
      <c r="Y38" s="142" t="n">
        <f aca="false">X38-AO38</f>
        <v>22.4759687592801</v>
      </c>
      <c r="Z38" s="142"/>
      <c r="AA38" s="142"/>
      <c r="AB38" s="113"/>
      <c r="AC38" s="143"/>
      <c r="AD38" s="113"/>
      <c r="AE38" s="142" t="n">
        <v>0</v>
      </c>
      <c r="AF38" s="262"/>
      <c r="AG38" s="263"/>
      <c r="AH38" s="142" t="n">
        <v>28.6</v>
      </c>
      <c r="AI38" s="113" t="n">
        <f aca="false">AI37-AH38</f>
        <v>195.536847624189</v>
      </c>
      <c r="AJ38" s="143"/>
      <c r="AK38" s="141" t="n">
        <f aca="false">N38+O38+P38+Q38+R38+S38+T38+U38+X38+AE38+AH38</f>
        <v>54.6</v>
      </c>
      <c r="AL38" s="142" t="n">
        <f aca="false">IF(L38&lt;0,L38*-1,0)</f>
        <v>0.171634736576749</v>
      </c>
      <c r="AM38" s="142" t="n">
        <f aca="false">AK38+AL38</f>
        <v>54.7716347365768</v>
      </c>
      <c r="AN38" s="231"/>
      <c r="AO38" s="143"/>
      <c r="AP38" s="142"/>
      <c r="AQ38" s="113"/>
      <c r="AR38" s="113"/>
      <c r="AS38" s="232"/>
      <c r="AU38" s="56"/>
      <c r="AV38" s="233" t="n">
        <v>0</v>
      </c>
      <c r="AW38" s="226" t="n">
        <v>63</v>
      </c>
      <c r="AX38" s="232" t="n">
        <v>26</v>
      </c>
      <c r="AY38" s="265"/>
      <c r="AZ38" s="264" t="n">
        <f aca="false">SUM(N38,P38:U38)</f>
        <v>3.52403124071992</v>
      </c>
      <c r="BA38" s="193" t="n">
        <v>0</v>
      </c>
      <c r="BB38" s="265" t="n">
        <v>7168</v>
      </c>
    </row>
    <row r="39" customFormat="false" ht="12.95" hidden="false" customHeight="true" outlineLevel="0" collapsed="false">
      <c r="A39" s="192" t="n">
        <f aca="false">A38+1</f>
        <v>25</v>
      </c>
      <c r="B39" s="112" t="n">
        <v>6871.58</v>
      </c>
      <c r="C39" s="113" t="n">
        <v>192060</v>
      </c>
      <c r="D39" s="226" t="n">
        <f aca="false">C39-C38</f>
        <v>109</v>
      </c>
      <c r="E39" s="113" t="n">
        <f aca="false">C39-152000</f>
        <v>40060</v>
      </c>
      <c r="F39" s="260" t="n">
        <f aca="false">D39/$D$2</f>
        <v>54.9533652634232</v>
      </c>
      <c r="G39" s="142" t="n">
        <v>117</v>
      </c>
      <c r="H39" s="307" t="n">
        <v>0.79</v>
      </c>
      <c r="I39" s="142" t="n">
        <f aca="false">G39+H39</f>
        <v>117.79</v>
      </c>
      <c r="J39" s="143" t="n">
        <f aca="false">IF(L39&gt;0,L39,0)</f>
        <v>0</v>
      </c>
      <c r="K39" s="142" t="n">
        <f aca="false">I39+J39</f>
        <v>117.79</v>
      </c>
      <c r="L39" s="142" t="n">
        <f aca="false">F39-(I39-AK39)</f>
        <v>-9.93663473657676</v>
      </c>
      <c r="M39" s="262" t="n">
        <v>24.8</v>
      </c>
      <c r="N39" s="142" t="n">
        <v>0</v>
      </c>
      <c r="O39" s="142" t="n">
        <v>0</v>
      </c>
      <c r="P39" s="171" t="n">
        <v>0</v>
      </c>
      <c r="Q39" s="346" t="n">
        <f aca="false">828200/325851/1.9835*1.02</f>
        <v>1.30702572348077</v>
      </c>
      <c r="R39" s="138" t="n">
        <f aca="false">((1237080/646272)*1.04)-T39</f>
        <v>1.51450889221628</v>
      </c>
      <c r="S39" s="138" t="n">
        <v>0</v>
      </c>
      <c r="T39" s="138" t="n">
        <f aca="false">(0.432*1.06)*1.04</f>
        <v>0.4762368</v>
      </c>
      <c r="U39" s="101" t="n">
        <v>0</v>
      </c>
      <c r="V39" s="142" t="n">
        <v>0</v>
      </c>
      <c r="W39" s="142" t="n">
        <v>0</v>
      </c>
      <c r="X39" s="142" t="n">
        <f aca="false">M39-N39-O39-P39-Q39-R39-S39-T39-U39+V39+W39</f>
        <v>21.502228584303</v>
      </c>
      <c r="Y39" s="142" t="n">
        <f aca="false">X39-AO39</f>
        <v>21.502228584303</v>
      </c>
      <c r="Z39" s="142"/>
      <c r="AA39" s="142"/>
      <c r="AB39" s="113"/>
      <c r="AC39" s="143"/>
      <c r="AD39" s="113"/>
      <c r="AE39" s="142" t="n">
        <v>0</v>
      </c>
      <c r="AF39" s="262"/>
      <c r="AG39" s="263"/>
      <c r="AH39" s="142" t="n">
        <v>28.1</v>
      </c>
      <c r="AI39" s="113" t="n">
        <f aca="false">AI38-AH39</f>
        <v>167.436847624189</v>
      </c>
      <c r="AJ39" s="143"/>
      <c r="AK39" s="141" t="n">
        <f aca="false">N39+O39+P39+Q39+R39+S39+T39+U39+X39+AE39+AH39</f>
        <v>52.9</v>
      </c>
      <c r="AL39" s="142" t="n">
        <f aca="false">IF(L39&lt;0,L39*-1,0)</f>
        <v>9.93663473657676</v>
      </c>
      <c r="AM39" s="142" t="n">
        <f aca="false">AK39+AL39</f>
        <v>62.8366347365768</v>
      </c>
      <c r="AN39" s="231"/>
      <c r="AO39" s="143"/>
      <c r="AP39" s="142"/>
      <c r="AQ39" s="113"/>
      <c r="AR39" s="113"/>
      <c r="AS39" s="232"/>
      <c r="AU39" s="56"/>
      <c r="AV39" s="233" t="n">
        <v>0</v>
      </c>
      <c r="AW39" s="226" t="n">
        <v>67</v>
      </c>
      <c r="AX39" s="232" t="n">
        <v>29</v>
      </c>
      <c r="AY39" s="265"/>
      <c r="AZ39" s="264" t="n">
        <f aca="false">SUM(N39,P39:U39)</f>
        <v>3.29777141569705</v>
      </c>
      <c r="BA39" s="193" t="n">
        <v>0</v>
      </c>
      <c r="BB39" s="265" t="n">
        <v>7171</v>
      </c>
    </row>
    <row r="40" customFormat="false" ht="12.95" hidden="false" customHeight="true" outlineLevel="0" collapsed="false">
      <c r="A40" s="192" t="n">
        <f aca="false">A39+1</f>
        <v>26</v>
      </c>
      <c r="B40" s="112" t="n">
        <v>6871.68</v>
      </c>
      <c r="C40" s="113" t="n">
        <v>192331</v>
      </c>
      <c r="D40" s="226" t="n">
        <f aca="false">C40-C39</f>
        <v>271</v>
      </c>
      <c r="E40" s="113" t="n">
        <f aca="false">C40-152000</f>
        <v>40331</v>
      </c>
      <c r="F40" s="260" t="n">
        <f aca="false">D40/$D$2</f>
        <v>136.627174187043</v>
      </c>
      <c r="G40" s="142" t="n">
        <v>150</v>
      </c>
      <c r="H40" s="307" t="n">
        <v>1.03</v>
      </c>
      <c r="I40" s="142" t="n">
        <f aca="false">G40+H40</f>
        <v>151.03</v>
      </c>
      <c r="J40" s="143" t="n">
        <f aca="false">IF(L40&gt;0,L40,0)</f>
        <v>49.4971741870431</v>
      </c>
      <c r="K40" s="142" t="n">
        <f aca="false">I40+J40</f>
        <v>200.527174187043</v>
      </c>
      <c r="L40" s="142" t="n">
        <f aca="false">F40-(I40-AK40)</f>
        <v>49.4971741870431</v>
      </c>
      <c r="M40" s="262" t="n">
        <v>35.6</v>
      </c>
      <c r="N40" s="142" t="n">
        <v>0</v>
      </c>
      <c r="O40" s="142" t="n">
        <v>0</v>
      </c>
      <c r="P40" s="171" t="n">
        <v>0</v>
      </c>
      <c r="Q40" s="346" t="n">
        <f aca="false">829400/325851/1.9835*1.02</f>
        <v>1.30891950622428</v>
      </c>
      <c r="R40" s="138" t="n">
        <f aca="false">((1172952/646272)*1.04)-T40</f>
        <v>1.41131221960784</v>
      </c>
      <c r="S40" s="138" t="n">
        <v>0</v>
      </c>
      <c r="T40" s="138" t="n">
        <f aca="false">(0.432*1.06)*1.04</f>
        <v>0.4762368</v>
      </c>
      <c r="U40" s="101" t="n">
        <v>0</v>
      </c>
      <c r="V40" s="142" t="n">
        <v>0</v>
      </c>
      <c r="W40" s="142" t="n">
        <v>0</v>
      </c>
      <c r="X40" s="142" t="n">
        <f aca="false">M40-N40-O40-P40-Q40-R40-S40-T40-U40+V40+W40</f>
        <v>32.4035314741679</v>
      </c>
      <c r="Y40" s="142" t="n">
        <f aca="false">X40-AO40</f>
        <v>32.4035314741679</v>
      </c>
      <c r="Z40" s="142"/>
      <c r="AA40" s="142"/>
      <c r="AB40" s="113"/>
      <c r="AC40" s="143"/>
      <c r="AD40" s="113"/>
      <c r="AE40" s="142" t="n">
        <v>0</v>
      </c>
      <c r="AF40" s="262"/>
      <c r="AG40" s="263"/>
      <c r="AH40" s="142" t="n">
        <v>28.3</v>
      </c>
      <c r="AI40" s="113" t="n">
        <f aca="false">AI39-AH40</f>
        <v>139.136847624189</v>
      </c>
      <c r="AJ40" s="143"/>
      <c r="AK40" s="141" t="n">
        <f aca="false">N40+O40+P40+Q40+R40+S40+T40+U40+X40+AE40+AH40</f>
        <v>63.9</v>
      </c>
      <c r="AL40" s="142" t="n">
        <f aca="false">IF(L40&lt;0,L40*-1,0)</f>
        <v>0</v>
      </c>
      <c r="AM40" s="142" t="n">
        <f aca="false">AK40+AL40</f>
        <v>63.9</v>
      </c>
      <c r="AN40" s="231"/>
      <c r="AO40" s="143"/>
      <c r="AP40" s="142"/>
      <c r="AQ40" s="113"/>
      <c r="AR40" s="113"/>
      <c r="AS40" s="232"/>
      <c r="AU40" s="56"/>
      <c r="AV40" s="233" t="n">
        <v>0.03</v>
      </c>
      <c r="AW40" s="226" t="n">
        <v>59</v>
      </c>
      <c r="AX40" s="226" t="n">
        <v>33</v>
      </c>
      <c r="AY40" s="265"/>
      <c r="AZ40" s="264" t="n">
        <f aca="false">SUM(N40,P40:U40)</f>
        <v>3.19646852583212</v>
      </c>
      <c r="BA40" s="193" t="n">
        <v>0</v>
      </c>
      <c r="BB40" s="265" t="n">
        <v>7196</v>
      </c>
    </row>
    <row r="41" customFormat="false" ht="12.95" hidden="false" customHeight="true" outlineLevel="0" collapsed="false">
      <c r="A41" s="192" t="n">
        <f aca="false">A40+1</f>
        <v>27</v>
      </c>
      <c r="B41" s="112" t="n">
        <v>6871.77</v>
      </c>
      <c r="C41" s="113" t="n">
        <v>192576</v>
      </c>
      <c r="D41" s="226" t="n">
        <f aca="false">C41-C40</f>
        <v>245</v>
      </c>
      <c r="E41" s="113" t="n">
        <f aca="false">C41-152000</f>
        <v>40576</v>
      </c>
      <c r="F41" s="260" t="n">
        <f aca="false">D41/$D$2</f>
        <v>123.519032014116</v>
      </c>
      <c r="G41" s="142" t="n">
        <v>160</v>
      </c>
      <c r="H41" s="307" t="n">
        <v>1.34</v>
      </c>
      <c r="I41" s="142" t="n">
        <f aca="false">G41+H41</f>
        <v>161.34</v>
      </c>
      <c r="J41" s="143" t="n">
        <f aca="false">IF(L41&gt;0,L41,0)</f>
        <v>7.47903201411647</v>
      </c>
      <c r="K41" s="142" t="n">
        <f aca="false">I41+J41</f>
        <v>168.819032014116</v>
      </c>
      <c r="L41" s="142" t="n">
        <f aca="false">F41-(I41-AK41)</f>
        <v>7.47903201411647</v>
      </c>
      <c r="M41" s="262" t="n">
        <v>16.8</v>
      </c>
      <c r="N41" s="142" t="n">
        <v>0</v>
      </c>
      <c r="O41" s="142" t="n">
        <f aca="false">5.65*1.05</f>
        <v>5.9325</v>
      </c>
      <c r="P41" s="171" t="n">
        <v>0</v>
      </c>
      <c r="Q41" s="346" t="n">
        <f aca="false">912400/325851/1.9835*1.02</f>
        <v>1.43990614598388</v>
      </c>
      <c r="R41" s="138" t="n">
        <f aca="false">((1255488/646272)*1.04)-T41</f>
        <v>1.54413158978015</v>
      </c>
      <c r="S41" s="138" t="n">
        <v>0</v>
      </c>
      <c r="T41" s="138" t="n">
        <f aca="false">(0.432*1.06)*1.04</f>
        <v>0.4762368</v>
      </c>
      <c r="U41" s="101" t="n">
        <v>0</v>
      </c>
      <c r="V41" s="142" t="n">
        <v>0</v>
      </c>
      <c r="W41" s="142" t="n">
        <v>0</v>
      </c>
      <c r="X41" s="142" t="n">
        <f aca="false">M41-N41-O41-P41-Q41-R41-S41-T41-U41+V41+W41</f>
        <v>7.40722546423596</v>
      </c>
      <c r="Y41" s="142" t="n">
        <f aca="false">X41-AO41</f>
        <v>7.40722546423596</v>
      </c>
      <c r="Z41" s="142"/>
      <c r="AA41" s="142"/>
      <c r="AB41" s="113"/>
      <c r="AC41" s="143"/>
      <c r="AD41" s="113"/>
      <c r="AE41" s="142" t="n">
        <v>0</v>
      </c>
      <c r="AF41" s="262"/>
      <c r="AG41" s="263"/>
      <c r="AH41" s="142" t="n">
        <v>28.5</v>
      </c>
      <c r="AI41" s="113" t="n">
        <f aca="false">AI40-AH41</f>
        <v>110.636847624189</v>
      </c>
      <c r="AJ41" s="143"/>
      <c r="AK41" s="141" t="n">
        <f aca="false">N41+O41+P41+Q41+R41+S41+T41+U41+X41+AE41+AH41</f>
        <v>45.3</v>
      </c>
      <c r="AL41" s="142" t="n">
        <f aca="false">IF(L41&lt;0,L41*-1,0)</f>
        <v>0</v>
      </c>
      <c r="AM41" s="142" t="n">
        <f aca="false">AK41+AL41</f>
        <v>45.3</v>
      </c>
      <c r="AN41" s="231"/>
      <c r="AO41" s="143"/>
      <c r="AP41" s="142"/>
      <c r="AQ41" s="113"/>
      <c r="AR41" s="113"/>
      <c r="AS41" s="232"/>
      <c r="AU41" s="56"/>
      <c r="AV41" s="233" t="n">
        <v>0</v>
      </c>
      <c r="AW41" s="226" t="n">
        <v>58</v>
      </c>
      <c r="AX41" s="226" t="n">
        <v>30</v>
      </c>
      <c r="AY41" s="265"/>
      <c r="AZ41" s="264" t="n">
        <f aca="false">SUM(N41,P41:U41)</f>
        <v>3.46027453576404</v>
      </c>
      <c r="BA41" s="193" t="n">
        <v>0</v>
      </c>
      <c r="BB41" s="265" t="n">
        <v>7210</v>
      </c>
    </row>
    <row r="42" customFormat="false" ht="12.95" hidden="false" customHeight="true" outlineLevel="0" collapsed="false">
      <c r="A42" s="192" t="n">
        <f aca="false">A41+1</f>
        <v>28</v>
      </c>
      <c r="B42" s="112" t="n">
        <v>6871.86</v>
      </c>
      <c r="C42" s="113" t="n">
        <v>192820</v>
      </c>
      <c r="D42" s="226" t="n">
        <f aca="false">C42-C41</f>
        <v>244</v>
      </c>
      <c r="E42" s="113" t="n">
        <f aca="false">C42-152000</f>
        <v>40820</v>
      </c>
      <c r="F42" s="260" t="n">
        <f aca="false">D42/$D$2</f>
        <v>123.014872699773</v>
      </c>
      <c r="G42" s="142" t="n">
        <v>140</v>
      </c>
      <c r="H42" s="307" t="n">
        <v>1.29</v>
      </c>
      <c r="I42" s="142" t="n">
        <f aca="false">G42+H42</f>
        <v>141.29</v>
      </c>
      <c r="J42" s="143" t="n">
        <f aca="false">IF(L42&gt;0,L42,0)</f>
        <v>15.6248726997731</v>
      </c>
      <c r="K42" s="142" t="n">
        <f aca="false">I42+J42</f>
        <v>156.914872699773</v>
      </c>
      <c r="L42" s="142" t="n">
        <f aca="false">F42-(I42-AK42)</f>
        <v>15.6248726997731</v>
      </c>
      <c r="M42" s="262" t="n">
        <v>5.3</v>
      </c>
      <c r="N42" s="142" t="n">
        <v>0</v>
      </c>
      <c r="O42" s="142" t="n">
        <v>0</v>
      </c>
      <c r="P42" s="171" t="n">
        <v>0</v>
      </c>
      <c r="Q42" s="346" t="n">
        <f aca="false">902100/325851/1.9835*1.02</f>
        <v>1.4236511774354</v>
      </c>
      <c r="R42" s="138" t="n">
        <f aca="false">((1241632/646272)*1.04)-T42</f>
        <v>1.50496738512973</v>
      </c>
      <c r="S42" s="138" t="n">
        <v>0</v>
      </c>
      <c r="T42" s="138" t="n">
        <f aca="false">(0.4473*1.06)*1.04</f>
        <v>0.49310352</v>
      </c>
      <c r="U42" s="101" t="n">
        <v>0</v>
      </c>
      <c r="V42" s="142" t="n">
        <v>0</v>
      </c>
      <c r="W42" s="142" t="n">
        <v>0</v>
      </c>
      <c r="X42" s="142" t="n">
        <f aca="false">M42-N42-O42-P42-Q42-R42-S42-T42-U42+V42+W42</f>
        <v>1.87827791743487</v>
      </c>
      <c r="Y42" s="142" t="n">
        <f aca="false">X42-AO42</f>
        <v>1.87827791743487</v>
      </c>
      <c r="Z42" s="142"/>
      <c r="AA42" s="142"/>
      <c r="AB42" s="113"/>
      <c r="AC42" s="143"/>
      <c r="AD42" s="113"/>
      <c r="AE42" s="142" t="n">
        <v>0</v>
      </c>
      <c r="AF42" s="262"/>
      <c r="AG42" s="263"/>
      <c r="AH42" s="142" t="n">
        <v>28.6</v>
      </c>
      <c r="AI42" s="113" t="n">
        <f aca="false">AI41-AH42</f>
        <v>82.0368476241891</v>
      </c>
      <c r="AJ42" s="143"/>
      <c r="AK42" s="141" t="n">
        <f aca="false">N42+O42+P42+Q42+R42+S42+T42+U42+X42+AE42+AH42</f>
        <v>33.9</v>
      </c>
      <c r="AL42" s="142" t="n">
        <f aca="false">IF(L42&lt;0,L42*-1,0)</f>
        <v>0</v>
      </c>
      <c r="AM42" s="142" t="n">
        <f aca="false">AK42+AL42</f>
        <v>33.9</v>
      </c>
      <c r="AN42" s="231"/>
      <c r="AO42" s="143"/>
      <c r="AP42" s="142"/>
      <c r="AQ42" s="113"/>
      <c r="AR42" s="113"/>
      <c r="AS42" s="232"/>
      <c r="AU42" s="56"/>
      <c r="AV42" s="233" t="n">
        <v>0</v>
      </c>
      <c r="AW42" s="226" t="n">
        <v>56</v>
      </c>
      <c r="AX42" s="226" t="n">
        <v>26</v>
      </c>
      <c r="AY42" s="265"/>
      <c r="AZ42" s="264" t="n">
        <f aca="false">SUM(N42,P42:U42)</f>
        <v>3.42172208256513</v>
      </c>
      <c r="BA42" s="193" t="n">
        <v>0</v>
      </c>
      <c r="BB42" s="265" t="n">
        <v>7225</v>
      </c>
    </row>
    <row r="43" customFormat="false" ht="12.95" hidden="false" customHeight="true" outlineLevel="0" collapsed="false">
      <c r="A43" s="192" t="n">
        <f aca="false">A42+1</f>
        <v>29</v>
      </c>
      <c r="B43" s="112" t="n">
        <v>6871.93</v>
      </c>
      <c r="C43" s="113" t="n">
        <v>193011</v>
      </c>
      <c r="D43" s="226" t="n">
        <f aca="false">C43-C42</f>
        <v>191</v>
      </c>
      <c r="E43" s="113" t="n">
        <f aca="false">C43-152000</f>
        <v>41011</v>
      </c>
      <c r="F43" s="260" t="n">
        <f aca="false">D43/$D$2</f>
        <v>96.2944290395765</v>
      </c>
      <c r="G43" s="142" t="n">
        <v>136</v>
      </c>
      <c r="H43" s="307" t="n">
        <v>1.17</v>
      </c>
      <c r="I43" s="142" t="n">
        <f aca="false">G43+H43</f>
        <v>137.17</v>
      </c>
      <c r="J43" s="143" t="n">
        <f aca="false">IF(L43&gt;0,L43,0)</f>
        <v>0</v>
      </c>
      <c r="K43" s="142" t="n">
        <f aca="false">I43+J43</f>
        <v>137.17</v>
      </c>
      <c r="L43" s="142" t="n">
        <f aca="false">F43-(I43-AK43)</f>
        <v>-7.15557096042349</v>
      </c>
      <c r="M43" s="262" t="n">
        <v>5.12</v>
      </c>
      <c r="N43" s="142" t="n">
        <v>0</v>
      </c>
      <c r="O43" s="142" t="n">
        <v>0</v>
      </c>
      <c r="P43" s="171" t="n">
        <v>0</v>
      </c>
      <c r="Q43" s="346" t="n">
        <f aca="false">995300/325851/1.9835*1.02</f>
        <v>1.57073497051486</v>
      </c>
      <c r="R43" s="138" t="n">
        <f aca="false">((1211632/646272)*1.04)-T43</f>
        <v>1.45669049861755</v>
      </c>
      <c r="S43" s="138" t="n">
        <v>0</v>
      </c>
      <c r="T43" s="138" t="n">
        <f aca="false">(0.4473*1.06)*1.04</f>
        <v>0.49310352</v>
      </c>
      <c r="U43" s="101" t="n">
        <v>0</v>
      </c>
      <c r="V43" s="142" t="n">
        <v>0</v>
      </c>
      <c r="W43" s="142" t="n">
        <v>0</v>
      </c>
      <c r="X43" s="142" t="n">
        <f aca="false">M43-N43-O43-P43-Q43-R43-S43-T43-U43+V43+W43</f>
        <v>1.59947101086759</v>
      </c>
      <c r="Y43" s="142" t="n">
        <f aca="false">X43-AO43</f>
        <v>1.59947101086759</v>
      </c>
      <c r="Z43" s="142"/>
      <c r="AA43" s="142"/>
      <c r="AB43" s="113"/>
      <c r="AC43" s="143"/>
      <c r="AD43" s="113"/>
      <c r="AE43" s="142" t="n">
        <v>0</v>
      </c>
      <c r="AF43" s="262"/>
      <c r="AG43" s="263"/>
      <c r="AH43" s="142" t="n">
        <v>28.6</v>
      </c>
      <c r="AI43" s="113" t="n">
        <f aca="false">AI42-AH43</f>
        <v>53.436847624189</v>
      </c>
      <c r="AJ43" s="143"/>
      <c r="AK43" s="141" t="n">
        <f aca="false">N43+O43+P43+Q43+R43+S43+T43+U43+X43+AE43+AH43</f>
        <v>33.72</v>
      </c>
      <c r="AL43" s="142" t="n">
        <f aca="false">IF(L43&lt;0,L43*-1,0)</f>
        <v>7.15557096042349</v>
      </c>
      <c r="AM43" s="142" t="n">
        <f aca="false">AK43+AL43</f>
        <v>40.8755709604235</v>
      </c>
      <c r="AN43" s="231"/>
      <c r="AO43" s="143"/>
      <c r="AP43" s="142"/>
      <c r="AQ43" s="113"/>
      <c r="AR43" s="113"/>
      <c r="AS43" s="232"/>
      <c r="AU43" s="56"/>
      <c r="AV43" s="233" t="n">
        <v>0</v>
      </c>
      <c r="AW43" s="232" t="n">
        <v>63</v>
      </c>
      <c r="AX43" s="226" t="n">
        <v>27</v>
      </c>
      <c r="AY43" s="265"/>
      <c r="AZ43" s="264" t="n">
        <f aca="false">SUM(N43,P43:U43)</f>
        <v>3.52052898913241</v>
      </c>
      <c r="BA43" s="193" t="n">
        <v>0</v>
      </c>
      <c r="BB43" s="265" t="n">
        <v>7240</v>
      </c>
    </row>
    <row r="44" customFormat="false" ht="12.95" hidden="false" customHeight="true" outlineLevel="0" collapsed="false">
      <c r="A44" s="192" t="n">
        <v>30</v>
      </c>
      <c r="B44" s="112" t="n">
        <v>6872.02</v>
      </c>
      <c r="C44" s="113" t="n">
        <v>193256</v>
      </c>
      <c r="D44" s="226" t="n">
        <f aca="false">C44-C43</f>
        <v>245</v>
      </c>
      <c r="E44" s="113" t="n">
        <f aca="false">C44-152000</f>
        <v>41256</v>
      </c>
      <c r="F44" s="260" t="n">
        <f aca="false">D44/$D$2</f>
        <v>123.519032014116</v>
      </c>
      <c r="G44" s="142" t="n">
        <v>164</v>
      </c>
      <c r="H44" s="307" t="n">
        <v>1.34</v>
      </c>
      <c r="I44" s="142" t="n">
        <f aca="false">G44+H44</f>
        <v>165.34</v>
      </c>
      <c r="J44" s="143" t="n">
        <f aca="false">IF(L44&gt;0,L44,0)</f>
        <v>15.5790320141165</v>
      </c>
      <c r="K44" s="142" t="n">
        <f aca="false">I44+J44</f>
        <v>180.919032014116</v>
      </c>
      <c r="L44" s="142" t="n">
        <f aca="false">F44-(I44-AK44)</f>
        <v>15.5790320141165</v>
      </c>
      <c r="M44" s="262" t="n">
        <v>28.8</v>
      </c>
      <c r="N44" s="142" t="n">
        <v>0</v>
      </c>
      <c r="O44" s="142" t="n">
        <f aca="false">10.4*1.05</f>
        <v>10.92</v>
      </c>
      <c r="P44" s="171" t="n">
        <v>0</v>
      </c>
      <c r="Q44" s="346" t="n">
        <f aca="false">1030900/325851/1.9835*1.02</f>
        <v>1.62691719190572</v>
      </c>
      <c r="R44" s="138" t="n">
        <f aca="false">((1226512/646272)*1.04)-T44</f>
        <v>1.48063583432759</v>
      </c>
      <c r="S44" s="138" t="n">
        <v>0</v>
      </c>
      <c r="T44" s="138" t="n">
        <f aca="false">(0.4473*1.06)*1.04</f>
        <v>0.49310352</v>
      </c>
      <c r="U44" s="101" t="n">
        <v>0</v>
      </c>
      <c r="V44" s="142" t="n">
        <v>0</v>
      </c>
      <c r="W44" s="142" t="n">
        <v>0</v>
      </c>
      <c r="X44" s="142" t="n">
        <f aca="false">M44-N44-O44-P44-Q44-R44-S44-T44-U44+V44+W44</f>
        <v>14.2793434537667</v>
      </c>
      <c r="Y44" s="142" t="n">
        <f aca="false">X44-AO44</f>
        <v>14.2793434537667</v>
      </c>
      <c r="Z44" s="142"/>
      <c r="AA44" s="142"/>
      <c r="AB44" s="113"/>
      <c r="AC44" s="143"/>
      <c r="AD44" s="113"/>
      <c r="AE44" s="142" t="n">
        <v>0</v>
      </c>
      <c r="AF44" s="262"/>
      <c r="AG44" s="263"/>
      <c r="AH44" s="142" t="n">
        <v>28.6</v>
      </c>
      <c r="AI44" s="113" t="n">
        <f aca="false">AI43-AH44</f>
        <v>24.836847624189</v>
      </c>
      <c r="AJ44" s="143"/>
      <c r="AK44" s="141" t="n">
        <f aca="false">N44+O44+P44+Q44+R44+S44+T44+U44+X44+AE44+AH44</f>
        <v>57.4</v>
      </c>
      <c r="AL44" s="142" t="n">
        <f aca="false">IF(L44&lt;0,L44*-1,0)</f>
        <v>0</v>
      </c>
      <c r="AM44" s="142" t="n">
        <f aca="false">AK44+AL44</f>
        <v>57.4</v>
      </c>
      <c r="AN44" s="231"/>
      <c r="AO44" s="143"/>
      <c r="AP44" s="142"/>
      <c r="AQ44" s="113"/>
      <c r="AR44" s="113"/>
      <c r="AS44" s="232"/>
      <c r="AU44" s="56"/>
      <c r="AV44" s="233" t="n">
        <v>0</v>
      </c>
      <c r="AW44" s="232" t="n">
        <v>64</v>
      </c>
      <c r="AX44" s="226" t="n">
        <v>27</v>
      </c>
      <c r="AY44" s="265"/>
      <c r="AZ44" s="264" t="n">
        <f aca="false">SUM(N44,P44:U44)</f>
        <v>3.60065654623331</v>
      </c>
      <c r="BA44" s="193" t="n">
        <v>0</v>
      </c>
      <c r="BB44" s="265" t="n">
        <v>7256</v>
      </c>
    </row>
    <row r="45" customFormat="false" ht="12.95" hidden="false" customHeight="true" outlineLevel="0" collapsed="false">
      <c r="A45" s="192" t="n">
        <v>31</v>
      </c>
      <c r="B45" s="112" t="n">
        <v>6872.09</v>
      </c>
      <c r="C45" s="113" t="n">
        <v>193448</v>
      </c>
      <c r="D45" s="226" t="n">
        <f aca="false">C45-C44</f>
        <v>192</v>
      </c>
      <c r="E45" s="113" t="n">
        <f aca="false">C45-152000</f>
        <v>41448</v>
      </c>
      <c r="F45" s="260" t="n">
        <f aca="false">D45/$D$2</f>
        <v>96.7985883539198</v>
      </c>
      <c r="G45" s="142" t="n">
        <v>155</v>
      </c>
      <c r="H45" s="307" t="n">
        <v>1.27</v>
      </c>
      <c r="I45" s="142" t="n">
        <f aca="false">G45+H45</f>
        <v>156.27</v>
      </c>
      <c r="J45" s="143" t="n">
        <f aca="false">IF(L45&gt;0,L45,0)</f>
        <v>13.6285883539198</v>
      </c>
      <c r="K45" s="142" t="n">
        <f aca="false">I45+J45</f>
        <v>169.89858835392</v>
      </c>
      <c r="L45" s="142" t="n">
        <f aca="false">F45-(I45-AK45)</f>
        <v>13.6285883539198</v>
      </c>
      <c r="M45" s="262" t="n">
        <v>44.4</v>
      </c>
      <c r="N45" s="142" t="n">
        <v>0</v>
      </c>
      <c r="O45" s="142" t="n">
        <f aca="false">18.9*1.05</f>
        <v>19.845</v>
      </c>
      <c r="P45" s="171" t="n">
        <v>0</v>
      </c>
      <c r="Q45" s="346" t="n">
        <f aca="false">1003600/325851/1.9835*1.02</f>
        <v>1.58383363449082</v>
      </c>
      <c r="R45" s="138" t="n">
        <f aca="false">((1229520/646272)*1.04)-T45</f>
        <v>1.48547639681521</v>
      </c>
      <c r="S45" s="138" t="n">
        <v>0</v>
      </c>
      <c r="T45" s="138" t="n">
        <f aca="false">(0.4473*1.06)*1.04</f>
        <v>0.49310352</v>
      </c>
      <c r="U45" s="101" t="n">
        <v>0</v>
      </c>
      <c r="V45" s="142" t="n">
        <v>0</v>
      </c>
      <c r="W45" s="142" t="n">
        <v>0</v>
      </c>
      <c r="X45" s="142" t="n">
        <f aca="false">M45-N45-O45-P45-Q45-R45-S45-T45-U45+V45+W45</f>
        <v>20.992586448694</v>
      </c>
      <c r="Y45" s="142" t="n">
        <f aca="false">X45-AO45</f>
        <v>20.992586448694</v>
      </c>
      <c r="Z45" s="142"/>
      <c r="AA45" s="142"/>
      <c r="AB45" s="113"/>
      <c r="AC45" s="143"/>
      <c r="AD45" s="113"/>
      <c r="AE45" s="142" t="n">
        <v>0</v>
      </c>
      <c r="AF45" s="262"/>
      <c r="AG45" s="263"/>
      <c r="AH45" s="142" t="n">
        <v>28.7</v>
      </c>
      <c r="AI45" s="113" t="n">
        <f aca="false">AI44-AH45</f>
        <v>-3.86315237581095</v>
      </c>
      <c r="AJ45" s="143"/>
      <c r="AK45" s="141" t="n">
        <f aca="false">N45+O45+P45+Q45+R45+S45+T45+U45+X45+AE45+AH45</f>
        <v>73.1</v>
      </c>
      <c r="AL45" s="142" t="n">
        <f aca="false">IF(L45&lt;0,L45*-1,0)</f>
        <v>0</v>
      </c>
      <c r="AM45" s="260" t="n">
        <f aca="false">AK45+AL45</f>
        <v>73.1</v>
      </c>
      <c r="AN45" s="226"/>
      <c r="AO45" s="143"/>
      <c r="AP45" s="142"/>
      <c r="AQ45" s="142"/>
      <c r="AR45" s="142"/>
      <c r="AS45" s="232"/>
      <c r="AU45" s="56"/>
      <c r="AV45" s="233" t="n">
        <v>0</v>
      </c>
      <c r="AW45" s="232" t="n">
        <v>54</v>
      </c>
      <c r="AX45" s="226" t="n">
        <v>20</v>
      </c>
      <c r="AY45" s="265"/>
      <c r="AZ45" s="264" t="n">
        <f aca="false">SUM(N45,P45:U45)</f>
        <v>3.56241355130603</v>
      </c>
      <c r="BA45" s="193" t="n">
        <v>0</v>
      </c>
      <c r="BB45" s="265" t="n">
        <v>7275</v>
      </c>
    </row>
    <row r="46" customFormat="false" ht="3" hidden="false" customHeight="true" outlineLevel="0" collapsed="false">
      <c r="A46" s="245"/>
      <c r="B46" s="267"/>
      <c r="C46" s="247"/>
      <c r="D46" s="248"/>
      <c r="E46" s="247"/>
      <c r="F46" s="249"/>
      <c r="G46" s="248"/>
      <c r="H46" s="275"/>
      <c r="I46" s="248"/>
      <c r="J46" s="248"/>
      <c r="K46" s="248"/>
      <c r="L46" s="248"/>
      <c r="M46" s="251"/>
      <c r="N46" s="248"/>
      <c r="O46" s="248"/>
      <c r="P46" s="252"/>
      <c r="Q46" s="248"/>
      <c r="R46" s="248"/>
      <c r="S46" s="248"/>
      <c r="T46" s="248"/>
      <c r="U46" s="343"/>
      <c r="V46" s="248"/>
      <c r="W46" s="248"/>
      <c r="X46" s="248"/>
      <c r="Y46" s="248"/>
      <c r="Z46" s="248"/>
      <c r="AA46" s="248"/>
      <c r="AB46" s="247"/>
      <c r="AC46" s="254"/>
      <c r="AD46" s="247"/>
      <c r="AE46" s="248"/>
      <c r="AF46" s="251"/>
      <c r="AG46" s="255"/>
      <c r="AH46" s="248"/>
      <c r="AI46" s="248"/>
      <c r="AJ46" s="254"/>
      <c r="AK46" s="248"/>
      <c r="AL46" s="248"/>
      <c r="AM46" s="249"/>
      <c r="AN46" s="257"/>
      <c r="AO46" s="254"/>
      <c r="AP46" s="257"/>
      <c r="AQ46" s="257"/>
      <c r="AR46" s="257"/>
      <c r="AS46" s="257"/>
      <c r="AT46" s="344"/>
      <c r="AU46" s="344"/>
      <c r="AV46" s="259"/>
      <c r="AW46" s="257"/>
      <c r="AX46" s="257"/>
      <c r="AY46" s="257"/>
      <c r="AZ46" s="257"/>
      <c r="BA46" s="257"/>
      <c r="BB46" s="257"/>
    </row>
    <row r="47" customFormat="false" ht="12.95" hidden="false" customHeight="true" outlineLevel="0" collapsed="false">
      <c r="A47" s="194" t="s">
        <v>105</v>
      </c>
      <c r="B47" s="224"/>
      <c r="C47" s="113"/>
      <c r="D47" s="113"/>
      <c r="E47" s="113"/>
      <c r="F47" s="225" t="n">
        <f aca="false">SUM(F15:F45)</f>
        <v>2805.64658432064</v>
      </c>
      <c r="G47" s="113" t="n">
        <f aca="false">SUM(G15:G45)</f>
        <v>3512.5</v>
      </c>
      <c r="H47" s="342" t="n">
        <f aca="false">SUM(H15:H45)</f>
        <v>20.911</v>
      </c>
      <c r="I47" s="113" t="n">
        <f aca="false">SUM(I15:I45)</f>
        <v>3533.411</v>
      </c>
      <c r="J47" s="113" t="n">
        <f aca="false">SUM(J15:J45)</f>
        <v>454.884289135367</v>
      </c>
      <c r="K47" s="113" t="n">
        <f aca="false">SUM(K15:K45)</f>
        <v>3988.29528913537</v>
      </c>
      <c r="L47" s="113" t="n">
        <f aca="false">SUM(L15:L45)</f>
        <v>393.505584320645</v>
      </c>
      <c r="M47" s="227" t="n">
        <f aca="false">SUM(M15:M45)</f>
        <v>268.37</v>
      </c>
      <c r="N47" s="113" t="n">
        <f aca="false">SUM(N15:N45)</f>
        <v>0</v>
      </c>
      <c r="O47" s="113" t="n">
        <f aca="false">SUM(O15:O45)</f>
        <v>36.6975</v>
      </c>
      <c r="P47" s="171"/>
      <c r="Q47" s="113" t="n">
        <f aca="false">SUM(Q15:Q45)</f>
        <v>45.7135481999585</v>
      </c>
      <c r="R47" s="113" t="n">
        <f aca="false">SUM(R15:R45)</f>
        <v>49.9311257613943</v>
      </c>
      <c r="S47" s="113" t="n">
        <f aca="false">SUM(S15:S45)</f>
        <v>0</v>
      </c>
      <c r="T47" s="113" t="n">
        <f aca="false">SUM(T15:T45)</f>
        <v>13.83203328</v>
      </c>
      <c r="U47" s="327" t="n">
        <f aca="false">SUM(U15:U45)</f>
        <v>-0.342840354102791</v>
      </c>
      <c r="V47" s="113" t="n">
        <f aca="false">SUM(V15:V45)</f>
        <v>0</v>
      </c>
      <c r="W47" s="113" t="n">
        <f aca="false">SUM(W15:W45)</f>
        <v>0</v>
      </c>
      <c r="X47" s="113" t="n">
        <f aca="false">SUM(X15:X45)</f>
        <v>122.53863311275</v>
      </c>
      <c r="Y47" s="113" t="n">
        <f aca="false">SUM(Y15:Y45)</f>
        <v>122.53863311275</v>
      </c>
      <c r="Z47" s="113"/>
      <c r="AA47" s="113"/>
      <c r="AB47" s="113"/>
      <c r="AC47" s="143" t="n">
        <f aca="false">SUM(AC15:AC45)</f>
        <v>0</v>
      </c>
      <c r="AD47" s="113"/>
      <c r="AE47" s="113"/>
      <c r="AF47" s="227"/>
      <c r="AG47" s="229"/>
      <c r="AH47" s="113" t="n">
        <f aca="false">SUM(AH15:AH45)</f>
        <v>852.9</v>
      </c>
      <c r="AI47" s="113"/>
      <c r="AJ47" s="143" t="n">
        <f aca="false">SUM(AJ15:AJ45)</f>
        <v>0</v>
      </c>
      <c r="AK47" s="113" t="n">
        <f aca="false">SUM(AK15:AK45)</f>
        <v>1121.27</v>
      </c>
      <c r="AL47" s="113" t="n">
        <f aca="false">SUM(AL15:AL45)</f>
        <v>61.3787048147214</v>
      </c>
      <c r="AM47" s="225" t="n">
        <f aca="false">SUM(AM15:AM45)</f>
        <v>1182.64870481472</v>
      </c>
      <c r="AN47" s="143" t="n">
        <f aca="false">SUM(AN15:AN45)</f>
        <v>0</v>
      </c>
      <c r="AO47" s="143" t="n">
        <f aca="false">SUM(AO15:AO45)</f>
        <v>0</v>
      </c>
      <c r="AP47" s="142"/>
      <c r="AQ47" s="142"/>
      <c r="AR47" s="142"/>
      <c r="AS47" s="232"/>
      <c r="AT47" s="89" t="s">
        <v>118</v>
      </c>
      <c r="AU47" s="56"/>
      <c r="AV47" s="233" t="n">
        <f aca="false">SUM(AV15:AV45)</f>
        <v>0.25</v>
      </c>
      <c r="AW47" s="226" t="n">
        <f aca="false">AVERAGE(AW15:AW45)</f>
        <v>57.0967741935484</v>
      </c>
      <c r="AX47" s="226" t="n">
        <f aca="false">AVERAGE(AX15:AX45)</f>
        <v>26.8064516129032</v>
      </c>
      <c r="AY47" s="234" t="s">
        <v>123</v>
      </c>
      <c r="AZ47" s="348" t="n">
        <f aca="false">SUM(AZ15:AZ45)</f>
        <v>109.13386688725</v>
      </c>
      <c r="BA47" s="193" t="n">
        <f aca="false">SUM(BA15:BA45)</f>
        <v>0</v>
      </c>
      <c r="BB47" s="265"/>
    </row>
    <row r="48" customFormat="false" ht="12.95" hidden="false" customHeight="true" outlineLevel="0" collapsed="false">
      <c r="A48" s="194" t="s">
        <v>107</v>
      </c>
      <c r="B48" s="224"/>
      <c r="C48" s="113"/>
      <c r="D48" s="113" t="n">
        <f aca="false">SUM(D15:D45)</f>
        <v>5565</v>
      </c>
      <c r="E48" s="113"/>
      <c r="F48" s="225" t="n">
        <f aca="false">F47*$D$2</f>
        <v>5565</v>
      </c>
      <c r="G48" s="113" t="n">
        <f aca="false">G47*$D$2</f>
        <v>6967.04375</v>
      </c>
      <c r="H48" s="342" t="n">
        <f aca="false">H47*$D$2</f>
        <v>41.4769685</v>
      </c>
      <c r="I48" s="113" t="n">
        <f aca="false">I47*$D$2</f>
        <v>7008.5207185</v>
      </c>
      <c r="J48" s="113" t="n">
        <f aca="false">J47*$D$2</f>
        <v>902.2629875</v>
      </c>
      <c r="K48" s="113" t="n">
        <f aca="false">K47*$D$2</f>
        <v>7910.783706</v>
      </c>
      <c r="L48" s="113" t="n">
        <f aca="false">L47*$D$2</f>
        <v>780.5183265</v>
      </c>
      <c r="M48" s="227" t="n">
        <f aca="false">M47*$D$2</f>
        <v>532.311895</v>
      </c>
      <c r="N48" s="113" t="n">
        <f aca="false">N47*$D$2</f>
        <v>0</v>
      </c>
      <c r="O48" s="113" t="n">
        <f aca="false">O47*$D$2</f>
        <v>72.78949125</v>
      </c>
      <c r="P48" s="171"/>
      <c r="Q48" s="113" t="n">
        <f aca="false">Q47*$D$2</f>
        <v>90.6728228546176</v>
      </c>
      <c r="R48" s="113" t="n">
        <f aca="false">R47*$D$2</f>
        <v>99.0383879477257</v>
      </c>
      <c r="S48" s="113" t="n">
        <f aca="false">S47*$D$2</f>
        <v>0</v>
      </c>
      <c r="T48" s="113" t="n">
        <f aca="false">T47*$D$2</f>
        <v>27.43583801088</v>
      </c>
      <c r="U48" s="327" t="n">
        <f aca="false">U47*$D$2</f>
        <v>-0.680023842362886</v>
      </c>
      <c r="V48" s="113" t="n">
        <f aca="false">V47*$D$2</f>
        <v>0</v>
      </c>
      <c r="W48" s="113" t="n">
        <f aca="false">W47*$D$2</f>
        <v>0</v>
      </c>
      <c r="X48" s="113" t="n">
        <f aca="false">X47*$D$2</f>
        <v>243.05537877914</v>
      </c>
      <c r="Y48" s="113" t="n">
        <f aca="false">Y47*$D$2</f>
        <v>243.05537877914</v>
      </c>
      <c r="Z48" s="113"/>
      <c r="AA48" s="113"/>
      <c r="AB48" s="113"/>
      <c r="AC48" s="143" t="n">
        <f aca="false">AC47*$D$2</f>
        <v>0</v>
      </c>
      <c r="AD48" s="113"/>
      <c r="AE48" s="113"/>
      <c r="AF48" s="227"/>
      <c r="AG48" s="229"/>
      <c r="AH48" s="113" t="n">
        <f aca="false">AH47*$D$2</f>
        <v>1691.72715</v>
      </c>
      <c r="AI48" s="113"/>
      <c r="AJ48" s="143" t="n">
        <f aca="false">AJ47*$D$2</f>
        <v>0</v>
      </c>
      <c r="AK48" s="113" t="n">
        <f aca="false">AK47*$D$2</f>
        <v>2224.039045</v>
      </c>
      <c r="AL48" s="113" t="n">
        <f aca="false">AL47*$D$2</f>
        <v>121.744661</v>
      </c>
      <c r="AM48" s="225" t="n">
        <f aca="false">AM47*$D$2</f>
        <v>2345.783706</v>
      </c>
      <c r="AN48" s="143" t="n">
        <f aca="false">AN47*$D$2</f>
        <v>0</v>
      </c>
      <c r="AO48" s="143" t="n">
        <f aca="false">AO47*$D$2</f>
        <v>0</v>
      </c>
      <c r="AP48" s="142"/>
      <c r="AQ48" s="142"/>
      <c r="AR48" s="142"/>
      <c r="AS48" s="232"/>
      <c r="AT48" s="89"/>
      <c r="AU48" s="56"/>
      <c r="AV48" s="233"/>
      <c r="AW48" s="226" t="n">
        <f aca="false">MAX(AW15:AW45)</f>
        <v>67</v>
      </c>
      <c r="AX48" s="226" t="n">
        <f aca="false">MAX(AX15:AX45)</f>
        <v>34</v>
      </c>
      <c r="AY48" s="234" t="s">
        <v>108</v>
      </c>
      <c r="AZ48" s="348" t="n">
        <f aca="false">AZ47*$D$2</f>
        <v>216.46702497086</v>
      </c>
      <c r="BA48" s="193" t="n">
        <f aca="false">BA47*D2</f>
        <v>0</v>
      </c>
      <c r="BB48" s="265"/>
    </row>
    <row r="49" customFormat="false" ht="3" hidden="false" customHeight="true" outlineLevel="0" collapsed="false">
      <c r="A49" s="245"/>
      <c r="B49" s="267"/>
      <c r="C49" s="247"/>
      <c r="D49" s="247"/>
      <c r="E49" s="247"/>
      <c r="F49" s="270"/>
      <c r="G49" s="247"/>
      <c r="H49" s="349"/>
      <c r="I49" s="247"/>
      <c r="J49" s="247"/>
      <c r="K49" s="247"/>
      <c r="L49" s="247"/>
      <c r="M49" s="271"/>
      <c r="N49" s="247"/>
      <c r="O49" s="247"/>
      <c r="P49" s="252"/>
      <c r="Q49" s="247"/>
      <c r="R49" s="247"/>
      <c r="S49" s="247"/>
      <c r="T49" s="247"/>
      <c r="U49" s="350"/>
      <c r="V49" s="247"/>
      <c r="W49" s="247"/>
      <c r="X49" s="247"/>
      <c r="Y49" s="247"/>
      <c r="Z49" s="247"/>
      <c r="AA49" s="247"/>
      <c r="AB49" s="247"/>
      <c r="AC49" s="254"/>
      <c r="AD49" s="247"/>
      <c r="AE49" s="247"/>
      <c r="AF49" s="271"/>
      <c r="AG49" s="272"/>
      <c r="AH49" s="247"/>
      <c r="AI49" s="248"/>
      <c r="AJ49" s="254"/>
      <c r="AK49" s="247"/>
      <c r="AL49" s="247"/>
      <c r="AM49" s="270"/>
      <c r="AN49" s="254"/>
      <c r="AO49" s="254"/>
      <c r="AP49" s="247"/>
      <c r="AQ49" s="247"/>
      <c r="AR49" s="247"/>
      <c r="AS49" s="247"/>
      <c r="AT49" s="351"/>
      <c r="AU49" s="344"/>
      <c r="AV49" s="274"/>
      <c r="AW49" s="247"/>
      <c r="AX49" s="247"/>
      <c r="AY49" s="247"/>
      <c r="AZ49" s="247"/>
      <c r="BA49" s="247"/>
      <c r="BB49" s="247"/>
    </row>
    <row r="50" customFormat="false" ht="12.95" hidden="false" customHeight="true" outlineLevel="0" collapsed="false">
      <c r="A50" s="194" t="s">
        <v>109</v>
      </c>
      <c r="B50" s="224"/>
      <c r="C50" s="113"/>
      <c r="D50" s="113"/>
      <c r="E50" s="113"/>
      <c r="F50" s="225"/>
      <c r="G50" s="113"/>
      <c r="H50" s="342"/>
      <c r="I50" s="113"/>
      <c r="J50" s="113"/>
      <c r="K50" s="113"/>
      <c r="L50" s="113"/>
      <c r="M50" s="227"/>
      <c r="N50" s="113"/>
      <c r="O50" s="113" t="n">
        <f aca="false">O47</f>
        <v>36.6975</v>
      </c>
      <c r="P50" s="171"/>
      <c r="Q50" s="113"/>
      <c r="R50" s="113"/>
      <c r="S50" s="113"/>
      <c r="T50" s="113"/>
      <c r="U50" s="352"/>
      <c r="V50" s="113"/>
      <c r="W50" s="113"/>
      <c r="X50" s="113"/>
      <c r="Y50" s="113"/>
      <c r="Z50" s="113"/>
      <c r="AA50" s="113"/>
      <c r="AB50" s="113"/>
      <c r="AC50" s="143"/>
      <c r="AD50" s="113"/>
      <c r="AE50" s="113"/>
      <c r="AF50" s="227"/>
      <c r="AG50" s="229"/>
      <c r="AH50" s="113"/>
      <c r="AI50" s="113"/>
      <c r="AJ50" s="143"/>
      <c r="AK50" s="113"/>
      <c r="AL50" s="113"/>
      <c r="AM50" s="225"/>
      <c r="AN50" s="143"/>
      <c r="AO50" s="143"/>
      <c r="AP50" s="142"/>
      <c r="AQ50" s="142"/>
      <c r="AR50" s="142"/>
      <c r="AS50" s="232"/>
      <c r="AT50" s="89"/>
      <c r="AU50" s="56"/>
      <c r="AV50" s="233"/>
      <c r="AW50" s="226" t="n">
        <f aca="false">MIN(AW15:AW45)</f>
        <v>47</v>
      </c>
      <c r="AX50" s="226" t="n">
        <f aca="false">MIN(AX15:AX45)</f>
        <v>19</v>
      </c>
      <c r="AY50" s="234" t="s">
        <v>110</v>
      </c>
      <c r="AZ50" s="348"/>
      <c r="BB50" s="265"/>
    </row>
    <row r="51" customFormat="false" ht="12.95" hidden="false" customHeight="true" outlineLevel="0" collapsed="false">
      <c r="A51" s="194" t="s">
        <v>111</v>
      </c>
      <c r="B51" s="224"/>
      <c r="C51" s="113"/>
      <c r="D51" s="113"/>
      <c r="E51" s="113"/>
      <c r="F51" s="225"/>
      <c r="G51" s="113"/>
      <c r="H51" s="342"/>
      <c r="I51" s="113"/>
      <c r="J51" s="113"/>
      <c r="K51" s="113"/>
      <c r="L51" s="113"/>
      <c r="M51" s="227"/>
      <c r="N51" s="113"/>
      <c r="O51" s="113" t="n">
        <f aca="false">O50*D2</f>
        <v>72.78949125</v>
      </c>
      <c r="P51" s="171"/>
      <c r="Q51" s="113"/>
      <c r="R51" s="113"/>
      <c r="S51" s="113"/>
      <c r="T51" s="113"/>
      <c r="U51" s="352"/>
      <c r="V51" s="113"/>
      <c r="W51" s="113"/>
      <c r="X51" s="113"/>
      <c r="Y51" s="113"/>
      <c r="Z51" s="113"/>
      <c r="AA51" s="113"/>
      <c r="AB51" s="113"/>
      <c r="AC51" s="143"/>
      <c r="AD51" s="113"/>
      <c r="AE51" s="113"/>
      <c r="AF51" s="227"/>
      <c r="AG51" s="229"/>
      <c r="AH51" s="113"/>
      <c r="AI51" s="113"/>
      <c r="AJ51" s="143"/>
      <c r="AK51" s="113"/>
      <c r="AL51" s="113"/>
      <c r="AM51" s="225"/>
      <c r="AN51" s="143"/>
      <c r="AO51" s="143"/>
      <c r="AP51" s="142"/>
      <c r="AQ51" s="142"/>
      <c r="AR51" s="142"/>
      <c r="AS51" s="232"/>
      <c r="AT51" s="89"/>
      <c r="AU51" s="56"/>
      <c r="AV51" s="233"/>
      <c r="AW51" s="226"/>
      <c r="AX51" s="226"/>
      <c r="AY51" s="265"/>
      <c r="AZ51" s="348"/>
      <c r="BB51" s="265"/>
    </row>
    <row r="52" customFormat="false" ht="3" hidden="false" customHeight="true" outlineLevel="0" collapsed="false">
      <c r="A52" s="245"/>
      <c r="B52" s="267"/>
      <c r="C52" s="247"/>
      <c r="D52" s="247"/>
      <c r="E52" s="247"/>
      <c r="F52" s="270"/>
      <c r="G52" s="247"/>
      <c r="H52" s="349"/>
      <c r="I52" s="247"/>
      <c r="J52" s="247"/>
      <c r="K52" s="247"/>
      <c r="L52" s="247"/>
      <c r="M52" s="271"/>
      <c r="N52" s="247"/>
      <c r="O52" s="247"/>
      <c r="P52" s="252"/>
      <c r="Q52" s="247"/>
      <c r="R52" s="247"/>
      <c r="S52" s="247"/>
      <c r="T52" s="247"/>
      <c r="U52" s="350"/>
      <c r="V52" s="247"/>
      <c r="W52" s="247"/>
      <c r="X52" s="247"/>
      <c r="Y52" s="247"/>
      <c r="Z52" s="247"/>
      <c r="AA52" s="247"/>
      <c r="AB52" s="247"/>
      <c r="AC52" s="254"/>
      <c r="AD52" s="247"/>
      <c r="AE52" s="247"/>
      <c r="AF52" s="271"/>
      <c r="AG52" s="272"/>
      <c r="AH52" s="247"/>
      <c r="AI52" s="247"/>
      <c r="AJ52" s="254"/>
      <c r="AK52" s="247"/>
      <c r="AL52" s="247"/>
      <c r="AM52" s="270"/>
      <c r="AN52" s="254"/>
      <c r="AO52" s="254"/>
      <c r="AP52" s="275"/>
      <c r="AQ52" s="275"/>
      <c r="AR52" s="275"/>
      <c r="AS52" s="275"/>
      <c r="AT52" s="351"/>
      <c r="AU52" s="344"/>
      <c r="AV52" s="259"/>
      <c r="AW52" s="275"/>
      <c r="AX52" s="275"/>
      <c r="AY52" s="275"/>
      <c r="AZ52" s="275"/>
      <c r="BA52" s="275"/>
      <c r="BB52" s="257"/>
    </row>
    <row r="53" customFormat="false" ht="12.95" hidden="false" customHeight="true" outlineLevel="0" collapsed="false">
      <c r="A53" s="194" t="s">
        <v>112</v>
      </c>
      <c r="B53" s="224"/>
      <c r="C53" s="113"/>
      <c r="D53" s="113"/>
      <c r="E53" s="113"/>
      <c r="F53" s="225" t="n">
        <f aca="false">F13+F47</f>
        <v>9945.04663473658</v>
      </c>
      <c r="G53" s="113" t="n">
        <f aca="false">G13+G47</f>
        <v>12517</v>
      </c>
      <c r="H53" s="342" t="n">
        <f aca="false">H13+H47</f>
        <v>30.105</v>
      </c>
      <c r="I53" s="113" t="n">
        <f aca="false">I13+I47</f>
        <v>12546.485</v>
      </c>
      <c r="J53" s="113" t="n">
        <f aca="false">J13+J47</f>
        <v>1915.71693269473</v>
      </c>
      <c r="K53" s="113" t="n">
        <f aca="false">K13+K47</f>
        <v>14462.2019326947</v>
      </c>
      <c r="L53" s="113" t="n">
        <f aca="false">L13+L47</f>
        <v>1039.30163473658</v>
      </c>
      <c r="M53" s="227" t="n">
        <f aca="false">M13+M47</f>
        <v>637.04</v>
      </c>
      <c r="N53" s="113" t="n">
        <f aca="false">N13+N47</f>
        <v>0</v>
      </c>
      <c r="O53" s="113" t="n">
        <f aca="false">O13+O47</f>
        <v>36.6975</v>
      </c>
      <c r="P53" s="171"/>
      <c r="Q53" s="113" t="n">
        <f aca="false">Q13+Q47</f>
        <v>233.641905968648</v>
      </c>
      <c r="R53" s="113" t="n">
        <f aca="false">R13+R47</f>
        <v>240.195469557663</v>
      </c>
      <c r="S53" s="113" t="n">
        <f aca="false">S13+S47</f>
        <v>0</v>
      </c>
      <c r="T53" s="113" t="n">
        <f aca="false">T13+T47</f>
        <v>69.00042864</v>
      </c>
      <c r="U53" s="327" t="n">
        <f aca="false">U13+U47</f>
        <v>-65.0339372790604</v>
      </c>
      <c r="V53" s="113" t="n">
        <f aca="false">V13+V47</f>
        <v>0</v>
      </c>
      <c r="W53" s="113" t="n">
        <f aca="false">W13+W47</f>
        <v>0</v>
      </c>
      <c r="X53" s="113" t="n">
        <f aca="false">X13+X47</f>
        <v>107.49843311275</v>
      </c>
      <c r="Y53" s="113" t="n">
        <f aca="false">Y13+Y47</f>
        <v>107.49843311275</v>
      </c>
      <c r="Z53" s="113"/>
      <c r="AA53" s="113"/>
      <c r="AB53" s="113"/>
      <c r="AC53" s="143" t="n">
        <f aca="false">AC13+AC47</f>
        <v>1714.14</v>
      </c>
      <c r="AD53" s="113"/>
      <c r="AE53" s="113"/>
      <c r="AF53" s="227"/>
      <c r="AG53" s="229"/>
      <c r="AH53" s="113" t="n">
        <f aca="false">AH13+AH47</f>
        <v>3003.7</v>
      </c>
      <c r="AI53" s="113" t="n">
        <f aca="false">AI45</f>
        <v>-3.86315237581095</v>
      </c>
      <c r="AJ53" s="143" t="n">
        <f aca="false">AJ13+AJ47</f>
        <v>0</v>
      </c>
      <c r="AK53" s="113" t="n">
        <f aca="false">AK13+AK47</f>
        <v>3640.74</v>
      </c>
      <c r="AL53" s="113" t="n">
        <f aca="false">AL13+AL47</f>
        <v>876.415297958155</v>
      </c>
      <c r="AM53" s="225" t="n">
        <f aca="false">AM13+AM47</f>
        <v>4517.15529795815</v>
      </c>
      <c r="AN53" s="143" t="n">
        <f aca="false">AN13+AN47</f>
        <v>0</v>
      </c>
      <c r="AO53" s="143" t="n">
        <f aca="false">AO13+AO47</f>
        <v>0</v>
      </c>
      <c r="AP53" s="142"/>
      <c r="AQ53" s="142"/>
      <c r="AR53" s="142"/>
      <c r="AS53" s="232"/>
      <c r="AT53" s="89"/>
      <c r="AU53" s="56"/>
      <c r="AV53" s="233" t="n">
        <f aca="false">AV13+AV47</f>
        <v>3.44</v>
      </c>
      <c r="AW53" s="226"/>
      <c r="AX53" s="226"/>
      <c r="AY53" s="265"/>
      <c r="AZ53" s="348" t="n">
        <f aca="false">AZ13+AZ47</f>
        <v>477.80386688725</v>
      </c>
      <c r="BA53" s="244" t="n">
        <f aca="false">BA47+BA13</f>
        <v>0</v>
      </c>
      <c r="BB53" s="265"/>
    </row>
    <row r="54" customFormat="false" ht="12.95" hidden="false" customHeight="true" outlineLevel="0" collapsed="false">
      <c r="A54" s="194" t="s">
        <v>113</v>
      </c>
      <c r="B54" s="224"/>
      <c r="C54" s="113"/>
      <c r="D54" s="113" t="n">
        <f aca="false">D13+D48</f>
        <v>19726</v>
      </c>
      <c r="E54" s="113" t="n">
        <f aca="false">E45</f>
        <v>41448</v>
      </c>
      <c r="F54" s="225" t="n">
        <f aca="false">F53*$D$2</f>
        <v>19726</v>
      </c>
      <c r="G54" s="113" t="n">
        <f aca="false">G53*$D$2</f>
        <v>24827.4695</v>
      </c>
      <c r="H54" s="342" t="n">
        <f aca="false">H53*$D$2</f>
        <v>59.7132675</v>
      </c>
      <c r="I54" s="113" t="n">
        <f aca="false">I53*$D$2</f>
        <v>24885.9529975</v>
      </c>
      <c r="J54" s="113" t="n">
        <f aca="false">J53*$D$2</f>
        <v>3799.824536</v>
      </c>
      <c r="K54" s="113" t="n">
        <f aca="false">K53*$D$2</f>
        <v>28685.7775335</v>
      </c>
      <c r="L54" s="113" t="n">
        <f aca="false">L53*$D$2</f>
        <v>2061.4547925</v>
      </c>
      <c r="M54" s="227" t="n">
        <f aca="false">M53*$D$2</f>
        <v>1263.56884</v>
      </c>
      <c r="N54" s="113" t="n">
        <f aca="false">N53*$D$2</f>
        <v>0</v>
      </c>
      <c r="O54" s="113" t="n">
        <f aca="false">O53*$D$2</f>
        <v>72.78949125</v>
      </c>
      <c r="P54" s="171"/>
      <c r="Q54" s="113" t="n">
        <f aca="false">Q53*$D$2</f>
        <v>463.428720488812</v>
      </c>
      <c r="R54" s="113" t="n">
        <f aca="false">R53*$D$2</f>
        <v>476.427713867624</v>
      </c>
      <c r="S54" s="113" t="n">
        <f aca="false">S53*$D$2</f>
        <v>0</v>
      </c>
      <c r="T54" s="113" t="n">
        <f aca="false">T53*$D$2</f>
        <v>136.86235020744</v>
      </c>
      <c r="U54" s="327" t="n">
        <f aca="false">U53*$D$2</f>
        <v>-128.994814593016</v>
      </c>
      <c r="V54" s="113" t="n">
        <f aca="false">V53*$D$2</f>
        <v>0</v>
      </c>
      <c r="W54" s="113" t="n">
        <f aca="false">W53*$D$2</f>
        <v>0</v>
      </c>
      <c r="X54" s="113" t="n">
        <f aca="false">X53*$D$2</f>
        <v>213.22314207914</v>
      </c>
      <c r="Y54" s="113" t="n">
        <f aca="false">Y53*$D$2</f>
        <v>213.22314207914</v>
      </c>
      <c r="Z54" s="113"/>
      <c r="AA54" s="113"/>
      <c r="AB54" s="113"/>
      <c r="AC54" s="143" t="n">
        <f aca="false">AC53*$D$2</f>
        <v>3399.99669</v>
      </c>
      <c r="AD54" s="113"/>
      <c r="AE54" s="113"/>
      <c r="AF54" s="277"/>
      <c r="AG54" s="278"/>
      <c r="AH54" s="113" t="n">
        <f aca="false">AH53*$D$2</f>
        <v>5957.83895</v>
      </c>
      <c r="AI54" s="113" t="n">
        <f aca="false">AI53*$D$2</f>
        <v>-7.66256273742102</v>
      </c>
      <c r="AJ54" s="143" t="n">
        <f aca="false">AJ53*$D$2</f>
        <v>0</v>
      </c>
      <c r="AK54" s="113" t="n">
        <f aca="false">AK53*$D$2</f>
        <v>7221.40779</v>
      </c>
      <c r="AL54" s="113" t="n">
        <f aca="false">AL53*$D$2</f>
        <v>1738.3697435</v>
      </c>
      <c r="AM54" s="279" t="n">
        <f aca="false">AM53*$D$2</f>
        <v>8959.7775335</v>
      </c>
      <c r="AN54" s="226" t="n">
        <f aca="false">AN53*$D$2</f>
        <v>0</v>
      </c>
      <c r="AO54" s="143" t="n">
        <f aca="false">AO53*$D$2</f>
        <v>0</v>
      </c>
      <c r="AP54" s="142"/>
      <c r="AQ54" s="142"/>
      <c r="AR54" s="142"/>
      <c r="AS54" s="232"/>
      <c r="AT54" s="89"/>
      <c r="AU54" s="56"/>
      <c r="AV54" s="233"/>
      <c r="AW54" s="226"/>
      <c r="AX54" s="226"/>
      <c r="AY54" s="265"/>
      <c r="AZ54" s="348" t="n">
        <f aca="false">AZ53*$D$2</f>
        <v>947.72396997086</v>
      </c>
      <c r="BA54" s="193" t="n">
        <f aca="false">BA53*D2</f>
        <v>0</v>
      </c>
      <c r="BB54" s="265"/>
    </row>
    <row r="55" customFormat="false" ht="3" hidden="false" customHeight="true" outlineLevel="0" collapsed="false">
      <c r="A55" s="245"/>
      <c r="B55" s="267"/>
      <c r="C55" s="247"/>
      <c r="D55" s="248"/>
      <c r="E55" s="247"/>
      <c r="F55" s="249"/>
      <c r="G55" s="248"/>
      <c r="H55" s="275"/>
      <c r="I55" s="248"/>
      <c r="J55" s="248"/>
      <c r="K55" s="248"/>
      <c r="L55" s="248"/>
      <c r="M55" s="251"/>
      <c r="N55" s="248"/>
      <c r="O55" s="248"/>
      <c r="P55" s="252"/>
      <c r="Q55" s="248"/>
      <c r="R55" s="248"/>
      <c r="S55" s="248"/>
      <c r="T55" s="248"/>
      <c r="U55" s="343"/>
      <c r="V55" s="248"/>
      <c r="W55" s="248"/>
      <c r="X55" s="248"/>
      <c r="Y55" s="248"/>
      <c r="Z55" s="248"/>
      <c r="AA55" s="248"/>
      <c r="AB55" s="247"/>
      <c r="AC55" s="254"/>
      <c r="AD55" s="247"/>
      <c r="AE55" s="248"/>
      <c r="AF55" s="251"/>
      <c r="AG55" s="255"/>
      <c r="AH55" s="248"/>
      <c r="AI55" s="247"/>
      <c r="AJ55" s="254"/>
      <c r="AK55" s="248"/>
      <c r="AL55" s="248"/>
      <c r="AM55" s="248"/>
      <c r="AN55" s="256"/>
      <c r="AO55" s="254"/>
      <c r="AP55" s="248"/>
      <c r="AQ55" s="248"/>
      <c r="AR55" s="248"/>
      <c r="AS55" s="248"/>
      <c r="AT55" s="353"/>
      <c r="AU55" s="344"/>
      <c r="AV55" s="267"/>
      <c r="AW55" s="248"/>
      <c r="AX55" s="248"/>
      <c r="AY55" s="248"/>
      <c r="AZ55" s="248"/>
      <c r="BA55" s="248"/>
      <c r="BB55" s="248"/>
    </row>
    <row r="56" customFormat="false" ht="11.1" hidden="false" customHeight="true" outlineLevel="0" collapsed="false">
      <c r="A56" s="194"/>
      <c r="B56" s="281"/>
      <c r="D56" s="194"/>
      <c r="F56" s="194"/>
      <c r="G56" s="194"/>
      <c r="I56" s="194"/>
      <c r="J56" s="194"/>
      <c r="K56" s="194"/>
      <c r="L56" s="194"/>
      <c r="M56" s="194"/>
      <c r="N56" s="194"/>
      <c r="O56" s="194"/>
      <c r="Q56" s="194"/>
      <c r="R56" s="194"/>
      <c r="S56" s="194"/>
      <c r="T56" s="194"/>
      <c r="V56" s="194"/>
      <c r="W56" s="194"/>
      <c r="X56" s="194"/>
      <c r="Y56" s="194"/>
      <c r="Z56" s="194"/>
      <c r="AA56" s="194"/>
      <c r="AB56" s="161"/>
      <c r="AD56" s="161"/>
      <c r="AE56" s="194"/>
      <c r="AF56" s="194"/>
      <c r="AG56" s="194"/>
      <c r="AH56" s="194"/>
      <c r="AI56" s="161"/>
      <c r="AK56" s="194"/>
      <c r="AL56" s="194"/>
      <c r="AM56" s="194"/>
      <c r="AN56" s="192"/>
      <c r="AO56" s="201"/>
      <c r="AP56" s="197"/>
      <c r="AQ56" s="197"/>
      <c r="AR56" s="197"/>
      <c r="AX56" s="191"/>
    </row>
    <row r="57" customFormat="false" ht="11.1" hidden="false" customHeight="true" outlineLevel="0" collapsed="false">
      <c r="A57" s="194"/>
      <c r="B57" s="282"/>
      <c r="F57" s="194"/>
      <c r="G57" s="194"/>
      <c r="I57" s="195"/>
      <c r="J57" s="194"/>
      <c r="K57" s="186"/>
      <c r="L57" s="194"/>
      <c r="M57" s="194"/>
      <c r="N57" s="194"/>
      <c r="O57" s="194"/>
      <c r="Q57" s="194"/>
      <c r="R57" s="194"/>
      <c r="S57" s="194"/>
      <c r="T57" s="194"/>
      <c r="V57" s="194"/>
      <c r="W57" s="194"/>
      <c r="X57" s="194"/>
      <c r="Y57" s="194"/>
      <c r="Z57" s="194"/>
      <c r="AA57" s="194"/>
      <c r="AB57" s="161"/>
      <c r="AD57" s="161"/>
      <c r="AE57" s="194"/>
      <c r="AF57" s="194"/>
      <c r="AG57" s="194"/>
      <c r="AH57" s="194"/>
      <c r="AI57" s="161"/>
      <c r="AK57" s="194"/>
      <c r="AL57" s="194"/>
      <c r="AM57" s="194"/>
      <c r="AN57" s="192"/>
      <c r="AO57" s="201"/>
      <c r="AP57" s="197"/>
      <c r="AQ57" s="197"/>
      <c r="AR57" s="197"/>
      <c r="AX57" s="191"/>
    </row>
    <row r="58" customFormat="false" ht="11.1" hidden="false" customHeight="true" outlineLevel="0" collapsed="false">
      <c r="D58" s="161"/>
      <c r="S58" s="110"/>
      <c r="T58" s="110"/>
      <c r="X58" s="56"/>
      <c r="Y58" s="56"/>
      <c r="Z58" s="56"/>
      <c r="AA58" s="56"/>
      <c r="AB58" s="161"/>
      <c r="AD58" s="161"/>
      <c r="AH58" s="56"/>
      <c r="AI58" s="161"/>
      <c r="AM58" s="56"/>
      <c r="AN58" s="192"/>
      <c r="AO58" s="201"/>
      <c r="AP58" s="189"/>
      <c r="AQ58" s="189"/>
      <c r="AR58" s="189"/>
      <c r="AX58" s="191"/>
    </row>
    <row r="59" customFormat="false" ht="11.1" hidden="false" customHeight="true" outlineLevel="0" collapsed="false">
      <c r="B59" s="8"/>
      <c r="D59" s="161"/>
      <c r="AN59" s="296"/>
      <c r="AO59" s="335"/>
      <c r="AP59" s="189"/>
    </row>
    <row r="60" customFormat="false" ht="11.1" hidden="false" customHeight="true" outlineLevel="0" collapsed="false">
      <c r="G60" s="283"/>
      <c r="AN60" s="296"/>
      <c r="AO60" s="335"/>
      <c r="AP60" s="189"/>
    </row>
  </sheetData>
  <mergeCells count="2">
    <mergeCell ref="K2:T2"/>
    <mergeCell ref="M5:U5"/>
  </mergeCells>
  <printOptions headings="true" gridLines="true" gridLinesSet="true" horizontalCentered="true" verticalCentered="true"/>
  <pageMargins left="0.1" right="0.1"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32"/>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5" width="5.16"/>
    <col collapsed="false" customWidth="true" hidden="false" outlineLevel="0" max="23" min="22" style="1" width="5.49"/>
    <col collapsed="false" customWidth="true" hidden="false" outlineLevel="0" max="25" min="24" style="2" width="6.32"/>
    <col collapsed="false" customWidth="true" hidden="false" outlineLevel="0" max="26" min="26" style="1" width="5.49"/>
    <col collapsed="false" customWidth="true" hidden="false" outlineLevel="0" max="27" min="27" style="2" width="6.32"/>
    <col collapsed="false" customWidth="true" hidden="false" outlineLevel="0" max="28" min="28" style="56" width="5.49"/>
    <col collapsed="false" customWidth="true" hidden="false" outlineLevel="0" max="29" min="29" style="1" width="5.82"/>
    <col collapsed="false" customWidth="true" hidden="false" outlineLevel="0" max="33" min="30" style="1" width="5.49"/>
    <col collapsed="false" customWidth="true" hidden="false" outlineLevel="0" max="34" min="34" style="2" width="6.32"/>
    <col collapsed="false" customWidth="true" hidden="false" outlineLevel="0" max="35" min="35" style="1" width="5.49"/>
    <col collapsed="false" customWidth="true" hidden="false" outlineLevel="0" max="36" min="36" style="354" width="6.32"/>
    <col collapsed="false" customWidth="true" hidden="false" outlineLevel="0" max="37" min="37" style="1" width="6.32"/>
    <col collapsed="false" customWidth="true" hidden="false" outlineLevel="0" max="38" min="38" style="1" width="6.82"/>
    <col collapsed="false" customWidth="true" hidden="false" outlineLevel="0" max="39" min="39" style="5" width="6.82"/>
    <col collapsed="false" customWidth="true" hidden="false" outlineLevel="0" max="40" min="40" style="1" width="6.32"/>
    <col collapsed="false" customWidth="true" hidden="false" outlineLevel="0" max="41" min="41" style="1" width="5.49"/>
    <col collapsed="false" customWidth="true" hidden="false" outlineLevel="0" max="42" min="42" style="1" width="6.32"/>
    <col collapsed="false" customWidth="true" hidden="false" outlineLevel="0" max="43" min="43" style="300" width="6.32"/>
    <col collapsed="false" customWidth="true" hidden="false" outlineLevel="0" max="44" min="44" style="201" width="5.49"/>
    <col collapsed="false" customWidth="true" hidden="false" outlineLevel="0" max="45" min="45" style="6" width="5.32"/>
    <col collapsed="false" customWidth="true" hidden="false" outlineLevel="0" max="46" min="46" style="1" width="6.32"/>
    <col collapsed="false" customWidth="true" hidden="false" outlineLevel="0" max="47" min="47" style="4" width="5.82"/>
    <col collapsed="false" customWidth="true" hidden="false" outlineLevel="0" max="48" min="48" style="3" width="5.32"/>
    <col collapsed="false" customWidth="true" hidden="false" outlineLevel="0" max="49" min="49" style="9" width="3.82"/>
    <col collapsed="false" customWidth="true" hidden="false" outlineLevel="0" max="50" min="50" style="10" width="3.82"/>
    <col collapsed="false" customWidth="true" hidden="false" outlineLevel="0" max="51" min="51" style="0" width="3.82"/>
    <col collapsed="false" customWidth="true" hidden="false" outlineLevel="0" max="52" min="52" style="193" width="5.49"/>
  </cols>
  <sheetData>
    <row r="1" customFormat="false" ht="14.1" hidden="false" customHeight="true" outlineLevel="0" collapsed="false">
      <c r="A1" s="11" t="s">
        <v>118</v>
      </c>
      <c r="B1" s="11"/>
      <c r="D1" s="11"/>
      <c r="F1" s="11"/>
      <c r="G1" s="11"/>
      <c r="I1" s="11"/>
      <c r="J1" s="11"/>
      <c r="K1" s="355" t="s">
        <v>0</v>
      </c>
      <c r="L1" s="355"/>
      <c r="M1" s="355"/>
      <c r="N1" s="355"/>
      <c r="O1" s="355"/>
      <c r="P1" s="355"/>
      <c r="Q1" s="355"/>
      <c r="R1" s="355"/>
      <c r="S1" s="355"/>
      <c r="T1" s="355"/>
      <c r="U1" s="355"/>
      <c r="V1" s="355"/>
      <c r="W1" s="11"/>
      <c r="Z1" s="11"/>
      <c r="AB1" s="194"/>
      <c r="AC1" s="11"/>
      <c r="AD1" s="11"/>
      <c r="AE1" s="11"/>
      <c r="AF1" s="11"/>
      <c r="AG1" s="11"/>
      <c r="AI1" s="11"/>
      <c r="AK1" s="11"/>
      <c r="AL1" s="11"/>
      <c r="AN1" s="14"/>
      <c r="AO1" s="14"/>
      <c r="AP1" s="14"/>
    </row>
    <row r="2" customFormat="false" ht="14.1" hidden="false" customHeight="true" outlineLevel="0" collapsed="false">
      <c r="A2" s="14" t="s">
        <v>1</v>
      </c>
      <c r="B2" s="11"/>
      <c r="D2" s="15" t="n">
        <v>1.9835</v>
      </c>
      <c r="F2" s="11"/>
      <c r="G2" s="11"/>
      <c r="I2" s="11"/>
      <c r="J2" s="11"/>
      <c r="K2" s="356" t="s">
        <v>126</v>
      </c>
      <c r="L2" s="356"/>
      <c r="M2" s="357"/>
      <c r="N2" s="357"/>
      <c r="O2" s="184"/>
      <c r="P2" s="6"/>
      <c r="Q2" s="184"/>
      <c r="R2" s="184"/>
      <c r="S2" s="357"/>
      <c r="T2" s="357"/>
      <c r="U2" s="6"/>
      <c r="V2" s="357"/>
      <c r="W2" s="357"/>
      <c r="X2" s="358"/>
      <c r="Y2" s="358"/>
      <c r="Z2" s="357"/>
      <c r="AA2" s="358"/>
      <c r="AB2" s="200"/>
      <c r="AC2" s="357"/>
      <c r="AD2" s="357"/>
      <c r="AE2" s="357"/>
      <c r="AF2" s="357"/>
      <c r="AG2" s="357"/>
      <c r="AH2" s="358"/>
      <c r="AI2" s="11"/>
      <c r="AK2" s="11"/>
      <c r="AL2" s="11"/>
      <c r="AN2" s="14"/>
      <c r="AO2" s="14"/>
      <c r="AP2" s="14"/>
    </row>
    <row r="3" customFormat="false" ht="14.1" hidden="false" customHeight="true" outlineLevel="0" collapsed="false">
      <c r="A3" s="16"/>
      <c r="B3" s="16"/>
      <c r="C3" s="17"/>
      <c r="D3" s="18"/>
      <c r="E3" s="17"/>
      <c r="F3" s="16"/>
      <c r="G3" s="16"/>
      <c r="H3" s="22"/>
      <c r="I3" s="16"/>
      <c r="J3" s="16"/>
      <c r="K3" s="16"/>
      <c r="L3" s="16"/>
      <c r="M3" s="16"/>
      <c r="N3" s="16"/>
      <c r="O3" s="22"/>
      <c r="P3" s="20"/>
      <c r="Q3" s="22"/>
      <c r="R3" s="22"/>
      <c r="S3" s="16"/>
      <c r="T3" s="16"/>
      <c r="U3" s="20"/>
      <c r="V3" s="16"/>
      <c r="W3" s="16"/>
      <c r="X3" s="17"/>
      <c r="Y3" s="17"/>
      <c r="Z3" s="16"/>
      <c r="AA3" s="95"/>
      <c r="AB3" s="194"/>
      <c r="AC3" s="16"/>
      <c r="AD3" s="16"/>
      <c r="AE3" s="16"/>
      <c r="AF3" s="16"/>
      <c r="AG3" s="16"/>
      <c r="AH3" s="17"/>
      <c r="AI3" s="16"/>
      <c r="AJ3" s="359"/>
      <c r="AK3" s="16"/>
      <c r="AL3" s="16"/>
      <c r="AM3" s="20"/>
      <c r="AN3" s="360"/>
      <c r="AO3" s="360"/>
      <c r="AP3" s="360"/>
      <c r="AQ3" s="336"/>
      <c r="AR3" s="361"/>
      <c r="AV3" s="27"/>
      <c r="AW3" s="28"/>
      <c r="AX3" s="29"/>
      <c r="BA3" s="31"/>
      <c r="BB3" s="31"/>
    </row>
    <row r="4" s="56" customFormat="true" ht="14.1" hidden="false" customHeight="true" outlineLevel="0" collapsed="false">
      <c r="A4" s="32"/>
      <c r="B4" s="33"/>
      <c r="C4" s="34"/>
      <c r="D4" s="35" t="s">
        <v>3</v>
      </c>
      <c r="E4" s="34"/>
      <c r="F4" s="32"/>
      <c r="G4" s="36"/>
      <c r="H4" s="36"/>
      <c r="I4" s="37" t="s">
        <v>127</v>
      </c>
      <c r="J4" s="36"/>
      <c r="K4" s="36"/>
      <c r="L4" s="38"/>
      <c r="M4" s="36"/>
      <c r="N4" s="36"/>
      <c r="O4" s="36"/>
      <c r="P4" s="39"/>
      <c r="Q4" s="36"/>
      <c r="R4" s="36"/>
      <c r="S4" s="36"/>
      <c r="T4" s="36"/>
      <c r="U4" s="39"/>
      <c r="V4" s="36"/>
      <c r="W4" s="36"/>
      <c r="X4" s="40" t="s">
        <v>5</v>
      </c>
      <c r="Y4" s="40"/>
      <c r="Z4" s="41"/>
      <c r="AA4" s="40"/>
      <c r="AB4" s="41"/>
      <c r="AC4" s="41"/>
      <c r="AD4" s="42"/>
      <c r="AE4" s="36"/>
      <c r="AF4" s="36"/>
      <c r="AG4" s="36"/>
      <c r="AH4" s="34"/>
      <c r="AI4" s="36"/>
      <c r="AJ4" s="362"/>
      <c r="AK4" s="36"/>
      <c r="AL4" s="36"/>
      <c r="AM4" s="39"/>
      <c r="AN4" s="44"/>
      <c r="AO4" s="45"/>
      <c r="AP4" s="46" t="s">
        <v>6</v>
      </c>
      <c r="AQ4" s="47"/>
      <c r="AR4" s="47"/>
      <c r="AS4" s="49"/>
      <c r="AT4" s="50"/>
      <c r="AU4" s="50"/>
      <c r="AV4" s="52"/>
      <c r="AW4" s="53" t="s">
        <v>7</v>
      </c>
      <c r="AX4" s="54"/>
      <c r="AY4" s="304"/>
      <c r="AZ4" s="338"/>
      <c r="BA4" s="71"/>
      <c r="BB4" s="217"/>
    </row>
    <row r="5" s="193" customFormat="true" ht="12.95" hidden="false" customHeight="true" outlineLevel="0" collapsed="false">
      <c r="A5" s="58" t="s">
        <v>8</v>
      </c>
      <c r="B5" s="59" t="s">
        <v>9</v>
      </c>
      <c r="C5" s="60" t="s">
        <v>9</v>
      </c>
      <c r="D5" s="61" t="s">
        <v>10</v>
      </c>
      <c r="E5" s="60" t="s">
        <v>11</v>
      </c>
      <c r="F5" s="62" t="s">
        <v>12</v>
      </c>
      <c r="G5" s="58" t="s">
        <v>13</v>
      </c>
      <c r="H5" s="58" t="s">
        <v>14</v>
      </c>
      <c r="I5" s="58" t="s">
        <v>15</v>
      </c>
      <c r="J5" s="58" t="s">
        <v>16</v>
      </c>
      <c r="K5" s="58" t="s">
        <v>17</v>
      </c>
      <c r="L5" s="81" t="s">
        <v>16</v>
      </c>
      <c r="M5" s="218" t="s">
        <v>18</v>
      </c>
      <c r="N5" s="218"/>
      <c r="O5" s="218"/>
      <c r="P5" s="218"/>
      <c r="Q5" s="218"/>
      <c r="R5" s="218"/>
      <c r="S5" s="218"/>
      <c r="T5" s="218"/>
      <c r="U5" s="218"/>
      <c r="V5" s="58" t="s">
        <v>19</v>
      </c>
      <c r="W5" s="58" t="s">
        <v>20</v>
      </c>
      <c r="X5" s="58" t="s">
        <v>17</v>
      </c>
      <c r="Y5" s="58" t="s">
        <v>17</v>
      </c>
      <c r="Z5" s="64" t="s">
        <v>21</v>
      </c>
      <c r="AA5" s="58" t="s">
        <v>21</v>
      </c>
      <c r="AB5" s="64" t="s">
        <v>21</v>
      </c>
      <c r="AC5" s="64" t="s">
        <v>22</v>
      </c>
      <c r="AD5" s="65" t="s">
        <v>21</v>
      </c>
      <c r="AE5" s="58" t="s">
        <v>23</v>
      </c>
      <c r="AF5" s="63" t="s">
        <v>128</v>
      </c>
      <c r="AG5" s="63"/>
      <c r="AH5" s="58" t="s">
        <v>25</v>
      </c>
      <c r="AI5" s="68" t="s">
        <v>26</v>
      </c>
      <c r="AJ5" s="65" t="s">
        <v>27</v>
      </c>
      <c r="AK5" s="58" t="s">
        <v>15</v>
      </c>
      <c r="AL5" s="58" t="s">
        <v>16</v>
      </c>
      <c r="AM5" s="61" t="s">
        <v>17</v>
      </c>
      <c r="AN5" s="69" t="s">
        <v>28</v>
      </c>
      <c r="AO5" s="65" t="s">
        <v>21</v>
      </c>
      <c r="AP5" s="64" t="s">
        <v>29</v>
      </c>
      <c r="AQ5" s="70" t="s">
        <v>29</v>
      </c>
      <c r="AR5" s="65" t="s">
        <v>30</v>
      </c>
      <c r="AS5" s="71" t="s">
        <v>31</v>
      </c>
      <c r="AT5" s="71" t="s">
        <v>32</v>
      </c>
      <c r="AU5" s="219" t="s">
        <v>33</v>
      </c>
      <c r="AV5" s="73" t="s">
        <v>34</v>
      </c>
      <c r="AW5" s="74" t="s">
        <v>35</v>
      </c>
      <c r="AX5" s="74" t="s">
        <v>36</v>
      </c>
      <c r="AY5" s="148"/>
      <c r="AZ5" s="305" t="s">
        <v>17</v>
      </c>
      <c r="BA5" s="222" t="s">
        <v>37</v>
      </c>
      <c r="BB5" s="223" t="s">
        <v>37</v>
      </c>
    </row>
    <row r="6" s="193" customFormat="true" ht="12.95" hidden="false" customHeight="true" outlineLevel="0" collapsed="false">
      <c r="A6" s="77" t="s">
        <v>129</v>
      </c>
      <c r="B6" s="59" t="s">
        <v>39</v>
      </c>
      <c r="C6" s="60"/>
      <c r="D6" s="61" t="s">
        <v>40</v>
      </c>
      <c r="E6" s="60" t="s">
        <v>41</v>
      </c>
      <c r="F6" s="62" t="s">
        <v>42</v>
      </c>
      <c r="G6" s="58" t="s">
        <v>43</v>
      </c>
      <c r="H6" s="58" t="s">
        <v>44</v>
      </c>
      <c r="I6" s="58" t="s">
        <v>45</v>
      </c>
      <c r="J6" s="58" t="s">
        <v>45</v>
      </c>
      <c r="K6" s="58" t="s">
        <v>45</v>
      </c>
      <c r="L6" s="58" t="s">
        <v>46</v>
      </c>
      <c r="M6" s="78" t="s">
        <v>47</v>
      </c>
      <c r="N6" s="61" t="s">
        <v>48</v>
      </c>
      <c r="O6" s="61" t="s">
        <v>49</v>
      </c>
      <c r="P6" s="79" t="s">
        <v>50</v>
      </c>
      <c r="Q6" s="61" t="s">
        <v>51</v>
      </c>
      <c r="R6" s="61" t="s">
        <v>52</v>
      </c>
      <c r="S6" s="61"/>
      <c r="T6" s="61" t="s">
        <v>49</v>
      </c>
      <c r="U6" s="80" t="s">
        <v>53</v>
      </c>
      <c r="V6" s="58" t="s">
        <v>54</v>
      </c>
      <c r="W6" s="58" t="s">
        <v>55</v>
      </c>
      <c r="X6" s="58" t="s">
        <v>21</v>
      </c>
      <c r="Y6" s="58" t="s">
        <v>21</v>
      </c>
      <c r="Z6" s="64" t="s">
        <v>56</v>
      </c>
      <c r="AA6" s="58" t="s">
        <v>56</v>
      </c>
      <c r="AB6" s="64" t="s">
        <v>57</v>
      </c>
      <c r="AC6" s="64" t="s">
        <v>58</v>
      </c>
      <c r="AD6" s="65" t="s">
        <v>59</v>
      </c>
      <c r="AE6" s="58" t="s">
        <v>60</v>
      </c>
      <c r="AF6" s="78" t="s">
        <v>61</v>
      </c>
      <c r="AG6" s="81" t="s">
        <v>62</v>
      </c>
      <c r="AH6" s="58" t="s">
        <v>63</v>
      </c>
      <c r="AI6" s="68" t="s">
        <v>64</v>
      </c>
      <c r="AJ6" s="65"/>
      <c r="AK6" s="58" t="s">
        <v>65</v>
      </c>
      <c r="AL6" s="58" t="s">
        <v>65</v>
      </c>
      <c r="AM6" s="61" t="s">
        <v>65</v>
      </c>
      <c r="AN6" s="69" t="s">
        <v>66</v>
      </c>
      <c r="AO6" s="65" t="s">
        <v>67</v>
      </c>
      <c r="AP6" s="64" t="s">
        <v>68</v>
      </c>
      <c r="AQ6" s="70" t="s">
        <v>68</v>
      </c>
      <c r="AR6" s="65" t="s">
        <v>69</v>
      </c>
      <c r="AS6" s="71" t="s">
        <v>70</v>
      </c>
      <c r="AT6" s="71" t="s">
        <v>71</v>
      </c>
      <c r="AU6" s="219" t="s">
        <v>72</v>
      </c>
      <c r="AV6" s="82"/>
      <c r="AW6" s="74" t="s">
        <v>73</v>
      </c>
      <c r="AX6" s="74" t="s">
        <v>73</v>
      </c>
      <c r="AY6" s="148"/>
      <c r="AZ6" s="305" t="s">
        <v>74</v>
      </c>
      <c r="BA6" s="222" t="s">
        <v>75</v>
      </c>
      <c r="BB6" s="223" t="s">
        <v>76</v>
      </c>
    </row>
    <row r="7" s="193" customFormat="true" ht="12.95" hidden="false" customHeight="true" outlineLevel="0" collapsed="false">
      <c r="A7" s="58"/>
      <c r="B7" s="59"/>
      <c r="C7" s="60"/>
      <c r="D7" s="61"/>
      <c r="E7" s="60"/>
      <c r="F7" s="62"/>
      <c r="G7" s="58"/>
      <c r="H7" s="58"/>
      <c r="I7" s="58"/>
      <c r="J7" s="58"/>
      <c r="K7" s="58"/>
      <c r="L7" s="81"/>
      <c r="M7" s="61"/>
      <c r="N7" s="61" t="s">
        <v>77</v>
      </c>
      <c r="O7" s="61" t="s">
        <v>78</v>
      </c>
      <c r="P7" s="79"/>
      <c r="Q7" s="61" t="s">
        <v>79</v>
      </c>
      <c r="R7" s="61" t="s">
        <v>79</v>
      </c>
      <c r="S7" s="61" t="s">
        <v>62</v>
      </c>
      <c r="T7" s="61" t="s">
        <v>62</v>
      </c>
      <c r="U7" s="80" t="s">
        <v>80</v>
      </c>
      <c r="V7" s="58"/>
      <c r="W7" s="58"/>
      <c r="X7" s="68" t="s">
        <v>81</v>
      </c>
      <c r="Y7" s="60" t="s">
        <v>82</v>
      </c>
      <c r="Z7" s="64" t="s">
        <v>83</v>
      </c>
      <c r="AA7" s="58" t="s">
        <v>84</v>
      </c>
      <c r="AB7" s="64" t="s">
        <v>85</v>
      </c>
      <c r="AC7" s="64"/>
      <c r="AD7" s="65"/>
      <c r="AE7" s="81"/>
      <c r="AF7" s="83" t="n">
        <v>1.7</v>
      </c>
      <c r="AG7" s="83" t="n">
        <v>1.3</v>
      </c>
      <c r="AH7" s="78"/>
      <c r="AI7" s="84" t="n">
        <v>29007</v>
      </c>
      <c r="AJ7" s="65"/>
      <c r="AK7" s="58"/>
      <c r="AL7" s="58"/>
      <c r="AM7" s="61"/>
      <c r="AN7" s="69"/>
      <c r="AO7" s="65"/>
      <c r="AP7" s="64" t="s">
        <v>86</v>
      </c>
      <c r="AQ7" s="70" t="s">
        <v>87</v>
      </c>
      <c r="AR7" s="65" t="s">
        <v>88</v>
      </c>
      <c r="AS7" s="71" t="s">
        <v>89</v>
      </c>
      <c r="AT7" s="71" t="s">
        <v>90</v>
      </c>
      <c r="AU7" s="219" t="s">
        <v>91</v>
      </c>
      <c r="AV7" s="82"/>
      <c r="AW7" s="74"/>
      <c r="AX7" s="74"/>
      <c r="AY7" s="148"/>
      <c r="AZ7" s="305" t="s">
        <v>92</v>
      </c>
      <c r="BA7" s="222"/>
      <c r="BB7" s="223"/>
    </row>
    <row r="8" s="193" customFormat="true" ht="12.95" hidden="false" customHeight="true" outlineLevel="0" collapsed="false">
      <c r="A8" s="58"/>
      <c r="B8" s="59"/>
      <c r="C8" s="60"/>
      <c r="D8" s="61"/>
      <c r="E8" s="60"/>
      <c r="F8" s="62"/>
      <c r="G8" s="58"/>
      <c r="H8" s="58"/>
      <c r="I8" s="58"/>
      <c r="J8" s="58"/>
      <c r="K8" s="58"/>
      <c r="L8" s="81"/>
      <c r="M8" s="61"/>
      <c r="N8" s="61"/>
      <c r="O8" s="61"/>
      <c r="P8" s="79"/>
      <c r="Q8" s="61" t="s">
        <v>62</v>
      </c>
      <c r="R8" s="61" t="s">
        <v>62</v>
      </c>
      <c r="S8" s="61"/>
      <c r="T8" s="61"/>
      <c r="U8" s="80"/>
      <c r="V8" s="58"/>
      <c r="W8" s="58"/>
      <c r="X8" s="68" t="s">
        <v>93</v>
      </c>
      <c r="Y8" s="60" t="s">
        <v>81</v>
      </c>
      <c r="Z8" s="64"/>
      <c r="AA8" s="60" t="s">
        <v>94</v>
      </c>
      <c r="AB8" s="64" t="s">
        <v>95</v>
      </c>
      <c r="AC8" s="64"/>
      <c r="AD8" s="65"/>
      <c r="AE8" s="81"/>
      <c r="AF8" s="83"/>
      <c r="AG8" s="83"/>
      <c r="AH8" s="78"/>
      <c r="AI8" s="84"/>
      <c r="AJ8" s="65"/>
      <c r="AK8" s="58"/>
      <c r="AL8" s="58"/>
      <c r="AM8" s="61"/>
      <c r="AN8" s="69"/>
      <c r="AO8" s="65"/>
      <c r="AP8" s="64"/>
      <c r="AQ8" s="70"/>
      <c r="AR8" s="65"/>
      <c r="AS8" s="71"/>
      <c r="AT8" s="71"/>
      <c r="AU8" s="219"/>
      <c r="AV8" s="82"/>
      <c r="AW8" s="74"/>
      <c r="AX8" s="74"/>
      <c r="AY8" s="148"/>
      <c r="AZ8" s="305"/>
      <c r="BA8" s="222"/>
      <c r="BB8" s="223"/>
    </row>
    <row r="9" s="193" customFormat="true" ht="12.95" hidden="false" customHeight="true" outlineLevel="0" collapsed="false">
      <c r="A9" s="58"/>
      <c r="B9" s="59"/>
      <c r="C9" s="60"/>
      <c r="D9" s="61"/>
      <c r="E9" s="60"/>
      <c r="F9" s="62"/>
      <c r="G9" s="58"/>
      <c r="H9" s="58"/>
      <c r="I9" s="58"/>
      <c r="J9" s="58"/>
      <c r="K9" s="58"/>
      <c r="L9" s="81"/>
      <c r="M9" s="61"/>
      <c r="N9" s="61"/>
      <c r="O9" s="61"/>
      <c r="P9" s="79"/>
      <c r="Q9" s="61"/>
      <c r="R9" s="86" t="n">
        <v>4.2</v>
      </c>
      <c r="S9" s="61"/>
      <c r="T9" s="61"/>
      <c r="U9" s="80"/>
      <c r="V9" s="58"/>
      <c r="W9" s="58"/>
      <c r="X9" s="68"/>
      <c r="Y9" s="60" t="s">
        <v>93</v>
      </c>
      <c r="Z9" s="64"/>
      <c r="AA9" s="60" t="s">
        <v>93</v>
      </c>
      <c r="AB9" s="64" t="s">
        <v>96</v>
      </c>
      <c r="AC9" s="64"/>
      <c r="AD9" s="65"/>
      <c r="AE9" s="81"/>
      <c r="AF9" s="83"/>
      <c r="AG9" s="83"/>
      <c r="AH9" s="78"/>
      <c r="AI9" s="84"/>
      <c r="AJ9" s="65"/>
      <c r="AK9" s="58"/>
      <c r="AL9" s="58"/>
      <c r="AM9" s="61"/>
      <c r="AN9" s="69"/>
      <c r="AO9" s="65"/>
      <c r="AP9" s="64"/>
      <c r="AQ9" s="70"/>
      <c r="AR9" s="65"/>
      <c r="AS9" s="71"/>
      <c r="AT9" s="71"/>
      <c r="AU9" s="219"/>
      <c r="AV9" s="82"/>
      <c r="AW9" s="74"/>
      <c r="AX9" s="74"/>
      <c r="AY9" s="148"/>
      <c r="AZ9" s="305"/>
      <c r="BA9" s="222"/>
      <c r="BB9" s="223" t="s">
        <v>97</v>
      </c>
    </row>
    <row r="10" s="193" customFormat="true" ht="12.95" hidden="false" customHeight="true" outlineLevel="0" collapsed="false">
      <c r="A10" s="58"/>
      <c r="B10" s="59"/>
      <c r="C10" s="60" t="s">
        <v>98</v>
      </c>
      <c r="D10" s="61"/>
      <c r="E10" s="60" t="s">
        <v>99</v>
      </c>
      <c r="F10" s="62"/>
      <c r="G10" s="61" t="s">
        <v>42</v>
      </c>
      <c r="H10" s="61" t="s">
        <v>42</v>
      </c>
      <c r="I10" s="61" t="s">
        <v>42</v>
      </c>
      <c r="J10" s="61" t="s">
        <v>42</v>
      </c>
      <c r="K10" s="61" t="s">
        <v>42</v>
      </c>
      <c r="L10" s="81" t="s">
        <v>42</v>
      </c>
      <c r="M10" s="61" t="s">
        <v>42</v>
      </c>
      <c r="N10" s="61" t="s">
        <v>42</v>
      </c>
      <c r="O10" s="61" t="s">
        <v>42</v>
      </c>
      <c r="P10" s="61" t="s">
        <v>42</v>
      </c>
      <c r="Q10" s="61" t="s">
        <v>42</v>
      </c>
      <c r="R10" s="61" t="s">
        <v>42</v>
      </c>
      <c r="S10" s="61" t="s">
        <v>42</v>
      </c>
      <c r="T10" s="61" t="s">
        <v>42</v>
      </c>
      <c r="U10" s="81" t="s">
        <v>42</v>
      </c>
      <c r="V10" s="61" t="s">
        <v>42</v>
      </c>
      <c r="W10" s="61" t="s">
        <v>42</v>
      </c>
      <c r="X10" s="60" t="n">
        <v>153400</v>
      </c>
      <c r="Y10" s="60" t="n">
        <v>150400</v>
      </c>
      <c r="Z10" s="61" t="s">
        <v>42</v>
      </c>
      <c r="AA10" s="60"/>
      <c r="AB10" s="60" t="n">
        <v>72000</v>
      </c>
      <c r="AC10" s="61" t="s">
        <v>42</v>
      </c>
      <c r="AD10" s="61" t="s">
        <v>42</v>
      </c>
      <c r="AE10" s="81" t="s">
        <v>42</v>
      </c>
      <c r="AF10" s="61" t="s">
        <v>42</v>
      </c>
      <c r="AG10" s="61" t="s">
        <v>42</v>
      </c>
      <c r="AH10" s="78" t="s">
        <v>42</v>
      </c>
      <c r="AI10" s="61" t="s">
        <v>42</v>
      </c>
      <c r="AJ10" s="306" t="s">
        <v>42</v>
      </c>
      <c r="AK10" s="61" t="s">
        <v>42</v>
      </c>
      <c r="AL10" s="61" t="s">
        <v>42</v>
      </c>
      <c r="AM10" s="61" t="s">
        <v>42</v>
      </c>
      <c r="AN10" s="69" t="s">
        <v>42</v>
      </c>
      <c r="AO10" s="65" t="s">
        <v>42</v>
      </c>
      <c r="AP10" s="65" t="s">
        <v>42</v>
      </c>
      <c r="AQ10" s="70" t="s">
        <v>100</v>
      </c>
      <c r="AR10" s="65" t="s">
        <v>42</v>
      </c>
      <c r="AS10" s="65" t="s">
        <v>42</v>
      </c>
      <c r="AT10" s="65" t="s">
        <v>42</v>
      </c>
      <c r="AU10" s="65" t="s">
        <v>42</v>
      </c>
      <c r="AV10" s="82"/>
      <c r="AW10" s="74"/>
      <c r="AX10" s="74"/>
      <c r="AY10" s="148"/>
      <c r="AZ10" s="305" t="s">
        <v>101</v>
      </c>
      <c r="BA10" s="222" t="s">
        <v>42</v>
      </c>
      <c r="BB10" s="223" t="s">
        <v>99</v>
      </c>
    </row>
    <row r="11" s="193" customFormat="true" ht="12.95" hidden="false" customHeight="true" outlineLevel="0" collapsed="false">
      <c r="A11" s="58"/>
      <c r="B11" s="59"/>
      <c r="C11" s="60"/>
      <c r="D11" s="61"/>
      <c r="E11" s="60"/>
      <c r="F11" s="62"/>
      <c r="G11" s="58"/>
      <c r="H11" s="58"/>
      <c r="I11" s="58"/>
      <c r="J11" s="58"/>
      <c r="K11" s="58"/>
      <c r="L11" s="81"/>
      <c r="M11" s="61"/>
      <c r="N11" s="47" t="n">
        <v>1.03</v>
      </c>
      <c r="O11" s="47" t="n">
        <v>1.05</v>
      </c>
      <c r="P11" s="47" t="n">
        <v>1.02</v>
      </c>
      <c r="Q11" s="87" t="n">
        <v>1.02</v>
      </c>
      <c r="R11" s="88" t="n">
        <v>1.04</v>
      </c>
      <c r="S11" s="61"/>
      <c r="T11" s="87" t="n">
        <v>1.04</v>
      </c>
      <c r="U11" s="80"/>
      <c r="V11" s="58"/>
      <c r="W11" s="58"/>
      <c r="X11" s="61" t="s">
        <v>42</v>
      </c>
      <c r="Y11" s="61" t="s">
        <v>42</v>
      </c>
      <c r="Z11" s="61" t="s">
        <v>42</v>
      </c>
      <c r="AA11" s="60" t="s">
        <v>42</v>
      </c>
      <c r="AB11" s="89" t="s">
        <v>102</v>
      </c>
      <c r="AC11" s="64"/>
      <c r="AD11" s="64"/>
      <c r="AE11" s="90"/>
      <c r="AF11" s="83"/>
      <c r="AG11" s="83"/>
      <c r="AH11" s="78"/>
      <c r="AI11" s="84"/>
      <c r="AJ11" s="363"/>
      <c r="AK11" s="58"/>
      <c r="AL11" s="58"/>
      <c r="AM11" s="61"/>
      <c r="AN11" s="69"/>
      <c r="AO11" s="65"/>
      <c r="AP11" s="64"/>
      <c r="AQ11" s="70"/>
      <c r="AR11" s="70"/>
      <c r="AS11" s="92"/>
      <c r="AT11" s="92"/>
      <c r="AU11" s="92"/>
      <c r="AV11" s="82"/>
      <c r="AW11" s="74"/>
      <c r="AX11" s="74"/>
      <c r="AY11" s="148"/>
      <c r="AZ11" s="305" t="s">
        <v>42</v>
      </c>
      <c r="BA11" s="222"/>
      <c r="BB11" s="223"/>
    </row>
    <row r="12" customFormat="false" ht="12.95" hidden="false" customHeight="true" outlineLevel="0" collapsed="false">
      <c r="A12" s="14" t="s">
        <v>103</v>
      </c>
      <c r="B12" s="364"/>
      <c r="C12" s="99"/>
      <c r="D12" s="99"/>
      <c r="E12" s="99"/>
      <c r="F12" s="156"/>
      <c r="G12" s="84"/>
      <c r="H12" s="141"/>
      <c r="I12" s="84"/>
      <c r="J12" s="84"/>
      <c r="K12" s="84"/>
      <c r="L12" s="84"/>
      <c r="M12" s="103"/>
      <c r="N12" s="99"/>
      <c r="O12" s="99" t="n">
        <f aca="false">MAR!O50</f>
        <v>36.6975</v>
      </c>
      <c r="P12" s="88"/>
      <c r="Q12" s="99"/>
      <c r="R12" s="99"/>
      <c r="S12" s="99"/>
      <c r="T12" s="99"/>
      <c r="U12" s="365"/>
      <c r="V12" s="84"/>
      <c r="W12" s="84"/>
      <c r="X12" s="84"/>
      <c r="Y12" s="84"/>
      <c r="Z12" s="157"/>
      <c r="AA12" s="84"/>
      <c r="AB12" s="157"/>
      <c r="AC12" s="157"/>
      <c r="AD12" s="102"/>
      <c r="AE12" s="104"/>
      <c r="AF12" s="99"/>
      <c r="AG12" s="99"/>
      <c r="AH12" s="103"/>
      <c r="AI12" s="84"/>
      <c r="AJ12" s="363"/>
      <c r="AK12" s="84"/>
      <c r="AL12" s="84"/>
      <c r="AM12" s="99"/>
      <c r="AN12" s="366"/>
      <c r="AO12" s="102"/>
      <c r="AP12" s="157"/>
      <c r="AQ12" s="158"/>
      <c r="AR12" s="158"/>
      <c r="AS12" s="106"/>
      <c r="AT12" s="92"/>
      <c r="AU12" s="92"/>
      <c r="AV12" s="107"/>
      <c r="AW12" s="108"/>
      <c r="AX12" s="108"/>
      <c r="AY12" s="148"/>
      <c r="AZ12" s="341"/>
      <c r="BA12" s="310"/>
      <c r="BB12" s="237"/>
    </row>
    <row r="13" s="115" customFormat="true" ht="12.95" hidden="false" customHeight="true" outlineLevel="0" collapsed="false">
      <c r="A13" s="111" t="s">
        <v>104</v>
      </c>
      <c r="B13" s="367" t="n">
        <f aca="false">MAR!B45</f>
        <v>6872.09</v>
      </c>
      <c r="C13" s="99" t="n">
        <f aca="false">MAR!C45</f>
        <v>193448</v>
      </c>
      <c r="D13" s="99" t="n">
        <f aca="false">MAR!D54</f>
        <v>19726</v>
      </c>
      <c r="E13" s="99" t="n">
        <f aca="false">MAR!E54</f>
        <v>41448</v>
      </c>
      <c r="F13" s="156" t="n">
        <f aca="false">MAR!F53</f>
        <v>9945.04663473658</v>
      </c>
      <c r="G13" s="84" t="n">
        <f aca="false">MAR!G53</f>
        <v>12517</v>
      </c>
      <c r="H13" s="84" t="n">
        <f aca="false">MAR!H53</f>
        <v>30.105</v>
      </c>
      <c r="I13" s="84" t="n">
        <f aca="false">MAR!I53</f>
        <v>12546.485</v>
      </c>
      <c r="J13" s="84" t="n">
        <f aca="false">MAR!J53</f>
        <v>1915.71693269473</v>
      </c>
      <c r="K13" s="84" t="n">
        <f aca="false">MAR!K53</f>
        <v>14462.2019326947</v>
      </c>
      <c r="L13" s="84" t="n">
        <f aca="false">MAR!L53</f>
        <v>1039.30163473658</v>
      </c>
      <c r="M13" s="103" t="n">
        <f aca="false">MAR!M53</f>
        <v>637.04</v>
      </c>
      <c r="N13" s="99" t="n">
        <f aca="false">MAR!N53</f>
        <v>0</v>
      </c>
      <c r="O13" s="99" t="n">
        <f aca="false">MAR!O53</f>
        <v>36.6975</v>
      </c>
      <c r="P13" s="88"/>
      <c r="Q13" s="99" t="n">
        <f aca="false">MAR!Q53</f>
        <v>233.641905968648</v>
      </c>
      <c r="R13" s="99" t="n">
        <f aca="false">MAR!R53</f>
        <v>240.195469557663</v>
      </c>
      <c r="S13" s="99" t="n">
        <f aca="false">MAR!S53</f>
        <v>0</v>
      </c>
      <c r="T13" s="99" t="n">
        <f aca="false">MAR!T53</f>
        <v>69.00042864</v>
      </c>
      <c r="U13" s="368" t="n">
        <f aca="false">MAR!U53</f>
        <v>-65.0339372790604</v>
      </c>
      <c r="V13" s="84" t="n">
        <f aca="false">MAR!V53</f>
        <v>0</v>
      </c>
      <c r="W13" s="84" t="n">
        <f aca="false">MAR!W53</f>
        <v>0</v>
      </c>
      <c r="X13" s="84" t="n">
        <f aca="false">MAR!X53</f>
        <v>107.49843311275</v>
      </c>
      <c r="Y13" s="84" t="n">
        <f aca="false">MAR!Y53</f>
        <v>107.49843311275</v>
      </c>
      <c r="Z13" s="157" t="n">
        <v>0</v>
      </c>
      <c r="AA13" s="84"/>
      <c r="AB13" s="157" t="n">
        <v>0</v>
      </c>
      <c r="AC13" s="84" t="n">
        <f aca="false">MAR!AC53</f>
        <v>1714.14</v>
      </c>
      <c r="AD13" s="102"/>
      <c r="AE13" s="162" t="n">
        <f aca="false">MAR!AE53</f>
        <v>0</v>
      </c>
      <c r="AF13" s="84" t="n">
        <f aca="false">MAR!AF53</f>
        <v>0</v>
      </c>
      <c r="AG13" s="84" t="n">
        <f aca="false">MAR!AG53</f>
        <v>0</v>
      </c>
      <c r="AH13" s="369" t="n">
        <f aca="false">MAR!AH53</f>
        <v>3003.7</v>
      </c>
      <c r="AI13" s="84" t="n">
        <f aca="false">AI7/D2</f>
        <v>14624.149231157</v>
      </c>
      <c r="AJ13" s="102" t="n">
        <f aca="false">MAR!AJ53</f>
        <v>0</v>
      </c>
      <c r="AK13" s="84" t="n">
        <f aca="false">MAR!AK53</f>
        <v>3640.74</v>
      </c>
      <c r="AL13" s="84" t="n">
        <f aca="false">MAR!AL53</f>
        <v>876.415297958155</v>
      </c>
      <c r="AM13" s="99" t="n">
        <f aca="false">MAR!AM53</f>
        <v>4517.15529795815</v>
      </c>
      <c r="AN13" s="366" t="n">
        <f aca="false">MAR!AN53</f>
        <v>0</v>
      </c>
      <c r="AO13" s="102" t="n">
        <f aca="false">MAR!AO53</f>
        <v>0</v>
      </c>
      <c r="AP13" s="157"/>
      <c r="AQ13" s="158"/>
      <c r="AR13" s="158"/>
      <c r="AS13" s="84"/>
      <c r="AT13" s="2"/>
      <c r="AU13" s="2"/>
      <c r="AV13" s="107" t="n">
        <f aca="false">MAR!AV53</f>
        <v>3.44</v>
      </c>
      <c r="AW13" s="108"/>
      <c r="AX13" s="108"/>
      <c r="AY13" s="370"/>
      <c r="AZ13" s="242" t="n">
        <f aca="false">MAR!AZ53</f>
        <v>477.80386688725</v>
      </c>
      <c r="BA13" s="236" t="n">
        <f aca="false">MAR!BA53</f>
        <v>0</v>
      </c>
      <c r="BB13" s="243"/>
    </row>
    <row r="14" customFormat="false" ht="3" hidden="false" customHeight="true" outlineLevel="0" collapsed="false">
      <c r="A14" s="116"/>
      <c r="B14" s="371"/>
      <c r="C14" s="126"/>
      <c r="D14" s="123"/>
      <c r="E14" s="126"/>
      <c r="F14" s="153"/>
      <c r="G14" s="123"/>
      <c r="H14" s="123"/>
      <c r="I14" s="123"/>
      <c r="J14" s="123"/>
      <c r="K14" s="123"/>
      <c r="L14" s="123"/>
      <c r="M14" s="127"/>
      <c r="N14" s="123"/>
      <c r="O14" s="123"/>
      <c r="P14" s="372"/>
      <c r="Q14" s="123"/>
      <c r="R14" s="123"/>
      <c r="S14" s="123"/>
      <c r="T14" s="123"/>
      <c r="U14" s="373"/>
      <c r="V14" s="123"/>
      <c r="W14" s="123"/>
      <c r="X14" s="123"/>
      <c r="Y14" s="123"/>
      <c r="Z14" s="130"/>
      <c r="AA14" s="123"/>
      <c r="AB14" s="130"/>
      <c r="AC14" s="130"/>
      <c r="AD14" s="125"/>
      <c r="AE14" s="123"/>
      <c r="AF14" s="127"/>
      <c r="AG14" s="128"/>
      <c r="AH14" s="123"/>
      <c r="AI14" s="126"/>
      <c r="AJ14" s="125"/>
      <c r="AK14" s="123"/>
      <c r="AL14" s="123"/>
      <c r="AM14" s="123"/>
      <c r="AN14" s="170"/>
      <c r="AO14" s="125"/>
      <c r="AP14" s="130"/>
      <c r="AQ14" s="372"/>
      <c r="AR14" s="372"/>
      <c r="AS14" s="372"/>
      <c r="AT14" s="372"/>
      <c r="AU14" s="372"/>
      <c r="AV14" s="132"/>
      <c r="AW14" s="130"/>
      <c r="AX14" s="130"/>
      <c r="AY14" s="130"/>
      <c r="AZ14" s="130"/>
      <c r="BA14" s="130"/>
      <c r="BB14" s="130"/>
    </row>
    <row r="15" customFormat="false" ht="12.95" hidden="false" customHeight="true" outlineLevel="0" collapsed="false">
      <c r="A15" s="10" t="n">
        <v>1</v>
      </c>
      <c r="B15" s="374" t="n">
        <v>6872.17</v>
      </c>
      <c r="C15" s="99" t="n">
        <v>193669</v>
      </c>
      <c r="D15" s="108" t="n">
        <f aca="false">C15-C13</f>
        <v>221</v>
      </c>
      <c r="E15" s="99" t="n">
        <f aca="false">C15-152000</f>
        <v>41669</v>
      </c>
      <c r="F15" s="151" t="n">
        <f aca="false">D15/$D$2</f>
        <v>111.419208469876</v>
      </c>
      <c r="G15" s="141" t="n">
        <v>185</v>
      </c>
      <c r="H15" s="141" t="n">
        <v>1.28</v>
      </c>
      <c r="I15" s="141" t="n">
        <f aca="false">G15+H15</f>
        <v>186.28</v>
      </c>
      <c r="J15" s="375" t="n">
        <f aca="false">IF(L15&gt;0,L15,0)</f>
        <v>0.639208469876479</v>
      </c>
      <c r="K15" s="141" t="n">
        <f aca="false">I15+J15</f>
        <v>186.919208469876</v>
      </c>
      <c r="L15" s="141" t="n">
        <f aca="false">F15-(I15-AK15)</f>
        <v>0.639208469876479</v>
      </c>
      <c r="M15" s="144" t="n">
        <v>46.8</v>
      </c>
      <c r="N15" s="171" t="n">
        <v>0</v>
      </c>
      <c r="O15" s="376" t="n">
        <f aca="false">22.3*1.05</f>
        <v>23.415</v>
      </c>
      <c r="P15" s="88" t="n">
        <v>0</v>
      </c>
      <c r="Q15" s="346" t="n">
        <f aca="false">859600/325851/1.9835*1.02</f>
        <v>1.35657970526934</v>
      </c>
      <c r="R15" s="138" t="n">
        <f aca="false">((1468512/646272)*1.04)-T15</f>
        <v>1.87414826552585</v>
      </c>
      <c r="S15" s="138" t="n">
        <v>0</v>
      </c>
      <c r="T15" s="138" t="n">
        <f aca="false">(0.4436*1.06)*1.04</f>
        <v>0.48902464</v>
      </c>
      <c r="U15" s="365" t="n">
        <v>0</v>
      </c>
      <c r="V15" s="141" t="n">
        <v>0</v>
      </c>
      <c r="W15" s="141" t="n">
        <v>0</v>
      </c>
      <c r="X15" s="142" t="n">
        <f aca="false">M15-N15-O15-P15-Q15-R15-S15-T15-U15+V15+W15-AT15</f>
        <v>19.6652473892048</v>
      </c>
      <c r="Y15" s="142" t="n">
        <f aca="false">X15-AO15</f>
        <v>19.6652473892048</v>
      </c>
      <c r="Z15" s="113" t="n">
        <f aca="false">AP15</f>
        <v>161.68402464</v>
      </c>
      <c r="AA15" s="142"/>
      <c r="AB15" s="113" t="n">
        <f aca="false">AB13+(Y15+AP15)*1.9835</f>
        <v>359.706281069928</v>
      </c>
      <c r="AC15" s="84" t="n">
        <f aca="false">AC13</f>
        <v>1714.14</v>
      </c>
      <c r="AD15" s="102"/>
      <c r="AE15" s="141" t="n">
        <v>0</v>
      </c>
      <c r="AF15" s="144" t="n">
        <v>1.7</v>
      </c>
      <c r="AG15" s="145" t="n">
        <v>1.3</v>
      </c>
      <c r="AH15" s="141" t="n">
        <v>28.7</v>
      </c>
      <c r="AI15" s="84" t="n">
        <f aca="false">AI13-AH15</f>
        <v>14595.449231157</v>
      </c>
      <c r="AJ15" s="377"/>
      <c r="AK15" s="141" t="n">
        <f aca="false">N15+O15+P15+Q15+R15+S15+T15+U15+X15+AE15+AH15</f>
        <v>75.5</v>
      </c>
      <c r="AL15" s="141" t="n">
        <f aca="false">IF(L15&lt;0,L15*-1,0)</f>
        <v>0</v>
      </c>
      <c r="AM15" s="376" t="n">
        <f aca="false">AK15+AL15</f>
        <v>75.5</v>
      </c>
      <c r="AN15" s="224" t="n">
        <f aca="false">V15</f>
        <v>0</v>
      </c>
      <c r="AO15" s="102"/>
      <c r="AP15" s="157" t="n">
        <f aca="false">I15-Q15-R15-X15-AF15</f>
        <v>161.68402464</v>
      </c>
      <c r="AQ15" s="158" t="n">
        <f aca="false">47.367*(Z15*1.9835+AC15*1.9835)/E15</f>
        <v>4.22948121065435</v>
      </c>
      <c r="AR15" s="158"/>
      <c r="AS15" s="106"/>
      <c r="AT15" s="11" t="n">
        <v>0</v>
      </c>
      <c r="AU15" s="1"/>
      <c r="AV15" s="107" t="n">
        <v>0</v>
      </c>
      <c r="AW15" s="108" t="n">
        <v>63</v>
      </c>
      <c r="AX15" s="108" t="n">
        <v>41</v>
      </c>
      <c r="AY15" s="148"/>
      <c r="AZ15" s="264" t="n">
        <f aca="false">SUM(N15,P15:U15)</f>
        <v>3.71975261079519</v>
      </c>
      <c r="BA15" s="0" t="n">
        <v>0</v>
      </c>
      <c r="BB15" s="148" t="n">
        <v>7317</v>
      </c>
    </row>
    <row r="16" customFormat="false" ht="12.95" hidden="false" customHeight="true" outlineLevel="0" collapsed="false">
      <c r="A16" s="10" t="n">
        <f aca="false">A15+1</f>
        <v>2</v>
      </c>
      <c r="B16" s="367" t="n">
        <v>6872.35</v>
      </c>
      <c r="C16" s="99" t="n">
        <v>194164</v>
      </c>
      <c r="D16" s="108" t="n">
        <f aca="false">C16-C15</f>
        <v>495</v>
      </c>
      <c r="E16" s="99" t="n">
        <f aca="false">C16-152000</f>
        <v>42164</v>
      </c>
      <c r="F16" s="151" t="n">
        <f aca="false">D16/$D$2</f>
        <v>249.55886059995</v>
      </c>
      <c r="G16" s="141" t="n">
        <v>218</v>
      </c>
      <c r="H16" s="141" t="n">
        <v>1.4</v>
      </c>
      <c r="I16" s="141" t="n">
        <f aca="false">G16+H16</f>
        <v>219.4</v>
      </c>
      <c r="J16" s="375" t="n">
        <f aca="false">IF(L16&gt;0,L16,0)</f>
        <v>84.4588605999496</v>
      </c>
      <c r="K16" s="141" t="n">
        <f aca="false">I16+J16</f>
        <v>303.85886059995</v>
      </c>
      <c r="L16" s="141" t="n">
        <f aca="false">F16-(I16-AK16)</f>
        <v>84.4588605999496</v>
      </c>
      <c r="M16" s="144" t="n">
        <v>25.5</v>
      </c>
      <c r="N16" s="171" t="n">
        <v>0</v>
      </c>
      <c r="O16" s="376" t="n">
        <f aca="false">19.2*1.05</f>
        <v>20.16</v>
      </c>
      <c r="P16" s="88" t="n">
        <v>0</v>
      </c>
      <c r="Q16" s="346" t="n">
        <f aca="false">904900/325851/1.9835*1.02</f>
        <v>1.42807000383693</v>
      </c>
      <c r="R16" s="138" t="n">
        <f aca="false">((1729920/646272)*1.04)-T16</f>
        <v>2.29481374383838</v>
      </c>
      <c r="S16" s="138" t="n">
        <v>0</v>
      </c>
      <c r="T16" s="138" t="n">
        <f aca="false">(0.4436*1.06)*1.04</f>
        <v>0.48902464</v>
      </c>
      <c r="U16" s="365" t="n">
        <v>0</v>
      </c>
      <c r="V16" s="141" t="n">
        <v>0</v>
      </c>
      <c r="W16" s="141" t="n">
        <v>0</v>
      </c>
      <c r="X16" s="142" t="n">
        <f aca="false">M16-N16-O16-P16-Q16-R16-S16-T16-U16+V16+W16-AT16</f>
        <v>1.12809161232469</v>
      </c>
      <c r="Y16" s="142" t="n">
        <f aca="false">X16-AO16</f>
        <v>1.12809161232469</v>
      </c>
      <c r="Z16" s="113" t="n">
        <f aca="false">Z15+AP16</f>
        <v>374.53304928</v>
      </c>
      <c r="AA16" s="142"/>
      <c r="AB16" s="113" t="n">
        <f aca="false">AB15+(Y16+AP16)*1.9835</f>
        <v>784.129891156414</v>
      </c>
      <c r="AC16" s="113" t="n">
        <f aca="false">AC15-(AQ15/1.9835)</f>
        <v>1712.00766765281</v>
      </c>
      <c r="AD16" s="102"/>
      <c r="AE16" s="141" t="n">
        <v>0</v>
      </c>
      <c r="AF16" s="144" t="n">
        <v>1.7</v>
      </c>
      <c r="AG16" s="145" t="n">
        <v>1.3</v>
      </c>
      <c r="AH16" s="141" t="n">
        <v>28.8</v>
      </c>
      <c r="AI16" s="84" t="n">
        <f aca="false">AI15-AH16</f>
        <v>14566.649231157</v>
      </c>
      <c r="AJ16" s="102"/>
      <c r="AK16" s="141" t="n">
        <f aca="false">N16+O16+P16+Q16+R16+S16+T16+U16+X16+AE16+AH16</f>
        <v>54.3</v>
      </c>
      <c r="AL16" s="141" t="n">
        <f aca="false">IF(L16&lt;0,L16*-1,0)</f>
        <v>0</v>
      </c>
      <c r="AM16" s="376" t="n">
        <f aca="false">AK16+AL16</f>
        <v>54.3</v>
      </c>
      <c r="AN16" s="224" t="n">
        <f aca="false">V16</f>
        <v>0</v>
      </c>
      <c r="AO16" s="102"/>
      <c r="AP16" s="157" t="n">
        <f aca="false">I16-Q16-R16-X16-AF16</f>
        <v>212.84902464</v>
      </c>
      <c r="AQ16" s="158" t="n">
        <f aca="false">0*(Z16*1.9835+AC16*1.9835)/E16</f>
        <v>0</v>
      </c>
      <c r="AR16" s="158"/>
      <c r="AS16" s="106"/>
      <c r="AT16" s="11" t="n">
        <v>0</v>
      </c>
      <c r="AU16" s="1"/>
      <c r="AV16" s="107" t="n">
        <v>0.4</v>
      </c>
      <c r="AW16" s="108" t="n">
        <v>46</v>
      </c>
      <c r="AX16" s="108" t="n">
        <v>29</v>
      </c>
      <c r="AY16" s="148"/>
      <c r="AZ16" s="264" t="n">
        <f aca="false">SUM(N16,P16:U16)</f>
        <v>4.21190838767531</v>
      </c>
      <c r="BA16" s="0" t="n">
        <v>0</v>
      </c>
      <c r="BB16" s="148" t="n">
        <v>7366</v>
      </c>
    </row>
    <row r="17" customFormat="false" ht="12.95" hidden="false" customHeight="true" outlineLevel="0" collapsed="false">
      <c r="A17" s="10" t="n">
        <f aca="false">A16+1</f>
        <v>3</v>
      </c>
      <c r="B17" s="367" t="n">
        <v>6872.5</v>
      </c>
      <c r="C17" s="99" t="n">
        <v>194577</v>
      </c>
      <c r="D17" s="108" t="n">
        <f aca="false">C17-C16</f>
        <v>413</v>
      </c>
      <c r="E17" s="99" t="n">
        <f aca="false">C17-152000</f>
        <v>42577</v>
      </c>
      <c r="F17" s="151" t="n">
        <f aca="false">D17/$D$2</f>
        <v>208.217796823796</v>
      </c>
      <c r="G17" s="141" t="n">
        <v>207</v>
      </c>
      <c r="H17" s="141" t="n">
        <v>2.02</v>
      </c>
      <c r="I17" s="141" t="n">
        <f aca="false">G17+H17</f>
        <v>209.02</v>
      </c>
      <c r="J17" s="375" t="n">
        <f aca="false">IF(L17&gt;0,L17,0)</f>
        <v>76.6977968237963</v>
      </c>
      <c r="K17" s="141" t="n">
        <f aca="false">I17+J17</f>
        <v>285.717796823796</v>
      </c>
      <c r="L17" s="141" t="n">
        <f aca="false">F17-(I17-AK17)</f>
        <v>76.6977968237963</v>
      </c>
      <c r="M17" s="144" t="n">
        <v>23.3</v>
      </c>
      <c r="N17" s="171" t="n">
        <v>0</v>
      </c>
      <c r="O17" s="376" t="n">
        <f aca="false">22.5*1.05</f>
        <v>23.625</v>
      </c>
      <c r="P17" s="88" t="n">
        <v>0</v>
      </c>
      <c r="Q17" s="346" t="n">
        <f aca="false">767400/325851/1.9835*1.02</f>
        <v>1.21107406447614</v>
      </c>
      <c r="R17" s="138" t="n">
        <f aca="false">((1269408/646272)*1.04)-T17</f>
        <v>1.55374422512181</v>
      </c>
      <c r="S17" s="138" t="n">
        <v>0</v>
      </c>
      <c r="T17" s="138" t="n">
        <f aca="false">(0.4436*1.06)*1.04</f>
        <v>0.48902464</v>
      </c>
      <c r="U17" s="365" t="n">
        <v>0</v>
      </c>
      <c r="V17" s="141" t="n">
        <v>25.4</v>
      </c>
      <c r="W17" s="141" t="n">
        <v>0</v>
      </c>
      <c r="X17" s="142" t="n">
        <f aca="false">M17-N17-O17-P17-Q17-R17-S17-T17-U17+V17+W17-AT17</f>
        <v>21.821157070402</v>
      </c>
      <c r="Y17" s="142" t="n">
        <f aca="false">X17-AO17</f>
        <v>21.821157070402</v>
      </c>
      <c r="Z17" s="113" t="n">
        <f aca="false">Z16+AP17</f>
        <v>557.26707392</v>
      </c>
      <c r="AA17" s="142"/>
      <c r="AB17" s="113" t="n">
        <f aca="false">AB16+(Y17+AP17-V17)*1.9835</f>
        <v>1139.484194079</v>
      </c>
      <c r="AC17" s="113" t="n">
        <f aca="false">AC16-(AQ16/1.9835)</f>
        <v>1712.00766765281</v>
      </c>
      <c r="AD17" s="102"/>
      <c r="AE17" s="141" t="n">
        <v>0</v>
      </c>
      <c r="AF17" s="144" t="n">
        <v>1.7</v>
      </c>
      <c r="AG17" s="145" t="n">
        <v>1.3</v>
      </c>
      <c r="AH17" s="141" t="n">
        <v>28.8</v>
      </c>
      <c r="AI17" s="84" t="n">
        <f aca="false">AI16-AH17</f>
        <v>14537.849231157</v>
      </c>
      <c r="AJ17" s="102"/>
      <c r="AK17" s="141" t="n">
        <f aca="false">N17+O17+P17+Q17+R17+S17+T17+U17+X17+AE17+AH17</f>
        <v>77.5</v>
      </c>
      <c r="AL17" s="141" t="n">
        <f aca="false">IF(L17&lt;0,L17*-1,0)</f>
        <v>0</v>
      </c>
      <c r="AM17" s="376" t="n">
        <f aca="false">AK17+AL17</f>
        <v>77.5</v>
      </c>
      <c r="AN17" s="224" t="n">
        <f aca="false">V17</f>
        <v>25.4</v>
      </c>
      <c r="AO17" s="102"/>
      <c r="AP17" s="157" t="n">
        <f aca="false">I17-Q17-R17-X17-AF17</f>
        <v>182.73402464</v>
      </c>
      <c r="AQ17" s="158" t="n">
        <f aca="false">0*(Z17*1.9835+AC17*1.9835)/E17</f>
        <v>0</v>
      </c>
      <c r="AR17" s="158"/>
      <c r="AS17" s="106"/>
      <c r="AT17" s="11" t="n">
        <v>0</v>
      </c>
      <c r="AU17" s="1"/>
      <c r="AV17" s="107" t="n">
        <v>0</v>
      </c>
      <c r="AW17" s="108" t="n">
        <v>50</v>
      </c>
      <c r="AX17" s="108" t="n">
        <v>26</v>
      </c>
      <c r="AY17" s="148"/>
      <c r="AZ17" s="264" t="n">
        <f aca="false">SUM(N17,P17:U17)</f>
        <v>3.25384292959795</v>
      </c>
      <c r="BA17" s="0" t="n">
        <v>0</v>
      </c>
      <c r="BB17" s="148" t="n">
        <v>7423</v>
      </c>
    </row>
    <row r="18" customFormat="false" ht="12.95" hidden="false" customHeight="true" outlineLevel="0" collapsed="false">
      <c r="A18" s="10" t="n">
        <f aca="false">A17+1</f>
        <v>4</v>
      </c>
      <c r="B18" s="112" t="n">
        <v>6872.51</v>
      </c>
      <c r="C18" s="113" t="n">
        <v>194604</v>
      </c>
      <c r="D18" s="108" t="n">
        <f aca="false">C18-C17</f>
        <v>27</v>
      </c>
      <c r="E18" s="99" t="n">
        <f aca="false">C18-152000</f>
        <v>42604</v>
      </c>
      <c r="F18" s="151" t="n">
        <f aca="false">D18/$D$2</f>
        <v>13.61230148727</v>
      </c>
      <c r="G18" s="141" t="n">
        <v>174</v>
      </c>
      <c r="H18" s="141" t="n">
        <v>2.24</v>
      </c>
      <c r="I18" s="141" t="n">
        <f aca="false">G18+H18</f>
        <v>176.24</v>
      </c>
      <c r="J18" s="375" t="n">
        <f aca="false">IF(L18&gt;0,L18,0)</f>
        <v>3.67230148726998</v>
      </c>
      <c r="K18" s="141" t="n">
        <f aca="false">I18+J18</f>
        <v>179.91230148727</v>
      </c>
      <c r="L18" s="141" t="n">
        <f aca="false">F18-(I18-AK18)</f>
        <v>3.67230148726998</v>
      </c>
      <c r="M18" s="144" t="n">
        <v>39.2</v>
      </c>
      <c r="N18" s="171" t="n">
        <v>0</v>
      </c>
      <c r="O18" s="376" t="n">
        <f aca="false">33.2*1.05</f>
        <v>34.86</v>
      </c>
      <c r="P18" s="88" t="n">
        <v>0</v>
      </c>
      <c r="Q18" s="346" t="n">
        <f aca="false">871600/325851/1.9835*1.02</f>
        <v>1.37551753270446</v>
      </c>
      <c r="R18" s="138" t="n">
        <f aca="false">((1336480/646272)*1.04)-T18</f>
        <v>1.66002486952664</v>
      </c>
      <c r="S18" s="138" t="n">
        <v>0</v>
      </c>
      <c r="T18" s="138" t="n">
        <f aca="false">(0.4451*1.06)*1.04</f>
        <v>0.49067824</v>
      </c>
      <c r="U18" s="365" t="n">
        <v>0</v>
      </c>
      <c r="V18" s="141" t="n">
        <v>98.3</v>
      </c>
      <c r="W18" s="141" t="n">
        <v>0</v>
      </c>
      <c r="X18" s="142" t="n">
        <f aca="false">M18-N18-O18-P18-Q18-R18-S18-T18-U18+V18+W18-AT18</f>
        <v>99.1137793577689</v>
      </c>
      <c r="Y18" s="142" t="n">
        <f aca="false">X18-AO18</f>
        <v>99.1137793577689</v>
      </c>
      <c r="Z18" s="113" t="n">
        <f aca="false">Z17+AP18</f>
        <v>629.65775216</v>
      </c>
      <c r="AA18" s="142"/>
      <c r="AB18" s="113" t="n">
        <f aca="false">AB17+(Y18+AP18-V18)*1.9835</f>
        <v>1284.68523572417</v>
      </c>
      <c r="AC18" s="113" t="n">
        <f aca="false">AC17-(AQ17/1.9835)</f>
        <v>1712.00766765281</v>
      </c>
      <c r="AD18" s="102"/>
      <c r="AE18" s="141" t="n">
        <v>0</v>
      </c>
      <c r="AF18" s="144" t="n">
        <v>1.7</v>
      </c>
      <c r="AG18" s="145" t="n">
        <v>1.3</v>
      </c>
      <c r="AH18" s="141" t="n">
        <v>28.8</v>
      </c>
      <c r="AI18" s="84" t="n">
        <f aca="false">AI17-AH18</f>
        <v>14509.049231157</v>
      </c>
      <c r="AJ18" s="102"/>
      <c r="AK18" s="141" t="n">
        <f aca="false">N18+O18+P18+Q18+R18+S18+T18+U18+X18+AE18+AH18</f>
        <v>166.3</v>
      </c>
      <c r="AL18" s="141" t="n">
        <f aca="false">IF(L18&lt;0,L18*-1,0)</f>
        <v>0</v>
      </c>
      <c r="AM18" s="376" t="n">
        <f aca="false">AK18+AL18</f>
        <v>166.3</v>
      </c>
      <c r="AN18" s="224" t="n">
        <f aca="false">V18</f>
        <v>98.3</v>
      </c>
      <c r="AO18" s="102"/>
      <c r="AP18" s="157" t="n">
        <f aca="false">I18-Q18-R18-X18-AF18</f>
        <v>72.39067824</v>
      </c>
      <c r="AQ18" s="158" t="n">
        <f aca="false">14.376*(Z18*1.9835+AC18*1.9835)/E18</f>
        <v>1.56727330171384</v>
      </c>
      <c r="AR18" s="158"/>
      <c r="AS18" s="106"/>
      <c r="AT18" s="11" t="n">
        <v>0</v>
      </c>
      <c r="AU18" s="1"/>
      <c r="AV18" s="107" t="n">
        <v>0</v>
      </c>
      <c r="AW18" s="108" t="n">
        <v>55</v>
      </c>
      <c r="AX18" s="108" t="n">
        <v>26</v>
      </c>
      <c r="AY18" s="148"/>
      <c r="AZ18" s="264" t="n">
        <f aca="false">SUM(N18,P18:U18)</f>
        <v>3.5262206422311</v>
      </c>
      <c r="BA18" s="0" t="n">
        <v>0</v>
      </c>
      <c r="BB18" s="148" t="n">
        <v>7468</v>
      </c>
    </row>
    <row r="19" customFormat="false" ht="12.95" hidden="false" customHeight="true" outlineLevel="0" collapsed="false">
      <c r="A19" s="10" t="n">
        <f aca="false">A18+1</f>
        <v>5</v>
      </c>
      <c r="B19" s="112" t="n">
        <v>6872.53</v>
      </c>
      <c r="C19" s="113" t="n">
        <v>194659</v>
      </c>
      <c r="D19" s="108" t="n">
        <f aca="false">C19-C18</f>
        <v>55</v>
      </c>
      <c r="E19" s="99" t="n">
        <f aca="false">C19-152000</f>
        <v>42659</v>
      </c>
      <c r="F19" s="151" t="n">
        <f aca="false">D19/$D$2</f>
        <v>27.7287622888833</v>
      </c>
      <c r="G19" s="141" t="n">
        <v>182</v>
      </c>
      <c r="H19" s="141" t="n">
        <v>2.13</v>
      </c>
      <c r="I19" s="141" t="n">
        <f aca="false">G19+H19</f>
        <v>184.13</v>
      </c>
      <c r="J19" s="375" t="n">
        <f aca="false">IF(L19&gt;0,L19,0)</f>
        <v>17.1987622888833</v>
      </c>
      <c r="K19" s="141" t="n">
        <f aca="false">I19+J19</f>
        <v>201.328762288883</v>
      </c>
      <c r="L19" s="141" t="n">
        <f aca="false">F19-(I19-AK19)</f>
        <v>17.1987622888833</v>
      </c>
      <c r="M19" s="144" t="n">
        <v>36.8</v>
      </c>
      <c r="N19" s="171" t="n">
        <v>0</v>
      </c>
      <c r="O19" s="376" t="n">
        <f aca="false">32*1.05</f>
        <v>33.6</v>
      </c>
      <c r="P19" s="88" t="n">
        <v>0</v>
      </c>
      <c r="Q19" s="346" t="n">
        <f aca="false">826000/325851/1.9835*1.02</f>
        <v>1.30355378845099</v>
      </c>
      <c r="R19" s="138" t="n">
        <f aca="false">((1445344/646272)*1.04)-T19</f>
        <v>1.83521203530204</v>
      </c>
      <c r="S19" s="138" t="n">
        <v>0</v>
      </c>
      <c r="T19" s="138" t="n">
        <f aca="false">(0.4451*1.06)*1.04</f>
        <v>0.49067824</v>
      </c>
      <c r="U19" s="365" t="n">
        <v>0</v>
      </c>
      <c r="V19" s="141" t="n">
        <v>108</v>
      </c>
      <c r="W19" s="141" t="n">
        <v>0</v>
      </c>
      <c r="X19" s="142" t="n">
        <f aca="false">M19-N19-O19-P19-Q19-R19-S19-T19-U19+V19+W19-AT19</f>
        <v>107.570555936247</v>
      </c>
      <c r="Y19" s="142" t="n">
        <f aca="false">X19-AO19</f>
        <v>107.570555936247</v>
      </c>
      <c r="Z19" s="113" t="n">
        <f aca="false">Z18+AP19</f>
        <v>701.3784304</v>
      </c>
      <c r="AA19" s="142"/>
      <c r="AB19" s="113" t="n">
        <f aca="false">AB18+(Y19+AP19-V19)*1.9835</f>
        <v>1426.09139871276</v>
      </c>
      <c r="AC19" s="113" t="n">
        <f aca="false">AC18-(AQ18/1.9835)</f>
        <v>1711.21751221963</v>
      </c>
      <c r="AD19" s="102"/>
      <c r="AE19" s="141" t="n">
        <v>0</v>
      </c>
      <c r="AF19" s="144" t="n">
        <v>1.7</v>
      </c>
      <c r="AG19" s="145" t="n">
        <v>1.3</v>
      </c>
      <c r="AH19" s="141" t="n">
        <v>28.8</v>
      </c>
      <c r="AI19" s="84" t="n">
        <f aca="false">AI18-AH19</f>
        <v>14480.249231157</v>
      </c>
      <c r="AJ19" s="102"/>
      <c r="AK19" s="141" t="n">
        <f aca="false">N19+O19+P19+Q19+R19+S19+T19+U19+X19+AE19+AH19</f>
        <v>173.6</v>
      </c>
      <c r="AL19" s="141" t="n">
        <f aca="false">IF(L19&lt;0,L19*-1,0)</f>
        <v>0</v>
      </c>
      <c r="AM19" s="376" t="n">
        <f aca="false">AK19+AL19</f>
        <v>173.6</v>
      </c>
      <c r="AN19" s="224" t="n">
        <f aca="false">V19</f>
        <v>108</v>
      </c>
      <c r="AO19" s="102"/>
      <c r="AP19" s="157" t="n">
        <f aca="false">I19-Q19-R19-X19-AF19</f>
        <v>71.72067824</v>
      </c>
      <c r="AQ19" s="158" t="n">
        <f aca="false">21.806*(Z19*1.9835+AC19*1.9835)/E19</f>
        <v>2.44614465041301</v>
      </c>
      <c r="AR19" s="158"/>
      <c r="AS19" s="106"/>
      <c r="AT19" s="11" t="n">
        <v>0</v>
      </c>
      <c r="AU19" s="1"/>
      <c r="AV19" s="107" t="n">
        <v>0</v>
      </c>
      <c r="AW19" s="108" t="n">
        <v>56</v>
      </c>
      <c r="AX19" s="108" t="n">
        <v>30</v>
      </c>
      <c r="AY19" s="148"/>
      <c r="AZ19" s="264" t="n">
        <f aca="false">SUM(N19,P19:U19)</f>
        <v>3.62944406375303</v>
      </c>
      <c r="BA19" s="0" t="n">
        <v>0</v>
      </c>
      <c r="BB19" s="148" t="n">
        <v>7507</v>
      </c>
    </row>
    <row r="20" customFormat="false" ht="12.95" hidden="false" customHeight="true" outlineLevel="0" collapsed="false">
      <c r="A20" s="10" t="n">
        <f aca="false">A19+1</f>
        <v>6</v>
      </c>
      <c r="B20" s="112" t="n">
        <v>6872.53</v>
      </c>
      <c r="C20" s="113" t="n">
        <v>194659</v>
      </c>
      <c r="D20" s="108" t="n">
        <f aca="false">C20-C19</f>
        <v>0</v>
      </c>
      <c r="E20" s="99" t="n">
        <f aca="false">C20-152000</f>
        <v>42659</v>
      </c>
      <c r="F20" s="151" t="n">
        <f aca="false">D20/$D$2</f>
        <v>0</v>
      </c>
      <c r="G20" s="141" t="n">
        <v>162</v>
      </c>
      <c r="H20" s="141" t="n">
        <v>1.98</v>
      </c>
      <c r="I20" s="141" t="n">
        <f aca="false">G20+H20</f>
        <v>163.98</v>
      </c>
      <c r="J20" s="375" t="n">
        <f aca="false">IF(L20&gt;0,L20,0)</f>
        <v>20.42</v>
      </c>
      <c r="K20" s="141" t="n">
        <f aca="false">I20+J20</f>
        <v>184.4</v>
      </c>
      <c r="L20" s="141" t="n">
        <f aca="false">F20-(I20-AK20)</f>
        <v>20.42</v>
      </c>
      <c r="M20" s="144" t="n">
        <v>36.6</v>
      </c>
      <c r="N20" s="171" t="n">
        <v>0</v>
      </c>
      <c r="O20" s="376" t="n">
        <f aca="false">38.7*1.05</f>
        <v>40.635</v>
      </c>
      <c r="P20" s="88" t="n">
        <v>0</v>
      </c>
      <c r="Q20" s="346" t="n">
        <f aca="false">1020500/325851/1.9835*1.02</f>
        <v>1.61050440812862</v>
      </c>
      <c r="R20" s="138" t="n">
        <f aca="false">((1422496/646272)*1.04)-T20</f>
        <v>1.79844435853436</v>
      </c>
      <c r="S20" s="138" t="n">
        <v>0</v>
      </c>
      <c r="T20" s="138" t="n">
        <f aca="false">(0.4451*1.06)*1.04</f>
        <v>0.49067824</v>
      </c>
      <c r="U20" s="365" t="n">
        <v>0</v>
      </c>
      <c r="V20" s="141" t="n">
        <v>119</v>
      </c>
      <c r="W20" s="141" t="n">
        <v>0</v>
      </c>
      <c r="X20" s="142" t="n">
        <f aca="false">M20-N20-O20-P20-Q20-R20-S20-T20-U20+V20+W20-AT20</f>
        <v>111.065372993337</v>
      </c>
      <c r="Y20" s="142" t="n">
        <f aca="false">X20-AO20</f>
        <v>111.065372993337</v>
      </c>
      <c r="Z20" s="113" t="n">
        <f aca="false">Z19+AP20</f>
        <v>749.18410864</v>
      </c>
      <c r="AA20" s="142"/>
      <c r="AB20" s="113" t="n">
        <f aca="false">AB19+(Y20+AP20-V20)*1.9835</f>
        <v>1505.17562883408</v>
      </c>
      <c r="AC20" s="113" t="n">
        <f aca="false">AC19-(AQ19/1.9835)</f>
        <v>1709.98426560989</v>
      </c>
      <c r="AD20" s="102"/>
      <c r="AE20" s="141" t="n">
        <v>0</v>
      </c>
      <c r="AF20" s="144" t="n">
        <v>1.7</v>
      </c>
      <c r="AG20" s="145" t="n">
        <v>1.3</v>
      </c>
      <c r="AH20" s="141" t="n">
        <v>28.8</v>
      </c>
      <c r="AI20" s="84" t="n">
        <f aca="false">AI19-AH20</f>
        <v>14451.449231157</v>
      </c>
      <c r="AJ20" s="102"/>
      <c r="AK20" s="141" t="n">
        <f aca="false">N20+O20+P20+Q20+R20+S20+T20+U20+X20+AE20+AH20</f>
        <v>184.4</v>
      </c>
      <c r="AL20" s="141" t="n">
        <f aca="false">IF(L20&lt;0,L20*-1,0)</f>
        <v>0</v>
      </c>
      <c r="AM20" s="376" t="n">
        <f aca="false">AK20+AL20</f>
        <v>184.4</v>
      </c>
      <c r="AN20" s="224" t="n">
        <f aca="false">V20</f>
        <v>119</v>
      </c>
      <c r="AO20" s="102"/>
      <c r="AP20" s="157" t="n">
        <f aca="false">I20-Q20-R20-X20-AF20</f>
        <v>47.80567824</v>
      </c>
      <c r="AQ20" s="158" t="n">
        <f aca="false">26.006*(Z20*1.9835+AC20*1.9835)/E20</f>
        <v>2.97360554141595</v>
      </c>
      <c r="AR20" s="158"/>
      <c r="AS20" s="106"/>
      <c r="AT20" s="11" t="n">
        <v>0</v>
      </c>
      <c r="AU20" s="1"/>
      <c r="AV20" s="107" t="n">
        <v>0</v>
      </c>
      <c r="AW20" s="108" t="n">
        <v>55</v>
      </c>
      <c r="AX20" s="108" t="n">
        <v>29</v>
      </c>
      <c r="AY20" s="148"/>
      <c r="AZ20" s="264" t="n">
        <f aca="false">SUM(N20,P20:U20)</f>
        <v>3.89962700666298</v>
      </c>
      <c r="BA20" s="0" t="n">
        <v>0</v>
      </c>
      <c r="BB20" s="148" t="n">
        <v>7520</v>
      </c>
    </row>
    <row r="21" customFormat="false" ht="12.95" hidden="false" customHeight="true" outlineLevel="0" collapsed="false">
      <c r="A21" s="10" t="n">
        <f aca="false">A20+1</f>
        <v>7</v>
      </c>
      <c r="B21" s="112" t="n">
        <v>6872.5</v>
      </c>
      <c r="C21" s="113" t="n">
        <v>194577</v>
      </c>
      <c r="D21" s="108" t="n">
        <f aca="false">C21-C20</f>
        <v>-82</v>
      </c>
      <c r="E21" s="99" t="n">
        <f aca="false">C21-152000</f>
        <v>42577</v>
      </c>
      <c r="F21" s="151" t="n">
        <f aca="false">D21/$D$2</f>
        <v>-41.3410637761533</v>
      </c>
      <c r="G21" s="141" t="n">
        <v>164</v>
      </c>
      <c r="H21" s="141" t="n">
        <v>1.71</v>
      </c>
      <c r="I21" s="141" t="n">
        <f aca="false">G21+H21</f>
        <v>165.71</v>
      </c>
      <c r="J21" s="375" t="n">
        <f aca="false">IF(L21&gt;0,L21,0)</f>
        <v>1.74893622384674</v>
      </c>
      <c r="K21" s="141" t="n">
        <f aca="false">I21+J21</f>
        <v>167.458936223847</v>
      </c>
      <c r="L21" s="141" t="n">
        <f aca="false">F21-(I21-AK21)</f>
        <v>1.74893622384674</v>
      </c>
      <c r="M21" s="144" t="n">
        <v>52.1</v>
      </c>
      <c r="N21" s="171" t="n">
        <v>0</v>
      </c>
      <c r="O21" s="376" t="n">
        <f aca="false">43*1.05</f>
        <v>45.15</v>
      </c>
      <c r="P21" s="88" t="n">
        <v>0</v>
      </c>
      <c r="Q21" s="346" t="n">
        <f aca="false">993400/325851/1.9835*1.02</f>
        <v>1.56773648117096</v>
      </c>
      <c r="R21" s="138" t="n">
        <f aca="false">((1431744/646272)*1.04)-T21</f>
        <v>1.81332651341652</v>
      </c>
      <c r="S21" s="138" t="n">
        <v>0</v>
      </c>
      <c r="T21" s="138" t="n">
        <f aca="false">(0.4451*1.06)*1.04</f>
        <v>0.49067824</v>
      </c>
      <c r="U21" s="365" t="n">
        <v>0</v>
      </c>
      <c r="V21" s="141" t="n">
        <v>128</v>
      </c>
      <c r="W21" s="141" t="n">
        <v>0</v>
      </c>
      <c r="X21" s="142" t="n">
        <f aca="false">M21-N21-O21-P21-Q21-R21-S21-T21-U21+V21+W21-AT21</f>
        <v>131.078258765413</v>
      </c>
      <c r="Y21" s="142" t="n">
        <f aca="false">X21-AO21</f>
        <v>131.078258765413</v>
      </c>
      <c r="Z21" s="113" t="n">
        <f aca="false">Z20+AP21</f>
        <v>778.73478688</v>
      </c>
      <c r="AA21" s="142"/>
      <c r="AB21" s="113" t="n">
        <f aca="false">AB20+(Y21+AP21-V21)*1.9835</f>
        <v>1569.89512538432</v>
      </c>
      <c r="AC21" s="113" t="n">
        <f aca="false">AC20-(AQ20/1.9835)</f>
        <v>1708.485094679</v>
      </c>
      <c r="AD21" s="102"/>
      <c r="AE21" s="141" t="n">
        <v>0</v>
      </c>
      <c r="AF21" s="144" t="n">
        <v>1.7</v>
      </c>
      <c r="AG21" s="145" t="n">
        <v>1.3</v>
      </c>
      <c r="AH21" s="141" t="n">
        <v>28.7</v>
      </c>
      <c r="AI21" s="84" t="n">
        <f aca="false">AI20-AH21</f>
        <v>14422.749231157</v>
      </c>
      <c r="AJ21" s="102"/>
      <c r="AK21" s="141" t="n">
        <f aca="false">N21+O21+P21+Q21+R21+S21+T21+U21+X21+AE21+AH21</f>
        <v>208.8</v>
      </c>
      <c r="AL21" s="141" t="n">
        <f aca="false">IF(L21&lt;0,L21*-1,0)</f>
        <v>0</v>
      </c>
      <c r="AM21" s="376" t="n">
        <f aca="false">AK21+AL21</f>
        <v>208.8</v>
      </c>
      <c r="AN21" s="224" t="n">
        <f aca="false">V21</f>
        <v>128</v>
      </c>
      <c r="AO21" s="102"/>
      <c r="AP21" s="157" t="n">
        <f aca="false">I21-Q21-R21-X21-AF21</f>
        <v>29.55067824</v>
      </c>
      <c r="AQ21" s="158" t="n">
        <f aca="false">32.305*(Z21*1.9835+AC21*1.9835)/E21</f>
        <v>3.74318311567302</v>
      </c>
      <c r="AR21" s="158"/>
      <c r="AS21" s="106"/>
      <c r="AT21" s="11" t="n">
        <v>0</v>
      </c>
      <c r="AU21" s="1"/>
      <c r="AV21" s="107" t="n">
        <v>0</v>
      </c>
      <c r="AW21" s="108" t="n">
        <v>60</v>
      </c>
      <c r="AX21" s="108" t="n">
        <v>29</v>
      </c>
      <c r="AY21" s="148"/>
      <c r="AZ21" s="264" t="n">
        <f aca="false">SUM(N21,P21:U21)</f>
        <v>3.87174123458748</v>
      </c>
      <c r="BA21" s="0" t="n">
        <v>0</v>
      </c>
      <c r="BB21" s="148" t="n">
        <v>7501</v>
      </c>
    </row>
    <row r="22" customFormat="false" ht="12.95" hidden="false" customHeight="true" outlineLevel="0" collapsed="false">
      <c r="A22" s="10" t="n">
        <f aca="false">A21+1</f>
        <v>8</v>
      </c>
      <c r="B22" s="112" t="n">
        <v>6872.49</v>
      </c>
      <c r="C22" s="113" t="n">
        <v>194549</v>
      </c>
      <c r="D22" s="108" t="n">
        <f aca="false">C22-C21</f>
        <v>-28</v>
      </c>
      <c r="E22" s="99" t="n">
        <f aca="false">C22-152000</f>
        <v>42549</v>
      </c>
      <c r="F22" s="151" t="n">
        <f aca="false">D22/$D$2</f>
        <v>-14.1164608016133</v>
      </c>
      <c r="G22" s="141" t="n">
        <v>170</v>
      </c>
      <c r="H22" s="141" t="n">
        <v>1.62</v>
      </c>
      <c r="I22" s="141" t="n">
        <f aca="false">G22+H22</f>
        <v>171.62</v>
      </c>
      <c r="J22" s="375" t="n">
        <f aca="false">IF(L22&gt;0,L22,0)</f>
        <v>0.763539198386686</v>
      </c>
      <c r="K22" s="141" t="n">
        <f aca="false">I22+J22</f>
        <v>172.383539198387</v>
      </c>
      <c r="L22" s="141" t="n">
        <f aca="false">F22-(I22-AK22)</f>
        <v>0.763539198386686</v>
      </c>
      <c r="M22" s="144" t="n">
        <v>57.7</v>
      </c>
      <c r="N22" s="171" t="n">
        <v>0</v>
      </c>
      <c r="O22" s="376" t="n">
        <f aca="false">50.9*1.05</f>
        <v>53.445</v>
      </c>
      <c r="P22" s="88" t="n">
        <v>0</v>
      </c>
      <c r="Q22" s="346" t="n">
        <f aca="false">1154000/325851/1.9835*1.02</f>
        <v>1.82118773834437</v>
      </c>
      <c r="R22" s="138" t="n">
        <f aca="false">((1487392/646272)*1.04)-T22</f>
        <v>1.90287691943751</v>
      </c>
      <c r="S22" s="138" t="n">
        <v>0</v>
      </c>
      <c r="T22" s="138" t="n">
        <f aca="false">(0.4451*1.06)*1.04</f>
        <v>0.49067824</v>
      </c>
      <c r="U22" s="365" t="n">
        <v>0</v>
      </c>
      <c r="V22" s="141" t="n">
        <v>100</v>
      </c>
      <c r="W22" s="141" t="n">
        <v>0</v>
      </c>
      <c r="X22" s="142" t="n">
        <f aca="false">M22-N22-O22-P22-Q22-R22-S22-T22-U22+V22+W22-AT22</f>
        <v>100.040257102218</v>
      </c>
      <c r="Y22" s="142" t="n">
        <f aca="false">X22-AO22</f>
        <v>100.040257102218</v>
      </c>
      <c r="Z22" s="113" t="n">
        <f aca="false">Z21+AP22</f>
        <v>844.89046512</v>
      </c>
      <c r="AA22" s="142"/>
      <c r="AB22" s="113" t="n">
        <f aca="false">AB21+(Y22+AP22-V22)*1.9835</f>
        <v>1701.19476313561</v>
      </c>
      <c r="AC22" s="113" t="n">
        <f aca="false">AC21-(AQ21/1.9835)</f>
        <v>1706.59793404594</v>
      </c>
      <c r="AD22" s="102"/>
      <c r="AE22" s="141" t="n">
        <v>0</v>
      </c>
      <c r="AF22" s="144" t="n">
        <v>1.7</v>
      </c>
      <c r="AG22" s="145" t="n">
        <v>1.3</v>
      </c>
      <c r="AH22" s="141" t="n">
        <v>28.8</v>
      </c>
      <c r="AI22" s="84" t="n">
        <f aca="false">AI21-AH22</f>
        <v>14393.949231157</v>
      </c>
      <c r="AJ22" s="102"/>
      <c r="AK22" s="141" t="n">
        <f aca="false">N22+O22+P22+Q22+R22+S22+T22+U22+X22+AE22+AH22</f>
        <v>186.5</v>
      </c>
      <c r="AL22" s="141" t="n">
        <f aca="false">IF(L22&lt;0,L22*-1,0)</f>
        <v>0</v>
      </c>
      <c r="AM22" s="376" t="n">
        <f aca="false">AK22+AL22</f>
        <v>186.5</v>
      </c>
      <c r="AN22" s="224" t="n">
        <f aca="false">V22</f>
        <v>100</v>
      </c>
      <c r="AO22" s="102"/>
      <c r="AP22" s="157" t="n">
        <f aca="false">I22-Q22-R22-X22-AF22</f>
        <v>66.15567824</v>
      </c>
      <c r="AQ22" s="158" t="n">
        <f aca="false">28.866*(Z22*1.9835+AC22*1.9835)/E22</f>
        <v>3.43338932530724</v>
      </c>
      <c r="AR22" s="158"/>
      <c r="AS22" s="106"/>
      <c r="AT22" s="11" t="n">
        <v>0</v>
      </c>
      <c r="AU22" s="1"/>
      <c r="AV22" s="107" t="n">
        <v>0</v>
      </c>
      <c r="AW22" s="108" t="n">
        <v>70</v>
      </c>
      <c r="AX22" s="108" t="n">
        <v>30</v>
      </c>
      <c r="AY22" s="148"/>
      <c r="AZ22" s="264" t="n">
        <f aca="false">SUM(N22,P22:U22)</f>
        <v>4.21474289778188</v>
      </c>
      <c r="BA22" s="0" t="n">
        <v>0</v>
      </c>
      <c r="BB22" s="148" t="n">
        <v>7524</v>
      </c>
    </row>
    <row r="23" customFormat="false" ht="12.95" hidden="false" customHeight="true" outlineLevel="0" collapsed="false">
      <c r="A23" s="10" t="n">
        <f aca="false">A22+1</f>
        <v>9</v>
      </c>
      <c r="B23" s="367" t="n">
        <v>6872.53</v>
      </c>
      <c r="C23" s="99" t="n">
        <v>194659</v>
      </c>
      <c r="D23" s="108" t="n">
        <f aca="false">C23-C22</f>
        <v>110</v>
      </c>
      <c r="E23" s="99" t="n">
        <f aca="false">C23-152000</f>
        <v>42659</v>
      </c>
      <c r="F23" s="151" t="n">
        <f aca="false">D23/$D$2</f>
        <v>55.4575245777666</v>
      </c>
      <c r="G23" s="141" t="n">
        <v>246</v>
      </c>
      <c r="H23" s="141" t="n">
        <v>1.85</v>
      </c>
      <c r="I23" s="141" t="n">
        <f aca="false">G23+H23</f>
        <v>247.85</v>
      </c>
      <c r="J23" s="375" t="n">
        <f aca="false">IF(L23&gt;0,L23,0)</f>
        <v>1.40752457776659</v>
      </c>
      <c r="K23" s="141" t="n">
        <f aca="false">I23+J23</f>
        <v>249.257524577767</v>
      </c>
      <c r="L23" s="141" t="n">
        <f aca="false">F23-(I23-AK23)</f>
        <v>1.40752457776659</v>
      </c>
      <c r="M23" s="144" t="n">
        <v>65.3</v>
      </c>
      <c r="N23" s="171" t="n">
        <v>0</v>
      </c>
      <c r="O23" s="376" t="n">
        <f aca="false">54.1*1.05</f>
        <v>56.805</v>
      </c>
      <c r="P23" s="88" t="n">
        <v>0</v>
      </c>
      <c r="Q23" s="346" t="n">
        <f aca="false">1012300/325851/1.9835*1.02</f>
        <v>1.59756355938128</v>
      </c>
      <c r="R23" s="138" t="n">
        <f aca="false">((1400864/646272)*1.04)-T23</f>
        <v>1.76363350489998</v>
      </c>
      <c r="S23" s="138" t="n">
        <v>0</v>
      </c>
      <c r="T23" s="138" t="n">
        <f aca="false">(0.4451*1.06)*1.04</f>
        <v>0.49067824</v>
      </c>
      <c r="U23" s="365" t="n">
        <v>0</v>
      </c>
      <c r="V23" s="141" t="n">
        <v>99.7</v>
      </c>
      <c r="W23" s="141" t="n">
        <v>0</v>
      </c>
      <c r="X23" s="142" t="n">
        <f aca="false">M23-N23-O23-P23-Q23-R23-S23-T23-U23+V23+W23-AT23</f>
        <v>104.343124695719</v>
      </c>
      <c r="Y23" s="142" t="n">
        <f aca="false">X23-AO23</f>
        <v>104.343124695719</v>
      </c>
      <c r="Z23" s="113" t="n">
        <f aca="false">Z22+AP23</f>
        <v>983.33614336</v>
      </c>
      <c r="AA23" s="142"/>
      <c r="AB23" s="113" t="n">
        <f aca="false">AB22+(Y23+AP23-V23)*1.9835</f>
        <v>1985.0114037586</v>
      </c>
      <c r="AC23" s="113" t="n">
        <f aca="false">AC22-(AQ22/1.9835)</f>
        <v>1704.86695883782</v>
      </c>
      <c r="AD23" s="102"/>
      <c r="AE23" s="141" t="n">
        <v>0</v>
      </c>
      <c r="AF23" s="144" t="n">
        <v>1.7</v>
      </c>
      <c r="AG23" s="145" t="n">
        <v>1.3</v>
      </c>
      <c r="AH23" s="141" t="n">
        <v>28.8</v>
      </c>
      <c r="AI23" s="84" t="n">
        <f aca="false">AI22-AH23</f>
        <v>14365.149231157</v>
      </c>
      <c r="AJ23" s="102"/>
      <c r="AK23" s="141" t="n">
        <f aca="false">N23+O23+P23+Q23+R23+S23+T23+U23+X23+AE23+AH23</f>
        <v>193.8</v>
      </c>
      <c r="AL23" s="141" t="n">
        <f aca="false">IF(L23&lt;0,L23*-1,0)</f>
        <v>0</v>
      </c>
      <c r="AM23" s="376" t="n">
        <f aca="false">AK23+AL23</f>
        <v>193.8</v>
      </c>
      <c r="AN23" s="224" t="n">
        <f aca="false">V23</f>
        <v>99.7</v>
      </c>
      <c r="AO23" s="102"/>
      <c r="AP23" s="157" t="n">
        <f aca="false">I23-Q23-R23-X23-AF23</f>
        <v>138.44567824</v>
      </c>
      <c r="AQ23" s="158" t="n">
        <f aca="false">29.398*(Z23*1.9835+AC23*1.9835)/E23</f>
        <v>3.67452661765746</v>
      </c>
      <c r="AR23" s="158"/>
      <c r="AS23" s="106"/>
      <c r="AT23" s="11" t="n">
        <v>0</v>
      </c>
      <c r="AU23" s="1"/>
      <c r="AV23" s="107" t="n">
        <v>0</v>
      </c>
      <c r="AW23" s="149" t="n">
        <v>73</v>
      </c>
      <c r="AX23" s="108" t="n">
        <v>34</v>
      </c>
      <c r="AY23" s="148"/>
      <c r="AZ23" s="264" t="n">
        <f aca="false">SUM(N23,P23:U23)</f>
        <v>3.85187530428126</v>
      </c>
      <c r="BA23" s="0" t="n">
        <v>0</v>
      </c>
      <c r="BB23" s="148" t="n">
        <v>7637</v>
      </c>
    </row>
    <row r="24" customFormat="false" ht="12.95" hidden="false" customHeight="true" outlineLevel="0" collapsed="false">
      <c r="A24" s="10" t="n">
        <f aca="false">A23+1</f>
        <v>10</v>
      </c>
      <c r="B24" s="367" t="n">
        <v>6872.73</v>
      </c>
      <c r="C24" s="99" t="n">
        <v>195210</v>
      </c>
      <c r="D24" s="108" t="n">
        <f aca="false">C24-C23</f>
        <v>551</v>
      </c>
      <c r="E24" s="99" t="n">
        <f aca="false">C24-152000</f>
        <v>43210</v>
      </c>
      <c r="F24" s="151" t="n">
        <f aca="false">D24/$D$2</f>
        <v>277.791782203176</v>
      </c>
      <c r="G24" s="141" t="n">
        <v>407</v>
      </c>
      <c r="H24" s="141" t="n">
        <v>4.34</v>
      </c>
      <c r="I24" s="141" t="n">
        <f aca="false">G24+H24</f>
        <v>411.34</v>
      </c>
      <c r="J24" s="375" t="n">
        <f aca="false">IF(L24&gt;0,L24,0)</f>
        <v>95.5517822031762</v>
      </c>
      <c r="K24" s="141" t="n">
        <f aca="false">I24+J24</f>
        <v>506.891782203176</v>
      </c>
      <c r="L24" s="141" t="n">
        <f aca="false">F24-(I24-AK24)</f>
        <v>95.5517822031762</v>
      </c>
      <c r="M24" s="144" t="n">
        <v>79.1</v>
      </c>
      <c r="N24" s="171" t="n">
        <v>0</v>
      </c>
      <c r="O24" s="376" t="n">
        <f aca="false">66.9*1.05</f>
        <v>70.245</v>
      </c>
      <c r="P24" s="88" t="n">
        <v>0</v>
      </c>
      <c r="Q24" s="346" t="n">
        <f aca="false">1158100/325851/1.9835*1.02</f>
        <v>1.82765816271803</v>
      </c>
      <c r="R24" s="138" t="n">
        <f aca="false">((1740480/646272)*1.04)-T24</f>
        <v>2.31015360789067</v>
      </c>
      <c r="S24" s="138" t="n">
        <v>0</v>
      </c>
      <c r="T24" s="138" t="n">
        <f aca="false">(0.4451*1.06)*1.04</f>
        <v>0.49067824</v>
      </c>
      <c r="U24" s="365" t="n">
        <v>0</v>
      </c>
      <c r="V24" s="141" t="n">
        <v>99.7</v>
      </c>
      <c r="W24" s="141" t="n">
        <v>0</v>
      </c>
      <c r="X24" s="142" t="n">
        <f aca="false">M24-N24-O24-P24-Q24-R24-S24-T24-U24+V24+W24-AT24</f>
        <v>103.926509989391</v>
      </c>
      <c r="Y24" s="142" t="n">
        <f aca="false">X24-AO24</f>
        <v>103.926509989391</v>
      </c>
      <c r="Z24" s="113" t="n">
        <f aca="false">Z23+AP24</f>
        <v>1284.9118216</v>
      </c>
      <c r="AA24" s="142"/>
      <c r="AB24" s="113" t="n">
        <f aca="false">AB23+(Y24+AP24-V24)*1.9835</f>
        <v>2591.5700441116</v>
      </c>
      <c r="AC24" s="113" t="n">
        <f aca="false">AC23-(AQ23/1.9835)</f>
        <v>1703.01441201773</v>
      </c>
      <c r="AD24" s="102"/>
      <c r="AE24" s="141" t="n">
        <v>21.5</v>
      </c>
      <c r="AF24" s="144" t="n">
        <v>1.7</v>
      </c>
      <c r="AG24" s="145" t="n">
        <v>1.3</v>
      </c>
      <c r="AH24" s="141" t="n">
        <v>28.8</v>
      </c>
      <c r="AI24" s="84" t="n">
        <f aca="false">AI23-AH24</f>
        <v>14336.3492311571</v>
      </c>
      <c r="AJ24" s="102"/>
      <c r="AK24" s="141" t="n">
        <f aca="false">N24+O24+P24+Q24+R24+S24+T24+U24+X24+AE24+AH24</f>
        <v>229.1</v>
      </c>
      <c r="AL24" s="141" t="n">
        <f aca="false">IF(L24&lt;0,L24*-1,0)</f>
        <v>0</v>
      </c>
      <c r="AM24" s="376" t="n">
        <f aca="false">AK24+AL24</f>
        <v>229.1</v>
      </c>
      <c r="AN24" s="224" t="n">
        <f aca="false">V24</f>
        <v>99.7</v>
      </c>
      <c r="AO24" s="102"/>
      <c r="AP24" s="157" t="n">
        <f aca="false">I24-Q24-R24-X24-AF24</f>
        <v>301.57567824</v>
      </c>
      <c r="AQ24" s="158" t="n">
        <f aca="false">32.951*(Z24*1.9835+AC24*1.9835)/E24</f>
        <v>4.51945856403681</v>
      </c>
      <c r="AR24" s="158"/>
      <c r="AS24" s="106"/>
      <c r="AT24" s="11" t="n">
        <v>0</v>
      </c>
      <c r="AU24" s="1"/>
      <c r="AV24" s="107" t="n">
        <v>0</v>
      </c>
      <c r="AW24" s="108" t="n">
        <v>74</v>
      </c>
      <c r="AX24" s="108" t="n">
        <v>35</v>
      </c>
      <c r="AY24" s="148"/>
      <c r="AZ24" s="264" t="n">
        <f aca="false">SUM(N24,P24:U24)</f>
        <v>4.6284900106087</v>
      </c>
      <c r="BA24" s="0" t="n">
        <v>0</v>
      </c>
      <c r="BB24" s="148" t="n">
        <v>7769</v>
      </c>
    </row>
    <row r="25" customFormat="false" ht="12.95" hidden="false" customHeight="true" outlineLevel="0" collapsed="false">
      <c r="A25" s="10" t="n">
        <f aca="false">A24+1</f>
        <v>11</v>
      </c>
      <c r="B25" s="367" t="n">
        <v>6873.01</v>
      </c>
      <c r="C25" s="99" t="n">
        <v>195981</v>
      </c>
      <c r="D25" s="108" t="n">
        <f aca="false">C25-C24</f>
        <v>771</v>
      </c>
      <c r="E25" s="99" t="n">
        <f aca="false">C25-152000</f>
        <v>43981</v>
      </c>
      <c r="F25" s="151" t="n">
        <f aca="false">D25/$D$2</f>
        <v>388.706831358709</v>
      </c>
      <c r="G25" s="141" t="n">
        <v>611</v>
      </c>
      <c r="H25" s="141" t="n">
        <v>20.6</v>
      </c>
      <c r="I25" s="141" t="n">
        <f aca="false">G25+H25</f>
        <v>631.6</v>
      </c>
      <c r="J25" s="375" t="n">
        <f aca="false">IF(L25&gt;0,L25,0)</f>
        <v>0</v>
      </c>
      <c r="K25" s="141" t="n">
        <f aca="false">I25+J25</f>
        <v>631.6</v>
      </c>
      <c r="L25" s="141" t="n">
        <f aca="false">F25-(I25-AK25)</f>
        <v>-0.893168641290686</v>
      </c>
      <c r="M25" s="144" t="n">
        <v>76.7</v>
      </c>
      <c r="N25" s="171" t="n">
        <v>0</v>
      </c>
      <c r="O25" s="376" t="n">
        <f aca="false">66.7*1.05</f>
        <v>70.035</v>
      </c>
      <c r="P25" s="88" t="n">
        <v>0</v>
      </c>
      <c r="Q25" s="346" t="n">
        <f aca="false">1091500/325851/1.9835*1.02</f>
        <v>1.7225532204531</v>
      </c>
      <c r="R25" s="138" t="n">
        <f aca="false">((1798592/646272)*1.04)-T25</f>
        <v>2.36166771552387</v>
      </c>
      <c r="S25" s="138" t="n">
        <v>0</v>
      </c>
      <c r="T25" s="138" t="n">
        <f aca="false">(0.4832*1.06)*1.04</f>
        <v>0.53267968</v>
      </c>
      <c r="U25" s="365" t="n">
        <v>0</v>
      </c>
      <c r="V25" s="141" t="n">
        <v>100</v>
      </c>
      <c r="W25" s="141" t="n">
        <v>0</v>
      </c>
      <c r="X25" s="142" t="n">
        <f aca="false">M25-N25-O25-P25-Q25-R25-S25-T25-U25+V25+W25-AT25</f>
        <v>102.048099384023</v>
      </c>
      <c r="Y25" s="142" t="n">
        <f aca="false">X25-AO25</f>
        <v>102.048099384023</v>
      </c>
      <c r="Z25" s="113" t="n">
        <f aca="false">Z24+AP25</f>
        <v>1808.67950128</v>
      </c>
      <c r="AA25" s="142"/>
      <c r="AB25" s="113" t="n">
        <f aca="false">AB24+(Y25+AP25-V25)*1.9835</f>
        <v>3634.52564188509</v>
      </c>
      <c r="AC25" s="113" t="n">
        <f aca="false">AC24-(AQ24/1.9835)</f>
        <v>1700.73588488688</v>
      </c>
      <c r="AD25" s="102"/>
      <c r="AE25" s="141" t="n">
        <v>36.5</v>
      </c>
      <c r="AF25" s="144" t="n">
        <v>1.7</v>
      </c>
      <c r="AG25" s="145" t="n">
        <v>1.3</v>
      </c>
      <c r="AH25" s="141" t="n">
        <v>28.8</v>
      </c>
      <c r="AI25" s="84" t="n">
        <f aca="false">AI24-AH25</f>
        <v>14307.5492311571</v>
      </c>
      <c r="AJ25" s="102"/>
      <c r="AK25" s="141" t="n">
        <f aca="false">N25+O25+P25+Q25+R25+S25+T25+U25+X25+AE25+AH25</f>
        <v>242</v>
      </c>
      <c r="AL25" s="141" t="n">
        <f aca="false">IF(L25&lt;0,L25*-1,0)</f>
        <v>0.893168641290686</v>
      </c>
      <c r="AM25" s="376" t="n">
        <f aca="false">AK25+AL25</f>
        <v>242.893168641291</v>
      </c>
      <c r="AN25" s="224" t="n">
        <f aca="false">V25</f>
        <v>100</v>
      </c>
      <c r="AO25" s="102"/>
      <c r="AP25" s="157" t="n">
        <f aca="false">I25-Q25-R25-X25-AF25</f>
        <v>523.76767968</v>
      </c>
      <c r="AQ25" s="158" t="n">
        <f aca="false">29.075*(Z25*1.9835+AC25*1.9835)/E25</f>
        <v>4.60173498878568</v>
      </c>
      <c r="AR25" s="158"/>
      <c r="AS25" s="106"/>
      <c r="AT25" s="11" t="n">
        <v>0</v>
      </c>
      <c r="AU25" s="1"/>
      <c r="AV25" s="107" t="n">
        <v>0</v>
      </c>
      <c r="AW25" s="108" t="n">
        <v>74</v>
      </c>
      <c r="AX25" s="108" t="n">
        <v>36</v>
      </c>
      <c r="AY25" s="148"/>
      <c r="AZ25" s="264" t="n">
        <f aca="false">SUM(N25,P25:U25)</f>
        <v>4.61690061597696</v>
      </c>
      <c r="BA25" s="0" t="n">
        <v>0</v>
      </c>
      <c r="BB25" s="148" t="n">
        <v>7950</v>
      </c>
    </row>
    <row r="26" customFormat="false" ht="12.95" hidden="false" customHeight="true" outlineLevel="0" collapsed="false">
      <c r="A26" s="10" t="n">
        <f aca="false">A25+1</f>
        <v>12</v>
      </c>
      <c r="B26" s="367" t="n">
        <v>6873.43</v>
      </c>
      <c r="C26" s="99" t="n">
        <v>197151</v>
      </c>
      <c r="D26" s="108" t="n">
        <f aca="false">C26-C25</f>
        <v>1170</v>
      </c>
      <c r="E26" s="99" t="n">
        <f aca="false">C26-152000</f>
        <v>45151</v>
      </c>
      <c r="F26" s="151" t="n">
        <f aca="false">D26/$D$2</f>
        <v>589.866397781699</v>
      </c>
      <c r="G26" s="141" t="n">
        <v>834</v>
      </c>
      <c r="H26" s="141" t="n">
        <v>54.5</v>
      </c>
      <c r="I26" s="141" t="n">
        <f aca="false">G26+H26</f>
        <v>888.5</v>
      </c>
      <c r="J26" s="375" t="n">
        <f aca="false">IF(L26&gt;0,L26,0)</f>
        <v>0</v>
      </c>
      <c r="K26" s="141" t="n">
        <f aca="false">I26+J26</f>
        <v>888.5</v>
      </c>
      <c r="L26" s="141" t="n">
        <f aca="false">F26-(I26-AK26)</f>
        <v>-53.7336022183009</v>
      </c>
      <c r="M26" s="144" t="n">
        <v>78.4</v>
      </c>
      <c r="N26" s="171" t="n">
        <v>0</v>
      </c>
      <c r="O26" s="376" t="n">
        <f aca="false">65.1*1.05</f>
        <v>68.355</v>
      </c>
      <c r="P26" s="88" t="n">
        <v>0</v>
      </c>
      <c r="Q26" s="346" t="n">
        <f aca="false">1036300/325851/1.9835*1.02</f>
        <v>1.63543921425153</v>
      </c>
      <c r="R26" s="138" t="n">
        <f aca="false">((1783736/646272)*1.04)-T26</f>
        <v>2.33776100132303</v>
      </c>
      <c r="S26" s="138" t="n">
        <v>0</v>
      </c>
      <c r="T26" s="138" t="n">
        <f aca="false">(0.4832*1.06)*1.04</f>
        <v>0.53267968</v>
      </c>
      <c r="U26" s="365" t="n">
        <v>0</v>
      </c>
      <c r="V26" s="141" t="n">
        <v>101</v>
      </c>
      <c r="W26" s="141" t="n">
        <v>0</v>
      </c>
      <c r="X26" s="142" t="n">
        <f aca="false">M26-N26-O26-P26-Q26-R26-S26-T26-U26+V26+W26-AT26</f>
        <v>106.539120104425</v>
      </c>
      <c r="Y26" s="142" t="n">
        <f aca="false">X26-AO26</f>
        <v>106.539120104425</v>
      </c>
      <c r="Z26" s="113" t="n">
        <f aca="false">Z25+AP26</f>
        <v>2584.96718096</v>
      </c>
      <c r="AA26" s="142"/>
      <c r="AB26" s="113" t="n">
        <f aca="false">AB25+(Y26+AP26-V26)*1.9835</f>
        <v>5185.2790992575</v>
      </c>
      <c r="AC26" s="113" t="n">
        <f aca="false">AC25-(AQ25/1.9835)</f>
        <v>1698.41587733015</v>
      </c>
      <c r="AD26" s="102"/>
      <c r="AE26" s="141" t="n">
        <v>36.7</v>
      </c>
      <c r="AF26" s="144" t="n">
        <v>1.7</v>
      </c>
      <c r="AG26" s="145" t="n">
        <v>1.3</v>
      </c>
      <c r="AH26" s="141" t="n">
        <v>28.8</v>
      </c>
      <c r="AI26" s="84" t="n">
        <f aca="false">AI25-AH26</f>
        <v>14278.7492311571</v>
      </c>
      <c r="AJ26" s="102"/>
      <c r="AK26" s="141" t="n">
        <f aca="false">N26+O26+P26+Q26+R26+S26+T26+U26+X26+AE26+AH26</f>
        <v>244.9</v>
      </c>
      <c r="AL26" s="141" t="n">
        <f aca="false">IF(L26&lt;0,L26*-1,0)</f>
        <v>53.7336022183009</v>
      </c>
      <c r="AM26" s="376" t="n">
        <f aca="false">AK26+AL26</f>
        <v>298.633602218301</v>
      </c>
      <c r="AN26" s="224" t="n">
        <f aca="false">V26</f>
        <v>101</v>
      </c>
      <c r="AO26" s="102"/>
      <c r="AP26" s="157" t="n">
        <f aca="false">I26-Q26-R26-X26-AF26</f>
        <v>776.28767968</v>
      </c>
      <c r="AQ26" s="158" t="n">
        <f aca="false">0*(Z26*1.9835+AC26*1.9835)/E26</f>
        <v>0</v>
      </c>
      <c r="AR26" s="158"/>
      <c r="AS26" s="106"/>
      <c r="AT26" s="11" t="n">
        <v>0</v>
      </c>
      <c r="AU26" s="1"/>
      <c r="AV26" s="107" t="n">
        <v>0.09</v>
      </c>
      <c r="AW26" s="108" t="n">
        <v>67</v>
      </c>
      <c r="AX26" s="108" t="n">
        <v>38</v>
      </c>
      <c r="AY26" s="148"/>
      <c r="AZ26" s="264" t="n">
        <f aca="false">SUM(N26,P26:U26)</f>
        <v>4.50587989557456</v>
      </c>
      <c r="BA26" s="0" t="n">
        <v>0</v>
      </c>
      <c r="BB26" s="148" t="n">
        <v>8237</v>
      </c>
    </row>
    <row r="27" customFormat="false" ht="12.95" hidden="false" customHeight="true" outlineLevel="0" collapsed="false">
      <c r="A27" s="10" t="n">
        <f aca="false">A26+1</f>
        <v>13</v>
      </c>
      <c r="B27" s="367" t="n">
        <v>6874</v>
      </c>
      <c r="C27" s="99" t="n">
        <v>198739</v>
      </c>
      <c r="D27" s="108" t="n">
        <f aca="false">C27-C26</f>
        <v>1588</v>
      </c>
      <c r="E27" s="99" t="n">
        <f aca="false">C27-152000</f>
        <v>46739</v>
      </c>
      <c r="F27" s="151" t="n">
        <f aca="false">D27/$D$2</f>
        <v>800.604991177212</v>
      </c>
      <c r="G27" s="141" t="n">
        <v>736</v>
      </c>
      <c r="H27" s="141" t="n">
        <v>37.4</v>
      </c>
      <c r="I27" s="141" t="n">
        <f aca="false">G27+H27</f>
        <v>773.4</v>
      </c>
      <c r="J27" s="375" t="n">
        <f aca="false">IF(L27&gt;0,L27,0)</f>
        <v>271.884991177212</v>
      </c>
      <c r="K27" s="141" t="n">
        <f aca="false">I27+J27</f>
        <v>1045.28499117721</v>
      </c>
      <c r="L27" s="141" t="n">
        <f aca="false">F27-(I27-AK27)</f>
        <v>271.884991177212</v>
      </c>
      <c r="M27" s="144" t="n">
        <v>75.2</v>
      </c>
      <c r="N27" s="171" t="n">
        <v>0</v>
      </c>
      <c r="O27" s="376" t="n">
        <f aca="false">67.2*1.05</f>
        <v>70.56</v>
      </c>
      <c r="P27" s="88" t="n">
        <v>0</v>
      </c>
      <c r="Q27" s="346" t="n">
        <f aca="false">1024200/325851/1.9835*1.02</f>
        <v>1.61634357158778</v>
      </c>
      <c r="R27" s="138" t="n">
        <f aca="false">((1760776/646272)*1.04)-T27</f>
        <v>2.30081309084571</v>
      </c>
      <c r="S27" s="138" t="n">
        <v>0</v>
      </c>
      <c r="T27" s="138" t="n">
        <f aca="false">(0.4832*1.06)*1.04</f>
        <v>0.53267968</v>
      </c>
      <c r="U27" s="365" t="n">
        <v>0</v>
      </c>
      <c r="V27" s="141" t="n">
        <v>102</v>
      </c>
      <c r="W27" s="141" t="n">
        <v>2.38</v>
      </c>
      <c r="X27" s="142" t="n">
        <f aca="false">M27-N27-O27-P27-Q27-R27-S27-T27-U27+V27+W27-AT27</f>
        <v>104.570163657567</v>
      </c>
      <c r="Y27" s="142" t="n">
        <f aca="false">X27-AO27+20</f>
        <v>102</v>
      </c>
      <c r="Z27" s="113" t="n">
        <f aca="false">Z26+AP27</f>
        <v>3248.17986064</v>
      </c>
      <c r="AA27" s="142"/>
      <c r="AB27" s="113" t="n">
        <f aca="false">AB26+(Y27+AP27-V27+20)*1.9835</f>
        <v>6540.43144940278</v>
      </c>
      <c r="AC27" s="113" t="n">
        <f aca="false">AC26-(AQ26/1.9835)</f>
        <v>1698.41587733015</v>
      </c>
      <c r="AD27" s="102"/>
      <c r="AE27" s="141" t="n">
        <v>36.3</v>
      </c>
      <c r="AF27" s="144" t="n">
        <v>1.7</v>
      </c>
      <c r="AG27" s="145" t="n">
        <v>1.3</v>
      </c>
      <c r="AH27" s="141" t="n">
        <v>28.8</v>
      </c>
      <c r="AI27" s="84" t="n">
        <f aca="false">AI26-AH27</f>
        <v>14249.9492311571</v>
      </c>
      <c r="AJ27" s="102"/>
      <c r="AK27" s="141" t="n">
        <f aca="false">N27+O27+P27+Q27+R27+S27+T27+U27+X27+AE27+AH27</f>
        <v>244.68</v>
      </c>
      <c r="AL27" s="141" t="n">
        <f aca="false">IF(L27&lt;0,L27*-1,0)</f>
        <v>0</v>
      </c>
      <c r="AM27" s="376" t="n">
        <f aca="false">AK27+AL27</f>
        <v>244.68</v>
      </c>
      <c r="AN27" s="224" t="n">
        <f aca="false">V27-20</f>
        <v>82</v>
      </c>
      <c r="AO27" s="102" t="n">
        <f aca="false">X27-AN27</f>
        <v>22.5701636575665</v>
      </c>
      <c r="AP27" s="157" t="n">
        <f aca="false">I27-Q27-R27-X27-AF27</f>
        <v>663.21267968</v>
      </c>
      <c r="AQ27" s="158" t="n">
        <f aca="false">6.543*(Z27*1.9835+AC27*1.9835)/E27</f>
        <v>1.37352360607852</v>
      </c>
      <c r="AR27" s="158"/>
      <c r="AS27" s="106"/>
      <c r="AT27" s="11" t="n">
        <v>0</v>
      </c>
      <c r="AU27" s="1"/>
      <c r="AV27" s="107" t="n">
        <v>0.05</v>
      </c>
      <c r="AW27" s="108" t="n">
        <v>54</v>
      </c>
      <c r="AX27" s="108" t="n">
        <v>30</v>
      </c>
      <c r="AY27" s="148"/>
      <c r="AZ27" s="264" t="n">
        <f aca="false">SUM(N27,P27:U27)</f>
        <v>4.44983634243349</v>
      </c>
      <c r="BA27" s="0" t="n">
        <v>0</v>
      </c>
      <c r="BB27" s="148" t="n">
        <v>8424</v>
      </c>
    </row>
    <row r="28" customFormat="false" ht="12.95" hidden="false" customHeight="true" outlineLevel="0" collapsed="false">
      <c r="A28" s="10" t="n">
        <f aca="false">A27+1</f>
        <v>14</v>
      </c>
      <c r="B28" s="367" t="n">
        <v>6874.17</v>
      </c>
      <c r="C28" s="99" t="n">
        <v>199219</v>
      </c>
      <c r="D28" s="108" t="n">
        <f aca="false">C28-C27</f>
        <v>480</v>
      </c>
      <c r="E28" s="99" t="n">
        <f aca="false">C28-152000</f>
        <v>47219</v>
      </c>
      <c r="F28" s="151" t="n">
        <f aca="false">D28/$D$2</f>
        <v>241.9964708848</v>
      </c>
      <c r="G28" s="141" t="n">
        <v>553</v>
      </c>
      <c r="H28" s="141" t="n">
        <v>10.7</v>
      </c>
      <c r="I28" s="141" t="n">
        <f aca="false">G28+H28</f>
        <v>563.7</v>
      </c>
      <c r="J28" s="375" t="n">
        <f aca="false">IF(L28&gt;0,L28,0)</f>
        <v>0</v>
      </c>
      <c r="K28" s="141" t="n">
        <f aca="false">I28+J28</f>
        <v>563.7</v>
      </c>
      <c r="L28" s="141" t="n">
        <f aca="false">F28-(I28-AK28)</f>
        <v>-110.7135291152</v>
      </c>
      <c r="M28" s="144" t="n">
        <v>106</v>
      </c>
      <c r="N28" s="171" t="n">
        <v>0</v>
      </c>
      <c r="O28" s="376" t="n">
        <f aca="false">67.2*1.05</f>
        <v>70.56</v>
      </c>
      <c r="P28" s="88" t="n">
        <v>0</v>
      </c>
      <c r="Q28" s="346" t="n">
        <f aca="false">1076440/325851/1.9835*1.02</f>
        <v>1.69878624702202</v>
      </c>
      <c r="R28" s="138" t="n">
        <f aca="false">((1820512/646272)*1.04)-T28</f>
        <v>2.39694202726877</v>
      </c>
      <c r="S28" s="138" t="n">
        <v>0</v>
      </c>
      <c r="T28" s="138" t="n">
        <f aca="false">(0.4832*1.06)*1.04</f>
        <v>0.53267968</v>
      </c>
      <c r="U28" s="365" t="n">
        <v>0</v>
      </c>
      <c r="V28" s="141" t="n">
        <v>57.2</v>
      </c>
      <c r="W28" s="141" t="n">
        <v>14.4</v>
      </c>
      <c r="X28" s="142" t="n">
        <f aca="false">M28-N28-O28-P28-Q28-R28-S28-T28-U28+V28+W28-AT28</f>
        <v>102.411592045709</v>
      </c>
      <c r="Y28" s="142" t="n">
        <f aca="false">X28-AO28+20</f>
        <v>57.2</v>
      </c>
      <c r="Z28" s="113" t="n">
        <f aca="false">Z27+AP28</f>
        <v>3703.67254032</v>
      </c>
      <c r="AA28" s="142"/>
      <c r="AB28" s="113" t="n">
        <f aca="false">AB27+(Y28+AP28-V28+20)*1.9835</f>
        <v>7483.57117954806</v>
      </c>
      <c r="AC28" s="113" t="n">
        <f aca="false">AC27-(AQ27/1.9835)</f>
        <v>1697.72340261067</v>
      </c>
      <c r="AD28" s="102"/>
      <c r="AE28" s="141" t="n">
        <v>4.59</v>
      </c>
      <c r="AF28" s="144" t="n">
        <v>1.7</v>
      </c>
      <c r="AG28" s="145" t="n">
        <v>1.3</v>
      </c>
      <c r="AH28" s="141" t="n">
        <v>28.8</v>
      </c>
      <c r="AI28" s="84" t="n">
        <f aca="false">AI27-AH28</f>
        <v>14221.1492311571</v>
      </c>
      <c r="AJ28" s="102"/>
      <c r="AK28" s="141" t="n">
        <f aca="false">N28+O28+P28+Q28+R28+S28+T28+U28+X28+AE28+AH28</f>
        <v>210.99</v>
      </c>
      <c r="AL28" s="141" t="n">
        <f aca="false">IF(L28&lt;0,L28*-1,0)</f>
        <v>110.7135291152</v>
      </c>
      <c r="AM28" s="376" t="n">
        <f aca="false">AK28+AL28</f>
        <v>321.7035291152</v>
      </c>
      <c r="AN28" s="224" t="n">
        <f aca="false">V28-20</f>
        <v>37.2</v>
      </c>
      <c r="AO28" s="102" t="n">
        <f aca="false">X28-AN28</f>
        <v>65.2115920457092</v>
      </c>
      <c r="AP28" s="157" t="n">
        <f aca="false">I28-Q28-R28-X28-AF28</f>
        <v>455.49267968</v>
      </c>
      <c r="AQ28" s="158" t="n">
        <f aca="false">15.539*(Z28*1.9835+AC28*1.9835)/E28</f>
        <v>3.52569305372214</v>
      </c>
      <c r="AR28" s="158"/>
      <c r="AS28" s="106"/>
      <c r="AT28" s="11" t="n">
        <v>0</v>
      </c>
      <c r="AU28" s="1"/>
      <c r="AV28" s="107" t="n">
        <v>0</v>
      </c>
      <c r="AW28" s="149" t="n">
        <v>52</v>
      </c>
      <c r="AX28" s="108" t="n">
        <v>23</v>
      </c>
      <c r="AY28" s="148"/>
      <c r="AZ28" s="264" t="n">
        <f aca="false">SUM(N28,P28:U28)</f>
        <v>4.62840795429078</v>
      </c>
      <c r="BA28" s="0" t="n">
        <v>0</v>
      </c>
      <c r="BB28" s="148" t="n">
        <v>8561</v>
      </c>
    </row>
    <row r="29" customFormat="false" ht="12.95" hidden="false" customHeight="true" outlineLevel="0" collapsed="false">
      <c r="A29" s="10" t="n">
        <f aca="false">A28+1</f>
        <v>15</v>
      </c>
      <c r="B29" s="367" t="n">
        <v>6874.3</v>
      </c>
      <c r="C29" s="99" t="n">
        <v>199586</v>
      </c>
      <c r="D29" s="108" t="n">
        <f aca="false">C29-C28</f>
        <v>367</v>
      </c>
      <c r="E29" s="99" t="n">
        <f aca="false">C29-152000</f>
        <v>47586</v>
      </c>
      <c r="F29" s="151" t="n">
        <f aca="false">D29/$D$2</f>
        <v>185.026468364003</v>
      </c>
      <c r="G29" s="141" t="n">
        <v>471</v>
      </c>
      <c r="H29" s="141" t="n">
        <v>5.34</v>
      </c>
      <c r="I29" s="141" t="n">
        <f aca="false">G29+H29</f>
        <v>476.34</v>
      </c>
      <c r="J29" s="375" t="n">
        <f aca="false">IF(L29&gt;0,L29,0)</f>
        <v>0</v>
      </c>
      <c r="K29" s="141" t="n">
        <f aca="false">I29+J29</f>
        <v>476.34</v>
      </c>
      <c r="L29" s="141" t="n">
        <f aca="false">F29-(I29-AK29)</f>
        <v>-56.3135316359969</v>
      </c>
      <c r="M29" s="144" t="n">
        <v>92.5</v>
      </c>
      <c r="N29" s="171" t="n">
        <v>0</v>
      </c>
      <c r="O29" s="376" t="n">
        <f aca="false">54.9*1.05</f>
        <v>57.645</v>
      </c>
      <c r="P29" s="88" t="n">
        <v>0</v>
      </c>
      <c r="Q29" s="346" t="n">
        <f aca="false">1071460/325851/1.9835*1.02</f>
        <v>1.69092704863644</v>
      </c>
      <c r="R29" s="138" t="n">
        <f aca="false">((1756032/646272)*1.04)-T29</f>
        <v>2.29317890585859</v>
      </c>
      <c r="S29" s="138" t="n">
        <v>0</v>
      </c>
      <c r="T29" s="138" t="n">
        <f aca="false">(0.4832*1.06)*1.04</f>
        <v>0.53267968</v>
      </c>
      <c r="U29" s="365" t="n">
        <v>0</v>
      </c>
      <c r="V29" s="141" t="n">
        <v>99.9</v>
      </c>
      <c r="W29" s="141" t="n">
        <v>13.8</v>
      </c>
      <c r="X29" s="142" t="n">
        <f aca="false">M29-N29-O29-P29-Q29-R29-S29-T29-U29+V29+W29-AT29</f>
        <v>144.038214365505</v>
      </c>
      <c r="Y29" s="142" t="n">
        <f aca="false">X29-AO29+20</f>
        <v>99.9</v>
      </c>
      <c r="Z29" s="113" t="n">
        <f aca="false">Z28+AP29</f>
        <v>4030.29022</v>
      </c>
      <c r="AA29" s="142"/>
      <c r="AB29" s="113" t="n">
        <f aca="false">AB28+(Y29+AP29-V29+20)*1.9835</f>
        <v>8171.08734719334</v>
      </c>
      <c r="AC29" s="113" t="n">
        <f aca="false">AC28-(AQ28/1.9835)</f>
        <v>1695.94589161812</v>
      </c>
      <c r="AD29" s="102"/>
      <c r="AE29" s="141" t="n">
        <v>0</v>
      </c>
      <c r="AF29" s="144" t="n">
        <v>1.7</v>
      </c>
      <c r="AG29" s="145" t="n">
        <v>1.3</v>
      </c>
      <c r="AH29" s="141" t="n">
        <v>28.8</v>
      </c>
      <c r="AI29" s="84" t="n">
        <f aca="false">AI28-AH29</f>
        <v>14192.3492311571</v>
      </c>
      <c r="AJ29" s="102"/>
      <c r="AK29" s="141" t="n">
        <f aca="false">N29+O29+P29+Q29+R29+S29+T29+U29+X29+AE29+AH29</f>
        <v>235</v>
      </c>
      <c r="AL29" s="141" t="n">
        <f aca="false">IF(L29&lt;0,L29*-1,0)</f>
        <v>56.3135316359969</v>
      </c>
      <c r="AM29" s="376" t="n">
        <f aca="false">AK29+AL29</f>
        <v>291.313531635997</v>
      </c>
      <c r="AN29" s="224" t="n">
        <f aca="false">V29-20</f>
        <v>79.9</v>
      </c>
      <c r="AO29" s="102" t="n">
        <f aca="false">X29-AN29</f>
        <v>64.138214365505</v>
      </c>
      <c r="AP29" s="157" t="n">
        <f aca="false">I29-Q29-R29-X29-AF29</f>
        <v>326.61767968</v>
      </c>
      <c r="AQ29" s="158" t="n">
        <f aca="false">22.409*(Z29*1.9835+AC29*1.9835)/E29</f>
        <v>5.34865680741361</v>
      </c>
      <c r="AR29" s="158"/>
      <c r="AS29" s="106"/>
      <c r="AT29" s="11" t="n">
        <v>0</v>
      </c>
      <c r="AU29" s="1"/>
      <c r="AV29" s="107" t="n">
        <v>0</v>
      </c>
      <c r="AW29" s="149" t="n">
        <v>61</v>
      </c>
      <c r="AX29" s="108" t="n">
        <v>24</v>
      </c>
      <c r="AY29" s="148"/>
      <c r="AZ29" s="264" t="n">
        <f aca="false">SUM(N29,P29:U29)</f>
        <v>4.51678563449503</v>
      </c>
      <c r="BA29" s="0" t="n">
        <v>0</v>
      </c>
      <c r="BB29" s="148" t="n">
        <v>8665</v>
      </c>
    </row>
    <row r="30" customFormat="false" ht="12.95" hidden="false" customHeight="true" outlineLevel="0" collapsed="false">
      <c r="A30" s="10" t="n">
        <f aca="false">A29+1</f>
        <v>16</v>
      </c>
      <c r="B30" s="367" t="n">
        <v>6874.49</v>
      </c>
      <c r="C30" s="99" t="n">
        <v>200122</v>
      </c>
      <c r="D30" s="108" t="n">
        <f aca="false">C30-C29</f>
        <v>536</v>
      </c>
      <c r="E30" s="99" t="n">
        <f aca="false">C30-152000</f>
        <v>48122</v>
      </c>
      <c r="F30" s="151" t="n">
        <f aca="false">D30/$D$2</f>
        <v>270.229392488026</v>
      </c>
      <c r="G30" s="141" t="n">
        <v>469</v>
      </c>
      <c r="H30" s="141" t="n">
        <v>3.39</v>
      </c>
      <c r="I30" s="141" t="n">
        <f aca="false">G30+H30</f>
        <v>472.39</v>
      </c>
      <c r="J30" s="375" t="n">
        <f aca="false">IF(L30&gt;0,L30,0)</f>
        <v>69.5393924880262</v>
      </c>
      <c r="K30" s="141" t="n">
        <f aca="false">I30+J30</f>
        <v>541.929392488026</v>
      </c>
      <c r="L30" s="141" t="n">
        <f aca="false">F30-(I30-AK30)</f>
        <v>69.5393924880262</v>
      </c>
      <c r="M30" s="144" t="n">
        <v>102</v>
      </c>
      <c r="N30" s="171" t="n">
        <v>0</v>
      </c>
      <c r="O30" s="376" t="n">
        <f aca="false">70.7*1.05</f>
        <v>74.235</v>
      </c>
      <c r="P30" s="88" t="n">
        <v>0</v>
      </c>
      <c r="Q30" s="346" t="n">
        <f aca="false">1039300/325851/1.9835*1.02</f>
        <v>1.64017367111031</v>
      </c>
      <c r="R30" s="138" t="n">
        <f aca="false">((1743872/646272)*1.04)-T30</f>
        <v>2.27361067452565</v>
      </c>
      <c r="S30" s="138" t="n">
        <v>0</v>
      </c>
      <c r="T30" s="138" t="n">
        <f aca="false">(0.4832*1.06)*1.04</f>
        <v>0.53267968</v>
      </c>
      <c r="U30" s="365" t="n">
        <v>0</v>
      </c>
      <c r="V30" s="141" t="n">
        <v>122</v>
      </c>
      <c r="W30" s="141" t="n">
        <v>18.9</v>
      </c>
      <c r="X30" s="142" t="n">
        <f aca="false">M30-N30-O30-P30-Q30-R30-S30-T30-U30+V30+W30-AT30</f>
        <v>164.218535974364</v>
      </c>
      <c r="Y30" s="142" t="n">
        <f aca="false">X30-AO30+20</f>
        <v>122</v>
      </c>
      <c r="Z30" s="113" t="n">
        <f aca="false">Z29+AP30</f>
        <v>4332.84789968</v>
      </c>
      <c r="AA30" s="142"/>
      <c r="AB30" s="113" t="n">
        <f aca="false">AB29+(Y30+AP30-V30+20)*1.9835</f>
        <v>8810.88050483862</v>
      </c>
      <c r="AC30" s="113" t="n">
        <f aca="false">AC29-(AQ29/1.9835)</f>
        <v>1693.24931646944</v>
      </c>
      <c r="AD30" s="102"/>
      <c r="AE30" s="141" t="n">
        <v>0</v>
      </c>
      <c r="AF30" s="144" t="n">
        <v>1.7</v>
      </c>
      <c r="AG30" s="145" t="n">
        <v>1.3</v>
      </c>
      <c r="AH30" s="141" t="n">
        <v>28.8</v>
      </c>
      <c r="AI30" s="84" t="n">
        <f aca="false">AI29-AH30</f>
        <v>14163.5492311571</v>
      </c>
      <c r="AJ30" s="102"/>
      <c r="AK30" s="141" t="n">
        <f aca="false">N30+O30+P30+Q30+R30+S30+T30+U30+X30+AE30+AH30</f>
        <v>271.7</v>
      </c>
      <c r="AL30" s="141" t="n">
        <f aca="false">IF(L30&lt;0,L30*-1,0)</f>
        <v>0</v>
      </c>
      <c r="AM30" s="376" t="n">
        <f aca="false">AK30+AL30</f>
        <v>271.7</v>
      </c>
      <c r="AN30" s="224" t="n">
        <f aca="false">V30-20</f>
        <v>102</v>
      </c>
      <c r="AO30" s="102" t="n">
        <f aca="false">X30-AN30</f>
        <v>62.218535974364</v>
      </c>
      <c r="AP30" s="157" t="n">
        <f aca="false">I30-Q30-R30-X30-AF30</f>
        <v>302.55767968</v>
      </c>
      <c r="AQ30" s="158" t="n">
        <f aca="false">27.806*(Z30*1.9835+AC30*1.9835)/E30</f>
        <v>6.90658224944579</v>
      </c>
      <c r="AR30" s="158"/>
      <c r="AS30" s="106"/>
      <c r="AT30" s="11" t="n">
        <v>0</v>
      </c>
      <c r="AU30" s="1"/>
      <c r="AV30" s="107" t="n">
        <v>0</v>
      </c>
      <c r="AW30" s="149" t="n">
        <v>63</v>
      </c>
      <c r="AX30" s="108" t="n">
        <v>30</v>
      </c>
      <c r="AY30" s="148"/>
      <c r="AZ30" s="264" t="n">
        <f aca="false">SUM(N30,P30:U30)</f>
        <v>4.44646402563596</v>
      </c>
      <c r="BA30" s="0" t="n">
        <v>0</v>
      </c>
      <c r="BB30" s="148" t="n">
        <v>8771</v>
      </c>
    </row>
    <row r="31" customFormat="false" ht="12.95" hidden="false" customHeight="true" outlineLevel="0" collapsed="false">
      <c r="A31" s="10" t="n">
        <f aca="false">A30+1</f>
        <v>17</v>
      </c>
      <c r="B31" s="367" t="n">
        <v>6874.58</v>
      </c>
      <c r="C31" s="99" t="n">
        <v>200376</v>
      </c>
      <c r="D31" s="108" t="n">
        <f aca="false">C31-C30</f>
        <v>254</v>
      </c>
      <c r="E31" s="99" t="n">
        <f aca="false">C31-152000</f>
        <v>48376</v>
      </c>
      <c r="F31" s="151" t="n">
        <f aca="false">D31/$D$2</f>
        <v>128.056465843206</v>
      </c>
      <c r="G31" s="141" t="n">
        <v>442</v>
      </c>
      <c r="H31" s="141" t="n">
        <v>2.56</v>
      </c>
      <c r="I31" s="141" t="n">
        <f aca="false">G31+H31</f>
        <v>444.56</v>
      </c>
      <c r="J31" s="375" t="n">
        <f aca="false">IF(L31&gt;0,L31,0)</f>
        <v>2.79646584320645</v>
      </c>
      <c r="K31" s="141" t="n">
        <f aca="false">I31+J31</f>
        <v>447.356465843207</v>
      </c>
      <c r="L31" s="141" t="n">
        <f aca="false">F31-(I31-AK31)</f>
        <v>2.79646584320645</v>
      </c>
      <c r="M31" s="144" t="n">
        <v>92</v>
      </c>
      <c r="N31" s="171" t="n">
        <v>0</v>
      </c>
      <c r="O31" s="376" t="n">
        <f aca="false">74.9*1.05</f>
        <v>78.645</v>
      </c>
      <c r="P31" s="88" t="n">
        <v>0</v>
      </c>
      <c r="Q31" s="346" t="n">
        <f aca="false">1200600/325851/1.9835*1.02</f>
        <v>1.89472963488409</v>
      </c>
      <c r="R31" s="138" t="n">
        <f aca="false">((1840832/646272)*1.04)-T31</f>
        <v>2.42964157173302</v>
      </c>
      <c r="S31" s="138" t="n">
        <v>0</v>
      </c>
      <c r="T31" s="138" t="n">
        <f aca="false">(0.4832*1.06)*1.04</f>
        <v>0.53267968</v>
      </c>
      <c r="U31" s="365" t="n">
        <v>0</v>
      </c>
      <c r="V31" s="141" t="n">
        <v>166</v>
      </c>
      <c r="W31" s="141" t="n">
        <v>13.2</v>
      </c>
      <c r="X31" s="142" t="n">
        <f aca="false">M31-N31-O31-P31-Q31-R31-S31-T31-U31+V31+W31-AT31</f>
        <v>187.697949113383</v>
      </c>
      <c r="Y31" s="142" t="n">
        <f aca="false">X31-AO31</f>
        <v>166</v>
      </c>
      <c r="Z31" s="113" t="n">
        <f aca="false">Z30+AP31</f>
        <v>4583.68557936</v>
      </c>
      <c r="AA31" s="142"/>
      <c r="AB31" s="113" t="n">
        <f aca="false">AB30+(Y31+AP31-V31)*1.9835</f>
        <v>9308.4170424839</v>
      </c>
      <c r="AC31" s="113" t="n">
        <f aca="false">AC30-(AQ30/1.9835)</f>
        <v>1689.7672986981</v>
      </c>
      <c r="AD31" s="102"/>
      <c r="AE31" s="141" t="n">
        <v>19.3</v>
      </c>
      <c r="AF31" s="144" t="n">
        <v>1.7</v>
      </c>
      <c r="AG31" s="145" t="n">
        <v>1.3</v>
      </c>
      <c r="AH31" s="141" t="n">
        <v>28.8</v>
      </c>
      <c r="AI31" s="84" t="n">
        <f aca="false">AI30-AH31</f>
        <v>14134.7492311571</v>
      </c>
      <c r="AJ31" s="102"/>
      <c r="AK31" s="141" t="n">
        <f aca="false">N31+O31+P31+Q31+R31+S31+T31+U31+X31+AE31+AH31</f>
        <v>319.3</v>
      </c>
      <c r="AL31" s="141" t="n">
        <f aca="false">IF(L31&lt;0,L31*-1,0)</f>
        <v>0</v>
      </c>
      <c r="AM31" s="376" t="n">
        <f aca="false">AK31+AL31</f>
        <v>319.3</v>
      </c>
      <c r="AN31" s="224" t="n">
        <f aca="false">V31</f>
        <v>166</v>
      </c>
      <c r="AO31" s="102" t="n">
        <f aca="false">X31-AN31</f>
        <v>21.6979491133829</v>
      </c>
      <c r="AP31" s="157" t="n">
        <f aca="false">I31-Q31-R31-X31-AF31</f>
        <v>250.83767968</v>
      </c>
      <c r="AQ31" s="158" t="n">
        <f aca="false">33.11*(Z31*1.9835+AC31*1.9835)/E31</f>
        <v>8.51663569075432</v>
      </c>
      <c r="AR31" s="158"/>
      <c r="AS31" s="106"/>
      <c r="AT31" s="11" t="n">
        <v>0</v>
      </c>
      <c r="AU31" s="1"/>
      <c r="AV31" s="107" t="n">
        <v>0</v>
      </c>
      <c r="AW31" s="149" t="n">
        <v>66</v>
      </c>
      <c r="AX31" s="108" t="n">
        <v>29</v>
      </c>
      <c r="AY31" s="148"/>
      <c r="AZ31" s="264" t="n">
        <f aca="false">SUM(N31,P31:U31)</f>
        <v>4.85705088661711</v>
      </c>
      <c r="BA31" s="0" t="n">
        <v>0</v>
      </c>
      <c r="BB31" s="148" t="n">
        <v>8889</v>
      </c>
    </row>
    <row r="32" customFormat="false" ht="12.95" hidden="false" customHeight="true" outlineLevel="0" collapsed="false">
      <c r="A32" s="10" t="n">
        <f aca="false">A31+1</f>
        <v>18</v>
      </c>
      <c r="B32" s="367" t="n">
        <v>6874.74</v>
      </c>
      <c r="C32" s="99" t="n">
        <v>200827</v>
      </c>
      <c r="D32" s="108" t="n">
        <f aca="false">C32-C31</f>
        <v>451</v>
      </c>
      <c r="E32" s="99" t="n">
        <f aca="false">C32-152000</f>
        <v>48827</v>
      </c>
      <c r="F32" s="151" t="n">
        <f aca="false">D32/$D$2</f>
        <v>227.375850768843</v>
      </c>
      <c r="G32" s="141" t="n">
        <v>675</v>
      </c>
      <c r="H32" s="141" t="n">
        <v>3.57</v>
      </c>
      <c r="I32" s="141" t="n">
        <f aca="false">G32+H32</f>
        <v>678.57</v>
      </c>
      <c r="J32" s="375" t="n">
        <f aca="false">IF(L32&gt;0,L32,0)</f>
        <v>6.8058507688429</v>
      </c>
      <c r="K32" s="141" t="n">
        <f aca="false">I32+J32</f>
        <v>685.375850768843</v>
      </c>
      <c r="L32" s="141" t="n">
        <f aca="false">F32-(I32-AK32)</f>
        <v>6.8058507688429</v>
      </c>
      <c r="M32" s="144" t="n">
        <v>91.6</v>
      </c>
      <c r="N32" s="171" t="n">
        <v>0</v>
      </c>
      <c r="O32" s="376" t="n">
        <f aca="false">74.5*1.05</f>
        <v>78.225</v>
      </c>
      <c r="P32" s="88" t="n">
        <v>0</v>
      </c>
      <c r="Q32" s="346" t="n">
        <f aca="false">1088700/325851/1.9835*1.02</f>
        <v>1.71813439405157</v>
      </c>
      <c r="R32" s="138" t="n">
        <f aca="false">((1794976/646272)*1.04)-T32</f>
        <v>2.2095602614696</v>
      </c>
      <c r="S32" s="138" t="n">
        <v>0</v>
      </c>
      <c r="T32" s="138" t="n">
        <f aca="false">(0.6159*1.06)*1.04</f>
        <v>0.67896816</v>
      </c>
      <c r="U32" s="365" t="n">
        <v>0</v>
      </c>
      <c r="V32" s="141" t="n">
        <v>317</v>
      </c>
      <c r="W32" s="141" t="n">
        <v>0</v>
      </c>
      <c r="X32" s="142" t="n">
        <f aca="false">M32-N32-O32-P32-Q32-R32-S32-T32-U32+V32+W32-AT32</f>
        <v>325.768337184479</v>
      </c>
      <c r="Y32" s="142" t="n">
        <f aca="false">X32-AO32</f>
        <v>325.768337184479</v>
      </c>
      <c r="Z32" s="113" t="n">
        <f aca="false">Z31+AP32</f>
        <v>4930.85954752</v>
      </c>
      <c r="AA32" s="142"/>
      <c r="AB32" s="113" t="n">
        <f aca="false">AB31+(Y32+AP32-V32)*1.9835</f>
        <v>10014.4286051347</v>
      </c>
      <c r="AC32" s="113" t="n">
        <f aca="false">AC31-(AQ31/1.9835)</f>
        <v>1685.47355748774</v>
      </c>
      <c r="AD32" s="102"/>
      <c r="AE32" s="141" t="n">
        <v>20.6</v>
      </c>
      <c r="AF32" s="144" t="n">
        <v>1.7</v>
      </c>
      <c r="AG32" s="145" t="n">
        <v>1.3</v>
      </c>
      <c r="AH32" s="141" t="n">
        <v>28.8</v>
      </c>
      <c r="AI32" s="84" t="n">
        <f aca="false">AI31-AH32</f>
        <v>14105.9492311571</v>
      </c>
      <c r="AJ32" s="102"/>
      <c r="AK32" s="141" t="n">
        <f aca="false">N32+O32+P32+Q32+R32+S32+T32+U32+X32+AE32+AH32</f>
        <v>458</v>
      </c>
      <c r="AL32" s="141" t="n">
        <f aca="false">IF(L32&lt;0,L32*-1,0)</f>
        <v>0</v>
      </c>
      <c r="AM32" s="376" t="n">
        <f aca="false">AK32+AL32</f>
        <v>458</v>
      </c>
      <c r="AN32" s="224" t="n">
        <f aca="false">V32</f>
        <v>317</v>
      </c>
      <c r="AO32" s="102"/>
      <c r="AP32" s="157" t="n">
        <f aca="false">I32-Q32-R32-X32-AF32</f>
        <v>347.17396816</v>
      </c>
      <c r="AQ32" s="158" t="n">
        <f aca="false">47.016*(Z32*1.9835+AC32*1.9835)/E32</f>
        <v>12.6367444548142</v>
      </c>
      <c r="AR32" s="158"/>
      <c r="AS32" s="106"/>
      <c r="AT32" s="11" t="n">
        <v>0</v>
      </c>
      <c r="AU32" s="1"/>
      <c r="AV32" s="107" t="n">
        <v>0</v>
      </c>
      <c r="AW32" s="149" t="n">
        <v>74</v>
      </c>
      <c r="AX32" s="108" t="n">
        <v>37</v>
      </c>
      <c r="AY32" s="148"/>
      <c r="AZ32" s="264" t="n">
        <f aca="false">SUM(N32,P32:U32)</f>
        <v>4.60666281552117</v>
      </c>
      <c r="BA32" s="0" t="n">
        <v>0</v>
      </c>
      <c r="BB32" s="148" t="n">
        <v>9083</v>
      </c>
    </row>
    <row r="33" customFormat="false" ht="12.95" hidden="false" customHeight="true" outlineLevel="0" collapsed="false">
      <c r="A33" s="10" t="n">
        <f aca="false">A32+1</f>
        <v>19</v>
      </c>
      <c r="B33" s="367" t="n">
        <v>6875.11</v>
      </c>
      <c r="C33" s="99" t="n">
        <v>201874</v>
      </c>
      <c r="D33" s="108" t="n">
        <f aca="false">C33-C32</f>
        <v>1047</v>
      </c>
      <c r="E33" s="99" t="n">
        <f aca="false">C33-152000</f>
        <v>49874</v>
      </c>
      <c r="F33" s="151" t="n">
        <f aca="false">D33/$D$2</f>
        <v>527.854802117469</v>
      </c>
      <c r="G33" s="141" t="n">
        <v>957</v>
      </c>
      <c r="H33" s="141" t="n">
        <v>29</v>
      </c>
      <c r="I33" s="141" t="n">
        <f aca="false">G33+H33</f>
        <v>986</v>
      </c>
      <c r="J33" s="375" t="n">
        <f aca="false">IF(L33&gt;0,L33,0)</f>
        <v>0</v>
      </c>
      <c r="K33" s="141" t="n">
        <f aca="false">I33+J33</f>
        <v>986</v>
      </c>
      <c r="L33" s="141" t="n">
        <f aca="false">F33-(I33-AK33)</f>
        <v>-25.4451978825308</v>
      </c>
      <c r="M33" s="144" t="n">
        <v>75.9</v>
      </c>
      <c r="N33" s="171" t="n">
        <v>0</v>
      </c>
      <c r="O33" s="376" t="n">
        <f aca="false">77*1.05</f>
        <v>80.85</v>
      </c>
      <c r="P33" s="88" t="n">
        <v>0</v>
      </c>
      <c r="Q33" s="346" t="n">
        <f aca="false">930100/325851/1.9835*1.02</f>
        <v>1.46783944145069</v>
      </c>
      <c r="R33" s="138" t="n">
        <f aca="false">((1709632/646272)*1.04)-T33</f>
        <v>2.07222217471975</v>
      </c>
      <c r="S33" s="138" t="n">
        <v>0</v>
      </c>
      <c r="T33" s="138" t="n">
        <f aca="false">(0.6159*1.06)*1.04</f>
        <v>0.67896816</v>
      </c>
      <c r="U33" s="365" t="n">
        <v>0</v>
      </c>
      <c r="V33" s="141" t="n">
        <v>311</v>
      </c>
      <c r="W33" s="141" t="n">
        <v>0</v>
      </c>
      <c r="X33" s="142" t="n">
        <f aca="false">M33-N33-O33-P33-Q33-R33-S33-T33-U33+V33+W33-AT33</f>
        <v>301.83097022383</v>
      </c>
      <c r="Y33" s="142" t="n">
        <f aca="false">X33-AO33</f>
        <v>301.83097022383</v>
      </c>
      <c r="Z33" s="113" t="n">
        <f aca="false">Z32+AP33</f>
        <v>5424.02857729617</v>
      </c>
      <c r="AA33" s="142"/>
      <c r="AB33" s="113" t="n">
        <f aca="false">AB32+(Y33+AP33-V33)*1.9835</f>
        <v>10974.4426051347</v>
      </c>
      <c r="AC33" s="113" t="n">
        <f aca="false">AC32-(AQ32/1.9835)</f>
        <v>1679.10262506787</v>
      </c>
      <c r="AD33" s="102"/>
      <c r="AE33" s="141" t="n">
        <v>17</v>
      </c>
      <c r="AF33" s="144" t="n">
        <v>1.7</v>
      </c>
      <c r="AG33" s="145" t="n">
        <v>1.3</v>
      </c>
      <c r="AH33" s="141" t="n">
        <v>28.8</v>
      </c>
      <c r="AI33" s="84" t="n">
        <f aca="false">AI32-AH33</f>
        <v>14077.1492311571</v>
      </c>
      <c r="AJ33" s="102"/>
      <c r="AK33" s="141" t="n">
        <f aca="false">N33+O33+P33+Q33+R33+S33+T33+U33+X33+AE33+AH33</f>
        <v>432.7</v>
      </c>
      <c r="AL33" s="141" t="n">
        <f aca="false">IF(L33&lt;0,L33*-1,0)</f>
        <v>25.4451978825308</v>
      </c>
      <c r="AM33" s="376" t="n">
        <f aca="false">AK33+AL33</f>
        <v>458.145197882531</v>
      </c>
      <c r="AN33" s="224" t="n">
        <f aca="false">V33</f>
        <v>311</v>
      </c>
      <c r="AO33" s="102"/>
      <c r="AP33" s="157" t="n">
        <f aca="false">795-X33</f>
        <v>493.16902977617</v>
      </c>
      <c r="AQ33" s="158" t="n">
        <f aca="false">0*(Z33*1.9835+AC33*1.9835)/E33</f>
        <v>0</v>
      </c>
      <c r="AR33" s="158"/>
      <c r="AS33" s="106"/>
      <c r="AT33" s="11" t="n">
        <v>0</v>
      </c>
      <c r="AU33" s="1"/>
      <c r="AV33" s="107" t="n">
        <v>0.16</v>
      </c>
      <c r="AW33" s="149" t="n">
        <v>66</v>
      </c>
      <c r="AX33" s="108" t="n">
        <v>42</v>
      </c>
      <c r="AY33" s="148"/>
      <c r="AZ33" s="264" t="n">
        <f aca="false">SUM(N33,P33:U33)</f>
        <v>4.21902977617043</v>
      </c>
      <c r="BA33" s="0" t="n">
        <v>0</v>
      </c>
      <c r="BB33" s="148" t="n">
        <v>9267</v>
      </c>
    </row>
    <row r="34" customFormat="false" ht="12.95" hidden="false" customHeight="true" outlineLevel="0" collapsed="false">
      <c r="A34" s="10" t="n">
        <f aca="false">A33+1</f>
        <v>20</v>
      </c>
      <c r="B34" s="367" t="n">
        <v>6875.57</v>
      </c>
      <c r="C34" s="99" t="n">
        <v>203188</v>
      </c>
      <c r="D34" s="108" t="n">
        <f aca="false">C34-C33</f>
        <v>1314</v>
      </c>
      <c r="E34" s="99" t="n">
        <f aca="false">C34-152000</f>
        <v>51188</v>
      </c>
      <c r="F34" s="151" t="n">
        <f aca="false">D34/$D$2</f>
        <v>662.465339047139</v>
      </c>
      <c r="G34" s="141" t="n">
        <v>1070</v>
      </c>
      <c r="H34" s="141" t="n">
        <v>90.6</v>
      </c>
      <c r="I34" s="141" t="n">
        <f aca="false">G34+H34</f>
        <v>1160.6</v>
      </c>
      <c r="J34" s="375" t="n">
        <f aca="false">IF(L34&gt;0,L34,0)</f>
        <v>0</v>
      </c>
      <c r="K34" s="141" t="n">
        <f aca="false">I34+J34</f>
        <v>1160.6</v>
      </c>
      <c r="L34" s="141" t="n">
        <f aca="false">F34-(I34-AK34)</f>
        <v>-68.534660952861</v>
      </c>
      <c r="M34" s="144" t="n">
        <v>77</v>
      </c>
      <c r="N34" s="171" t="n">
        <v>0</v>
      </c>
      <c r="O34" s="376" t="n">
        <f aca="false">61.5*1.05</f>
        <v>64.575</v>
      </c>
      <c r="P34" s="88" t="n">
        <v>0</v>
      </c>
      <c r="Q34" s="346" t="n">
        <f aca="false">1358700/325851/1.9835*1.02</f>
        <v>2.14423551134184</v>
      </c>
      <c r="R34" s="138" t="n">
        <f aca="false">((1014048/646272)*1.04)-T34</f>
        <v>0.952867847130125</v>
      </c>
      <c r="S34" s="138" t="n">
        <v>0</v>
      </c>
      <c r="T34" s="138" t="n">
        <f aca="false">(0.6159*1.06)*1.04</f>
        <v>0.67896816</v>
      </c>
      <c r="U34" s="365" t="n">
        <v>0</v>
      </c>
      <c r="V34" s="141" t="n">
        <v>307</v>
      </c>
      <c r="W34" s="141" t="n">
        <v>0</v>
      </c>
      <c r="X34" s="142" t="n">
        <f aca="false">M34-N34-O34-P34-Q34-R34-S34-T34-U34+V34+W34-AT34</f>
        <v>315.648928481528</v>
      </c>
      <c r="Y34" s="142" t="n">
        <f aca="false">X34-AO34</f>
        <v>315.648928481528</v>
      </c>
      <c r="Z34" s="113" t="n">
        <f aca="false">Z33+AP34</f>
        <v>5903.37964881464</v>
      </c>
      <c r="AA34" s="142"/>
      <c r="AB34" s="113" t="n">
        <f aca="false">AB33+(Y34+AP34-V34)*1.9835</f>
        <v>11942.3906051347</v>
      </c>
      <c r="AC34" s="113" t="n">
        <f aca="false">AC33-(AQ33/1.9835)</f>
        <v>1679.10262506787</v>
      </c>
      <c r="AD34" s="102"/>
      <c r="AE34" s="141" t="n">
        <v>16.8</v>
      </c>
      <c r="AF34" s="144" t="n">
        <v>1.7</v>
      </c>
      <c r="AG34" s="145" t="n">
        <v>1.3</v>
      </c>
      <c r="AH34" s="141" t="n">
        <v>28.8</v>
      </c>
      <c r="AI34" s="84" t="n">
        <f aca="false">AI33-AH34</f>
        <v>14048.3492311571</v>
      </c>
      <c r="AJ34" s="102"/>
      <c r="AK34" s="141" t="n">
        <f aca="false">N34+O34+P34+Q34+R34+S34+T34+U34+X34+AE34+AH34</f>
        <v>429.6</v>
      </c>
      <c r="AL34" s="141" t="n">
        <f aca="false">IF(L34&lt;0,L34*-1,0)</f>
        <v>68.534660952861</v>
      </c>
      <c r="AM34" s="376" t="n">
        <f aca="false">AK34+AL34</f>
        <v>498.134660952861</v>
      </c>
      <c r="AN34" s="224" t="n">
        <f aca="false">V34</f>
        <v>307</v>
      </c>
      <c r="AO34" s="102"/>
      <c r="AP34" s="157" t="n">
        <f aca="false">795-X34</f>
        <v>479.351071518472</v>
      </c>
      <c r="AQ34" s="158" t="n">
        <f aca="false">34.679*(Z34*1.9835+AC34*1.9835)/E34</f>
        <v>10.1892451874685</v>
      </c>
      <c r="AR34" s="158"/>
      <c r="AS34" s="106"/>
      <c r="AT34" s="11" t="n">
        <v>0</v>
      </c>
      <c r="AU34" s="1"/>
      <c r="AV34" s="107" t="n">
        <v>0</v>
      </c>
      <c r="AW34" s="149" t="n">
        <v>71</v>
      </c>
      <c r="AX34" s="108" t="n">
        <v>37</v>
      </c>
      <c r="AY34" s="148"/>
      <c r="AZ34" s="264" t="n">
        <f aca="false">SUM(N34,P34:U34)</f>
        <v>3.77607151847197</v>
      </c>
      <c r="BA34" s="0" t="n">
        <v>0</v>
      </c>
      <c r="BB34" s="148" t="n">
        <v>9493</v>
      </c>
    </row>
    <row r="35" customFormat="false" ht="12.95" hidden="false" customHeight="true" outlineLevel="0" collapsed="false">
      <c r="A35" s="10" t="n">
        <f aca="false">A34+1</f>
        <v>21</v>
      </c>
      <c r="B35" s="367" t="n">
        <v>6876.24</v>
      </c>
      <c r="C35" s="99" t="n">
        <v>205108</v>
      </c>
      <c r="D35" s="108" t="n">
        <f aca="false">C35-C34</f>
        <v>1920</v>
      </c>
      <c r="E35" s="99" t="n">
        <f aca="false">C35-152000</f>
        <v>53108</v>
      </c>
      <c r="F35" s="151" t="n">
        <f aca="false">D35/$D$2</f>
        <v>967.985883539198</v>
      </c>
      <c r="G35" s="141" t="n">
        <v>1330</v>
      </c>
      <c r="H35" s="141" t="n">
        <v>103</v>
      </c>
      <c r="I35" s="141" t="n">
        <f aca="false">G35+H35</f>
        <v>1433</v>
      </c>
      <c r="J35" s="375" t="n">
        <f aca="false">IF(L35&gt;0,L35,0)</f>
        <v>0</v>
      </c>
      <c r="K35" s="141" t="n">
        <f aca="false">I35+J35</f>
        <v>1433</v>
      </c>
      <c r="L35" s="141" t="n">
        <f aca="false">F35-(I35-AK35)</f>
        <v>-115.614116460802</v>
      </c>
      <c r="M35" s="144" t="n">
        <v>77.6</v>
      </c>
      <c r="N35" s="171" t="n">
        <v>0</v>
      </c>
      <c r="O35" s="376" t="n">
        <f aca="false">68.3*1.05</f>
        <v>71.715</v>
      </c>
      <c r="P35" s="88" t="n">
        <v>0</v>
      </c>
      <c r="Q35" s="346" t="n">
        <f aca="false">942200/325851/1.9835*1.02</f>
        <v>1.48693508411444</v>
      </c>
      <c r="R35" s="138" t="n">
        <f aca="false">((2310400/646272)*1.04)-T35</f>
        <v>3.03899579325807</v>
      </c>
      <c r="S35" s="138" t="n">
        <v>0</v>
      </c>
      <c r="T35" s="138" t="n">
        <f aca="false">(0.6159*1.06)*1.04</f>
        <v>0.67896816</v>
      </c>
      <c r="U35" s="365" t="n">
        <v>0</v>
      </c>
      <c r="V35" s="141" t="n">
        <v>243</v>
      </c>
      <c r="W35" s="141" t="n">
        <v>0</v>
      </c>
      <c r="X35" s="142" t="n">
        <f aca="false">M35-N35-O35-P35-Q35-R35-S35-T35-U35+V35+W35-AT35</f>
        <v>243.680100962627</v>
      </c>
      <c r="Y35" s="142" t="n">
        <f aca="false">X35-AO35</f>
        <v>243.680100962627</v>
      </c>
      <c r="Z35" s="113" t="n">
        <f aca="false">Z34+AP35</f>
        <v>6454.69954785202</v>
      </c>
      <c r="AA35" s="142"/>
      <c r="AB35" s="113" t="n">
        <f aca="false">AB34+(Y35+AP35-V35)*1.9835</f>
        <v>13037.2826051347</v>
      </c>
      <c r="AC35" s="113" t="n">
        <f aca="false">AC34-(AQ34/1.9835)</f>
        <v>1673.96562220048</v>
      </c>
      <c r="AD35" s="102"/>
      <c r="AE35" s="141" t="n">
        <v>0</v>
      </c>
      <c r="AF35" s="144" t="n">
        <v>1.7</v>
      </c>
      <c r="AG35" s="145" t="n">
        <v>1.3</v>
      </c>
      <c r="AH35" s="141" t="n">
        <v>28.8</v>
      </c>
      <c r="AI35" s="84" t="n">
        <f aca="false">AI34-AH35</f>
        <v>14019.5492311571</v>
      </c>
      <c r="AJ35" s="102"/>
      <c r="AK35" s="141" t="n">
        <f aca="false">N35+O35+P35+Q35+R35+S35+T35+U35+X35+AE35+AH35</f>
        <v>349.4</v>
      </c>
      <c r="AL35" s="141" t="n">
        <f aca="false">IF(L35&lt;0,L35*-1,0)</f>
        <v>115.614116460802</v>
      </c>
      <c r="AM35" s="376" t="n">
        <f aca="false">AK35+AL35</f>
        <v>465.014116460802</v>
      </c>
      <c r="AN35" s="224" t="n">
        <f aca="false">V35</f>
        <v>243</v>
      </c>
      <c r="AO35" s="102"/>
      <c r="AP35" s="157" t="n">
        <f aca="false">795-X35</f>
        <v>551.319899037373</v>
      </c>
      <c r="AQ35" s="158" t="n">
        <f aca="false">78.908*(Z35*1.9835+AC35*1.9835)/E35</f>
        <v>23.955902062619</v>
      </c>
      <c r="AR35" s="158"/>
      <c r="AS35" s="106"/>
      <c r="AT35" s="11" t="n">
        <v>0</v>
      </c>
      <c r="AU35" s="1"/>
      <c r="AV35" s="107" t="n">
        <v>0</v>
      </c>
      <c r="AW35" s="108" t="n">
        <v>73</v>
      </c>
      <c r="AX35" s="108" t="n">
        <v>40</v>
      </c>
      <c r="AY35" s="148"/>
      <c r="AZ35" s="264" t="n">
        <f aca="false">SUM(N35,P35:U35)</f>
        <v>5.20489903737251</v>
      </c>
      <c r="BA35" s="0" t="n">
        <v>0</v>
      </c>
      <c r="BB35" s="148" t="n">
        <v>9727</v>
      </c>
    </row>
    <row r="36" customFormat="false" ht="12.95" hidden="false" customHeight="true" outlineLevel="0" collapsed="false">
      <c r="A36" s="10" t="n">
        <f aca="false">A35+1</f>
        <v>22</v>
      </c>
      <c r="B36" s="367" t="n">
        <v>6877.18</v>
      </c>
      <c r="C36" s="99" t="n">
        <v>207829</v>
      </c>
      <c r="D36" s="108" t="n">
        <f aca="false">C36-C35</f>
        <v>2721</v>
      </c>
      <c r="E36" s="99" t="n">
        <f aca="false">C36-152000</f>
        <v>55829</v>
      </c>
      <c r="F36" s="151" t="n">
        <f aca="false">D36/$D$2</f>
        <v>1371.81749432821</v>
      </c>
      <c r="G36" s="141" t="n">
        <v>1580</v>
      </c>
      <c r="H36" s="141" t="n">
        <v>87</v>
      </c>
      <c r="I36" s="141" t="n">
        <f aca="false">G36+H36</f>
        <v>1667</v>
      </c>
      <c r="J36" s="375" t="n">
        <f aca="false">IF(L36&gt;0,L36,0)</f>
        <v>0</v>
      </c>
      <c r="K36" s="141" t="n">
        <f aca="false">I36+J36</f>
        <v>1667</v>
      </c>
      <c r="L36" s="141" t="n">
        <f aca="false">F36-(I36-AK36)</f>
        <v>-59.1825056717923</v>
      </c>
      <c r="M36" s="144" t="n">
        <v>76.4</v>
      </c>
      <c r="N36" s="171" t="n">
        <v>0</v>
      </c>
      <c r="O36" s="376" t="n">
        <f aca="false">55.4*1.05</f>
        <v>58.17</v>
      </c>
      <c r="P36" s="88" t="n">
        <v>0</v>
      </c>
      <c r="Q36" s="346" t="n">
        <f aca="false">1026100/325851/1.9835*1.02</f>
        <v>1.61934206093168</v>
      </c>
      <c r="R36" s="138" t="n">
        <f aca="false">((2271968/646272)*1.04)-T36</f>
        <v>2.97714988317687</v>
      </c>
      <c r="S36" s="138" t="n">
        <v>0</v>
      </c>
      <c r="T36" s="138" t="n">
        <f aca="false">(0.6159*1.06)*1.04</f>
        <v>0.67896816</v>
      </c>
      <c r="U36" s="365" t="n">
        <v>0</v>
      </c>
      <c r="V36" s="141" t="n">
        <v>119</v>
      </c>
      <c r="W36" s="141" t="n">
        <v>0</v>
      </c>
      <c r="X36" s="142" t="n">
        <f aca="false">M36-N36-O36-P36-Q36-R36-S36-T36-U36+V36+W36-AT36</f>
        <v>131.954539895891</v>
      </c>
      <c r="Y36" s="142" t="n">
        <f aca="false">X36-AO36</f>
        <v>131.954539895891</v>
      </c>
      <c r="Z36" s="113" t="n">
        <f aca="false">Z35+AP36</f>
        <v>7117.74500795612</v>
      </c>
      <c r="AA36" s="142"/>
      <c r="AB36" s="113" t="n">
        <f aca="false">AB35+(Y36+AP36-V36)*1.9835</f>
        <v>14378.1286051347</v>
      </c>
      <c r="AC36" s="113" t="n">
        <f aca="false">AC35-(AQ35/1.9835)</f>
        <v>1661.88803104211</v>
      </c>
      <c r="AD36" s="102"/>
      <c r="AE36" s="141" t="n">
        <v>11.8</v>
      </c>
      <c r="AF36" s="144" t="n">
        <v>1.7</v>
      </c>
      <c r="AG36" s="145" t="n">
        <v>1.3</v>
      </c>
      <c r="AH36" s="141" t="n">
        <v>28.8</v>
      </c>
      <c r="AI36" s="84" t="n">
        <f aca="false">AI35-AH36</f>
        <v>13990.7492311571</v>
      </c>
      <c r="AJ36" s="102"/>
      <c r="AK36" s="141" t="n">
        <f aca="false">N36+O36+P36+Q36+R36+S36+T36+U36+X36+AE36+AH36</f>
        <v>236</v>
      </c>
      <c r="AL36" s="141" t="n">
        <f aca="false">IF(L36&lt;0,L36*-1,0)</f>
        <v>59.1825056717923</v>
      </c>
      <c r="AM36" s="376" t="n">
        <f aca="false">AK36+AL36</f>
        <v>295.182505671792</v>
      </c>
      <c r="AN36" s="224" t="n">
        <f aca="false">V36</f>
        <v>119</v>
      </c>
      <c r="AO36" s="102"/>
      <c r="AP36" s="157" t="n">
        <f aca="false">795-X36</f>
        <v>663.045460104109</v>
      </c>
      <c r="AQ36" s="158" t="n">
        <f aca="false">45.245*(Z36*1.9835+AC36*1.9835)/E36</f>
        <v>14.1129990596452</v>
      </c>
      <c r="AR36" s="158"/>
      <c r="AS36" s="106"/>
      <c r="AT36" s="11" t="n">
        <v>0</v>
      </c>
      <c r="AU36" s="1"/>
      <c r="AV36" s="107" t="n">
        <v>0</v>
      </c>
      <c r="AW36" s="108" t="n">
        <v>73</v>
      </c>
      <c r="AX36" s="108" t="n">
        <v>43</v>
      </c>
      <c r="AY36" s="148"/>
      <c r="AZ36" s="264" t="n">
        <f aca="false">SUM(N36,P36:U36)</f>
        <v>5.27546010410854</v>
      </c>
      <c r="BA36" s="0" t="n">
        <v>0</v>
      </c>
      <c r="BB36" s="148" t="n">
        <v>10011</v>
      </c>
    </row>
    <row r="37" customFormat="false" ht="12.95" hidden="false" customHeight="true" outlineLevel="0" collapsed="false">
      <c r="A37" s="10" t="n">
        <f aca="false">A36+1</f>
        <v>23</v>
      </c>
      <c r="B37" s="367" t="n">
        <v>6878.13</v>
      </c>
      <c r="C37" s="99" t="n">
        <v>210609</v>
      </c>
      <c r="D37" s="108" t="n">
        <f aca="false">C37-C36</f>
        <v>2780</v>
      </c>
      <c r="E37" s="99" t="n">
        <f aca="false">C37-152000</f>
        <v>58609</v>
      </c>
      <c r="F37" s="151" t="n">
        <f aca="false">D37/$D$2</f>
        <v>1401.56289387446</v>
      </c>
      <c r="G37" s="141" t="n">
        <v>1540</v>
      </c>
      <c r="H37" s="141" t="n">
        <v>47.7</v>
      </c>
      <c r="I37" s="141" t="n">
        <f aca="false">G37+H37</f>
        <v>1587.7</v>
      </c>
      <c r="J37" s="375" t="n">
        <f aca="false">IF(L37&gt;0,L37,0)</f>
        <v>0</v>
      </c>
      <c r="K37" s="141" t="n">
        <f aca="false">I37+J37</f>
        <v>1587.7</v>
      </c>
      <c r="L37" s="141" t="n">
        <f aca="false">F37-(I37-AK37)</f>
        <v>-32.2371061255355</v>
      </c>
      <c r="M37" s="144" t="n">
        <v>73.9</v>
      </c>
      <c r="N37" s="171" t="n">
        <v>0</v>
      </c>
      <c r="O37" s="376" t="n">
        <f aca="false">50.6*1.05</f>
        <v>53.13</v>
      </c>
      <c r="P37" s="88" t="n">
        <v>0</v>
      </c>
      <c r="Q37" s="346" t="n">
        <f aca="false">1090000/325851/1.9835*1.02</f>
        <v>1.72018599202371</v>
      </c>
      <c r="R37" s="138" t="n">
        <f aca="false">((2377152/646272)*1.04)-T37</f>
        <v>3.14641508420677</v>
      </c>
      <c r="S37" s="138" t="n">
        <v>0</v>
      </c>
      <c r="T37" s="138" t="n">
        <f aca="false">(0.6159*1.06)*1.04</f>
        <v>0.67896816</v>
      </c>
      <c r="U37" s="365" t="n">
        <v>0</v>
      </c>
      <c r="V37" s="141" t="n">
        <v>25.9</v>
      </c>
      <c r="W37" s="141" t="n">
        <v>0</v>
      </c>
      <c r="X37" s="142" t="n">
        <f aca="false">M37-N37-O37-P37-Q37-R37-S37-T37-U37+V37+W37-AT37</f>
        <v>41.1244307637695</v>
      </c>
      <c r="Y37" s="142" t="n">
        <f aca="false">X37-AO37</f>
        <v>41.1244307637695</v>
      </c>
      <c r="Z37" s="113" t="n">
        <f aca="false">Z36+AP37</f>
        <v>7871.62057719235</v>
      </c>
      <c r="AA37" s="142"/>
      <c r="AB37" s="113" t="n">
        <f aca="false">AB36+(Y37+AP37-V37)*1.9835</f>
        <v>15903.6384551347</v>
      </c>
      <c r="AC37" s="113" t="n">
        <f aca="false">AC36-(AQ36/1.9835)</f>
        <v>1654.77283111287</v>
      </c>
      <c r="AD37" s="102"/>
      <c r="AE37" s="141" t="n">
        <v>25.2</v>
      </c>
      <c r="AF37" s="144" t="n">
        <v>1.7</v>
      </c>
      <c r="AG37" s="145" t="n">
        <v>1.3</v>
      </c>
      <c r="AH37" s="141" t="n">
        <v>28.9</v>
      </c>
      <c r="AI37" s="84" t="n">
        <f aca="false">AI36-AH37</f>
        <v>13961.8492311571</v>
      </c>
      <c r="AJ37" s="102"/>
      <c r="AK37" s="141" t="n">
        <f aca="false">N37+O37+P37+Q37+R37+S37+T37+U37+X37+AE37+AH37</f>
        <v>153.9</v>
      </c>
      <c r="AL37" s="141" t="n">
        <f aca="false">IF(L37&lt;0,L37*-1,0)</f>
        <v>32.2371061255355</v>
      </c>
      <c r="AM37" s="376" t="n">
        <f aca="false">AK37+AL37</f>
        <v>186.137106125536</v>
      </c>
      <c r="AN37" s="224" t="n">
        <f aca="false">V37</f>
        <v>25.9</v>
      </c>
      <c r="AO37" s="102"/>
      <c r="AP37" s="157" t="n">
        <f aca="false">795-X37</f>
        <v>753.87556923623</v>
      </c>
      <c r="AQ37" s="158" t="n">
        <f aca="false">33.763*(Z37*1.9835+AC37*1.9835)/E37</f>
        <v>10.8852256061114</v>
      </c>
      <c r="AR37" s="158"/>
      <c r="AS37" s="106"/>
      <c r="AT37" s="11" t="n">
        <v>0</v>
      </c>
      <c r="AU37" s="1"/>
      <c r="AV37" s="107" t="n">
        <v>0</v>
      </c>
      <c r="AW37" s="108" t="n">
        <v>63</v>
      </c>
      <c r="AX37" s="149" t="n">
        <v>32</v>
      </c>
      <c r="AY37" s="148"/>
      <c r="AZ37" s="264" t="n">
        <f aca="false">SUM(N37,P37:U37)</f>
        <v>5.54556923623048</v>
      </c>
      <c r="BA37" s="0" t="n">
        <v>0</v>
      </c>
      <c r="BB37" s="148" t="n">
        <v>10240</v>
      </c>
    </row>
    <row r="38" customFormat="false" ht="12.95" hidden="false" customHeight="true" outlineLevel="0" collapsed="false">
      <c r="A38" s="10" t="n">
        <f aca="false">A37+1</f>
        <v>24</v>
      </c>
      <c r="B38" s="367" t="n">
        <v>6878.85</v>
      </c>
      <c r="C38" s="99" t="n">
        <v>212736</v>
      </c>
      <c r="D38" s="108" t="n">
        <f aca="false">C38-C37</f>
        <v>2127</v>
      </c>
      <c r="E38" s="99" t="n">
        <f aca="false">C38-152000</f>
        <v>60736</v>
      </c>
      <c r="F38" s="151" t="n">
        <f aca="false">D38/$D$2</f>
        <v>1072.34686160827</v>
      </c>
      <c r="G38" s="141" t="n">
        <v>1210</v>
      </c>
      <c r="H38" s="141" t="n">
        <v>19.3</v>
      </c>
      <c r="I38" s="141" t="n">
        <f aca="false">G38+H38</f>
        <v>1229.3</v>
      </c>
      <c r="J38" s="375" t="n">
        <f aca="false">IF(L38&gt;0,L38,0)</f>
        <v>0</v>
      </c>
      <c r="K38" s="141" t="n">
        <f aca="false">I38+J38</f>
        <v>1229.3</v>
      </c>
      <c r="L38" s="141" t="n">
        <f aca="false">F38-(I38-AK38)</f>
        <v>-7.95313839173173</v>
      </c>
      <c r="M38" s="144" t="n">
        <v>81.3</v>
      </c>
      <c r="N38" s="171" t="n">
        <v>0</v>
      </c>
      <c r="O38" s="376" t="n">
        <f aca="false">56.2*1.05</f>
        <v>59.01</v>
      </c>
      <c r="P38" s="88" t="n">
        <v>0</v>
      </c>
      <c r="Q38" s="346" t="n">
        <f aca="false">1165900/325851/1.9835*1.02</f>
        <v>1.83996775055086</v>
      </c>
      <c r="R38" s="138" t="n">
        <f aca="false">((2417344/646272)*1.04)-T38</f>
        <v>3.21109323829669</v>
      </c>
      <c r="S38" s="138" t="n">
        <v>0</v>
      </c>
      <c r="T38" s="138" t="n">
        <f aca="false">(0.6159*1.06)*1.04</f>
        <v>0.67896816</v>
      </c>
      <c r="U38" s="365" t="n">
        <v>0</v>
      </c>
      <c r="V38" s="141" t="n">
        <v>24.6</v>
      </c>
      <c r="W38" s="141" t="n">
        <v>0</v>
      </c>
      <c r="X38" s="142" t="n">
        <f aca="false">M38-N38-O38-P38-Q38-R38-S38-T38-U38+V38+W38-AT38</f>
        <v>41.1599708511524</v>
      </c>
      <c r="Y38" s="142" t="n">
        <f aca="false">X38-AO38</f>
        <v>41.1599708511524</v>
      </c>
      <c r="Z38" s="113" t="n">
        <f aca="false">Z37+AP38</f>
        <v>8625.4606063412</v>
      </c>
      <c r="AA38" s="142"/>
      <c r="AB38" s="113" t="n">
        <f aca="false">AB37+(Y38+AP38-V38)*1.9835</f>
        <v>17431.7268551347</v>
      </c>
      <c r="AC38" s="113" t="n">
        <f aca="false">AC37-(AQ37/1.9835)</f>
        <v>1649.28494323482</v>
      </c>
      <c r="AD38" s="102"/>
      <c r="AE38" s="141" t="n">
        <v>13.8</v>
      </c>
      <c r="AF38" s="144" t="n">
        <v>1.7</v>
      </c>
      <c r="AG38" s="145" t="n">
        <v>1.3</v>
      </c>
      <c r="AH38" s="141" t="n">
        <v>29.3</v>
      </c>
      <c r="AI38" s="84" t="n">
        <f aca="false">AI37-AH38</f>
        <v>13932.5492311571</v>
      </c>
      <c r="AJ38" s="102"/>
      <c r="AK38" s="141" t="n">
        <f aca="false">N38+O38+P38+Q38+R38+S38+T38+U38+X38+AE38+AH38</f>
        <v>149</v>
      </c>
      <c r="AL38" s="141" t="n">
        <f aca="false">IF(L38&lt;0,L38*-1,0)</f>
        <v>7.95313839173173</v>
      </c>
      <c r="AM38" s="376" t="n">
        <f aca="false">AK38+AL38</f>
        <v>156.953138391732</v>
      </c>
      <c r="AN38" s="224" t="n">
        <f aca="false">V38</f>
        <v>24.6</v>
      </c>
      <c r="AO38" s="102"/>
      <c r="AP38" s="157" t="n">
        <f aca="false">795-X38</f>
        <v>753.840029148848</v>
      </c>
      <c r="AQ38" s="158" t="n">
        <f aca="false">24.775*(Z38*1.9835+AC38*1.9835)/E38</f>
        <v>8.31324839362396</v>
      </c>
      <c r="AR38" s="158"/>
      <c r="AS38" s="106"/>
      <c r="AT38" s="11" t="n">
        <v>0</v>
      </c>
      <c r="AU38" s="1"/>
      <c r="AV38" s="107" t="n">
        <v>0</v>
      </c>
      <c r="AW38" s="108" t="n">
        <v>65</v>
      </c>
      <c r="AX38" s="149" t="n">
        <v>27</v>
      </c>
      <c r="AY38" s="148"/>
      <c r="AZ38" s="264" t="n">
        <f aca="false">SUM(N38,P38:U38)</f>
        <v>5.73002914884756</v>
      </c>
      <c r="BA38" s="0" t="n">
        <v>0</v>
      </c>
      <c r="BB38" s="148" t="n">
        <v>10443</v>
      </c>
    </row>
    <row r="39" customFormat="false" ht="12.95" hidden="false" customHeight="true" outlineLevel="0" collapsed="false">
      <c r="A39" s="10" t="n">
        <f aca="false">A38+1</f>
        <v>25</v>
      </c>
      <c r="B39" s="367" t="n">
        <v>6879.53</v>
      </c>
      <c r="C39" s="99" t="n">
        <v>214761</v>
      </c>
      <c r="D39" s="108" t="n">
        <f aca="false">C39-C38</f>
        <v>2025</v>
      </c>
      <c r="E39" s="99" t="n">
        <f aca="false">C39-152000</f>
        <v>62761</v>
      </c>
      <c r="F39" s="151" t="n">
        <f aca="false">D39/$D$2</f>
        <v>1020.92261154525</v>
      </c>
      <c r="G39" s="141" t="n">
        <v>1220</v>
      </c>
      <c r="H39" s="141" t="n">
        <v>7.17</v>
      </c>
      <c r="I39" s="141" t="n">
        <f aca="false">G39+H39</f>
        <v>1227.17</v>
      </c>
      <c r="J39" s="375" t="n">
        <f aca="false">IF(L39&gt;0,L39,0)</f>
        <v>0</v>
      </c>
      <c r="K39" s="141" t="n">
        <f aca="false">I39+J39</f>
        <v>1227.17</v>
      </c>
      <c r="L39" s="141" t="n">
        <f aca="false">F39-(I39-AK39)</f>
        <v>-38.7473884547518</v>
      </c>
      <c r="M39" s="144" t="n">
        <v>87.5</v>
      </c>
      <c r="N39" s="171" t="n">
        <v>0</v>
      </c>
      <c r="O39" s="376" t="n">
        <f aca="false">54.6*1.05</f>
        <v>57.33</v>
      </c>
      <c r="P39" s="88" t="n">
        <v>0</v>
      </c>
      <c r="Q39" s="346" t="n">
        <f aca="false">1059200/325851/1.9835*1.02</f>
        <v>1.67157890160689</v>
      </c>
      <c r="R39" s="138" t="n">
        <f aca="false">((2363328/646272)*1.04)-T39</f>
        <v>3.09462477490196</v>
      </c>
      <c r="S39" s="138" t="n">
        <v>0</v>
      </c>
      <c r="T39" s="138" t="n">
        <f aca="false">(0.6427*1.06)*1.04</f>
        <v>0.70851248</v>
      </c>
      <c r="U39" s="365" t="n">
        <v>0</v>
      </c>
      <c r="V39" s="141" t="n">
        <v>25.1</v>
      </c>
      <c r="W39" s="141" t="n">
        <v>0</v>
      </c>
      <c r="X39" s="142" t="n">
        <f aca="false">M39-N39-O39-P39-Q39-R39-S39-T39-U39+V39+W39-AT39</f>
        <v>49.7952838434911</v>
      </c>
      <c r="Y39" s="142" t="n">
        <f aca="false">X39-AO39</f>
        <v>49.7952838434911</v>
      </c>
      <c r="Z39" s="113" t="n">
        <f aca="false">Z38+AP39</f>
        <v>9370.66532249771</v>
      </c>
      <c r="AA39" s="142"/>
      <c r="AB39" s="113" t="n">
        <f aca="false">AB38+(Y39+AP39-V39)*1.9835</f>
        <v>18958.8235051347</v>
      </c>
      <c r="AC39" s="113" t="n">
        <f aca="false">AC38-(AQ38/1.9835)</f>
        <v>1645.09374162473</v>
      </c>
      <c r="AD39" s="102"/>
      <c r="AE39" s="141" t="n">
        <v>25.6</v>
      </c>
      <c r="AF39" s="144" t="n">
        <v>1.7</v>
      </c>
      <c r="AG39" s="145" t="n">
        <v>1.3</v>
      </c>
      <c r="AH39" s="141" t="n">
        <v>29.3</v>
      </c>
      <c r="AI39" s="84" t="n">
        <f aca="false">AI38-AH39</f>
        <v>13903.2492311571</v>
      </c>
      <c r="AJ39" s="102"/>
      <c r="AK39" s="141" t="n">
        <f aca="false">N39+O39+P39+Q39+R39+S39+T39+U39+X39+AE39+AH39</f>
        <v>167.5</v>
      </c>
      <c r="AL39" s="141" t="n">
        <f aca="false">IF(L39&lt;0,L39*-1,0)</f>
        <v>38.7473884547518</v>
      </c>
      <c r="AM39" s="376" t="n">
        <f aca="false">AK39+AL39</f>
        <v>206.247388454752</v>
      </c>
      <c r="AN39" s="224" t="n">
        <f aca="false">V39</f>
        <v>25.1</v>
      </c>
      <c r="AO39" s="102"/>
      <c r="AP39" s="157" t="n">
        <f aca="false">795-X39</f>
        <v>745.204716156509</v>
      </c>
      <c r="AQ39" s="158" t="n">
        <f aca="false">41.853*(Z39*1.9835+AC39*1.9835)/E39</f>
        <v>14.5707991573367</v>
      </c>
      <c r="AR39" s="158"/>
      <c r="AS39" s="106"/>
      <c r="AT39" s="11" t="n">
        <v>0</v>
      </c>
      <c r="AU39" s="1"/>
      <c r="AV39" s="107" t="n">
        <v>0</v>
      </c>
      <c r="AW39" s="108" t="n">
        <v>72</v>
      </c>
      <c r="AX39" s="149" t="n">
        <v>35</v>
      </c>
      <c r="AY39" s="148"/>
      <c r="AZ39" s="264" t="n">
        <f aca="false">SUM(N39,P39:U39)</f>
        <v>5.47471615650885</v>
      </c>
      <c r="BA39" s="0" t="n">
        <v>0</v>
      </c>
      <c r="BB39" s="148" t="n">
        <v>10580</v>
      </c>
    </row>
    <row r="40" customFormat="false" ht="12.95" hidden="false" customHeight="true" outlineLevel="0" collapsed="false">
      <c r="A40" s="10" t="n">
        <f aca="false">A39+1</f>
        <v>26</v>
      </c>
      <c r="B40" s="367" t="n">
        <v>6880.48</v>
      </c>
      <c r="C40" s="99" t="n">
        <v>217616</v>
      </c>
      <c r="D40" s="108" t="n">
        <f aca="false">C40-C39</f>
        <v>2855</v>
      </c>
      <c r="E40" s="99" t="n">
        <f aca="false">C40-152000</f>
        <v>65616</v>
      </c>
      <c r="F40" s="151" t="n">
        <f aca="false">D40/$D$2</f>
        <v>1439.37484245021</v>
      </c>
      <c r="G40" s="141" t="n">
        <v>1480</v>
      </c>
      <c r="H40" s="141" t="n">
        <v>10.9</v>
      </c>
      <c r="I40" s="141" t="n">
        <f aca="false">G40+H40</f>
        <v>1490.9</v>
      </c>
      <c r="J40" s="375" t="n">
        <f aca="false">IF(L40&gt;0,L40,0)</f>
        <v>72.014842450214</v>
      </c>
      <c r="K40" s="141" t="n">
        <f aca="false">I40+J40</f>
        <v>1562.91484245021</v>
      </c>
      <c r="L40" s="141" t="n">
        <f aca="false">F40-(I40-AK40)</f>
        <v>72.014842450214</v>
      </c>
      <c r="M40" s="144" t="n">
        <v>67.1</v>
      </c>
      <c r="N40" s="171" t="n">
        <v>0</v>
      </c>
      <c r="O40" s="4" t="n">
        <f aca="false">40.5*1.05</f>
        <v>42.525</v>
      </c>
      <c r="P40" s="88" t="n">
        <v>0</v>
      </c>
      <c r="Q40" s="346" t="n">
        <f aca="false">1010000/325851/1.9835*1.02</f>
        <v>1.59393380912288</v>
      </c>
      <c r="R40" s="138" t="n">
        <f aca="false">((2304448/646272)*1.04)-T40</f>
        <v>2.99987333897405</v>
      </c>
      <c r="S40" s="138" t="n">
        <v>0</v>
      </c>
      <c r="T40" s="138" t="n">
        <f aca="false">(0.6427*1.06)*1.04</f>
        <v>0.70851248</v>
      </c>
      <c r="U40" s="365" t="n">
        <v>0</v>
      </c>
      <c r="V40" s="141" t="n">
        <v>17.7</v>
      </c>
      <c r="W40" s="141" t="n">
        <v>0</v>
      </c>
      <c r="X40" s="142" t="n">
        <f aca="false">M40-N40-O40-P40-Q40-R40-S40-T40-U40+V40+W40-AT40</f>
        <v>36.9726803719031</v>
      </c>
      <c r="Y40" s="142" t="n">
        <f aca="false">X40-AO40</f>
        <v>36.9726803719031</v>
      </c>
      <c r="Z40" s="113" t="n">
        <f aca="false">Z39+AP40</f>
        <v>10128.6926421258</v>
      </c>
      <c r="AA40" s="142"/>
      <c r="AB40" s="113" t="n">
        <f aca="false">AB39+(Y40+AP40-V40)*1.9835</f>
        <v>20500.5980551347</v>
      </c>
      <c r="AC40" s="113" t="n">
        <f aca="false">AC39-(AQ39/1.9835)</f>
        <v>1637.74773751213</v>
      </c>
      <c r="AD40" s="102"/>
      <c r="AE40" s="141" t="n">
        <v>9.24</v>
      </c>
      <c r="AF40" s="144" t="n">
        <v>1.7</v>
      </c>
      <c r="AG40" s="145" t="n">
        <v>1.3</v>
      </c>
      <c r="AH40" s="141" t="n">
        <v>29.5</v>
      </c>
      <c r="AI40" s="84" t="n">
        <f aca="false">AI39-AH40</f>
        <v>13873.7492311571</v>
      </c>
      <c r="AJ40" s="102"/>
      <c r="AK40" s="141" t="n">
        <f aca="false">N40+O40+P40+Q40+R40+S40+T40+U40+X40+AE40+AH40</f>
        <v>123.54</v>
      </c>
      <c r="AL40" s="141" t="n">
        <f aca="false">IF(L40&lt;0,L40*-1,0)</f>
        <v>0</v>
      </c>
      <c r="AM40" s="376" t="n">
        <f aca="false">AK40+AL40</f>
        <v>123.54</v>
      </c>
      <c r="AN40" s="224" t="n">
        <f aca="false">V40</f>
        <v>17.7</v>
      </c>
      <c r="AO40" s="102"/>
      <c r="AP40" s="157" t="n">
        <f aca="false">795-X40</f>
        <v>758.027319628097</v>
      </c>
      <c r="AQ40" s="158" t="n">
        <f aca="false">0*(Z40*1.9835+AC40*1.9835)/E40</f>
        <v>0</v>
      </c>
      <c r="AR40" s="158"/>
      <c r="AS40" s="106"/>
      <c r="AT40" s="4" t="n">
        <v>0</v>
      </c>
      <c r="AU40" s="1"/>
      <c r="AV40" s="107" t="n">
        <v>0.13</v>
      </c>
      <c r="AW40" s="108" t="n">
        <v>60</v>
      </c>
      <c r="AX40" s="108" t="n">
        <v>30</v>
      </c>
      <c r="AY40" s="148"/>
      <c r="AZ40" s="264" t="n">
        <f aca="false">SUM(N40,P40:U40)</f>
        <v>5.30231962809694</v>
      </c>
      <c r="BA40" s="0" t="n">
        <v>0</v>
      </c>
      <c r="BB40" s="148" t="n">
        <v>10781</v>
      </c>
    </row>
    <row r="41" customFormat="false" ht="12.95" hidden="false" customHeight="true" outlineLevel="0" collapsed="false">
      <c r="A41" s="10" t="n">
        <f aca="false">A40+1</f>
        <v>27</v>
      </c>
      <c r="B41" s="367" t="n">
        <v>6881.17</v>
      </c>
      <c r="C41" s="99" t="n">
        <v>219709</v>
      </c>
      <c r="D41" s="108" t="n">
        <f aca="false">C41-C40</f>
        <v>2093</v>
      </c>
      <c r="E41" s="99" t="n">
        <f aca="false">C41-152000</f>
        <v>67709</v>
      </c>
      <c r="F41" s="151" t="n">
        <f aca="false">D41/$D$2</f>
        <v>1055.20544492059</v>
      </c>
      <c r="G41" s="141" t="n">
        <v>1120</v>
      </c>
      <c r="H41" s="141" t="n">
        <v>6.68</v>
      </c>
      <c r="I41" s="141" t="n">
        <f aca="false">G41+H41</f>
        <v>1126.68</v>
      </c>
      <c r="J41" s="375" t="n">
        <f aca="false">IF(L41&gt;0,L41,0)</f>
        <v>7.62544492059465</v>
      </c>
      <c r="K41" s="141" t="n">
        <f aca="false">I41+J41</f>
        <v>1134.30544492059</v>
      </c>
      <c r="L41" s="141" t="n">
        <f aca="false">F41-(I41-AK41)</f>
        <v>7.62544492059465</v>
      </c>
      <c r="M41" s="144" t="n">
        <v>49.7</v>
      </c>
      <c r="N41" s="171" t="n">
        <v>0</v>
      </c>
      <c r="O41" s="376" t="n">
        <f aca="false">14.6*1.05</f>
        <v>15.33</v>
      </c>
      <c r="P41" s="88" t="n">
        <v>0</v>
      </c>
      <c r="Q41" s="346" t="n">
        <f aca="false">1029700/325851/1.9835*1.02</f>
        <v>1.62502340916221</v>
      </c>
      <c r="R41" s="138" t="n">
        <f aca="false">((2334208/646272)*1.04)-T41</f>
        <v>3.04776401039414</v>
      </c>
      <c r="S41" s="138" t="n">
        <v>0</v>
      </c>
      <c r="T41" s="138" t="n">
        <f aca="false">(0.6427*1.06)*1.04</f>
        <v>0.70851248</v>
      </c>
      <c r="U41" s="365" t="n">
        <v>0</v>
      </c>
      <c r="V41" s="141" t="n">
        <v>0</v>
      </c>
      <c r="W41" s="141" t="n">
        <v>0</v>
      </c>
      <c r="X41" s="142" t="n">
        <f aca="false">M41-N41-O41-P41-Q41-R41-S41-T41-U41+V41+W41-AT41</f>
        <v>28.9887001004437</v>
      </c>
      <c r="Y41" s="142" t="n">
        <f aca="false">X41-AO41</f>
        <v>28.9887001004437</v>
      </c>
      <c r="Z41" s="113" t="n">
        <f aca="false">Z40+AP41</f>
        <v>10894.7039420254</v>
      </c>
      <c r="AA41" s="142"/>
      <c r="AB41" s="113" t="n">
        <f aca="false">AB40+(Y41+AP41-V41)*1.9835</f>
        <v>22077.4805551347</v>
      </c>
      <c r="AC41" s="113" t="n">
        <f aca="false">AC40-(AQ40/1.9835)</f>
        <v>1637.74773751213</v>
      </c>
      <c r="AD41" s="102"/>
      <c r="AE41" s="141" t="n">
        <v>0</v>
      </c>
      <c r="AF41" s="144" t="n">
        <v>1.7</v>
      </c>
      <c r="AG41" s="145" t="n">
        <v>1.3</v>
      </c>
      <c r="AH41" s="141" t="n">
        <v>29.4</v>
      </c>
      <c r="AI41" s="84" t="n">
        <f aca="false">AI40-AH41</f>
        <v>13844.3492311571</v>
      </c>
      <c r="AJ41" s="102"/>
      <c r="AK41" s="141" t="n">
        <f aca="false">N41+O41+P41+Q41+R41+S41+T41+U41+X41+AE41+AH41</f>
        <v>79.1</v>
      </c>
      <c r="AL41" s="141" t="n">
        <f aca="false">IF(L41&lt;0,L41*-1,0)</f>
        <v>0</v>
      </c>
      <c r="AM41" s="376" t="n">
        <f aca="false">AK41+AL41</f>
        <v>79.1</v>
      </c>
      <c r="AN41" s="224" t="n">
        <f aca="false">V41</f>
        <v>0</v>
      </c>
      <c r="AO41" s="102"/>
      <c r="AP41" s="157" t="n">
        <f aca="false">795-X41</f>
        <v>766.011299899556</v>
      </c>
      <c r="AQ41" s="158" t="n">
        <f aca="false">0*(Z41*1.9835+AC41*1.9835)/E41</f>
        <v>0</v>
      </c>
      <c r="AR41" s="158"/>
      <c r="AS41" s="106"/>
      <c r="AT41" s="11" t="n">
        <v>0</v>
      </c>
      <c r="AU41" s="1"/>
      <c r="AV41" s="107" t="n">
        <v>0.57</v>
      </c>
      <c r="AW41" s="108" t="n">
        <v>51</v>
      </c>
      <c r="AX41" s="108" t="n">
        <v>27</v>
      </c>
      <c r="AY41" s="148"/>
      <c r="AZ41" s="264" t="n">
        <f aca="false">SUM(N41,P41:U41)</f>
        <v>5.38129989955635</v>
      </c>
      <c r="BA41" s="0" t="n">
        <v>0</v>
      </c>
      <c r="BB41" s="148" t="n">
        <v>10931</v>
      </c>
    </row>
    <row r="42" customFormat="false" ht="12.95" hidden="false" customHeight="true" outlineLevel="0" collapsed="false">
      <c r="A42" s="10" t="n">
        <f aca="false">A41+1</f>
        <v>28</v>
      </c>
      <c r="B42" s="367" t="n">
        <v>6881.63</v>
      </c>
      <c r="C42" s="99" t="n">
        <v>221119</v>
      </c>
      <c r="D42" s="108" t="n">
        <f aca="false">C42-C41</f>
        <v>1410</v>
      </c>
      <c r="E42" s="99" t="n">
        <f aca="false">C42-152000</f>
        <v>69119</v>
      </c>
      <c r="F42" s="151" t="n">
        <f aca="false">D42/$D$2</f>
        <v>710.864633224099</v>
      </c>
      <c r="G42" s="141" t="n">
        <v>858</v>
      </c>
      <c r="H42" s="141" t="n">
        <v>4.94</v>
      </c>
      <c r="I42" s="141" t="n">
        <f aca="false">G42+H42</f>
        <v>862.94</v>
      </c>
      <c r="J42" s="375" t="n">
        <f aca="false">IF(L42&gt;0,L42,0)</f>
        <v>12.6246332240988</v>
      </c>
      <c r="K42" s="141" t="n">
        <f aca="false">I42+J42</f>
        <v>875.564633224099</v>
      </c>
      <c r="L42" s="141" t="n">
        <f aca="false">F42-(I42-AK42)</f>
        <v>12.6246332240988</v>
      </c>
      <c r="M42" s="144" t="n">
        <v>51.5</v>
      </c>
      <c r="N42" s="171" t="n">
        <v>0</v>
      </c>
      <c r="O42" s="376" t="n">
        <f aca="false">23.6*1.05</f>
        <v>24.78</v>
      </c>
      <c r="P42" s="88" t="n">
        <v>0</v>
      </c>
      <c r="Q42" s="346" t="n">
        <f aca="false">1100100/325851/1.9835*1.02</f>
        <v>1.73612533011494</v>
      </c>
      <c r="R42" s="138" t="n">
        <f aca="false">((2400096/646272)*1.04)-T42</f>
        <v>3.15379292701129</v>
      </c>
      <c r="S42" s="138" t="n">
        <v>0</v>
      </c>
      <c r="T42" s="138" t="n">
        <f aca="false">(0.6427*1.06)*1.04</f>
        <v>0.70851248</v>
      </c>
      <c r="U42" s="365" t="n">
        <v>0</v>
      </c>
      <c r="V42" s="141" t="n">
        <v>64.2</v>
      </c>
      <c r="W42" s="141" t="n">
        <v>0</v>
      </c>
      <c r="X42" s="142" t="n">
        <f aca="false">M42-N42-O42-P42-Q42-R42-S42-T42-U42+V42+W42-AT42</f>
        <v>85.3215692628738</v>
      </c>
      <c r="Y42" s="142" t="n">
        <f aca="false">X42-AO42</f>
        <v>85.3215692628738</v>
      </c>
      <c r="Z42" s="113" t="n">
        <f aca="false">Z41+AP42</f>
        <v>11604.3823727625</v>
      </c>
      <c r="AA42" s="142"/>
      <c r="AB42" s="113" t="n">
        <f aca="false">AB41+(Y42+AP42-V42)*1.9835</f>
        <v>23527.0223551347</v>
      </c>
      <c r="AC42" s="113" t="n">
        <f aca="false">AC41-(AQ41/1.9835)</f>
        <v>1637.74773751213</v>
      </c>
      <c r="AD42" s="102"/>
      <c r="AE42" s="141" t="n">
        <v>20.3</v>
      </c>
      <c r="AF42" s="144" t="n">
        <v>1.7</v>
      </c>
      <c r="AG42" s="145" t="n">
        <v>1.3</v>
      </c>
      <c r="AH42" s="141" t="n">
        <v>28.7</v>
      </c>
      <c r="AI42" s="84" t="n">
        <f aca="false">AI41-AH42</f>
        <v>13815.6492311571</v>
      </c>
      <c r="AJ42" s="102"/>
      <c r="AK42" s="141" t="n">
        <f aca="false">N42+O42+P42+Q42+R42+S42+T42+U42+X42+AE42+AH42</f>
        <v>164.7</v>
      </c>
      <c r="AL42" s="141" t="n">
        <f aca="false">IF(L42&lt;0,L42*-1,0)</f>
        <v>0</v>
      </c>
      <c r="AM42" s="376" t="n">
        <f aca="false">AK42+AL42</f>
        <v>164.7</v>
      </c>
      <c r="AN42" s="224" t="n">
        <f aca="false">V42</f>
        <v>64.2</v>
      </c>
      <c r="AO42" s="102"/>
      <c r="AP42" s="157" t="n">
        <f aca="false">795-X42</f>
        <v>709.678430737126</v>
      </c>
      <c r="AQ42" s="158" t="n">
        <f aca="false">33.663*(Z42*1.9835+AC42*1.9835)/E42</f>
        <v>12.792205467049</v>
      </c>
      <c r="AR42" s="158"/>
      <c r="AS42" s="106"/>
      <c r="AT42" s="11" t="n">
        <v>0</v>
      </c>
      <c r="AU42" s="1"/>
      <c r="AV42" s="107" t="n">
        <v>0</v>
      </c>
      <c r="AW42" s="108" t="n">
        <v>51</v>
      </c>
      <c r="AX42" s="108" t="n">
        <v>30</v>
      </c>
      <c r="AY42" s="148"/>
      <c r="AZ42" s="264" t="n">
        <f aca="false">SUM(N42,P42:U42)</f>
        <v>5.59843073712623</v>
      </c>
      <c r="BA42" s="0" t="n">
        <v>0</v>
      </c>
      <c r="BB42" s="148" t="n">
        <v>11105</v>
      </c>
    </row>
    <row r="43" customFormat="false" ht="12.95" hidden="false" customHeight="true" outlineLevel="0" collapsed="false">
      <c r="A43" s="10" t="n">
        <f aca="false">A42+1</f>
        <v>29</v>
      </c>
      <c r="B43" s="367" t="n">
        <v>6882.02</v>
      </c>
      <c r="C43" s="99" t="n">
        <v>222315</v>
      </c>
      <c r="D43" s="108" t="n">
        <f aca="false">C43-C42</f>
        <v>1196</v>
      </c>
      <c r="E43" s="99" t="n">
        <f aca="false">C43-152000</f>
        <v>70315</v>
      </c>
      <c r="F43" s="151" t="n">
        <f aca="false">D43/$D$2</f>
        <v>602.974539954626</v>
      </c>
      <c r="G43" s="141" t="n">
        <v>689</v>
      </c>
      <c r="H43" s="141" t="n">
        <v>3.61</v>
      </c>
      <c r="I43" s="141" t="n">
        <f aca="false">G43+H43</f>
        <v>692.61</v>
      </c>
      <c r="J43" s="375" t="n">
        <f aca="false">IF(L43&gt;0,L43,0)</f>
        <v>45.6445399546257</v>
      </c>
      <c r="K43" s="141" t="n">
        <f aca="false">I43+J43</f>
        <v>738.254539954626</v>
      </c>
      <c r="L43" s="141" t="n">
        <f aca="false">F43-(I43-AK43)</f>
        <v>45.6445399546257</v>
      </c>
      <c r="M43" s="144" t="n">
        <v>76.3</v>
      </c>
      <c r="N43" s="171" t="n">
        <v>0</v>
      </c>
      <c r="O43" s="376" t="n">
        <f aca="false">38.1*1.05</f>
        <v>40.005</v>
      </c>
      <c r="P43" s="88" t="n">
        <v>0</v>
      </c>
      <c r="Q43" s="346" t="n">
        <f aca="false">1129700/325851/1.9835*1.02</f>
        <v>1.78283863778824</v>
      </c>
      <c r="R43" s="138" t="n">
        <f aca="false">((2336224/646272)*1.04)-T43</f>
        <v>3.05100821716776</v>
      </c>
      <c r="S43" s="138" t="n">
        <v>0</v>
      </c>
      <c r="T43" s="138" t="n">
        <f aca="false">(0.6427*1.06)*1.04</f>
        <v>0.70851248</v>
      </c>
      <c r="U43" s="365" t="n">
        <v>0</v>
      </c>
      <c r="V43" s="141" t="n">
        <v>26.7</v>
      </c>
      <c r="W43" s="141" t="n">
        <v>3.68</v>
      </c>
      <c r="X43" s="142" t="n">
        <f aca="false">M43-N43-O43-P43-Q43-R43-S43-T43-U43+V43+W43-AT43</f>
        <v>61.132640665044</v>
      </c>
      <c r="Y43" s="142" t="n">
        <f aca="false">X43-AO43</f>
        <v>61.132640665044</v>
      </c>
      <c r="Z43" s="113" t="n">
        <f aca="false">Z42+AP43</f>
        <v>12229.3258852425</v>
      </c>
      <c r="AA43" s="142"/>
      <c r="AB43" s="113" t="n">
        <f aca="false">AB42+(Y43+AP43-V43)*1.9835</f>
        <v>24834.8949548979</v>
      </c>
      <c r="AC43" s="113" t="n">
        <f aca="false">AC42-(AQ42/1.9835)</f>
        <v>1631.29842797492</v>
      </c>
      <c r="AD43" s="102"/>
      <c r="AE43" s="141" t="n">
        <v>0</v>
      </c>
      <c r="AF43" s="144" t="n">
        <v>1.7</v>
      </c>
      <c r="AG43" s="145" t="n">
        <v>1.3</v>
      </c>
      <c r="AH43" s="141" t="n">
        <v>28.6</v>
      </c>
      <c r="AI43" s="84" t="n">
        <f aca="false">AI42-AH43</f>
        <v>13787.0492311571</v>
      </c>
      <c r="AJ43" s="102"/>
      <c r="AK43" s="141" t="n">
        <f aca="false">N43+O43+P43+Q43+R43+S43+T43+U43+X43+AE43+AH43</f>
        <v>135.28</v>
      </c>
      <c r="AL43" s="141" t="n">
        <f aca="false">IF(L43&lt;0,L43*-1,0)</f>
        <v>0</v>
      </c>
      <c r="AM43" s="376" t="n">
        <f aca="false">AK43+AL43</f>
        <v>135.28</v>
      </c>
      <c r="AN43" s="224" t="n">
        <f aca="false">V43</f>
        <v>26.7</v>
      </c>
      <c r="AO43" s="102"/>
      <c r="AP43" s="157" t="n">
        <f aca="false">I43-Q43-R43-X43-AF43</f>
        <v>624.94351248</v>
      </c>
      <c r="AQ43" s="158" t="n">
        <f aca="false">55.445*(Z43*1.9835+AC43*1.9835)/E43</f>
        <v>21.6785087377432</v>
      </c>
      <c r="AR43" s="158"/>
      <c r="AS43" s="106"/>
      <c r="AT43" s="11" t="n">
        <v>0</v>
      </c>
      <c r="AU43" s="1"/>
      <c r="AV43" s="107" t="n">
        <v>0</v>
      </c>
      <c r="AW43" s="149" t="n">
        <v>51</v>
      </c>
      <c r="AX43" s="108" t="n">
        <v>26</v>
      </c>
      <c r="AY43" s="148"/>
      <c r="AZ43" s="264" t="n">
        <f aca="false">SUM(N43,P43:U43)</f>
        <v>5.542359334956</v>
      </c>
      <c r="BA43" s="0" t="n">
        <v>0</v>
      </c>
      <c r="BB43" s="148" t="n">
        <v>11215</v>
      </c>
    </row>
    <row r="44" customFormat="false" ht="12.95" hidden="false" customHeight="true" outlineLevel="0" collapsed="false">
      <c r="A44" s="10" t="n">
        <v>30</v>
      </c>
      <c r="B44" s="367" t="n">
        <v>6882.34</v>
      </c>
      <c r="C44" s="99" t="n">
        <v>223309</v>
      </c>
      <c r="D44" s="108" t="n">
        <f aca="false">C44-C43</f>
        <v>994</v>
      </c>
      <c r="E44" s="99" t="n">
        <f aca="false">C44-152000</f>
        <v>71309</v>
      </c>
      <c r="F44" s="151" t="n">
        <f aca="false">D44/$D$2</f>
        <v>501.134358457272</v>
      </c>
      <c r="G44" s="141" t="n">
        <v>611</v>
      </c>
      <c r="H44" s="141" t="n">
        <v>2.4</v>
      </c>
      <c r="I44" s="141" t="n">
        <f aca="false">G44+H44</f>
        <v>613.4</v>
      </c>
      <c r="J44" s="375" t="n">
        <f aca="false">IF(L44&gt;0,L44,0)</f>
        <v>37.4343584572725</v>
      </c>
      <c r="K44" s="141" t="n">
        <f aca="false">I44+J44</f>
        <v>650.834358457273</v>
      </c>
      <c r="L44" s="141" t="n">
        <f aca="false">F44-(I44-AK44)</f>
        <v>37.4343584572725</v>
      </c>
      <c r="M44" s="144" t="n">
        <v>90.7</v>
      </c>
      <c r="N44" s="171" t="n">
        <v>0</v>
      </c>
      <c r="O44" s="376" t="n">
        <f aca="false">28.1*1.05</f>
        <v>29.505</v>
      </c>
      <c r="P44" s="88" t="n">
        <v>0</v>
      </c>
      <c r="Q44" s="346" t="n">
        <f aca="false">868800/325851/1.9835*1.02</f>
        <v>1.37109870630293</v>
      </c>
      <c r="R44" s="138" t="n">
        <f aca="false">((1718976/646272)*1.04)-T44</f>
        <v>2.05771449563874</v>
      </c>
      <c r="S44" s="138" t="n">
        <v>0</v>
      </c>
      <c r="T44" s="138" t="n">
        <f aca="false">(0.6427*1.06)*1.04</f>
        <v>0.70851248</v>
      </c>
      <c r="U44" s="365" t="n">
        <v>0</v>
      </c>
      <c r="V44" s="141" t="n">
        <v>0</v>
      </c>
      <c r="W44" s="141" t="n">
        <v>14.5</v>
      </c>
      <c r="X44" s="142" t="n">
        <f aca="false">M44-N44-O44-P44-Q44-R44-S44-T44-U44+V44+W44-AT44</f>
        <v>71.5576743180583</v>
      </c>
      <c r="Y44" s="142" t="n">
        <f aca="false">X44-AO44</f>
        <v>71.5576743180583</v>
      </c>
      <c r="Z44" s="113" t="n">
        <f aca="false">Z43+AP44</f>
        <v>12766.0393977225</v>
      </c>
      <c r="AA44" s="142"/>
      <c r="AB44" s="113" t="n">
        <f aca="false">AB43+(Y44+AP44)*1.9835</f>
        <v>26041.4008539118</v>
      </c>
      <c r="AC44" s="113" t="n">
        <f aca="false">AC43-(AQ43/1.9835)</f>
        <v>1620.36900587372</v>
      </c>
      <c r="AD44" s="102"/>
      <c r="AE44" s="141" t="n">
        <v>15.9</v>
      </c>
      <c r="AF44" s="144" t="n">
        <v>1.7</v>
      </c>
      <c r="AG44" s="145" t="n">
        <v>1.3</v>
      </c>
      <c r="AH44" s="141" t="n">
        <v>28.6</v>
      </c>
      <c r="AI44" s="84" t="n">
        <f aca="false">AI43-AH44</f>
        <v>13758.4492311571</v>
      </c>
      <c r="AJ44" s="102"/>
      <c r="AK44" s="141" t="n">
        <f aca="false">N44+O44+P44+Q44+R44+S44+T44+U44+X44+AE44+AH44</f>
        <v>149.7</v>
      </c>
      <c r="AL44" s="141" t="n">
        <f aca="false">IF(L44&lt;0,L44*-1,0)</f>
        <v>0</v>
      </c>
      <c r="AM44" s="151" t="n">
        <f aca="false">AK44+AL44</f>
        <v>149.7</v>
      </c>
      <c r="AN44" s="224" t="n">
        <v>0</v>
      </c>
      <c r="AO44" s="102"/>
      <c r="AP44" s="157" t="n">
        <f aca="false">I44-Q44-R44-X44-AF44</f>
        <v>536.71351248</v>
      </c>
      <c r="AQ44" s="158" t="n">
        <f aca="false">36.723*(Z44*1.9835+AC44*1.9835)/E44</f>
        <v>14.6952979618245</v>
      </c>
      <c r="AR44" s="158"/>
      <c r="AS44" s="106"/>
      <c r="AT44" s="11" t="n">
        <v>0</v>
      </c>
      <c r="AU44" s="1"/>
      <c r="AV44" s="107" t="n">
        <v>0</v>
      </c>
      <c r="AW44" s="149" t="n">
        <v>55</v>
      </c>
      <c r="AX44" s="108" t="n">
        <v>34</v>
      </c>
      <c r="AY44" s="148"/>
      <c r="AZ44" s="264" t="n">
        <f aca="false">SUM(N44,P44:U44)</f>
        <v>4.13732568194167</v>
      </c>
      <c r="BA44" s="0" t="n">
        <v>0</v>
      </c>
      <c r="BB44" s="148" t="n">
        <v>11339</v>
      </c>
    </row>
    <row r="45" customFormat="false" ht="3" hidden="false" customHeight="true" outlineLevel="0" collapsed="false">
      <c r="A45" s="116"/>
      <c r="B45" s="378"/>
      <c r="C45" s="126"/>
      <c r="D45" s="123"/>
      <c r="E45" s="126"/>
      <c r="F45" s="153"/>
      <c r="G45" s="123"/>
      <c r="H45" s="123"/>
      <c r="I45" s="123"/>
      <c r="J45" s="123"/>
      <c r="K45" s="123"/>
      <c r="L45" s="123"/>
      <c r="M45" s="127"/>
      <c r="N45" s="123"/>
      <c r="O45" s="123"/>
      <c r="P45" s="372"/>
      <c r="Q45" s="372"/>
      <c r="R45" s="372"/>
      <c r="S45" s="372"/>
      <c r="T45" s="372"/>
      <c r="U45" s="373"/>
      <c r="V45" s="123"/>
      <c r="W45" s="123"/>
      <c r="X45" s="123"/>
      <c r="Y45" s="123"/>
      <c r="Z45" s="130"/>
      <c r="AA45" s="123"/>
      <c r="AB45" s="130"/>
      <c r="AC45" s="130"/>
      <c r="AD45" s="125"/>
      <c r="AE45" s="123"/>
      <c r="AF45" s="127"/>
      <c r="AG45" s="128"/>
      <c r="AH45" s="123"/>
      <c r="AI45" s="123"/>
      <c r="AJ45" s="125"/>
      <c r="AK45" s="123"/>
      <c r="AL45" s="123"/>
      <c r="AM45" s="153"/>
      <c r="AN45" s="126"/>
      <c r="AO45" s="125"/>
      <c r="AP45" s="130"/>
      <c r="AQ45" s="372"/>
      <c r="AR45" s="372"/>
      <c r="AS45" s="372"/>
      <c r="AT45" s="372"/>
      <c r="AU45" s="372"/>
      <c r="AV45" s="132"/>
      <c r="AW45" s="130"/>
      <c r="AX45" s="130"/>
      <c r="AY45" s="130"/>
      <c r="AZ45" s="130"/>
      <c r="BA45" s="130"/>
      <c r="BB45" s="130"/>
    </row>
    <row r="46" customFormat="false" ht="12.95" hidden="false" customHeight="true" outlineLevel="0" collapsed="false">
      <c r="A46" s="11" t="s">
        <v>105</v>
      </c>
      <c r="B46" s="364"/>
      <c r="C46" s="99"/>
      <c r="D46" s="99"/>
      <c r="E46" s="99"/>
      <c r="F46" s="156" t="n">
        <f aca="false">SUM(F15:F44)</f>
        <v>15054.7012856063</v>
      </c>
      <c r="G46" s="84" t="n">
        <f aca="false">SUM(G15:G44)</f>
        <v>20571</v>
      </c>
      <c r="H46" s="84" t="n">
        <f aca="false">SUM(H15:H44)</f>
        <v>570.93</v>
      </c>
      <c r="I46" s="84" t="n">
        <f aca="false">SUM(I15:I44)</f>
        <v>21141.93</v>
      </c>
      <c r="J46" s="84" t="n">
        <f aca="false">SUM(J15:J44)</f>
        <v>828.929231157045</v>
      </c>
      <c r="K46" s="84" t="n">
        <f aca="false">SUM(K15:K44)</f>
        <v>21970.859231157</v>
      </c>
      <c r="L46" s="84" t="n">
        <f aca="false">SUM(L15:L44)</f>
        <v>259.561285606251</v>
      </c>
      <c r="M46" s="103" t="n">
        <f aca="false">SUM(M15:M44)</f>
        <v>2061.7</v>
      </c>
      <c r="N46" s="99" t="n">
        <f aca="false">SUM(N15:N44)</f>
        <v>0</v>
      </c>
      <c r="O46" s="99" t="n">
        <f aca="false">SUM(O15:O44)</f>
        <v>1567.125</v>
      </c>
      <c r="P46" s="88" t="n">
        <f aca="false">SUM(P15:P44)</f>
        <v>0</v>
      </c>
      <c r="Q46" s="99" t="n">
        <f aca="false">SUM(Q15:Q44)</f>
        <v>48.7756370809893</v>
      </c>
      <c r="R46" s="99" t="n">
        <f aca="false">SUM(R15:R44)</f>
        <v>70.2130750769182</v>
      </c>
      <c r="S46" s="99" t="n">
        <f aca="false">SUM(S15:S44)</f>
        <v>0</v>
      </c>
      <c r="T46" s="99" t="n">
        <f aca="false">SUM(T15:T44)</f>
        <v>17.63443136</v>
      </c>
      <c r="U46" s="365" t="n">
        <f aca="false">SUM(U15:U44)</f>
        <v>0</v>
      </c>
      <c r="V46" s="84" t="n">
        <f aca="false">SUM(V15:V44)</f>
        <v>3007.4</v>
      </c>
      <c r="W46" s="84" t="n">
        <f aca="false">SUM(W15:W44)</f>
        <v>80.86</v>
      </c>
      <c r="X46" s="84" t="n">
        <f aca="false">SUM(X15:X44)</f>
        <v>3446.21185648209</v>
      </c>
      <c r="Y46" s="84" t="n">
        <f aca="false">SUM(Y15:Y44)</f>
        <v>3290.37540132556</v>
      </c>
      <c r="Z46" s="379"/>
      <c r="AA46" s="84"/>
      <c r="AB46" s="108"/>
      <c r="AC46" s="157"/>
      <c r="AD46" s="102"/>
      <c r="AE46" s="84" t="n">
        <f aca="false">SUM(AE15:AE44)</f>
        <v>331.13</v>
      </c>
      <c r="AF46" s="103" t="n">
        <f aca="false">SUM(AF15:AF44)</f>
        <v>51</v>
      </c>
      <c r="AG46" s="104" t="n">
        <f aca="false">SUM(AG15:AG44)</f>
        <v>39</v>
      </c>
      <c r="AH46" s="84" t="n">
        <f aca="false">SUM(AH15:AH44)</f>
        <v>865.7</v>
      </c>
      <c r="AI46" s="84"/>
      <c r="AJ46" s="102" t="n">
        <f aca="false">SUM(AJ15:AJ44)</f>
        <v>0</v>
      </c>
      <c r="AK46" s="84" t="n">
        <f aca="false">SUM(AK15:AK44)</f>
        <v>6346.79</v>
      </c>
      <c r="AL46" s="84" t="n">
        <f aca="false">SUM(AL15:AL44)</f>
        <v>569.367945550794</v>
      </c>
      <c r="AM46" s="156" t="n">
        <f aca="false">SUM(AM15:AM44)</f>
        <v>6916.15794555079</v>
      </c>
      <c r="AN46" s="99" t="n">
        <f aca="false">SUM(AN15:AN44)</f>
        <v>2927.4</v>
      </c>
      <c r="AO46" s="163" t="n">
        <f aca="false">SUM(AO15:AO44)</f>
        <v>235.836455156528</v>
      </c>
      <c r="AP46" s="157"/>
      <c r="AR46" s="158"/>
      <c r="AS46" s="106"/>
      <c r="AT46" s="84" t="n">
        <f aca="false">SUM(AT15:AT44)</f>
        <v>0</v>
      </c>
      <c r="AU46" s="1"/>
      <c r="AV46" s="107" t="n">
        <f aca="false">SUM(AV15:AV44)</f>
        <v>1.4</v>
      </c>
      <c r="AW46" s="108" t="n">
        <f aca="false">AVERAGE(AW15:AW44)</f>
        <v>62.1333333333333</v>
      </c>
      <c r="AX46" s="108" t="n">
        <f aca="false">AVERAGE(AX15:AX44)</f>
        <v>31.9666666666667</v>
      </c>
      <c r="AY46" s="156" t="s">
        <v>130</v>
      </c>
      <c r="AZ46" s="156" t="n">
        <f aca="false">SUM(AZ15:AZ44)</f>
        <v>136.623143517908</v>
      </c>
      <c r="BA46" s="0" t="n">
        <f aca="false">SUM(BA15:BA44)</f>
        <v>0</v>
      </c>
      <c r="BB46" s="148"/>
    </row>
    <row r="47" customFormat="false" ht="12.95" hidden="false" customHeight="true" outlineLevel="0" collapsed="false">
      <c r="A47" s="11" t="s">
        <v>107</v>
      </c>
      <c r="B47" s="364"/>
      <c r="C47" s="99"/>
      <c r="D47" s="99" t="n">
        <f aca="false">SUM(D15:D44)</f>
        <v>29861</v>
      </c>
      <c r="E47" s="99"/>
      <c r="F47" s="156" t="n">
        <f aca="false">F46*$D$2</f>
        <v>29861</v>
      </c>
      <c r="G47" s="84" t="n">
        <f aca="false">G46*$D$2</f>
        <v>40802.5785</v>
      </c>
      <c r="H47" s="84" t="n">
        <f aca="false">H46*$D$2</f>
        <v>1132.439655</v>
      </c>
      <c r="I47" s="84" t="n">
        <f aca="false">I46*$D$2</f>
        <v>41935.018155</v>
      </c>
      <c r="J47" s="84" t="n">
        <f aca="false">J46*$D$2</f>
        <v>1644.18113</v>
      </c>
      <c r="K47" s="84" t="n">
        <f aca="false">K46*$D$2</f>
        <v>43579.199285</v>
      </c>
      <c r="L47" s="84" t="n">
        <f aca="false">L46*$D$2</f>
        <v>514.83981</v>
      </c>
      <c r="M47" s="103" t="n">
        <f aca="false">M46*$D$2</f>
        <v>4089.38195</v>
      </c>
      <c r="N47" s="99" t="n">
        <f aca="false">N46*$D$2</f>
        <v>0</v>
      </c>
      <c r="O47" s="99" t="n">
        <f aca="false">O46*$D$2</f>
        <v>3108.3924375</v>
      </c>
      <c r="P47" s="88" t="n">
        <f aca="false">P46*$D$2</f>
        <v>0</v>
      </c>
      <c r="Q47" s="99" t="n">
        <f aca="false">Q46*$D$2</f>
        <v>96.7464761501422</v>
      </c>
      <c r="R47" s="99" t="n">
        <f aca="false">R46*$D$2</f>
        <v>139.267634415067</v>
      </c>
      <c r="S47" s="99" t="n">
        <f aca="false">S46*$D$2</f>
        <v>0</v>
      </c>
      <c r="T47" s="99" t="n">
        <f aca="false">T46*$D$2</f>
        <v>34.97789460256</v>
      </c>
      <c r="U47" s="365" t="n">
        <f aca="false">U46*$D$2</f>
        <v>0</v>
      </c>
      <c r="V47" s="84" t="n">
        <f aca="false">V46*$D$2</f>
        <v>5965.1779</v>
      </c>
      <c r="W47" s="84" t="n">
        <f aca="false">W46*$D$2</f>
        <v>160.38581</v>
      </c>
      <c r="X47" s="84" t="n">
        <f aca="false">X46*$D$2</f>
        <v>6835.56121733223</v>
      </c>
      <c r="Y47" s="84" t="n">
        <f aca="false">Y46*$D$2</f>
        <v>6526.45960852926</v>
      </c>
      <c r="Z47" s="157"/>
      <c r="AA47" s="84"/>
      <c r="AB47" s="157"/>
      <c r="AC47" s="157"/>
      <c r="AD47" s="102"/>
      <c r="AE47" s="84" t="n">
        <f aca="false">AE46*$D$2</f>
        <v>656.796355</v>
      </c>
      <c r="AF47" s="103" t="n">
        <f aca="false">AF46*$D$2</f>
        <v>101.1585</v>
      </c>
      <c r="AG47" s="104" t="n">
        <f aca="false">AG46*$D$2</f>
        <v>77.3565</v>
      </c>
      <c r="AH47" s="84" t="n">
        <f aca="false">AH46*$D$2</f>
        <v>1717.11595</v>
      </c>
      <c r="AI47" s="84"/>
      <c r="AJ47" s="102" t="n">
        <f aca="false">AJ46*$D$2</f>
        <v>0</v>
      </c>
      <c r="AK47" s="84" t="n">
        <f aca="false">AK46*$D$2</f>
        <v>12588.857965</v>
      </c>
      <c r="AL47" s="84" t="n">
        <f aca="false">AL46*$D$2</f>
        <v>1129.34132</v>
      </c>
      <c r="AM47" s="156" t="n">
        <f aca="false">AM46*$D$2</f>
        <v>13718.199285</v>
      </c>
      <c r="AN47" s="99" t="n">
        <f aca="false">AN46*D2</f>
        <v>5806.4979</v>
      </c>
      <c r="AO47" s="163" t="n">
        <f aca="false">AO46*$D$2</f>
        <v>467.781608802973</v>
      </c>
      <c r="AP47" s="157"/>
      <c r="AQ47" s="158" t="n">
        <f aca="false">SUM(AQ15:AQ44)</f>
        <v>200.690064811307</v>
      </c>
      <c r="AR47" s="158"/>
      <c r="AS47" s="106"/>
      <c r="AT47" s="84" t="n">
        <f aca="false">AT46*$D$2</f>
        <v>0</v>
      </c>
      <c r="AU47" s="1"/>
      <c r="AV47" s="107"/>
      <c r="AW47" s="108" t="n">
        <f aca="false">MAX(AW15:AW44)</f>
        <v>74</v>
      </c>
      <c r="AX47" s="108" t="n">
        <f aca="false">MAX(AX15:AX44)</f>
        <v>43</v>
      </c>
      <c r="AY47" s="156" t="s">
        <v>108</v>
      </c>
      <c r="AZ47" s="156" t="n">
        <f aca="false">AZ46*$D$2</f>
        <v>270.992005167769</v>
      </c>
      <c r="BA47" s="0" t="n">
        <f aca="false">BA46*D2</f>
        <v>0</v>
      </c>
      <c r="BB47" s="148"/>
    </row>
    <row r="48" customFormat="false" ht="3" hidden="false" customHeight="true" outlineLevel="0" collapsed="false">
      <c r="A48" s="116"/>
      <c r="B48" s="378"/>
      <c r="C48" s="126"/>
      <c r="D48" s="126"/>
      <c r="E48" s="126"/>
      <c r="F48" s="169"/>
      <c r="G48" s="126"/>
      <c r="H48" s="123"/>
      <c r="I48" s="126"/>
      <c r="J48" s="126"/>
      <c r="K48" s="126"/>
      <c r="L48" s="126"/>
      <c r="M48" s="167"/>
      <c r="N48" s="126"/>
      <c r="O48" s="126"/>
      <c r="P48" s="372"/>
      <c r="Q48" s="126"/>
      <c r="R48" s="126"/>
      <c r="S48" s="126"/>
      <c r="T48" s="126"/>
      <c r="U48" s="373"/>
      <c r="V48" s="126"/>
      <c r="W48" s="126"/>
      <c r="X48" s="126"/>
      <c r="Y48" s="126"/>
      <c r="Z48" s="130"/>
      <c r="AA48" s="126"/>
      <c r="AB48" s="130"/>
      <c r="AC48" s="130"/>
      <c r="AD48" s="125"/>
      <c r="AE48" s="126"/>
      <c r="AF48" s="167"/>
      <c r="AG48" s="168"/>
      <c r="AH48" s="126"/>
      <c r="AI48" s="123"/>
      <c r="AJ48" s="125"/>
      <c r="AK48" s="126"/>
      <c r="AL48" s="126"/>
      <c r="AM48" s="169"/>
      <c r="AN48" s="126"/>
      <c r="AO48" s="125"/>
      <c r="AP48" s="130"/>
      <c r="AQ48" s="372"/>
      <c r="AR48" s="372"/>
      <c r="AS48" s="372"/>
      <c r="AT48" s="126"/>
      <c r="AU48" s="372"/>
      <c r="AV48" s="170"/>
      <c r="AW48" s="126"/>
      <c r="AX48" s="126"/>
      <c r="AY48" s="126"/>
      <c r="AZ48" s="126"/>
      <c r="BA48" s="126"/>
      <c r="BB48" s="126"/>
    </row>
    <row r="49" customFormat="false" ht="12.95" hidden="false" customHeight="true" outlineLevel="0" collapsed="false">
      <c r="A49" s="11" t="s">
        <v>109</v>
      </c>
      <c r="B49" s="364"/>
      <c r="C49" s="99"/>
      <c r="D49" s="99"/>
      <c r="E49" s="99"/>
      <c r="F49" s="156" t="n">
        <f aca="false">F46</f>
        <v>15054.7012856063</v>
      </c>
      <c r="G49" s="84" t="n">
        <f aca="false">G46</f>
        <v>20571</v>
      </c>
      <c r="H49" s="84" t="n">
        <f aca="false">H46</f>
        <v>570.93</v>
      </c>
      <c r="I49" s="84" t="n">
        <f aca="false">I46</f>
        <v>21141.93</v>
      </c>
      <c r="J49" s="84" t="n">
        <f aca="false">J46</f>
        <v>828.929231157045</v>
      </c>
      <c r="K49" s="84" t="n">
        <f aca="false">K46</f>
        <v>21970.859231157</v>
      </c>
      <c r="L49" s="84" t="n">
        <f aca="false">L46</f>
        <v>259.561285606251</v>
      </c>
      <c r="M49" s="103" t="n">
        <f aca="false">M46</f>
        <v>2061.7</v>
      </c>
      <c r="N49" s="99" t="n">
        <f aca="false">N46</f>
        <v>0</v>
      </c>
      <c r="O49" s="99" t="n">
        <f aca="false">O12+O46</f>
        <v>1603.8225</v>
      </c>
      <c r="P49" s="88" t="n">
        <f aca="false">P12+P46</f>
        <v>0</v>
      </c>
      <c r="Q49" s="99"/>
      <c r="R49" s="99"/>
      <c r="S49" s="99"/>
      <c r="T49" s="99"/>
      <c r="U49" s="365"/>
      <c r="V49" s="84" t="n">
        <f aca="false">V46</f>
        <v>3007.4</v>
      </c>
      <c r="W49" s="84" t="n">
        <f aca="false">W46</f>
        <v>80.86</v>
      </c>
      <c r="X49" s="84" t="n">
        <f aca="false">X12+X46</f>
        <v>3446.21185648209</v>
      </c>
      <c r="Y49" s="84" t="n">
        <f aca="false">Y12+Y46</f>
        <v>3290.37540132556</v>
      </c>
      <c r="Z49" s="84" t="n">
        <f aca="false">Z12+Z44</f>
        <v>12766.0393977225</v>
      </c>
      <c r="AA49" s="84"/>
      <c r="AB49" s="157"/>
      <c r="AC49" s="157"/>
      <c r="AD49" s="102"/>
      <c r="AE49" s="84" t="n">
        <f aca="false">AE46</f>
        <v>331.13</v>
      </c>
      <c r="AF49" s="103" t="n">
        <f aca="false">AF46</f>
        <v>51</v>
      </c>
      <c r="AG49" s="104" t="n">
        <f aca="false">AG46</f>
        <v>39</v>
      </c>
      <c r="AH49" s="84"/>
      <c r="AI49" s="84"/>
      <c r="AJ49" s="102" t="n">
        <f aca="false">AJ46</f>
        <v>0</v>
      </c>
      <c r="AK49" s="84" t="n">
        <f aca="false">AK46</f>
        <v>6346.79</v>
      </c>
      <c r="AL49" s="84" t="n">
        <f aca="false">AL46</f>
        <v>569.367945550794</v>
      </c>
      <c r="AM49" s="156" t="n">
        <f aca="false">AM46</f>
        <v>6916.15794555079</v>
      </c>
      <c r="AN49" s="99"/>
      <c r="AO49" s="102"/>
      <c r="AP49" s="157"/>
      <c r="AQ49" s="158"/>
      <c r="AR49" s="158"/>
      <c r="AS49" s="106"/>
      <c r="AT49" s="84" t="n">
        <f aca="false">AT46</f>
        <v>0</v>
      </c>
      <c r="AU49" s="1"/>
      <c r="AV49" s="107"/>
      <c r="AW49" s="108" t="n">
        <f aca="false">MIN(AW15:AW44)</f>
        <v>46</v>
      </c>
      <c r="AX49" s="108" t="n">
        <f aca="false">MIN(AX15:AX44)</f>
        <v>23</v>
      </c>
      <c r="AY49" s="156" t="s">
        <v>110</v>
      </c>
      <c r="AZ49" s="156" t="n">
        <f aca="false">AZ46</f>
        <v>136.623143517908</v>
      </c>
      <c r="BA49" s="84" t="n">
        <f aca="false">BA12+BA46</f>
        <v>0</v>
      </c>
      <c r="BB49" s="148"/>
    </row>
    <row r="50" customFormat="false" ht="12.95" hidden="false" customHeight="true" outlineLevel="0" collapsed="false">
      <c r="A50" s="11" t="s">
        <v>111</v>
      </c>
      <c r="B50" s="364"/>
      <c r="C50" s="99"/>
      <c r="D50" s="99"/>
      <c r="E50" s="99"/>
      <c r="F50" s="156" t="n">
        <f aca="false">F49*$D$2</f>
        <v>29861</v>
      </c>
      <c r="G50" s="84" t="n">
        <f aca="false">G49*$D$2</f>
        <v>40802.5785</v>
      </c>
      <c r="H50" s="84" t="n">
        <f aca="false">H49*$D$2</f>
        <v>1132.439655</v>
      </c>
      <c r="I50" s="84" t="n">
        <f aca="false">I49*$D$2</f>
        <v>41935.018155</v>
      </c>
      <c r="J50" s="84" t="n">
        <f aca="false">J49*$D$2</f>
        <v>1644.18113</v>
      </c>
      <c r="K50" s="84" t="n">
        <f aca="false">K49*$D$2</f>
        <v>43579.199285</v>
      </c>
      <c r="L50" s="84" t="n">
        <f aca="false">L49*$D$2</f>
        <v>514.83981</v>
      </c>
      <c r="M50" s="103" t="n">
        <f aca="false">M49*$D$2</f>
        <v>4089.38195</v>
      </c>
      <c r="N50" s="99" t="n">
        <f aca="false">N49*$D$2</f>
        <v>0</v>
      </c>
      <c r="O50" s="99" t="n">
        <f aca="false">O49*$D$2</f>
        <v>3181.18192875</v>
      </c>
      <c r="P50" s="88" t="n">
        <f aca="false">P49*$D$2</f>
        <v>0</v>
      </c>
      <c r="Q50" s="99"/>
      <c r="R50" s="99"/>
      <c r="S50" s="99"/>
      <c r="T50" s="99"/>
      <c r="U50" s="365"/>
      <c r="V50" s="84" t="n">
        <f aca="false">V49*$D$2</f>
        <v>5965.1779</v>
      </c>
      <c r="W50" s="84" t="n">
        <f aca="false">W49*$D$2</f>
        <v>160.38581</v>
      </c>
      <c r="X50" s="84" t="n">
        <f aca="false">X49*$D$2</f>
        <v>6835.56121733223</v>
      </c>
      <c r="Y50" s="84" t="n">
        <f aca="false">Y49*$D$2</f>
        <v>6526.45960852926</v>
      </c>
      <c r="Z50" s="84" t="n">
        <f aca="false">Z49*$D$2</f>
        <v>25321.4391453826</v>
      </c>
      <c r="AA50" s="84"/>
      <c r="AB50" s="157"/>
      <c r="AC50" s="157"/>
      <c r="AD50" s="102"/>
      <c r="AE50" s="84" t="n">
        <f aca="false">AE49*$D$2</f>
        <v>656.796355</v>
      </c>
      <c r="AF50" s="103" t="n">
        <f aca="false">AF49*$D$2</f>
        <v>101.1585</v>
      </c>
      <c r="AG50" s="104" t="n">
        <f aca="false">AG49*$D$2</f>
        <v>77.3565</v>
      </c>
      <c r="AH50" s="84"/>
      <c r="AI50" s="84"/>
      <c r="AJ50" s="102" t="n">
        <f aca="false">AJ49*$D$2</f>
        <v>0</v>
      </c>
      <c r="AK50" s="84" t="n">
        <f aca="false">AK49*$D$2</f>
        <v>12588.857965</v>
      </c>
      <c r="AL50" s="84" t="n">
        <f aca="false">AL49*$D$2</f>
        <v>1129.34132</v>
      </c>
      <c r="AM50" s="156" t="n">
        <f aca="false">AM49*$D$2</f>
        <v>13718.199285</v>
      </c>
      <c r="AN50" s="99"/>
      <c r="AO50" s="102"/>
      <c r="AP50" s="157"/>
      <c r="AQ50" s="158" t="n">
        <f aca="false">AQ47</f>
        <v>200.690064811307</v>
      </c>
      <c r="AR50" s="158"/>
      <c r="AS50" s="106"/>
      <c r="AT50" s="84" t="n">
        <f aca="false">AT49*$D$2</f>
        <v>0</v>
      </c>
      <c r="AU50" s="1"/>
      <c r="AV50" s="107"/>
      <c r="AW50" s="108"/>
      <c r="AX50" s="108"/>
      <c r="AY50" s="148"/>
      <c r="AZ50" s="156" t="n">
        <f aca="false">AZ49*$D$2</f>
        <v>270.992005167769</v>
      </c>
      <c r="BA50" s="84" t="n">
        <f aca="false">BA49*$D$2</f>
        <v>0</v>
      </c>
      <c r="BB50" s="148"/>
    </row>
    <row r="51" customFormat="false" ht="3" hidden="false" customHeight="true" outlineLevel="0" collapsed="false">
      <c r="A51" s="116"/>
      <c r="B51" s="378"/>
      <c r="C51" s="126"/>
      <c r="D51" s="126"/>
      <c r="E51" s="126"/>
      <c r="F51" s="169"/>
      <c r="G51" s="126"/>
      <c r="H51" s="123"/>
      <c r="I51" s="126"/>
      <c r="J51" s="126"/>
      <c r="K51" s="126"/>
      <c r="L51" s="126"/>
      <c r="M51" s="167"/>
      <c r="N51" s="126"/>
      <c r="O51" s="126"/>
      <c r="P51" s="372"/>
      <c r="Q51" s="126"/>
      <c r="R51" s="126"/>
      <c r="S51" s="126"/>
      <c r="T51" s="126"/>
      <c r="U51" s="373"/>
      <c r="V51" s="126"/>
      <c r="W51" s="126"/>
      <c r="X51" s="126"/>
      <c r="Y51" s="126"/>
      <c r="Z51" s="130"/>
      <c r="AA51" s="126"/>
      <c r="AB51" s="130"/>
      <c r="AC51" s="130"/>
      <c r="AD51" s="125"/>
      <c r="AE51" s="126"/>
      <c r="AF51" s="167"/>
      <c r="AG51" s="168"/>
      <c r="AH51" s="126"/>
      <c r="AI51" s="126"/>
      <c r="AJ51" s="125"/>
      <c r="AK51" s="126"/>
      <c r="AL51" s="126"/>
      <c r="AM51" s="169"/>
      <c r="AN51" s="126"/>
      <c r="AO51" s="125"/>
      <c r="AP51" s="130"/>
      <c r="AQ51" s="372"/>
      <c r="AR51" s="372"/>
      <c r="AS51" s="372"/>
      <c r="AT51" s="372"/>
      <c r="AU51" s="372"/>
      <c r="AV51" s="132"/>
      <c r="AW51" s="380"/>
      <c r="AX51" s="380"/>
      <c r="AY51" s="380"/>
      <c r="AZ51" s="380"/>
      <c r="BA51" s="380"/>
      <c r="BB51" s="380"/>
    </row>
    <row r="52" customFormat="false" ht="12.95" hidden="false" customHeight="true" outlineLevel="0" collapsed="false">
      <c r="A52" s="11" t="s">
        <v>112</v>
      </c>
      <c r="B52" s="364"/>
      <c r="C52" s="99"/>
      <c r="D52" s="99"/>
      <c r="E52" s="99"/>
      <c r="F52" s="156" t="n">
        <f aca="false">F13+F46</f>
        <v>24999.7479203428</v>
      </c>
      <c r="G52" s="84" t="n">
        <f aca="false">G13+G46</f>
        <v>33088</v>
      </c>
      <c r="H52" s="84" t="n">
        <f aca="false">H13+H46</f>
        <v>601.035</v>
      </c>
      <c r="I52" s="84" t="n">
        <f aca="false">I13+I46</f>
        <v>33688.415</v>
      </c>
      <c r="J52" s="84" t="n">
        <f aca="false">J13+J46</f>
        <v>2744.64616385178</v>
      </c>
      <c r="K52" s="84" t="n">
        <f aca="false">K13+K46</f>
        <v>36433.0611638518</v>
      </c>
      <c r="L52" s="84" t="n">
        <f aca="false">L13+L46</f>
        <v>1298.86292034283</v>
      </c>
      <c r="M52" s="103" t="n">
        <f aca="false">M13+M46</f>
        <v>2698.74</v>
      </c>
      <c r="N52" s="99" t="n">
        <f aca="false">N13+N46</f>
        <v>0</v>
      </c>
      <c r="O52" s="99" t="n">
        <f aca="false">O13+O46</f>
        <v>1603.8225</v>
      </c>
      <c r="P52" s="88"/>
      <c r="Q52" s="99" t="n">
        <f aca="false">Q13+Q46</f>
        <v>282.417543049637</v>
      </c>
      <c r="R52" s="99" t="n">
        <f aca="false">R13+R46</f>
        <v>310.408544634581</v>
      </c>
      <c r="S52" s="99" t="n">
        <f aca="false">S13+S46</f>
        <v>0</v>
      </c>
      <c r="T52" s="99" t="n">
        <f aca="false">T13+T46</f>
        <v>86.63486</v>
      </c>
      <c r="U52" s="368" t="n">
        <f aca="false">U13+U46</f>
        <v>-65.0339372790604</v>
      </c>
      <c r="V52" s="84" t="n">
        <f aca="false">V13+V46</f>
        <v>3007.4</v>
      </c>
      <c r="W52" s="84" t="n">
        <f aca="false">W13+W46</f>
        <v>80.86</v>
      </c>
      <c r="X52" s="84" t="n">
        <f aca="false">X13+X46</f>
        <v>3553.71028959484</v>
      </c>
      <c r="Y52" s="84" t="n">
        <f aca="false">Y13+Y46</f>
        <v>3397.87383443831</v>
      </c>
      <c r="Z52" s="157"/>
      <c r="AA52" s="84"/>
      <c r="AB52" s="157"/>
      <c r="AC52" s="157"/>
      <c r="AD52" s="102"/>
      <c r="AE52" s="84"/>
      <c r="AF52" s="103" t="n">
        <f aca="false">AF13+AF46</f>
        <v>51</v>
      </c>
      <c r="AG52" s="104" t="n">
        <f aca="false">AG13+AG46</f>
        <v>39</v>
      </c>
      <c r="AH52" s="84" t="n">
        <f aca="false">AH13+AH46</f>
        <v>3869.4</v>
      </c>
      <c r="AI52" s="84" t="n">
        <f aca="false">AI44</f>
        <v>13758.4492311571</v>
      </c>
      <c r="AJ52" s="102" t="n">
        <f aca="false">AJ13+AJ46</f>
        <v>0</v>
      </c>
      <c r="AK52" s="84" t="n">
        <f aca="false">AK13+AK46</f>
        <v>9987.53</v>
      </c>
      <c r="AL52" s="84" t="n">
        <f aca="false">AL13+AL46</f>
        <v>1445.78324350895</v>
      </c>
      <c r="AM52" s="156" t="n">
        <f aca="false">AM13+AM46</f>
        <v>11433.313243509</v>
      </c>
      <c r="AN52" s="99" t="n">
        <f aca="false">AN13+AN46</f>
        <v>2927.4</v>
      </c>
      <c r="AO52" s="163" t="n">
        <f aca="false">AO13+AO46</f>
        <v>235.836455156528</v>
      </c>
      <c r="AP52" s="157"/>
      <c r="AQ52" s="158"/>
      <c r="AR52" s="158"/>
      <c r="AS52" s="106"/>
      <c r="AU52" s="1"/>
      <c r="AV52" s="107" t="n">
        <f aca="false">AV13+AV46</f>
        <v>4.84</v>
      </c>
      <c r="AW52" s="108"/>
      <c r="AX52" s="108"/>
      <c r="AY52" s="148"/>
      <c r="AZ52" s="156" t="n">
        <f aca="false">AZ13+AZ46</f>
        <v>614.427010405158</v>
      </c>
      <c r="BA52" s="115" t="n">
        <f aca="false">BA46+BA13</f>
        <v>0</v>
      </c>
      <c r="BB52" s="148"/>
    </row>
    <row r="53" customFormat="false" ht="12.95" hidden="false" customHeight="true" outlineLevel="0" collapsed="false">
      <c r="A53" s="11" t="s">
        <v>113</v>
      </c>
      <c r="B53" s="381"/>
      <c r="C53" s="382"/>
      <c r="D53" s="382" t="n">
        <f aca="false">D13+D47</f>
        <v>49587</v>
      </c>
      <c r="E53" s="382" t="n">
        <f aca="false">E44</f>
        <v>71309</v>
      </c>
      <c r="F53" s="174" t="n">
        <f aca="false">F52*$D$2</f>
        <v>49587</v>
      </c>
      <c r="G53" s="84" t="n">
        <f aca="false">G52*$D$2</f>
        <v>65630.048</v>
      </c>
      <c r="H53" s="84" t="n">
        <f aca="false">H52*$D$2</f>
        <v>1192.1529225</v>
      </c>
      <c r="I53" s="84" t="n">
        <f aca="false">I52*$D$2</f>
        <v>66820.9711525</v>
      </c>
      <c r="J53" s="84" t="n">
        <f aca="false">J52*$D$2</f>
        <v>5444.005666</v>
      </c>
      <c r="K53" s="84" t="n">
        <f aca="false">K52*$D$2</f>
        <v>72264.9768185</v>
      </c>
      <c r="L53" s="84" t="n">
        <f aca="false">L52*$D$2</f>
        <v>2576.2946025</v>
      </c>
      <c r="M53" s="103" t="n">
        <f aca="false">M52*$D$2</f>
        <v>5352.95079</v>
      </c>
      <c r="N53" s="99" t="n">
        <f aca="false">N52*$D$2</f>
        <v>0</v>
      </c>
      <c r="O53" s="99" t="n">
        <f aca="false">O52*$D$2</f>
        <v>3181.18192875</v>
      </c>
      <c r="P53" s="88"/>
      <c r="Q53" s="99" t="n">
        <f aca="false">Q52*$D$2</f>
        <v>560.175196638955</v>
      </c>
      <c r="R53" s="99" t="n">
        <f aca="false">R52*$D$2</f>
        <v>615.695348282692</v>
      </c>
      <c r="S53" s="99" t="n">
        <f aca="false">S52*$D$2</f>
        <v>0</v>
      </c>
      <c r="T53" s="99" t="n">
        <f aca="false">T52*$D$2</f>
        <v>171.84024481</v>
      </c>
      <c r="U53" s="368" t="n">
        <f aca="false">U52*$D$2</f>
        <v>-128.994814593016</v>
      </c>
      <c r="V53" s="84" t="n">
        <f aca="false">V52*$D$2</f>
        <v>5965.1779</v>
      </c>
      <c r="W53" s="84" t="n">
        <f aca="false">W52*$D$2</f>
        <v>160.38581</v>
      </c>
      <c r="X53" s="84" t="n">
        <f aca="false">X52*$D$2</f>
        <v>7048.78435941137</v>
      </c>
      <c r="Y53" s="84" t="n">
        <f aca="false">Y52*$D$2</f>
        <v>6739.6827506084</v>
      </c>
      <c r="Z53" s="157"/>
      <c r="AA53" s="84"/>
      <c r="AB53" s="157"/>
      <c r="AC53" s="157"/>
      <c r="AD53" s="102"/>
      <c r="AE53" s="84"/>
      <c r="AF53" s="369" t="n">
        <f aca="false">AF52*$D$2</f>
        <v>101.1585</v>
      </c>
      <c r="AG53" s="162" t="n">
        <f aca="false">AG52*$D$2</f>
        <v>77.3565</v>
      </c>
      <c r="AH53" s="84" t="n">
        <f aca="false">AH52*$D$2</f>
        <v>7674.9549</v>
      </c>
      <c r="AI53" s="84" t="n">
        <f aca="false">AI52*$D$2</f>
        <v>27289.88405</v>
      </c>
      <c r="AJ53" s="102" t="n">
        <f aca="false">AJ52*$D$2</f>
        <v>0</v>
      </c>
      <c r="AK53" s="84" t="n">
        <f aca="false">AK52*$D$2</f>
        <v>19810.265755</v>
      </c>
      <c r="AL53" s="84" t="n">
        <f aca="false">AL52*$D$2</f>
        <v>2867.7110635</v>
      </c>
      <c r="AM53" s="174" t="n">
        <f aca="false">AM52*$D$2</f>
        <v>22677.9768185</v>
      </c>
      <c r="AN53" s="99" t="n">
        <f aca="false">AN52*D2</f>
        <v>5806.4979</v>
      </c>
      <c r="AO53" s="163" t="n">
        <f aca="false">AO52*$D$2</f>
        <v>467.781608802973</v>
      </c>
      <c r="AP53" s="157"/>
      <c r="AQ53" s="158" t="n">
        <f aca="false">AQ47</f>
        <v>200.690064811307</v>
      </c>
      <c r="AR53" s="158"/>
      <c r="AS53" s="106"/>
      <c r="AU53" s="1"/>
      <c r="AV53" s="107"/>
      <c r="AW53" s="108"/>
      <c r="AX53" s="108"/>
      <c r="AY53" s="148"/>
      <c r="AZ53" s="174" t="n">
        <f aca="false">AZ52*$D$2</f>
        <v>1218.71597513863</v>
      </c>
      <c r="BA53" s="0" t="n">
        <f aca="false">BA52*D2</f>
        <v>0</v>
      </c>
      <c r="BB53" s="148"/>
    </row>
    <row r="54" customFormat="false" ht="3" hidden="false" customHeight="true" outlineLevel="0" collapsed="false">
      <c r="A54" s="116"/>
      <c r="B54" s="152"/>
      <c r="C54" s="118"/>
      <c r="D54" s="116"/>
      <c r="E54" s="118"/>
      <c r="F54" s="119"/>
      <c r="G54" s="116"/>
      <c r="H54" s="116"/>
      <c r="I54" s="116"/>
      <c r="J54" s="116"/>
      <c r="K54" s="116"/>
      <c r="L54" s="116"/>
      <c r="M54" s="121"/>
      <c r="N54" s="116"/>
      <c r="O54" s="116"/>
      <c r="P54" s="122"/>
      <c r="Q54" s="116"/>
      <c r="R54" s="116"/>
      <c r="S54" s="116"/>
      <c r="T54" s="116"/>
      <c r="U54" s="383"/>
      <c r="V54" s="116"/>
      <c r="W54" s="116"/>
      <c r="X54" s="116"/>
      <c r="Y54" s="116"/>
      <c r="Z54" s="173"/>
      <c r="AA54" s="116"/>
      <c r="AB54" s="173"/>
      <c r="AC54" s="173"/>
      <c r="AD54" s="177"/>
      <c r="AE54" s="116"/>
      <c r="AF54" s="121"/>
      <c r="AG54" s="178"/>
      <c r="AH54" s="116"/>
      <c r="AI54" s="118"/>
      <c r="AJ54" s="384"/>
      <c r="AK54" s="116"/>
      <c r="AL54" s="116"/>
      <c r="AM54" s="116"/>
      <c r="AN54" s="385"/>
      <c r="AO54" s="177"/>
      <c r="AP54" s="173"/>
      <c r="AQ54" s="122"/>
      <c r="AR54" s="122"/>
      <c r="AS54" s="122"/>
      <c r="AT54" s="386"/>
      <c r="AU54" s="387"/>
      <c r="AV54" s="152"/>
      <c r="AW54" s="116"/>
      <c r="AX54" s="116"/>
      <c r="AY54" s="116"/>
      <c r="AZ54" s="116"/>
      <c r="BA54" s="116"/>
      <c r="BB54" s="116"/>
    </row>
    <row r="55" customFormat="false" ht="14.1" hidden="false" customHeight="true" outlineLevel="0" collapsed="false">
      <c r="A55" s="182"/>
      <c r="B55" s="183"/>
      <c r="D55" s="11"/>
      <c r="F55" s="11"/>
      <c r="G55" s="11"/>
      <c r="H55" s="11"/>
      <c r="I55" s="11"/>
      <c r="J55" s="11"/>
      <c r="K55" s="11"/>
      <c r="L55" s="11"/>
      <c r="M55" s="11"/>
      <c r="N55" s="11"/>
      <c r="O55" s="11"/>
      <c r="Q55" s="11"/>
      <c r="R55" s="11"/>
      <c r="S55" s="11"/>
      <c r="T55" s="11"/>
      <c r="V55" s="11"/>
      <c r="W55" s="11"/>
      <c r="X55" s="11"/>
      <c r="Y55" s="11"/>
      <c r="Z55" s="9"/>
      <c r="AA55" s="11"/>
      <c r="AB55" s="9"/>
      <c r="AC55" s="9"/>
      <c r="AD55" s="4"/>
      <c r="AE55" s="11"/>
      <c r="AF55" s="11"/>
      <c r="AG55" s="11"/>
      <c r="AH55" s="11"/>
      <c r="AI55" s="2"/>
      <c r="AK55" s="11"/>
      <c r="AL55" s="11"/>
      <c r="AM55" s="26"/>
      <c r="AN55" s="2"/>
      <c r="AO55" s="4"/>
      <c r="AP55" s="388"/>
      <c r="AQ55" s="70"/>
      <c r="AR55" s="70"/>
      <c r="AS55" s="1"/>
      <c r="AT55" s="92"/>
      <c r="AU55" s="92"/>
      <c r="AV55" s="389"/>
      <c r="AW55" s="134"/>
      <c r="AX55" s="134"/>
      <c r="AZ55" s="0"/>
    </row>
    <row r="56" customFormat="false" ht="11.1" hidden="false" customHeight="true" outlineLevel="0" collapsed="false">
      <c r="A56" s="11"/>
      <c r="B56" s="185"/>
      <c r="F56" s="11"/>
      <c r="G56" s="11"/>
      <c r="H56" s="11"/>
      <c r="I56" s="12"/>
      <c r="J56" s="11"/>
      <c r="K56" s="186"/>
      <c r="L56" s="11"/>
      <c r="M56" s="11"/>
      <c r="N56" s="11"/>
      <c r="O56" s="11"/>
      <c r="Q56" s="11"/>
      <c r="R56" s="11"/>
      <c r="S56" s="11"/>
      <c r="T56" s="11"/>
      <c r="V56" s="11"/>
      <c r="W56" s="11"/>
      <c r="X56" s="11"/>
      <c r="Y56" s="11"/>
      <c r="Z56" s="9"/>
      <c r="AA56" s="11"/>
      <c r="AB56" s="9"/>
      <c r="AC56" s="9"/>
      <c r="AD56" s="4"/>
      <c r="AE56" s="11"/>
      <c r="AF56" s="11"/>
      <c r="AG56" s="11"/>
      <c r="AH56" s="11"/>
      <c r="AI56" s="2"/>
      <c r="AK56" s="11"/>
      <c r="AL56" s="11"/>
      <c r="AM56" s="137"/>
      <c r="AN56" s="2"/>
      <c r="AO56" s="4"/>
      <c r="AP56" s="388"/>
      <c r="AQ56" s="70"/>
      <c r="AR56" s="70"/>
      <c r="AS56" s="1"/>
      <c r="AT56" s="92"/>
      <c r="AU56" s="92"/>
      <c r="AV56" s="389"/>
      <c r="AW56" s="134"/>
      <c r="AX56" s="134"/>
    </row>
    <row r="57" customFormat="false" ht="11.1" hidden="false" customHeight="true" outlineLevel="0" collapsed="false">
      <c r="D57" s="2"/>
      <c r="H57" s="11"/>
      <c r="S57" s="4"/>
      <c r="T57" s="4"/>
      <c r="X57" s="1"/>
      <c r="Y57" s="1"/>
      <c r="Z57" s="9"/>
      <c r="AA57" s="1"/>
      <c r="AB57" s="9"/>
      <c r="AC57" s="9"/>
      <c r="AD57" s="4"/>
      <c r="AH57" s="1"/>
      <c r="AI57" s="2"/>
      <c r="AM57" s="26"/>
      <c r="AN57" s="2"/>
      <c r="AO57" s="4"/>
      <c r="AP57" s="388"/>
      <c r="AQ57" s="70"/>
      <c r="AR57" s="70"/>
      <c r="AS57" s="1"/>
      <c r="AT57" s="92"/>
      <c r="AU57" s="92"/>
      <c r="AV57" s="389"/>
      <c r="AW57" s="134"/>
      <c r="AX57" s="134"/>
    </row>
    <row r="58" customFormat="false" ht="11.1" hidden="false" customHeight="true" outlineLevel="0" collapsed="false">
      <c r="B58" s="56"/>
      <c r="C58" s="161"/>
      <c r="D58" s="161"/>
      <c r="E58" s="390"/>
      <c r="H58" s="110"/>
      <c r="K58" s="391"/>
      <c r="L58" s="110"/>
      <c r="O58" s="110"/>
      <c r="P58" s="8"/>
      <c r="Q58" s="110"/>
      <c r="R58" s="110"/>
      <c r="S58" s="26"/>
      <c r="T58" s="26"/>
      <c r="U58" s="98"/>
      <c r="V58" s="26"/>
      <c r="W58" s="26"/>
      <c r="X58" s="95"/>
      <c r="Y58" s="95"/>
      <c r="Z58" s="191"/>
      <c r="AA58" s="95"/>
      <c r="AC58" s="191"/>
      <c r="AD58" s="191"/>
      <c r="AE58" s="161"/>
      <c r="AF58" s="161"/>
      <c r="AG58" s="161"/>
      <c r="AI58" s="161"/>
      <c r="AJ58" s="335"/>
      <c r="AN58" s="92"/>
      <c r="AO58" s="92"/>
      <c r="AP58" s="92"/>
    </row>
    <row r="59" customFormat="false" ht="11.1" hidden="false" customHeight="true" outlineLevel="0" collapsed="false">
      <c r="B59" s="8"/>
      <c r="C59" s="161"/>
      <c r="D59" s="161"/>
      <c r="E59" s="390"/>
      <c r="F59" s="392"/>
      <c r="G59" s="56"/>
      <c r="K59" s="186"/>
      <c r="V59" s="11"/>
      <c r="Z59" s="2"/>
      <c r="AC59" s="2"/>
      <c r="AD59" s="2"/>
      <c r="AN59" s="92"/>
      <c r="AO59" s="92"/>
      <c r="AP59" s="92"/>
    </row>
    <row r="60" customFormat="false" ht="11.1" hidden="false" customHeight="true" outlineLevel="0" collapsed="false">
      <c r="V60" s="84"/>
    </row>
    <row r="61" customFormat="false" ht="11.1" hidden="false" customHeight="true" outlineLevel="0" collapsed="false">
      <c r="B61" s="183"/>
    </row>
  </sheetData>
  <mergeCells count="2">
    <mergeCell ref="M5:U5"/>
    <mergeCell ref="AF5:AG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8.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10" width="5.66"/>
    <col collapsed="false" customWidth="true" hidden="false" outlineLevel="0" max="11" min="9" style="56" width="6.32"/>
    <col collapsed="false" customWidth="true" hidden="false" outlineLevel="0" max="12" min="12" style="56" width="6.82"/>
    <col collapsed="false" customWidth="true" hidden="false" outlineLevel="0" max="13" min="13" style="110" width="5.49"/>
    <col collapsed="false" customWidth="true" hidden="false" outlineLevel="0" max="14" min="14" style="8" width="4.49"/>
    <col collapsed="false" customWidth="true" hidden="false" outlineLevel="0" max="15" min="15" style="110" width="5.49"/>
    <col collapsed="false" customWidth="true" hidden="false" outlineLevel="0" max="16" min="16" style="8" width="4.82"/>
    <col collapsed="false" customWidth="true" hidden="false" outlineLevel="0" max="18" min="17" style="110" width="4.32"/>
    <col collapsed="false" customWidth="true" hidden="false" outlineLevel="0" max="20" min="19" style="282" width="4.32"/>
    <col collapsed="false" customWidth="true" hidden="false" outlineLevel="0" max="21" min="21" style="8" width="5.16"/>
    <col collapsed="false" customWidth="true" hidden="false" outlineLevel="0" max="23" min="22" style="56" width="5.49"/>
    <col collapsed="false" customWidth="true" hidden="false" outlineLevel="0" max="25" min="24" style="161" width="6.32"/>
    <col collapsed="false" customWidth="true" hidden="false" outlineLevel="0" max="26" min="26" style="56" width="5.49"/>
    <col collapsed="false" customWidth="true" hidden="false" outlineLevel="0" max="27" min="27" style="161" width="6.32"/>
    <col collapsed="false" customWidth="true" hidden="false" outlineLevel="0" max="28" min="28" style="56" width="5.49"/>
    <col collapsed="false" customWidth="true" hidden="false" outlineLevel="0" max="29" min="29" style="56" width="5.82"/>
    <col collapsed="false" customWidth="true" hidden="false" outlineLevel="0" max="33" min="30" style="56" width="5.49"/>
    <col collapsed="false" customWidth="true" hidden="false" outlineLevel="0" max="34" min="34" style="191" width="6.32"/>
    <col collapsed="false" customWidth="true" hidden="false" outlineLevel="0" max="35" min="35" style="56" width="5.49"/>
    <col collapsed="false" customWidth="true" hidden="false" outlineLevel="0" max="36" min="36" style="335"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0" min="40" style="161" width="5.49"/>
    <col collapsed="false" customWidth="true" hidden="false" outlineLevel="0" max="41" min="41" style="56" width="5.49"/>
    <col collapsed="false" customWidth="true" hidden="false" outlineLevel="0" max="42" min="42" style="56" width="6.32"/>
    <col collapsed="false" customWidth="true" hidden="false" outlineLevel="0" max="43" min="43" style="300" width="6.32"/>
    <col collapsed="false" customWidth="true" hidden="false" outlineLevel="0" max="44" min="44" style="201" width="5.49"/>
    <col collapsed="false" customWidth="true" hidden="false" outlineLevel="0" max="45" min="45" style="56" width="5.32"/>
    <col collapsed="false" customWidth="true" hidden="false" outlineLevel="0" max="46" min="46" style="335" width="5.82"/>
    <col collapsed="false" customWidth="true" hidden="false" outlineLevel="0" max="47" min="47" style="189" width="4.99"/>
    <col collapsed="false" customWidth="true" hidden="false" outlineLevel="0" max="48" min="48" style="188" width="5.32"/>
    <col collapsed="false" customWidth="true" hidden="false" outlineLevel="0" max="49" min="49" style="191" width="3.82"/>
    <col collapsed="false" customWidth="true" hidden="false" outlineLevel="0" max="50" min="50" style="192" width="3.82"/>
    <col collapsed="false" customWidth="true" hidden="false" outlineLevel="0" max="51" min="51" style="56" width="3.82"/>
    <col collapsed="false" customWidth="true" hidden="false" outlineLevel="0" max="52" min="52" style="56" width="5.49"/>
    <col collapsed="false" customWidth="false" hidden="false" outlineLevel="0" max="257" min="53" style="193" width="9.32"/>
  </cols>
  <sheetData>
    <row r="1" customFormat="false" ht="14.1" hidden="false" customHeight="true" outlineLevel="0" collapsed="false">
      <c r="A1" s="194"/>
      <c r="B1" s="194"/>
      <c r="D1" s="194"/>
      <c r="F1" s="194"/>
      <c r="G1" s="194"/>
      <c r="I1" s="194"/>
      <c r="J1" s="194"/>
      <c r="K1" s="298" t="s">
        <v>0</v>
      </c>
      <c r="L1" s="194"/>
      <c r="M1" s="194"/>
      <c r="O1" s="194"/>
      <c r="Q1" s="194"/>
      <c r="R1" s="194"/>
      <c r="V1" s="194"/>
      <c r="W1" s="194"/>
      <c r="Z1" s="194"/>
      <c r="AB1" s="194"/>
      <c r="AC1" s="194"/>
      <c r="AD1" s="194"/>
      <c r="AE1" s="194"/>
      <c r="AF1" s="194"/>
      <c r="AG1" s="194"/>
      <c r="AI1" s="194"/>
      <c r="AK1" s="194"/>
      <c r="AL1" s="194"/>
      <c r="AN1" s="238"/>
      <c r="AO1" s="197"/>
      <c r="AP1" s="197"/>
    </row>
    <row r="2" customFormat="false" ht="14.1" hidden="false" customHeight="true" outlineLevel="0" collapsed="false">
      <c r="A2" s="197" t="s">
        <v>1</v>
      </c>
      <c r="B2" s="194"/>
      <c r="D2" s="198" t="n">
        <v>1.9835</v>
      </c>
      <c r="F2" s="194"/>
      <c r="G2" s="194"/>
      <c r="I2" s="194"/>
      <c r="J2" s="194"/>
      <c r="K2" s="298" t="s">
        <v>131</v>
      </c>
      <c r="L2" s="299"/>
      <c r="M2" s="200"/>
      <c r="N2" s="300"/>
      <c r="O2" s="200"/>
      <c r="P2" s="300"/>
      <c r="Q2" s="200"/>
      <c r="R2" s="200"/>
      <c r="S2" s="393"/>
      <c r="T2" s="393"/>
      <c r="U2" s="300"/>
      <c r="V2" s="200"/>
      <c r="W2" s="200"/>
      <c r="X2" s="89"/>
      <c r="Y2" s="89"/>
      <c r="Z2" s="200"/>
      <c r="AA2" s="89"/>
      <c r="AB2" s="200"/>
      <c r="AC2" s="200"/>
      <c r="AD2" s="200"/>
      <c r="AE2" s="194"/>
      <c r="AF2" s="194"/>
      <c r="AG2" s="194"/>
      <c r="AI2" s="194"/>
      <c r="AK2" s="194"/>
      <c r="AL2" s="194"/>
      <c r="AN2" s="238"/>
      <c r="AO2" s="197"/>
      <c r="AP2" s="197"/>
    </row>
    <row r="3" customFormat="false" ht="14.1" hidden="false" customHeight="true" outlineLevel="0" collapsed="false">
      <c r="A3" s="194"/>
      <c r="B3" s="194"/>
      <c r="D3" s="394"/>
      <c r="F3" s="194"/>
      <c r="G3" s="194"/>
      <c r="I3" s="194"/>
      <c r="J3" s="194"/>
      <c r="K3" s="194"/>
      <c r="L3" s="194"/>
      <c r="M3" s="194"/>
      <c r="O3" s="194"/>
      <c r="Q3" s="194"/>
      <c r="R3" s="194"/>
      <c r="V3" s="194"/>
      <c r="W3" s="194"/>
      <c r="Z3" s="194"/>
      <c r="AB3" s="194"/>
      <c r="AC3" s="194"/>
      <c r="AD3" s="194"/>
      <c r="AE3" s="194"/>
      <c r="AF3" s="194"/>
      <c r="AG3" s="194"/>
      <c r="AI3" s="194"/>
      <c r="AK3" s="194"/>
      <c r="AL3" s="194"/>
      <c r="AN3" s="238"/>
      <c r="AO3" s="208"/>
      <c r="AP3" s="208"/>
      <c r="BA3" s="214"/>
      <c r="BB3" s="214"/>
    </row>
    <row r="4" s="56" customFormat="true" ht="14.1" hidden="false" customHeight="true" outlineLevel="0" collapsed="false">
      <c r="A4" s="395"/>
      <c r="B4" s="396"/>
      <c r="C4" s="397"/>
      <c r="D4" s="398" t="s">
        <v>3</v>
      </c>
      <c r="E4" s="397"/>
      <c r="F4" s="395"/>
      <c r="G4" s="396"/>
      <c r="H4" s="399"/>
      <c r="I4" s="400" t="s">
        <v>115</v>
      </c>
      <c r="J4" s="395"/>
      <c r="K4" s="395"/>
      <c r="L4" s="401"/>
      <c r="M4" s="395"/>
      <c r="N4" s="402"/>
      <c r="O4" s="395"/>
      <c r="P4" s="402"/>
      <c r="Q4" s="395"/>
      <c r="R4" s="395"/>
      <c r="S4" s="403"/>
      <c r="T4" s="403"/>
      <c r="U4" s="402"/>
      <c r="V4" s="400"/>
      <c r="W4" s="395"/>
      <c r="X4" s="400" t="s">
        <v>5</v>
      </c>
      <c r="Y4" s="397"/>
      <c r="Z4" s="395"/>
      <c r="AA4" s="397"/>
      <c r="AB4" s="395"/>
      <c r="AC4" s="395"/>
      <c r="AD4" s="395"/>
      <c r="AE4" s="395"/>
      <c r="AF4" s="395"/>
      <c r="AG4" s="395"/>
      <c r="AH4" s="404"/>
      <c r="AI4" s="395"/>
      <c r="AJ4" s="405"/>
      <c r="AK4" s="395"/>
      <c r="AL4" s="395"/>
      <c r="AM4" s="402"/>
      <c r="AN4" s="44"/>
      <c r="AO4" s="30"/>
      <c r="AP4" s="406" t="s">
        <v>6</v>
      </c>
      <c r="AQ4" s="48"/>
      <c r="AR4" s="407"/>
      <c r="AS4" s="49"/>
      <c r="AT4" s="405"/>
      <c r="AU4" s="405"/>
      <c r="AV4" s="408"/>
      <c r="AW4" s="409" t="s">
        <v>7</v>
      </c>
      <c r="AX4" s="410"/>
      <c r="AY4" s="57"/>
      <c r="AZ4" s="411"/>
      <c r="BA4" s="71"/>
      <c r="BB4" s="217"/>
    </row>
    <row r="5" customFormat="fals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333" t="s">
        <v>16</v>
      </c>
      <c r="M5" s="415" t="s">
        <v>18</v>
      </c>
      <c r="N5" s="415"/>
      <c r="O5" s="415"/>
      <c r="P5" s="415"/>
      <c r="Q5" s="415"/>
      <c r="R5" s="415"/>
      <c r="S5" s="415"/>
      <c r="T5" s="415"/>
      <c r="U5" s="415"/>
      <c r="V5" s="333" t="s">
        <v>19</v>
      </c>
      <c r="W5" s="333" t="s">
        <v>20</v>
      </c>
      <c r="X5" s="58" t="s">
        <v>17</v>
      </c>
      <c r="Y5" s="58" t="s">
        <v>17</v>
      </c>
      <c r="Z5" s="64" t="s">
        <v>21</v>
      </c>
      <c r="AA5" s="58" t="s">
        <v>21</v>
      </c>
      <c r="AB5" s="64" t="s">
        <v>21</v>
      </c>
      <c r="AC5" s="413" t="s">
        <v>22</v>
      </c>
      <c r="AD5" s="413" t="s">
        <v>21</v>
      </c>
      <c r="AE5" s="333" t="s">
        <v>23</v>
      </c>
      <c r="AF5" s="416" t="s">
        <v>132</v>
      </c>
      <c r="AG5" s="417"/>
      <c r="AH5" s="418" t="s">
        <v>25</v>
      </c>
      <c r="AI5" s="413" t="s">
        <v>133</v>
      </c>
      <c r="AJ5" s="414" t="s">
        <v>27</v>
      </c>
      <c r="AK5" s="333" t="s">
        <v>15</v>
      </c>
      <c r="AL5" s="333" t="s">
        <v>16</v>
      </c>
      <c r="AM5" s="333" t="s">
        <v>17</v>
      </c>
      <c r="AN5" s="69" t="s">
        <v>28</v>
      </c>
      <c r="AO5" s="64" t="s">
        <v>21</v>
      </c>
      <c r="AP5" s="70" t="s">
        <v>29</v>
      </c>
      <c r="AQ5" s="70" t="s">
        <v>29</v>
      </c>
      <c r="AR5" s="65" t="s">
        <v>30</v>
      </c>
      <c r="AS5" s="71" t="s">
        <v>31</v>
      </c>
      <c r="AT5" s="414" t="s">
        <v>32</v>
      </c>
      <c r="AU5" s="219" t="s">
        <v>33</v>
      </c>
      <c r="AV5" s="419" t="s">
        <v>34</v>
      </c>
      <c r="AW5" s="418" t="s">
        <v>35</v>
      </c>
      <c r="AX5" s="418" t="s">
        <v>36</v>
      </c>
      <c r="AY5" s="85"/>
      <c r="AZ5" s="75" t="s">
        <v>17</v>
      </c>
      <c r="BA5" s="222" t="s">
        <v>37</v>
      </c>
      <c r="BB5" s="223" t="s">
        <v>37</v>
      </c>
    </row>
    <row r="6" customFormat="false" ht="12.95" hidden="false" customHeight="true" outlineLevel="0" collapsed="false">
      <c r="A6" s="420" t="s">
        <v>134</v>
      </c>
      <c r="B6" s="412" t="s">
        <v>39</v>
      </c>
      <c r="C6" s="413"/>
      <c r="D6" s="333" t="s">
        <v>40</v>
      </c>
      <c r="E6" s="413" t="s">
        <v>41</v>
      </c>
      <c r="F6" s="333" t="s">
        <v>42</v>
      </c>
      <c r="G6" s="412" t="s">
        <v>43</v>
      </c>
      <c r="H6" s="414" t="s">
        <v>44</v>
      </c>
      <c r="I6" s="333" t="s">
        <v>45</v>
      </c>
      <c r="J6" s="333" t="s">
        <v>45</v>
      </c>
      <c r="K6" s="333" t="s">
        <v>45</v>
      </c>
      <c r="L6" s="333" t="s">
        <v>46</v>
      </c>
      <c r="M6" s="421" t="s">
        <v>47</v>
      </c>
      <c r="N6" s="72" t="s">
        <v>48</v>
      </c>
      <c r="O6" s="333" t="s">
        <v>49</v>
      </c>
      <c r="P6" s="72" t="s">
        <v>50</v>
      </c>
      <c r="Q6" s="61" t="s">
        <v>51</v>
      </c>
      <c r="R6" s="61" t="s">
        <v>52</v>
      </c>
      <c r="S6" s="61"/>
      <c r="T6" s="61" t="s">
        <v>49</v>
      </c>
      <c r="U6" s="422" t="s">
        <v>53</v>
      </c>
      <c r="V6" s="333" t="s">
        <v>54</v>
      </c>
      <c r="W6" s="333" t="s">
        <v>55</v>
      </c>
      <c r="X6" s="58" t="s">
        <v>21</v>
      </c>
      <c r="Y6" s="58" t="s">
        <v>21</v>
      </c>
      <c r="Z6" s="64" t="s">
        <v>56</v>
      </c>
      <c r="AA6" s="58" t="s">
        <v>56</v>
      </c>
      <c r="AB6" s="64" t="s">
        <v>57</v>
      </c>
      <c r="AC6" s="413" t="s">
        <v>58</v>
      </c>
      <c r="AD6" s="413" t="s">
        <v>59</v>
      </c>
      <c r="AE6" s="333" t="s">
        <v>60</v>
      </c>
      <c r="AF6" s="78" t="s">
        <v>61</v>
      </c>
      <c r="AG6" s="81" t="s">
        <v>62</v>
      </c>
      <c r="AH6" s="418" t="s">
        <v>63</v>
      </c>
      <c r="AI6" s="413" t="s">
        <v>64</v>
      </c>
      <c r="AJ6" s="414"/>
      <c r="AK6" s="333" t="s">
        <v>65</v>
      </c>
      <c r="AL6" s="333" t="s">
        <v>65</v>
      </c>
      <c r="AM6" s="333" t="s">
        <v>65</v>
      </c>
      <c r="AN6" s="69" t="s">
        <v>66</v>
      </c>
      <c r="AO6" s="64" t="s">
        <v>67</v>
      </c>
      <c r="AP6" s="70" t="s">
        <v>68</v>
      </c>
      <c r="AQ6" s="70" t="s">
        <v>68</v>
      </c>
      <c r="AR6" s="65" t="s">
        <v>69</v>
      </c>
      <c r="AS6" s="71" t="s">
        <v>70</v>
      </c>
      <c r="AT6" s="414" t="s">
        <v>71</v>
      </c>
      <c r="AU6" s="219" t="s">
        <v>72</v>
      </c>
      <c r="AV6" s="423"/>
      <c r="AW6" s="418" t="s">
        <v>73</v>
      </c>
      <c r="AX6" s="418" t="s">
        <v>73</v>
      </c>
      <c r="AY6" s="85"/>
      <c r="AZ6" s="75" t="s">
        <v>74</v>
      </c>
      <c r="BA6" s="222" t="s">
        <v>75</v>
      </c>
      <c r="BB6" s="223" t="s">
        <v>76</v>
      </c>
    </row>
    <row r="7" customFormat="false" ht="12.95" hidden="false" customHeight="true" outlineLevel="0" collapsed="false">
      <c r="A7" s="333"/>
      <c r="B7" s="412"/>
      <c r="C7" s="413"/>
      <c r="D7" s="333"/>
      <c r="E7" s="413"/>
      <c r="F7" s="333"/>
      <c r="G7" s="412"/>
      <c r="H7" s="414"/>
      <c r="I7" s="333"/>
      <c r="J7" s="333"/>
      <c r="K7" s="333"/>
      <c r="L7" s="424"/>
      <c r="M7" s="333"/>
      <c r="N7" s="72" t="s">
        <v>77</v>
      </c>
      <c r="O7" s="333" t="s">
        <v>78</v>
      </c>
      <c r="P7" s="72"/>
      <c r="Q7" s="61" t="s">
        <v>79</v>
      </c>
      <c r="R7" s="61" t="s">
        <v>79</v>
      </c>
      <c r="S7" s="61" t="s">
        <v>62</v>
      </c>
      <c r="T7" s="61" t="s">
        <v>62</v>
      </c>
      <c r="U7" s="422" t="s">
        <v>80</v>
      </c>
      <c r="V7" s="333"/>
      <c r="W7" s="333"/>
      <c r="X7" s="68" t="s">
        <v>81</v>
      </c>
      <c r="Y7" s="60" t="s">
        <v>82</v>
      </c>
      <c r="Z7" s="64" t="s">
        <v>83</v>
      </c>
      <c r="AA7" s="58" t="s">
        <v>84</v>
      </c>
      <c r="AB7" s="64" t="s">
        <v>85</v>
      </c>
      <c r="AC7" s="413"/>
      <c r="AD7" s="413"/>
      <c r="AE7" s="333"/>
      <c r="AF7" s="83" t="n">
        <v>1.7</v>
      </c>
      <c r="AG7" s="83" t="n">
        <v>1.3</v>
      </c>
      <c r="AH7" s="418"/>
      <c r="AI7" s="413"/>
      <c r="AJ7" s="414"/>
      <c r="AK7" s="333"/>
      <c r="AL7" s="333"/>
      <c r="AM7" s="333"/>
      <c r="AN7" s="69"/>
      <c r="AO7" s="64" t="s">
        <v>42</v>
      </c>
      <c r="AP7" s="70" t="s">
        <v>86</v>
      </c>
      <c r="AQ7" s="70" t="s">
        <v>87</v>
      </c>
      <c r="AR7" s="65" t="s">
        <v>88</v>
      </c>
      <c r="AS7" s="71" t="s">
        <v>89</v>
      </c>
      <c r="AT7" s="414" t="s">
        <v>90</v>
      </c>
      <c r="AU7" s="219" t="s">
        <v>91</v>
      </c>
      <c r="AV7" s="423"/>
      <c r="AW7" s="418"/>
      <c r="AX7" s="418"/>
      <c r="AY7" s="85"/>
      <c r="AZ7" s="75" t="s">
        <v>92</v>
      </c>
      <c r="BA7" s="222"/>
      <c r="BB7" s="223"/>
    </row>
    <row r="8" customFormat="false" ht="12.95" hidden="false" customHeight="true" outlineLevel="0" collapsed="false">
      <c r="A8" s="333"/>
      <c r="B8" s="412"/>
      <c r="C8" s="413"/>
      <c r="D8" s="333"/>
      <c r="E8" s="413"/>
      <c r="F8" s="333"/>
      <c r="G8" s="412"/>
      <c r="H8" s="414"/>
      <c r="I8" s="333"/>
      <c r="J8" s="333"/>
      <c r="K8" s="333"/>
      <c r="L8" s="424"/>
      <c r="M8" s="333"/>
      <c r="N8" s="72"/>
      <c r="O8" s="333"/>
      <c r="P8" s="72"/>
      <c r="Q8" s="61" t="s">
        <v>62</v>
      </c>
      <c r="R8" s="61" t="s">
        <v>62</v>
      </c>
      <c r="S8" s="61"/>
      <c r="T8" s="61"/>
      <c r="U8" s="422"/>
      <c r="V8" s="333"/>
      <c r="W8" s="333"/>
      <c r="X8" s="68" t="s">
        <v>93</v>
      </c>
      <c r="Y8" s="60" t="s">
        <v>81</v>
      </c>
      <c r="Z8" s="64"/>
      <c r="AA8" s="60" t="s">
        <v>94</v>
      </c>
      <c r="AB8" s="64" t="s">
        <v>95</v>
      </c>
      <c r="AC8" s="413"/>
      <c r="AD8" s="413"/>
      <c r="AE8" s="333"/>
      <c r="AF8" s="425"/>
      <c r="AG8" s="426"/>
      <c r="AH8" s="418"/>
      <c r="AI8" s="413"/>
      <c r="AJ8" s="414"/>
      <c r="AK8" s="333"/>
      <c r="AL8" s="333"/>
      <c r="AM8" s="333"/>
      <c r="AN8" s="69"/>
      <c r="AO8" s="64"/>
      <c r="AP8" s="70"/>
      <c r="AQ8" s="70"/>
      <c r="AR8" s="65"/>
      <c r="AS8" s="71"/>
      <c r="AT8" s="414"/>
      <c r="AU8" s="219"/>
      <c r="AV8" s="423"/>
      <c r="AW8" s="418"/>
      <c r="AX8" s="418"/>
      <c r="AY8" s="85"/>
      <c r="AZ8" s="75"/>
      <c r="BA8" s="222"/>
      <c r="BB8" s="223"/>
    </row>
    <row r="9" customFormat="false" ht="12.95" hidden="false" customHeight="true" outlineLevel="0" collapsed="false">
      <c r="A9" s="333"/>
      <c r="B9" s="412"/>
      <c r="C9" s="413"/>
      <c r="D9" s="333"/>
      <c r="E9" s="413"/>
      <c r="F9" s="333"/>
      <c r="G9" s="412"/>
      <c r="H9" s="414"/>
      <c r="I9" s="333"/>
      <c r="J9" s="333"/>
      <c r="K9" s="333"/>
      <c r="L9" s="424"/>
      <c r="M9" s="333"/>
      <c r="N9" s="72"/>
      <c r="O9" s="333"/>
      <c r="P9" s="72"/>
      <c r="Q9" s="61"/>
      <c r="R9" s="86" t="n">
        <v>4.2</v>
      </c>
      <c r="S9" s="61"/>
      <c r="T9" s="61"/>
      <c r="U9" s="422"/>
      <c r="V9" s="333"/>
      <c r="W9" s="333"/>
      <c r="X9" s="68"/>
      <c r="Y9" s="60" t="s">
        <v>93</v>
      </c>
      <c r="Z9" s="64"/>
      <c r="AA9" s="60" t="s">
        <v>93</v>
      </c>
      <c r="AB9" s="64" t="s">
        <v>96</v>
      </c>
      <c r="AC9" s="413"/>
      <c r="AD9" s="413"/>
      <c r="AE9" s="333"/>
      <c r="AF9" s="425"/>
      <c r="AG9" s="426"/>
      <c r="AH9" s="418"/>
      <c r="AI9" s="413"/>
      <c r="AJ9" s="414"/>
      <c r="AK9" s="333"/>
      <c r="AL9" s="333"/>
      <c r="AM9" s="333"/>
      <c r="AN9" s="69"/>
      <c r="AO9" s="64"/>
      <c r="AP9" s="70"/>
      <c r="AQ9" s="70"/>
      <c r="AR9" s="65"/>
      <c r="AS9" s="71"/>
      <c r="AT9" s="414"/>
      <c r="AU9" s="219"/>
      <c r="AV9" s="423"/>
      <c r="AW9" s="418"/>
      <c r="AX9" s="418"/>
      <c r="AY9" s="85"/>
      <c r="AZ9" s="75"/>
      <c r="BA9" s="222"/>
      <c r="BB9" s="223" t="s">
        <v>97</v>
      </c>
    </row>
    <row r="10" customFormat="false" ht="12.95" hidden="false" customHeight="true" outlineLevel="0" collapsed="false">
      <c r="A10" s="333"/>
      <c r="B10" s="412"/>
      <c r="C10" s="413" t="s">
        <v>10</v>
      </c>
      <c r="D10" s="333"/>
      <c r="E10" s="413" t="s">
        <v>99</v>
      </c>
      <c r="F10" s="333"/>
      <c r="G10" s="412" t="s">
        <v>42</v>
      </c>
      <c r="H10" s="414" t="s">
        <v>42</v>
      </c>
      <c r="I10" s="414" t="s">
        <v>42</v>
      </c>
      <c r="J10" s="414" t="s">
        <v>42</v>
      </c>
      <c r="K10" s="414" t="s">
        <v>42</v>
      </c>
      <c r="L10" s="427" t="s">
        <v>42</v>
      </c>
      <c r="M10" s="414"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4" t="s">
        <v>42</v>
      </c>
      <c r="AE10" s="414" t="s">
        <v>42</v>
      </c>
      <c r="AF10" s="428" t="s">
        <v>42</v>
      </c>
      <c r="AG10" s="427" t="s">
        <v>42</v>
      </c>
      <c r="AH10" s="414" t="s">
        <v>42</v>
      </c>
      <c r="AI10" s="414" t="s">
        <v>42</v>
      </c>
      <c r="AJ10" s="414" t="s">
        <v>42</v>
      </c>
      <c r="AK10" s="414" t="s">
        <v>42</v>
      </c>
      <c r="AL10" s="414" t="s">
        <v>42</v>
      </c>
      <c r="AM10" s="429" t="s">
        <v>42</v>
      </c>
      <c r="AN10" s="64" t="s">
        <v>42</v>
      </c>
      <c r="AO10" s="64" t="s">
        <v>42</v>
      </c>
      <c r="AP10" s="64" t="s">
        <v>42</v>
      </c>
      <c r="AQ10" s="70" t="s">
        <v>100</v>
      </c>
      <c r="AR10" s="65" t="s">
        <v>42</v>
      </c>
      <c r="AS10" s="64" t="s">
        <v>42</v>
      </c>
      <c r="AT10" s="65" t="s">
        <v>42</v>
      </c>
      <c r="AU10" s="64" t="s">
        <v>42</v>
      </c>
      <c r="AV10" s="423"/>
      <c r="AW10" s="418"/>
      <c r="AX10" s="418"/>
      <c r="AY10" s="85"/>
      <c r="AZ10" s="75" t="s">
        <v>101</v>
      </c>
      <c r="BA10" s="222" t="s">
        <v>42</v>
      </c>
      <c r="BB10" s="223" t="s">
        <v>99</v>
      </c>
    </row>
    <row r="11" customFormat="false" ht="12.95" hidden="false" customHeight="true" outlineLevel="0" collapsed="false">
      <c r="A11" s="333"/>
      <c r="B11" s="412"/>
      <c r="C11" s="413"/>
      <c r="D11" s="333"/>
      <c r="E11" s="413"/>
      <c r="F11" s="333"/>
      <c r="G11" s="412"/>
      <c r="H11" s="414"/>
      <c r="I11" s="333"/>
      <c r="J11" s="333"/>
      <c r="K11" s="333"/>
      <c r="L11" s="333"/>
      <c r="M11" s="421"/>
      <c r="N11" s="72" t="n">
        <v>1.03</v>
      </c>
      <c r="O11" s="430" t="n">
        <v>1.05</v>
      </c>
      <c r="P11" s="72" t="n">
        <v>1.02</v>
      </c>
      <c r="Q11" s="87" t="n">
        <v>1.02</v>
      </c>
      <c r="R11" s="88" t="n">
        <v>1.04</v>
      </c>
      <c r="S11" s="61"/>
      <c r="T11" s="87" t="n">
        <v>1.04</v>
      </c>
      <c r="U11" s="422"/>
      <c r="V11" s="333"/>
      <c r="W11" s="333"/>
      <c r="X11" s="61" t="s">
        <v>42</v>
      </c>
      <c r="Y11" s="61" t="s">
        <v>42</v>
      </c>
      <c r="Z11" s="61" t="s">
        <v>42</v>
      </c>
      <c r="AA11" s="60" t="s">
        <v>42</v>
      </c>
      <c r="AB11" s="89" t="s">
        <v>102</v>
      </c>
      <c r="AC11" s="413"/>
      <c r="AD11" s="413"/>
      <c r="AE11" s="333"/>
      <c r="AF11" s="425"/>
      <c r="AG11" s="426"/>
      <c r="AH11" s="418"/>
      <c r="AI11" s="413"/>
      <c r="AJ11" s="414"/>
      <c r="AK11" s="333"/>
      <c r="AL11" s="333"/>
      <c r="AM11" s="333"/>
      <c r="AN11" s="69"/>
      <c r="AO11" s="64"/>
      <c r="AP11" s="70"/>
      <c r="AQ11" s="70"/>
      <c r="AR11" s="65"/>
      <c r="AS11" s="92"/>
      <c r="AV11" s="423"/>
      <c r="AW11" s="418"/>
      <c r="AX11" s="418"/>
      <c r="AY11" s="85"/>
      <c r="AZ11" s="75" t="s">
        <v>42</v>
      </c>
      <c r="BA11" s="222"/>
      <c r="BB11" s="223"/>
    </row>
    <row r="12" customFormat="false" ht="12.95" hidden="false" customHeight="true" outlineLevel="0" collapsed="false">
      <c r="A12" s="197" t="s">
        <v>103</v>
      </c>
      <c r="B12" s="224"/>
      <c r="C12" s="113"/>
      <c r="D12" s="113"/>
      <c r="E12" s="113"/>
      <c r="F12" s="113" t="n">
        <f aca="false">APR!F49</f>
        <v>15054.7012856063</v>
      </c>
      <c r="G12" s="431" t="n">
        <f aca="false">APR!G49</f>
        <v>20571</v>
      </c>
      <c r="H12" s="143" t="n">
        <f aca="false">APR!H49</f>
        <v>570.93</v>
      </c>
      <c r="I12" s="113" t="n">
        <f aca="false">APR!I49</f>
        <v>21141.93</v>
      </c>
      <c r="J12" s="113" t="n">
        <f aca="false">APR!J49</f>
        <v>828.929231157045</v>
      </c>
      <c r="K12" s="113" t="n">
        <f aca="false">APR!K49</f>
        <v>21970.859231157</v>
      </c>
      <c r="L12" s="113" t="n">
        <f aca="false">APR!L49</f>
        <v>259.561285606251</v>
      </c>
      <c r="M12" s="227" t="n">
        <f aca="false">APR!M49</f>
        <v>2061.7</v>
      </c>
      <c r="N12" s="143" t="n">
        <f aca="false">APR!N49</f>
        <v>0</v>
      </c>
      <c r="O12" s="113" t="n">
        <f aca="false">APR!O49</f>
        <v>1603.8225</v>
      </c>
      <c r="P12" s="171" t="n">
        <f aca="false">APR!P49</f>
        <v>0</v>
      </c>
      <c r="Q12" s="113"/>
      <c r="R12" s="113"/>
      <c r="S12" s="346"/>
      <c r="T12" s="346"/>
      <c r="U12" s="228"/>
      <c r="V12" s="113" t="n">
        <f aca="false">APR!V49</f>
        <v>3007.4</v>
      </c>
      <c r="W12" s="113" t="n">
        <f aca="false">APR!W49</f>
        <v>80.86</v>
      </c>
      <c r="X12" s="113" t="n">
        <f aca="false">APR!X49</f>
        <v>3446.21185648209</v>
      </c>
      <c r="Y12" s="113" t="n">
        <f aca="false">APR!Y49</f>
        <v>3290.37540132556</v>
      </c>
      <c r="Z12" s="113" t="n">
        <f aca="false">APR!Z44</f>
        <v>12766.0393977225</v>
      </c>
      <c r="AA12" s="113"/>
      <c r="AB12" s="113" t="n">
        <f aca="false">APR!AB44</f>
        <v>26041.4008539118</v>
      </c>
      <c r="AC12" s="113" t="n">
        <f aca="false">APR!AC44</f>
        <v>1620.36900587372</v>
      </c>
      <c r="AD12" s="113"/>
      <c r="AE12" s="113" t="n">
        <f aca="false">APR!AE49</f>
        <v>331.13</v>
      </c>
      <c r="AF12" s="227" t="n">
        <f aca="false">APR!AF49</f>
        <v>51</v>
      </c>
      <c r="AG12" s="229" t="n">
        <f aca="false">APR!AG49</f>
        <v>39</v>
      </c>
      <c r="AH12" s="226"/>
      <c r="AI12" s="113"/>
      <c r="AJ12" s="143" t="n">
        <f aca="false">APR!AJ49</f>
        <v>0</v>
      </c>
      <c r="AK12" s="113" t="n">
        <f aca="false">APR!AK49</f>
        <v>6346.79</v>
      </c>
      <c r="AL12" s="113" t="n">
        <f aca="false">APR!AL49</f>
        <v>569.367945550794</v>
      </c>
      <c r="AM12" s="113" t="n">
        <f aca="false">APR!AM49</f>
        <v>6916.15794555079</v>
      </c>
      <c r="AN12" s="431"/>
      <c r="AO12" s="226"/>
      <c r="AP12" s="142"/>
      <c r="AQ12" s="171" t="n">
        <f aca="false">APR!AQ50</f>
        <v>200.690064811307</v>
      </c>
      <c r="AR12" s="143"/>
      <c r="AS12" s="113" t="n">
        <f aca="false">APR!AS49</f>
        <v>0</v>
      </c>
      <c r="AT12" s="143" t="n">
        <f aca="false">APR!AT49</f>
        <v>0</v>
      </c>
      <c r="AV12" s="233"/>
      <c r="AW12" s="226"/>
      <c r="AX12" s="226"/>
      <c r="AY12" s="85"/>
      <c r="AZ12" s="432" t="n">
        <f aca="false">APR!AZ49</f>
        <v>136.623143517908</v>
      </c>
      <c r="BA12" s="232" t="n">
        <f aca="false">APR!BA49</f>
        <v>0</v>
      </c>
      <c r="BB12" s="237"/>
    </row>
    <row r="13" s="244" customFormat="true" ht="12.95" hidden="false" customHeight="true" outlineLevel="0" collapsed="false">
      <c r="A13" s="238" t="s">
        <v>104</v>
      </c>
      <c r="B13" s="112" t="n">
        <f aca="false">APR!B44</f>
        <v>6882.34</v>
      </c>
      <c r="C13" s="113" t="n">
        <f aca="false">APR!C44</f>
        <v>223309</v>
      </c>
      <c r="D13" s="113" t="n">
        <f aca="false">APR!D53</f>
        <v>49587</v>
      </c>
      <c r="E13" s="113" t="n">
        <f aca="false">APR!E53</f>
        <v>71309</v>
      </c>
      <c r="F13" s="113" t="n">
        <f aca="false">APR!F52</f>
        <v>24999.7479203428</v>
      </c>
      <c r="G13" s="431" t="n">
        <f aca="false">APR!G52</f>
        <v>33088</v>
      </c>
      <c r="H13" s="143" t="n">
        <f aca="false">APR!H52</f>
        <v>601.035</v>
      </c>
      <c r="I13" s="113" t="n">
        <f aca="false">APR!I52</f>
        <v>33688.415</v>
      </c>
      <c r="J13" s="113" t="n">
        <f aca="false">APR!J52</f>
        <v>2744.64616385178</v>
      </c>
      <c r="K13" s="113" t="n">
        <f aca="false">APR!K52</f>
        <v>36433.0611638518</v>
      </c>
      <c r="L13" s="113" t="n">
        <f aca="false">APR!L52</f>
        <v>1298.86292034283</v>
      </c>
      <c r="M13" s="227" t="n">
        <f aca="false">APR!M52</f>
        <v>2698.74</v>
      </c>
      <c r="N13" s="143" t="n">
        <f aca="false">APR!N52</f>
        <v>0</v>
      </c>
      <c r="O13" s="113" t="n">
        <f aca="false">APR!O52</f>
        <v>1603.8225</v>
      </c>
      <c r="P13" s="171"/>
      <c r="Q13" s="113" t="n">
        <f aca="false">APR!Q52</f>
        <v>282.417543049637</v>
      </c>
      <c r="R13" s="113" t="n">
        <f aca="false">APR!R52</f>
        <v>310.408544634581</v>
      </c>
      <c r="S13" s="287" t="n">
        <f aca="false">APR!S52</f>
        <v>0</v>
      </c>
      <c r="T13" s="239" t="n">
        <f aca="false">APR!T52</f>
        <v>86.63486</v>
      </c>
      <c r="U13" s="433" t="n">
        <f aca="false">APR!U52</f>
        <v>-65.0339372790604</v>
      </c>
      <c r="V13" s="113" t="n">
        <f aca="false">APR!V52</f>
        <v>3007.4</v>
      </c>
      <c r="W13" s="113" t="n">
        <f aca="false">APR!W52</f>
        <v>80.86</v>
      </c>
      <c r="X13" s="113" t="n">
        <f aca="false">APR!X52</f>
        <v>3553.71028959484</v>
      </c>
      <c r="Y13" s="84" t="n">
        <f aca="false">APR!Y52</f>
        <v>3397.87383443831</v>
      </c>
      <c r="Z13" s="113"/>
      <c r="AA13" s="84"/>
      <c r="AB13" s="113"/>
      <c r="AC13" s="113"/>
      <c r="AD13" s="113"/>
      <c r="AE13" s="113"/>
      <c r="AF13" s="227" t="n">
        <f aca="false">AF12</f>
        <v>51</v>
      </c>
      <c r="AG13" s="229" t="n">
        <f aca="false">AG12</f>
        <v>39</v>
      </c>
      <c r="AH13" s="226" t="n">
        <f aca="false">APR!AH52</f>
        <v>3869.4</v>
      </c>
      <c r="AI13" s="113" t="n">
        <f aca="false">APR!AI52</f>
        <v>13758.4492311571</v>
      </c>
      <c r="AJ13" s="143" t="n">
        <f aca="false">APR!AJ52</f>
        <v>0</v>
      </c>
      <c r="AK13" s="113" t="n">
        <f aca="false">APR!AK52</f>
        <v>9987.53</v>
      </c>
      <c r="AL13" s="113" t="n">
        <f aca="false">APR!AL52</f>
        <v>1445.78324350895</v>
      </c>
      <c r="AM13" s="113" t="n">
        <f aca="false">APR!AM52</f>
        <v>11433.313243509</v>
      </c>
      <c r="AN13" s="434" t="n">
        <f aca="false">APR!AN52</f>
        <v>2927.4</v>
      </c>
      <c r="AO13" s="342" t="n">
        <f aca="false">APR!AO52</f>
        <v>235.836455156528</v>
      </c>
      <c r="AP13" s="113"/>
      <c r="AQ13" s="171"/>
      <c r="AR13" s="143"/>
      <c r="AS13" s="113" t="n">
        <f aca="false">APR!AS52</f>
        <v>0</v>
      </c>
      <c r="AT13" s="143"/>
      <c r="AU13" s="161"/>
      <c r="AV13" s="233" t="n">
        <f aca="false">APR!AV52</f>
        <v>4.84</v>
      </c>
      <c r="AW13" s="226"/>
      <c r="AX13" s="226"/>
      <c r="AY13" s="114"/>
      <c r="AZ13" s="435" t="n">
        <f aca="false">APR!AZ52</f>
        <v>614.427010405158</v>
      </c>
      <c r="BA13" s="113" t="n">
        <f aca="false">APR!BA52</f>
        <v>0</v>
      </c>
      <c r="BB13" s="243"/>
    </row>
    <row r="14" customFormat="false" ht="2.25" hidden="false" customHeight="true" outlineLevel="0" collapsed="false">
      <c r="A14" s="245"/>
      <c r="B14" s="246"/>
      <c r="C14" s="247"/>
      <c r="D14" s="248"/>
      <c r="E14" s="247"/>
      <c r="F14" s="248"/>
      <c r="G14" s="267"/>
      <c r="H14" s="254"/>
      <c r="I14" s="248"/>
      <c r="J14" s="248"/>
      <c r="K14" s="248"/>
      <c r="L14" s="248"/>
      <c r="M14" s="251"/>
      <c r="N14" s="252"/>
      <c r="O14" s="248"/>
      <c r="P14" s="252"/>
      <c r="Q14" s="248"/>
      <c r="R14" s="248"/>
      <c r="S14" s="436"/>
      <c r="T14" s="436"/>
      <c r="U14" s="253"/>
      <c r="V14" s="248"/>
      <c r="W14" s="248"/>
      <c r="X14" s="248"/>
      <c r="Y14" s="248"/>
      <c r="Z14" s="247"/>
      <c r="AA14" s="248"/>
      <c r="AB14" s="247"/>
      <c r="AC14" s="247"/>
      <c r="AD14" s="247"/>
      <c r="AE14" s="248"/>
      <c r="AF14" s="251"/>
      <c r="AG14" s="255"/>
      <c r="AH14" s="257"/>
      <c r="AI14" s="247"/>
      <c r="AJ14" s="254"/>
      <c r="AK14" s="248"/>
      <c r="AL14" s="248"/>
      <c r="AM14" s="248"/>
      <c r="AN14" s="274"/>
      <c r="AO14" s="257"/>
      <c r="AP14" s="257"/>
      <c r="AQ14" s="252"/>
      <c r="AR14" s="254"/>
      <c r="AS14" s="252"/>
      <c r="AT14" s="254"/>
      <c r="AU14" s="254"/>
      <c r="AV14" s="259"/>
      <c r="AW14" s="257"/>
      <c r="AX14" s="257"/>
      <c r="AY14" s="257"/>
      <c r="AZ14" s="257"/>
      <c r="BA14" s="257"/>
      <c r="BB14" s="257"/>
    </row>
    <row r="15" customFormat="false" ht="12.95" hidden="false" customHeight="true" outlineLevel="0" collapsed="false">
      <c r="A15" s="192" t="n">
        <v>1</v>
      </c>
      <c r="B15" s="112" t="n">
        <v>6882.61</v>
      </c>
      <c r="C15" s="113" t="n">
        <v>224148</v>
      </c>
      <c r="D15" s="226" t="n">
        <f aca="false">C15-C13</f>
        <v>839</v>
      </c>
      <c r="E15" s="113" t="n">
        <f aca="false">C15-152000</f>
        <v>72148</v>
      </c>
      <c r="F15" s="142" t="n">
        <f aca="false">D15/$D$2</f>
        <v>422.989664734056</v>
      </c>
      <c r="G15" s="224" t="n">
        <v>545</v>
      </c>
      <c r="H15" s="143" t="n">
        <v>1.83</v>
      </c>
      <c r="I15" s="142" t="n">
        <f aca="false">G15+H15</f>
        <v>546.83</v>
      </c>
      <c r="J15" s="143" t="n">
        <f aca="false">IF(L15&gt;0,L15,0)</f>
        <v>41.8396647340559</v>
      </c>
      <c r="K15" s="142" t="n">
        <f aca="false">I15+J15</f>
        <v>588.669664734056</v>
      </c>
      <c r="L15" s="142" t="n">
        <f aca="false">F15-(I15-AK15)</f>
        <v>41.8396647340559</v>
      </c>
      <c r="M15" s="262" t="n">
        <v>96.6</v>
      </c>
      <c r="N15" s="171" t="n">
        <v>0</v>
      </c>
      <c r="O15" s="142" t="n">
        <f aca="false">26.8*1.05</f>
        <v>28.14</v>
      </c>
      <c r="P15" s="171" t="n">
        <v>0</v>
      </c>
      <c r="Q15" s="346" t="n">
        <f aca="false">1147700/325851/1.9835*1.02</f>
        <v>1.81124537894093</v>
      </c>
      <c r="R15" s="138" t="n">
        <f aca="false">(2.4*1.04)-T15</f>
        <v>1.98327376</v>
      </c>
      <c r="S15" s="138" t="n">
        <v>0</v>
      </c>
      <c r="T15" s="138" t="n">
        <f aca="false">(0.4651*1.06)*1.04</f>
        <v>0.51272624</v>
      </c>
      <c r="U15" s="365" t="n">
        <v>0</v>
      </c>
      <c r="V15" s="142" t="n">
        <v>2.28</v>
      </c>
      <c r="W15" s="142" t="n">
        <v>17.7</v>
      </c>
      <c r="X15" s="142" t="n">
        <f aca="false">M15-N15-O15-P15-Q15-R15-S15-T15-U15+V15+W15-AT15+AR15</f>
        <v>84.1327546210591</v>
      </c>
      <c r="Y15" s="142" t="n">
        <f aca="false">X15-AO15</f>
        <v>84.1327546210591</v>
      </c>
      <c r="Z15" s="113" t="n">
        <f aca="false">Z12+AP15</f>
        <v>13223.2421239625</v>
      </c>
      <c r="AA15" s="142"/>
      <c r="AB15" s="113" t="n">
        <f aca="false">AB12+(Y15+AP15)*1.9835</f>
        <v>27115.1397801997</v>
      </c>
      <c r="AC15" s="113" t="n">
        <f aca="false">AC12-(APR!AQ44/1.9835)</f>
        <v>1612.96023452921</v>
      </c>
      <c r="AD15" s="113"/>
      <c r="AE15" s="142" t="n">
        <v>20.6</v>
      </c>
      <c r="AF15" s="262" t="n">
        <v>1.7</v>
      </c>
      <c r="AG15" s="263" t="n">
        <v>1.3</v>
      </c>
      <c r="AH15" s="143" t="n">
        <v>28.5</v>
      </c>
      <c r="AI15" s="113" t="n">
        <f aca="false">AI13-AH15</f>
        <v>13729.9492311571</v>
      </c>
      <c r="AJ15" s="102"/>
      <c r="AK15" s="141" t="n">
        <f aca="false">N15+O15+P15+Q15+R15+S15+T15+U15+X15+AE15+AH15+AT15-AR15</f>
        <v>165.68</v>
      </c>
      <c r="AL15" s="142" t="n">
        <f aca="false">IF(L15&lt;0,L15*-1,0)</f>
        <v>0</v>
      </c>
      <c r="AM15" s="142" t="n">
        <f aca="false">AK15+AL15</f>
        <v>165.68</v>
      </c>
      <c r="AN15" s="431" t="n">
        <v>0</v>
      </c>
      <c r="AO15" s="226"/>
      <c r="AP15" s="157" t="n">
        <f aca="false">I15-Q15-R15-X15-AF15</f>
        <v>457.20272624</v>
      </c>
      <c r="AQ15" s="171" t="n">
        <f aca="false">38.476*(Z15*1.9835+AC15*1.9835)/E15</f>
        <v>15.6935274918023</v>
      </c>
      <c r="AR15" s="143"/>
      <c r="AS15" s="232"/>
      <c r="AT15" s="110" t="n">
        <v>0</v>
      </c>
      <c r="AU15" s="56"/>
      <c r="AV15" s="233" t="n">
        <v>0</v>
      </c>
      <c r="AW15" s="226" t="n">
        <v>63</v>
      </c>
      <c r="AX15" s="226" t="n">
        <v>33</v>
      </c>
      <c r="AY15" s="85"/>
      <c r="AZ15" s="264" t="n">
        <f aca="false">SUM(N15,P15:U15)</f>
        <v>4.30724537894093</v>
      </c>
      <c r="BA15" s="193" t="n">
        <v>0</v>
      </c>
      <c r="BB15" s="265" t="n">
        <v>11425</v>
      </c>
    </row>
    <row r="16" customFormat="false" ht="12.95" hidden="false" customHeight="true" outlineLevel="0" collapsed="false">
      <c r="A16" s="192" t="n">
        <f aca="false">A15+1</f>
        <v>2</v>
      </c>
      <c r="B16" s="112" t="n">
        <v>6882.86</v>
      </c>
      <c r="C16" s="113" t="n">
        <v>224924</v>
      </c>
      <c r="D16" s="226" t="n">
        <f aca="false">C16-C15</f>
        <v>776</v>
      </c>
      <c r="E16" s="113" t="n">
        <f aca="false">C16-152000</f>
        <v>72924</v>
      </c>
      <c r="F16" s="142" t="n">
        <f aca="false">D16/$D$2</f>
        <v>391.227627930426</v>
      </c>
      <c r="G16" s="224" t="n">
        <v>539</v>
      </c>
      <c r="H16" s="143" t="n">
        <v>1.5</v>
      </c>
      <c r="I16" s="142" t="n">
        <f aca="false">G16+H16</f>
        <v>540.5</v>
      </c>
      <c r="J16" s="143" t="n">
        <f aca="false">IF(L16&gt;0,L16,0)</f>
        <v>42.3276279304261</v>
      </c>
      <c r="K16" s="142" t="n">
        <f aca="false">I16+J16</f>
        <v>582.827627930426</v>
      </c>
      <c r="L16" s="142" t="n">
        <f aca="false">F16-(I16-AK16)</f>
        <v>42.3276279304261</v>
      </c>
      <c r="M16" s="262" t="n">
        <v>122</v>
      </c>
      <c r="N16" s="171" t="n">
        <v>0</v>
      </c>
      <c r="O16" s="142" t="n">
        <f aca="false">23.9*1.05</f>
        <v>25.095</v>
      </c>
      <c r="P16" s="171" t="n">
        <v>0</v>
      </c>
      <c r="Q16" s="346" t="n">
        <f aca="false">1303000/325851/1.9835*1.02</f>
        <v>2.05633242899715</v>
      </c>
      <c r="R16" s="138" t="n">
        <f aca="false">(2.5*1.04)-T16</f>
        <v>1.84254096</v>
      </c>
      <c r="S16" s="138" t="n">
        <v>0</v>
      </c>
      <c r="T16" s="138" t="n">
        <f aca="false">(0.6871*1.06)*1.04</f>
        <v>0.75745904</v>
      </c>
      <c r="U16" s="365" t="n">
        <v>0</v>
      </c>
      <c r="V16" s="142" t="n">
        <v>0</v>
      </c>
      <c r="W16" s="142" t="n">
        <v>21.5</v>
      </c>
      <c r="X16" s="142" t="n">
        <f aca="false">M16-N16-O16-P16-Q16-R16-S16-T16-U16+V16+W16-AT16+AR16</f>
        <v>113.748667571003</v>
      </c>
      <c r="Y16" s="142" t="n">
        <f aca="false">X16-AO16</f>
        <v>113.748667571003</v>
      </c>
      <c r="Z16" s="113" t="n">
        <f aca="false">Z15+AP16</f>
        <v>13644.3945830025</v>
      </c>
      <c r="AA16" s="142"/>
      <c r="AB16" s="113" t="n">
        <f aca="false">AB15+(Y16+AP16)*1.9835</f>
        <v>28176.1161648327</v>
      </c>
      <c r="AC16" s="113" t="n">
        <f aca="false">AC15-(AQ15/1.9835)</f>
        <v>1605.04819646932</v>
      </c>
      <c r="AD16" s="113"/>
      <c r="AE16" s="142" t="n">
        <v>19.6</v>
      </c>
      <c r="AF16" s="262" t="n">
        <v>1.7</v>
      </c>
      <c r="AG16" s="263" t="n">
        <v>1.3</v>
      </c>
      <c r="AH16" s="143" t="n">
        <v>28.5</v>
      </c>
      <c r="AI16" s="113" t="n">
        <f aca="false">AI15-AH16</f>
        <v>13701.4492311571</v>
      </c>
      <c r="AJ16" s="102"/>
      <c r="AK16" s="141" t="n">
        <f aca="false">N16+O16+P16+Q16+R16+S16+T16+U16+X16+AE16+AH16+AT16-AR16</f>
        <v>191.6</v>
      </c>
      <c r="AL16" s="142" t="n">
        <f aca="false">IF(L16&lt;0,L16*-1,0)</f>
        <v>0</v>
      </c>
      <c r="AM16" s="142" t="n">
        <f aca="false">AK16+AL16</f>
        <v>191.6</v>
      </c>
      <c r="AN16" s="431" t="n">
        <v>0</v>
      </c>
      <c r="AO16" s="226"/>
      <c r="AP16" s="157" t="n">
        <f aca="false">I16-Q16-R16-X16-AF16</f>
        <v>421.15245904</v>
      </c>
      <c r="AQ16" s="171" t="n">
        <f aca="false">32.823*(Z16*1.9835+AC16*1.9835)/E16</f>
        <v>13.6142577903766</v>
      </c>
      <c r="AR16" s="143"/>
      <c r="AS16" s="232"/>
      <c r="AT16" s="110" t="n">
        <v>0</v>
      </c>
      <c r="AU16" s="56"/>
      <c r="AV16" s="233" t="n">
        <v>0</v>
      </c>
      <c r="AW16" s="226" t="n">
        <v>73</v>
      </c>
      <c r="AX16" s="226" t="n">
        <v>31</v>
      </c>
      <c r="AY16" s="85"/>
      <c r="AZ16" s="264" t="n">
        <f aca="false">SUM(N16,P16:U16)</f>
        <v>4.65633242899715</v>
      </c>
      <c r="BA16" s="193" t="n">
        <v>0</v>
      </c>
      <c r="BB16" s="265" t="n">
        <v>11558</v>
      </c>
    </row>
    <row r="17" customFormat="false" ht="12.95" hidden="false" customHeight="true" outlineLevel="0" collapsed="false">
      <c r="A17" s="192" t="n">
        <f aca="false">A16+1</f>
        <v>3</v>
      </c>
      <c r="B17" s="112" t="n">
        <v>6883.15</v>
      </c>
      <c r="C17" s="113" t="n">
        <v>225831</v>
      </c>
      <c r="D17" s="226" t="n">
        <f aca="false">C17-C16</f>
        <v>907</v>
      </c>
      <c r="E17" s="113" t="n">
        <f aca="false">C17-152000</f>
        <v>73831</v>
      </c>
      <c r="F17" s="142" t="n">
        <f aca="false">D17/$D$2</f>
        <v>457.272498109403</v>
      </c>
      <c r="G17" s="224" t="n">
        <v>630</v>
      </c>
      <c r="H17" s="143" t="n">
        <v>1.46</v>
      </c>
      <c r="I17" s="142" t="n">
        <f aca="false">G17+H17</f>
        <v>631.46</v>
      </c>
      <c r="J17" s="143" t="n">
        <f aca="false">IF(L17&gt;0,L17,0)</f>
        <v>55.4124981094025</v>
      </c>
      <c r="K17" s="142" t="n">
        <f aca="false">I17+J17</f>
        <v>686.872498109403</v>
      </c>
      <c r="L17" s="142" t="n">
        <f aca="false">F17-(I17-AK17)</f>
        <v>55.4124981094025</v>
      </c>
      <c r="M17" s="262" t="n">
        <v>145</v>
      </c>
      <c r="N17" s="171" t="n">
        <v>0</v>
      </c>
      <c r="O17" s="142" t="n">
        <f aca="false">39*1.05</f>
        <v>40.95</v>
      </c>
      <c r="P17" s="171" t="n">
        <v>0</v>
      </c>
      <c r="Q17" s="346" t="n">
        <f aca="false">1499900/325851/1.9835*1.02</f>
        <v>2.3670706141618</v>
      </c>
      <c r="R17" s="138" t="n">
        <f aca="false">(3.8*1.04)-T17</f>
        <v>3.19454096</v>
      </c>
      <c r="S17" s="138" t="n">
        <v>0</v>
      </c>
      <c r="T17" s="138" t="n">
        <f aca="false">(0.6871*1.06)*1.04</f>
        <v>0.75745904</v>
      </c>
      <c r="U17" s="365" t="n">
        <v>0</v>
      </c>
      <c r="V17" s="142" t="n">
        <v>0</v>
      </c>
      <c r="W17" s="142" t="n">
        <v>23.6</v>
      </c>
      <c r="X17" s="142" t="n">
        <f aca="false">M17-N17-O17-P17-Q17-R17-S17-T17-U17+V17+W17-AT17+AR17</f>
        <v>121.330929385838</v>
      </c>
      <c r="Y17" s="142" t="n">
        <f aca="false">X17-AO17</f>
        <v>121.330929385838</v>
      </c>
      <c r="Z17" s="113" t="n">
        <f aca="false">Z16+AP17</f>
        <v>14147.2620420425</v>
      </c>
      <c r="AA17" s="142"/>
      <c r="AB17" s="113" t="n">
        <f aca="false">AB16+(Y17+AP17)*1.9835</f>
        <v>29414.2136682753</v>
      </c>
      <c r="AC17" s="113" t="n">
        <f aca="false">AC16-(AQ16/1.9835)</f>
        <v>1598.18444159643</v>
      </c>
      <c r="AD17" s="113"/>
      <c r="AE17" s="142" t="n">
        <v>32.5</v>
      </c>
      <c r="AF17" s="262" t="n">
        <v>1.7</v>
      </c>
      <c r="AG17" s="263" t="n">
        <v>1.3</v>
      </c>
      <c r="AH17" s="143" t="n">
        <v>28.5</v>
      </c>
      <c r="AI17" s="113" t="n">
        <f aca="false">AI16-AH17</f>
        <v>13672.9492311571</v>
      </c>
      <c r="AJ17" s="102"/>
      <c r="AK17" s="141" t="n">
        <f aca="false">N17+O17+P17+Q17+R17+S17+T17+U17+X17+AE17+AH17+AT17-AR17</f>
        <v>229.6</v>
      </c>
      <c r="AL17" s="142" t="n">
        <f aca="false">IF(L17&lt;0,L17*-1,0)</f>
        <v>0</v>
      </c>
      <c r="AM17" s="142" t="n">
        <f aca="false">AK17+AL17</f>
        <v>229.6</v>
      </c>
      <c r="AN17" s="431" t="n">
        <v>0</v>
      </c>
      <c r="AO17" s="226"/>
      <c r="AP17" s="157" t="n">
        <f aca="false">I17-Q17-R17-X17-AF17</f>
        <v>502.86745904</v>
      </c>
      <c r="AQ17" s="171" t="n">
        <f aca="false">49.417*(Z17*1.9835+AC17*1.9835)/E17</f>
        <v>20.9037792761498</v>
      </c>
      <c r="AR17" s="143"/>
      <c r="AS17" s="232"/>
      <c r="AT17" s="110" t="n">
        <v>0</v>
      </c>
      <c r="AU17" s="56"/>
      <c r="AV17" s="233" t="n">
        <v>0</v>
      </c>
      <c r="AW17" s="226" t="n">
        <v>78</v>
      </c>
      <c r="AX17" s="226" t="n">
        <v>38</v>
      </c>
      <c r="AY17" s="85"/>
      <c r="AZ17" s="264" t="n">
        <f aca="false">SUM(N17,P17:U17)</f>
        <v>6.3190706141618</v>
      </c>
      <c r="BA17" s="193" t="n">
        <v>0</v>
      </c>
      <c r="BB17" s="265" t="n">
        <v>11604</v>
      </c>
    </row>
    <row r="18" customFormat="false" ht="12.95" hidden="false" customHeight="true" outlineLevel="0" collapsed="false">
      <c r="A18" s="192" t="n">
        <f aca="false">A17+1</f>
        <v>4</v>
      </c>
      <c r="B18" s="112" t="n">
        <v>6883.56</v>
      </c>
      <c r="C18" s="113" t="n">
        <v>227121</v>
      </c>
      <c r="D18" s="226" t="n">
        <f aca="false">C18-C17</f>
        <v>1290</v>
      </c>
      <c r="E18" s="113" t="n">
        <f aca="false">C18-152000</f>
        <v>75121</v>
      </c>
      <c r="F18" s="142" t="n">
        <f aca="false">D18/$D$2</f>
        <v>650.365515502899</v>
      </c>
      <c r="G18" s="224" t="n">
        <v>933</v>
      </c>
      <c r="H18" s="143" t="n">
        <v>1.56</v>
      </c>
      <c r="I18" s="142" t="n">
        <f aca="false">G18+H18</f>
        <v>934.56</v>
      </c>
      <c r="J18" s="143" t="n">
        <f aca="false">IF(L18&gt;0,L18,0)</f>
        <v>0</v>
      </c>
      <c r="K18" s="142" t="n">
        <f aca="false">I18+J18</f>
        <v>934.56</v>
      </c>
      <c r="L18" s="142" t="n">
        <f aca="false">F18-(I18-AK18)</f>
        <v>-8.09448449710101</v>
      </c>
      <c r="M18" s="262" t="n">
        <v>183</v>
      </c>
      <c r="N18" s="171" t="n">
        <v>0</v>
      </c>
      <c r="O18" s="142" t="n">
        <f aca="false">45.4*1.05</f>
        <v>47.67</v>
      </c>
      <c r="P18" s="171" t="n">
        <v>0</v>
      </c>
      <c r="Q18" s="346" t="n">
        <f aca="false">1591500/325851/1.9835*1.02</f>
        <v>2.51162936358324</v>
      </c>
      <c r="R18" s="138" t="n">
        <f aca="false">(4.4*1.04)-T18</f>
        <v>3.81854096</v>
      </c>
      <c r="S18" s="138" t="n">
        <v>0</v>
      </c>
      <c r="T18" s="138" t="n">
        <f aca="false">(0.6871*1.06)*1.04</f>
        <v>0.75745904</v>
      </c>
      <c r="U18" s="365" t="n">
        <v>0</v>
      </c>
      <c r="V18" s="142" t="n">
        <v>0</v>
      </c>
      <c r="W18" s="142" t="n">
        <v>24.9</v>
      </c>
      <c r="X18" s="142" t="n">
        <f aca="false">M18-N18-O18-P18-Q18-R18-S18-T18-U18+V18+W18-AT18+AR18</f>
        <v>153.142370636417</v>
      </c>
      <c r="Y18" s="142" t="n">
        <f aca="false">X18-AO18</f>
        <v>153.142370636417</v>
      </c>
      <c r="Z18" s="113" t="n">
        <f aca="false">Z17+AP18</f>
        <v>14789.1196714061</v>
      </c>
      <c r="AA18" s="142"/>
      <c r="AB18" s="113" t="n">
        <f aca="false">AB17+(Y18+AP18)*1.9835</f>
        <v>30991.0961682753</v>
      </c>
      <c r="AC18" s="113" t="n">
        <f aca="false">AC17-(AQ17/1.9835)</f>
        <v>1587.64560656938</v>
      </c>
      <c r="AD18" s="113"/>
      <c r="AE18" s="142" t="n">
        <v>39.5</v>
      </c>
      <c r="AF18" s="262" t="n">
        <v>1.7</v>
      </c>
      <c r="AG18" s="263" t="n">
        <v>1.3</v>
      </c>
      <c r="AH18" s="143" t="n">
        <v>28.7</v>
      </c>
      <c r="AI18" s="113" t="n">
        <f aca="false">AI17-AH18</f>
        <v>13644.2492311571</v>
      </c>
      <c r="AJ18" s="102"/>
      <c r="AK18" s="141" t="n">
        <f aca="false">N18+O18+P18+Q18+R18+S18+T18+U18+X18+AE18+AH18+AT18-AR18</f>
        <v>276.1</v>
      </c>
      <c r="AL18" s="142" t="n">
        <f aca="false">IF(L18&lt;0,L18*-1,0)</f>
        <v>8.09448449710101</v>
      </c>
      <c r="AM18" s="142" t="n">
        <f aca="false">AK18+AL18</f>
        <v>284.194484497101</v>
      </c>
      <c r="AN18" s="431" t="n">
        <v>0</v>
      </c>
      <c r="AO18" s="226"/>
      <c r="AP18" s="157" t="n">
        <f aca="false">795-X18</f>
        <v>641.857629363583</v>
      </c>
      <c r="AQ18" s="171" t="n">
        <f aca="false">62.773*(Z18*1.9835+AC18*1.9835)/E18</f>
        <v>27.1438754177474</v>
      </c>
      <c r="AR18" s="143"/>
      <c r="AS18" s="232"/>
      <c r="AT18" s="110" t="n">
        <v>0</v>
      </c>
      <c r="AU18" s="56"/>
      <c r="AV18" s="233" t="n">
        <v>0</v>
      </c>
      <c r="AW18" s="226" t="n">
        <v>78</v>
      </c>
      <c r="AX18" s="226" t="n">
        <v>40</v>
      </c>
      <c r="AY18" s="85"/>
      <c r="AZ18" s="264" t="n">
        <f aca="false">SUM(N18,P18:U18)</f>
        <v>7.08762936358324</v>
      </c>
      <c r="BA18" s="193" t="n">
        <v>0</v>
      </c>
      <c r="BB18" s="265" t="n">
        <v>11680</v>
      </c>
    </row>
    <row r="19" customFormat="false" ht="12.95" hidden="false" customHeight="true" outlineLevel="0" collapsed="false">
      <c r="A19" s="192" t="n">
        <f aca="false">A18+1</f>
        <v>5</v>
      </c>
      <c r="B19" s="112" t="n">
        <v>6884.11</v>
      </c>
      <c r="C19" s="113" t="n">
        <v>228855</v>
      </c>
      <c r="D19" s="226" t="n">
        <f aca="false">C19-C18</f>
        <v>1734</v>
      </c>
      <c r="E19" s="113" t="n">
        <f aca="false">C19-152000</f>
        <v>76855</v>
      </c>
      <c r="F19" s="142" t="n">
        <f aca="false">D19/$D$2</f>
        <v>874.212251071338</v>
      </c>
      <c r="G19" s="224" t="n">
        <v>1310</v>
      </c>
      <c r="H19" s="143" t="n">
        <v>2.09</v>
      </c>
      <c r="I19" s="142" t="n">
        <f aca="false">G19+H19</f>
        <v>1312.09</v>
      </c>
      <c r="J19" s="143" t="n">
        <f aca="false">IF(L19&gt;0,L19,0)</f>
        <v>0</v>
      </c>
      <c r="K19" s="142" t="n">
        <f aca="false">I19+J19</f>
        <v>1312.09</v>
      </c>
      <c r="L19" s="142" t="n">
        <f aca="false">F19-(I19-AK19)</f>
        <v>-71.2777489286613</v>
      </c>
      <c r="M19" s="262" t="n">
        <v>216</v>
      </c>
      <c r="N19" s="171" t="n">
        <v>0</v>
      </c>
      <c r="O19" s="142" t="n">
        <f aca="false">64.3*1.05</f>
        <v>67.515</v>
      </c>
      <c r="P19" s="171" t="n">
        <v>0</v>
      </c>
      <c r="Q19" s="346" t="n">
        <f aca="false">1545500/325851/1.9835*1.02</f>
        <v>2.43903435841527</v>
      </c>
      <c r="R19" s="138" t="n">
        <v>4.2</v>
      </c>
      <c r="S19" s="138" t="n">
        <f aca="false">((5.4*1.04)-T19)-4.2</f>
        <v>0.658540960000001</v>
      </c>
      <c r="T19" s="138" t="n">
        <f aca="false">(0.6871*1.06)*1.04</f>
        <v>0.75745904</v>
      </c>
      <c r="U19" s="365" t="n">
        <v>0</v>
      </c>
      <c r="V19" s="142" t="n">
        <v>43</v>
      </c>
      <c r="W19" s="142" t="n">
        <v>28.8</v>
      </c>
      <c r="X19" s="142" t="n">
        <f aca="false">M19-N19-O19-P19-Q19-R19-S19-T19-U19+V19+W19-AT19+AR19</f>
        <v>212.229965641585</v>
      </c>
      <c r="Y19" s="142" t="n">
        <f aca="false">X19-AO19</f>
        <v>212.229965641585</v>
      </c>
      <c r="Z19" s="113" t="n">
        <f aca="false">Z18+AP19</f>
        <v>15371.8897057645</v>
      </c>
      <c r="AA19" s="142"/>
      <c r="AB19" s="113" t="n">
        <f aca="false">AB18+(Y19+AP19)*1.9835</f>
        <v>32567.9786682753</v>
      </c>
      <c r="AC19" s="113" t="n">
        <f aca="false">AC18-(AQ18/1.9835)</f>
        <v>1573.96076895015</v>
      </c>
      <c r="AD19" s="113"/>
      <c r="AE19" s="142" t="n">
        <v>50</v>
      </c>
      <c r="AF19" s="262" t="n">
        <v>1.7</v>
      </c>
      <c r="AG19" s="263" t="n">
        <v>1.3</v>
      </c>
      <c r="AH19" s="143" t="n">
        <v>28.8</v>
      </c>
      <c r="AI19" s="113" t="n">
        <f aca="false">AI18-AH19</f>
        <v>13615.4492311571</v>
      </c>
      <c r="AJ19" s="102"/>
      <c r="AK19" s="141" t="n">
        <f aca="false">N19+O19+P19+Q19+R19+S19+T19+U19+X19+AE19+AH19+AT19-AR19</f>
        <v>366.6</v>
      </c>
      <c r="AL19" s="142" t="n">
        <f aca="false">IF(L19&lt;0,L19*-1,0)</f>
        <v>71.2777489286613</v>
      </c>
      <c r="AM19" s="142" t="n">
        <f aca="false">AK19+AL19</f>
        <v>437.877748928661</v>
      </c>
      <c r="AN19" s="431" t="n">
        <v>0</v>
      </c>
      <c r="AO19" s="226"/>
      <c r="AP19" s="157" t="n">
        <f aca="false">795-X19</f>
        <v>582.770034358415</v>
      </c>
      <c r="AQ19" s="171" t="n">
        <f aca="false">65.911*(Z19*1.9835+AC19*1.9835)/E19</f>
        <v>28.8257986480033</v>
      </c>
      <c r="AR19" s="143"/>
      <c r="AS19" s="232"/>
      <c r="AT19" s="110" t="n">
        <v>0</v>
      </c>
      <c r="AU19" s="56"/>
      <c r="AV19" s="233" t="n">
        <v>0</v>
      </c>
      <c r="AW19" s="226" t="n">
        <v>76</v>
      </c>
      <c r="AX19" s="226" t="n">
        <v>40</v>
      </c>
      <c r="AY19" s="85"/>
      <c r="AZ19" s="264" t="n">
        <f aca="false">SUM(N19,P19:U19)</f>
        <v>8.05503435841527</v>
      </c>
      <c r="BA19" s="193" t="n">
        <v>0</v>
      </c>
      <c r="BB19" s="265" t="n">
        <v>11805</v>
      </c>
    </row>
    <row r="20" customFormat="false" ht="12.95" hidden="false" customHeight="true" outlineLevel="0" collapsed="false">
      <c r="A20" s="192" t="n">
        <f aca="false">A19+1</f>
        <v>6</v>
      </c>
      <c r="B20" s="112" t="n">
        <v>6884.81</v>
      </c>
      <c r="C20" s="113" t="n">
        <v>231084</v>
      </c>
      <c r="D20" s="226" t="n">
        <f aca="false">C20-C19</f>
        <v>2229</v>
      </c>
      <c r="E20" s="113" t="n">
        <f aca="false">C20-152000</f>
        <v>79084</v>
      </c>
      <c r="F20" s="142" t="n">
        <f aca="false">D20/$D$2</f>
        <v>1123.77111167129</v>
      </c>
      <c r="G20" s="224" t="n">
        <v>1670</v>
      </c>
      <c r="H20" s="143" t="n">
        <v>2.95</v>
      </c>
      <c r="I20" s="142" t="n">
        <f aca="false">G20+H20</f>
        <v>1672.95</v>
      </c>
      <c r="J20" s="143" t="n">
        <f aca="false">IF(L20&gt;0,L20,0)</f>
        <v>0</v>
      </c>
      <c r="K20" s="142" t="n">
        <f aca="false">I20+J20</f>
        <v>1672.95</v>
      </c>
      <c r="L20" s="142" t="n">
        <f aca="false">F20-(I20-AK20)</f>
        <v>-78.378888328712</v>
      </c>
      <c r="M20" s="262" t="n">
        <v>232</v>
      </c>
      <c r="N20" s="171" t="n">
        <v>0</v>
      </c>
      <c r="O20" s="142" t="n">
        <f aca="false">84*1.05</f>
        <v>88.2</v>
      </c>
      <c r="P20" s="171" t="n">
        <v>0</v>
      </c>
      <c r="Q20" s="346" t="n">
        <f aca="false">1232200/325851/1.9835*1.02</f>
        <v>1.94459924712992</v>
      </c>
      <c r="R20" s="138" t="n">
        <v>4.2</v>
      </c>
      <c r="S20" s="138" t="n">
        <f aca="false">((5.3*1.04)-T20)-4.2</f>
        <v>0.55454096</v>
      </c>
      <c r="T20" s="138" t="n">
        <f aca="false">(0.6871*1.06)*1.04</f>
        <v>0.75745904</v>
      </c>
      <c r="U20" s="365" t="n">
        <v>0</v>
      </c>
      <c r="V20" s="142" t="n">
        <v>105</v>
      </c>
      <c r="W20" s="142" t="n">
        <v>39.8</v>
      </c>
      <c r="X20" s="142" t="n">
        <f aca="false">M20-N20-O20-P20-Q20-R20-S20-T20-U20+V20+W20-AT20+AR20</f>
        <v>281.14340075287</v>
      </c>
      <c r="Y20" s="142" t="n">
        <f aca="false">X20-AO20</f>
        <v>281.14340075287</v>
      </c>
      <c r="Z20" s="113" t="n">
        <f aca="false">Z19+AP20</f>
        <v>15885.7463050116</v>
      </c>
      <c r="AA20" s="142"/>
      <c r="AB20" s="113" t="n">
        <f aca="false">AB19+(Y20+AP20)*1.9835</f>
        <v>34144.8611682753</v>
      </c>
      <c r="AC20" s="113" t="n">
        <f aca="false">AC19-(AQ19/1.9835)</f>
        <v>1559.42797406837</v>
      </c>
      <c r="AD20" s="113"/>
      <c r="AE20" s="142" t="n">
        <v>65.2</v>
      </c>
      <c r="AF20" s="262" t="n">
        <v>1.7</v>
      </c>
      <c r="AG20" s="263" t="n">
        <v>1.3</v>
      </c>
      <c r="AH20" s="143" t="n">
        <v>28.8</v>
      </c>
      <c r="AI20" s="113" t="n">
        <f aca="false">AI19-AH20</f>
        <v>13586.6492311571</v>
      </c>
      <c r="AJ20" s="102"/>
      <c r="AK20" s="141" t="n">
        <f aca="false">N20+O20+P20+Q20+R20+S20+T20+U20+X20+AE20+AH20+AT20-AR20</f>
        <v>470.8</v>
      </c>
      <c r="AL20" s="142" t="n">
        <f aca="false">IF(L20&lt;0,L20*-1,0)</f>
        <v>78.378888328712</v>
      </c>
      <c r="AM20" s="142" t="n">
        <f aca="false">AK20+AL20</f>
        <v>549.178888328712</v>
      </c>
      <c r="AN20" s="431" t="n">
        <v>0</v>
      </c>
      <c r="AO20" s="226"/>
      <c r="AP20" s="157" t="n">
        <f aca="false">795-X20</f>
        <v>513.85659924713</v>
      </c>
      <c r="AQ20" s="171" t="n">
        <f aca="false">49.902*(Z20*1.9835+AC20*1.9835)/E20</f>
        <v>21.8341777580278</v>
      </c>
      <c r="AR20" s="143"/>
      <c r="AS20" s="232"/>
      <c r="AT20" s="110" t="n">
        <v>0</v>
      </c>
      <c r="AU20" s="56"/>
      <c r="AV20" s="233" t="n">
        <v>0</v>
      </c>
      <c r="AW20" s="226" t="n">
        <v>69</v>
      </c>
      <c r="AX20" s="226" t="n">
        <v>46</v>
      </c>
      <c r="AY20" s="85"/>
      <c r="AZ20" s="264" t="n">
        <f aca="false">SUM(N20,P20:U20)</f>
        <v>7.45659924712992</v>
      </c>
      <c r="BA20" s="193" t="n">
        <v>0</v>
      </c>
      <c r="BB20" s="265" t="n">
        <v>11936</v>
      </c>
    </row>
    <row r="21" customFormat="false" ht="12.95" hidden="false" customHeight="true" outlineLevel="0" collapsed="false">
      <c r="A21" s="192" t="n">
        <f aca="false">A20+1</f>
        <v>7</v>
      </c>
      <c r="B21" s="112" t="n">
        <v>6885.46</v>
      </c>
      <c r="C21" s="113" t="n">
        <v>233172</v>
      </c>
      <c r="D21" s="226" t="n">
        <f aca="false">C21-C20</f>
        <v>2088</v>
      </c>
      <c r="E21" s="113" t="n">
        <f aca="false">C21-152000</f>
        <v>81172</v>
      </c>
      <c r="F21" s="142" t="n">
        <f aca="false">D21/$D$2</f>
        <v>1052.68464834888</v>
      </c>
      <c r="G21" s="224" t="n">
        <v>1570</v>
      </c>
      <c r="H21" s="143" t="n">
        <v>2.38</v>
      </c>
      <c r="I21" s="142" t="n">
        <f aca="false">G21+H21</f>
        <v>1572.38</v>
      </c>
      <c r="J21" s="143" t="n">
        <f aca="false">IF(L21&gt;0,L21,0)</f>
        <v>0</v>
      </c>
      <c r="K21" s="142" t="n">
        <f aca="false">I21+J21</f>
        <v>1572.38</v>
      </c>
      <c r="L21" s="142" t="n">
        <f aca="false">F21-(I21-AK21)</f>
        <v>-24.7953516511218</v>
      </c>
      <c r="M21" s="262" t="n">
        <v>240</v>
      </c>
      <c r="N21" s="171" t="n">
        <v>0</v>
      </c>
      <c r="O21" s="142" t="n">
        <f aca="false">80.1*1.05</f>
        <v>84.105</v>
      </c>
      <c r="P21" s="171" t="n">
        <v>0</v>
      </c>
      <c r="Q21" s="346" t="n">
        <f aca="false">1046700/325851/1.9835*1.02</f>
        <v>1.65185199802864</v>
      </c>
      <c r="R21" s="138" t="n">
        <v>4.2</v>
      </c>
      <c r="S21" s="138" t="n">
        <f aca="false">((5.4*1.04)-T21)-4.2</f>
        <v>0.658540960000001</v>
      </c>
      <c r="T21" s="138" t="n">
        <f aca="false">(0.6871*1.06)*1.04</f>
        <v>0.75745904</v>
      </c>
      <c r="U21" s="365" t="n">
        <v>0</v>
      </c>
      <c r="V21" s="142" t="n">
        <v>120</v>
      </c>
      <c r="W21" s="142" t="n">
        <v>44.6</v>
      </c>
      <c r="X21" s="142" t="n">
        <f aca="false">M21-N21-O21-P21-Q21-R21-S21-T21-U21+V21+W21-AT21+AR21</f>
        <v>313.227148001971</v>
      </c>
      <c r="Y21" s="142" t="n">
        <f aca="false">X21-AO21</f>
        <v>313.227148001971</v>
      </c>
      <c r="Z21" s="113" t="n">
        <f aca="false">Z20+AP21</f>
        <v>16367.5191570097</v>
      </c>
      <c r="AA21" s="142"/>
      <c r="AB21" s="113" t="n">
        <f aca="false">AB20+(Y21+AP21)*1.9835</f>
        <v>35721.7436682753</v>
      </c>
      <c r="AC21" s="113" t="n">
        <f aca="false">AC20-(AQ20/1.9835)</f>
        <v>1548.42006998063</v>
      </c>
      <c r="AD21" s="113"/>
      <c r="AE21" s="142" t="n">
        <v>61.5</v>
      </c>
      <c r="AF21" s="262" t="n">
        <v>1.7</v>
      </c>
      <c r="AG21" s="263" t="n">
        <v>1.3</v>
      </c>
      <c r="AH21" s="143" t="n">
        <v>28.8</v>
      </c>
      <c r="AI21" s="113" t="n">
        <f aca="false">AI20-AH21</f>
        <v>13557.8492311571</v>
      </c>
      <c r="AJ21" s="102"/>
      <c r="AK21" s="141" t="n">
        <f aca="false">N21+O21+P21+Q21+R21+S21+T21+U21+X21+AE21+AH21+AT21-AR21</f>
        <v>494.9</v>
      </c>
      <c r="AL21" s="142" t="n">
        <f aca="false">IF(L21&lt;0,L21*-1,0)</f>
        <v>24.7953516511218</v>
      </c>
      <c r="AM21" s="142" t="n">
        <f aca="false">AK21+AL21</f>
        <v>519.695351651122</v>
      </c>
      <c r="AN21" s="431" t="n">
        <v>0</v>
      </c>
      <c r="AO21" s="226"/>
      <c r="AP21" s="157" t="n">
        <f aca="false">795-X21</f>
        <v>481.772851998029</v>
      </c>
      <c r="AQ21" s="171" t="n">
        <f aca="false">32.894*(Z21*1.9835+AC21*1.9835)/E21</f>
        <v>14.4006543627587</v>
      </c>
      <c r="AR21" s="143"/>
      <c r="AS21" s="232"/>
      <c r="AT21" s="110" t="n">
        <v>0</v>
      </c>
      <c r="AU21" s="56"/>
      <c r="AV21" s="233" t="n">
        <v>0.01</v>
      </c>
      <c r="AW21" s="226" t="n">
        <v>60</v>
      </c>
      <c r="AX21" s="226" t="n">
        <v>31</v>
      </c>
      <c r="AY21" s="85"/>
      <c r="AZ21" s="264" t="n">
        <f aca="false">SUM(N21,P21:U21)</f>
        <v>7.26785199802864</v>
      </c>
      <c r="BA21" s="193" t="n">
        <v>0</v>
      </c>
      <c r="BB21" s="265" t="n">
        <v>12068</v>
      </c>
    </row>
    <row r="22" customFormat="false" ht="12.95" hidden="false" customHeight="true" outlineLevel="0" collapsed="false">
      <c r="A22" s="192" t="n">
        <f aca="false">A21+1</f>
        <v>8</v>
      </c>
      <c r="B22" s="112" t="n">
        <v>6885.95</v>
      </c>
      <c r="C22" s="113" t="n">
        <v>234751</v>
      </c>
      <c r="D22" s="226" t="n">
        <f aca="false">C22-C21</f>
        <v>1579</v>
      </c>
      <c r="E22" s="113" t="n">
        <f aca="false">C22-152000</f>
        <v>82751</v>
      </c>
      <c r="F22" s="142" t="n">
        <f aca="false">D22/$D$2</f>
        <v>796.067557348122</v>
      </c>
      <c r="G22" s="224" t="n">
        <v>1290</v>
      </c>
      <c r="H22" s="143" t="n">
        <v>1.96</v>
      </c>
      <c r="I22" s="142" t="n">
        <f aca="false">G22+H22</f>
        <v>1291.96</v>
      </c>
      <c r="J22" s="143" t="n">
        <f aca="false">IF(L22&gt;0,L22,0)</f>
        <v>0.707557348122009</v>
      </c>
      <c r="K22" s="142" t="n">
        <f aca="false">I22+J22</f>
        <v>1292.66755734812</v>
      </c>
      <c r="L22" s="142" t="n">
        <f aca="false">F22-(I22-AK22)</f>
        <v>0.707557348122009</v>
      </c>
      <c r="M22" s="262" t="n">
        <v>239</v>
      </c>
      <c r="N22" s="171" t="n">
        <v>0</v>
      </c>
      <c r="O22" s="142" t="n">
        <f aca="false">77.8*1.05</f>
        <v>81.69</v>
      </c>
      <c r="P22" s="171" t="n">
        <v>0</v>
      </c>
      <c r="Q22" s="346" t="n">
        <f aca="false">1023600/325851/1.9835*1.02</f>
        <v>1.61539668021602</v>
      </c>
      <c r="R22" s="138" t="n">
        <v>4.2</v>
      </c>
      <c r="S22" s="138" t="n">
        <f aca="false">((5.6*1.04)-T22)-4.2</f>
        <v>0.866540959999999</v>
      </c>
      <c r="T22" s="138" t="n">
        <f aca="false">(0.6871*1.06)*1.04</f>
        <v>0.75745904</v>
      </c>
      <c r="U22" s="365" t="n">
        <v>0</v>
      </c>
      <c r="V22" s="142" t="n">
        <v>119</v>
      </c>
      <c r="W22" s="142" t="n">
        <v>49</v>
      </c>
      <c r="X22" s="142" t="n">
        <f aca="false">M22-N22-O22-P22-Q22-R22-S22-T22-U22+V22+W22-AT22+AR22</f>
        <v>317.870603319784</v>
      </c>
      <c r="Y22" s="142" t="n">
        <f aca="false">X22-AO22</f>
        <v>317.870603319784</v>
      </c>
      <c r="Z22" s="113" t="n">
        <f aca="false">Z21+AP22</f>
        <v>16844.6485536899</v>
      </c>
      <c r="AA22" s="142"/>
      <c r="AB22" s="113" t="n">
        <f aca="false">AB21+(Y22+AP22)*1.9835</f>
        <v>37298.6261682753</v>
      </c>
      <c r="AC22" s="113" t="n">
        <f aca="false">AC21-(AQ21/1.9835)</f>
        <v>1541.15984595101</v>
      </c>
      <c r="AD22" s="113"/>
      <c r="AE22" s="142" t="n">
        <v>60.8</v>
      </c>
      <c r="AF22" s="262" t="n">
        <v>1.7</v>
      </c>
      <c r="AG22" s="263" t="n">
        <v>1.3</v>
      </c>
      <c r="AH22" s="143" t="n">
        <v>28.8</v>
      </c>
      <c r="AI22" s="113" t="n">
        <f aca="false">AI21-AH22</f>
        <v>13529.0492311571</v>
      </c>
      <c r="AJ22" s="102"/>
      <c r="AK22" s="141" t="n">
        <f aca="false">N22+O22+P22+Q22+R22+S22+T22+U22+X22+AE22+AH22+AT22-AR22</f>
        <v>496.6</v>
      </c>
      <c r="AL22" s="142" t="n">
        <f aca="false">IF(L22&lt;0,L22*-1,0)</f>
        <v>0</v>
      </c>
      <c r="AM22" s="142" t="n">
        <f aca="false">AK22+AL22</f>
        <v>496.6</v>
      </c>
      <c r="AN22" s="431" t="n">
        <v>0</v>
      </c>
      <c r="AO22" s="226"/>
      <c r="AP22" s="157" t="n">
        <f aca="false">795-X22</f>
        <v>477.129396680216</v>
      </c>
      <c r="AQ22" s="171" t="n">
        <f aca="false">4.917*(16429*1.9835+AC22*1.9835)/E22</f>
        <v>2.11792756427959</v>
      </c>
      <c r="AR22" s="143"/>
      <c r="AS22" s="232"/>
      <c r="AT22" s="110" t="n">
        <v>0</v>
      </c>
      <c r="AU22" s="56"/>
      <c r="AV22" s="233" t="n">
        <v>0.01</v>
      </c>
      <c r="AW22" s="226" t="n">
        <v>54</v>
      </c>
      <c r="AX22" s="226" t="n">
        <v>35</v>
      </c>
      <c r="AY22" s="85"/>
      <c r="AZ22" s="264" t="n">
        <f aca="false">SUM(N22,P22:U22)</f>
        <v>7.43939668021602</v>
      </c>
      <c r="BA22" s="193" t="n">
        <v>0</v>
      </c>
      <c r="BB22" s="265" t="n">
        <v>12200</v>
      </c>
    </row>
    <row r="23" customFormat="false" ht="12.95" hidden="false" customHeight="true" outlineLevel="0" collapsed="false">
      <c r="A23" s="192" t="n">
        <f aca="false">A22+1</f>
        <v>9</v>
      </c>
      <c r="B23" s="112" t="n">
        <v>6886.25</v>
      </c>
      <c r="C23" s="113" t="n">
        <v>235727</v>
      </c>
      <c r="D23" s="226" t="n">
        <f aca="false">C23-C22</f>
        <v>976</v>
      </c>
      <c r="E23" s="113" t="n">
        <f aca="false">C23-152000</f>
        <v>83727</v>
      </c>
      <c r="F23" s="142" t="n">
        <f aca="false">D23/$D$2</f>
        <v>492.059490799092</v>
      </c>
      <c r="G23" s="224" t="n">
        <v>1020</v>
      </c>
      <c r="H23" s="143" t="n">
        <v>1.68</v>
      </c>
      <c r="I23" s="142" t="n">
        <f aca="false">G23+H23</f>
        <v>1021.68</v>
      </c>
      <c r="J23" s="143" t="n">
        <f aca="false">IF(L23&gt;0,L23,0)</f>
        <v>0</v>
      </c>
      <c r="K23" s="142" t="n">
        <f aca="false">I23+J23</f>
        <v>1021.68</v>
      </c>
      <c r="L23" s="142" t="n">
        <f aca="false">F23-(I23-AK23)</f>
        <v>-29.3205092009074</v>
      </c>
      <c r="M23" s="262" t="n">
        <v>248</v>
      </c>
      <c r="N23" s="171" t="n">
        <v>0</v>
      </c>
      <c r="O23" s="142" t="n">
        <f aca="false">83.5*1.05</f>
        <v>87.675</v>
      </c>
      <c r="P23" s="171" t="n">
        <v>0</v>
      </c>
      <c r="Q23" s="346" t="n">
        <f aca="false">1188500/325851/1.9835*1.02</f>
        <v>1.87563399222035</v>
      </c>
      <c r="R23" s="138" t="n">
        <f aca="false">(3.8*1.04)-T23</f>
        <v>3.20776976</v>
      </c>
      <c r="S23" s="138" t="n">
        <v>0</v>
      </c>
      <c r="T23" s="138" t="n">
        <f aca="false">(0.6751*1.06)*1.04</f>
        <v>0.74423024</v>
      </c>
      <c r="U23" s="365" t="n">
        <v>0</v>
      </c>
      <c r="V23" s="142" t="n">
        <v>118</v>
      </c>
      <c r="W23" s="142" t="n">
        <v>53.9</v>
      </c>
      <c r="X23" s="142" t="n">
        <f aca="false">M23-N23-O23-P23-Q23-R23-S23-T23-U23+V23+W23-AT23+AR23</f>
        <v>326.39736600778</v>
      </c>
      <c r="Y23" s="142" t="n">
        <f aca="false">X23-AO23</f>
        <v>326.39736600778</v>
      </c>
      <c r="Z23" s="113" t="n">
        <f aca="false">Z22+AP23</f>
        <v>17313.2511876821</v>
      </c>
      <c r="AA23" s="142"/>
      <c r="AB23" s="113" t="n">
        <f aca="false">AB22+(Y23+AP23)*1.9835</f>
        <v>38875.5086682753</v>
      </c>
      <c r="AC23" s="113" t="n">
        <f aca="false">AC22-(AQ22/1.9835)</f>
        <v>1540.09207304237</v>
      </c>
      <c r="AD23" s="113"/>
      <c r="AE23" s="142" t="n">
        <v>51.6</v>
      </c>
      <c r="AF23" s="262" t="n">
        <v>1.7</v>
      </c>
      <c r="AG23" s="263" t="n">
        <v>1.3</v>
      </c>
      <c r="AH23" s="143" t="n">
        <v>28.8</v>
      </c>
      <c r="AI23" s="113" t="n">
        <f aca="false">AI22-AH23</f>
        <v>13500.2492311571</v>
      </c>
      <c r="AJ23" s="102"/>
      <c r="AK23" s="141" t="n">
        <f aca="false">N23+O23+P23+Q23+R23+S23+T23+U23+X23+AE23+AH23+AT23-AR23</f>
        <v>500.3</v>
      </c>
      <c r="AL23" s="142" t="n">
        <f aca="false">IF(L23&lt;0,L23*-1,0)</f>
        <v>29.3205092009074</v>
      </c>
      <c r="AM23" s="142" t="n">
        <f aca="false">AK23+AL23</f>
        <v>529.620509200907</v>
      </c>
      <c r="AN23" s="431" t="n">
        <v>0</v>
      </c>
      <c r="AO23" s="226"/>
      <c r="AP23" s="157" t="n">
        <f aca="false">795-X23</f>
        <v>468.60263399222</v>
      </c>
      <c r="AQ23" s="171" t="n">
        <f aca="false">27.044*(16429*1.9835+AC23*1.9835)/E23</f>
        <v>11.5123434013798</v>
      </c>
      <c r="AR23" s="143"/>
      <c r="AS23" s="232"/>
      <c r="AT23" s="110" t="n">
        <v>0</v>
      </c>
      <c r="AU23" s="56"/>
      <c r="AV23" s="233" t="n">
        <v>0</v>
      </c>
      <c r="AW23" s="226" t="n">
        <v>68</v>
      </c>
      <c r="AX23" s="226" t="n">
        <v>34</v>
      </c>
      <c r="AY23" s="85"/>
      <c r="AZ23" s="264" t="n">
        <f aca="false">SUM(N23,P23:U23)</f>
        <v>5.82763399222034</v>
      </c>
      <c r="BA23" s="193" t="n">
        <v>0</v>
      </c>
      <c r="BB23" s="265" t="n">
        <v>12313</v>
      </c>
    </row>
    <row r="24" customFormat="false" ht="12.95" hidden="false" customHeight="true" outlineLevel="0" collapsed="false">
      <c r="A24" s="192" t="n">
        <f aca="false">A23+1</f>
        <v>10</v>
      </c>
      <c r="B24" s="112" t="n">
        <v>6886.48</v>
      </c>
      <c r="C24" s="113" t="n">
        <v>236477</v>
      </c>
      <c r="D24" s="226" t="n">
        <f aca="false">C24-C23</f>
        <v>750</v>
      </c>
      <c r="E24" s="113" t="n">
        <f aca="false">C24-152000</f>
        <v>84477</v>
      </c>
      <c r="F24" s="142" t="n">
        <f aca="false">D24/$D$2</f>
        <v>378.119485757499</v>
      </c>
      <c r="G24" s="224" t="n">
        <v>857</v>
      </c>
      <c r="H24" s="143" t="n">
        <v>1.39</v>
      </c>
      <c r="I24" s="142" t="n">
        <f aca="false">G24+H24</f>
        <v>858.39</v>
      </c>
      <c r="J24" s="143" t="n">
        <f aca="false">IF(L24&gt;0,L24,0)</f>
        <v>57.8294857574993</v>
      </c>
      <c r="K24" s="142" t="n">
        <f aca="false">I24+J24</f>
        <v>916.219485757499</v>
      </c>
      <c r="L24" s="142" t="n">
        <f aca="false">F24-(I24-AK24)</f>
        <v>57.8294857574993</v>
      </c>
      <c r="M24" s="262" t="n">
        <v>254</v>
      </c>
      <c r="N24" s="171" t="n">
        <v>0</v>
      </c>
      <c r="O24" s="142" t="n">
        <f aca="false">83.3*1.05</f>
        <v>87.465</v>
      </c>
      <c r="P24" s="171" t="n">
        <v>0</v>
      </c>
      <c r="Q24" s="346" t="n">
        <f aca="false">1256300/325851/1.9835*1.02</f>
        <v>1.98263271722879</v>
      </c>
      <c r="R24" s="138" t="n">
        <f aca="false">(3.7*1.04)-T24</f>
        <v>3.10376976</v>
      </c>
      <c r="S24" s="138" t="n">
        <v>0</v>
      </c>
      <c r="T24" s="138" t="n">
        <f aca="false">(0.6751*1.06)*1.04</f>
        <v>0.74423024</v>
      </c>
      <c r="U24" s="365" t="n">
        <v>0</v>
      </c>
      <c r="V24" s="142" t="n">
        <v>114</v>
      </c>
      <c r="W24" s="142" t="n">
        <v>54.2</v>
      </c>
      <c r="X24" s="142" t="n">
        <f aca="false">M24-N24-O24-P24-Q24-R24-S24-T24-U24+V24+W24-AT24+AR24</f>
        <v>328.904367282771</v>
      </c>
      <c r="Y24" s="142" t="n">
        <f aca="false">X24-AO24</f>
        <v>328.904367282771</v>
      </c>
      <c r="Z24" s="113" t="n">
        <f aca="false">Z23+AP24</f>
        <v>17779.3468203993</v>
      </c>
      <c r="AA24" s="142"/>
      <c r="AB24" s="113" t="n">
        <f aca="false">AB23+(Y24+AP24)*1.9835</f>
        <v>40452.3911682753</v>
      </c>
      <c r="AC24" s="113" t="n">
        <f aca="false">AC23-(AQ23/1.9835)</f>
        <v>1534.28801788665</v>
      </c>
      <c r="AD24" s="113"/>
      <c r="AE24" s="142" t="n">
        <v>87.1</v>
      </c>
      <c r="AF24" s="262" t="n">
        <v>1.7</v>
      </c>
      <c r="AG24" s="263" t="n">
        <v>1.3</v>
      </c>
      <c r="AH24" s="143" t="n">
        <v>28.8</v>
      </c>
      <c r="AI24" s="113" t="n">
        <f aca="false">AI23-AH24</f>
        <v>13471.4492311571</v>
      </c>
      <c r="AJ24" s="102"/>
      <c r="AK24" s="141" t="n">
        <f aca="false">N24+O24+P24+Q24+R24+S24+T24+U24+X24+AE24+AH24+AT24-AR24</f>
        <v>538.1</v>
      </c>
      <c r="AL24" s="142" t="n">
        <f aca="false">IF(L24&lt;0,L24*-1,0)</f>
        <v>0</v>
      </c>
      <c r="AM24" s="142" t="n">
        <f aca="false">AK24+AL24</f>
        <v>538.1</v>
      </c>
      <c r="AN24" s="431" t="n">
        <v>0</v>
      </c>
      <c r="AO24" s="226"/>
      <c r="AP24" s="157" t="n">
        <f aca="false">795-X24</f>
        <v>466.095632717229</v>
      </c>
      <c r="AQ24" s="171" t="n">
        <f aca="false">40.282*(16429*1.9835+AC24*1.9835)/E24</f>
        <v>16.9898905335425</v>
      </c>
      <c r="AR24" s="143"/>
      <c r="AS24" s="232"/>
      <c r="AT24" s="110" t="n">
        <v>0</v>
      </c>
      <c r="AU24" s="56"/>
      <c r="AV24" s="233" t="n">
        <v>0.04</v>
      </c>
      <c r="AW24" s="226" t="n">
        <v>72</v>
      </c>
      <c r="AX24" s="226" t="n">
        <v>34</v>
      </c>
      <c r="AY24" s="85"/>
      <c r="AZ24" s="264" t="n">
        <f aca="false">SUM(N24,P24:U24)</f>
        <v>5.83063271722879</v>
      </c>
      <c r="BA24" s="193" t="n">
        <v>0</v>
      </c>
      <c r="BB24" s="265" t="n">
        <v>12388</v>
      </c>
    </row>
    <row r="25" customFormat="false" ht="12.95" hidden="false" customHeight="true" outlineLevel="0" collapsed="false">
      <c r="A25" s="192" t="n">
        <f aca="false">A24+1</f>
        <v>11</v>
      </c>
      <c r="B25" s="112" t="n">
        <v>6886.74</v>
      </c>
      <c r="C25" s="113" t="n">
        <v>237325</v>
      </c>
      <c r="D25" s="226" t="n">
        <f aca="false">C25-C24</f>
        <v>848</v>
      </c>
      <c r="E25" s="113" t="n">
        <f aca="false">C25-152000</f>
        <v>85325</v>
      </c>
      <c r="F25" s="142" t="n">
        <f aca="false">D25/$D$2</f>
        <v>427.527098563146</v>
      </c>
      <c r="G25" s="224" t="n">
        <v>890</v>
      </c>
      <c r="H25" s="143" t="n">
        <v>1.33</v>
      </c>
      <c r="I25" s="142" t="n">
        <f aca="false">G25+H25</f>
        <v>891.33</v>
      </c>
      <c r="J25" s="143" t="n">
        <f aca="false">IF(L25&gt;0,L25,0)</f>
        <v>0</v>
      </c>
      <c r="K25" s="142" t="n">
        <f aca="false">I25+J25</f>
        <v>891.33</v>
      </c>
      <c r="L25" s="142" t="n">
        <f aca="false">F25-(I25-AK25)</f>
        <v>-50.3029014368541</v>
      </c>
      <c r="M25" s="262" t="n">
        <v>234</v>
      </c>
      <c r="N25" s="171" t="n">
        <v>0</v>
      </c>
      <c r="O25" s="142" t="n">
        <f aca="false">68.7*1.05</f>
        <v>72.135</v>
      </c>
      <c r="P25" s="171" t="n">
        <v>0</v>
      </c>
      <c r="Q25" s="346" t="n">
        <f aca="false">1009500/325851/1.9835*1.02</f>
        <v>1.59314473297975</v>
      </c>
      <c r="R25" s="138" t="n">
        <f aca="false">(3.5*1.04)-T25</f>
        <v>2.89576976</v>
      </c>
      <c r="S25" s="138" t="n">
        <v>0</v>
      </c>
      <c r="T25" s="138" t="n">
        <f aca="false">(0.6751*1.06)*1.04</f>
        <v>0.74423024</v>
      </c>
      <c r="U25" s="365" t="n">
        <v>0</v>
      </c>
      <c r="V25" s="142" t="n">
        <v>51</v>
      </c>
      <c r="W25" s="142" t="n">
        <v>55.8</v>
      </c>
      <c r="X25" s="142" t="n">
        <f aca="false">M25-N25-O25-P25-Q25-R25-S25-T25-U25+V25+W25-AT25+AR25</f>
        <v>263.43185526702</v>
      </c>
      <c r="Y25" s="142" t="n">
        <f aca="false">X25-AO25</f>
        <v>263.43185526702</v>
      </c>
      <c r="Z25" s="113" t="n">
        <f aca="false">Z24+AP25</f>
        <v>18310.9149651323</v>
      </c>
      <c r="AA25" s="142"/>
      <c r="AB25" s="113" t="n">
        <f aca="false">AB24+(Y25+AP25)*1.9835</f>
        <v>42029.2736682753</v>
      </c>
      <c r="AC25" s="113" t="n">
        <f aca="false">AC24-(AQ24/1.9835)</f>
        <v>1525.72240632449</v>
      </c>
      <c r="AD25" s="113"/>
      <c r="AE25" s="142" t="n">
        <v>43.8</v>
      </c>
      <c r="AF25" s="262" t="n">
        <v>1.7</v>
      </c>
      <c r="AG25" s="263" t="n">
        <v>1.3</v>
      </c>
      <c r="AH25" s="143" t="n">
        <v>28.9</v>
      </c>
      <c r="AI25" s="113" t="n">
        <f aca="false">AI24-AH25</f>
        <v>13442.5492311571</v>
      </c>
      <c r="AJ25" s="102"/>
      <c r="AK25" s="141" t="n">
        <f aca="false">N25+O25+P25+Q25+R25+S25+T25+U25+X25+AE25+AH25+AT25-AR25</f>
        <v>413.5</v>
      </c>
      <c r="AL25" s="142" t="n">
        <f aca="false">IF(L25&lt;0,L25*-1,0)</f>
        <v>50.3029014368541</v>
      </c>
      <c r="AM25" s="142" t="n">
        <f aca="false">AK25+AL25</f>
        <v>463.802901436854</v>
      </c>
      <c r="AN25" s="431" t="n">
        <v>0</v>
      </c>
      <c r="AO25" s="226"/>
      <c r="AP25" s="157" t="n">
        <f aca="false">795-X25</f>
        <v>531.56814473298</v>
      </c>
      <c r="AQ25" s="171" t="n">
        <f aca="false">0.382*(16429*1.9835+AC25*1.9835)/E25</f>
        <v>0.159440249670142</v>
      </c>
      <c r="AR25" s="143"/>
      <c r="AS25" s="232"/>
      <c r="AT25" s="110" t="n">
        <v>0</v>
      </c>
      <c r="AU25" s="56"/>
      <c r="AV25" s="233" t="n">
        <v>0.1</v>
      </c>
      <c r="AW25" s="226" t="n">
        <v>62</v>
      </c>
      <c r="AX25" s="226" t="n">
        <v>32</v>
      </c>
      <c r="AY25" s="85"/>
      <c r="AZ25" s="264" t="n">
        <f aca="false">SUM(N25,P25:U25)</f>
        <v>5.23314473297975</v>
      </c>
      <c r="BA25" s="193" t="n">
        <v>0</v>
      </c>
      <c r="BB25" s="265" t="n">
        <v>12493</v>
      </c>
    </row>
    <row r="26" customFormat="false" ht="12.95" hidden="false" customHeight="true" outlineLevel="0" collapsed="false">
      <c r="A26" s="192" t="n">
        <f aca="false">A25+1</f>
        <v>12</v>
      </c>
      <c r="B26" s="112" t="n">
        <v>6887.01</v>
      </c>
      <c r="C26" s="113" t="n">
        <v>238206</v>
      </c>
      <c r="D26" s="226" t="n">
        <f aca="false">C26-C25</f>
        <v>881</v>
      </c>
      <c r="E26" s="113" t="n">
        <f aca="false">C26-152000</f>
        <v>86206</v>
      </c>
      <c r="F26" s="142" t="n">
        <f aca="false">D26/$D$2</f>
        <v>444.164355936476</v>
      </c>
      <c r="G26" s="224" t="n">
        <v>794</v>
      </c>
      <c r="H26" s="143" t="n">
        <v>1.36</v>
      </c>
      <c r="I26" s="142" t="n">
        <f aca="false">G26+H26</f>
        <v>795.36</v>
      </c>
      <c r="J26" s="143" t="n">
        <f aca="false">IF(L26&gt;0,L26,0)</f>
        <v>0.00435593647586074</v>
      </c>
      <c r="K26" s="142" t="n">
        <f aca="false">I26+J26</f>
        <v>795.364355936476</v>
      </c>
      <c r="L26" s="142" t="n">
        <f aca="false">F26-(I26-AK26)</f>
        <v>0.00435593647586074</v>
      </c>
      <c r="M26" s="262" t="n">
        <v>176</v>
      </c>
      <c r="N26" s="171" t="n">
        <v>0</v>
      </c>
      <c r="O26" s="142" t="n">
        <f aca="false">32.6*1.05</f>
        <v>34.23</v>
      </c>
      <c r="P26" s="171" t="n">
        <v>0</v>
      </c>
      <c r="Q26" s="346" t="n">
        <f aca="false">998500/325851/1.9835*1.02</f>
        <v>1.57578505783089</v>
      </c>
      <c r="R26" s="138" t="n">
        <f aca="false">(2.2*1.04)-T26</f>
        <v>1.54376976</v>
      </c>
      <c r="S26" s="138" t="n">
        <v>0</v>
      </c>
      <c r="T26" s="138" t="n">
        <f aca="false">(0.6751*1.06)*1.04</f>
        <v>0.74423024</v>
      </c>
      <c r="U26" s="365" t="n">
        <v>0</v>
      </c>
      <c r="V26" s="142" t="n">
        <v>51</v>
      </c>
      <c r="W26" s="142" t="n">
        <v>55</v>
      </c>
      <c r="X26" s="142" t="n">
        <f aca="false">M26-N26-O26-P26-Q26-R26-S26-T26-U26+V26+W26-AT26+AR26</f>
        <v>248.906214942169</v>
      </c>
      <c r="Y26" s="142" t="n">
        <f aca="false">X26-AO26</f>
        <v>248.906214942169</v>
      </c>
      <c r="Z26" s="113" t="n">
        <f aca="false">Z25+AP26</f>
        <v>18857.0087501901</v>
      </c>
      <c r="AA26" s="142"/>
      <c r="AB26" s="113" t="n">
        <f aca="false">AB25+(Y26+AP26)*1.9835</f>
        <v>43606.1561682753</v>
      </c>
      <c r="AC26" s="113" t="n">
        <f aca="false">AC25-(AQ25/1.9835)</f>
        <v>1525.64202303754</v>
      </c>
      <c r="AD26" s="113"/>
      <c r="AE26" s="142" t="n">
        <v>40.4</v>
      </c>
      <c r="AF26" s="262" t="n">
        <v>1.7</v>
      </c>
      <c r="AG26" s="263" t="n">
        <v>1.3</v>
      </c>
      <c r="AH26" s="143" t="n">
        <v>28.8</v>
      </c>
      <c r="AI26" s="113" t="n">
        <f aca="false">AI25-AH26</f>
        <v>13413.7492311571</v>
      </c>
      <c r="AJ26" s="102"/>
      <c r="AK26" s="141" t="n">
        <f aca="false">N26+O26+P26+Q26+R26+S26+T26+U26+X26+AE26+AH26+AT26-AR26</f>
        <v>351.2</v>
      </c>
      <c r="AL26" s="142" t="n">
        <f aca="false">IF(L26&lt;0,L26*-1,0)</f>
        <v>0</v>
      </c>
      <c r="AM26" s="142" t="n">
        <f aca="false">AK26+AL26</f>
        <v>351.2</v>
      </c>
      <c r="AN26" s="431" t="n">
        <v>0</v>
      </c>
      <c r="AO26" s="226"/>
      <c r="AP26" s="157" t="n">
        <f aca="false">795-X26</f>
        <v>546.093785057831</v>
      </c>
      <c r="AQ26" s="171" t="n">
        <f aca="false">36.714*(16429*1.9835+AC26*1.9835)/E26</f>
        <v>15.1671214702949</v>
      </c>
      <c r="AR26" s="143" t="n">
        <v>5</v>
      </c>
      <c r="AS26" s="232"/>
      <c r="AT26" s="110" t="n">
        <v>0</v>
      </c>
      <c r="AU26" s="56"/>
      <c r="AV26" s="233" t="n">
        <v>0.04</v>
      </c>
      <c r="AW26" s="342" t="n">
        <v>47</v>
      </c>
      <c r="AX26" s="226" t="n">
        <v>30</v>
      </c>
      <c r="AY26" s="85"/>
      <c r="AZ26" s="264" t="n">
        <f aca="false">SUM(N26,P26:U26)</f>
        <v>3.86378505783089</v>
      </c>
      <c r="BA26" s="193" t="n">
        <v>0</v>
      </c>
      <c r="BB26" s="265" t="n">
        <v>12621</v>
      </c>
    </row>
    <row r="27" customFormat="false" ht="12.95" hidden="false" customHeight="true" outlineLevel="0" collapsed="false">
      <c r="A27" s="192" t="n">
        <f aca="false">A26+1</f>
        <v>13</v>
      </c>
      <c r="B27" s="112" t="n">
        <v>6887.22</v>
      </c>
      <c r="C27" s="113" t="n">
        <v>238898</v>
      </c>
      <c r="D27" s="226" t="n">
        <f aca="false">C27-C26</f>
        <v>692</v>
      </c>
      <c r="E27" s="113" t="n">
        <f aca="false">C27-152000</f>
        <v>86898</v>
      </c>
      <c r="F27" s="142" t="n">
        <f aca="false">D27/$D$2</f>
        <v>348.878245525586</v>
      </c>
      <c r="G27" s="224" t="n">
        <v>671</v>
      </c>
      <c r="H27" s="143" t="n">
        <v>1.26</v>
      </c>
      <c r="I27" s="142" t="n">
        <f aca="false">G27+H27</f>
        <v>672.26</v>
      </c>
      <c r="J27" s="143" t="n">
        <f aca="false">IF(L27&gt;0,L27,0)</f>
        <v>58.718245525586</v>
      </c>
      <c r="K27" s="142" t="n">
        <f aca="false">I27+J27</f>
        <v>730.978245525586</v>
      </c>
      <c r="L27" s="142" t="n">
        <f aca="false">F27-(I27-AK27)</f>
        <v>58.718245525586</v>
      </c>
      <c r="M27" s="262" t="n">
        <v>200</v>
      </c>
      <c r="N27" s="171" t="n">
        <v>0</v>
      </c>
      <c r="O27" s="142" t="n">
        <f aca="false">42.7*1.05</f>
        <v>44.835</v>
      </c>
      <c r="P27" s="171" t="n">
        <v>0</v>
      </c>
      <c r="Q27" s="346" t="n">
        <f aca="false">1039000/325851/1.9835*1.02</f>
        <v>1.63970022542443</v>
      </c>
      <c r="R27" s="138" t="n">
        <f aca="false">(2.1*1.04)-T27</f>
        <v>1.43976976</v>
      </c>
      <c r="S27" s="138" t="n">
        <v>0</v>
      </c>
      <c r="T27" s="138" t="n">
        <f aca="false">(0.6751*1.06)*1.04</f>
        <v>0.74423024</v>
      </c>
      <c r="U27" s="365" t="n">
        <v>0</v>
      </c>
      <c r="V27" s="142" t="n">
        <v>51</v>
      </c>
      <c r="W27" s="142" t="n">
        <v>55.4</v>
      </c>
      <c r="X27" s="142" t="n">
        <f aca="false">M27-N27-O27-P27-Q27-R27-S27-T27-U27+V27+W27-AT27+AR27</f>
        <v>265.741299774576</v>
      </c>
      <c r="Y27" s="142" t="n">
        <f aca="false">X27-AO27</f>
        <v>265.741299774576</v>
      </c>
      <c r="Z27" s="113" t="n">
        <f aca="false">Z26+AP27</f>
        <v>19258.7479804301</v>
      </c>
      <c r="AA27" s="142"/>
      <c r="AB27" s="113" t="n">
        <f aca="false">AB26+(Y27+AP27)*1.9835</f>
        <v>44930.1037995592</v>
      </c>
      <c r="AC27" s="113" t="n">
        <f aca="false">AC26-(AQ26/1.9835)</f>
        <v>1517.99537747651</v>
      </c>
      <c r="AD27" s="113"/>
      <c r="AE27" s="142" t="n">
        <v>46.9</v>
      </c>
      <c r="AF27" s="262" t="n">
        <v>1.7</v>
      </c>
      <c r="AG27" s="263" t="n">
        <v>1.3</v>
      </c>
      <c r="AH27" s="143" t="n">
        <v>28.8</v>
      </c>
      <c r="AI27" s="113" t="n">
        <f aca="false">AI26-AH27</f>
        <v>13384.9492311571</v>
      </c>
      <c r="AJ27" s="102"/>
      <c r="AK27" s="141" t="n">
        <f aca="false">N27+O27+P27+Q27+R27+S27+T27+U27+X27+AE27+AH27+AT27-AR27</f>
        <v>382.1</v>
      </c>
      <c r="AL27" s="142" t="n">
        <f aca="false">IF(L27&lt;0,L27*-1,0)</f>
        <v>0</v>
      </c>
      <c r="AM27" s="142" t="n">
        <f aca="false">AK27+AL27</f>
        <v>382.1</v>
      </c>
      <c r="AN27" s="431" t="n">
        <v>0</v>
      </c>
      <c r="AO27" s="226"/>
      <c r="AP27" s="157" t="n">
        <f aca="false">I27-Q27-R27-X27-AF27</f>
        <v>401.73923024</v>
      </c>
      <c r="AQ27" s="171" t="n">
        <f aca="false">79.929*(16429*1.9835+AC27*1.9835)/E27</f>
        <v>32.7430064910522</v>
      </c>
      <c r="AR27" s="143" t="n">
        <v>8</v>
      </c>
      <c r="AS27" s="232"/>
      <c r="AT27" s="110" t="n">
        <v>0</v>
      </c>
      <c r="AU27" s="56"/>
      <c r="AV27" s="233" t="n">
        <v>0.02</v>
      </c>
      <c r="AW27" s="342" t="n">
        <v>55</v>
      </c>
      <c r="AX27" s="226" t="n">
        <v>30</v>
      </c>
      <c r="AY27" s="85"/>
      <c r="AZ27" s="264" t="n">
        <f aca="false">SUM(N27,P27:U27)</f>
        <v>3.82370022542443</v>
      </c>
      <c r="BA27" s="193" t="n">
        <v>0</v>
      </c>
      <c r="BB27" s="265" t="n">
        <v>12702</v>
      </c>
    </row>
    <row r="28" customFormat="false" ht="12.95" hidden="false" customHeight="true" outlineLevel="0" collapsed="false">
      <c r="A28" s="192" t="n">
        <f aca="false">A27+1</f>
        <v>14</v>
      </c>
      <c r="B28" s="112" t="n">
        <v>6887.37</v>
      </c>
      <c r="C28" s="113" t="n">
        <v>239392</v>
      </c>
      <c r="D28" s="226" t="n">
        <f aca="false">C28-C27</f>
        <v>494</v>
      </c>
      <c r="E28" s="113" t="n">
        <f aca="false">C28-152000</f>
        <v>87392</v>
      </c>
      <c r="F28" s="142" t="n">
        <f aca="false">D28/$D$2</f>
        <v>249.054701285606</v>
      </c>
      <c r="G28" s="224" t="n">
        <v>626</v>
      </c>
      <c r="H28" s="143" t="n">
        <v>1.07</v>
      </c>
      <c r="I28" s="142" t="n">
        <f aca="false">G28+H28</f>
        <v>627.07</v>
      </c>
      <c r="J28" s="143" t="n">
        <f aca="false">IF(L28&gt;0,L28,0)</f>
        <v>0</v>
      </c>
      <c r="K28" s="142" t="n">
        <f aca="false">I28+J28</f>
        <v>627.07</v>
      </c>
      <c r="L28" s="142" t="n">
        <f aca="false">F28-(I28-AK28)</f>
        <v>-19.1152987143938</v>
      </c>
      <c r="M28" s="262" t="n">
        <v>189</v>
      </c>
      <c r="N28" s="171" t="n">
        <v>0</v>
      </c>
      <c r="O28" s="142" t="n">
        <f aca="false">39.4*1.05</f>
        <v>41.37</v>
      </c>
      <c r="P28" s="171" t="n">
        <v>0</v>
      </c>
      <c r="Q28" s="346" t="n">
        <f aca="false">1204000/325851/1.9835*1.02</f>
        <v>1.90009535265738</v>
      </c>
      <c r="R28" s="138" t="n">
        <f aca="false">(3.4*1.04)-T28</f>
        <v>2.79176976</v>
      </c>
      <c r="S28" s="138" t="n">
        <v>0</v>
      </c>
      <c r="T28" s="138" t="n">
        <f aca="false">(0.6751*1.06)*1.04</f>
        <v>0.74423024</v>
      </c>
      <c r="U28" s="365" t="n">
        <v>0</v>
      </c>
      <c r="V28" s="142" t="n">
        <v>51</v>
      </c>
      <c r="W28" s="142" t="n">
        <v>56.3</v>
      </c>
      <c r="X28" s="142" t="n">
        <f aca="false">M28-N28-O28-P28-Q28-R28-S28-T28-U28+V28+W28-AT28+AR28</f>
        <v>261.493904647343</v>
      </c>
      <c r="Y28" s="142" t="n">
        <f aca="false">X28-AO28</f>
        <v>261.493904647343</v>
      </c>
      <c r="Z28" s="113" t="n">
        <f aca="false">Z27+AP28</f>
        <v>19617.9322106701</v>
      </c>
      <c r="AA28" s="142"/>
      <c r="AB28" s="113" t="n">
        <f aca="false">AB27+(Y28+AP28)*1.9835</f>
        <v>46161.2188801083</v>
      </c>
      <c r="AC28" s="113" t="n">
        <f aca="false">AC27-(AQ27/1.9835)</f>
        <v>1501.48768577444</v>
      </c>
      <c r="AD28" s="113"/>
      <c r="AE28" s="142" t="n">
        <v>33.8</v>
      </c>
      <c r="AF28" s="262" t="n">
        <v>1.7</v>
      </c>
      <c r="AG28" s="263" t="n">
        <v>1.3</v>
      </c>
      <c r="AH28" s="143" t="n">
        <v>28.8</v>
      </c>
      <c r="AI28" s="113" t="n">
        <f aca="false">AI27-AH28</f>
        <v>13356.1492311571</v>
      </c>
      <c r="AJ28" s="102"/>
      <c r="AK28" s="141" t="n">
        <f aca="false">N28+O28+P28+Q28+R28+S28+T28+U28+X28+AE28+AH28+AT28-AR28</f>
        <v>358.9</v>
      </c>
      <c r="AL28" s="142" t="n">
        <f aca="false">IF(L28&lt;0,L28*-1,0)</f>
        <v>19.1152987143938</v>
      </c>
      <c r="AM28" s="142" t="n">
        <f aca="false">AK28+AL28</f>
        <v>378.015298714394</v>
      </c>
      <c r="AN28" s="431" t="n">
        <v>0</v>
      </c>
      <c r="AO28" s="226"/>
      <c r="AP28" s="157" t="n">
        <f aca="false">I28-Q28-R28-X28-AF28</f>
        <v>359.18423024</v>
      </c>
      <c r="AQ28" s="171" t="n">
        <f aca="false">32.698*(16429*1.9835+AC28*1.9835)/E28</f>
        <v>13.3068057691109</v>
      </c>
      <c r="AR28" s="143" t="n">
        <v>12</v>
      </c>
      <c r="AS28" s="232"/>
      <c r="AT28" s="110" t="n">
        <v>0</v>
      </c>
      <c r="AU28" s="56"/>
      <c r="AV28" s="233" t="n">
        <v>0</v>
      </c>
      <c r="AW28" s="342" t="n">
        <v>64</v>
      </c>
      <c r="AX28" s="226" t="n">
        <v>29</v>
      </c>
      <c r="AY28" s="85"/>
      <c r="AZ28" s="264" t="n">
        <f aca="false">SUM(N28,P28:U28)</f>
        <v>5.43609535265738</v>
      </c>
      <c r="BA28" s="193" t="n">
        <v>0</v>
      </c>
      <c r="BB28" s="265" t="n">
        <v>12796</v>
      </c>
    </row>
    <row r="29" customFormat="false" ht="12.95" hidden="false" customHeight="true" outlineLevel="0" collapsed="false">
      <c r="A29" s="192" t="n">
        <f aca="false">A28+1</f>
        <v>15</v>
      </c>
      <c r="B29" s="112" t="n">
        <v>6887.49</v>
      </c>
      <c r="C29" s="113" t="n">
        <v>239788</v>
      </c>
      <c r="D29" s="226" t="n">
        <f aca="false">C29-C28</f>
        <v>396</v>
      </c>
      <c r="E29" s="113" t="n">
        <f aca="false">C29-152000</f>
        <v>87788</v>
      </c>
      <c r="F29" s="142" t="n">
        <f aca="false">D29/$D$2</f>
        <v>199.64708847996</v>
      </c>
      <c r="G29" s="224" t="n">
        <v>627</v>
      </c>
      <c r="H29" s="143" t="n">
        <v>1</v>
      </c>
      <c r="I29" s="142" t="n">
        <f aca="false">G29+H29</f>
        <v>628</v>
      </c>
      <c r="J29" s="143" t="n">
        <f aca="false">IF(L29&gt;0,L29,0)</f>
        <v>62.3470884799596</v>
      </c>
      <c r="K29" s="142" t="n">
        <f aca="false">I29+J29</f>
        <v>690.34708847996</v>
      </c>
      <c r="L29" s="142" t="n">
        <f aca="false">F29-(I29-AK29)</f>
        <v>62.3470884799596</v>
      </c>
      <c r="M29" s="262" t="n">
        <v>241</v>
      </c>
      <c r="N29" s="171" t="n">
        <v>0</v>
      </c>
      <c r="O29" s="142" t="n">
        <f aca="false">59.1*1.05</f>
        <v>62.055</v>
      </c>
      <c r="P29" s="171" t="n">
        <v>0</v>
      </c>
      <c r="Q29" s="346" t="n">
        <f aca="false">1461800/325851/1.9835*1.02</f>
        <v>2.30694301205528</v>
      </c>
      <c r="R29" s="138" t="n">
        <v>4.2</v>
      </c>
      <c r="S29" s="138" t="n">
        <f aca="false">((5.7*1.04)-T29)-4.2</f>
        <v>0.98376976</v>
      </c>
      <c r="T29" s="138" t="n">
        <f aca="false">(0.6751*1.06)*1.04</f>
        <v>0.74423024</v>
      </c>
      <c r="U29" s="365" t="n">
        <v>0</v>
      </c>
      <c r="V29" s="142" t="n">
        <v>50.2</v>
      </c>
      <c r="W29" s="142" t="n">
        <v>56.7</v>
      </c>
      <c r="X29" s="142" t="n">
        <f aca="false">M29-N29-O29-P29-Q29-R29-S29-T29-U29+V29+W29-AT29+AR29</f>
        <v>297.610056987945</v>
      </c>
      <c r="Y29" s="142" t="n">
        <f aca="false">X29-AO29</f>
        <v>297.610056987945</v>
      </c>
      <c r="Z29" s="113" t="n">
        <f aca="false">Z28+AP29</f>
        <v>19940.1152106701</v>
      </c>
      <c r="AA29" s="142"/>
      <c r="AB29" s="113" t="n">
        <f aca="false">AB28+(Y29+AP29)*1.9835</f>
        <v>47390.5784086439</v>
      </c>
      <c r="AC29" s="113" t="n">
        <f aca="false">AC28-(AQ28/1.9835)</f>
        <v>1494.77893570179</v>
      </c>
      <c r="AD29" s="113"/>
      <c r="AE29" s="142" t="n">
        <v>114</v>
      </c>
      <c r="AF29" s="262" t="n">
        <v>1.7</v>
      </c>
      <c r="AG29" s="263" t="n">
        <v>1.3</v>
      </c>
      <c r="AH29" s="143" t="n">
        <v>28.8</v>
      </c>
      <c r="AI29" s="113" t="n">
        <f aca="false">AI28-AH29</f>
        <v>13327.3492311571</v>
      </c>
      <c r="AJ29" s="102"/>
      <c r="AK29" s="141" t="n">
        <f aca="false">N29+O29+P29+Q29+R29+S29+T29+U29+X29+AE29+AH29+AT29-AR29</f>
        <v>490.7</v>
      </c>
      <c r="AL29" s="142" t="n">
        <f aca="false">IF(L29&lt;0,L29*-1,0)</f>
        <v>0</v>
      </c>
      <c r="AM29" s="142" t="n">
        <f aca="false">AK29+AL29</f>
        <v>490.7</v>
      </c>
      <c r="AN29" s="431" t="n">
        <v>0</v>
      </c>
      <c r="AO29" s="226"/>
      <c r="AP29" s="157" t="n">
        <f aca="false">I29-Q29-R29-X29-AF29</f>
        <v>322.183</v>
      </c>
      <c r="AQ29" s="171" t="n">
        <f aca="false">42.833*(16429*1.9835+AC29*1.9835)/E29</f>
        <v>17.3462308530073</v>
      </c>
      <c r="AR29" s="143" t="n">
        <v>20</v>
      </c>
      <c r="AS29" s="232"/>
      <c r="AT29" s="110" t="n">
        <v>0</v>
      </c>
      <c r="AU29" s="56"/>
      <c r="AV29" s="233" t="n">
        <v>0</v>
      </c>
      <c r="AW29" s="342" t="n">
        <v>72</v>
      </c>
      <c r="AX29" s="226" t="n">
        <v>33</v>
      </c>
      <c r="AY29" s="85"/>
      <c r="AZ29" s="264" t="n">
        <f aca="false">SUM(N29,P29:U29)</f>
        <v>8.23494301205528</v>
      </c>
      <c r="BA29" s="193" t="n">
        <v>0</v>
      </c>
      <c r="BB29" s="265" t="n">
        <v>12851</v>
      </c>
    </row>
    <row r="30" customFormat="false" ht="12.95" hidden="false" customHeight="true" outlineLevel="0" collapsed="false">
      <c r="A30" s="192" t="n">
        <f aca="false">A29+1</f>
        <v>16</v>
      </c>
      <c r="B30" s="112" t="n">
        <v>6887.63</v>
      </c>
      <c r="C30" s="113" t="n">
        <v>240249</v>
      </c>
      <c r="D30" s="226" t="n">
        <f aca="false">C30-C29</f>
        <v>461</v>
      </c>
      <c r="E30" s="113" t="n">
        <f aca="false">C30-152000</f>
        <v>88249</v>
      </c>
      <c r="F30" s="142" t="n">
        <f aca="false">D30/$D$2</f>
        <v>232.417443912276</v>
      </c>
      <c r="G30" s="224" t="n">
        <v>707</v>
      </c>
      <c r="H30" s="143" t="n">
        <v>0.929</v>
      </c>
      <c r="I30" s="142" t="n">
        <f aca="false">G30+H30</f>
        <v>707.929</v>
      </c>
      <c r="J30" s="143" t="n">
        <f aca="false">IF(L30&gt;0,L30,0)</f>
        <v>65.2884439122764</v>
      </c>
      <c r="K30" s="142" t="n">
        <f aca="false">I30+J30</f>
        <v>773.217443912276</v>
      </c>
      <c r="L30" s="142" t="n">
        <f aca="false">F30-(I30-AK30)</f>
        <v>65.2884439122764</v>
      </c>
      <c r="M30" s="262" t="n">
        <v>268</v>
      </c>
      <c r="N30" s="171" t="n">
        <v>0</v>
      </c>
      <c r="O30" s="142" t="n">
        <f aca="false">81.4*1.05</f>
        <v>85.47</v>
      </c>
      <c r="P30" s="171" t="n">
        <v>0</v>
      </c>
      <c r="Q30" s="346" t="n">
        <f aca="false">1584700/325851/1.9835*1.02</f>
        <v>2.50089792803667</v>
      </c>
      <c r="R30" s="138" t="n">
        <v>4.2</v>
      </c>
      <c r="S30" s="138" t="n">
        <f aca="false">((6.4*1.04)-T30)-4.2</f>
        <v>1.52700752</v>
      </c>
      <c r="T30" s="138" t="n">
        <f aca="false">(0.8427*1.06)*1.04</f>
        <v>0.92899248</v>
      </c>
      <c r="U30" s="365" t="n">
        <v>0</v>
      </c>
      <c r="V30" s="142" t="n">
        <v>50.2</v>
      </c>
      <c r="W30" s="142" t="n">
        <v>59.8</v>
      </c>
      <c r="X30" s="142" t="n">
        <f aca="false">M30-N30-O30-P30-Q30-R30-S30-T30-U30+V30+W30-AT30+AR30</f>
        <v>306.283102071963</v>
      </c>
      <c r="Y30" s="142" t="n">
        <f aca="false">X30-AO30</f>
        <v>306.283102071963</v>
      </c>
      <c r="Z30" s="113" t="n">
        <f aca="false">Z29+AP30</f>
        <v>20333.3602106701</v>
      </c>
      <c r="AA30" s="142"/>
      <c r="AB30" s="113" t="n">
        <f aca="false">AB29+(Y30+AP30)*1.9835</f>
        <v>48778.0923991036</v>
      </c>
      <c r="AC30" s="113" t="n">
        <f aca="false">AC29-(AQ29/1.9835)</f>
        <v>1486.0336718485</v>
      </c>
      <c r="AD30" s="113"/>
      <c r="AE30" s="142" t="n">
        <v>134</v>
      </c>
      <c r="AF30" s="262" t="n">
        <v>1.7</v>
      </c>
      <c r="AG30" s="263" t="n">
        <v>1.3</v>
      </c>
      <c r="AH30" s="143" t="n">
        <v>28.8</v>
      </c>
      <c r="AI30" s="113" t="n">
        <f aca="false">AI29-AH30</f>
        <v>13298.5492311571</v>
      </c>
      <c r="AJ30" s="102"/>
      <c r="AK30" s="141" t="n">
        <f aca="false">N30+O30+P30+Q30+R30+S30+T30+U30+X30+AE30+AH30+AT30-AR30</f>
        <v>540.8</v>
      </c>
      <c r="AL30" s="142" t="n">
        <f aca="false">IF(L30&lt;0,L30*-1,0)</f>
        <v>0</v>
      </c>
      <c r="AM30" s="142" t="n">
        <f aca="false">AK30+AL30</f>
        <v>540.8</v>
      </c>
      <c r="AN30" s="431" t="n">
        <v>0</v>
      </c>
      <c r="AO30" s="226"/>
      <c r="AP30" s="157" t="n">
        <f aca="false">I30-Q30-R30-X30-AF30</f>
        <v>393.245</v>
      </c>
      <c r="AQ30" s="171" t="n">
        <f aca="false">40.983*(16429*1.9835+AC30*1.9835)/E30</f>
        <v>16.5022737349395</v>
      </c>
      <c r="AR30" s="143" t="n">
        <v>22.91</v>
      </c>
      <c r="AS30" s="232"/>
      <c r="AT30" s="110" t="n">
        <v>0</v>
      </c>
      <c r="AU30" s="56"/>
      <c r="AV30" s="233" t="n">
        <v>0</v>
      </c>
      <c r="AW30" s="226" t="n">
        <v>79</v>
      </c>
      <c r="AX30" s="226" t="n">
        <v>39</v>
      </c>
      <c r="AY30" s="85"/>
      <c r="AZ30" s="264" t="n">
        <f aca="false">SUM(N30,P30:U30)</f>
        <v>9.15689792803667</v>
      </c>
      <c r="BA30" s="193" t="n">
        <v>0</v>
      </c>
      <c r="BB30" s="265" t="n">
        <v>12951</v>
      </c>
    </row>
    <row r="31" customFormat="false" ht="12.95" hidden="false" customHeight="true" outlineLevel="0" collapsed="false">
      <c r="A31" s="192" t="n">
        <f aca="false">A30+1</f>
        <v>17</v>
      </c>
      <c r="B31" s="112" t="n">
        <v>6887.82</v>
      </c>
      <c r="C31" s="113" t="n">
        <v>240876</v>
      </c>
      <c r="D31" s="226" t="n">
        <f aca="false">C31-C30</f>
        <v>627</v>
      </c>
      <c r="E31" s="113" t="n">
        <f aca="false">C31-152000</f>
        <v>88876</v>
      </c>
      <c r="F31" s="142" t="n">
        <f aca="false">D31/$D$2</f>
        <v>316.107890093269</v>
      </c>
      <c r="G31" s="224" t="n">
        <v>916</v>
      </c>
      <c r="H31" s="143" t="n">
        <v>0.829</v>
      </c>
      <c r="I31" s="142" t="n">
        <f aca="false">G31+H31</f>
        <v>916.829</v>
      </c>
      <c r="J31" s="143" t="n">
        <f aca="false">IF(L31&gt;0,L31,0)</f>
        <v>0</v>
      </c>
      <c r="K31" s="142" t="n">
        <f aca="false">I31+J31</f>
        <v>916.829</v>
      </c>
      <c r="L31" s="142" t="n">
        <f aca="false">F31-(I31-AK31)</f>
        <v>-17.0211099067304</v>
      </c>
      <c r="M31" s="262" t="n">
        <v>291</v>
      </c>
      <c r="N31" s="171" t="n">
        <v>0</v>
      </c>
      <c r="O31" s="142" t="n">
        <f aca="false">89.3*1.05</f>
        <v>93.765</v>
      </c>
      <c r="P31" s="171" t="n">
        <v>0</v>
      </c>
      <c r="Q31" s="346" t="n">
        <f aca="false">1590200/325851/1.9835*1.02</f>
        <v>2.5095777656111</v>
      </c>
      <c r="R31" s="138" t="n">
        <v>4.2</v>
      </c>
      <c r="S31" s="138" t="n">
        <f aca="false">((5.4*1.04)-T31)-4.2</f>
        <v>0.487007520000001</v>
      </c>
      <c r="T31" s="138" t="n">
        <f aca="false">(0.8427*1.06)*1.04</f>
        <v>0.92899248</v>
      </c>
      <c r="U31" s="365" t="n">
        <v>0</v>
      </c>
      <c r="V31" s="142" t="n">
        <v>49.8</v>
      </c>
      <c r="W31" s="142" t="n">
        <v>61.1</v>
      </c>
      <c r="X31" s="142" t="n">
        <f aca="false">M31-N31-O31-P31-Q31-R31-S31-T31-U31+V31+W31-AT31+AR31</f>
        <v>323.009422234389</v>
      </c>
      <c r="Y31" s="142" t="n">
        <f aca="false">X31-AO31</f>
        <v>323.009422234389</v>
      </c>
      <c r="Z31" s="113" t="n">
        <f aca="false">Z30+AP31</f>
        <v>20805.3507884357</v>
      </c>
      <c r="AA31" s="142"/>
      <c r="AB31" s="113" t="n">
        <f aca="false">AB30+(Y31+AP31)*1.9835</f>
        <v>50354.9748991036</v>
      </c>
      <c r="AC31" s="113" t="n">
        <f aca="false">AC30-(AQ30/1.9835)</f>
        <v>1477.71389683718</v>
      </c>
      <c r="AD31" s="113"/>
      <c r="AE31" s="142" t="n">
        <v>153</v>
      </c>
      <c r="AF31" s="262" t="n">
        <v>1.7</v>
      </c>
      <c r="AG31" s="263" t="n">
        <v>1.3</v>
      </c>
      <c r="AH31" s="143" t="n">
        <v>28.8</v>
      </c>
      <c r="AI31" s="113" t="n">
        <f aca="false">AI30-AH31</f>
        <v>13269.7492311571</v>
      </c>
      <c r="AJ31" s="102"/>
      <c r="AK31" s="141" t="n">
        <f aca="false">N31+O31+P31+Q31+R31+S31+T31+U31+X31+AE31+AH31+AT31-AR31</f>
        <v>583.7</v>
      </c>
      <c r="AL31" s="142" t="n">
        <f aca="false">IF(L31&lt;0,L31*-1,0)</f>
        <v>17.0211099067304</v>
      </c>
      <c r="AM31" s="142" t="n">
        <f aca="false">AK31+AL31</f>
        <v>600.72110990673</v>
      </c>
      <c r="AN31" s="431" t="n">
        <v>0</v>
      </c>
      <c r="AO31" s="226"/>
      <c r="AP31" s="157" t="n">
        <f aca="false">795-X31</f>
        <v>471.990577765611</v>
      </c>
      <c r="AQ31" s="171" t="n">
        <f aca="false">44.656*(16429*1.9835+AC31*1.9835)/E31</f>
        <v>17.8461039537558</v>
      </c>
      <c r="AR31" s="143" t="n">
        <v>23</v>
      </c>
      <c r="AS31" s="232"/>
      <c r="AT31" s="110" t="n">
        <v>0</v>
      </c>
      <c r="AU31" s="56"/>
      <c r="AV31" s="233" t="n">
        <v>0</v>
      </c>
      <c r="AW31" s="226" t="n">
        <v>82</v>
      </c>
      <c r="AX31" s="226" t="n">
        <v>43</v>
      </c>
      <c r="AY31" s="85"/>
      <c r="AZ31" s="264" t="n">
        <f aca="false">SUM(N31,P31:U31)</f>
        <v>8.1255777656111</v>
      </c>
      <c r="BA31" s="193" t="n">
        <v>0</v>
      </c>
      <c r="BB31" s="265" t="n">
        <v>12974</v>
      </c>
    </row>
    <row r="32" customFormat="false" ht="12.95" hidden="false" customHeight="true" outlineLevel="0" collapsed="false">
      <c r="A32" s="192" t="n">
        <f aca="false">A31+1</f>
        <v>18</v>
      </c>
      <c r="B32" s="112" t="n">
        <v>6888.12</v>
      </c>
      <c r="C32" s="113" t="n">
        <v>241869</v>
      </c>
      <c r="D32" s="226" t="n">
        <f aca="false">C32-C31</f>
        <v>993</v>
      </c>
      <c r="E32" s="113" t="n">
        <f aca="false">C32-152000</f>
        <v>89869</v>
      </c>
      <c r="F32" s="142" t="n">
        <f aca="false">D32/$D$2</f>
        <v>500.630199142929</v>
      </c>
      <c r="G32" s="224" t="n">
        <v>1150</v>
      </c>
      <c r="H32" s="143" t="n">
        <v>0.788</v>
      </c>
      <c r="I32" s="142" t="n">
        <f aca="false">G32+H32</f>
        <v>1150.788</v>
      </c>
      <c r="J32" s="143" t="n">
        <f aca="false">IF(L32&gt;0,L32,0)</f>
        <v>0</v>
      </c>
      <c r="K32" s="142" t="n">
        <f aca="false">I32+J32</f>
        <v>1150.788</v>
      </c>
      <c r="L32" s="142" t="n">
        <f aca="false">F32-(I32-AK32)</f>
        <v>-59.8578008570709</v>
      </c>
      <c r="M32" s="262" t="n">
        <v>297</v>
      </c>
      <c r="N32" s="171" t="n">
        <v>0</v>
      </c>
      <c r="O32" s="142" t="n">
        <f aca="false">89.7*1.05</f>
        <v>94.185</v>
      </c>
      <c r="P32" s="171" t="n">
        <v>0</v>
      </c>
      <c r="Q32" s="346" t="n">
        <f aca="false">1674100/325851/1.9835*1.02</f>
        <v>2.64198474242834</v>
      </c>
      <c r="R32" s="138" t="n">
        <v>4.2</v>
      </c>
      <c r="S32" s="138" t="n">
        <f aca="false">((5.3*1.04)-T32)-4.2</f>
        <v>0.38300752</v>
      </c>
      <c r="T32" s="138" t="n">
        <f aca="false">(0.8427*1.06)*1.04</f>
        <v>0.92899248</v>
      </c>
      <c r="U32" s="365" t="n">
        <v>0</v>
      </c>
      <c r="V32" s="142" t="n">
        <v>49.2</v>
      </c>
      <c r="W32" s="142" t="n">
        <v>66.3</v>
      </c>
      <c r="X32" s="142" t="n">
        <f aca="false">M32-N32-O32-P32-Q32-R32-S32-T32-U32+V32+W32-AT32+AR32</f>
        <v>333.161015257572</v>
      </c>
      <c r="Y32" s="142" t="n">
        <f aca="false">X32-AO32</f>
        <v>333.161015257572</v>
      </c>
      <c r="Z32" s="113" t="n">
        <f aca="false">Z31+AP32</f>
        <v>21267.1897731782</v>
      </c>
      <c r="AA32" s="142"/>
      <c r="AB32" s="113" t="n">
        <f aca="false">AB31+(Y32+AP32)*1.9835</f>
        <v>51931.8573991036</v>
      </c>
      <c r="AC32" s="113" t="n">
        <f aca="false">AC31-(AQ31/1.9835)</f>
        <v>1468.71661730416</v>
      </c>
      <c r="AD32" s="113"/>
      <c r="AE32" s="142" t="n">
        <v>149</v>
      </c>
      <c r="AF32" s="262" t="n">
        <v>1.7</v>
      </c>
      <c r="AG32" s="263" t="n">
        <v>1.3</v>
      </c>
      <c r="AH32" s="143" t="n">
        <v>28.8</v>
      </c>
      <c r="AI32" s="113" t="n">
        <f aca="false">AI31-AH32</f>
        <v>13240.9492311571</v>
      </c>
      <c r="AJ32" s="102"/>
      <c r="AK32" s="141" t="n">
        <f aca="false">N32+O32+P32+Q32+R32+S32+T32+U32+X32+AE32+AH32+AT32-AR32</f>
        <v>590.3</v>
      </c>
      <c r="AL32" s="142" t="n">
        <f aca="false">IF(L32&lt;0,L32*-1,0)</f>
        <v>59.8578008570709</v>
      </c>
      <c r="AM32" s="142" t="n">
        <f aca="false">AK32+AL32</f>
        <v>650.157800857071</v>
      </c>
      <c r="AN32" s="431" t="n">
        <v>0</v>
      </c>
      <c r="AO32" s="226"/>
      <c r="AP32" s="157" t="n">
        <f aca="false">795-X32</f>
        <v>461.838984742428</v>
      </c>
      <c r="AQ32" s="171" t="n">
        <f aca="false">62.248*(16429*1.9835+AC32*1.9835)/E32</f>
        <v>24.5892524277782</v>
      </c>
      <c r="AR32" s="143" t="n">
        <v>23</v>
      </c>
      <c r="AS32" s="232"/>
      <c r="AT32" s="110" t="n">
        <v>0</v>
      </c>
      <c r="AU32" s="56"/>
      <c r="AV32" s="233" t="n">
        <v>0</v>
      </c>
      <c r="AW32" s="226" t="n">
        <v>81</v>
      </c>
      <c r="AX32" s="226" t="n">
        <v>46</v>
      </c>
      <c r="AY32" s="85"/>
      <c r="AZ32" s="264" t="n">
        <f aca="false">SUM(N32,P32:U32)</f>
        <v>8.15398474242834</v>
      </c>
      <c r="BA32" s="193" t="n">
        <v>0</v>
      </c>
      <c r="BB32" s="265" t="n">
        <v>13123</v>
      </c>
    </row>
    <row r="33" customFormat="false" ht="12.95" hidden="false" customHeight="true" outlineLevel="0" collapsed="false">
      <c r="A33" s="192" t="n">
        <f aca="false">A32+1</f>
        <v>19</v>
      </c>
      <c r="B33" s="112" t="n">
        <v>6888.56</v>
      </c>
      <c r="C33" s="319" t="n">
        <v>243335</v>
      </c>
      <c r="D33" s="226" t="n">
        <f aca="false">C33-C32</f>
        <v>1466</v>
      </c>
      <c r="E33" s="113" t="n">
        <f aca="false">C33-152000</f>
        <v>91335</v>
      </c>
      <c r="F33" s="142" t="n">
        <f aca="false">D33/$D$2</f>
        <v>739.097554827325</v>
      </c>
      <c r="G33" s="224" t="n">
        <v>1450</v>
      </c>
      <c r="H33" s="143" t="n">
        <v>0.759</v>
      </c>
      <c r="I33" s="142" t="n">
        <f aca="false">G33+H33</f>
        <v>1450.759</v>
      </c>
      <c r="J33" s="143" t="n">
        <f aca="false">IF(L33&gt;0,L33,0)</f>
        <v>0</v>
      </c>
      <c r="K33" s="142" t="n">
        <f aca="false">I33+J33</f>
        <v>1450.759</v>
      </c>
      <c r="L33" s="142" t="n">
        <f aca="false">F33-(I33-AK33)</f>
        <v>-88.3614451726746</v>
      </c>
      <c r="M33" s="262" t="n">
        <v>279</v>
      </c>
      <c r="N33" s="171" t="n">
        <v>0</v>
      </c>
      <c r="O33" s="142" t="n">
        <f aca="false">78.4*1.05</f>
        <v>82.32</v>
      </c>
      <c r="P33" s="171" t="n">
        <v>0</v>
      </c>
      <c r="Q33" s="346" t="n">
        <f aca="false">1571500/325851/1.9835*1.02</f>
        <v>2.48006631785803</v>
      </c>
      <c r="R33" s="138" t="n">
        <v>4.2</v>
      </c>
      <c r="S33" s="138" t="n">
        <f aca="false">((5.5*1.04)-T33)-4.2</f>
        <v>0.591007520000001</v>
      </c>
      <c r="T33" s="138" t="n">
        <f aca="false">(0.8427*1.06)*1.04</f>
        <v>0.92899248</v>
      </c>
      <c r="U33" s="365" t="n">
        <v>0</v>
      </c>
      <c r="V33" s="142" t="n">
        <v>49.6</v>
      </c>
      <c r="W33" s="142" t="n">
        <v>69.9</v>
      </c>
      <c r="X33" s="142" t="n">
        <f aca="false">M33-N33-O33-P33-Q33-R33-S33-T33-U33+V33+W33-AT33+AR33</f>
        <v>330.979933682142</v>
      </c>
      <c r="Y33" s="142" t="n">
        <f aca="false">X33-AO33</f>
        <v>330.979933682142</v>
      </c>
      <c r="Z33" s="113" t="n">
        <f aca="false">Z32+AP33</f>
        <v>21731.209839496</v>
      </c>
      <c r="AA33" s="142"/>
      <c r="AB33" s="113" t="n">
        <f aca="false">AB32+(Y33+AP33)*1.9835</f>
        <v>53508.7398991036</v>
      </c>
      <c r="AC33" s="113" t="n">
        <f aca="false">AC32-(AQ32/1.9835)</f>
        <v>1456.31971665995</v>
      </c>
      <c r="AD33" s="113"/>
      <c r="AE33" s="142" t="n">
        <v>196</v>
      </c>
      <c r="AF33" s="262" t="n">
        <v>1.7</v>
      </c>
      <c r="AG33" s="263" t="n">
        <v>1.3</v>
      </c>
      <c r="AH33" s="143" t="n">
        <v>28.8</v>
      </c>
      <c r="AI33" s="113" t="n">
        <f aca="false">AI32-AH33</f>
        <v>13212.1492311571</v>
      </c>
      <c r="AJ33" s="102"/>
      <c r="AK33" s="141" t="n">
        <f aca="false">N33+O33+P33+Q33+R33+S33+T33+U33+X33+AE33+AH33+AT33-AR33</f>
        <v>623.3</v>
      </c>
      <c r="AL33" s="142" t="n">
        <f aca="false">IF(L33&lt;0,L33*-1,0)</f>
        <v>88.3614451726746</v>
      </c>
      <c r="AM33" s="142" t="n">
        <f aca="false">AK33+AL33</f>
        <v>711.661445172675</v>
      </c>
      <c r="AN33" s="431" t="n">
        <v>0</v>
      </c>
      <c r="AO33" s="226"/>
      <c r="AP33" s="157" t="n">
        <f aca="false">795-X33</f>
        <v>464.020066317858</v>
      </c>
      <c r="AQ33" s="171" t="n">
        <f aca="false">78.558*(16429*1.9835+AC33*1.9835)/E33</f>
        <v>30.5128024961819</v>
      </c>
      <c r="AR33" s="143" t="n">
        <v>23</v>
      </c>
      <c r="AS33" s="232"/>
      <c r="AT33" s="110" t="n">
        <v>0</v>
      </c>
      <c r="AU33" s="56"/>
      <c r="AV33" s="233" t="n">
        <v>0</v>
      </c>
      <c r="AW33" s="226" t="n">
        <v>80</v>
      </c>
      <c r="AX33" s="226" t="n">
        <v>42</v>
      </c>
      <c r="AY33" s="85"/>
      <c r="AZ33" s="264" t="n">
        <f aca="false">SUM(N33,P33:U33)</f>
        <v>8.20006631785803</v>
      </c>
      <c r="BA33" s="193" t="n">
        <v>0.014</v>
      </c>
      <c r="BB33" s="265" t="n">
        <v>13257</v>
      </c>
    </row>
    <row r="34" customFormat="false" ht="12.95" hidden="false" customHeight="true" outlineLevel="0" collapsed="false">
      <c r="A34" s="192" t="n">
        <f aca="false">A33+1</f>
        <v>20</v>
      </c>
      <c r="B34" s="112" t="n">
        <v>6889.19</v>
      </c>
      <c r="C34" s="113" t="n">
        <v>245441</v>
      </c>
      <c r="D34" s="226" t="n">
        <f aca="false">C34-C33</f>
        <v>2106</v>
      </c>
      <c r="E34" s="113" t="n">
        <f aca="false">C34-152000</f>
        <v>93441</v>
      </c>
      <c r="F34" s="142" t="n">
        <f aca="false">D34/$D$2</f>
        <v>1061.75951600706</v>
      </c>
      <c r="G34" s="224" t="n">
        <v>1800</v>
      </c>
      <c r="H34" s="143" t="n">
        <v>0.862</v>
      </c>
      <c r="I34" s="142" t="n">
        <f aca="false">G34+H34</f>
        <v>1800.862</v>
      </c>
      <c r="J34" s="143" t="n">
        <f aca="false">IF(L34&gt;0,L34,0)</f>
        <v>0</v>
      </c>
      <c r="K34" s="142" t="n">
        <f aca="false">I34+J34</f>
        <v>1800.862</v>
      </c>
      <c r="L34" s="142" t="n">
        <f aca="false">F34-(I34-AK34)</f>
        <v>-85.9024839929421</v>
      </c>
      <c r="M34" s="262" t="n">
        <v>300</v>
      </c>
      <c r="N34" s="171" t="n">
        <v>0</v>
      </c>
      <c r="O34" s="142" t="n">
        <f aca="false">78.7*1.05</f>
        <v>82.635</v>
      </c>
      <c r="P34" s="171" t="n">
        <v>0</v>
      </c>
      <c r="Q34" s="346" t="n">
        <f aca="false">1521700/325851/1.9835*1.02</f>
        <v>2.40147433400227</v>
      </c>
      <c r="R34" s="138" t="n">
        <v>4.2</v>
      </c>
      <c r="S34" s="138" t="n">
        <f aca="false">((5.4*1.04)-T34)-4.2</f>
        <v>0.487007520000001</v>
      </c>
      <c r="T34" s="138" t="n">
        <f aca="false">(0.8427*1.06)*1.04</f>
        <v>0.92899248</v>
      </c>
      <c r="U34" s="365" t="n">
        <v>0</v>
      </c>
      <c r="V34" s="142" t="n">
        <v>50.2</v>
      </c>
      <c r="W34" s="142" t="n">
        <v>72.1</v>
      </c>
      <c r="X34" s="142" t="n">
        <f aca="false">M34-N34-O34-P34-Q34-R34-S34-T34-U34+V34+W34-AT34+AR34</f>
        <v>354.647525665998</v>
      </c>
      <c r="Y34" s="142" t="n">
        <f aca="false">X34-AO34</f>
        <v>354.647525665998</v>
      </c>
      <c r="Z34" s="113" t="n">
        <f aca="false">Z33+AP34</f>
        <v>22171.56231383</v>
      </c>
      <c r="AA34" s="142"/>
      <c r="AB34" s="113" t="n">
        <f aca="false">AB33+(Y34+AP34)*1.9835</f>
        <v>55085.6223991036</v>
      </c>
      <c r="AC34" s="113" t="n">
        <f aca="false">AC33-(AQ33/1.9835)</f>
        <v>1440.93640307478</v>
      </c>
      <c r="AD34" s="113"/>
      <c r="AE34" s="142" t="n">
        <v>202</v>
      </c>
      <c r="AF34" s="262" t="n">
        <v>1.7</v>
      </c>
      <c r="AG34" s="263" t="n">
        <v>1.3</v>
      </c>
      <c r="AH34" s="143" t="n">
        <v>28.9</v>
      </c>
      <c r="AI34" s="113" t="n">
        <f aca="false">AI33-AH34</f>
        <v>13183.2492311571</v>
      </c>
      <c r="AJ34" s="102"/>
      <c r="AK34" s="141" t="n">
        <f aca="false">N34+O34+P34+Q34+R34+S34+T34+U34+X34+AE34+AH34+AT34-AR34</f>
        <v>653.2</v>
      </c>
      <c r="AL34" s="142" t="n">
        <f aca="false">IF(L34&lt;0,L34*-1,0)</f>
        <v>85.9024839929421</v>
      </c>
      <c r="AM34" s="142" t="n">
        <f aca="false">AK34+AL34</f>
        <v>739.102483992942</v>
      </c>
      <c r="AN34" s="431" t="n">
        <v>0</v>
      </c>
      <c r="AO34" s="226"/>
      <c r="AP34" s="157" t="n">
        <f aca="false">795-X34</f>
        <v>440.352474334002</v>
      </c>
      <c r="AQ34" s="171" t="n">
        <f aca="false">59.993*(16429*1.9835+AC34*1.9835)/E34</f>
        <v>22.7571731488099</v>
      </c>
      <c r="AR34" s="143" t="n">
        <v>23</v>
      </c>
      <c r="AS34" s="232"/>
      <c r="AT34" s="110" t="n">
        <v>0</v>
      </c>
      <c r="AU34" s="56"/>
      <c r="AV34" s="233" t="n">
        <v>0</v>
      </c>
      <c r="AW34" s="226" t="n">
        <v>80</v>
      </c>
      <c r="AX34" s="226" t="n">
        <v>41</v>
      </c>
      <c r="AY34" s="85"/>
      <c r="AZ34" s="264" t="n">
        <f aca="false">SUM(N34,P34:U34)</f>
        <v>8.01747433400227</v>
      </c>
      <c r="BA34" s="193" t="n">
        <v>0.205</v>
      </c>
      <c r="BB34" s="265" t="n">
        <v>13426</v>
      </c>
    </row>
    <row r="35" customFormat="false" ht="12.95" hidden="false" customHeight="true" outlineLevel="0" collapsed="false">
      <c r="A35" s="192" t="n">
        <f aca="false">A34+1</f>
        <v>21</v>
      </c>
      <c r="B35" s="437" t="n">
        <v>6889.89</v>
      </c>
      <c r="C35" s="113" t="n">
        <v>247798</v>
      </c>
      <c r="D35" s="226" t="n">
        <f aca="false">C35-C34</f>
        <v>2357</v>
      </c>
      <c r="E35" s="113" t="n">
        <f aca="false">C35-152000</f>
        <v>95798</v>
      </c>
      <c r="F35" s="142" t="n">
        <f aca="false">D35/$D$2</f>
        <v>1188.30350390723</v>
      </c>
      <c r="G35" s="224" t="n">
        <v>1820</v>
      </c>
      <c r="H35" s="143" t="n">
        <v>0.659</v>
      </c>
      <c r="I35" s="142" t="n">
        <f aca="false">G35+H35</f>
        <v>1820.659</v>
      </c>
      <c r="J35" s="143" t="n">
        <f aca="false">IF(L35&gt;0,L35,0)</f>
        <v>39.6445039072346</v>
      </c>
      <c r="K35" s="142" t="n">
        <f aca="false">I35+J35</f>
        <v>1860.30350390723</v>
      </c>
      <c r="L35" s="142" t="n">
        <f aca="false">F35-(I35-AK35)</f>
        <v>39.6445039072346</v>
      </c>
      <c r="M35" s="262" t="n">
        <v>298</v>
      </c>
      <c r="N35" s="171" t="n">
        <v>0</v>
      </c>
      <c r="O35" s="142" t="n">
        <f aca="false">81.3*1.05</f>
        <v>85.365</v>
      </c>
      <c r="P35" s="171" t="n">
        <v>0</v>
      </c>
      <c r="Q35" s="346" t="n">
        <f aca="false">1442300/325851/1.9835*1.02</f>
        <v>2.2761690424732</v>
      </c>
      <c r="R35" s="138" t="n">
        <v>4.2</v>
      </c>
      <c r="S35" s="138" t="n">
        <f aca="false">((5.6*1.04)-T35)-4.2</f>
        <v>0.69500752</v>
      </c>
      <c r="T35" s="138" t="n">
        <f aca="false">(0.8427*1.06)*1.04</f>
        <v>0.92899248</v>
      </c>
      <c r="U35" s="365" t="n">
        <v>0</v>
      </c>
      <c r="V35" s="142" t="n">
        <v>50.3</v>
      </c>
      <c r="W35" s="142" t="n">
        <v>74.5</v>
      </c>
      <c r="X35" s="142" t="n">
        <f aca="false">M35-N35-O35-P35-Q35-R35-S35-T35-U35+V35+W35-AT35+AR35</f>
        <v>352.334830957527</v>
      </c>
      <c r="Y35" s="142" t="n">
        <f aca="false">X35-AO35</f>
        <v>352.334830957527</v>
      </c>
      <c r="Z35" s="113" t="n">
        <f aca="false">Z34+AP35</f>
        <v>22614.2274828725</v>
      </c>
      <c r="AA35" s="142"/>
      <c r="AB35" s="113" t="n">
        <f aca="false">AB34+(Y35+AP35)*1.9835</f>
        <v>56662.5048991036</v>
      </c>
      <c r="AC35" s="113" t="n">
        <f aca="false">AC34-(AQ34/1.9835)</f>
        <v>1429.46316226369</v>
      </c>
      <c r="AD35" s="113"/>
      <c r="AE35" s="142" t="n">
        <v>220</v>
      </c>
      <c r="AF35" s="262" t="n">
        <v>1.7</v>
      </c>
      <c r="AG35" s="263" t="n">
        <v>1.3</v>
      </c>
      <c r="AH35" s="143" t="n">
        <v>29.2</v>
      </c>
      <c r="AI35" s="113" t="n">
        <f aca="false">AI34-AH35</f>
        <v>13154.0492311571</v>
      </c>
      <c r="AJ35" s="102"/>
      <c r="AK35" s="141" t="n">
        <f aca="false">N35+O35+P35+Q35+R35+S35+T35+U35+X35+AE35+AH35+AT35-AR35</f>
        <v>672</v>
      </c>
      <c r="AL35" s="142" t="n">
        <f aca="false">IF(L35&lt;0,L35*-1,0)</f>
        <v>0</v>
      </c>
      <c r="AM35" s="142" t="n">
        <f aca="false">AK35+AL35</f>
        <v>672</v>
      </c>
      <c r="AN35" s="431" t="n">
        <v>0</v>
      </c>
      <c r="AO35" s="226"/>
      <c r="AP35" s="157" t="n">
        <f aca="false">795-X35</f>
        <v>442.665169042473</v>
      </c>
      <c r="AQ35" s="171" t="n">
        <f aca="false">40.072*(16429*1.9835+AC35*1.9835)/E35</f>
        <v>14.8170198765645</v>
      </c>
      <c r="AR35" s="143" t="n">
        <v>23</v>
      </c>
      <c r="AS35" s="232"/>
      <c r="AT35" s="110" t="n">
        <v>0</v>
      </c>
      <c r="AU35" s="56"/>
      <c r="AV35" s="233" t="n">
        <v>0</v>
      </c>
      <c r="AW35" s="226" t="n">
        <v>74</v>
      </c>
      <c r="AX35" s="226" t="n">
        <v>48</v>
      </c>
      <c r="AY35" s="85"/>
      <c r="AZ35" s="264" t="n">
        <f aca="false">SUM(N35,P35:U35)</f>
        <v>8.10016904247321</v>
      </c>
      <c r="BA35" s="193" t="n">
        <v>0.303</v>
      </c>
      <c r="BB35" s="265" t="n">
        <v>13523</v>
      </c>
    </row>
    <row r="36" customFormat="false" ht="12.95" hidden="false" customHeight="true" outlineLevel="0" collapsed="false">
      <c r="A36" s="192" t="n">
        <f aca="false">A35+1</f>
        <v>22</v>
      </c>
      <c r="B36" s="112" t="n">
        <v>6890.33</v>
      </c>
      <c r="C36" s="113" t="n">
        <v>249290</v>
      </c>
      <c r="D36" s="226" t="n">
        <f aca="false">C36-C35</f>
        <v>1492</v>
      </c>
      <c r="E36" s="113" t="n">
        <f aca="false">C36-152000</f>
        <v>97290</v>
      </c>
      <c r="F36" s="142" t="n">
        <f aca="false">D36/$D$2</f>
        <v>752.205697000252</v>
      </c>
      <c r="G36" s="224" t="n">
        <v>1550</v>
      </c>
      <c r="H36" s="143" t="n">
        <v>0.573</v>
      </c>
      <c r="I36" s="142" t="n">
        <f aca="false">G36+H36</f>
        <v>1550.573</v>
      </c>
      <c r="J36" s="143" t="n">
        <f aca="false">IF(L36&gt;0,L36,0)</f>
        <v>0</v>
      </c>
      <c r="K36" s="142" t="n">
        <f aca="false">I36+J36</f>
        <v>1550.573</v>
      </c>
      <c r="L36" s="142" t="n">
        <f aca="false">F36-(I36-AK36)</f>
        <v>-100.167302999748</v>
      </c>
      <c r="M36" s="262" t="n">
        <v>308</v>
      </c>
      <c r="N36" s="171" t="n">
        <v>0</v>
      </c>
      <c r="O36" s="142" t="n">
        <f aca="false">89.2*1.05</f>
        <v>93.66</v>
      </c>
      <c r="P36" s="171" t="n">
        <v>0</v>
      </c>
      <c r="Q36" s="346" t="n">
        <f aca="false">1360400/325851/1.9835*1.02</f>
        <v>2.14691837022849</v>
      </c>
      <c r="R36" s="138" t="n">
        <v>4.2</v>
      </c>
      <c r="S36" s="138" t="n">
        <f aca="false">((5.5*1.04)-T36)-4.2</f>
        <v>0.591007520000001</v>
      </c>
      <c r="T36" s="138" t="n">
        <f aca="false">(0.8427*1.06)*1.04</f>
        <v>0.92899248</v>
      </c>
      <c r="U36" s="365" t="n">
        <v>0</v>
      </c>
      <c r="V36" s="142" t="n">
        <v>50.8</v>
      </c>
      <c r="W36" s="142" t="n">
        <v>72.8</v>
      </c>
      <c r="X36" s="142" t="n">
        <f aca="false">M36-N36-O36-P36-Q36-R36-S36-T36-U36+V36+W36-AT36+AR36</f>
        <v>353.073081629771</v>
      </c>
      <c r="Y36" s="142" t="n">
        <f aca="false">X36-AO36</f>
        <v>353.073081629771</v>
      </c>
      <c r="Z36" s="113" t="n">
        <f aca="false">Z35+AP36</f>
        <v>23056.1544012427</v>
      </c>
      <c r="AA36" s="142"/>
      <c r="AB36" s="113" t="n">
        <f aca="false">AB35+(Y36+AP36)*1.9835</f>
        <v>58239.3873991036</v>
      </c>
      <c r="AC36" s="113" t="n">
        <f aca="false">AC35-(AQ35/1.9835)</f>
        <v>1421.99302368211</v>
      </c>
      <c r="AD36" s="113"/>
      <c r="AE36" s="142" t="n">
        <v>227</v>
      </c>
      <c r="AF36" s="262" t="n">
        <v>1.7</v>
      </c>
      <c r="AG36" s="263" t="n">
        <v>1.3</v>
      </c>
      <c r="AH36" s="143" t="n">
        <v>39.6</v>
      </c>
      <c r="AI36" s="113" t="n">
        <f aca="false">AI35-AH36</f>
        <v>13114.4492311571</v>
      </c>
      <c r="AJ36" s="102"/>
      <c r="AK36" s="141" t="n">
        <f aca="false">N36+O36+P36+Q36+R36+S36+T36+U36+X36+AE36+AH36+AT36-AR36</f>
        <v>698.2</v>
      </c>
      <c r="AL36" s="142" t="n">
        <f aca="false">IF(L36&lt;0,L36*-1,0)</f>
        <v>100.167302999748</v>
      </c>
      <c r="AM36" s="142" t="n">
        <f aca="false">AK36+AL36</f>
        <v>798.367302999748</v>
      </c>
      <c r="AN36" s="431" t="n">
        <v>0</v>
      </c>
      <c r="AO36" s="226"/>
      <c r="AP36" s="157" t="n">
        <f aca="false">795-X36</f>
        <v>441.926918370229</v>
      </c>
      <c r="AQ36" s="171" t="n">
        <f aca="false">38.296*(16429*1.9835+AC36*1.9835)/E36</f>
        <v>13.9373368362019</v>
      </c>
      <c r="AR36" s="143" t="n">
        <v>23</v>
      </c>
      <c r="AS36" s="232"/>
      <c r="AT36" s="110" t="n">
        <v>0</v>
      </c>
      <c r="AU36" s="56"/>
      <c r="AV36" s="233" t="n">
        <v>0</v>
      </c>
      <c r="AW36" s="226" t="n">
        <v>74</v>
      </c>
      <c r="AX36" s="226" t="n">
        <v>48</v>
      </c>
      <c r="AY36" s="85"/>
      <c r="AZ36" s="264" t="n">
        <f aca="false">SUM(N36,P36:U36)</f>
        <v>7.86691837022849</v>
      </c>
      <c r="BA36" s="193" t="n">
        <v>0.347</v>
      </c>
      <c r="BB36" s="265" t="n">
        <v>13643</v>
      </c>
    </row>
    <row r="37" customFormat="false" ht="12.95" hidden="false" customHeight="true" outlineLevel="0" collapsed="false">
      <c r="A37" s="192" t="n">
        <f aca="false">A36+1</f>
        <v>23</v>
      </c>
      <c r="B37" s="112" t="n">
        <v>6890.86</v>
      </c>
      <c r="C37" s="113" t="n">
        <v>251093</v>
      </c>
      <c r="D37" s="226" t="n">
        <f aca="false">C37-C36</f>
        <v>1803</v>
      </c>
      <c r="E37" s="113" t="n">
        <f aca="false">C37-152000</f>
        <v>99093</v>
      </c>
      <c r="F37" s="142" t="n">
        <f aca="false">D37/$D$2</f>
        <v>908.999243761028</v>
      </c>
      <c r="G37" s="224" t="n">
        <v>1530</v>
      </c>
      <c r="H37" s="143" t="n">
        <v>0.441</v>
      </c>
      <c r="I37" s="142" t="n">
        <f aca="false">G37+H37</f>
        <v>1530.441</v>
      </c>
      <c r="J37" s="143" t="n">
        <f aca="false">IF(L37&gt;0,L37,0)</f>
        <v>35.5582437610284</v>
      </c>
      <c r="K37" s="142" t="n">
        <f aca="false">I37+J37</f>
        <v>1565.99924376103</v>
      </c>
      <c r="L37" s="142" t="n">
        <f aca="false">F37-(I37-AK37)</f>
        <v>35.5582437610284</v>
      </c>
      <c r="M37" s="262" t="n">
        <v>259</v>
      </c>
      <c r="N37" s="171" t="n">
        <v>0</v>
      </c>
      <c r="O37" s="142" t="n">
        <f aca="false">57*1.05</f>
        <v>59.85</v>
      </c>
      <c r="P37" s="171" t="n">
        <v>0</v>
      </c>
      <c r="Q37" s="346" t="n">
        <f aca="false">1168900/325851/1.9835*1.02</f>
        <v>1.84470220740964</v>
      </c>
      <c r="R37" s="138" t="n">
        <v>4.2</v>
      </c>
      <c r="S37" s="138" t="n">
        <f aca="false">((5.7*1.04)-T37)-4.2</f>
        <v>0.720185920000001</v>
      </c>
      <c r="T37" s="138" t="n">
        <f aca="false">(0.9142*1.06)*1.04</f>
        <v>1.00781408</v>
      </c>
      <c r="U37" s="365" t="n">
        <v>0</v>
      </c>
      <c r="V37" s="142" t="n">
        <v>51.1</v>
      </c>
      <c r="W37" s="142" t="n">
        <v>72.7</v>
      </c>
      <c r="X37" s="142" t="n">
        <f aca="false">M37-N37-O37-P37-Q37-R37-S37-T37-U37+V37+W37-AT37+AR37</f>
        <v>338.17729779259</v>
      </c>
      <c r="Y37" s="142" t="n">
        <f aca="false">X37-AO37</f>
        <v>338.17729779259</v>
      </c>
      <c r="Z37" s="113" t="n">
        <f aca="false">Z36+AP37</f>
        <v>23512.9771034501</v>
      </c>
      <c r="AA37" s="142"/>
      <c r="AB37" s="113" t="n">
        <f aca="false">AB36+(Y37+AP37)*1.9835</f>
        <v>59816.2698991036</v>
      </c>
      <c r="AC37" s="113" t="n">
        <f aca="false">AC36-(AQ36/1.9835)</f>
        <v>1414.966385499</v>
      </c>
      <c r="AD37" s="113"/>
      <c r="AE37" s="142" t="n">
        <v>225</v>
      </c>
      <c r="AF37" s="262" t="n">
        <v>1.7</v>
      </c>
      <c r="AG37" s="263" t="n">
        <v>1.3</v>
      </c>
      <c r="AH37" s="143" t="n">
        <v>49.2</v>
      </c>
      <c r="AI37" s="113" t="n">
        <f aca="false">AI36-AH37</f>
        <v>13065.2492311571</v>
      </c>
      <c r="AJ37" s="102"/>
      <c r="AK37" s="141" t="n">
        <f aca="false">N37+O37+P37+Q37+R37+S37+T37+U37+X37+AE37+AH37+AT37-AR37</f>
        <v>657</v>
      </c>
      <c r="AL37" s="142" t="n">
        <f aca="false">IF(L37&lt;0,L37*-1,0)</f>
        <v>0</v>
      </c>
      <c r="AM37" s="142" t="n">
        <f aca="false">AK37+AL37</f>
        <v>657</v>
      </c>
      <c r="AN37" s="431" t="n">
        <v>0</v>
      </c>
      <c r="AO37" s="226"/>
      <c r="AP37" s="157" t="n">
        <f aca="false">795-X37</f>
        <v>456.82270220741</v>
      </c>
      <c r="AQ37" s="171" t="n">
        <f aca="false">0*(16429*1.9835+AC37*1.9835)/E37</f>
        <v>0</v>
      </c>
      <c r="AR37" s="143" t="n">
        <v>23</v>
      </c>
      <c r="AS37" s="232"/>
      <c r="AT37" s="110" t="n">
        <v>0</v>
      </c>
      <c r="AU37" s="56"/>
      <c r="AV37" s="233" t="n">
        <v>0.33</v>
      </c>
      <c r="AW37" s="226" t="n">
        <v>68</v>
      </c>
      <c r="AX37" s="226" t="n">
        <v>45</v>
      </c>
      <c r="AY37" s="85"/>
      <c r="AZ37" s="264" t="n">
        <f aca="false">SUM(N37,P37:U37)</f>
        <v>7.77270220740964</v>
      </c>
      <c r="BA37" s="193" t="n">
        <v>0.282</v>
      </c>
      <c r="BB37" s="265" t="n">
        <v>13763</v>
      </c>
    </row>
    <row r="38" customFormat="false" ht="12.95" hidden="false" customHeight="true" outlineLevel="0" collapsed="false">
      <c r="A38" s="192" t="n">
        <f aca="false">A37+1</f>
        <v>24</v>
      </c>
      <c r="B38" s="112" t="n">
        <v>6891.34</v>
      </c>
      <c r="C38" s="113" t="n">
        <v>252736</v>
      </c>
      <c r="D38" s="226" t="n">
        <f aca="false">C38-C37</f>
        <v>1643</v>
      </c>
      <c r="E38" s="113" t="n">
        <f aca="false">C38-152000</f>
        <v>100736</v>
      </c>
      <c r="F38" s="142" t="n">
        <f aca="false">D38/$D$2</f>
        <v>828.333753466095</v>
      </c>
      <c r="G38" s="224" t="n">
        <v>1440</v>
      </c>
      <c r="H38" s="143" t="n">
        <v>0.445</v>
      </c>
      <c r="I38" s="142" t="n">
        <f aca="false">G38+H38</f>
        <v>1440.445</v>
      </c>
      <c r="J38" s="143" t="n">
        <f aca="false">IF(L38&gt;0,L38,0)</f>
        <v>25.5887534660952</v>
      </c>
      <c r="K38" s="142" t="n">
        <f aca="false">I38+J38</f>
        <v>1466.0337534661</v>
      </c>
      <c r="L38" s="142" t="n">
        <f aca="false">F38-(I38-AK38)</f>
        <v>25.5887534660952</v>
      </c>
      <c r="M38" s="262" t="n">
        <v>252</v>
      </c>
      <c r="N38" s="171" t="n">
        <v>0</v>
      </c>
      <c r="O38" s="142" t="n">
        <f aca="false">42*1.05</f>
        <v>44.1</v>
      </c>
      <c r="P38" s="171" t="n">
        <v>0</v>
      </c>
      <c r="Q38" s="346" t="n">
        <f aca="false">1077800/325851/1.9835*1.02</f>
        <v>1.70093253413133</v>
      </c>
      <c r="R38" s="138" t="n">
        <v>4.2</v>
      </c>
      <c r="S38" s="138" t="n">
        <f aca="false">((5.3*1.04)-T38)-4.2</f>
        <v>0.304185919999999</v>
      </c>
      <c r="T38" s="138" t="n">
        <f aca="false">(0.9142*1.06)*1.04</f>
        <v>1.00781408</v>
      </c>
      <c r="U38" s="365" t="n">
        <v>0</v>
      </c>
      <c r="V38" s="142" t="n">
        <v>51.4</v>
      </c>
      <c r="W38" s="142" t="n">
        <v>71.4</v>
      </c>
      <c r="X38" s="142" t="n">
        <f aca="false">M38-N38-O38-P38-Q38-R38-S38-T38-U38+V38+W38-AT38+AR38</f>
        <v>346.487067465869</v>
      </c>
      <c r="Y38" s="142" t="n">
        <f aca="false">X38-AO38</f>
        <v>346.487067465869</v>
      </c>
      <c r="Z38" s="113" t="n">
        <f aca="false">Z37+AP38</f>
        <v>23961.4900359843</v>
      </c>
      <c r="AA38" s="142"/>
      <c r="AB38" s="113" t="n">
        <f aca="false">AB37+(Y38+AP38)*1.9835</f>
        <v>61393.1523991036</v>
      </c>
      <c r="AC38" s="113" t="n">
        <f aca="false">AC37-(AQ37/1.9835)</f>
        <v>1414.966385499</v>
      </c>
      <c r="AD38" s="113"/>
      <c r="AE38" s="142" t="n">
        <v>213</v>
      </c>
      <c r="AF38" s="262" t="n">
        <v>1.7</v>
      </c>
      <c r="AG38" s="263" t="n">
        <v>1.3</v>
      </c>
      <c r="AH38" s="143" t="n">
        <v>49.9</v>
      </c>
      <c r="AI38" s="113" t="n">
        <f aca="false">AI37-AH38</f>
        <v>13015.3492311571</v>
      </c>
      <c r="AJ38" s="102"/>
      <c r="AK38" s="141" t="n">
        <f aca="false">N38+O38+P38+Q38+R38+S38+T38+U38+X38+AE38+AH38+AT38-AR38</f>
        <v>637.7</v>
      </c>
      <c r="AL38" s="142" t="n">
        <f aca="false">IF(L38&lt;0,L38*-1,0)</f>
        <v>0</v>
      </c>
      <c r="AM38" s="142" t="n">
        <f aca="false">AK38+AL38</f>
        <v>637.7</v>
      </c>
      <c r="AN38" s="431" t="n">
        <v>0</v>
      </c>
      <c r="AO38" s="226"/>
      <c r="AP38" s="157" t="n">
        <f aca="false">795-X38</f>
        <v>448.512932534131</v>
      </c>
      <c r="AQ38" s="171" t="n">
        <f aca="false">5.98*(16429*1.9835+AC38*1.9835)/E38</f>
        <v>2.10106787848744</v>
      </c>
      <c r="AR38" s="143" t="n">
        <v>23</v>
      </c>
      <c r="AS38" s="232"/>
      <c r="AT38" s="110" t="n">
        <v>0</v>
      </c>
      <c r="AU38" s="56"/>
      <c r="AV38" s="233" t="n">
        <v>0.1</v>
      </c>
      <c r="AW38" s="226" t="n">
        <v>67</v>
      </c>
      <c r="AX38" s="226" t="n">
        <v>37</v>
      </c>
      <c r="AY38" s="85"/>
      <c r="AZ38" s="264" t="n">
        <f aca="false">SUM(N38,P38:U38)</f>
        <v>7.21293253413133</v>
      </c>
      <c r="BA38" s="193" t="n">
        <v>0.225</v>
      </c>
      <c r="BB38" s="265" t="n">
        <v>13884</v>
      </c>
    </row>
    <row r="39" customFormat="false" ht="12.95" hidden="false" customHeight="true" outlineLevel="0" collapsed="false">
      <c r="A39" s="192" t="n">
        <f aca="false">A38+1</f>
        <v>25</v>
      </c>
      <c r="B39" s="112" t="n">
        <v>6892.02</v>
      </c>
      <c r="C39" s="113" t="n">
        <v>255072</v>
      </c>
      <c r="D39" s="226" t="n">
        <f aca="false">C39-C38</f>
        <v>2336</v>
      </c>
      <c r="E39" s="113" t="n">
        <f aca="false">C39-152000</f>
        <v>103072</v>
      </c>
      <c r="F39" s="142" t="n">
        <f aca="false">D39/$D$2</f>
        <v>1177.71615830602</v>
      </c>
      <c r="G39" s="224" t="n">
        <v>1400</v>
      </c>
      <c r="H39" s="143" t="n">
        <v>0.915</v>
      </c>
      <c r="I39" s="142" t="n">
        <f aca="false">G39+H39</f>
        <v>1400.915</v>
      </c>
      <c r="J39" s="143" t="n">
        <f aca="false">IF(L39&gt;0,L39,0)</f>
        <v>164.601158306025</v>
      </c>
      <c r="K39" s="142" t="n">
        <f aca="false">I39+J39</f>
        <v>1565.51615830602</v>
      </c>
      <c r="L39" s="142" t="n">
        <f aca="false">F39-(I39-AK39)</f>
        <v>164.601158306025</v>
      </c>
      <c r="M39" s="262" t="n">
        <v>160</v>
      </c>
      <c r="N39" s="171" t="n">
        <v>0</v>
      </c>
      <c r="O39" s="142" t="n">
        <f aca="false">22.6*1.05</f>
        <v>23.73</v>
      </c>
      <c r="P39" s="171" t="n">
        <v>0</v>
      </c>
      <c r="Q39" s="346" t="n">
        <f aca="false">986700/325851/1.9835*1.02</f>
        <v>1.55716286085302</v>
      </c>
      <c r="R39" s="138" t="n">
        <v>0</v>
      </c>
      <c r="S39" s="138" t="n">
        <v>0</v>
      </c>
      <c r="T39" s="138" t="n">
        <f aca="false">(0.9142*1.06)*1.04</f>
        <v>1.00781408</v>
      </c>
      <c r="U39" s="365" t="n">
        <v>0</v>
      </c>
      <c r="V39" s="142" t="n">
        <v>51.9</v>
      </c>
      <c r="W39" s="142" t="n">
        <v>65.7</v>
      </c>
      <c r="X39" s="142" t="n">
        <f aca="false">M39-N39-O39-P39-Q39-R39-S39-T39-U39+V39+W39-AT39+AR39</f>
        <v>274.305023059147</v>
      </c>
      <c r="Y39" s="142" t="n">
        <f aca="false">X39-AO39</f>
        <v>274.305023059147</v>
      </c>
      <c r="Z39" s="113" t="n">
        <f aca="false">Z38+AP39</f>
        <v>24482.1850129251</v>
      </c>
      <c r="AA39" s="142"/>
      <c r="AB39" s="113" t="n">
        <f aca="false">AB38+(Y39+AP39)*1.9835</f>
        <v>62970.0348991036</v>
      </c>
      <c r="AC39" s="113" t="n">
        <f aca="false">AC38-(AQ38/1.9835)</f>
        <v>1413.90711255799</v>
      </c>
      <c r="AD39" s="113"/>
      <c r="AE39" s="142" t="n">
        <v>60</v>
      </c>
      <c r="AF39" s="262" t="n">
        <v>1.7</v>
      </c>
      <c r="AG39" s="263" t="n">
        <v>1.3</v>
      </c>
      <c r="AH39" s="143" t="n">
        <v>50.2</v>
      </c>
      <c r="AI39" s="113" t="n">
        <f aca="false">AI38-AH39</f>
        <v>12965.1492311571</v>
      </c>
      <c r="AJ39" s="102"/>
      <c r="AK39" s="141" t="n">
        <f aca="false">N39+O39+P39+Q39+R39+S39+T39+U39+X39+AE39+AH39+AT39-AR39</f>
        <v>387.8</v>
      </c>
      <c r="AL39" s="142" t="n">
        <f aca="false">IF(L39&lt;0,L39*-1,0)</f>
        <v>0</v>
      </c>
      <c r="AM39" s="142" t="n">
        <f aca="false">AK39+AL39</f>
        <v>387.8</v>
      </c>
      <c r="AN39" s="431" t="n">
        <v>0</v>
      </c>
      <c r="AO39" s="226"/>
      <c r="AP39" s="157" t="n">
        <f aca="false">795-X39</f>
        <v>520.694976940853</v>
      </c>
      <c r="AQ39" s="171" t="n">
        <f aca="false">0*(16429*1.9835+AC39*1.9835)/E39</f>
        <v>0</v>
      </c>
      <c r="AR39" s="143" t="n">
        <v>23</v>
      </c>
      <c r="AS39" s="232"/>
      <c r="AT39" s="110" t="n">
        <v>0</v>
      </c>
      <c r="AU39" s="56"/>
      <c r="AV39" s="233" t="n">
        <v>0.65</v>
      </c>
      <c r="AW39" s="226" t="n">
        <v>57</v>
      </c>
      <c r="AX39" s="226" t="n">
        <v>36</v>
      </c>
      <c r="AY39" s="85"/>
      <c r="AZ39" s="264" t="n">
        <f aca="false">SUM(N39,P39:U39)</f>
        <v>2.56497694085302</v>
      </c>
      <c r="BA39" s="193" t="n">
        <v>0.569</v>
      </c>
      <c r="BB39" s="265" t="n">
        <v>14052</v>
      </c>
    </row>
    <row r="40" customFormat="false" ht="12.95" hidden="false" customHeight="true" outlineLevel="0" collapsed="false">
      <c r="A40" s="192" t="n">
        <f aca="false">A39+1</f>
        <v>26</v>
      </c>
      <c r="B40" s="112" t="n">
        <v>6892.59</v>
      </c>
      <c r="C40" s="113" t="n">
        <v>257048</v>
      </c>
      <c r="D40" s="226" t="n">
        <f aca="false">C40-C39</f>
        <v>1976</v>
      </c>
      <c r="E40" s="113" t="n">
        <f aca="false">C40-152000</f>
        <v>105048</v>
      </c>
      <c r="F40" s="142" t="n">
        <f aca="false">D40/$D$2</f>
        <v>996.218805142425</v>
      </c>
      <c r="G40" s="224" t="n">
        <v>1380</v>
      </c>
      <c r="H40" s="143" t="n">
        <v>0.929</v>
      </c>
      <c r="I40" s="142" t="n">
        <f aca="false">G40+H40</f>
        <v>1380.929</v>
      </c>
      <c r="J40" s="143" t="n">
        <f aca="false">IF(L40&gt;0,L40,0)</f>
        <v>0</v>
      </c>
      <c r="K40" s="142" t="n">
        <f aca="false">I40+J40</f>
        <v>1380.929</v>
      </c>
      <c r="L40" s="142" t="n">
        <f aca="false">F40-(I40-AK40)</f>
        <v>-2.11019485757504</v>
      </c>
      <c r="M40" s="262" t="n">
        <v>122</v>
      </c>
      <c r="N40" s="171" t="n">
        <v>0</v>
      </c>
      <c r="O40" s="142" t="n">
        <f aca="false">0*1.05</f>
        <v>0</v>
      </c>
      <c r="P40" s="171" t="n">
        <v>0</v>
      </c>
      <c r="Q40" s="346" t="n">
        <f aca="false">1334700/325851/1.9835*1.02</f>
        <v>2.1063598564716</v>
      </c>
      <c r="R40" s="138" t="n">
        <f aca="false">(3.7*1.04)-T40</f>
        <v>2.84018592</v>
      </c>
      <c r="S40" s="138" t="n">
        <v>0</v>
      </c>
      <c r="T40" s="138" t="n">
        <f aca="false">(0.9142*1.06)*1.04</f>
        <v>1.00781408</v>
      </c>
      <c r="U40" s="365" t="n">
        <v>0</v>
      </c>
      <c r="V40" s="142" t="n">
        <v>51.2</v>
      </c>
      <c r="W40" s="142" t="n">
        <v>63</v>
      </c>
      <c r="X40" s="142" t="n">
        <f aca="false">M40-N40-O40-P40-Q40-R40-S40-T40-U40+V40+W40-AT40+AR40</f>
        <v>253.245640143528</v>
      </c>
      <c r="Y40" s="142" t="n">
        <f aca="false">X40-AO40</f>
        <v>253.245640143528</v>
      </c>
      <c r="Z40" s="113" t="n">
        <f aca="false">Z39+AP40</f>
        <v>25023.9393727816</v>
      </c>
      <c r="AA40" s="142"/>
      <c r="AB40" s="113" t="n">
        <f aca="false">AB39+(Y40+AP40)*1.9835</f>
        <v>64546.9173991036</v>
      </c>
      <c r="AC40" s="113" t="n">
        <f aca="false">AC39-(AQ39/1.9835)</f>
        <v>1413.90711255799</v>
      </c>
      <c r="AD40" s="113"/>
      <c r="AE40" s="142" t="n">
        <v>96.4</v>
      </c>
      <c r="AF40" s="262" t="n">
        <v>1.7</v>
      </c>
      <c r="AG40" s="263" t="n">
        <v>1.3</v>
      </c>
      <c r="AH40" s="143" t="n">
        <v>50</v>
      </c>
      <c r="AI40" s="113" t="n">
        <f aca="false">AI39-AH40</f>
        <v>12915.1492311571</v>
      </c>
      <c r="AJ40" s="102"/>
      <c r="AK40" s="141" t="n">
        <f aca="false">N40+O40+P40+Q40+R40+S40+T40+U40+X40+AE40+AH40+AT40-AR40</f>
        <v>382.6</v>
      </c>
      <c r="AL40" s="142" t="n">
        <f aca="false">IF(L40&lt;0,L40*-1,0)</f>
        <v>2.11019485757504</v>
      </c>
      <c r="AM40" s="142" t="n">
        <f aca="false">AK40+AL40</f>
        <v>384.710194857575</v>
      </c>
      <c r="AN40" s="431" t="n">
        <v>0</v>
      </c>
      <c r="AO40" s="226"/>
      <c r="AP40" s="157" t="n">
        <f aca="false">795-X40</f>
        <v>541.754359856472</v>
      </c>
      <c r="AQ40" s="171" t="n">
        <f aca="false">33.311*(16429*1.9835+AC40*1.9835)/E40</f>
        <v>11.222708988769</v>
      </c>
      <c r="AR40" s="143" t="n">
        <v>23</v>
      </c>
      <c r="AS40" s="232"/>
      <c r="AT40" s="110" t="n">
        <v>0</v>
      </c>
      <c r="AU40" s="56"/>
      <c r="AV40" s="233" t="n">
        <v>0</v>
      </c>
      <c r="AW40" s="226" t="n">
        <v>75</v>
      </c>
      <c r="AX40" s="226" t="n">
        <v>38</v>
      </c>
      <c r="AY40" s="85"/>
      <c r="AZ40" s="264" t="n">
        <f aca="false">SUM(N40,P40:U40)</f>
        <v>5.9543598564716</v>
      </c>
      <c r="BA40" s="193" t="n">
        <v>0.469</v>
      </c>
      <c r="BB40" s="265" t="n">
        <v>14242</v>
      </c>
    </row>
    <row r="41" customFormat="false" ht="12.95" hidden="false" customHeight="true" outlineLevel="0" collapsed="false">
      <c r="A41" s="192" t="n">
        <f aca="false">A40+1</f>
        <v>27</v>
      </c>
      <c r="B41" s="112" t="n">
        <v>6893.16</v>
      </c>
      <c r="C41" s="113" t="n">
        <v>259029</v>
      </c>
      <c r="D41" s="226" t="n">
        <f aca="false">C41-C40</f>
        <v>1981</v>
      </c>
      <c r="E41" s="113" t="n">
        <f aca="false">C41-152000</f>
        <v>107029</v>
      </c>
      <c r="F41" s="142" t="n">
        <f aca="false">D41/$D$2</f>
        <v>998.739601714142</v>
      </c>
      <c r="G41" s="224" t="n">
        <v>1420</v>
      </c>
      <c r="H41" s="143" t="n">
        <v>0.969</v>
      </c>
      <c r="I41" s="142" t="n">
        <f aca="false">G41+H41</f>
        <v>1420.969</v>
      </c>
      <c r="J41" s="143" t="n">
        <f aca="false">IF(L41&gt;0,L41,0)</f>
        <v>61.2706017141416</v>
      </c>
      <c r="K41" s="142" t="n">
        <f aca="false">I41+J41</f>
        <v>1482.23960171414</v>
      </c>
      <c r="L41" s="142" t="n">
        <f aca="false">F41-(I41-AK41)</f>
        <v>61.2706017141416</v>
      </c>
      <c r="M41" s="262" t="n">
        <v>170</v>
      </c>
      <c r="N41" s="171" t="n">
        <v>0</v>
      </c>
      <c r="O41" s="142" t="n">
        <f aca="false">0*1.05</f>
        <v>0</v>
      </c>
      <c r="P41" s="171" t="n">
        <v>0</v>
      </c>
      <c r="Q41" s="346" t="n">
        <f aca="false">1241300/325851/1.9835*1.02</f>
        <v>1.95896043293489</v>
      </c>
      <c r="R41" s="138" t="n">
        <v>4.2</v>
      </c>
      <c r="S41" s="138" t="n">
        <f aca="false">((5.6*1.04)-T41)-4.2</f>
        <v>0.61618592</v>
      </c>
      <c r="T41" s="138" t="n">
        <f aca="false">(0.9142*1.06)*1.04</f>
        <v>1.00781408</v>
      </c>
      <c r="U41" s="365" t="n">
        <v>0</v>
      </c>
      <c r="V41" s="142" t="n">
        <v>51</v>
      </c>
      <c r="W41" s="142" t="n">
        <v>65.5</v>
      </c>
      <c r="X41" s="142" t="n">
        <f aca="false">M41-N41-O41-P41-Q41-R41-S41-T41-U41+V41+W41-AT41+AR41</f>
        <v>301.717039567065</v>
      </c>
      <c r="Y41" s="142" t="n">
        <f aca="false">X41-AO41</f>
        <v>301.717039567065</v>
      </c>
      <c r="Z41" s="113" t="n">
        <f aca="false">Z40+AP41</f>
        <v>25517.2223332145</v>
      </c>
      <c r="AA41" s="142"/>
      <c r="AB41" s="113" t="n">
        <f aca="false">AB40+(Y41+AP41)*1.9835</f>
        <v>66123.7998991036</v>
      </c>
      <c r="AC41" s="113" t="n">
        <f aca="false">AC40-(AQ40/1.9835)</f>
        <v>1408.24907928914</v>
      </c>
      <c r="AD41" s="113"/>
      <c r="AE41" s="142" t="n">
        <v>147</v>
      </c>
      <c r="AF41" s="262" t="n">
        <v>1.7</v>
      </c>
      <c r="AG41" s="263" t="n">
        <v>1.3</v>
      </c>
      <c r="AH41" s="143" t="n">
        <v>50</v>
      </c>
      <c r="AI41" s="113" t="n">
        <f aca="false">AI40-AH41</f>
        <v>12865.1492311571</v>
      </c>
      <c r="AJ41" s="102"/>
      <c r="AK41" s="141" t="n">
        <f aca="false">N41+O41+P41+Q41+R41+S41+T41+U41+X41+AE41+AH41+AT41-AR41</f>
        <v>483.5</v>
      </c>
      <c r="AL41" s="142" t="n">
        <f aca="false">IF(L41&lt;0,L41*-1,0)</f>
        <v>0</v>
      </c>
      <c r="AM41" s="142" t="n">
        <f aca="false">AK41+AL41</f>
        <v>483.5</v>
      </c>
      <c r="AN41" s="431" t="n">
        <v>0</v>
      </c>
      <c r="AO41" s="226"/>
      <c r="AP41" s="157" t="n">
        <f aca="false">795-X41</f>
        <v>493.282960432935</v>
      </c>
      <c r="AQ41" s="171" t="n">
        <f aca="false">74.341*(16429*1.9835+AC41*1.9835)/E41</f>
        <v>24.5746314101702</v>
      </c>
      <c r="AR41" s="143" t="n">
        <v>23</v>
      </c>
      <c r="AS41" s="232"/>
      <c r="AT41" s="110" t="n">
        <v>0</v>
      </c>
      <c r="AU41" s="56"/>
      <c r="AV41" s="233" t="n">
        <v>0</v>
      </c>
      <c r="AW41" s="226" t="n">
        <v>84</v>
      </c>
      <c r="AX41" s="226" t="n">
        <v>45</v>
      </c>
      <c r="AY41" s="85"/>
      <c r="AZ41" s="264" t="n">
        <f aca="false">SUM(N41,P41:U41)</f>
        <v>7.78296043293489</v>
      </c>
      <c r="BA41" s="193" t="n">
        <v>0.487</v>
      </c>
      <c r="BB41" s="265" t="n">
        <v>14341</v>
      </c>
    </row>
    <row r="42" customFormat="false" ht="12.95" hidden="false" customHeight="true" outlineLevel="0" collapsed="false">
      <c r="A42" s="192" t="n">
        <v>28</v>
      </c>
      <c r="B42" s="112" t="n">
        <v>6893.87</v>
      </c>
      <c r="C42" s="113" t="n">
        <v>261512</v>
      </c>
      <c r="D42" s="226" t="n">
        <f aca="false">C42-C41</f>
        <v>2483</v>
      </c>
      <c r="E42" s="113" t="n">
        <f aca="false">C42-152000</f>
        <v>109512</v>
      </c>
      <c r="F42" s="142" t="n">
        <f aca="false">D42/$D$2</f>
        <v>1251.82757751449</v>
      </c>
      <c r="G42" s="224" t="n">
        <v>1790</v>
      </c>
      <c r="H42" s="143" t="n">
        <v>0.882</v>
      </c>
      <c r="I42" s="142" t="n">
        <f aca="false">G42+H42</f>
        <v>1790.882</v>
      </c>
      <c r="J42" s="143" t="n">
        <f aca="false">IF(L42&gt;0,L42,0)</f>
        <v>0</v>
      </c>
      <c r="K42" s="142" t="n">
        <f aca="false">I42+J42</f>
        <v>1790.882</v>
      </c>
      <c r="L42" s="142" t="n">
        <f aca="false">F42-(I42-AK42)</f>
        <v>-18.7544224855055</v>
      </c>
      <c r="M42" s="262" t="n">
        <v>196</v>
      </c>
      <c r="N42" s="171" t="n">
        <v>0</v>
      </c>
      <c r="O42" s="142" t="n">
        <f aca="false">3.67*1.05</f>
        <v>3.8535</v>
      </c>
      <c r="P42" s="171" t="n">
        <v>0</v>
      </c>
      <c r="Q42" s="346" t="n">
        <f aca="false">1539200/325851/1.9835*1.02</f>
        <v>2.42909199901183</v>
      </c>
      <c r="R42" s="138" t="n">
        <v>4.2</v>
      </c>
      <c r="S42" s="138" t="n">
        <f aca="false">((5.7*1.04)-T42)-4.2</f>
        <v>0.720185920000001</v>
      </c>
      <c r="T42" s="138" t="n">
        <f aca="false">(0.9142*1.06)*1.04</f>
        <v>1.00781408</v>
      </c>
      <c r="U42" s="365" t="n">
        <v>0</v>
      </c>
      <c r="V42" s="142" t="n">
        <v>51</v>
      </c>
      <c r="W42" s="142" t="n">
        <v>68.3</v>
      </c>
      <c r="X42" s="142" t="n">
        <f aca="false">M42-N42-O42-P42-Q42-R42-S42-T42-U42+V42+W42-AT42+AR42</f>
        <v>326.089408000988</v>
      </c>
      <c r="Y42" s="142" t="n">
        <f aca="false">X42-AO42</f>
        <v>326.089408000988</v>
      </c>
      <c r="Z42" s="113" t="n">
        <f aca="false">Z41+AP42</f>
        <v>25986.1329252135</v>
      </c>
      <c r="AA42" s="142"/>
      <c r="AB42" s="113" t="n">
        <f aca="false">AB41+(Y42+AP42)*1.9835</f>
        <v>67700.6823991036</v>
      </c>
      <c r="AC42" s="113" t="n">
        <f aca="false">AC41-(AQ41/1.9835)</f>
        <v>1395.85954996715</v>
      </c>
      <c r="AD42" s="113"/>
      <c r="AE42" s="142" t="n">
        <v>155</v>
      </c>
      <c r="AF42" s="262" t="n">
        <v>1.7</v>
      </c>
      <c r="AG42" s="263" t="n">
        <v>1.3</v>
      </c>
      <c r="AH42" s="143" t="n">
        <v>50</v>
      </c>
      <c r="AI42" s="113" t="n">
        <f aca="false">AI41-AH42</f>
        <v>12815.1492311571</v>
      </c>
      <c r="AJ42" s="102"/>
      <c r="AK42" s="141" t="n">
        <f aca="false">N42+O42+P42+Q42+R42+S42+T42+U42+X42+AE42+AH42+AT42-AR42</f>
        <v>520.3</v>
      </c>
      <c r="AL42" s="142" t="n">
        <f aca="false">IF(L42&lt;0,L42*-1,0)</f>
        <v>18.7544224855055</v>
      </c>
      <c r="AM42" s="142" t="n">
        <f aca="false">AK42+AL42</f>
        <v>539.054422485506</v>
      </c>
      <c r="AN42" s="431" t="n">
        <v>0</v>
      </c>
      <c r="AO42" s="226"/>
      <c r="AP42" s="157" t="n">
        <f aca="false">795-X42</f>
        <v>468.910591999012</v>
      </c>
      <c r="AQ42" s="171" t="n">
        <f aca="false">63.117*(16429*1.9835+AC42*1.9835)/E42</f>
        <v>20.3771273288498</v>
      </c>
      <c r="AR42" s="143" t="n">
        <v>23</v>
      </c>
      <c r="AS42" s="232"/>
      <c r="AT42" s="110" t="n">
        <v>0</v>
      </c>
      <c r="AU42" s="56"/>
      <c r="AV42" s="233" t="n">
        <v>0</v>
      </c>
      <c r="AW42" s="226" t="n">
        <v>89</v>
      </c>
      <c r="AX42" s="226" t="n">
        <v>50</v>
      </c>
      <c r="AY42" s="85"/>
      <c r="AZ42" s="264" t="n">
        <f aca="false">SUM(N42,P42:U42)</f>
        <v>8.35709199901183</v>
      </c>
      <c r="BA42" s="193" t="n">
        <v>0.487</v>
      </c>
      <c r="BB42" s="265" t="n">
        <v>14449</v>
      </c>
    </row>
    <row r="43" customFormat="false" ht="12.95" hidden="false" customHeight="true" outlineLevel="0" collapsed="false">
      <c r="A43" s="192" t="n">
        <v>29</v>
      </c>
      <c r="B43" s="112" t="n">
        <v>6894.67</v>
      </c>
      <c r="C43" s="113" t="n">
        <v>264331</v>
      </c>
      <c r="D43" s="226" t="n">
        <f aca="false">C43-C42</f>
        <v>2819</v>
      </c>
      <c r="E43" s="113" t="n">
        <f aca="false">C43-152000</f>
        <v>112331</v>
      </c>
      <c r="F43" s="142" t="n">
        <f aca="false">D43/$D$2</f>
        <v>1421.22510713385</v>
      </c>
      <c r="G43" s="224" t="n">
        <v>2030</v>
      </c>
      <c r="H43" s="143" t="n">
        <v>0.676</v>
      </c>
      <c r="I43" s="142" t="n">
        <f aca="false">G43+H43</f>
        <v>2030.676</v>
      </c>
      <c r="J43" s="143" t="n">
        <f aca="false">IF(L43&gt;0,L43,0)</f>
        <v>21.9491071338543</v>
      </c>
      <c r="K43" s="142" t="n">
        <f aca="false">I43+J43</f>
        <v>2052.62510713385</v>
      </c>
      <c r="L43" s="142" t="n">
        <f aca="false">F43-(I43-AK43)</f>
        <v>21.9491071338543</v>
      </c>
      <c r="M43" s="262" t="n">
        <v>253</v>
      </c>
      <c r="N43" s="171" t="n">
        <v>0</v>
      </c>
      <c r="O43" s="142" t="n">
        <f aca="false">55.5*1.05</f>
        <v>58.275</v>
      </c>
      <c r="P43" s="171" t="n">
        <v>0</v>
      </c>
      <c r="Q43" s="346" t="n">
        <f aca="false">1357100/325851/1.9835*1.02</f>
        <v>2.14171046768383</v>
      </c>
      <c r="R43" s="138" t="n">
        <v>4.2</v>
      </c>
      <c r="S43" s="138" t="n">
        <f aca="false">((6.2*1.04)-T43)-4.2</f>
        <v>1.24018592</v>
      </c>
      <c r="T43" s="138" t="n">
        <f aca="false">(0.9142*1.06)*1.04</f>
        <v>1.00781408</v>
      </c>
      <c r="U43" s="365" t="n">
        <v>0</v>
      </c>
      <c r="V43" s="142" t="n">
        <v>51</v>
      </c>
      <c r="W43" s="142" t="n">
        <v>68.1</v>
      </c>
      <c r="X43" s="142" t="n">
        <f aca="false">M43-N43-O43-P43-Q43-R43-S43-T43-U43+V43+W43-AT43+AR43</f>
        <v>328.235289532316</v>
      </c>
      <c r="Y43" s="142" t="n">
        <f aca="false">X43-AO43</f>
        <v>328.235289532316</v>
      </c>
      <c r="Z43" s="113" t="n">
        <f aca="false">Z42+AP43</f>
        <v>26452.8976356812</v>
      </c>
      <c r="AA43" s="142"/>
      <c r="AB43" s="113" t="n">
        <f aca="false">AB42+(Y43+AP43)*1.9835</f>
        <v>69277.5648991036</v>
      </c>
      <c r="AC43" s="113" t="n">
        <f aca="false">AC42-(AQ42/1.9835)</f>
        <v>1385.58623142475</v>
      </c>
      <c r="AD43" s="113"/>
      <c r="AE43" s="142" t="n">
        <v>209</v>
      </c>
      <c r="AF43" s="262" t="n">
        <v>1.7</v>
      </c>
      <c r="AG43" s="263" t="n">
        <v>1.3</v>
      </c>
      <c r="AH43" s="143" t="n">
        <v>50.3</v>
      </c>
      <c r="AI43" s="113" t="n">
        <f aca="false">AI42-AH43</f>
        <v>12764.8492311571</v>
      </c>
      <c r="AJ43" s="102"/>
      <c r="AK43" s="141" t="n">
        <f aca="false">N43+O43+P43+Q43+R43+S43+T43+U43+X43+AE43+AH43+AT43-AR43</f>
        <v>631.4</v>
      </c>
      <c r="AL43" s="142" t="n">
        <f aca="false">IF(L43&lt;0,L43*-1,0)</f>
        <v>0</v>
      </c>
      <c r="AM43" s="142" t="n">
        <f aca="false">AK43+AL43</f>
        <v>631.4</v>
      </c>
      <c r="AN43" s="431" t="n">
        <v>0</v>
      </c>
      <c r="AO43" s="226"/>
      <c r="AP43" s="157" t="n">
        <f aca="false">795-X43</f>
        <v>466.764710467684</v>
      </c>
      <c r="AQ43" s="171" t="n">
        <f aca="false">49.823*(16429*1.9835+AC43*1.9835)/E43</f>
        <v>15.6724969373967</v>
      </c>
      <c r="AR43" s="143" t="n">
        <v>23</v>
      </c>
      <c r="AS43" s="232"/>
      <c r="AT43" s="110" t="n">
        <v>0</v>
      </c>
      <c r="AU43" s="56"/>
      <c r="AV43" s="233" t="n">
        <v>0</v>
      </c>
      <c r="AW43" s="226" t="n">
        <v>83</v>
      </c>
      <c r="AX43" s="226" t="n">
        <v>60</v>
      </c>
      <c r="AY43" s="85"/>
      <c r="AZ43" s="264" t="n">
        <f aca="false">SUM(N43,P43:U43)</f>
        <v>8.58971046768383</v>
      </c>
      <c r="BA43" s="193" t="n">
        <v>0.44</v>
      </c>
      <c r="BB43" s="265" t="n">
        <v>14658</v>
      </c>
    </row>
    <row r="44" customFormat="false" ht="12.95" hidden="false" customHeight="true" outlineLevel="0" collapsed="false">
      <c r="A44" s="192" t="n">
        <v>30</v>
      </c>
      <c r="B44" s="112" t="n">
        <v>6895.48</v>
      </c>
      <c r="C44" s="113" t="n">
        <v>267204</v>
      </c>
      <c r="D44" s="226" t="n">
        <f aca="false">C44-C43</f>
        <v>2873</v>
      </c>
      <c r="E44" s="113" t="n">
        <f aca="false">C44-152000</f>
        <v>115204</v>
      </c>
      <c r="F44" s="142" t="n">
        <f aca="false">D44/$D$2</f>
        <v>1448.44971010839</v>
      </c>
      <c r="G44" s="224" t="n">
        <v>2110</v>
      </c>
      <c r="H44" s="143" t="n">
        <v>0.526</v>
      </c>
      <c r="I44" s="142" t="n">
        <f aca="false">G44+H44</f>
        <v>2110.526</v>
      </c>
      <c r="J44" s="143" t="n">
        <f aca="false">IF(L44&gt;0,L44,0)</f>
        <v>0</v>
      </c>
      <c r="K44" s="142" t="n">
        <f aca="false">I44+J44</f>
        <v>2110.526</v>
      </c>
      <c r="L44" s="142" t="n">
        <f aca="false">F44-(I44-AK44)</f>
        <v>-40.1762898916056</v>
      </c>
      <c r="M44" s="262" t="n">
        <v>258</v>
      </c>
      <c r="N44" s="171" t="n">
        <v>0</v>
      </c>
      <c r="O44" s="142" t="n">
        <f aca="false">71.3*1.05</f>
        <v>74.865</v>
      </c>
      <c r="P44" s="171" t="n">
        <v>0</v>
      </c>
      <c r="Q44" s="346" t="n">
        <f aca="false">1650500/325851/1.9835*1.02</f>
        <v>2.6047403484726</v>
      </c>
      <c r="R44" s="138" t="n">
        <v>4.2</v>
      </c>
      <c r="S44" s="138" t="n">
        <f aca="false">((6.1*1.04)-T44)-4.2</f>
        <v>1.10917712</v>
      </c>
      <c r="T44" s="138" t="n">
        <f aca="false">(0.9387*1.06)*1.04</f>
        <v>1.03482288</v>
      </c>
      <c r="U44" s="365" t="n">
        <v>0</v>
      </c>
      <c r="V44" s="142" t="n">
        <v>51.6</v>
      </c>
      <c r="W44" s="142" t="n">
        <v>68.5</v>
      </c>
      <c r="X44" s="142" t="n">
        <f aca="false">M44-N44-O44-P44-Q44-R44-S44-T44-U44+V44+W44-AT44+AR44</f>
        <v>317.286259651527</v>
      </c>
      <c r="Y44" s="142" t="n">
        <f aca="false">X44-AO44</f>
        <v>317.286259651527</v>
      </c>
      <c r="Z44" s="113" t="n">
        <f aca="false">Z43+AP44</f>
        <v>26930.6113760297</v>
      </c>
      <c r="AA44" s="142"/>
      <c r="AB44" s="113" t="n">
        <f aca="false">AB43+(Y44+AP44)*1.9835</f>
        <v>70854.4473991036</v>
      </c>
      <c r="AC44" s="113" t="n">
        <f aca="false">AC43-(AQ43/1.9835)</f>
        <v>1377.68479611474</v>
      </c>
      <c r="AD44" s="113"/>
      <c r="AE44" s="142" t="n">
        <v>193</v>
      </c>
      <c r="AF44" s="262" t="n">
        <v>1.7</v>
      </c>
      <c r="AG44" s="263" t="n">
        <v>1.3</v>
      </c>
      <c r="AH44" s="143" t="n">
        <v>50.8</v>
      </c>
      <c r="AI44" s="113" t="n">
        <f aca="false">AI43-AH44</f>
        <v>12714.0492311571</v>
      </c>
      <c r="AJ44" s="102"/>
      <c r="AK44" s="141" t="n">
        <f aca="false">N44+O44+P44+Q44+R44+S44+T44+U44+X44+AE44+AH44+AT44-AR44</f>
        <v>621.9</v>
      </c>
      <c r="AL44" s="142" t="n">
        <f aca="false">IF(L44&lt;0,L44*-1,0)</f>
        <v>40.1762898916056</v>
      </c>
      <c r="AM44" s="142" t="n">
        <f aca="false">AK44+AL44</f>
        <v>662.076289891606</v>
      </c>
      <c r="AN44" s="431" t="n">
        <v>0</v>
      </c>
      <c r="AO44" s="226"/>
      <c r="AP44" s="157" t="n">
        <f aca="false">795-X44</f>
        <v>477.713740348473</v>
      </c>
      <c r="AQ44" s="171" t="n">
        <f aca="false">44.241*(16429*1.9835+AC44*1.9835)/E44</f>
        <v>13.5635275049977</v>
      </c>
      <c r="AR44" s="143" t="n">
        <v>23</v>
      </c>
      <c r="AS44" s="232"/>
      <c r="AT44" s="110" t="n">
        <v>0</v>
      </c>
      <c r="AU44" s="56"/>
      <c r="AV44" s="233" t="n">
        <v>0</v>
      </c>
      <c r="AW44" s="226" t="n">
        <v>81</v>
      </c>
      <c r="AX44" s="226" t="n">
        <v>53</v>
      </c>
      <c r="AY44" s="85"/>
      <c r="AZ44" s="264" t="n">
        <f aca="false">SUM(N44,P44:U44)</f>
        <v>8.94874034847259</v>
      </c>
      <c r="BA44" s="193" t="n">
        <v>0.484</v>
      </c>
      <c r="BB44" s="265" t="n">
        <v>14868</v>
      </c>
    </row>
    <row r="45" customFormat="false" ht="12.95" hidden="false" customHeight="true" outlineLevel="0" collapsed="false">
      <c r="A45" s="192" t="n">
        <v>31</v>
      </c>
      <c r="B45" s="112" t="n">
        <v>6896.31</v>
      </c>
      <c r="C45" s="113" t="n">
        <v>270167</v>
      </c>
      <c r="D45" s="226" t="n">
        <f aca="false">C45-C44</f>
        <v>2963</v>
      </c>
      <c r="E45" s="113" t="n">
        <f aca="false">C45-152000</f>
        <v>118167</v>
      </c>
      <c r="F45" s="142" t="n">
        <f aca="false">D45/$D$2</f>
        <v>1493.82404839929</v>
      </c>
      <c r="G45" s="224" t="n">
        <v>2090</v>
      </c>
      <c r="H45" s="143" t="n">
        <v>0.432</v>
      </c>
      <c r="I45" s="142" t="n">
        <f aca="false">G45+H45</f>
        <v>2090.432</v>
      </c>
      <c r="J45" s="143" t="n">
        <f aca="false">IF(L45&gt;0,L45,0)</f>
        <v>43.8920483992943</v>
      </c>
      <c r="K45" s="142" t="n">
        <f aca="false">I45+J45</f>
        <v>2134.32404839929</v>
      </c>
      <c r="L45" s="142" t="n">
        <f aca="false">F45-(I45-AK45)</f>
        <v>43.8920483992943</v>
      </c>
      <c r="M45" s="262" t="n">
        <v>250</v>
      </c>
      <c r="N45" s="171" t="n">
        <v>0</v>
      </c>
      <c r="O45" s="142" t="n">
        <f aca="false">47*1.05</f>
        <v>49.35</v>
      </c>
      <c r="P45" s="171" t="n">
        <v>0</v>
      </c>
      <c r="Q45" s="346" t="n">
        <f aca="false">1537000/325851/1.9835*1.02</f>
        <v>2.42562006398205</v>
      </c>
      <c r="R45" s="138" t="n">
        <v>4.2</v>
      </c>
      <c r="S45" s="138" t="n">
        <f aca="false">((5.9*1.04)-T45)-4.2</f>
        <v>0.901177120000001</v>
      </c>
      <c r="T45" s="138" t="n">
        <f aca="false">(0.9387*1.06)*1.04</f>
        <v>1.03482288</v>
      </c>
      <c r="U45" s="365" t="n">
        <v>0</v>
      </c>
      <c r="V45" s="142" t="n">
        <v>50.6</v>
      </c>
      <c r="W45" s="142" t="n">
        <v>68.5</v>
      </c>
      <c r="X45" s="142" t="n">
        <f aca="false">M45-N45-O45-P45-Q45-R45-S45-T45-U45+V45+W45-AT45+AR45</f>
        <v>334.188379936018</v>
      </c>
      <c r="Y45" s="142" t="n">
        <f aca="false">X45-AO45</f>
        <v>334.188379936018</v>
      </c>
      <c r="Z45" s="113" t="n">
        <f aca="false">Z44+AP45+AA45</f>
        <v>27173.9640099058</v>
      </c>
      <c r="AA45" s="142" t="n">
        <f aca="false">(72000-AB45)/D2</f>
        <v>-217.458986187857</v>
      </c>
      <c r="AB45" s="113" t="n">
        <f aca="false">AB44+(Y45+AP45)*1.9835</f>
        <v>72431.3298991036</v>
      </c>
      <c r="AC45" s="113" t="n">
        <f aca="false">AC44-(AQ44/1.9835)</f>
        <v>1370.84661738774</v>
      </c>
      <c r="AD45" s="113"/>
      <c r="AE45" s="142" t="n">
        <v>221</v>
      </c>
      <c r="AF45" s="262" t="n">
        <v>1.7</v>
      </c>
      <c r="AG45" s="263" t="n">
        <v>1.3</v>
      </c>
      <c r="AH45" s="143" t="n">
        <v>50.4</v>
      </c>
      <c r="AI45" s="113" t="n">
        <f aca="false">AI44-AH45</f>
        <v>12663.6492311571</v>
      </c>
      <c r="AJ45" s="102"/>
      <c r="AK45" s="141" t="n">
        <f aca="false">N45+O45+P45+Q45+R45+S45+T45+U45+X45+AE45+AH45+AT45-AR45</f>
        <v>640.5</v>
      </c>
      <c r="AL45" s="142" t="n">
        <f aca="false">IF(L45&lt;0,L45*-1,0)</f>
        <v>0</v>
      </c>
      <c r="AM45" s="260" t="n">
        <f aca="false">AK45+AL45</f>
        <v>640.5</v>
      </c>
      <c r="AN45" s="113" t="n">
        <v>0</v>
      </c>
      <c r="AO45" s="226"/>
      <c r="AP45" s="157" t="n">
        <f aca="false">795-X45</f>
        <v>460.811620063982</v>
      </c>
      <c r="AQ45" s="171" t="n">
        <f aca="false">66.506*(16429*1.9835+AC45*1.9835)/E45</f>
        <v>19.8706961705572</v>
      </c>
      <c r="AR45" s="143" t="n">
        <v>23</v>
      </c>
      <c r="AS45" s="232"/>
      <c r="AT45" s="110" t="n">
        <v>0</v>
      </c>
      <c r="AU45" s="56"/>
      <c r="AV45" s="233" t="n">
        <v>0</v>
      </c>
      <c r="AW45" s="226" t="n">
        <v>87</v>
      </c>
      <c r="AX45" s="226" t="n">
        <v>52</v>
      </c>
      <c r="AY45" s="85"/>
      <c r="AZ45" s="264" t="n">
        <f aca="false">SUM(N45,P45:U45)</f>
        <v>8.56162006398206</v>
      </c>
      <c r="BA45" s="193" t="n">
        <v>0.455</v>
      </c>
      <c r="BB45" s="265" t="n">
        <v>15026</v>
      </c>
    </row>
    <row r="46" customFormat="false" ht="3" hidden="false" customHeight="true" outlineLevel="0" collapsed="false">
      <c r="A46" s="245"/>
      <c r="B46" s="267"/>
      <c r="C46" s="247"/>
      <c r="D46" s="248"/>
      <c r="E46" s="247"/>
      <c r="F46" s="248"/>
      <c r="G46" s="267"/>
      <c r="H46" s="254" t="n">
        <v>0.01</v>
      </c>
      <c r="I46" s="248" t="n">
        <f aca="false">G46+H46</f>
        <v>0.01</v>
      </c>
      <c r="J46" s="248"/>
      <c r="K46" s="248"/>
      <c r="L46" s="248"/>
      <c r="M46" s="251"/>
      <c r="N46" s="252"/>
      <c r="O46" s="248"/>
      <c r="P46" s="252"/>
      <c r="Q46" s="248"/>
      <c r="R46" s="248"/>
      <c r="S46" s="436"/>
      <c r="T46" s="436"/>
      <c r="U46" s="253"/>
      <c r="V46" s="248"/>
      <c r="W46" s="248"/>
      <c r="X46" s="248"/>
      <c r="Y46" s="248"/>
      <c r="Z46" s="247"/>
      <c r="AA46" s="248"/>
      <c r="AB46" s="247"/>
      <c r="AC46" s="247"/>
      <c r="AD46" s="247"/>
      <c r="AE46" s="248"/>
      <c r="AF46" s="267"/>
      <c r="AG46" s="249"/>
      <c r="AH46" s="257"/>
      <c r="AI46" s="248"/>
      <c r="AJ46" s="254"/>
      <c r="AK46" s="248"/>
      <c r="AL46" s="248"/>
      <c r="AM46" s="249"/>
      <c r="AN46" s="247"/>
      <c r="AO46" s="257"/>
      <c r="AP46" s="257"/>
      <c r="AQ46" s="252"/>
      <c r="AR46" s="254"/>
      <c r="AS46" s="252"/>
      <c r="AT46" s="254"/>
      <c r="AU46" s="254"/>
      <c r="AV46" s="259"/>
      <c r="AW46" s="257"/>
      <c r="AX46" s="257"/>
      <c r="AY46" s="257"/>
      <c r="AZ46" s="257"/>
      <c r="BA46" s="257"/>
      <c r="BB46" s="257"/>
    </row>
    <row r="47" customFormat="false" ht="12.95" hidden="false" customHeight="true" outlineLevel="0" collapsed="false">
      <c r="A47" s="194" t="s">
        <v>105</v>
      </c>
      <c r="B47" s="224"/>
      <c r="C47" s="113"/>
      <c r="D47" s="113"/>
      <c r="E47" s="113"/>
      <c r="F47" s="113" t="n">
        <f aca="false">SUM(F15:F45)</f>
        <v>23623.8971514999</v>
      </c>
      <c r="G47" s="431" t="n">
        <f aca="false">SUM(G15:G45)</f>
        <v>38555</v>
      </c>
      <c r="H47" s="143" t="n">
        <f aca="false">SUM(H15:H46)</f>
        <v>36.444</v>
      </c>
      <c r="I47" s="113" t="n">
        <f aca="false">SUM(I15:I46)</f>
        <v>38591.444</v>
      </c>
      <c r="J47" s="113" t="n">
        <f aca="false">SUM(J15:J45)</f>
        <v>776.979384421477</v>
      </c>
      <c r="K47" s="113" t="n">
        <f aca="false">SUM(K15:K45)</f>
        <v>39368.4133844215</v>
      </c>
      <c r="L47" s="113" t="n">
        <f aca="false">SUM(L15:L45)</f>
        <v>83.3431514998731</v>
      </c>
      <c r="M47" s="227" t="n">
        <f aca="false">SUM(M15:M45)</f>
        <v>6976.6</v>
      </c>
      <c r="N47" s="143" t="n">
        <f aca="false">SUM(N15:N45)</f>
        <v>0</v>
      </c>
      <c r="O47" s="113" t="n">
        <f aca="false">SUM(O15:O45)</f>
        <v>1824.5535</v>
      </c>
      <c r="P47" s="171" t="n">
        <f aca="false">SUM(P15:P45)</f>
        <v>0</v>
      </c>
      <c r="Q47" s="113" t="n">
        <f aca="false">SUM(Q15:Q45)</f>
        <v>64.9974644314587</v>
      </c>
      <c r="R47" s="113" t="n">
        <f aca="false">SUM(R15:R45)</f>
        <v>108.46170112</v>
      </c>
      <c r="S47" s="142" t="n">
        <f aca="false">SUM(S15:S45)</f>
        <v>14.09427008</v>
      </c>
      <c r="T47" s="142" t="n">
        <f aca="false">SUM(T15:T45)</f>
        <v>26.65184288</v>
      </c>
      <c r="U47" s="229" t="n">
        <f aca="false">SUM(U15:U45)</f>
        <v>0</v>
      </c>
      <c r="V47" s="113" t="n">
        <f aca="false">SUM(V15:V45)</f>
        <v>1686.38</v>
      </c>
      <c r="W47" s="113" t="n">
        <f aca="false">SUM(W15:W45)</f>
        <v>1725.4</v>
      </c>
      <c r="X47" s="113" t="n">
        <f aca="false">SUM(X15:X45)</f>
        <v>8762.53122148854</v>
      </c>
      <c r="Y47" s="113" t="n">
        <f aca="false">SUM(Y15:Y45)</f>
        <v>8762.53122148854</v>
      </c>
      <c r="Z47" s="113"/>
      <c r="AA47" s="113" t="n">
        <f aca="false">SUM(AA15:AA45)</f>
        <v>-217.458986187857</v>
      </c>
      <c r="AB47" s="113"/>
      <c r="AC47" s="113"/>
      <c r="AD47" s="113"/>
      <c r="AE47" s="113" t="n">
        <f aca="false">SUM(AE15:AE45)</f>
        <v>3567.7</v>
      </c>
      <c r="AF47" s="438" t="n">
        <f aca="false">SUM(AF15:AF45)</f>
        <v>52.7</v>
      </c>
      <c r="AG47" s="439" t="n">
        <f aca="false">SUM(AG15:AG45)</f>
        <v>40.3</v>
      </c>
      <c r="AH47" s="226" t="n">
        <f aca="false">SUM(AH15:AH45)</f>
        <v>1094.8</v>
      </c>
      <c r="AI47" s="113"/>
      <c r="AJ47" s="143" t="n">
        <f aca="false">SUM(AJ15:AJ45)</f>
        <v>0</v>
      </c>
      <c r="AK47" s="113" t="n">
        <f aca="false">SUM(AK15:AK45)</f>
        <v>15050.88</v>
      </c>
      <c r="AL47" s="113" t="n">
        <f aca="false">SUM(AL15:AL45)</f>
        <v>693.636232921604</v>
      </c>
      <c r="AM47" s="225" t="n">
        <f aca="false">SUM(AM15:AM45)</f>
        <v>15744.5162329216</v>
      </c>
      <c r="AN47" s="99" t="n">
        <f aca="false">SUM(AN15:AN45)</f>
        <v>0</v>
      </c>
      <c r="AO47" s="113" t="n">
        <f aca="false">SUM(AO15:AO45)</f>
        <v>0</v>
      </c>
      <c r="AP47" s="142"/>
      <c r="AQ47" s="171"/>
      <c r="AR47" s="143" t="n">
        <f aca="false">SUM(AR15:AR45)</f>
        <v>412.91</v>
      </c>
      <c r="AS47" s="232" t="n">
        <f aca="false">SUM(AS15:AS45)</f>
        <v>0</v>
      </c>
      <c r="AT47" s="143" t="n">
        <f aca="false">SUM(AT15:AT45)</f>
        <v>0</v>
      </c>
      <c r="AU47" s="56"/>
      <c r="AV47" s="233" t="n">
        <f aca="false">SUM(AV15:AV45)</f>
        <v>1.3</v>
      </c>
      <c r="AW47" s="226" t="n">
        <f aca="false">AVERAGE(AW15:AW45)</f>
        <v>72</v>
      </c>
      <c r="AX47" s="226" t="n">
        <f aca="false">AVERAGE(AX15:AX45)</f>
        <v>39.9677419354839</v>
      </c>
      <c r="AY47" s="225" t="s">
        <v>130</v>
      </c>
      <c r="AZ47" s="348" t="n">
        <f aca="false">SUM(AZ15:AZ45)</f>
        <v>214.205278511459</v>
      </c>
      <c r="BA47" s="0" t="n">
        <f aca="false">SUM(BA15:BA45)</f>
        <v>4.767</v>
      </c>
      <c r="BB47" s="265"/>
    </row>
    <row r="48" customFormat="false" ht="12.95" hidden="false" customHeight="true" outlineLevel="0" collapsed="false">
      <c r="A48" s="194" t="s">
        <v>107</v>
      </c>
      <c r="B48" s="224"/>
      <c r="C48" s="113"/>
      <c r="D48" s="113" t="n">
        <f aca="false">SUM(D15:D45)</f>
        <v>46858</v>
      </c>
      <c r="E48" s="113"/>
      <c r="F48" s="113" t="n">
        <f aca="false">F47*$D$2</f>
        <v>46858</v>
      </c>
      <c r="G48" s="431" t="n">
        <f aca="false">G47*$D$2</f>
        <v>76473.8425</v>
      </c>
      <c r="H48" s="143" t="n">
        <f aca="false">H47*$D$2</f>
        <v>72.286674</v>
      </c>
      <c r="I48" s="113" t="n">
        <f aca="false">I47*$D$2</f>
        <v>76546.129174</v>
      </c>
      <c r="J48" s="113" t="n">
        <f aca="false">J47*$D$2</f>
        <v>1541.138609</v>
      </c>
      <c r="K48" s="113" t="n">
        <f aca="false">K47*$D$2</f>
        <v>78087.247948</v>
      </c>
      <c r="L48" s="113" t="n">
        <f aca="false">L47*$D$2</f>
        <v>165.311140999998</v>
      </c>
      <c r="M48" s="227" t="n">
        <f aca="false">M47*$D$2</f>
        <v>13838.0861</v>
      </c>
      <c r="N48" s="226" t="n">
        <f aca="false">N47*$D$2</f>
        <v>0</v>
      </c>
      <c r="O48" s="113" t="n">
        <f aca="false">O47*$D$2</f>
        <v>3619.00186725</v>
      </c>
      <c r="P48" s="171" t="n">
        <f aca="false">P47*$D$2</f>
        <v>0</v>
      </c>
      <c r="Q48" s="113" t="n">
        <f aca="false">Q47*$D$2</f>
        <v>128.922470699798</v>
      </c>
      <c r="R48" s="113" t="n">
        <f aca="false">R47*$D$2</f>
        <v>215.13378417152</v>
      </c>
      <c r="S48" s="142" t="n">
        <f aca="false">S47*$D$2</f>
        <v>27.95598470368</v>
      </c>
      <c r="T48" s="142" t="n">
        <f aca="false">T47*$D$2</f>
        <v>52.86393035248</v>
      </c>
      <c r="U48" s="229" t="n">
        <f aca="false">U47*$D$2</f>
        <v>0</v>
      </c>
      <c r="V48" s="113" t="n">
        <f aca="false">V47*$D$2</f>
        <v>3344.93473</v>
      </c>
      <c r="W48" s="113" t="n">
        <f aca="false">W47*$D$2</f>
        <v>3422.3309</v>
      </c>
      <c r="X48" s="113" t="n">
        <f aca="false">X47*$D$2</f>
        <v>17380.4806778225</v>
      </c>
      <c r="Y48" s="113" t="n">
        <f aca="false">Y47*$D$2</f>
        <v>17380.4806778225</v>
      </c>
      <c r="Z48" s="113"/>
      <c r="AA48" s="113" t="n">
        <f aca="false">AA47*$D$2</f>
        <v>-431.329899103614</v>
      </c>
      <c r="AB48" s="113"/>
      <c r="AC48" s="113"/>
      <c r="AD48" s="113"/>
      <c r="AE48" s="113" t="n">
        <f aca="false">AE47*$D$2</f>
        <v>7076.53295</v>
      </c>
      <c r="AF48" s="227" t="n">
        <f aca="false">AF47*$D$2</f>
        <v>104.53045</v>
      </c>
      <c r="AG48" s="229" t="n">
        <f aca="false">AG47*$D$2</f>
        <v>79.93505</v>
      </c>
      <c r="AH48" s="226" t="n">
        <f aca="false">AH47*$D$2</f>
        <v>2171.5358</v>
      </c>
      <c r="AI48" s="113"/>
      <c r="AJ48" s="440" t="n">
        <f aca="false">AJ47*$D$2</f>
        <v>0</v>
      </c>
      <c r="AK48" s="441" t="n">
        <f aca="false">AK47*$D$2</f>
        <v>29853.42048</v>
      </c>
      <c r="AL48" s="113" t="n">
        <f aca="false">AL47*$D$2</f>
        <v>1375.827468</v>
      </c>
      <c r="AM48" s="225" t="n">
        <f aca="false">AM47*$D$2</f>
        <v>31229.247948</v>
      </c>
      <c r="AN48" s="113" t="n">
        <f aca="false">AN47*$D$2</f>
        <v>0</v>
      </c>
      <c r="AO48" s="113" t="n">
        <f aca="false">AO47*$D$2</f>
        <v>0</v>
      </c>
      <c r="AP48" s="142"/>
      <c r="AQ48" s="171" t="n">
        <f aca="false">SUM(AQ15:AQ45)</f>
        <v>500.103055770663</v>
      </c>
      <c r="AR48" s="143" t="n">
        <f aca="false">AR47*$D$2</f>
        <v>819.006985</v>
      </c>
      <c r="AS48" s="113" t="n">
        <f aca="false">AS47*$D$2</f>
        <v>0</v>
      </c>
      <c r="AT48" s="143" t="n">
        <f aca="false">AT47*$D$2</f>
        <v>0</v>
      </c>
      <c r="AU48" s="56"/>
      <c r="AV48" s="233"/>
      <c r="AW48" s="226" t="n">
        <f aca="false">MAX(AW15:AW45)</f>
        <v>89</v>
      </c>
      <c r="AX48" s="226" t="n">
        <f aca="false">MAX(AX15:AX45)</f>
        <v>60</v>
      </c>
      <c r="AY48" s="225" t="s">
        <v>108</v>
      </c>
      <c r="AZ48" s="348" t="n">
        <f aca="false">AZ47*$D$2</f>
        <v>424.876169927478</v>
      </c>
      <c r="BA48" s="0" t="n">
        <f aca="false">BA47*D2</f>
        <v>9.4553445</v>
      </c>
      <c r="BB48" s="265"/>
    </row>
    <row r="49" customFormat="false" ht="3" hidden="false" customHeight="true" outlineLevel="0" collapsed="false">
      <c r="A49" s="245"/>
      <c r="B49" s="267"/>
      <c r="C49" s="247"/>
      <c r="D49" s="247"/>
      <c r="E49" s="247"/>
      <c r="F49" s="247"/>
      <c r="G49" s="274"/>
      <c r="H49" s="254"/>
      <c r="I49" s="247"/>
      <c r="J49" s="247"/>
      <c r="K49" s="247"/>
      <c r="L49" s="247"/>
      <c r="M49" s="271"/>
      <c r="N49" s="252"/>
      <c r="O49" s="247"/>
      <c r="P49" s="252"/>
      <c r="Q49" s="247"/>
      <c r="R49" s="247"/>
      <c r="S49" s="436"/>
      <c r="T49" s="436"/>
      <c r="U49" s="272"/>
      <c r="V49" s="247"/>
      <c r="W49" s="247"/>
      <c r="X49" s="247"/>
      <c r="Y49" s="247"/>
      <c r="Z49" s="247"/>
      <c r="AA49" s="247"/>
      <c r="AB49" s="247"/>
      <c r="AC49" s="247"/>
      <c r="AD49" s="247"/>
      <c r="AE49" s="247"/>
      <c r="AF49" s="271"/>
      <c r="AG49" s="272"/>
      <c r="AH49" s="257"/>
      <c r="AI49" s="248"/>
      <c r="AJ49" s="254"/>
      <c r="AK49" s="247"/>
      <c r="AL49" s="247"/>
      <c r="AM49" s="270"/>
      <c r="AN49" s="247"/>
      <c r="AO49" s="247"/>
      <c r="AP49" s="247"/>
      <c r="AQ49" s="252"/>
      <c r="AR49" s="254"/>
      <c r="AS49" s="252"/>
      <c r="AT49" s="254"/>
      <c r="AU49" s="254"/>
      <c r="AV49" s="247"/>
      <c r="AW49" s="247"/>
      <c r="AX49" s="247"/>
      <c r="AY49" s="247"/>
      <c r="AZ49" s="247"/>
      <c r="BA49" s="126"/>
      <c r="BB49" s="247"/>
    </row>
    <row r="50" customFormat="false" ht="12.95" hidden="false" customHeight="true" outlineLevel="0" collapsed="false">
      <c r="A50" s="194" t="s">
        <v>109</v>
      </c>
      <c r="B50" s="224"/>
      <c r="C50" s="113"/>
      <c r="D50" s="113"/>
      <c r="E50" s="113"/>
      <c r="F50" s="113" t="n">
        <f aca="false">F12+F47</f>
        <v>38678.5984371061</v>
      </c>
      <c r="G50" s="431" t="n">
        <f aca="false">G12+G47</f>
        <v>59126</v>
      </c>
      <c r="H50" s="143" t="n">
        <f aca="false">H12+H47</f>
        <v>607.374</v>
      </c>
      <c r="I50" s="113" t="n">
        <f aca="false">I12+I47</f>
        <v>59733.374</v>
      </c>
      <c r="J50" s="113" t="n">
        <f aca="false">J12+J47</f>
        <v>1605.90861557852</v>
      </c>
      <c r="K50" s="113" t="n">
        <f aca="false">K12+K47</f>
        <v>61339.2726155785</v>
      </c>
      <c r="L50" s="113" t="n">
        <f aca="false">L12+L47</f>
        <v>342.904437106124</v>
      </c>
      <c r="M50" s="227" t="n">
        <f aca="false">M12+M47</f>
        <v>9038.3</v>
      </c>
      <c r="N50" s="226" t="n">
        <f aca="false">N12+N47</f>
        <v>0</v>
      </c>
      <c r="O50" s="113" t="n">
        <f aca="false">O12+O47</f>
        <v>3428.376</v>
      </c>
      <c r="P50" s="171" t="n">
        <f aca="false">P12+P47</f>
        <v>0</v>
      </c>
      <c r="Q50" s="113"/>
      <c r="R50" s="113"/>
      <c r="S50" s="346"/>
      <c r="T50" s="346"/>
      <c r="U50" s="229"/>
      <c r="V50" s="113" t="n">
        <f aca="false">V12+V47</f>
        <v>4693.78</v>
      </c>
      <c r="W50" s="113" t="n">
        <f aca="false">W12+W47</f>
        <v>1806.26</v>
      </c>
      <c r="X50" s="113" t="n">
        <f aca="false">X12+X47</f>
        <v>12208.7430779706</v>
      </c>
      <c r="Y50" s="113" t="n">
        <f aca="false">Y12+Y47</f>
        <v>12052.9066228141</v>
      </c>
      <c r="Z50" s="84" t="n">
        <f aca="false">Z45</f>
        <v>27173.9640099058</v>
      </c>
      <c r="AA50" s="113" t="n">
        <f aca="false">AA12+AA47</f>
        <v>-217.458986187857</v>
      </c>
      <c r="AB50" s="113"/>
      <c r="AC50" s="113"/>
      <c r="AD50" s="113"/>
      <c r="AE50" s="113" t="n">
        <f aca="false">AE12+AE47</f>
        <v>3898.83</v>
      </c>
      <c r="AF50" s="227" t="n">
        <f aca="false">AF12+AF47</f>
        <v>103.7</v>
      </c>
      <c r="AG50" s="229" t="n">
        <f aca="false">AG12+AG47</f>
        <v>79.3</v>
      </c>
      <c r="AH50" s="226"/>
      <c r="AI50" s="113"/>
      <c r="AJ50" s="143" t="n">
        <f aca="false">AJ12+AJ47</f>
        <v>0</v>
      </c>
      <c r="AK50" s="113" t="n">
        <f aca="false">AK12+AK47</f>
        <v>21397.67</v>
      </c>
      <c r="AL50" s="113" t="n">
        <f aca="false">AL12+AL47</f>
        <v>1263.0041784724</v>
      </c>
      <c r="AM50" s="225" t="n">
        <f aca="false">AM12+AM47</f>
        <v>22660.6741784724</v>
      </c>
      <c r="AN50" s="113"/>
      <c r="AO50" s="226"/>
      <c r="AP50" s="142"/>
      <c r="AQ50" s="171"/>
      <c r="AR50" s="143" t="n">
        <f aca="false">AR12+AR47</f>
        <v>412.91</v>
      </c>
      <c r="AS50" s="113" t="n">
        <f aca="false">AS12+AS47</f>
        <v>0</v>
      </c>
      <c r="AT50" s="143" t="n">
        <f aca="false">AT12+AT47</f>
        <v>0</v>
      </c>
      <c r="AU50" s="56"/>
      <c r="AV50" s="233" t="s">
        <v>135</v>
      </c>
      <c r="AW50" s="226" t="n">
        <f aca="false">MIN(AW15:AW45)</f>
        <v>47</v>
      </c>
      <c r="AX50" s="226" t="n">
        <f aca="false">MIN(AX15:AX45)</f>
        <v>29</v>
      </c>
      <c r="AY50" s="225" t="s">
        <v>110</v>
      </c>
      <c r="AZ50" s="348" t="n">
        <f aca="false">AZ12+AZ47</f>
        <v>350.828422029366</v>
      </c>
      <c r="BA50" s="113" t="n">
        <f aca="false">BA12+BA47</f>
        <v>4.767</v>
      </c>
      <c r="BB50" s="265"/>
    </row>
    <row r="51" customFormat="false" ht="12.95" hidden="false" customHeight="true" outlineLevel="0" collapsed="false">
      <c r="A51" s="194" t="s">
        <v>111</v>
      </c>
      <c r="B51" s="224"/>
      <c r="C51" s="113"/>
      <c r="D51" s="113"/>
      <c r="E51" s="113"/>
      <c r="F51" s="113" t="n">
        <f aca="false">F50*$D$2</f>
        <v>76719</v>
      </c>
      <c r="G51" s="431" t="n">
        <f aca="false">G50*$D$2</f>
        <v>117276.421</v>
      </c>
      <c r="H51" s="226" t="n">
        <f aca="false">H50*$D$2</f>
        <v>1204.726329</v>
      </c>
      <c r="I51" s="113" t="n">
        <f aca="false">I50*$D$2</f>
        <v>118481.147329</v>
      </c>
      <c r="J51" s="113" t="n">
        <f aca="false">J50*$D$2</f>
        <v>3185.319739</v>
      </c>
      <c r="K51" s="113" t="n">
        <f aca="false">K50*$D$2</f>
        <v>121666.447233</v>
      </c>
      <c r="L51" s="113" t="n">
        <f aca="false">L50*$D$2</f>
        <v>680.150950999998</v>
      </c>
      <c r="M51" s="227" t="n">
        <f aca="false">M50*$D$2</f>
        <v>17927.46805</v>
      </c>
      <c r="N51" s="226" t="n">
        <f aca="false">N50*$D$2</f>
        <v>0</v>
      </c>
      <c r="O51" s="113" t="n">
        <f aca="false">O50*$D$2</f>
        <v>6800.183796</v>
      </c>
      <c r="P51" s="171" t="n">
        <f aca="false">P50*$D$2</f>
        <v>0</v>
      </c>
      <c r="Q51" s="113"/>
      <c r="R51" s="113"/>
      <c r="S51" s="346"/>
      <c r="T51" s="346"/>
      <c r="U51" s="229"/>
      <c r="V51" s="113" t="n">
        <f aca="false">V50*$D$2</f>
        <v>9310.11263</v>
      </c>
      <c r="W51" s="113" t="n">
        <f aca="false">W50*$D$2</f>
        <v>3582.71671</v>
      </c>
      <c r="X51" s="113" t="n">
        <f aca="false">X50*$D$2</f>
        <v>24216.0418951548</v>
      </c>
      <c r="Y51" s="113" t="n">
        <f aca="false">Y50*$D$2</f>
        <v>23906.9402863518</v>
      </c>
      <c r="Z51" s="84" t="n">
        <f aca="false">Z50*$D$2</f>
        <v>53899.5576136482</v>
      </c>
      <c r="AA51" s="113" t="n">
        <f aca="false">AA50*$D$2</f>
        <v>-431.329899103614</v>
      </c>
      <c r="AB51" s="113"/>
      <c r="AC51" s="113"/>
      <c r="AD51" s="113"/>
      <c r="AE51" s="113" t="n">
        <f aca="false">AE50*$D$2</f>
        <v>7733.329305</v>
      </c>
      <c r="AF51" s="227" t="n">
        <f aca="false">AF50*$D$2</f>
        <v>205.68895</v>
      </c>
      <c r="AG51" s="229" t="n">
        <f aca="false">AG50*$D$2</f>
        <v>157.29155</v>
      </c>
      <c r="AH51" s="226"/>
      <c r="AI51" s="113"/>
      <c r="AJ51" s="143" t="n">
        <f aca="false">AJ50*$D$2</f>
        <v>0</v>
      </c>
      <c r="AK51" s="113" t="n">
        <f aca="false">AK50*$D$2</f>
        <v>42442.278445</v>
      </c>
      <c r="AL51" s="113" t="n">
        <f aca="false">AL50*$D$2</f>
        <v>2505.168788</v>
      </c>
      <c r="AM51" s="225" t="n">
        <f aca="false">AM50*$D$2</f>
        <v>44947.447233</v>
      </c>
      <c r="AN51" s="113"/>
      <c r="AO51" s="226"/>
      <c r="AP51" s="142"/>
      <c r="AQ51" s="171" t="n">
        <f aca="false">AQ12+AQ48</f>
        <v>700.79312058197</v>
      </c>
      <c r="AR51" s="143" t="n">
        <f aca="false">AR50*$D$2</f>
        <v>819.006985</v>
      </c>
      <c r="AS51" s="113" t="n">
        <f aca="false">AS50*$D$2</f>
        <v>0</v>
      </c>
      <c r="AT51" s="143" t="n">
        <f aca="false">AT50*$D$2</f>
        <v>0</v>
      </c>
      <c r="AU51" s="56"/>
      <c r="AV51" s="233" t="n">
        <f aca="false">AV47</f>
        <v>1.3</v>
      </c>
      <c r="AW51" s="226"/>
      <c r="AX51" s="226"/>
      <c r="AY51" s="85"/>
      <c r="AZ51" s="348" t="n">
        <f aca="false">AZ50*$D$2</f>
        <v>695.868175095248</v>
      </c>
      <c r="BA51" s="113" t="n">
        <f aca="false">BA50*$D$2</f>
        <v>9.4553445</v>
      </c>
      <c r="BB51" s="265"/>
    </row>
    <row r="52" customFormat="false" ht="3" hidden="false" customHeight="true" outlineLevel="0" collapsed="false">
      <c r="A52" s="245"/>
      <c r="B52" s="267"/>
      <c r="C52" s="247"/>
      <c r="D52" s="247"/>
      <c r="E52" s="247"/>
      <c r="F52" s="247"/>
      <c r="G52" s="274"/>
      <c r="H52" s="254"/>
      <c r="I52" s="247"/>
      <c r="J52" s="247"/>
      <c r="K52" s="247"/>
      <c r="L52" s="247"/>
      <c r="M52" s="271"/>
      <c r="N52" s="254"/>
      <c r="O52" s="247"/>
      <c r="P52" s="252"/>
      <c r="Q52" s="247"/>
      <c r="R52" s="247"/>
      <c r="S52" s="436"/>
      <c r="T52" s="436"/>
      <c r="U52" s="272"/>
      <c r="V52" s="247"/>
      <c r="W52" s="247"/>
      <c r="X52" s="247"/>
      <c r="Y52" s="247"/>
      <c r="Z52" s="247"/>
      <c r="AA52" s="247"/>
      <c r="AB52" s="247"/>
      <c r="AC52" s="247"/>
      <c r="AD52" s="247"/>
      <c r="AE52" s="247"/>
      <c r="AF52" s="271"/>
      <c r="AG52" s="272"/>
      <c r="AH52" s="257"/>
      <c r="AI52" s="247"/>
      <c r="AJ52" s="254"/>
      <c r="AK52" s="247"/>
      <c r="AL52" s="247"/>
      <c r="AM52" s="270"/>
      <c r="AN52" s="247"/>
      <c r="AO52" s="275"/>
      <c r="AP52" s="275"/>
      <c r="AQ52" s="252"/>
      <c r="AR52" s="254"/>
      <c r="AS52" s="252"/>
      <c r="AT52" s="254"/>
      <c r="AU52" s="254"/>
      <c r="AV52" s="259"/>
      <c r="AW52" s="442"/>
      <c r="AX52" s="275"/>
      <c r="AY52" s="275"/>
      <c r="AZ52" s="275"/>
      <c r="BA52" s="380"/>
      <c r="BB52" s="275"/>
    </row>
    <row r="53" customFormat="false" ht="12.95" hidden="false" customHeight="true" outlineLevel="0" collapsed="false">
      <c r="A53" s="194" t="s">
        <v>112</v>
      </c>
      <c r="B53" s="224"/>
      <c r="C53" s="113"/>
      <c r="D53" s="113"/>
      <c r="E53" s="113"/>
      <c r="F53" s="113" t="n">
        <f aca="false">F13+F47</f>
        <v>48623.6450718427</v>
      </c>
      <c r="G53" s="431" t="n">
        <f aca="false">G13+G47</f>
        <v>71643</v>
      </c>
      <c r="H53" s="143" t="n">
        <f aca="false">H13+H47</f>
        <v>637.479</v>
      </c>
      <c r="I53" s="113" t="n">
        <f aca="false">I13+I47</f>
        <v>72279.859</v>
      </c>
      <c r="J53" s="113" t="n">
        <f aca="false">J13+J47</f>
        <v>3521.62554827325</v>
      </c>
      <c r="K53" s="113" t="n">
        <f aca="false">K13+K47</f>
        <v>75801.4745482733</v>
      </c>
      <c r="L53" s="113" t="n">
        <f aca="false">L13+L47</f>
        <v>1382.2060718427</v>
      </c>
      <c r="M53" s="227" t="n">
        <f aca="false">M13+M47</f>
        <v>9675.34</v>
      </c>
      <c r="N53" s="226" t="n">
        <f aca="false">N13+N47</f>
        <v>0</v>
      </c>
      <c r="O53" s="113" t="n">
        <f aca="false">O13+O47</f>
        <v>3428.376</v>
      </c>
      <c r="P53" s="346" t="n">
        <f aca="false">P13+P47</f>
        <v>0</v>
      </c>
      <c r="Q53" s="113" t="n">
        <f aca="false">Q13+Q47</f>
        <v>347.415007481096</v>
      </c>
      <c r="R53" s="113" t="n">
        <f aca="false">R13+R47</f>
        <v>418.870245754581</v>
      </c>
      <c r="S53" s="142" t="n">
        <f aca="false">S13+S47</f>
        <v>14.09427008</v>
      </c>
      <c r="T53" s="113" t="n">
        <f aca="false">T13+T47</f>
        <v>113.28670288</v>
      </c>
      <c r="U53" s="229" t="n">
        <f aca="false">U13+U47</f>
        <v>-65.0339372790604</v>
      </c>
      <c r="V53" s="113" t="n">
        <f aca="false">V13+V47</f>
        <v>4693.78</v>
      </c>
      <c r="W53" s="113" t="n">
        <f aca="false">W13+W47</f>
        <v>1806.26</v>
      </c>
      <c r="X53" s="113" t="n">
        <f aca="false">X13+X47</f>
        <v>12316.2415110834</v>
      </c>
      <c r="Y53" s="113" t="n">
        <f aca="false">Y13+Y47</f>
        <v>12160.4050559269</v>
      </c>
      <c r="Z53" s="113"/>
      <c r="AA53" s="113"/>
      <c r="AB53" s="113"/>
      <c r="AC53" s="113"/>
      <c r="AD53" s="113"/>
      <c r="AE53" s="113"/>
      <c r="AF53" s="227" t="n">
        <f aca="false">AF13+AF47</f>
        <v>103.7</v>
      </c>
      <c r="AG53" s="229" t="n">
        <f aca="false">AG13+AG47</f>
        <v>79.3</v>
      </c>
      <c r="AH53" s="226" t="n">
        <f aca="false">AH13+AH47</f>
        <v>4964.2</v>
      </c>
      <c r="AI53" s="113" t="n">
        <f aca="false">AI45</f>
        <v>12663.6492311571</v>
      </c>
      <c r="AJ53" s="143" t="n">
        <f aca="false">AJ13+AJ47</f>
        <v>0</v>
      </c>
      <c r="AK53" s="113" t="n">
        <f aca="false">AK13+AK47</f>
        <v>25038.41</v>
      </c>
      <c r="AL53" s="113" t="n">
        <f aca="false">AL13+AL47</f>
        <v>2139.41947643055</v>
      </c>
      <c r="AM53" s="225" t="n">
        <f aca="false">AM13+AM47</f>
        <v>27177.8294764306</v>
      </c>
      <c r="AN53" s="113" t="n">
        <f aca="false">AN13+AN47</f>
        <v>2927.4</v>
      </c>
      <c r="AO53" s="113" t="n">
        <f aca="false">AO13+AO47</f>
        <v>235.836455156528</v>
      </c>
      <c r="AP53" s="142"/>
      <c r="AQ53" s="171"/>
      <c r="AR53" s="143" t="n">
        <f aca="false">AR13+AR47</f>
        <v>412.91</v>
      </c>
      <c r="AS53" s="113" t="n">
        <f aca="false">AS13+AS47</f>
        <v>0</v>
      </c>
      <c r="AT53" s="143"/>
      <c r="AU53" s="56"/>
      <c r="AV53" s="233" t="n">
        <f aca="false">AV13+AV47</f>
        <v>6.14</v>
      </c>
      <c r="AW53" s="226"/>
      <c r="AX53" s="226"/>
      <c r="AY53" s="85"/>
      <c r="AZ53" s="348" t="n">
        <f aca="false">AZ13+AZ47</f>
        <v>828.632288916616</v>
      </c>
      <c r="BA53" s="115" t="n">
        <f aca="false">BA47+BA13</f>
        <v>4.767</v>
      </c>
      <c r="BB53" s="265"/>
    </row>
    <row r="54" customFormat="false" ht="12.95" hidden="false" customHeight="true" outlineLevel="0" collapsed="false">
      <c r="A54" s="194" t="s">
        <v>113</v>
      </c>
      <c r="B54" s="224"/>
      <c r="C54" s="113"/>
      <c r="D54" s="113" t="n">
        <f aca="false">D13+D48</f>
        <v>96445</v>
      </c>
      <c r="E54" s="113" t="n">
        <f aca="false">E45</f>
        <v>118167</v>
      </c>
      <c r="F54" s="113" t="n">
        <f aca="false">F53*$D$2</f>
        <v>96445</v>
      </c>
      <c r="G54" s="431" t="n">
        <f aca="false">G53*$D$2</f>
        <v>142103.8905</v>
      </c>
      <c r="H54" s="226" t="n">
        <f aca="false">H53*$D$2</f>
        <v>1264.4395965</v>
      </c>
      <c r="I54" s="113" t="n">
        <f aca="false">I53*$D$2</f>
        <v>143367.1003265</v>
      </c>
      <c r="J54" s="113" t="n">
        <f aca="false">J53*$D$2</f>
        <v>6985.144275</v>
      </c>
      <c r="K54" s="113" t="n">
        <f aca="false">K53*$D$2</f>
        <v>150352.2247665</v>
      </c>
      <c r="L54" s="113" t="n">
        <f aca="false">L53*$D$2</f>
        <v>2741.6057435</v>
      </c>
      <c r="M54" s="227" t="n">
        <f aca="false">M53*$D$2</f>
        <v>19191.03689</v>
      </c>
      <c r="N54" s="226" t="n">
        <f aca="false">N53*$D$2</f>
        <v>0</v>
      </c>
      <c r="O54" s="113" t="n">
        <f aca="false">O53*$D$2</f>
        <v>6800.183796</v>
      </c>
      <c r="P54" s="346" t="n">
        <f aca="false">P53*$D$2</f>
        <v>0</v>
      </c>
      <c r="Q54" s="113" t="n">
        <f aca="false">Q53*$D$2</f>
        <v>689.097667338753</v>
      </c>
      <c r="R54" s="113" t="n">
        <f aca="false">R53*$D$2</f>
        <v>830.829132454212</v>
      </c>
      <c r="S54" s="142" t="n">
        <f aca="false">S53*$D$2</f>
        <v>27.95598470368</v>
      </c>
      <c r="T54" s="113" t="n">
        <f aca="false">T53*$D$2</f>
        <v>224.70417516248</v>
      </c>
      <c r="U54" s="229" t="n">
        <f aca="false">U53*$D$2</f>
        <v>-128.994814593016</v>
      </c>
      <c r="V54" s="113" t="n">
        <f aca="false">V53*$D$2</f>
        <v>9310.11263</v>
      </c>
      <c r="W54" s="113" t="n">
        <f aca="false">W53*$D$2</f>
        <v>3582.71671</v>
      </c>
      <c r="X54" s="113" t="n">
        <f aca="false">X53*$D$2</f>
        <v>24429.2650372339</v>
      </c>
      <c r="Y54" s="113" t="n">
        <f aca="false">Y53*$D$2</f>
        <v>24120.1634284309</v>
      </c>
      <c r="Z54" s="113"/>
      <c r="AA54" s="113"/>
      <c r="AB54" s="113"/>
      <c r="AC54" s="113"/>
      <c r="AD54" s="113"/>
      <c r="AE54" s="113"/>
      <c r="AF54" s="277" t="n">
        <f aca="false">AF53*$D$2</f>
        <v>205.68895</v>
      </c>
      <c r="AG54" s="278" t="n">
        <f aca="false">AG53*$D$2</f>
        <v>157.29155</v>
      </c>
      <c r="AH54" s="226" t="n">
        <f aca="false">AH53*$D$2</f>
        <v>9846.4907</v>
      </c>
      <c r="AI54" s="113" t="n">
        <f aca="false">AI53*$D$2</f>
        <v>25118.34825</v>
      </c>
      <c r="AJ54" s="143" t="n">
        <f aca="false">AJ53*$D$2</f>
        <v>0</v>
      </c>
      <c r="AK54" s="113" t="n">
        <f aca="false">AK53*$D$2</f>
        <v>49663.686235</v>
      </c>
      <c r="AL54" s="113" t="n">
        <f aca="false">AL53*$D$2</f>
        <v>4243.5385315</v>
      </c>
      <c r="AM54" s="279" t="n">
        <f aca="false">AM53*$D$2</f>
        <v>53907.2247665</v>
      </c>
      <c r="AN54" s="113" t="n">
        <f aca="false">AN53*$D$2</f>
        <v>5806.4979</v>
      </c>
      <c r="AO54" s="113" t="n">
        <f aca="false">AO53*$D$2</f>
        <v>467.781608802973</v>
      </c>
      <c r="AP54" s="142"/>
      <c r="AQ54" s="171" t="n">
        <f aca="false">AQ12+AQ48</f>
        <v>700.79312058197</v>
      </c>
      <c r="AR54" s="143" t="n">
        <f aca="false">AR53*$D$2</f>
        <v>819.006985</v>
      </c>
      <c r="AS54" s="113" t="n">
        <f aca="false">AS53*$D$2</f>
        <v>0</v>
      </c>
      <c r="AT54" s="143"/>
      <c r="AU54" s="56"/>
      <c r="AV54" s="233"/>
      <c r="AW54" s="226"/>
      <c r="AX54" s="226"/>
      <c r="AY54" s="85"/>
      <c r="AZ54" s="348" t="n">
        <f aca="false">AZ53*$D$2</f>
        <v>1643.59214506611</v>
      </c>
      <c r="BA54" s="0" t="n">
        <f aca="false">BA53*D2</f>
        <v>9.4553445</v>
      </c>
      <c r="BB54" s="265"/>
    </row>
    <row r="55" customFormat="false" ht="3" hidden="false" customHeight="true" outlineLevel="0" collapsed="false">
      <c r="A55" s="245"/>
      <c r="B55" s="267"/>
      <c r="C55" s="247"/>
      <c r="D55" s="248"/>
      <c r="E55" s="247"/>
      <c r="F55" s="443"/>
      <c r="G55" s="444"/>
      <c r="H55" s="445"/>
      <c r="I55" s="248"/>
      <c r="J55" s="248"/>
      <c r="K55" s="248"/>
      <c r="L55" s="248"/>
      <c r="M55" s="251"/>
      <c r="N55" s="252"/>
      <c r="O55" s="248"/>
      <c r="P55" s="252"/>
      <c r="Q55" s="248"/>
      <c r="R55" s="248"/>
      <c r="S55" s="436"/>
      <c r="T55" s="436"/>
      <c r="U55" s="253"/>
      <c r="V55" s="248"/>
      <c r="W55" s="248"/>
      <c r="X55" s="248"/>
      <c r="Y55" s="248"/>
      <c r="Z55" s="247"/>
      <c r="AA55" s="248"/>
      <c r="AB55" s="247"/>
      <c r="AC55" s="247"/>
      <c r="AD55" s="247"/>
      <c r="AE55" s="248"/>
      <c r="AF55" s="251"/>
      <c r="AG55" s="255"/>
      <c r="AH55" s="257"/>
      <c r="AI55" s="247"/>
      <c r="AJ55" s="254"/>
      <c r="AK55" s="248"/>
      <c r="AL55" s="248"/>
      <c r="AM55" s="248"/>
      <c r="AN55" s="274"/>
      <c r="AO55" s="248"/>
      <c r="AP55" s="248"/>
      <c r="AQ55" s="252"/>
      <c r="AR55" s="254"/>
      <c r="AS55" s="252"/>
      <c r="AT55" s="254"/>
      <c r="AU55" s="254"/>
      <c r="AV55" s="248"/>
      <c r="AW55" s="248"/>
      <c r="AX55" s="248"/>
      <c r="AY55" s="248"/>
      <c r="AZ55" s="248"/>
      <c r="BA55" s="248"/>
      <c r="BB55" s="248"/>
    </row>
    <row r="56" customFormat="false" ht="11.1" hidden="false" customHeight="true" outlineLevel="0" collapsed="false">
      <c r="A56" s="446"/>
      <c r="B56" s="281"/>
      <c r="D56" s="194"/>
      <c r="F56" s="447"/>
      <c r="G56" s="447"/>
      <c r="H56" s="448"/>
      <c r="I56" s="194"/>
      <c r="J56" s="194"/>
      <c r="K56" s="194"/>
      <c r="L56" s="194"/>
      <c r="M56" s="194"/>
      <c r="O56" s="194"/>
      <c r="Q56" s="194"/>
      <c r="R56" s="194"/>
      <c r="V56" s="194"/>
      <c r="W56" s="194"/>
      <c r="X56" s="194"/>
      <c r="Y56" s="194"/>
      <c r="Z56" s="161"/>
      <c r="AA56" s="194"/>
      <c r="AB56" s="161"/>
      <c r="AC56" s="161"/>
      <c r="AD56" s="161"/>
      <c r="AE56" s="194"/>
      <c r="AF56" s="194"/>
      <c r="AG56" s="194"/>
      <c r="AI56" s="161"/>
      <c r="AK56" s="194"/>
      <c r="AL56" s="194"/>
      <c r="AM56" s="194"/>
      <c r="AN56" s="89"/>
      <c r="AO56" s="192"/>
      <c r="AP56" s="197"/>
      <c r="AQ56" s="72"/>
      <c r="AR56" s="414"/>
      <c r="AX56" s="191"/>
    </row>
    <row r="57" customFormat="false" ht="11.1" hidden="false" customHeight="true" outlineLevel="0" collapsed="false">
      <c r="A57" s="194"/>
      <c r="B57" s="161"/>
      <c r="E57" s="390"/>
      <c r="F57" s="238"/>
      <c r="G57" s="189"/>
      <c r="I57" s="390"/>
      <c r="J57" s="194"/>
      <c r="K57" s="186"/>
      <c r="L57" s="194"/>
      <c r="M57" s="194"/>
      <c r="O57" s="26"/>
      <c r="P57" s="98"/>
      <c r="Q57" s="26"/>
      <c r="R57" s="26"/>
      <c r="V57" s="194"/>
      <c r="W57" s="161"/>
      <c r="X57" s="26"/>
      <c r="Y57" s="26"/>
      <c r="Z57" s="161"/>
      <c r="AA57" s="26"/>
      <c r="AB57" s="161"/>
      <c r="AC57" s="161"/>
      <c r="AD57" s="161"/>
      <c r="AE57" s="161"/>
      <c r="AF57" s="161"/>
      <c r="AG57" s="161"/>
      <c r="AI57" s="449"/>
      <c r="AJ57" s="450"/>
      <c r="AK57" s="194"/>
      <c r="AL57" s="194"/>
      <c r="AN57" s="238"/>
      <c r="AO57" s="197"/>
      <c r="AP57" s="197"/>
    </row>
    <row r="59" customFormat="false" ht="11.1" hidden="false" customHeight="true" outlineLevel="0" collapsed="false">
      <c r="B59" s="8"/>
      <c r="D59" s="161"/>
      <c r="F59" s="392"/>
      <c r="AE59" s="161"/>
      <c r="AF59" s="161"/>
      <c r="AG59" s="161"/>
      <c r="AN59" s="238"/>
      <c r="AO59" s="189"/>
      <c r="AP59" s="189"/>
    </row>
    <row r="60" customFormat="false" ht="11.1" hidden="false" customHeight="true" outlineLevel="0" collapsed="false">
      <c r="B60" s="1"/>
      <c r="D60" s="1"/>
      <c r="G60" s="451"/>
      <c r="H60" s="452"/>
      <c r="I60" s="453"/>
      <c r="AN60" s="238"/>
      <c r="AO60" s="189"/>
      <c r="AP60" s="454"/>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D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2890625" defaultRowHeight="11.1" zeroHeight="false" outlineLevelRow="0" outlineLevelCol="0"/>
  <cols>
    <col collapsed="false" customWidth="true" hidden="false" outlineLevel="0" max="1" min="1" style="1" width="4.66"/>
    <col collapsed="false" customWidth="true" hidden="false" outlineLevel="0" max="2" min="2" style="1" width="6.99"/>
    <col collapsed="false" customWidth="true" hidden="false" outlineLevel="0" max="3" min="3" style="2" width="6.32"/>
    <col collapsed="false" customWidth="true" hidden="false" outlineLevel="0" max="4" min="4" style="1" width="6.99"/>
    <col collapsed="false" customWidth="true" hidden="false" outlineLevel="0" max="5" min="5" style="2" width="6.99"/>
    <col collapsed="false" customWidth="true" hidden="false" outlineLevel="0" max="6" min="6" style="1" width="7.32"/>
    <col collapsed="false" customWidth="true" hidden="false" outlineLevel="0" max="7" min="7" style="1" width="6.82"/>
    <col collapsed="false" customWidth="true" hidden="false" outlineLevel="0" max="8" min="8" style="4" width="5.66"/>
    <col collapsed="false" customWidth="true" hidden="false" outlineLevel="0" max="11" min="9" style="1" width="6.32"/>
    <col collapsed="false" customWidth="true" hidden="false" outlineLevel="0" max="12" min="12" style="1" width="6.82"/>
    <col collapsed="false" customWidth="true" hidden="false" outlineLevel="0" max="13" min="13" style="4" width="5.49"/>
    <col collapsed="false" customWidth="true" hidden="false" outlineLevel="0" max="14" min="14" style="4" width="4.49"/>
    <col collapsed="false" customWidth="true" hidden="false" outlineLevel="0" max="15" min="15" style="4" width="5.49"/>
    <col collapsed="false" customWidth="true" hidden="false" outlineLevel="0" max="16" min="16" style="5" width="4.82"/>
    <col collapsed="false" customWidth="true" hidden="false" outlineLevel="0" max="18" min="17" style="4" width="4.32"/>
    <col collapsed="false" customWidth="true" hidden="false" outlineLevel="0" max="20" min="19" style="1" width="4.32"/>
    <col collapsed="false" customWidth="true" hidden="false" outlineLevel="0" max="21" min="21" style="5" width="5.16"/>
    <col collapsed="false" customWidth="true" hidden="false" outlineLevel="0" max="23" min="22" style="1" width="5.49"/>
    <col collapsed="false" customWidth="true" hidden="false" outlineLevel="0" max="25" min="24" style="2" width="6.32"/>
    <col collapsed="false" customWidth="true" hidden="false" outlineLevel="0" max="26" min="26" style="1" width="5.49"/>
    <col collapsed="false" customWidth="true" hidden="false" outlineLevel="0" max="27" min="27" style="2" width="6.32"/>
    <col collapsed="false" customWidth="true" hidden="false" outlineLevel="0" max="28" min="28" style="56" width="5.49"/>
    <col collapsed="false" customWidth="true" hidden="false" outlineLevel="0" max="29" min="29" style="1" width="5.82"/>
    <col collapsed="false" customWidth="true" hidden="false" outlineLevel="0" max="33" min="30" style="1" width="5.49"/>
    <col collapsed="false" customWidth="true" hidden="false" outlineLevel="0" max="34" min="34" style="2" width="6.32"/>
    <col collapsed="false" customWidth="true" hidden="false" outlineLevel="0" max="35" min="35" style="1" width="5.49"/>
    <col collapsed="false" customWidth="true" hidden="false" outlineLevel="0" max="36" min="36" style="92" width="6.32"/>
    <col collapsed="false" customWidth="true" hidden="false" outlineLevel="0" max="37" min="37" style="1" width="6.32"/>
    <col collapsed="false" customWidth="true" hidden="false" outlineLevel="0" max="38" min="38" style="1" width="6.82"/>
    <col collapsed="false" customWidth="true" hidden="false" outlineLevel="0" max="39" min="39" style="5" width="6.82"/>
    <col collapsed="false" customWidth="true" hidden="false" outlineLevel="0" max="41" min="40" style="1" width="5.49"/>
    <col collapsed="false" customWidth="true" hidden="false" outlineLevel="0" max="42" min="42" style="1" width="8.66"/>
    <col collapsed="false" customWidth="true" hidden="false" outlineLevel="0" max="43" min="43" style="300" width="6.32"/>
    <col collapsed="false" customWidth="true" hidden="false" outlineLevel="0" max="44" min="44" style="201" width="5.49"/>
    <col collapsed="false" customWidth="true" hidden="false" outlineLevel="0" max="45" min="45" style="184" width="5.32"/>
    <col collapsed="false" customWidth="true" hidden="false" outlineLevel="0" max="46" min="46" style="1" width="5.82"/>
    <col collapsed="false" customWidth="true" hidden="false" outlineLevel="0" max="47" min="47" style="4" width="4.99"/>
    <col collapsed="false" customWidth="true" hidden="false" outlineLevel="0" max="48" min="48" style="3" width="5.32"/>
    <col collapsed="false" customWidth="true" hidden="false" outlineLevel="0" max="49" min="49" style="9" width="3.82"/>
    <col collapsed="false" customWidth="true" hidden="false" outlineLevel="0" max="50" min="50" style="10" width="3.82"/>
    <col collapsed="false" customWidth="true" hidden="false" outlineLevel="0" max="51" min="51" style="0" width="3.82"/>
    <col collapsed="false" customWidth="true" hidden="false" outlineLevel="0" max="52" min="52" style="0" width="5.49"/>
    <col collapsed="false" customWidth="false" hidden="false" outlineLevel="0" max="53" min="53" style="455" width="9.32"/>
  </cols>
  <sheetData>
    <row r="1" customFormat="false" ht="14.1" hidden="false" customHeight="true" outlineLevel="0" collapsed="false">
      <c r="A1" s="11" t="s">
        <v>118</v>
      </c>
      <c r="B1" s="11"/>
      <c r="D1" s="11"/>
      <c r="F1" s="11"/>
      <c r="G1" s="11"/>
      <c r="I1" s="11"/>
      <c r="J1" s="11"/>
      <c r="K1" s="13" t="s">
        <v>0</v>
      </c>
      <c r="L1" s="11"/>
      <c r="M1" s="11"/>
      <c r="N1" s="11"/>
      <c r="S1" s="11"/>
      <c r="T1" s="11"/>
      <c r="V1" s="11"/>
      <c r="W1" s="11"/>
      <c r="Z1" s="11"/>
      <c r="AB1" s="194"/>
      <c r="AC1" s="11"/>
      <c r="AD1" s="11"/>
      <c r="AE1" s="11"/>
      <c r="AF1" s="11"/>
      <c r="AG1" s="11"/>
      <c r="AI1" s="11"/>
      <c r="AJ1" s="14"/>
      <c r="AK1" s="11"/>
      <c r="AL1" s="11"/>
      <c r="AN1" s="14"/>
      <c r="AO1" s="14"/>
      <c r="AP1" s="14"/>
    </row>
    <row r="2" customFormat="false" ht="14.1" hidden="false" customHeight="true" outlineLevel="0" collapsed="false">
      <c r="A2" s="14" t="s">
        <v>1</v>
      </c>
      <c r="B2" s="11"/>
      <c r="D2" s="15" t="n">
        <v>1.9835</v>
      </c>
      <c r="F2" s="11"/>
      <c r="G2" s="11"/>
      <c r="I2" s="11"/>
      <c r="J2" s="11"/>
      <c r="K2" s="456" t="s">
        <v>136</v>
      </c>
      <c r="L2" s="456"/>
      <c r="M2" s="456"/>
      <c r="N2" s="456"/>
      <c r="O2" s="456"/>
      <c r="P2" s="456"/>
      <c r="Q2" s="456"/>
      <c r="R2" s="456"/>
      <c r="S2" s="456"/>
      <c r="T2" s="456"/>
      <c r="U2" s="456"/>
      <c r="V2" s="456"/>
      <c r="W2" s="357"/>
      <c r="X2" s="358"/>
      <c r="Y2" s="358"/>
      <c r="Z2" s="357"/>
      <c r="AA2" s="358"/>
      <c r="AB2" s="200"/>
      <c r="AC2" s="357"/>
      <c r="AD2" s="357"/>
      <c r="AE2" s="357"/>
      <c r="AF2" s="357"/>
      <c r="AG2" s="357"/>
      <c r="AH2" s="358"/>
      <c r="AI2" s="11"/>
      <c r="AJ2" s="14"/>
      <c r="AK2" s="11"/>
      <c r="AL2" s="11"/>
      <c r="AN2" s="14"/>
      <c r="AO2" s="14"/>
      <c r="AP2" s="14"/>
    </row>
    <row r="3" customFormat="false" ht="14.1" hidden="false" customHeight="true" outlineLevel="0" collapsed="false">
      <c r="A3" s="16"/>
      <c r="B3" s="16"/>
      <c r="C3" s="17"/>
      <c r="D3" s="18"/>
      <c r="E3" s="17"/>
      <c r="F3" s="16"/>
      <c r="G3" s="16"/>
      <c r="H3" s="22"/>
      <c r="I3" s="16"/>
      <c r="J3" s="16"/>
      <c r="K3" s="16"/>
      <c r="L3" s="16"/>
      <c r="M3" s="16"/>
      <c r="N3" s="16"/>
      <c r="O3" s="22"/>
      <c r="P3" s="20"/>
      <c r="Q3" s="22"/>
      <c r="R3" s="22"/>
      <c r="S3" s="16"/>
      <c r="T3" s="16"/>
      <c r="U3" s="20"/>
      <c r="V3" s="16"/>
      <c r="W3" s="16"/>
      <c r="X3" s="17"/>
      <c r="Y3" s="17"/>
      <c r="Z3" s="16"/>
      <c r="AA3" s="95"/>
      <c r="AB3" s="194"/>
      <c r="AC3" s="16"/>
      <c r="AD3" s="16"/>
      <c r="AE3" s="16"/>
      <c r="AF3" s="16"/>
      <c r="AG3" s="16"/>
      <c r="AH3" s="17"/>
      <c r="AI3" s="16"/>
      <c r="AJ3" s="360"/>
      <c r="AK3" s="16"/>
      <c r="AL3" s="16"/>
      <c r="AM3" s="20"/>
      <c r="AN3" s="360"/>
      <c r="AO3" s="360"/>
      <c r="AP3" s="360"/>
      <c r="AV3" s="27"/>
      <c r="AW3" s="28"/>
      <c r="AX3" s="29"/>
      <c r="BA3" s="457"/>
      <c r="BB3" s="31"/>
    </row>
    <row r="4" s="56" customFormat="true" ht="14.1" hidden="false" customHeight="true" outlineLevel="0" collapsed="false">
      <c r="A4" s="395"/>
      <c r="B4" s="396"/>
      <c r="C4" s="397"/>
      <c r="D4" s="398" t="s">
        <v>3</v>
      </c>
      <c r="E4" s="397"/>
      <c r="F4" s="395"/>
      <c r="G4" s="396"/>
      <c r="H4" s="399"/>
      <c r="I4" s="400" t="s">
        <v>115</v>
      </c>
      <c r="J4" s="395"/>
      <c r="K4" s="395"/>
      <c r="L4" s="401"/>
      <c r="M4" s="395"/>
      <c r="N4" s="402"/>
      <c r="O4" s="395"/>
      <c r="P4" s="402"/>
      <c r="Q4" s="395"/>
      <c r="R4" s="395"/>
      <c r="S4" s="395"/>
      <c r="T4" s="395"/>
      <c r="U4" s="402"/>
      <c r="V4" s="400"/>
      <c r="W4" s="395"/>
      <c r="X4" s="400" t="s">
        <v>5</v>
      </c>
      <c r="Y4" s="397"/>
      <c r="Z4" s="395"/>
      <c r="AA4" s="397"/>
      <c r="AB4" s="395"/>
      <c r="AC4" s="395"/>
      <c r="AD4" s="395"/>
      <c r="AE4" s="395"/>
      <c r="AF4" s="395"/>
      <c r="AG4" s="395"/>
      <c r="AH4" s="404"/>
      <c r="AI4" s="395"/>
      <c r="AJ4" s="458"/>
      <c r="AK4" s="395"/>
      <c r="AL4" s="395"/>
      <c r="AM4" s="402"/>
      <c r="AN4" s="459"/>
      <c r="AO4" s="30"/>
      <c r="AP4" s="406" t="s">
        <v>6</v>
      </c>
      <c r="AQ4" s="48"/>
      <c r="AR4" s="407"/>
      <c r="AS4" s="42"/>
      <c r="AT4" s="405"/>
      <c r="AU4" s="405"/>
      <c r="AV4" s="408"/>
      <c r="AW4" s="409" t="s">
        <v>7</v>
      </c>
      <c r="AX4" s="410"/>
      <c r="AY4" s="57"/>
      <c r="AZ4" s="411"/>
      <c r="BA4" s="460"/>
      <c r="BB4" s="461"/>
    </row>
    <row r="5" s="193" customFormat="tru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424" t="s">
        <v>16</v>
      </c>
      <c r="M5" s="462" t="s">
        <v>18</v>
      </c>
      <c r="N5" s="462"/>
      <c r="O5" s="462"/>
      <c r="P5" s="462"/>
      <c r="Q5" s="462"/>
      <c r="R5" s="462"/>
      <c r="S5" s="462"/>
      <c r="T5" s="462"/>
      <c r="U5" s="462"/>
      <c r="V5" s="333" t="s">
        <v>19</v>
      </c>
      <c r="W5" s="333" t="s">
        <v>20</v>
      </c>
      <c r="X5" s="58" t="s">
        <v>17</v>
      </c>
      <c r="Y5" s="58" t="s">
        <v>17</v>
      </c>
      <c r="Z5" s="64" t="s">
        <v>21</v>
      </c>
      <c r="AA5" s="58" t="s">
        <v>21</v>
      </c>
      <c r="AB5" s="64" t="s">
        <v>21</v>
      </c>
      <c r="AC5" s="413" t="s">
        <v>22</v>
      </c>
      <c r="AD5" s="413" t="s">
        <v>21</v>
      </c>
      <c r="AE5" s="333" t="s">
        <v>23</v>
      </c>
      <c r="AF5" s="416" t="s">
        <v>132</v>
      </c>
      <c r="AG5" s="417"/>
      <c r="AH5" s="418" t="s">
        <v>25</v>
      </c>
      <c r="AI5" s="413" t="s">
        <v>133</v>
      </c>
      <c r="AJ5" s="413" t="s">
        <v>27</v>
      </c>
      <c r="AK5" s="333" t="s">
        <v>15</v>
      </c>
      <c r="AL5" s="333" t="s">
        <v>16</v>
      </c>
      <c r="AM5" s="333" t="s">
        <v>17</v>
      </c>
      <c r="AN5" s="463" t="s">
        <v>28</v>
      </c>
      <c r="AO5" s="64" t="s">
        <v>21</v>
      </c>
      <c r="AP5" s="70" t="s">
        <v>29</v>
      </c>
      <c r="AQ5" s="70" t="s">
        <v>29</v>
      </c>
      <c r="AR5" s="65" t="s">
        <v>30</v>
      </c>
      <c r="AS5" s="65" t="s">
        <v>31</v>
      </c>
      <c r="AT5" s="414" t="s">
        <v>32</v>
      </c>
      <c r="AU5" s="219" t="s">
        <v>33</v>
      </c>
      <c r="AV5" s="419" t="s">
        <v>34</v>
      </c>
      <c r="AW5" s="418" t="s">
        <v>35</v>
      </c>
      <c r="AX5" s="418" t="s">
        <v>36</v>
      </c>
      <c r="AY5" s="464"/>
      <c r="AZ5" s="305" t="s">
        <v>17</v>
      </c>
      <c r="BA5" s="72" t="s">
        <v>37</v>
      </c>
      <c r="BB5" s="76" t="s">
        <v>37</v>
      </c>
    </row>
    <row r="6" s="193" customFormat="true" ht="12.95" hidden="false" customHeight="true" outlineLevel="0" collapsed="false">
      <c r="A6" s="420" t="s">
        <v>137</v>
      </c>
      <c r="B6" s="412" t="s">
        <v>39</v>
      </c>
      <c r="C6" s="413"/>
      <c r="D6" s="333" t="s">
        <v>40</v>
      </c>
      <c r="E6" s="413" t="s">
        <v>41</v>
      </c>
      <c r="F6" s="333" t="s">
        <v>42</v>
      </c>
      <c r="G6" s="412" t="s">
        <v>43</v>
      </c>
      <c r="H6" s="414" t="s">
        <v>44</v>
      </c>
      <c r="I6" s="333" t="s">
        <v>45</v>
      </c>
      <c r="J6" s="333" t="s">
        <v>45</v>
      </c>
      <c r="K6" s="333" t="s">
        <v>45</v>
      </c>
      <c r="L6" s="424" t="s">
        <v>46</v>
      </c>
      <c r="M6" s="333" t="s">
        <v>47</v>
      </c>
      <c r="N6" s="72" t="s">
        <v>48</v>
      </c>
      <c r="O6" s="333" t="s">
        <v>49</v>
      </c>
      <c r="P6" s="72" t="s">
        <v>50</v>
      </c>
      <c r="Q6" s="61" t="s">
        <v>51</v>
      </c>
      <c r="R6" s="61" t="s">
        <v>52</v>
      </c>
      <c r="S6" s="61"/>
      <c r="T6" s="61" t="s">
        <v>49</v>
      </c>
      <c r="U6" s="422" t="s">
        <v>53</v>
      </c>
      <c r="V6" s="333" t="s">
        <v>54</v>
      </c>
      <c r="W6" s="333" t="s">
        <v>55</v>
      </c>
      <c r="X6" s="58" t="s">
        <v>21</v>
      </c>
      <c r="Y6" s="58" t="s">
        <v>21</v>
      </c>
      <c r="Z6" s="64" t="s">
        <v>56</v>
      </c>
      <c r="AA6" s="58" t="s">
        <v>56</v>
      </c>
      <c r="AB6" s="64" t="s">
        <v>57</v>
      </c>
      <c r="AC6" s="413" t="s">
        <v>58</v>
      </c>
      <c r="AD6" s="413" t="s">
        <v>59</v>
      </c>
      <c r="AE6" s="333" t="s">
        <v>60</v>
      </c>
      <c r="AF6" s="78" t="s">
        <v>61</v>
      </c>
      <c r="AG6" s="81" t="s">
        <v>62</v>
      </c>
      <c r="AH6" s="418" t="s">
        <v>63</v>
      </c>
      <c r="AI6" s="413" t="s">
        <v>64</v>
      </c>
      <c r="AJ6" s="413"/>
      <c r="AK6" s="333" t="s">
        <v>65</v>
      </c>
      <c r="AL6" s="333" t="s">
        <v>65</v>
      </c>
      <c r="AM6" s="333" t="s">
        <v>65</v>
      </c>
      <c r="AN6" s="463" t="s">
        <v>66</v>
      </c>
      <c r="AO6" s="64" t="s">
        <v>67</v>
      </c>
      <c r="AP6" s="70" t="s">
        <v>68</v>
      </c>
      <c r="AQ6" s="70" t="s">
        <v>68</v>
      </c>
      <c r="AR6" s="65" t="s">
        <v>69</v>
      </c>
      <c r="AS6" s="65" t="s">
        <v>70</v>
      </c>
      <c r="AT6" s="414" t="s">
        <v>71</v>
      </c>
      <c r="AU6" s="219" t="s">
        <v>72</v>
      </c>
      <c r="AV6" s="423"/>
      <c r="AW6" s="418" t="s">
        <v>73</v>
      </c>
      <c r="AX6" s="418" t="s">
        <v>73</v>
      </c>
      <c r="AY6" s="464"/>
      <c r="AZ6" s="305" t="s">
        <v>74</v>
      </c>
      <c r="BA6" s="72" t="s">
        <v>75</v>
      </c>
      <c r="BB6" s="76" t="s">
        <v>76</v>
      </c>
    </row>
    <row r="7" s="193" customFormat="true" ht="12.95" hidden="false" customHeight="true" outlineLevel="0" collapsed="false">
      <c r="A7" s="333"/>
      <c r="B7" s="412"/>
      <c r="C7" s="413"/>
      <c r="D7" s="333"/>
      <c r="E7" s="413"/>
      <c r="F7" s="333"/>
      <c r="G7" s="412"/>
      <c r="H7" s="414"/>
      <c r="I7" s="333"/>
      <c r="J7" s="333"/>
      <c r="K7" s="333"/>
      <c r="L7" s="424"/>
      <c r="M7" s="333"/>
      <c r="N7" s="72" t="s">
        <v>77</v>
      </c>
      <c r="O7" s="333" t="s">
        <v>78</v>
      </c>
      <c r="P7" s="72"/>
      <c r="Q7" s="61" t="s">
        <v>79</v>
      </c>
      <c r="R7" s="61" t="s">
        <v>79</v>
      </c>
      <c r="S7" s="61" t="s">
        <v>62</v>
      </c>
      <c r="T7" s="61" t="s">
        <v>62</v>
      </c>
      <c r="U7" s="422" t="s">
        <v>80</v>
      </c>
      <c r="V7" s="333"/>
      <c r="W7" s="333"/>
      <c r="X7" s="68" t="s">
        <v>81</v>
      </c>
      <c r="Y7" s="60" t="s">
        <v>82</v>
      </c>
      <c r="Z7" s="64" t="s">
        <v>83</v>
      </c>
      <c r="AA7" s="58" t="s">
        <v>84</v>
      </c>
      <c r="AB7" s="64" t="s">
        <v>85</v>
      </c>
      <c r="AC7" s="413"/>
      <c r="AD7" s="413"/>
      <c r="AE7" s="333"/>
      <c r="AF7" s="83" t="n">
        <v>1.7</v>
      </c>
      <c r="AG7" s="83" t="n">
        <v>1.3</v>
      </c>
      <c r="AH7" s="418"/>
      <c r="AI7" s="413"/>
      <c r="AJ7" s="413"/>
      <c r="AK7" s="333"/>
      <c r="AL7" s="333"/>
      <c r="AM7" s="333"/>
      <c r="AN7" s="463"/>
      <c r="AO7" s="64" t="s">
        <v>42</v>
      </c>
      <c r="AP7" s="70" t="s">
        <v>86</v>
      </c>
      <c r="AQ7" s="70" t="s">
        <v>87</v>
      </c>
      <c r="AR7" s="65" t="s">
        <v>88</v>
      </c>
      <c r="AS7" s="65" t="s">
        <v>89</v>
      </c>
      <c r="AT7" s="414" t="s">
        <v>90</v>
      </c>
      <c r="AU7" s="219" t="s">
        <v>91</v>
      </c>
      <c r="AV7" s="423"/>
      <c r="AW7" s="418"/>
      <c r="AX7" s="418"/>
      <c r="AY7" s="464"/>
      <c r="AZ7" s="305" t="s">
        <v>92</v>
      </c>
      <c r="BA7" s="8"/>
      <c r="BB7" s="85"/>
    </row>
    <row r="8" s="193" customFormat="true" ht="12.95" hidden="false" customHeight="true" outlineLevel="0" collapsed="false">
      <c r="A8" s="333"/>
      <c r="B8" s="412"/>
      <c r="C8" s="413"/>
      <c r="D8" s="333"/>
      <c r="E8" s="413"/>
      <c r="F8" s="333"/>
      <c r="G8" s="412"/>
      <c r="H8" s="414"/>
      <c r="I8" s="333"/>
      <c r="J8" s="333"/>
      <c r="K8" s="333"/>
      <c r="L8" s="424"/>
      <c r="M8" s="333"/>
      <c r="N8" s="72"/>
      <c r="O8" s="333"/>
      <c r="P8" s="72"/>
      <c r="Q8" s="61" t="s">
        <v>62</v>
      </c>
      <c r="R8" s="61" t="s">
        <v>62</v>
      </c>
      <c r="S8" s="61"/>
      <c r="T8" s="61"/>
      <c r="U8" s="422"/>
      <c r="V8" s="333"/>
      <c r="W8" s="333"/>
      <c r="X8" s="68" t="s">
        <v>93</v>
      </c>
      <c r="Y8" s="60" t="s">
        <v>81</v>
      </c>
      <c r="Z8" s="64"/>
      <c r="AA8" s="60" t="s">
        <v>94</v>
      </c>
      <c r="AB8" s="64" t="s">
        <v>95</v>
      </c>
      <c r="AC8" s="413"/>
      <c r="AD8" s="413"/>
      <c r="AE8" s="333"/>
      <c r="AF8" s="425"/>
      <c r="AG8" s="426"/>
      <c r="AH8" s="418"/>
      <c r="AI8" s="413"/>
      <c r="AJ8" s="413"/>
      <c r="AK8" s="333"/>
      <c r="AL8" s="333"/>
      <c r="AM8" s="333"/>
      <c r="AN8" s="463"/>
      <c r="AO8" s="64"/>
      <c r="AP8" s="70"/>
      <c r="AQ8" s="70"/>
      <c r="AR8" s="65"/>
      <c r="AS8" s="65"/>
      <c r="AT8" s="414"/>
      <c r="AU8" s="219"/>
      <c r="AV8" s="423"/>
      <c r="AW8" s="418"/>
      <c r="AX8" s="418"/>
      <c r="AY8" s="464"/>
      <c r="AZ8" s="305"/>
      <c r="BA8" s="8"/>
      <c r="BB8" s="85"/>
    </row>
    <row r="9" s="193" customFormat="true" ht="12.95" hidden="false" customHeight="true" outlineLevel="0" collapsed="false">
      <c r="A9" s="333"/>
      <c r="B9" s="412"/>
      <c r="C9" s="413"/>
      <c r="D9" s="333"/>
      <c r="E9" s="413"/>
      <c r="F9" s="333"/>
      <c r="G9" s="412"/>
      <c r="H9" s="414"/>
      <c r="I9" s="333"/>
      <c r="J9" s="333"/>
      <c r="K9" s="333"/>
      <c r="L9" s="424"/>
      <c r="M9" s="333"/>
      <c r="N9" s="72"/>
      <c r="O9" s="333"/>
      <c r="P9" s="72"/>
      <c r="Q9" s="61"/>
      <c r="R9" s="86" t="n">
        <v>4.2</v>
      </c>
      <c r="S9" s="61"/>
      <c r="T9" s="61"/>
      <c r="U9" s="422"/>
      <c r="V9" s="333"/>
      <c r="W9" s="333"/>
      <c r="X9" s="68"/>
      <c r="Y9" s="60" t="s">
        <v>93</v>
      </c>
      <c r="Z9" s="64"/>
      <c r="AA9" s="60" t="s">
        <v>93</v>
      </c>
      <c r="AB9" s="64" t="s">
        <v>96</v>
      </c>
      <c r="AC9" s="413"/>
      <c r="AD9" s="413"/>
      <c r="AE9" s="333"/>
      <c r="AF9" s="425"/>
      <c r="AG9" s="426"/>
      <c r="AH9" s="418"/>
      <c r="AI9" s="413"/>
      <c r="AJ9" s="413"/>
      <c r="AK9" s="333"/>
      <c r="AL9" s="333"/>
      <c r="AM9" s="333"/>
      <c r="AN9" s="463"/>
      <c r="AO9" s="64"/>
      <c r="AP9" s="70"/>
      <c r="AQ9" s="70"/>
      <c r="AR9" s="65"/>
      <c r="AS9" s="184"/>
      <c r="AT9" s="414"/>
      <c r="AU9" s="219"/>
      <c r="AV9" s="423"/>
      <c r="AW9" s="418"/>
      <c r="AX9" s="418"/>
      <c r="AY9" s="464"/>
      <c r="AZ9" s="305"/>
      <c r="BA9" s="8"/>
      <c r="BB9" s="76" t="s">
        <v>97</v>
      </c>
    </row>
    <row r="10" s="193" customFormat="true" ht="12.95" hidden="false" customHeight="true" outlineLevel="0" collapsed="false">
      <c r="A10" s="333"/>
      <c r="B10" s="412"/>
      <c r="C10" s="413" t="s">
        <v>10</v>
      </c>
      <c r="D10" s="333"/>
      <c r="E10" s="413" t="s">
        <v>99</v>
      </c>
      <c r="F10" s="333"/>
      <c r="G10" s="412" t="s">
        <v>42</v>
      </c>
      <c r="H10" s="414" t="s">
        <v>42</v>
      </c>
      <c r="I10" s="414" t="s">
        <v>42</v>
      </c>
      <c r="J10" s="414" t="s">
        <v>42</v>
      </c>
      <c r="K10" s="414" t="s">
        <v>42</v>
      </c>
      <c r="L10" s="427" t="s">
        <v>42</v>
      </c>
      <c r="M10" s="414"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4" t="s">
        <v>42</v>
      </c>
      <c r="AE10" s="414" t="s">
        <v>42</v>
      </c>
      <c r="AF10" s="428" t="s">
        <v>42</v>
      </c>
      <c r="AG10" s="427" t="s">
        <v>42</v>
      </c>
      <c r="AH10" s="414" t="s">
        <v>42</v>
      </c>
      <c r="AI10" s="414" t="s">
        <v>42</v>
      </c>
      <c r="AJ10" s="414" t="s">
        <v>42</v>
      </c>
      <c r="AK10" s="414" t="s">
        <v>42</v>
      </c>
      <c r="AL10" s="414" t="s">
        <v>42</v>
      </c>
      <c r="AM10" s="414" t="s">
        <v>42</v>
      </c>
      <c r="AN10" s="463" t="s">
        <v>42</v>
      </c>
      <c r="AO10" s="64" t="s">
        <v>42</v>
      </c>
      <c r="AP10" s="64" t="s">
        <v>42</v>
      </c>
      <c r="AQ10" s="70" t="s">
        <v>100</v>
      </c>
      <c r="AR10" s="65" t="s">
        <v>42</v>
      </c>
      <c r="AS10" s="65" t="s">
        <v>42</v>
      </c>
      <c r="AT10" s="64" t="s">
        <v>42</v>
      </c>
      <c r="AU10" s="64" t="s">
        <v>42</v>
      </c>
      <c r="AV10" s="423"/>
      <c r="AW10" s="418"/>
      <c r="AX10" s="418"/>
      <c r="AY10" s="265"/>
      <c r="AZ10" s="305" t="s">
        <v>101</v>
      </c>
      <c r="BA10" s="72" t="s">
        <v>42</v>
      </c>
      <c r="BB10" s="76" t="s">
        <v>99</v>
      </c>
    </row>
    <row r="11" s="193" customFormat="true" ht="12.95" hidden="false" customHeight="true" outlineLevel="0" collapsed="false">
      <c r="A11" s="333"/>
      <c r="B11" s="412"/>
      <c r="C11" s="413"/>
      <c r="D11" s="333"/>
      <c r="E11" s="413"/>
      <c r="F11" s="465"/>
      <c r="G11" s="333"/>
      <c r="H11" s="414"/>
      <c r="I11" s="333"/>
      <c r="J11" s="333"/>
      <c r="K11" s="333"/>
      <c r="L11" s="424"/>
      <c r="M11" s="333"/>
      <c r="N11" s="72" t="n">
        <v>1.03</v>
      </c>
      <c r="O11" s="430" t="n">
        <v>1.05</v>
      </c>
      <c r="P11" s="72" t="n">
        <v>1.02</v>
      </c>
      <c r="Q11" s="87" t="n">
        <v>1.02</v>
      </c>
      <c r="R11" s="88" t="n">
        <v>1.04</v>
      </c>
      <c r="S11" s="61"/>
      <c r="T11" s="87" t="n">
        <v>1.04</v>
      </c>
      <c r="U11" s="422"/>
      <c r="V11" s="333"/>
      <c r="W11" s="333"/>
      <c r="X11" s="61" t="s">
        <v>42</v>
      </c>
      <c r="Y11" s="61" t="s">
        <v>42</v>
      </c>
      <c r="Z11" s="61" t="s">
        <v>42</v>
      </c>
      <c r="AA11" s="60" t="s">
        <v>42</v>
      </c>
      <c r="AB11" s="89" t="s">
        <v>102</v>
      </c>
      <c r="AC11" s="413"/>
      <c r="AD11" s="413"/>
      <c r="AE11" s="333"/>
      <c r="AF11" s="425"/>
      <c r="AG11" s="426"/>
      <c r="AH11" s="418"/>
      <c r="AI11" s="413"/>
      <c r="AJ11" s="413"/>
      <c r="AK11" s="333"/>
      <c r="AL11" s="333"/>
      <c r="AM11" s="333"/>
      <c r="AN11" s="463"/>
      <c r="AO11" s="64"/>
      <c r="AP11" s="70"/>
      <c r="AQ11" s="70"/>
      <c r="AR11" s="65"/>
      <c r="AS11" s="354"/>
      <c r="AT11" s="335"/>
      <c r="AU11" s="189"/>
      <c r="AV11" s="423"/>
      <c r="AW11" s="418"/>
      <c r="AX11" s="418"/>
      <c r="AY11" s="265"/>
      <c r="AZ11" s="305" t="s">
        <v>42</v>
      </c>
      <c r="BA11" s="8"/>
      <c r="BB11" s="85"/>
    </row>
    <row r="12" customFormat="false" ht="12.95" hidden="false" customHeight="true" outlineLevel="0" collapsed="false">
      <c r="A12" s="11" t="s">
        <v>103</v>
      </c>
      <c r="B12" s="364"/>
      <c r="C12" s="99"/>
      <c r="D12" s="99"/>
      <c r="E12" s="99"/>
      <c r="F12" s="156" t="n">
        <f aca="false">MAY!F50</f>
        <v>38678.5984371061</v>
      </c>
      <c r="G12" s="99" t="n">
        <f aca="false">MAY!G50</f>
        <v>59126</v>
      </c>
      <c r="H12" s="99" t="n">
        <f aca="false">MAY!H50</f>
        <v>607.374</v>
      </c>
      <c r="I12" s="99" t="n">
        <f aca="false">MAY!I50</f>
        <v>59733.374</v>
      </c>
      <c r="J12" s="99" t="n">
        <f aca="false">MAY!J50</f>
        <v>1605.90861557852</v>
      </c>
      <c r="K12" s="99" t="n">
        <f aca="false">MAY!K50</f>
        <v>61339.2726155785</v>
      </c>
      <c r="L12" s="104" t="n">
        <f aca="false">MAY!L50</f>
        <v>342.904437106124</v>
      </c>
      <c r="M12" s="99" t="n">
        <f aca="false">MAY!M50</f>
        <v>9038.3</v>
      </c>
      <c r="N12" s="99" t="n">
        <f aca="false">MAY!N50</f>
        <v>0</v>
      </c>
      <c r="O12" s="99" t="n">
        <f aca="false">MAY!O50</f>
        <v>3428.376</v>
      </c>
      <c r="P12" s="88" t="n">
        <f aca="false">MAY!P50</f>
        <v>0</v>
      </c>
      <c r="Q12" s="163"/>
      <c r="R12" s="163"/>
      <c r="S12" s="99"/>
      <c r="T12" s="99"/>
      <c r="U12" s="365"/>
      <c r="V12" s="99" t="n">
        <f aca="false">MAY!V50</f>
        <v>4693.78</v>
      </c>
      <c r="W12" s="99" t="n">
        <f aca="false">MAY!W50</f>
        <v>1806.26</v>
      </c>
      <c r="X12" s="99" t="n">
        <f aca="false">MAY!X50</f>
        <v>12208.7430779706</v>
      </c>
      <c r="Y12" s="99" t="n">
        <f aca="false">MAY!Y50</f>
        <v>12052.9066228141</v>
      </c>
      <c r="Z12" s="113" t="n">
        <f aca="false">MAY!Z45</f>
        <v>27173.9640099058</v>
      </c>
      <c r="AA12" s="113" t="n">
        <f aca="false">MAY!AA50</f>
        <v>-217.458986187857</v>
      </c>
      <c r="AB12" s="113" t="n">
        <f aca="false">MAY!AB45</f>
        <v>72431.3298991036</v>
      </c>
      <c r="AC12" s="113" t="n">
        <f aca="false">MAY!AC45</f>
        <v>1370.84661738774</v>
      </c>
      <c r="AD12" s="84"/>
      <c r="AE12" s="99" t="n">
        <f aca="false">MAY!AE50</f>
        <v>3898.83</v>
      </c>
      <c r="AF12" s="103" t="n">
        <f aca="false">MAY!AF50</f>
        <v>103.7</v>
      </c>
      <c r="AG12" s="104" t="n">
        <f aca="false">MAY!AG50</f>
        <v>79.3</v>
      </c>
      <c r="AH12" s="84"/>
      <c r="AI12" s="84"/>
      <c r="AJ12" s="99" t="n">
        <f aca="false">MAY!AJ50</f>
        <v>0</v>
      </c>
      <c r="AK12" s="99" t="n">
        <f aca="false">MAY!AK50</f>
        <v>21397.67</v>
      </c>
      <c r="AL12" s="99" t="n">
        <f aca="false">MAY!AL50</f>
        <v>1263.0041784724</v>
      </c>
      <c r="AM12" s="99" t="n">
        <f aca="false">MAY!AM50</f>
        <v>22660.6741784724</v>
      </c>
      <c r="AN12" s="466"/>
      <c r="AO12" s="157"/>
      <c r="AP12" s="84"/>
      <c r="AQ12" s="99" t="n">
        <f aca="false">MAY!AQ51</f>
        <v>700.79312058197</v>
      </c>
      <c r="AR12" s="108" t="n">
        <f aca="false">MAY!AR50</f>
        <v>412.91</v>
      </c>
      <c r="AS12" s="163" t="n">
        <f aca="false">MAY!AS50</f>
        <v>0</v>
      </c>
      <c r="AT12" s="99" t="n">
        <f aca="false">MAY!AT50</f>
        <v>0</v>
      </c>
      <c r="AU12" s="467"/>
      <c r="AV12" s="468"/>
      <c r="AW12" s="108"/>
      <c r="AX12" s="108"/>
      <c r="AY12" s="148"/>
      <c r="AZ12" s="469" t="n">
        <f aca="false">MAY!AZ50</f>
        <v>350.828422029366</v>
      </c>
      <c r="BA12" s="98" t="n">
        <f aca="false">MAY!BA50</f>
        <v>4.767</v>
      </c>
      <c r="BB12" s="470"/>
    </row>
    <row r="13" s="115" customFormat="true" ht="12.95" hidden="false" customHeight="true" outlineLevel="0" collapsed="false">
      <c r="A13" s="2" t="s">
        <v>104</v>
      </c>
      <c r="B13" s="138" t="n">
        <f aca="false">MAY!B45</f>
        <v>6896.31</v>
      </c>
      <c r="C13" s="99" t="n">
        <f aca="false">MAY!C45</f>
        <v>270167</v>
      </c>
      <c r="D13" s="99" t="n">
        <f aca="false">MAY!D54</f>
        <v>96445</v>
      </c>
      <c r="E13" s="99" t="n">
        <f aca="false">MAY!E54</f>
        <v>118167</v>
      </c>
      <c r="F13" s="174" t="n">
        <f aca="false">MAY!F53</f>
        <v>48623.6450718427</v>
      </c>
      <c r="G13" s="99" t="n">
        <f aca="false">MAY!G53</f>
        <v>71643</v>
      </c>
      <c r="H13" s="99" t="n">
        <f aca="false">MAY!H53</f>
        <v>637.479</v>
      </c>
      <c r="I13" s="99" t="n">
        <f aca="false">MAY!I53</f>
        <v>72279.859</v>
      </c>
      <c r="J13" s="99" t="n">
        <f aca="false">MAY!J53</f>
        <v>3521.62554827325</v>
      </c>
      <c r="K13" s="99" t="n">
        <f aca="false">MAY!K53</f>
        <v>75801.4745482733</v>
      </c>
      <c r="L13" s="162" t="n">
        <f aca="false">MAY!L53</f>
        <v>1382.2060718427</v>
      </c>
      <c r="M13" s="99" t="n">
        <f aca="false">MAY!M53</f>
        <v>9675.34</v>
      </c>
      <c r="N13" s="99" t="n">
        <f aca="false">MAY!N53</f>
        <v>0</v>
      </c>
      <c r="O13" s="99" t="n">
        <f aca="false">MAY!O53</f>
        <v>3428.376</v>
      </c>
      <c r="P13" s="88"/>
      <c r="Q13" s="99" t="n">
        <f aca="false">MAY!Q53</f>
        <v>347.415007481096</v>
      </c>
      <c r="R13" s="99" t="n">
        <f aca="false">MAY!R53</f>
        <v>418.870245754581</v>
      </c>
      <c r="S13" s="99" t="n">
        <f aca="false">MAY!S53</f>
        <v>14.09427008</v>
      </c>
      <c r="T13" s="99" t="n">
        <f aca="false">MAY!T53</f>
        <v>113.28670288</v>
      </c>
      <c r="U13" s="471" t="n">
        <f aca="false">MAY!U53</f>
        <v>-65.0339372790604</v>
      </c>
      <c r="V13" s="99" t="n">
        <f aca="false">MAY!V53</f>
        <v>4693.78</v>
      </c>
      <c r="W13" s="99" t="n">
        <f aca="false">MAY!W53</f>
        <v>1806.26</v>
      </c>
      <c r="X13" s="99" t="n">
        <f aca="false">MAY!X53</f>
        <v>12316.2415110834</v>
      </c>
      <c r="Y13" s="99" t="n">
        <f aca="false">MAY!Y53</f>
        <v>12160.4050559269</v>
      </c>
      <c r="Z13" s="84"/>
      <c r="AA13" s="99"/>
      <c r="AB13" s="113"/>
      <c r="AC13" s="84"/>
      <c r="AD13" s="84"/>
      <c r="AE13" s="99"/>
      <c r="AF13" s="369" t="n">
        <f aca="false">AF12</f>
        <v>103.7</v>
      </c>
      <c r="AG13" s="162" t="n">
        <f aca="false">AG12</f>
        <v>79.3</v>
      </c>
      <c r="AH13" s="99" t="n">
        <f aca="false">MAY!AH53</f>
        <v>4964.2</v>
      </c>
      <c r="AI13" s="99" t="n">
        <f aca="false">MAY!AI53</f>
        <v>12663.6492311571</v>
      </c>
      <c r="AJ13" s="99" t="n">
        <f aca="false">MAY!AJ53</f>
        <v>0</v>
      </c>
      <c r="AK13" s="99" t="n">
        <f aca="false">MAY!AK53</f>
        <v>25038.41</v>
      </c>
      <c r="AL13" s="99" t="n">
        <f aca="false">MAY!AL53</f>
        <v>2139.41947643055</v>
      </c>
      <c r="AM13" s="99" t="n">
        <f aca="false">MAY!AM53</f>
        <v>27177.8294764306</v>
      </c>
      <c r="AN13" s="366" t="n">
        <f aca="false">MAY!AN53</f>
        <v>2927.4</v>
      </c>
      <c r="AO13" s="99" t="n">
        <f aca="false">MAY!AO53</f>
        <v>235.836455156528</v>
      </c>
      <c r="AP13" s="141"/>
      <c r="AQ13" s="99" t="n">
        <f aca="false">MAY!AQ54</f>
        <v>700.79312058197</v>
      </c>
      <c r="AR13" s="108" t="n">
        <f aca="false">MAY!AR53</f>
        <v>412.91</v>
      </c>
      <c r="AS13" s="163" t="n">
        <f aca="false">MAY!AS53</f>
        <v>0</v>
      </c>
      <c r="AT13" s="99" t="n">
        <f aca="false">MAY!AT53</f>
        <v>0</v>
      </c>
      <c r="AU13" s="472"/>
      <c r="AV13" s="138" t="n">
        <f aca="false">MAY!AV53</f>
        <v>6.14</v>
      </c>
      <c r="AW13" s="108"/>
      <c r="AX13" s="108"/>
      <c r="AY13" s="370"/>
      <c r="AZ13" s="473" t="n">
        <f aca="false">MAY!AZ53</f>
        <v>828.632288916616</v>
      </c>
      <c r="BA13" s="98" t="n">
        <f aca="false">MAY!BA53</f>
        <v>4.767</v>
      </c>
      <c r="BB13" s="96"/>
    </row>
    <row r="14" customFormat="false" ht="3" hidden="false" customHeight="true" outlineLevel="0" collapsed="false">
      <c r="A14" s="116"/>
      <c r="B14" s="371"/>
      <c r="C14" s="126"/>
      <c r="D14" s="123"/>
      <c r="E14" s="126"/>
      <c r="F14" s="153"/>
      <c r="G14" s="123"/>
      <c r="H14" s="125"/>
      <c r="I14" s="123"/>
      <c r="J14" s="123"/>
      <c r="K14" s="123"/>
      <c r="L14" s="123"/>
      <c r="M14" s="127"/>
      <c r="N14" s="123"/>
      <c r="O14" s="125" t="n">
        <v>0</v>
      </c>
      <c r="P14" s="372"/>
      <c r="Q14" s="125"/>
      <c r="R14" s="125"/>
      <c r="S14" s="123"/>
      <c r="T14" s="123"/>
      <c r="U14" s="373"/>
      <c r="V14" s="123"/>
      <c r="W14" s="123" t="n">
        <v>0</v>
      </c>
      <c r="X14" s="123"/>
      <c r="Y14" s="123"/>
      <c r="Z14" s="126"/>
      <c r="AA14" s="123"/>
      <c r="AB14" s="247"/>
      <c r="AC14" s="126"/>
      <c r="AD14" s="126"/>
      <c r="AE14" s="123"/>
      <c r="AF14" s="127"/>
      <c r="AG14" s="128"/>
      <c r="AH14" s="123"/>
      <c r="AI14" s="126"/>
      <c r="AJ14" s="126"/>
      <c r="AK14" s="123"/>
      <c r="AL14" s="123"/>
      <c r="AM14" s="123"/>
      <c r="AN14" s="474"/>
      <c r="AO14" s="130"/>
      <c r="AP14" s="130"/>
      <c r="AQ14" s="252"/>
      <c r="AR14" s="254"/>
      <c r="AS14" s="254"/>
      <c r="AT14" s="257"/>
      <c r="AU14" s="254"/>
      <c r="AV14" s="132"/>
      <c r="AW14" s="130"/>
      <c r="AX14" s="130"/>
      <c r="AY14" s="169"/>
      <c r="AZ14" s="475"/>
      <c r="BA14" s="372"/>
      <c r="BB14" s="475"/>
    </row>
    <row r="15" customFormat="false" ht="12.95" hidden="false" customHeight="true" outlineLevel="0" collapsed="false">
      <c r="A15" s="10" t="n">
        <v>1</v>
      </c>
      <c r="B15" s="367" t="n">
        <v>6897.06</v>
      </c>
      <c r="C15" s="99" t="n">
        <v>272860</v>
      </c>
      <c r="D15" s="108" t="n">
        <f aca="false">C15-C13</f>
        <v>2693</v>
      </c>
      <c r="E15" s="99" t="n">
        <f aca="false">C15-152000</f>
        <v>120860</v>
      </c>
      <c r="F15" s="151" t="n">
        <f aca="false">D15/$D$2</f>
        <v>1357.70103352659</v>
      </c>
      <c r="G15" s="141" t="n">
        <v>2090</v>
      </c>
      <c r="H15" s="102" t="n">
        <v>0.333</v>
      </c>
      <c r="I15" s="141" t="n">
        <f aca="false">G15+H15</f>
        <v>2090.333</v>
      </c>
      <c r="J15" s="375" t="n">
        <f aca="false">IF(L15&gt;0,L15,0)</f>
        <v>0</v>
      </c>
      <c r="K15" s="141" t="n">
        <f aca="false">I15+J15</f>
        <v>2090.333</v>
      </c>
      <c r="L15" s="141" t="n">
        <f aca="false">F15-(I15-AK15)</f>
        <v>-95.5319664734059</v>
      </c>
      <c r="M15" s="144" t="n">
        <v>260</v>
      </c>
      <c r="N15" s="171" t="n">
        <v>0</v>
      </c>
      <c r="O15" s="143" t="n">
        <f aca="false">45.6*1.05</f>
        <v>47.88</v>
      </c>
      <c r="P15" s="171" t="n">
        <v>0</v>
      </c>
      <c r="Q15" s="476" t="n">
        <f aca="false">1831500/325851/1.9835*1.02</f>
        <v>2.89038591228571</v>
      </c>
      <c r="R15" s="477" t="n">
        <v>4.2</v>
      </c>
      <c r="S15" s="477" t="n">
        <f aca="false">((5.9*1.04)-T15)-4.2</f>
        <v>0.716635360000001</v>
      </c>
      <c r="T15" s="477" t="n">
        <f aca="false">(1.1061*1.06)*1.04</f>
        <v>1.21936464</v>
      </c>
      <c r="U15" s="365" t="n">
        <v>0</v>
      </c>
      <c r="V15" s="141" t="n">
        <v>50.5</v>
      </c>
      <c r="W15" s="141" t="n">
        <v>68.7</v>
      </c>
      <c r="X15" s="142" t="n">
        <f aca="false">M15-N15-O15-P15-Q15-R15-S15-T15-U15+V15+W15-AT15+AR15</f>
        <v>351.978447295008</v>
      </c>
      <c r="Y15" s="142" t="n">
        <f aca="false">X15-AO15</f>
        <v>351.978447295008</v>
      </c>
      <c r="Z15" s="113" t="n">
        <f aca="false">Z12-Y15</f>
        <v>26821.9855626108</v>
      </c>
      <c r="AA15" s="142" t="n">
        <f aca="false">Y15</f>
        <v>351.978447295008</v>
      </c>
      <c r="AB15" s="113"/>
      <c r="AC15" s="113" t="n">
        <f aca="false">AC12-(MAY!AQ45/1.9835)</f>
        <v>1360.82862083087</v>
      </c>
      <c r="AD15" s="84"/>
      <c r="AE15" s="141" t="n">
        <v>197</v>
      </c>
      <c r="AF15" s="144" t="n">
        <v>1.7</v>
      </c>
      <c r="AG15" s="145" t="n">
        <v>1.3</v>
      </c>
      <c r="AH15" s="141" t="n">
        <v>60.9</v>
      </c>
      <c r="AI15" s="84" t="n">
        <f aca="false">AI13-AH15</f>
        <v>12602.7492311571</v>
      </c>
      <c r="AJ15" s="141"/>
      <c r="AK15" s="141" t="n">
        <f aca="false">N16+O15+P15+Q15+R15+S15+T15+U15+X15+AE15+AH15-AR15</f>
        <v>637.1</v>
      </c>
      <c r="AL15" s="141" t="n">
        <f aca="false">IF(L15&lt;0,L15*-1,0)</f>
        <v>95.5319664734059</v>
      </c>
      <c r="AM15" s="141" t="n">
        <f aca="false">AK15+AL15</f>
        <v>732.631966473406</v>
      </c>
      <c r="AN15" s="466"/>
      <c r="AO15" s="157"/>
      <c r="AP15" s="157" t="n">
        <f aca="false">IF((I15-Q15-R15-X15-AF15)&gt;0,0,I15-Q15-R15-X15-AF15)</f>
        <v>0</v>
      </c>
      <c r="AQ15" s="171" t="n">
        <f aca="false">80.917*(16429*1.9835+AC15*1.9835)/E15</f>
        <v>23.6244198431416</v>
      </c>
      <c r="AR15" s="143" t="n">
        <f aca="false">1766.396/1.9835/30</f>
        <v>29.6848332072935</v>
      </c>
      <c r="AS15" s="102"/>
      <c r="AT15" s="185"/>
      <c r="AV15" s="107" t="n">
        <v>0</v>
      </c>
      <c r="AW15" s="108" t="n">
        <v>82</v>
      </c>
      <c r="AX15" s="108" t="n">
        <v>47</v>
      </c>
      <c r="AY15" s="148"/>
      <c r="AZ15" s="264" t="n">
        <f aca="false">SUM(N16,P15:U15)</f>
        <v>9.02638591228571</v>
      </c>
      <c r="BA15" s="98" t="n">
        <v>0.457</v>
      </c>
      <c r="BB15" s="470" t="n">
        <v>15216</v>
      </c>
    </row>
    <row r="16" customFormat="false" ht="12.95" hidden="false" customHeight="true" outlineLevel="0" collapsed="false">
      <c r="A16" s="10" t="n">
        <f aca="false">A15+1</f>
        <v>2</v>
      </c>
      <c r="B16" s="367" t="n">
        <v>6897.74</v>
      </c>
      <c r="C16" s="99" t="n">
        <v>275320</v>
      </c>
      <c r="D16" s="108" t="n">
        <f aca="false">C16-C15</f>
        <v>2460</v>
      </c>
      <c r="E16" s="99" t="n">
        <f aca="false">C16-152000</f>
        <v>123320</v>
      </c>
      <c r="F16" s="151" t="n">
        <f aca="false">D16/$D$2</f>
        <v>1240.2319132846</v>
      </c>
      <c r="G16" s="141" t="n">
        <v>2030</v>
      </c>
      <c r="H16" s="102" t="n">
        <v>0.258</v>
      </c>
      <c r="I16" s="141" t="n">
        <f aca="false">G16+H16</f>
        <v>2030.258</v>
      </c>
      <c r="J16" s="375" t="n">
        <f aca="false">IF(L16&gt;0,L16,0)</f>
        <v>0</v>
      </c>
      <c r="K16" s="141" t="n">
        <f aca="false">I16+J16</f>
        <v>2030.258</v>
      </c>
      <c r="L16" s="141" t="n">
        <f aca="false">F16-(I16-AK16)</f>
        <v>-98.2068026216286</v>
      </c>
      <c r="M16" s="144" t="n">
        <v>267</v>
      </c>
      <c r="N16" s="171" t="n">
        <v>0</v>
      </c>
      <c r="O16" s="376" t="n">
        <f aca="false">48.9*1.05</f>
        <v>51.345</v>
      </c>
      <c r="P16" s="171" t="n">
        <v>0</v>
      </c>
      <c r="Q16" s="476" t="n">
        <f aca="false">1785400/325851/1.9835*1.02</f>
        <v>2.81763309188911</v>
      </c>
      <c r="R16" s="477" t="n">
        <v>4.2</v>
      </c>
      <c r="S16" s="477" t="n">
        <f aca="false">((6.6*1.04)-T16)-4.2</f>
        <v>1.44463536</v>
      </c>
      <c r="T16" s="477" t="n">
        <f aca="false">(1.1061*1.06)*1.04</f>
        <v>1.21936464</v>
      </c>
      <c r="U16" s="365" t="n">
        <v>0</v>
      </c>
      <c r="V16" s="141" t="n">
        <v>50.4</v>
      </c>
      <c r="W16" s="141" t="n">
        <v>72.2</v>
      </c>
      <c r="X16" s="142" t="n">
        <f aca="false">M16-N16-O16-P16-Q16-R16-S16-T16-U16+V16+W16-AT16+AR16</f>
        <v>358.258200115404</v>
      </c>
      <c r="Y16" s="142" t="n">
        <f aca="false">X16-AO16</f>
        <v>358.258200115404</v>
      </c>
      <c r="Z16" s="113" t="n">
        <f aca="false">Z15-Y16</f>
        <v>26463.7273624954</v>
      </c>
      <c r="AA16" s="142" t="n">
        <f aca="false">Y16</f>
        <v>358.258200115404</v>
      </c>
      <c r="AB16" s="113"/>
      <c r="AC16" s="113" t="n">
        <f aca="false">AC15-(AQ15/1.9835)</f>
        <v>1348.91814952099</v>
      </c>
      <c r="AD16" s="113"/>
      <c r="AE16" s="141" t="n">
        <v>237</v>
      </c>
      <c r="AF16" s="144" t="n">
        <v>1.7</v>
      </c>
      <c r="AG16" s="145" t="n">
        <v>1.3</v>
      </c>
      <c r="AH16" s="141" t="n">
        <v>64.7</v>
      </c>
      <c r="AI16" s="84" t="n">
        <f aca="false">AI15-AH16</f>
        <v>12538.0492311571</v>
      </c>
      <c r="AJ16" s="141"/>
      <c r="AK16" s="141" t="n">
        <f aca="false">N17+O16+P16+Q16+R16+S16+T16+U16+X16+AE16+AH16-AR16</f>
        <v>691.819284093774</v>
      </c>
      <c r="AL16" s="141" t="n">
        <f aca="false">IF(L16&lt;0,L16*-1,0)</f>
        <v>98.2068026216286</v>
      </c>
      <c r="AM16" s="141" t="n">
        <f aca="false">AK16+AL16</f>
        <v>790.026086715402</v>
      </c>
      <c r="AN16" s="466"/>
      <c r="AO16" s="157"/>
      <c r="AP16" s="157" t="n">
        <f aca="false">IF((I16-Q16-R16-X16-AF16)&gt;0,0,I16-Q16-R16-X16-AF16)</f>
        <v>0</v>
      </c>
      <c r="AQ16" s="171" t="n">
        <f aca="false">39.195*(16429*1.9835+AC16*1.9835)/E16</f>
        <v>11.20753902822</v>
      </c>
      <c r="AR16" s="143" t="n">
        <f aca="false">1766.396/1.9835/30</f>
        <v>29.6848332072935</v>
      </c>
      <c r="AS16" s="102"/>
      <c r="AT16" s="185"/>
      <c r="AV16" s="107" t="n">
        <v>0</v>
      </c>
      <c r="AW16" s="108" t="n">
        <v>86</v>
      </c>
      <c r="AX16" s="108" t="n">
        <v>46</v>
      </c>
      <c r="AY16" s="148"/>
      <c r="AZ16" s="264" t="n">
        <f aca="false">SUM(N17,P16:U16)</f>
        <v>10.2009171856627</v>
      </c>
      <c r="BA16" s="98" t="n">
        <v>0.479</v>
      </c>
      <c r="BB16" s="470" t="n">
        <v>15357</v>
      </c>
    </row>
    <row r="17" customFormat="false" ht="12.95" hidden="false" customHeight="true" outlineLevel="0" collapsed="false">
      <c r="A17" s="10" t="n">
        <f aca="false">A16+1</f>
        <v>3</v>
      </c>
      <c r="B17" s="367" t="n">
        <v>6898.29</v>
      </c>
      <c r="C17" s="99" t="n">
        <v>277318</v>
      </c>
      <c r="D17" s="108" t="n">
        <f aca="false">C17-C16</f>
        <v>1998</v>
      </c>
      <c r="E17" s="99" t="n">
        <f aca="false">C17-152000</f>
        <v>125318</v>
      </c>
      <c r="F17" s="151" t="n">
        <f aca="false">D17/$D$2</f>
        <v>1007.31031005798</v>
      </c>
      <c r="G17" s="141" t="n">
        <v>1870</v>
      </c>
      <c r="H17" s="102" t="n">
        <v>0.208</v>
      </c>
      <c r="I17" s="141" t="n">
        <f aca="false">G17+H17</f>
        <v>1870.208</v>
      </c>
      <c r="J17" s="375" t="n">
        <f aca="false">IF(L17&gt;0,L17,0)</f>
        <v>0</v>
      </c>
      <c r="K17" s="141" t="n">
        <f aca="false">I17+J17</f>
        <v>1870.208</v>
      </c>
      <c r="L17" s="141" t="n">
        <f aca="false">F17-(I17-AK17)</f>
        <v>-168.697689942022</v>
      </c>
      <c r="M17" s="144" t="n">
        <v>260</v>
      </c>
      <c r="N17" s="171" t="n">
        <f aca="false">1/$D$2*1.03</f>
        <v>0.519284093773632</v>
      </c>
      <c r="O17" s="163" t="n">
        <f aca="false">30.1*1.05</f>
        <v>31.605</v>
      </c>
      <c r="P17" s="171" t="n">
        <v>0</v>
      </c>
      <c r="Q17" s="476" t="n">
        <f aca="false">1640500/325851/1.9835*1.02</f>
        <v>2.58895882560999</v>
      </c>
      <c r="R17" s="477" t="n">
        <v>4.2</v>
      </c>
      <c r="S17" s="477" t="n">
        <f aca="false">((6.7*1.04)-T17)-4.2</f>
        <v>1.54863536</v>
      </c>
      <c r="T17" s="477" t="n">
        <f aca="false">(1.1061*1.06)*1.04</f>
        <v>1.21936464</v>
      </c>
      <c r="U17" s="365" t="n">
        <v>0</v>
      </c>
      <c r="V17" s="141" t="n">
        <v>50.7</v>
      </c>
      <c r="W17" s="141" t="n">
        <v>74.8</v>
      </c>
      <c r="X17" s="142" t="n">
        <f aca="false">M17-N17-O17-P17-Q17-R17-S17-T17-U17+V17+W17-AT17+AR17</f>
        <v>373.50359028791</v>
      </c>
      <c r="Y17" s="142" t="n">
        <f aca="false">X17-AO17</f>
        <v>373.50359028791</v>
      </c>
      <c r="Z17" s="113" t="n">
        <f aca="false">Z16-Y17</f>
        <v>26090.2237722075</v>
      </c>
      <c r="AA17" s="142" t="n">
        <f aca="false">Y17</f>
        <v>373.50359028791</v>
      </c>
      <c r="AB17" s="113"/>
      <c r="AC17" s="113" t="n">
        <f aca="false">AC16-(AQ16/1.9835)</f>
        <v>1343.26776432905</v>
      </c>
      <c r="AD17" s="113"/>
      <c r="AE17" s="141" t="n">
        <v>244</v>
      </c>
      <c r="AF17" s="144" t="n">
        <v>1.7</v>
      </c>
      <c r="AG17" s="145" t="n">
        <v>1.3</v>
      </c>
      <c r="AH17" s="141" t="n">
        <v>64.7</v>
      </c>
      <c r="AI17" s="84" t="n">
        <f aca="false">AI16-AH17</f>
        <v>12473.3492311571</v>
      </c>
      <c r="AJ17" s="141"/>
      <c r="AK17" s="141" t="n">
        <f aca="false">N18+O17+P17+Q17+R17+S17+T17+U17+X17+AE17+AH17-AR17</f>
        <v>694.2</v>
      </c>
      <c r="AL17" s="141" t="n">
        <f aca="false">IF(L17&lt;0,L17*-1,0)</f>
        <v>168.697689942022</v>
      </c>
      <c r="AM17" s="141" t="n">
        <f aca="false">AK17+AL17</f>
        <v>862.897689942022</v>
      </c>
      <c r="AN17" s="466"/>
      <c r="AO17" s="157"/>
      <c r="AP17" s="157" t="n">
        <f aca="false">IF((I17-Q17-R17-X17-AF17)&gt;0,0,I17-Q17-R17-X17-AF17)</f>
        <v>0</v>
      </c>
      <c r="AQ17" s="171" t="n">
        <f aca="false">69.069*(16429*1.9835+AC17*1.9835)/E17</f>
        <v>19.4287457815505</v>
      </c>
      <c r="AR17" s="143" t="n">
        <f aca="false">1766.396/1.9835/30</f>
        <v>29.6848332072935</v>
      </c>
      <c r="AS17" s="102"/>
      <c r="AT17" s="185"/>
      <c r="AU17" s="0"/>
      <c r="AV17" s="107" t="n">
        <v>0</v>
      </c>
      <c r="AW17" s="108" t="n">
        <v>86</v>
      </c>
      <c r="AX17" s="108" t="n">
        <v>50</v>
      </c>
      <c r="AY17" s="148"/>
      <c r="AZ17" s="264" t="n">
        <f aca="false">SUM(N17,P17:U17)</f>
        <v>10.0762429193836</v>
      </c>
      <c r="BA17" s="98" t="n">
        <v>0.485</v>
      </c>
      <c r="BB17" s="470" t="n">
        <v>15467</v>
      </c>
    </row>
    <row r="18" customFormat="false" ht="12.95" hidden="false" customHeight="true" outlineLevel="0" collapsed="false">
      <c r="A18" s="10" t="n">
        <f aca="false">A17+1</f>
        <v>4</v>
      </c>
      <c r="B18" s="367" t="n">
        <v>6898.75</v>
      </c>
      <c r="C18" s="99" t="n">
        <v>278995</v>
      </c>
      <c r="D18" s="108" t="n">
        <f aca="false">C18-C17</f>
        <v>1677</v>
      </c>
      <c r="E18" s="99" t="n">
        <f aca="false">C18-152000</f>
        <v>126995</v>
      </c>
      <c r="F18" s="151" t="n">
        <f aca="false">D18/$D$2</f>
        <v>845.475170153769</v>
      </c>
      <c r="G18" s="141" t="n">
        <v>1770</v>
      </c>
      <c r="H18" s="102" t="n">
        <v>0.166</v>
      </c>
      <c r="I18" s="141" t="n">
        <f aca="false">G18+H18</f>
        <v>1770.166</v>
      </c>
      <c r="J18" s="375" t="n">
        <f aca="false">IF(L18&gt;0,L18,0)</f>
        <v>0</v>
      </c>
      <c r="K18" s="141" t="n">
        <f aca="false">I18+J18</f>
        <v>1770.166</v>
      </c>
      <c r="L18" s="141" t="n">
        <f aca="false">F18-(I18-AK18)</f>
        <v>-229.890829846231</v>
      </c>
      <c r="M18" s="144" t="n">
        <v>273</v>
      </c>
      <c r="N18" s="171" t="n">
        <f aca="false">1/$D$2*1.03</f>
        <v>0.519284093773632</v>
      </c>
      <c r="O18" s="163" t="n">
        <f aca="false">42.5*1.05</f>
        <v>44.625</v>
      </c>
      <c r="P18" s="171" t="n">
        <v>0</v>
      </c>
      <c r="Q18" s="476" t="n">
        <f aca="false">1817400/325851/1.9835*1.02</f>
        <v>2.86813396504944</v>
      </c>
      <c r="R18" s="477" t="n">
        <v>4.2</v>
      </c>
      <c r="S18" s="477" t="n">
        <f aca="false">((6.7*1.04)-T18)-4.2</f>
        <v>1.54863536</v>
      </c>
      <c r="T18" s="477" t="n">
        <f aca="false">(1.1061*1.06)*1.04</f>
        <v>1.21936464</v>
      </c>
      <c r="U18" s="365" t="n">
        <v>0</v>
      </c>
      <c r="V18" s="141" t="n">
        <v>51</v>
      </c>
      <c r="W18" s="141" t="n">
        <v>71.9</v>
      </c>
      <c r="X18" s="142" t="n">
        <f aca="false">M18-N18-O18-P18-Q18-R18-S18-T18-U18+V18+W18-AT18+AR18</f>
        <v>370.60441514847</v>
      </c>
      <c r="Y18" s="142" t="n">
        <f aca="false">X18-AO18</f>
        <v>370.60441514847</v>
      </c>
      <c r="Z18" s="113" t="n">
        <f aca="false">Z17-Y18</f>
        <v>25719.619357059</v>
      </c>
      <c r="AA18" s="142" t="n">
        <f aca="false">Y18</f>
        <v>370.60441514847</v>
      </c>
      <c r="AB18" s="113"/>
      <c r="AC18" s="113" t="n">
        <f aca="false">AC17-(AQ17/1.9835)</f>
        <v>1333.47258117727</v>
      </c>
      <c r="AD18" s="113"/>
      <c r="AE18" s="141" t="n">
        <v>234</v>
      </c>
      <c r="AF18" s="144" t="n">
        <v>1.7</v>
      </c>
      <c r="AG18" s="145" t="n">
        <v>1.3</v>
      </c>
      <c r="AH18" s="141" t="n">
        <v>64.9</v>
      </c>
      <c r="AI18" s="84" t="n">
        <f aca="false">AI17-AH18</f>
        <v>12408.4492311571</v>
      </c>
      <c r="AJ18" s="141"/>
      <c r="AK18" s="141" t="n">
        <f aca="false">N19+O18+P18+Q18+R18+S18+T18+U18+X18+AE18+AH18-AR18</f>
        <v>694.8</v>
      </c>
      <c r="AL18" s="141" t="n">
        <f aca="false">IF(L18&lt;0,L18*-1,0)</f>
        <v>229.890829846231</v>
      </c>
      <c r="AM18" s="141" t="n">
        <f aca="false">AK18+AL18</f>
        <v>924.690829846231</v>
      </c>
      <c r="AN18" s="466"/>
      <c r="AO18" s="157"/>
      <c r="AP18" s="157" t="n">
        <f aca="false">IF((I18-Q18-R18-X18-AF18)&gt;0,0,I18-Q18-R18-X18-AF18)</f>
        <v>0</v>
      </c>
      <c r="AQ18" s="171" t="n">
        <f aca="false">53.602*(16429*1.9835+AC18*1.9835)/E18</f>
        <v>14.8706515506921</v>
      </c>
      <c r="AR18" s="143" t="n">
        <f aca="false">1766.396/1.9835/30</f>
        <v>29.6848332072935</v>
      </c>
      <c r="AS18" s="102"/>
      <c r="AT18" s="185"/>
      <c r="AV18" s="107" t="n">
        <v>0</v>
      </c>
      <c r="AW18" s="108" t="n">
        <v>85</v>
      </c>
      <c r="AX18" s="108" t="n">
        <v>44</v>
      </c>
      <c r="AY18" s="148"/>
      <c r="AZ18" s="264" t="n">
        <f aca="false">SUM(N18,P18:U18)</f>
        <v>10.3554180588231</v>
      </c>
      <c r="BA18" s="98" t="n">
        <v>0.485</v>
      </c>
      <c r="BB18" s="470" t="n">
        <v>15597</v>
      </c>
    </row>
    <row r="19" customFormat="false" ht="12.95" hidden="false" customHeight="true" outlineLevel="0" collapsed="false">
      <c r="A19" s="10" t="n">
        <f aca="false">A18+1</f>
        <v>5</v>
      </c>
      <c r="B19" s="367" t="n">
        <v>6899.16</v>
      </c>
      <c r="C19" s="99" t="n">
        <v>280494</v>
      </c>
      <c r="D19" s="108" t="n">
        <f aca="false">C19-C18</f>
        <v>1499</v>
      </c>
      <c r="E19" s="99" t="n">
        <f aca="false">C19-152000</f>
        <v>128494</v>
      </c>
      <c r="F19" s="151" t="n">
        <f aca="false">D19/$D$2</f>
        <v>755.734812200655</v>
      </c>
      <c r="G19" s="141" t="n">
        <v>1670</v>
      </c>
      <c r="H19" s="102" t="n">
        <v>0.114</v>
      </c>
      <c r="I19" s="141" t="n">
        <f aca="false">G19+H19</f>
        <v>1670.114</v>
      </c>
      <c r="J19" s="375" t="n">
        <f aca="false">IF(L19&gt;0,L19,0)</f>
        <v>0</v>
      </c>
      <c r="K19" s="141" t="n">
        <f aca="false">I19+J19</f>
        <v>1670.114</v>
      </c>
      <c r="L19" s="141" t="n">
        <f aca="false">F19-(I19-AK19)</f>
        <v>-199.179187799345</v>
      </c>
      <c r="M19" s="144" t="n">
        <v>302</v>
      </c>
      <c r="N19" s="171" t="n">
        <f aca="false">1/$D$2*1.03</f>
        <v>0.519284093773632</v>
      </c>
      <c r="O19" s="163" t="n">
        <f aca="false">75.3*1.05</f>
        <v>79.065</v>
      </c>
      <c r="P19" s="171" t="n">
        <v>0</v>
      </c>
      <c r="Q19" s="476" t="n">
        <f aca="false">1637600/325851/1.9835*1.02</f>
        <v>2.58438218397984</v>
      </c>
      <c r="R19" s="477" t="n">
        <v>4.2</v>
      </c>
      <c r="S19" s="477" t="n">
        <f aca="false">((5.8*1.04)-T19)-4.2</f>
        <v>0.61263536</v>
      </c>
      <c r="T19" s="477" t="n">
        <f aca="false">(1.1061*1.06)*1.04</f>
        <v>1.21936464</v>
      </c>
      <c r="U19" s="365" t="n">
        <v>0</v>
      </c>
      <c r="V19" s="141" t="n">
        <v>52.1</v>
      </c>
      <c r="W19" s="141" t="n">
        <v>72.8</v>
      </c>
      <c r="X19" s="142" t="n">
        <f aca="false">M19-N19-O19-P19-Q19-R19-S19-T19-U19+V19+W19-AT19+AR19</f>
        <v>368.38416692954</v>
      </c>
      <c r="Y19" s="142" t="n">
        <f aca="false">X19-AO19</f>
        <v>368.38416692954</v>
      </c>
      <c r="Z19" s="113" t="n">
        <f aca="false">Z18-Y19</f>
        <v>25351.2351901295</v>
      </c>
      <c r="AA19" s="142" t="n">
        <f aca="false">Y19</f>
        <v>368.38416692954</v>
      </c>
      <c r="AB19" s="113"/>
      <c r="AC19" s="113" t="n">
        <f aca="false">AC18-(AQ18/1.9835)</f>
        <v>1325.97540368764</v>
      </c>
      <c r="AD19" s="113"/>
      <c r="AE19" s="141" t="n">
        <v>223</v>
      </c>
      <c r="AF19" s="144" t="n">
        <v>1.7</v>
      </c>
      <c r="AG19" s="145" t="n">
        <v>1.3</v>
      </c>
      <c r="AH19" s="141" t="n">
        <v>65.3</v>
      </c>
      <c r="AI19" s="84" t="n">
        <f aca="false">AI18-AH19</f>
        <v>12343.1492311571</v>
      </c>
      <c r="AJ19" s="141"/>
      <c r="AK19" s="141" t="n">
        <f aca="false">N20+O19+P19+Q19+R19+S19+T19+U19+X19+AE19+AH19-AR19</f>
        <v>715.2</v>
      </c>
      <c r="AL19" s="141" t="n">
        <f aca="false">IF(L19&lt;0,L19*-1,0)</f>
        <v>199.179187799345</v>
      </c>
      <c r="AM19" s="141" t="n">
        <f aca="false">AK19+AL19</f>
        <v>914.379187799345</v>
      </c>
      <c r="AN19" s="466"/>
      <c r="AO19" s="157"/>
      <c r="AP19" s="157" t="n">
        <f aca="false">IF((I19-Q19-R19-X19-AF19)&gt;0,0,I19-Q19-R19-X19-AF19)</f>
        <v>0</v>
      </c>
      <c r="AQ19" s="171" t="n">
        <f aca="false">61.275*(16429*1.9835+AC19*1.9835)/E19</f>
        <v>16.7939459412674</v>
      </c>
      <c r="AR19" s="143" t="n">
        <f aca="false">1766.396/1.9835/30</f>
        <v>29.6848332072935</v>
      </c>
      <c r="AS19" s="102"/>
      <c r="AT19" s="185"/>
      <c r="AV19" s="107" t="n">
        <v>0</v>
      </c>
      <c r="AW19" s="108" t="n">
        <v>86</v>
      </c>
      <c r="AX19" s="108" t="n">
        <v>45</v>
      </c>
      <c r="AY19" s="148"/>
      <c r="AZ19" s="264" t="n">
        <f aca="false">SUM(N19,P19:U19)</f>
        <v>9.13566627775347</v>
      </c>
      <c r="BA19" s="98" t="n">
        <v>0.575</v>
      </c>
      <c r="BB19" s="470" t="n">
        <v>15752</v>
      </c>
    </row>
    <row r="20" customFormat="false" ht="12.95" hidden="false" customHeight="true" outlineLevel="0" collapsed="false">
      <c r="A20" s="10" t="n">
        <f aca="false">A19+1</f>
        <v>6</v>
      </c>
      <c r="B20" s="367" t="n">
        <v>6899.5</v>
      </c>
      <c r="C20" s="99" t="n">
        <v>281743</v>
      </c>
      <c r="D20" s="108" t="n">
        <f aca="false">C20-C19</f>
        <v>1249</v>
      </c>
      <c r="E20" s="99" t="n">
        <f aca="false">C20-152000</f>
        <v>129743</v>
      </c>
      <c r="F20" s="151" t="n">
        <f aca="false">D20/$D$2</f>
        <v>629.694983614822</v>
      </c>
      <c r="G20" s="141" t="n">
        <v>1540</v>
      </c>
      <c r="H20" s="102" t="n">
        <v>0.062</v>
      </c>
      <c r="I20" s="141" t="n">
        <f aca="false">G20+H20</f>
        <v>1540.062</v>
      </c>
      <c r="J20" s="375" t="n">
        <f aca="false">IF(L20&gt;0,L20,0)</f>
        <v>0</v>
      </c>
      <c r="K20" s="141" t="n">
        <f aca="false">I20+J20</f>
        <v>1540.062</v>
      </c>
      <c r="L20" s="141" t="n">
        <f aca="false">F20-(I20-AK20)</f>
        <v>-175.867016385178</v>
      </c>
      <c r="M20" s="144" t="n">
        <v>282</v>
      </c>
      <c r="N20" s="171" t="n">
        <f aca="false">1/$D$2*1.03</f>
        <v>0.519284093773632</v>
      </c>
      <c r="O20" s="163" t="n">
        <f aca="false">65.8*1.05</f>
        <v>69.09</v>
      </c>
      <c r="P20" s="171" t="n">
        <v>0</v>
      </c>
      <c r="Q20" s="476" t="n">
        <f aca="false">2029300/325851/1.9835*1.02</f>
        <v>3.20254443450799</v>
      </c>
      <c r="R20" s="477" t="n">
        <v>4.2</v>
      </c>
      <c r="S20" s="477" t="n">
        <f aca="false">((5.7*1.04)-T20)-4.2</f>
        <v>0.42209696</v>
      </c>
      <c r="T20" s="477" t="n">
        <f aca="false">(1.1846*1.06)*1.04</f>
        <v>1.30590304</v>
      </c>
      <c r="U20" s="365" t="n">
        <v>0</v>
      </c>
      <c r="V20" s="141" t="n">
        <v>55.1</v>
      </c>
      <c r="W20" s="141" t="n">
        <v>73.8</v>
      </c>
      <c r="X20" s="142" t="n">
        <f aca="false">M20-N20-O20-P20-Q20-R20-S20-T20-U20+V20+W20-AT20+AR20</f>
        <v>361.845004679012</v>
      </c>
      <c r="Y20" s="142" t="n">
        <f aca="false">X20-AO20</f>
        <v>361.845004679012</v>
      </c>
      <c r="Z20" s="113" t="n">
        <f aca="false">Z19-Y20</f>
        <v>24989.3901854505</v>
      </c>
      <c r="AA20" s="142" t="n">
        <f aca="false">Y20</f>
        <v>361.845004679012</v>
      </c>
      <c r="AB20" s="113"/>
      <c r="AC20" s="113" t="n">
        <f aca="false">AC19-(AQ19/1.9835)</f>
        <v>1317.50857941677</v>
      </c>
      <c r="AD20" s="113"/>
      <c r="AE20" s="141" t="n">
        <v>258</v>
      </c>
      <c r="AF20" s="144" t="n">
        <v>1.7</v>
      </c>
      <c r="AG20" s="145" t="n">
        <v>1.3</v>
      </c>
      <c r="AH20" s="141" t="n">
        <v>65.6</v>
      </c>
      <c r="AI20" s="84" t="n">
        <f aca="false">AI19-AH20</f>
        <v>12277.5492311571</v>
      </c>
      <c r="AJ20" s="141"/>
      <c r="AK20" s="141" t="n">
        <f aca="false">N21+O20+P20+Q20+R20+S20+T20+U20+X20+AE20+AH20-AR20</f>
        <v>734.5</v>
      </c>
      <c r="AL20" s="141" t="n">
        <f aca="false">IF(L20&lt;0,L20*-1,0)</f>
        <v>175.867016385178</v>
      </c>
      <c r="AM20" s="141" t="n">
        <f aca="false">AK20+AL20</f>
        <v>910.367016385178</v>
      </c>
      <c r="AN20" s="466"/>
      <c r="AO20" s="157"/>
      <c r="AP20" s="157" t="n">
        <f aca="false">IF((I20-Q20-R20-X20-AF20)&gt;0,0,I20-Q20-R20-X20-AF20)</f>
        <v>0</v>
      </c>
      <c r="AQ20" s="171" t="n">
        <f aca="false">80.438*(16429*1.9835+AC20*1.9835)/E20</f>
        <v>21.8234021787682</v>
      </c>
      <c r="AR20" s="143" t="n">
        <f aca="false">1766.396/1.9835/30</f>
        <v>29.6848332072935</v>
      </c>
      <c r="AS20" s="102"/>
      <c r="AT20" s="185"/>
      <c r="AV20" s="107" t="n">
        <v>0</v>
      </c>
      <c r="AW20" s="108" t="n">
        <v>87</v>
      </c>
      <c r="AX20" s="108" t="n">
        <v>49</v>
      </c>
      <c r="AY20" s="148"/>
      <c r="AZ20" s="264" t="n">
        <f aca="false">SUM(N20,P20:U20)</f>
        <v>9.64982852828162</v>
      </c>
      <c r="BA20" s="98" t="n">
        <v>0.959</v>
      </c>
      <c r="BB20" s="470" t="n">
        <v>15843</v>
      </c>
    </row>
    <row r="21" customFormat="false" ht="12.95" hidden="false" customHeight="true" outlineLevel="0" collapsed="false">
      <c r="A21" s="10" t="n">
        <f aca="false">A20+1</f>
        <v>7</v>
      </c>
      <c r="B21" s="367" t="n">
        <v>6899.74</v>
      </c>
      <c r="C21" s="99" t="n">
        <v>282625</v>
      </c>
      <c r="D21" s="108" t="n">
        <f aca="false">C21-C20</f>
        <v>882</v>
      </c>
      <c r="E21" s="99" t="n">
        <f aca="false">C21-152000</f>
        <v>130625</v>
      </c>
      <c r="F21" s="151" t="n">
        <f aca="false">D21/$D$2</f>
        <v>444.668515250819</v>
      </c>
      <c r="G21" s="141" t="n">
        <v>1390</v>
      </c>
      <c r="H21" s="102" t="n">
        <v>0.005</v>
      </c>
      <c r="I21" s="141" t="n">
        <f aca="false">G21+H21</f>
        <v>1390.005</v>
      </c>
      <c r="J21" s="375" t="n">
        <f aca="false">IF(L21&gt;0,L21,0)</f>
        <v>0</v>
      </c>
      <c r="K21" s="141" t="n">
        <f aca="false">I21+J21</f>
        <v>1390.005</v>
      </c>
      <c r="L21" s="141" t="n">
        <f aca="false">F21-(I21-AK21)</f>
        <v>-194.336484749181</v>
      </c>
      <c r="M21" s="144" t="n">
        <v>296</v>
      </c>
      <c r="N21" s="171" t="n">
        <f aca="false">1/$D$2*1.03</f>
        <v>0.519284093773632</v>
      </c>
      <c r="O21" s="163" t="n">
        <f aca="false">81.5*1.05</f>
        <v>85.575</v>
      </c>
      <c r="P21" s="171" t="n">
        <v>0</v>
      </c>
      <c r="Q21" s="346" t="n">
        <f aca="false">1876200/325851/1.9835*1.02</f>
        <v>2.96092931948154</v>
      </c>
      <c r="R21" s="138" t="n">
        <v>4.2</v>
      </c>
      <c r="S21" s="138" t="n">
        <f aca="false">((5.5*1.04)-T21)-4.2</f>
        <v>0.21409696</v>
      </c>
      <c r="T21" s="138" t="n">
        <f aca="false">(1.1846*1.06)*1.04</f>
        <v>1.30590304</v>
      </c>
      <c r="U21" s="365" t="n">
        <v>0</v>
      </c>
      <c r="V21" s="141" t="n">
        <v>54.8</v>
      </c>
      <c r="W21" s="141" t="n">
        <v>74</v>
      </c>
      <c r="X21" s="142" t="n">
        <f aca="false">M21-N21-O21-P21-Q21-R21-S21-T21-U21+V21+W21-AT21+AR21</f>
        <v>359.709619794038</v>
      </c>
      <c r="Y21" s="142" t="n">
        <f aca="false">X21-AO21</f>
        <v>359.709619794038</v>
      </c>
      <c r="Z21" s="113" t="n">
        <f aca="false">Z20-Y21</f>
        <v>24629.6805656564</v>
      </c>
      <c r="AA21" s="142" t="n">
        <f aca="false">Y21</f>
        <v>359.709619794038</v>
      </c>
      <c r="AB21" s="113"/>
      <c r="AC21" s="113" t="n">
        <f aca="false">AC20-(AQ20/1.9835)</f>
        <v>1306.50610793768</v>
      </c>
      <c r="AD21" s="113"/>
      <c r="AE21" s="141" t="n">
        <v>261</v>
      </c>
      <c r="AF21" s="144" t="n">
        <v>1.7</v>
      </c>
      <c r="AG21" s="145" t="n">
        <v>1.3</v>
      </c>
      <c r="AH21" s="141" t="n">
        <v>65.2</v>
      </c>
      <c r="AI21" s="84" t="n">
        <f aca="false">AI20-AH21</f>
        <v>12212.3492311571</v>
      </c>
      <c r="AJ21" s="141"/>
      <c r="AK21" s="141" t="n">
        <f aca="false">N22+O21+P21+Q21+R21+S21+T21+U21+X21+AE21+AH21-AR21</f>
        <v>751</v>
      </c>
      <c r="AL21" s="141" t="n">
        <f aca="false">IF(L21&lt;0,L21*-1,0)</f>
        <v>194.336484749181</v>
      </c>
      <c r="AM21" s="141" t="n">
        <f aca="false">AK21+AL21</f>
        <v>945.336484749181</v>
      </c>
      <c r="AN21" s="466"/>
      <c r="AO21" s="157"/>
      <c r="AP21" s="157" t="n">
        <f aca="false">IF((I21-Q21-R21-X21-AF21)&gt;0,0,I21-Q21-R21-X21-AF21)</f>
        <v>0</v>
      </c>
      <c r="AQ21" s="171" t="n">
        <f aca="false">89.256*(16429*1.9835+AC21*1.9835)/E21</f>
        <v>24.03736773851</v>
      </c>
      <c r="AR21" s="143" t="n">
        <f aca="false">1766.396/1.9835/30</f>
        <v>29.6848332072935</v>
      </c>
      <c r="AS21" s="102"/>
      <c r="AT21" s="185"/>
      <c r="AV21" s="107" t="n">
        <v>0</v>
      </c>
      <c r="AW21" s="108" t="n">
        <v>87</v>
      </c>
      <c r="AX21" s="108" t="n">
        <v>53</v>
      </c>
      <c r="AY21" s="148"/>
      <c r="AZ21" s="264" t="n">
        <f aca="false">SUM(N21,P21:U21)</f>
        <v>9.20021341325517</v>
      </c>
      <c r="BA21" s="98" t="n">
        <v>1.31</v>
      </c>
      <c r="BB21" s="470" t="n">
        <v>15924</v>
      </c>
    </row>
    <row r="22" customFormat="false" ht="12.95" hidden="false" customHeight="true" outlineLevel="0" collapsed="false">
      <c r="A22" s="10" t="n">
        <f aca="false">A21+1</f>
        <v>8</v>
      </c>
      <c r="B22" s="367" t="n">
        <v>6899.89</v>
      </c>
      <c r="C22" s="99" t="n">
        <v>283176</v>
      </c>
      <c r="D22" s="108" t="n">
        <f aca="false">C22-C21</f>
        <v>551</v>
      </c>
      <c r="E22" s="99" t="n">
        <f aca="false">C22-152000</f>
        <v>131176</v>
      </c>
      <c r="F22" s="151" t="n">
        <f aca="false">D22/$D$2</f>
        <v>277.791782203176</v>
      </c>
      <c r="G22" s="141" t="n">
        <v>1170</v>
      </c>
      <c r="H22" s="102" t="n">
        <v>0</v>
      </c>
      <c r="I22" s="141" t="n">
        <f aca="false">G22+H22</f>
        <v>1170</v>
      </c>
      <c r="J22" s="375" t="n">
        <f aca="false">IF(L22&gt;0,L22,0)</f>
        <v>0</v>
      </c>
      <c r="K22" s="141" t="n">
        <f aca="false">I22+J22</f>
        <v>1170</v>
      </c>
      <c r="L22" s="141" t="n">
        <f aca="false">F22-(I22-AK22)</f>
        <v>-193.708217796824</v>
      </c>
      <c r="M22" s="144" t="n">
        <v>298</v>
      </c>
      <c r="N22" s="171" t="n">
        <f aca="false">1/$D$2*1.03</f>
        <v>0.519284093773632</v>
      </c>
      <c r="O22" s="163" t="n">
        <f aca="false">78.7*1.05</f>
        <v>82.635</v>
      </c>
      <c r="P22" s="171" t="n">
        <v>0</v>
      </c>
      <c r="Q22" s="346" t="n">
        <f aca="false">1728000/325851/1.9835*1.02</f>
        <v>2.72704715065777</v>
      </c>
      <c r="R22" s="138" t="n">
        <f aca="false">(4.5*1.04)-T22</f>
        <v>3.37409696</v>
      </c>
      <c r="S22" s="138" t="n">
        <v>0</v>
      </c>
      <c r="T22" s="138" t="n">
        <f aca="false">(1.1846*1.06)*1.04</f>
        <v>1.30590304</v>
      </c>
      <c r="U22" s="365" t="n">
        <v>0</v>
      </c>
      <c r="V22" s="141" t="n">
        <v>54.7</v>
      </c>
      <c r="W22" s="141" t="n">
        <v>74.3</v>
      </c>
      <c r="X22" s="142" t="n">
        <f aca="false">M22-N22-O22-P22-Q22-R22-S22-T22-U22+V22+W22-AT22+AR22</f>
        <v>366.123501962862</v>
      </c>
      <c r="Y22" s="142" t="n">
        <f aca="false">X22-AO22</f>
        <v>366.123501962862</v>
      </c>
      <c r="Z22" s="113" t="n">
        <f aca="false">Z21-Y22</f>
        <v>24263.5570636936</v>
      </c>
      <c r="AA22" s="142" t="n">
        <f aca="false">Y22</f>
        <v>366.123501962862</v>
      </c>
      <c r="AB22" s="113"/>
      <c r="AC22" s="113" t="n">
        <f aca="false">AC21-(AQ21/1.9835)</f>
        <v>1294.38744510002</v>
      </c>
      <c r="AD22" s="113"/>
      <c r="AE22" s="141" t="n">
        <v>206</v>
      </c>
      <c r="AF22" s="144" t="n">
        <v>1.7</v>
      </c>
      <c r="AG22" s="145" t="n">
        <v>1.3</v>
      </c>
      <c r="AH22" s="141" t="n">
        <v>65.5</v>
      </c>
      <c r="AI22" s="84" t="n">
        <f aca="false">AI21-AH22</f>
        <v>12146.8492311571</v>
      </c>
      <c r="AJ22" s="141"/>
      <c r="AK22" s="141" t="n">
        <f aca="false">N23+O22+P22+Q22+R22+S22+T22+U22+X22+AE22+AH22-AR22</f>
        <v>698.5</v>
      </c>
      <c r="AL22" s="141" t="n">
        <f aca="false">IF(L22&lt;0,L22*-1,0)</f>
        <v>193.708217796824</v>
      </c>
      <c r="AM22" s="141" t="n">
        <f aca="false">AK22+AL22</f>
        <v>892.208217796824</v>
      </c>
      <c r="AN22" s="466"/>
      <c r="AO22" s="157"/>
      <c r="AP22" s="157" t="n">
        <f aca="false">IF((I22-Q22-R22-X22-AF22)&gt;0,0,I22-Q22-R22-X22-AF22)</f>
        <v>0</v>
      </c>
      <c r="AQ22" s="171" t="n">
        <f aca="false">86.675*(16429*1.9835+AC22*1.9835)/E22</f>
        <v>23.2283522336084</v>
      </c>
      <c r="AR22" s="143" t="n">
        <f aca="false">1766.396/1.9835/30</f>
        <v>29.6848332072935</v>
      </c>
      <c r="AS22" s="102"/>
      <c r="AT22" s="185"/>
      <c r="AV22" s="107" t="n">
        <v>0</v>
      </c>
      <c r="AW22" s="108" t="n">
        <v>80</v>
      </c>
      <c r="AX22" s="108" t="n">
        <v>48</v>
      </c>
      <c r="AY22" s="148"/>
      <c r="AZ22" s="264" t="n">
        <f aca="false">SUM(N22,P22:U22)</f>
        <v>7.9263312444314</v>
      </c>
      <c r="BA22" s="98" t="n">
        <v>2.28</v>
      </c>
      <c r="BB22" s="470" t="n">
        <v>15981</v>
      </c>
    </row>
    <row r="23" customFormat="false" ht="12.95" hidden="false" customHeight="true" outlineLevel="0" collapsed="false">
      <c r="A23" s="10" t="n">
        <f aca="false">A22+1</f>
        <v>9</v>
      </c>
      <c r="B23" s="367" t="n">
        <v>6899.95</v>
      </c>
      <c r="C23" s="99" t="n">
        <v>283396</v>
      </c>
      <c r="D23" s="108" t="n">
        <f aca="false">C23-C22</f>
        <v>220</v>
      </c>
      <c r="E23" s="99" t="n">
        <f aca="false">C23-152000</f>
        <v>131396</v>
      </c>
      <c r="F23" s="151" t="n">
        <f aca="false">D23/$D$2</f>
        <v>110.915049155533</v>
      </c>
      <c r="G23" s="141" t="n">
        <v>1030</v>
      </c>
      <c r="H23" s="102" t="n">
        <v>0</v>
      </c>
      <c r="I23" s="141" t="n">
        <f aca="false">G23+H23</f>
        <v>1030</v>
      </c>
      <c r="J23" s="375" t="n">
        <f aca="false">IF(L23&gt;0,L23,0)</f>
        <v>0</v>
      </c>
      <c r="K23" s="141" t="n">
        <f aca="false">I23+J23</f>
        <v>1030</v>
      </c>
      <c r="L23" s="141" t="n">
        <f aca="false">F23-(I23-AK23)</f>
        <v>-166.884950844467</v>
      </c>
      <c r="M23" s="144" t="n">
        <v>301</v>
      </c>
      <c r="N23" s="171" t="n">
        <f aca="false">1/$D$2*1.03</f>
        <v>0.519284093773632</v>
      </c>
      <c r="O23" s="163" t="n">
        <f aca="false">82.8*1.05</f>
        <v>86.94</v>
      </c>
      <c r="P23" s="171" t="n">
        <v>0</v>
      </c>
      <c r="Q23" s="346" t="n">
        <f aca="false">2100300/325851/1.9835*1.02</f>
        <v>3.31459324683247</v>
      </c>
      <c r="R23" s="138" t="n">
        <v>4.2</v>
      </c>
      <c r="S23" s="138" t="n">
        <f aca="false">((5.8*1.04)-T23)-4.2</f>
        <v>0.526096959999999</v>
      </c>
      <c r="T23" s="138" t="n">
        <f aca="false">(1.1846*1.06)*1.04</f>
        <v>1.30590304</v>
      </c>
      <c r="U23" s="365" t="n">
        <v>0</v>
      </c>
      <c r="V23" s="141" t="n">
        <v>55.1</v>
      </c>
      <c r="W23" s="141" t="n">
        <v>72.9</v>
      </c>
      <c r="X23" s="142" t="n">
        <f aca="false">M23-N23-O23-P23-Q23-R23-S23-T23-U23+V23+W23-AT23+AR23</f>
        <v>361.878955866687</v>
      </c>
      <c r="Y23" s="142" t="n">
        <f aca="false">X23-AO23</f>
        <v>361.878955866687</v>
      </c>
      <c r="Z23" s="113" t="n">
        <f aca="false">Z22-Y23</f>
        <v>23901.6781078269</v>
      </c>
      <c r="AA23" s="142" t="n">
        <f aca="false">Y23</f>
        <v>361.878955866687</v>
      </c>
      <c r="AB23" s="113"/>
      <c r="AC23" s="113" t="n">
        <f aca="false">AC22-(AQ22/1.9835)</f>
        <v>1282.67665496459</v>
      </c>
      <c r="AD23" s="113"/>
      <c r="AE23" s="141" t="n">
        <v>258</v>
      </c>
      <c r="AF23" s="144" t="n">
        <v>1.7</v>
      </c>
      <c r="AG23" s="145" t="n">
        <v>1.3</v>
      </c>
      <c r="AH23" s="141" t="n">
        <v>65.2</v>
      </c>
      <c r="AI23" s="84" t="n">
        <f aca="false">AI22-AH23</f>
        <v>12081.6492311571</v>
      </c>
      <c r="AJ23" s="141"/>
      <c r="AK23" s="141" t="n">
        <f aca="false">N24+O23+P23+Q23+R23+S23+T23+U23+X23+AE23+AH23-AR23</f>
        <v>752.2</v>
      </c>
      <c r="AL23" s="141" t="n">
        <f aca="false">IF(L23&lt;0,L23*-1,0)</f>
        <v>166.884950844467</v>
      </c>
      <c r="AM23" s="141" t="n">
        <f aca="false">AK23+AL23</f>
        <v>919.084950844467</v>
      </c>
      <c r="AN23" s="466"/>
      <c r="AO23" s="157"/>
      <c r="AP23" s="157" t="n">
        <f aca="false">IF((I23-Q23-R23-X23-AF23)&gt;0,0,I23-Q23-R23-X23-AF23)</f>
        <v>0</v>
      </c>
      <c r="AQ23" s="171" t="n">
        <f aca="false">54.844*(16429*1.9835+AC23*1.9835)/E23</f>
        <v>14.6635409922759</v>
      </c>
      <c r="AR23" s="143" t="n">
        <f aca="false">1766.396/1.9835/30</f>
        <v>29.6848332072935</v>
      </c>
      <c r="AS23" s="102"/>
      <c r="AT23" s="185"/>
      <c r="AV23" s="107" t="n">
        <v>0</v>
      </c>
      <c r="AW23" s="108" t="n">
        <v>80</v>
      </c>
      <c r="AX23" s="108" t="n">
        <v>42</v>
      </c>
      <c r="AY23" s="148"/>
      <c r="AZ23" s="264" t="n">
        <f aca="false">SUM(N23,P23:U23)</f>
        <v>9.8658773406061</v>
      </c>
      <c r="BA23" s="98" t="n">
        <v>2.82</v>
      </c>
      <c r="BB23" s="470" t="n">
        <v>16045</v>
      </c>
    </row>
    <row r="24" customFormat="false" ht="12.95" hidden="false" customHeight="true" outlineLevel="0" collapsed="false">
      <c r="A24" s="10" t="n">
        <f aca="false">A23+1</f>
        <v>10</v>
      </c>
      <c r="B24" s="367" t="n">
        <v>6900.02</v>
      </c>
      <c r="C24" s="99" t="n">
        <v>283654</v>
      </c>
      <c r="D24" s="108" t="n">
        <f aca="false">C24-C23</f>
        <v>258</v>
      </c>
      <c r="E24" s="99" t="n">
        <f aca="false">C24-152000</f>
        <v>131654</v>
      </c>
      <c r="F24" s="151" t="n">
        <f aca="false">D24/$D$2</f>
        <v>130.07310310058</v>
      </c>
      <c r="G24" s="141" t="n">
        <v>939</v>
      </c>
      <c r="H24" s="102" t="n">
        <v>0</v>
      </c>
      <c r="I24" s="141" t="n">
        <f aca="false">G24+H24</f>
        <v>939</v>
      </c>
      <c r="J24" s="375" t="n">
        <f aca="false">IF(L24&gt;0,L24,0)</f>
        <v>0</v>
      </c>
      <c r="K24" s="141" t="n">
        <f aca="false">I24+J24</f>
        <v>939</v>
      </c>
      <c r="L24" s="141" t="n">
        <f aca="false">F24-(I24-AK24)</f>
        <v>-65.6268968994203</v>
      </c>
      <c r="M24" s="144" t="n">
        <v>296</v>
      </c>
      <c r="N24" s="171" t="n">
        <f aca="false">1/$D$2*1.03</f>
        <v>0.519284093773632</v>
      </c>
      <c r="O24" s="163" t="n">
        <f aca="false">88.2*1.05</f>
        <v>92.61</v>
      </c>
      <c r="P24" s="171" t="n">
        <v>0</v>
      </c>
      <c r="Q24" s="346" t="n">
        <f aca="false">1823400/325851/1.9835*1.02</f>
        <v>2.877602878767</v>
      </c>
      <c r="R24" s="138" t="n">
        <v>4.2</v>
      </c>
      <c r="S24" s="138" t="n">
        <f aca="false">((6.5*1.04)-T24)-4.2</f>
        <v>1.25409696</v>
      </c>
      <c r="T24" s="138" t="n">
        <f aca="false">(1.1846*1.06)*1.04</f>
        <v>1.30590304</v>
      </c>
      <c r="U24" s="365" t="n">
        <v>0</v>
      </c>
      <c r="V24" s="141" t="n">
        <v>55.4</v>
      </c>
      <c r="W24" s="141" t="n">
        <v>71</v>
      </c>
      <c r="X24" s="142" t="n">
        <f aca="false">M24-N24-O24-P24-Q24-R24-S24-T24-U24+V24+W24-AT24+AR24</f>
        <v>349.317946234753</v>
      </c>
      <c r="Y24" s="142" t="n">
        <f aca="false">X24-AO24</f>
        <v>349.317946234753</v>
      </c>
      <c r="Z24" s="113" t="n">
        <f aca="false">Z23-Y24</f>
        <v>23552.3601615921</v>
      </c>
      <c r="AA24" s="142" t="n">
        <f aca="false">Y24</f>
        <v>349.317946234753</v>
      </c>
      <c r="AB24" s="113"/>
      <c r="AC24" s="113" t="n">
        <f aca="false">AC23-(AQ23/1.9835)</f>
        <v>1275.28389419208</v>
      </c>
      <c r="AD24" s="113"/>
      <c r="AE24" s="141" t="n">
        <v>256</v>
      </c>
      <c r="AF24" s="144" t="n">
        <v>1.7</v>
      </c>
      <c r="AG24" s="145" t="n">
        <v>1.3</v>
      </c>
      <c r="AH24" s="141" t="n">
        <v>64.9</v>
      </c>
      <c r="AI24" s="84" t="n">
        <f aca="false">AI23-AH24</f>
        <v>12016.7492311571</v>
      </c>
      <c r="AJ24" s="141"/>
      <c r="AK24" s="141" t="n">
        <f aca="false">N25+O24+P24+Q24+R24+S24+T24+U24+X24+AE24+AH24-AR24</f>
        <v>743.3</v>
      </c>
      <c r="AL24" s="141" t="n">
        <f aca="false">IF(L24&lt;0,L24*-1,0)</f>
        <v>65.6268968994203</v>
      </c>
      <c r="AM24" s="141" t="n">
        <f aca="false">AK24+AL24</f>
        <v>808.92689689942</v>
      </c>
      <c r="AN24" s="466"/>
      <c r="AO24" s="157"/>
      <c r="AP24" s="157" t="n">
        <f aca="false">IF((I24-Q24-R24-X24-AF24)&gt;0,0,I24-Q24-R24-X24-AF24)</f>
        <v>0</v>
      </c>
      <c r="AQ24" s="171" t="n">
        <f aca="false">61.942*(16429*1.9835+AC24*1.9835)/E24</f>
        <v>16.5219664159389</v>
      </c>
      <c r="AR24" s="143" t="n">
        <f aca="false">1766.396/1.9835/30</f>
        <v>29.6848332072935</v>
      </c>
      <c r="AS24" s="102"/>
      <c r="AT24" s="185"/>
      <c r="AV24" s="107" t="n">
        <v>0</v>
      </c>
      <c r="AW24" s="108" t="n">
        <v>88</v>
      </c>
      <c r="AX24" s="108" t="n">
        <v>45</v>
      </c>
      <c r="AY24" s="148"/>
      <c r="AZ24" s="264" t="n">
        <f aca="false">SUM(N24,P24:U24)</f>
        <v>10.1568869725406</v>
      </c>
      <c r="BA24" s="98" t="n">
        <v>1.67</v>
      </c>
      <c r="BB24" s="470" t="n">
        <v>16108</v>
      </c>
    </row>
    <row r="25" customFormat="false" ht="12.95" hidden="false" customHeight="true" outlineLevel="0" collapsed="false">
      <c r="A25" s="10" t="n">
        <f aca="false">A24+1</f>
        <v>11</v>
      </c>
      <c r="B25" s="367" t="n">
        <v>6900.04</v>
      </c>
      <c r="C25" s="99" t="n">
        <v>283728</v>
      </c>
      <c r="D25" s="108" t="n">
        <f aca="false">C25-C24</f>
        <v>74</v>
      </c>
      <c r="E25" s="99" t="n">
        <f aca="false">C25-152000</f>
        <v>131728</v>
      </c>
      <c r="F25" s="151" t="n">
        <f aca="false">D25/$D$2</f>
        <v>37.3077892614066</v>
      </c>
      <c r="G25" s="141" t="n">
        <v>913</v>
      </c>
      <c r="H25" s="102" t="n">
        <v>0</v>
      </c>
      <c r="I25" s="141" t="n">
        <f aca="false">G25+H25</f>
        <v>913</v>
      </c>
      <c r="J25" s="375" t="n">
        <f aca="false">IF(L25&gt;0,L25,0)</f>
        <v>0</v>
      </c>
      <c r="K25" s="141" t="n">
        <f aca="false">I25+J25</f>
        <v>913</v>
      </c>
      <c r="L25" s="141" t="n">
        <f aca="false">F25-(I25-AK25)</f>
        <v>-126.092210738593</v>
      </c>
      <c r="M25" s="144" t="n">
        <v>299</v>
      </c>
      <c r="N25" s="171" t="n">
        <f aca="false">1/$D$2*1.03</f>
        <v>0.519284093773632</v>
      </c>
      <c r="O25" s="163" t="n">
        <f aca="false">87.4*1.05</f>
        <v>91.77</v>
      </c>
      <c r="P25" s="171" t="n">
        <v>0</v>
      </c>
      <c r="Q25" s="346" t="n">
        <f aca="false">1699900/325851/1.9835*1.02</f>
        <v>2.68270107141385</v>
      </c>
      <c r="R25" s="138" t="n">
        <v>4.2</v>
      </c>
      <c r="S25" s="138" t="n">
        <f aca="false">((6.4*1.04)-T25)-4.2</f>
        <v>1.15009696</v>
      </c>
      <c r="T25" s="138" t="n">
        <f aca="false">(1.1846*1.06)*1.04</f>
        <v>1.30590304</v>
      </c>
      <c r="U25" s="365" t="n">
        <v>0</v>
      </c>
      <c r="V25" s="141" t="n">
        <v>55.5</v>
      </c>
      <c r="W25" s="141" t="n">
        <v>69.8</v>
      </c>
      <c r="X25" s="142" t="n">
        <f aca="false">M25-N25-O25-P25-Q25-R25-S25-T25-U25+V25+W25-AT25+AR25</f>
        <v>352.356848042106</v>
      </c>
      <c r="Y25" s="142" t="n">
        <f aca="false">X25-AO25</f>
        <v>352.356848042106</v>
      </c>
      <c r="Z25" s="113" t="n">
        <f aca="false">Z24-Y25</f>
        <v>23200.00331355</v>
      </c>
      <c r="AA25" s="142" t="n">
        <f aca="false">Y25</f>
        <v>352.356848042106</v>
      </c>
      <c r="AB25" s="113"/>
      <c r="AC25" s="113" t="n">
        <f aca="false">AC24-(AQ24/1.9835)</f>
        <v>1266.95419093222</v>
      </c>
      <c r="AD25" s="113"/>
      <c r="AE25" s="141" t="n">
        <v>260</v>
      </c>
      <c r="AF25" s="144" t="n">
        <v>1.7</v>
      </c>
      <c r="AG25" s="145" t="n">
        <v>1.3</v>
      </c>
      <c r="AH25" s="141" t="n">
        <v>65.3</v>
      </c>
      <c r="AI25" s="84" t="n">
        <f aca="false">AI24-AH25</f>
        <v>11951.4492311571</v>
      </c>
      <c r="AJ25" s="141"/>
      <c r="AK25" s="141" t="n">
        <f aca="false">N26+O25+P25+Q25+R25+S25+T25+U25+X25+AE25+AH25-AR25</f>
        <v>749.6</v>
      </c>
      <c r="AL25" s="141" t="n">
        <f aca="false">IF(L25&lt;0,L25*-1,0)</f>
        <v>126.092210738593</v>
      </c>
      <c r="AM25" s="141" t="n">
        <f aca="false">AK25+AL25</f>
        <v>875.692210738593</v>
      </c>
      <c r="AN25" s="466"/>
      <c r="AO25" s="157"/>
      <c r="AP25" s="157" t="n">
        <f aca="false">IF((I25-Q25-R25-X25-AF25)&gt;0,0,I25-Q25-R25-X25-AF25)</f>
        <v>0</v>
      </c>
      <c r="AQ25" s="171" t="n">
        <f aca="false">72.695*(16429*1.9835+AC25*1.9835)/E25</f>
        <v>19.3701343517409</v>
      </c>
      <c r="AR25" s="143" t="n">
        <f aca="false">1766.396/1.9835/30</f>
        <v>29.6848332072935</v>
      </c>
      <c r="AS25" s="102"/>
      <c r="AT25" s="185"/>
      <c r="AV25" s="107" t="n">
        <v>0</v>
      </c>
      <c r="AW25" s="108" t="n">
        <v>87</v>
      </c>
      <c r="AX25" s="108" t="n">
        <v>54</v>
      </c>
      <c r="AY25" s="148"/>
      <c r="AZ25" s="264" t="n">
        <f aca="false">SUM(N25,P25:U25)</f>
        <v>9.85798516518749</v>
      </c>
      <c r="BA25" s="98" t="n">
        <v>0.377</v>
      </c>
      <c r="BB25" s="470" t="n">
        <v>16206</v>
      </c>
    </row>
    <row r="26" customFormat="false" ht="12.95" hidden="false" customHeight="true" outlineLevel="0" collapsed="false">
      <c r="A26" s="10" t="n">
        <f aca="false">A25+1</f>
        <v>12</v>
      </c>
      <c r="B26" s="367" t="n">
        <v>6900.06</v>
      </c>
      <c r="C26" s="99" t="n">
        <v>283802</v>
      </c>
      <c r="D26" s="108" t="n">
        <f aca="false">C26-C25</f>
        <v>74</v>
      </c>
      <c r="E26" s="99" t="n">
        <f aca="false">C26-152000</f>
        <v>131802</v>
      </c>
      <c r="F26" s="151" t="n">
        <f aca="false">D26/$D$2</f>
        <v>37.3077892614066</v>
      </c>
      <c r="G26" s="141" t="n">
        <v>884</v>
      </c>
      <c r="H26" s="102" t="n">
        <v>0</v>
      </c>
      <c r="I26" s="141" t="n">
        <f aca="false">G26+H26</f>
        <v>884</v>
      </c>
      <c r="J26" s="375" t="n">
        <f aca="false">IF(L26&gt;0,L26,0)</f>
        <v>0</v>
      </c>
      <c r="K26" s="141" t="n">
        <f aca="false">I26+J26</f>
        <v>884</v>
      </c>
      <c r="L26" s="141" t="n">
        <f aca="false">F26-(I26-AK26)</f>
        <v>-108.592210738593</v>
      </c>
      <c r="M26" s="144" t="n">
        <v>287</v>
      </c>
      <c r="N26" s="171" t="n">
        <f aca="false">1/$D$2*1.03</f>
        <v>0.519284093773632</v>
      </c>
      <c r="O26" s="163" t="n">
        <f aca="false">81.9*1.05</f>
        <v>85.995</v>
      </c>
      <c r="P26" s="171" t="n">
        <v>0</v>
      </c>
      <c r="Q26" s="346" t="n">
        <f aca="false">1888400/325851/1.9835*1.02</f>
        <v>2.98018277737392</v>
      </c>
      <c r="R26" s="138" t="n">
        <v>4.2</v>
      </c>
      <c r="S26" s="138" t="n">
        <f aca="false">((7.1*1.04)-T26)-4.2</f>
        <v>1.87809696</v>
      </c>
      <c r="T26" s="138" t="n">
        <f aca="false">(1.1846*1.06)*1.04</f>
        <v>1.30590304</v>
      </c>
      <c r="U26" s="365" t="n">
        <v>0</v>
      </c>
      <c r="V26" s="141" t="n">
        <v>55.4</v>
      </c>
      <c r="W26" s="141" t="n">
        <v>70.1</v>
      </c>
      <c r="X26" s="142" t="n">
        <f aca="false">M26-N26-O26-P26-Q26-R26-S26-T26-U26+V26+W26-AT26+AR26</f>
        <v>345.306366336146</v>
      </c>
      <c r="Y26" s="142" t="n">
        <f aca="false">X26-AO26</f>
        <v>345.306366336146</v>
      </c>
      <c r="Z26" s="113" t="n">
        <f aca="false">Z25-Y26</f>
        <v>22854.6969472139</v>
      </c>
      <c r="AA26" s="142" t="n">
        <f aca="false">Y26</f>
        <v>345.306366336146</v>
      </c>
      <c r="AB26" s="113"/>
      <c r="AC26" s="113" t="n">
        <f aca="false">AC25-(AQ25/1.9835)</f>
        <v>1257.18855727871</v>
      </c>
      <c r="AD26" s="113"/>
      <c r="AE26" s="141" t="n">
        <v>260</v>
      </c>
      <c r="AF26" s="144" t="n">
        <v>1.7</v>
      </c>
      <c r="AG26" s="145" t="n">
        <v>1.3</v>
      </c>
      <c r="AH26" s="141" t="n">
        <v>65.6</v>
      </c>
      <c r="AI26" s="84" t="n">
        <f aca="false">AI25-AH26</f>
        <v>11885.8492311571</v>
      </c>
      <c r="AJ26" s="141"/>
      <c r="AK26" s="141" t="n">
        <f aca="false">N27+O26+P26+Q26+R26+S26+T26+U26+X26+AE26+AH26-AR26</f>
        <v>738.1</v>
      </c>
      <c r="AL26" s="141" t="n">
        <f aca="false">IF(L26&lt;0,L26*-1,0)</f>
        <v>108.592210738593</v>
      </c>
      <c r="AM26" s="141" t="n">
        <f aca="false">AK26+AL26</f>
        <v>846.692210738593</v>
      </c>
      <c r="AN26" s="466"/>
      <c r="AO26" s="157"/>
      <c r="AP26" s="157" t="n">
        <f aca="false">IF((I26-Q26-R26-X26-AF26)&gt;0,0,I26-Q26-R26-X26-AF26)</f>
        <v>0</v>
      </c>
      <c r="AQ26" s="171" t="n">
        <f aca="false">44.521*(16429*1.9835+AC26*1.9835)/E26</f>
        <v>11.8497548542867</v>
      </c>
      <c r="AR26" s="143" t="n">
        <f aca="false">1766.396/1.9835/30</f>
        <v>29.6848332072935</v>
      </c>
      <c r="AS26" s="102"/>
      <c r="AT26" s="185"/>
      <c r="AV26" s="107" t="n">
        <v>0</v>
      </c>
      <c r="AW26" s="108" t="n">
        <v>87</v>
      </c>
      <c r="AX26" s="108" t="n">
        <v>50</v>
      </c>
      <c r="AY26" s="148"/>
      <c r="AZ26" s="264" t="n">
        <f aca="false">SUM(N26,P26:U26)</f>
        <v>10.8834668711475</v>
      </c>
      <c r="BA26" s="98" t="n">
        <v>0.57</v>
      </c>
      <c r="BB26" s="470" t="n">
        <v>16288</v>
      </c>
    </row>
    <row r="27" customFormat="false" ht="12.95" hidden="false" customHeight="true" outlineLevel="0" collapsed="false">
      <c r="A27" s="10" t="n">
        <f aca="false">A26+1</f>
        <v>13</v>
      </c>
      <c r="B27" s="367" t="n">
        <v>6900.02</v>
      </c>
      <c r="C27" s="99" t="n">
        <v>283654</v>
      </c>
      <c r="D27" s="108" t="n">
        <f aca="false">C27-C26</f>
        <v>-148</v>
      </c>
      <c r="E27" s="99" t="n">
        <f aca="false">C27-152000</f>
        <v>131654</v>
      </c>
      <c r="F27" s="151" t="n">
        <f aca="false">D27/$D$2</f>
        <v>-74.6155785228132</v>
      </c>
      <c r="G27" s="141" t="n">
        <v>794</v>
      </c>
      <c r="H27" s="102" t="n">
        <v>0</v>
      </c>
      <c r="I27" s="141" t="n">
        <f aca="false">G27+H27</f>
        <v>794</v>
      </c>
      <c r="J27" s="375" t="n">
        <f aca="false">IF(L27&gt;0,L27,0)</f>
        <v>0</v>
      </c>
      <c r="K27" s="141" t="n">
        <f aca="false">I27+J27</f>
        <v>794</v>
      </c>
      <c r="L27" s="141" t="n">
        <f aca="false">F27-(I27-AK27)</f>
        <v>-149.815578522813</v>
      </c>
      <c r="M27" s="144" t="n">
        <v>279</v>
      </c>
      <c r="N27" s="171" t="n">
        <f aca="false">1/$D$2*1.03</f>
        <v>0.519284093773632</v>
      </c>
      <c r="O27" s="163" t="n">
        <f aca="false">75.3*1.05</f>
        <v>79.065</v>
      </c>
      <c r="P27" s="171" t="n">
        <v>0</v>
      </c>
      <c r="Q27" s="346" t="n">
        <f aca="false">1837200/325851/1.9835*1.02</f>
        <v>2.89938138031739</v>
      </c>
      <c r="R27" s="138" t="n">
        <v>4.2</v>
      </c>
      <c r="S27" s="138" t="n">
        <f aca="false">((7*1.04)-T27)-4.2</f>
        <v>1.8331856</v>
      </c>
      <c r="T27" s="138" t="n">
        <f aca="false">(1.131*1.06)*1.04</f>
        <v>1.2468144</v>
      </c>
      <c r="U27" s="365" t="n">
        <v>0</v>
      </c>
      <c r="V27" s="141" t="n">
        <v>54.9</v>
      </c>
      <c r="W27" s="141" t="n">
        <v>69.8</v>
      </c>
      <c r="X27" s="142" t="n">
        <f aca="false">M27-N27-O27-P27-Q27-R27-S27-T27-U27+V27+W27-AT27+AR27</f>
        <v>343.621167733202</v>
      </c>
      <c r="Y27" s="142" t="n">
        <f aca="false">X27-AO27</f>
        <v>343.621167733202</v>
      </c>
      <c r="Z27" s="113" t="n">
        <f aca="false">Z26-Y27</f>
        <v>22511.0757794807</v>
      </c>
      <c r="AA27" s="142" t="n">
        <f aca="false">Y27</f>
        <v>343.621167733202</v>
      </c>
      <c r="AB27" s="113"/>
      <c r="AC27" s="113" t="n">
        <f aca="false">AC26-(AQ26/1.9835)</f>
        <v>1251.21439299623</v>
      </c>
      <c r="AD27" s="113"/>
      <c r="AE27" s="141" t="n">
        <v>250</v>
      </c>
      <c r="AF27" s="144" t="n">
        <v>1.7</v>
      </c>
      <c r="AG27" s="145" t="n">
        <v>1.3</v>
      </c>
      <c r="AH27" s="141" t="n">
        <v>65.1</v>
      </c>
      <c r="AI27" s="84" t="n">
        <f aca="false">AI26-AH27</f>
        <v>11820.7492311571</v>
      </c>
      <c r="AJ27" s="141"/>
      <c r="AK27" s="141" t="n">
        <f aca="false">N28+O27+P27+Q27+R27+S27+T27+U27+X27+AE27+AH27-AR27</f>
        <v>718.8</v>
      </c>
      <c r="AL27" s="141" t="n">
        <f aca="false">IF(L27&lt;0,L27*-1,0)</f>
        <v>149.815578522813</v>
      </c>
      <c r="AM27" s="141" t="n">
        <f aca="false">AK27+AL27</f>
        <v>868.615578522813</v>
      </c>
      <c r="AN27" s="466"/>
      <c r="AO27" s="157"/>
      <c r="AP27" s="157" t="n">
        <f aca="false">IF((I27-Q27-R27-X27-AF27)&gt;0,0,I27-Q27-R27-X27-AF27)</f>
        <v>0</v>
      </c>
      <c r="AQ27" s="171" t="n">
        <f aca="false">97.429*(16429*1.9835+AC27*1.9835)/E27</f>
        <v>25.9521843898164</v>
      </c>
      <c r="AR27" s="143" t="n">
        <f aca="false">1766.396/1.9835/30</f>
        <v>29.6848332072935</v>
      </c>
      <c r="AS27" s="102"/>
      <c r="AT27" s="185"/>
      <c r="AV27" s="107" t="n">
        <v>0</v>
      </c>
      <c r="AW27" s="108" t="n">
        <v>87</v>
      </c>
      <c r="AX27" s="108" t="n">
        <v>50</v>
      </c>
      <c r="AY27" s="148"/>
      <c r="AZ27" s="264" t="n">
        <f aca="false">SUM(N27,P27:U27)</f>
        <v>10.698665474091</v>
      </c>
      <c r="BA27" s="98" t="n">
        <v>0.582</v>
      </c>
      <c r="BB27" s="470" t="n">
        <v>16346</v>
      </c>
    </row>
    <row r="28" customFormat="false" ht="12.95" hidden="false" customHeight="true" outlineLevel="0" collapsed="false">
      <c r="A28" s="10" t="n">
        <f aca="false">A27+1</f>
        <v>14</v>
      </c>
      <c r="B28" s="367" t="n">
        <v>6899.99</v>
      </c>
      <c r="C28" s="99" t="n">
        <v>283543</v>
      </c>
      <c r="D28" s="108" t="n">
        <f aca="false">C28-C27</f>
        <v>-111</v>
      </c>
      <c r="E28" s="99" t="n">
        <f aca="false">C28-152000</f>
        <v>131543</v>
      </c>
      <c r="F28" s="151" t="n">
        <f aca="false">D28/$D$2</f>
        <v>-55.9616838921099</v>
      </c>
      <c r="G28" s="141" t="n">
        <v>756</v>
      </c>
      <c r="H28" s="102" t="n">
        <v>0</v>
      </c>
      <c r="I28" s="141" t="n">
        <f aca="false">G28+H28</f>
        <v>756</v>
      </c>
      <c r="J28" s="375" t="n">
        <f aca="false">IF(L28&gt;0,L28,0)</f>
        <v>0</v>
      </c>
      <c r="K28" s="141" t="n">
        <f aca="false">I28+J28</f>
        <v>756</v>
      </c>
      <c r="L28" s="141" t="n">
        <f aca="false">F28-(I28-AK28)</f>
        <v>-109.96168389211</v>
      </c>
      <c r="M28" s="144" t="n">
        <v>287</v>
      </c>
      <c r="N28" s="171" t="n">
        <f aca="false">1/$D$2*1.03</f>
        <v>0.519284093773632</v>
      </c>
      <c r="O28" s="163" t="n">
        <f aca="false">87.8*1.05</f>
        <v>92.19</v>
      </c>
      <c r="P28" s="171" t="n">
        <v>0</v>
      </c>
      <c r="Q28" s="346" t="n">
        <f aca="false">1838700/325851/1.9835*1.02</f>
        <v>2.90174860874678</v>
      </c>
      <c r="R28" s="138" t="n">
        <v>4.2</v>
      </c>
      <c r="S28" s="138" t="n">
        <f aca="false">((7*1.04)-T28)-4.2</f>
        <v>1.8331856</v>
      </c>
      <c r="T28" s="138" t="n">
        <f aca="false">(1.131*1.06)*1.04</f>
        <v>1.2468144</v>
      </c>
      <c r="U28" s="365" t="n">
        <v>0</v>
      </c>
      <c r="V28" s="141" t="n">
        <v>55</v>
      </c>
      <c r="W28" s="141" t="n">
        <v>70</v>
      </c>
      <c r="X28" s="142" t="n">
        <f aca="false">M28-N28-O28-P28-Q28-R28-S28-T28-U28+V28+W28-AT28+AR28</f>
        <v>338.793800504773</v>
      </c>
      <c r="Y28" s="142" t="n">
        <f aca="false">X28-AO28</f>
        <v>338.793800504773</v>
      </c>
      <c r="Z28" s="113" t="n">
        <f aca="false">Z27-Y28</f>
        <v>22172.2819789759</v>
      </c>
      <c r="AA28" s="142" t="n">
        <f aca="false">Y28</f>
        <v>338.793800504773</v>
      </c>
      <c r="AB28" s="113"/>
      <c r="AC28" s="113" t="n">
        <f aca="false">AC27-(AQ27/1.9835)</f>
        <v>1238.13035750855</v>
      </c>
      <c r="AD28" s="113"/>
      <c r="AE28" s="141" t="n">
        <v>225</v>
      </c>
      <c r="AF28" s="144" t="n">
        <v>1.7</v>
      </c>
      <c r="AG28" s="145" t="n">
        <v>1.3</v>
      </c>
      <c r="AH28" s="141" t="n">
        <v>65</v>
      </c>
      <c r="AI28" s="84" t="n">
        <f aca="false">AI27-AH28</f>
        <v>11755.7492311571</v>
      </c>
      <c r="AJ28" s="141"/>
      <c r="AK28" s="141" t="n">
        <f aca="false">N29+O28+P28+Q28+R28+S28+T28+U28+X28+AE28+AH28-AR28</f>
        <v>702</v>
      </c>
      <c r="AL28" s="141" t="n">
        <f aca="false">IF(L28&lt;0,L28*-1,0)</f>
        <v>109.96168389211</v>
      </c>
      <c r="AM28" s="141" t="n">
        <f aca="false">AK28+AL28</f>
        <v>811.96168389211</v>
      </c>
      <c r="AN28" s="466"/>
      <c r="AO28" s="157"/>
      <c r="AP28" s="157" t="n">
        <f aca="false">IF((I28-Q28-R28-X28-AF28)&gt;0,0,I28-Q28-R28-X28-AF28)</f>
        <v>0</v>
      </c>
      <c r="AQ28" s="171" t="n">
        <f aca="false">83.234*(16429*1.9835+AC28*1.9835)/E28</f>
        <v>22.1733464231378</v>
      </c>
      <c r="AR28" s="143" t="n">
        <f aca="false">1766.396/1.9835/30</f>
        <v>29.6848332072935</v>
      </c>
      <c r="AS28" s="102"/>
      <c r="AT28" s="185"/>
      <c r="AV28" s="107" t="n">
        <v>0</v>
      </c>
      <c r="AW28" s="108" t="n">
        <v>81</v>
      </c>
      <c r="AX28" s="108" t="n">
        <v>45</v>
      </c>
      <c r="AY28" s="148"/>
      <c r="AZ28" s="264" t="n">
        <f aca="false">SUM(N28,P28:U28)</f>
        <v>10.7010327025204</v>
      </c>
      <c r="BA28" s="98" t="n">
        <v>0.563</v>
      </c>
      <c r="BB28" s="470" t="n">
        <v>16395</v>
      </c>
    </row>
    <row r="29" customFormat="false" ht="12.95" hidden="false" customHeight="true" outlineLevel="0" collapsed="false">
      <c r="A29" s="10" t="n">
        <f aca="false">A28+1</f>
        <v>15</v>
      </c>
      <c r="B29" s="367" t="n">
        <v>6899.91</v>
      </c>
      <c r="C29" s="99" t="n">
        <v>283249</v>
      </c>
      <c r="D29" s="108" t="n">
        <f aca="false">C29-C28</f>
        <v>-294</v>
      </c>
      <c r="E29" s="99" t="n">
        <f aca="false">C29-152000</f>
        <v>131249</v>
      </c>
      <c r="F29" s="151" t="n">
        <f aca="false">D29/$D$2</f>
        <v>-148.22283841694</v>
      </c>
      <c r="G29" s="141" t="n">
        <v>633</v>
      </c>
      <c r="H29" s="102" t="n">
        <v>0</v>
      </c>
      <c r="I29" s="141" t="n">
        <f aca="false">G29+H29</f>
        <v>633</v>
      </c>
      <c r="J29" s="375" t="n">
        <f aca="false">IF(L29&gt;0,L29,0)</f>
        <v>0</v>
      </c>
      <c r="K29" s="141" t="n">
        <f aca="false">I29+J29</f>
        <v>633</v>
      </c>
      <c r="L29" s="141" t="n">
        <f aca="false">F29-(I29-AK29)</f>
        <v>-94.6228384169398</v>
      </c>
      <c r="M29" s="144" t="n">
        <v>274</v>
      </c>
      <c r="N29" s="171" t="n">
        <f aca="false">1/$D$2*1.03</f>
        <v>0.519284093773632</v>
      </c>
      <c r="O29" s="163" t="n">
        <f aca="false">78.9*1.05</f>
        <v>82.845</v>
      </c>
      <c r="P29" s="171" t="n">
        <v>0</v>
      </c>
      <c r="Q29" s="346" t="n">
        <f aca="false">1927000/325851/1.9835*1.02</f>
        <v>3.04109945562356</v>
      </c>
      <c r="R29" s="138" t="n">
        <v>4.2</v>
      </c>
      <c r="S29" s="138" t="n">
        <f aca="false">((6.9*1.04)-T29)-4.2</f>
        <v>1.7291856</v>
      </c>
      <c r="T29" s="138" t="n">
        <f aca="false">(1.131*1.06)*1.04</f>
        <v>1.2468144</v>
      </c>
      <c r="U29" s="365" t="n">
        <v>0</v>
      </c>
      <c r="V29" s="141" t="n">
        <v>54.4</v>
      </c>
      <c r="W29" s="141" t="n">
        <v>70.1</v>
      </c>
      <c r="X29" s="142" t="n">
        <f aca="false">M29-N29-O29-P29-Q29-R29-S29-T29-U29+V29+W29-AT29+AR29</f>
        <v>334.603449657896</v>
      </c>
      <c r="Y29" s="142" t="n">
        <f aca="false">X29-AO29</f>
        <v>334.603449657896</v>
      </c>
      <c r="Z29" s="113" t="n">
        <f aca="false">Z28-Y29</f>
        <v>21837.678529318</v>
      </c>
      <c r="AA29" s="142" t="n">
        <f aca="false">Y29</f>
        <v>334.603449657896</v>
      </c>
      <c r="AB29" s="113"/>
      <c r="AC29" s="113" t="n">
        <f aca="false">AC28-(AQ28/1.9835)</f>
        <v>1226.95145837917</v>
      </c>
      <c r="AD29" s="113"/>
      <c r="AE29" s="141" t="n">
        <v>223</v>
      </c>
      <c r="AF29" s="144" t="n">
        <v>1.7</v>
      </c>
      <c r="AG29" s="145" t="n">
        <v>1.3</v>
      </c>
      <c r="AH29" s="141" t="n">
        <v>65.1</v>
      </c>
      <c r="AI29" s="84" t="n">
        <f aca="false">AI28-AH29</f>
        <v>11690.6492311571</v>
      </c>
      <c r="AJ29" s="141"/>
      <c r="AK29" s="141" t="n">
        <f aca="false">N30+O29+P29+Q29+R29+S29+T29+U29+X29+AE29+AH29-AR29</f>
        <v>686.6</v>
      </c>
      <c r="AL29" s="141" t="n">
        <f aca="false">IF(L29&lt;0,L29*-1,0)</f>
        <v>94.6228384169398</v>
      </c>
      <c r="AM29" s="141" t="n">
        <f aca="false">AK29+AL29</f>
        <v>781.22283841694</v>
      </c>
      <c r="AN29" s="466"/>
      <c r="AO29" s="157"/>
      <c r="AP29" s="157" t="n">
        <f aca="false">IF((I29-Q29-R29-X29-AF29)&gt;0,0,I29-Q29-R29-X29-AF29)</f>
        <v>0</v>
      </c>
      <c r="AQ29" s="171" t="n">
        <f aca="false">78.717*(16429*1.9835+AC29*1.9835)/E29</f>
        <v>21.003702684499</v>
      </c>
      <c r="AR29" s="143" t="n">
        <f aca="false">1766.396/1.9835/30</f>
        <v>29.6848332072935</v>
      </c>
      <c r="AS29" s="102"/>
      <c r="AT29" s="185"/>
      <c r="AV29" s="107" t="n">
        <v>0</v>
      </c>
      <c r="AW29" s="108" t="n">
        <v>83</v>
      </c>
      <c r="AX29" s="108" t="n">
        <v>43</v>
      </c>
      <c r="AY29" s="148"/>
      <c r="AZ29" s="264" t="n">
        <f aca="false">SUM(N29,P29:U29)</f>
        <v>10.7363835493972</v>
      </c>
      <c r="BA29" s="98" t="n">
        <v>0.592</v>
      </c>
      <c r="BB29" s="470" t="n">
        <v>16436</v>
      </c>
    </row>
    <row r="30" customFormat="false" ht="12.95" hidden="false" customHeight="true" outlineLevel="0" collapsed="false">
      <c r="A30" s="10" t="n">
        <f aca="false">A29+1</f>
        <v>16</v>
      </c>
      <c r="B30" s="367" t="n">
        <v>6899.8</v>
      </c>
      <c r="C30" s="99" t="n">
        <v>282845</v>
      </c>
      <c r="D30" s="108" t="n">
        <f aca="false">C30-C29</f>
        <v>-404</v>
      </c>
      <c r="E30" s="99" t="n">
        <f aca="false">C30-152000</f>
        <v>130845</v>
      </c>
      <c r="F30" s="151" t="n">
        <f aca="false">D30/$D$2</f>
        <v>-203.680362994706</v>
      </c>
      <c r="G30" s="141" t="n">
        <v>574</v>
      </c>
      <c r="H30" s="102" t="n">
        <v>0</v>
      </c>
      <c r="I30" s="141" t="n">
        <f aca="false">G30+H30</f>
        <v>574</v>
      </c>
      <c r="J30" s="375" t="n">
        <f aca="false">IF(L30&gt;0,L30,0)</f>
        <v>0</v>
      </c>
      <c r="K30" s="141" t="n">
        <f aca="false">I30+J30</f>
        <v>574</v>
      </c>
      <c r="L30" s="141" t="n">
        <f aca="false">F30-(I30-AK30)</f>
        <v>-66.2803629947063</v>
      </c>
      <c r="M30" s="144" t="n">
        <v>294</v>
      </c>
      <c r="N30" s="171" t="n">
        <f aca="false">1/$D$2*1.03</f>
        <v>0.519284093773632</v>
      </c>
      <c r="O30" s="163" t="n">
        <f aca="false">90.2*1.05</f>
        <v>94.71</v>
      </c>
      <c r="P30" s="171" t="n">
        <v>0</v>
      </c>
      <c r="Q30" s="346" t="n">
        <f aca="false">1739600/325851/1.9835*1.02</f>
        <v>2.74535371717839</v>
      </c>
      <c r="R30" s="138" t="n">
        <v>4.2</v>
      </c>
      <c r="S30" s="138" t="n">
        <f aca="false">((6.2*1.04)-T30)-4.2</f>
        <v>1.0011856</v>
      </c>
      <c r="T30" s="138" t="n">
        <f aca="false">(1.131*1.06)*1.04</f>
        <v>1.2468144</v>
      </c>
      <c r="U30" s="365" t="n">
        <v>0</v>
      </c>
      <c r="V30" s="141" t="n">
        <v>54.9</v>
      </c>
      <c r="W30" s="141" t="n">
        <v>70.2</v>
      </c>
      <c r="X30" s="142" t="n">
        <f aca="false">M30-N30-O30-P30-Q30-R30-S30-T30-U30+V30+W30-AT30+AR30</f>
        <v>344.362195396341</v>
      </c>
      <c r="Y30" s="142" t="n">
        <f aca="false">X30-AO30</f>
        <v>344.362195396341</v>
      </c>
      <c r="Z30" s="113" t="n">
        <f aca="false">Z29-Y30</f>
        <v>21493.3163339217</v>
      </c>
      <c r="AA30" s="142" t="n">
        <f aca="false">Y30</f>
        <v>344.362195396341</v>
      </c>
      <c r="AB30" s="113"/>
      <c r="AC30" s="113" t="n">
        <f aca="false">AC29-(AQ29/1.9835)</f>
        <v>1216.36224603508</v>
      </c>
      <c r="AD30" s="113"/>
      <c r="AE30" s="141" t="n">
        <v>227</v>
      </c>
      <c r="AF30" s="144" t="n">
        <v>1.7</v>
      </c>
      <c r="AG30" s="145" t="n">
        <v>1.3</v>
      </c>
      <c r="AH30" s="141" t="n">
        <v>65.3</v>
      </c>
      <c r="AI30" s="84" t="n">
        <f aca="false">AI29-AH30</f>
        <v>11625.3492311571</v>
      </c>
      <c r="AJ30" s="84"/>
      <c r="AK30" s="141" t="n">
        <f aca="false">N31+O30+P30+Q30+R30+S30+T30+U30+X30+AE30+AH30-AR30</f>
        <v>711.4</v>
      </c>
      <c r="AL30" s="141" t="n">
        <f aca="false">IF(L30&lt;0,L30*-1,0)</f>
        <v>66.2803629947063</v>
      </c>
      <c r="AM30" s="141" t="n">
        <f aca="false">AK30+AL30</f>
        <v>777.680362994706</v>
      </c>
      <c r="AN30" s="466"/>
      <c r="AO30" s="157"/>
      <c r="AP30" s="157" t="n">
        <f aca="false">IF((I30-Q30-R30-X30-AF30)&gt;0,0,I30-Q30-R30-X30-AF30)</f>
        <v>0</v>
      </c>
      <c r="AQ30" s="171" t="n">
        <f aca="false">83.449*(16429*1.9835+AC30*1.9835)/E30</f>
        <v>22.3216754088931</v>
      </c>
      <c r="AR30" s="143" t="n">
        <f aca="false">1766.396/1.9835/30</f>
        <v>29.6848332072935</v>
      </c>
      <c r="AS30" s="102"/>
      <c r="AT30" s="185"/>
      <c r="AV30" s="107" t="n">
        <v>0</v>
      </c>
      <c r="AW30" s="108" t="n">
        <v>81</v>
      </c>
      <c r="AX30" s="108" t="n">
        <v>46</v>
      </c>
      <c r="AY30" s="148"/>
      <c r="AZ30" s="264" t="n">
        <f aca="false">SUM(N30,P30:U30)</f>
        <v>9.71263781095202</v>
      </c>
      <c r="BA30" s="98" t="n">
        <v>0.726</v>
      </c>
      <c r="BB30" s="470" t="n">
        <v>16425</v>
      </c>
    </row>
    <row r="31" customFormat="false" ht="12.95" hidden="false" customHeight="true" outlineLevel="0" collapsed="false">
      <c r="A31" s="10" t="n">
        <f aca="false">A30+1</f>
        <v>17</v>
      </c>
      <c r="B31" s="367" t="n">
        <v>6899.65</v>
      </c>
      <c r="C31" s="99" t="n">
        <v>282294</v>
      </c>
      <c r="D31" s="108" t="n">
        <f aca="false">C31-C30</f>
        <v>-551</v>
      </c>
      <c r="E31" s="99" t="n">
        <f aca="false">C31-152000</f>
        <v>130294</v>
      </c>
      <c r="F31" s="151" t="n">
        <f aca="false">D31/$D$2</f>
        <v>-277.791782203176</v>
      </c>
      <c r="G31" s="141" t="n">
        <v>510</v>
      </c>
      <c r="H31" s="102" t="n">
        <v>0</v>
      </c>
      <c r="I31" s="141" t="n">
        <f aca="false">G31+H31</f>
        <v>510</v>
      </c>
      <c r="J31" s="375" t="n">
        <f aca="false">IF(L31&gt;0,L31,0)</f>
        <v>0</v>
      </c>
      <c r="K31" s="141" t="n">
        <f aca="false">I31+J31</f>
        <v>510</v>
      </c>
      <c r="L31" s="141" t="n">
        <f aca="false">F31-(I31-AK31)</f>
        <v>-89.5917822031763</v>
      </c>
      <c r="M31" s="144" t="n">
        <v>293</v>
      </c>
      <c r="N31" s="171" t="n">
        <f aca="false">1/$D$2*1.03</f>
        <v>0.519284093773632</v>
      </c>
      <c r="O31" s="163" t="n">
        <f aca="false">98.1*1.05</f>
        <v>103.005</v>
      </c>
      <c r="P31" s="171" t="n">
        <v>0</v>
      </c>
      <c r="Q31" s="346" t="n">
        <f aca="false">1649700/325851/1.9835*1.02</f>
        <v>2.60347782664359</v>
      </c>
      <c r="R31" s="138" t="n">
        <v>4.2</v>
      </c>
      <c r="S31" s="138" t="n">
        <f aca="false">((6.1*1.04)-T31)-4.2</f>
        <v>0.897185599999999</v>
      </c>
      <c r="T31" s="138" t="n">
        <f aca="false">(1.131*1.06)*1.04</f>
        <v>1.2468144</v>
      </c>
      <c r="U31" s="365" t="n">
        <v>0</v>
      </c>
      <c r="V31" s="141" t="n">
        <v>55.4</v>
      </c>
      <c r="W31" s="141" t="n">
        <v>70.3</v>
      </c>
      <c r="X31" s="142" t="n">
        <f aca="false">M31-N31-O31-P31-Q31-R31-S31-T31-U31+V31+W31-AT31+AR31</f>
        <v>335.913071286876</v>
      </c>
      <c r="Y31" s="142" t="n">
        <f aca="false">X31-AO31</f>
        <v>335.913071286876</v>
      </c>
      <c r="Z31" s="113" t="n">
        <f aca="false">Z30-Y31</f>
        <v>21157.4032626348</v>
      </c>
      <c r="AA31" s="142" t="n">
        <f aca="false">Y31</f>
        <v>335.913071286876</v>
      </c>
      <c r="AB31" s="113"/>
      <c r="AC31" s="113" t="n">
        <f aca="false">AC30-(AQ30/1.9835)</f>
        <v>1205.10856546594</v>
      </c>
      <c r="AD31" s="113"/>
      <c r="AE31" s="141" t="n">
        <v>214</v>
      </c>
      <c r="AF31" s="144" t="n">
        <v>1.7</v>
      </c>
      <c r="AG31" s="145" t="n">
        <v>1.3</v>
      </c>
      <c r="AH31" s="141" t="n">
        <v>65.5</v>
      </c>
      <c r="AI31" s="84" t="n">
        <f aca="false">AI30-AH31</f>
        <v>11559.8492311571</v>
      </c>
      <c r="AJ31" s="84"/>
      <c r="AK31" s="141" t="n">
        <f aca="false">N32+O31+P31+Q31+R31+S31+T31+U31+X31+AE31+AH31-AR31</f>
        <v>698.2</v>
      </c>
      <c r="AL31" s="141" t="n">
        <f aca="false">IF(L31&lt;0,L31*-1,0)</f>
        <v>89.5917822031763</v>
      </c>
      <c r="AM31" s="141" t="n">
        <f aca="false">AK31+AL31</f>
        <v>787.791782203176</v>
      </c>
      <c r="AN31" s="466"/>
      <c r="AO31" s="157"/>
      <c r="AP31" s="157" t="n">
        <f aca="false">IF((I31-Q31-R31-X31-AF31)&gt;0,0,I31-Q31-R31-X31-AF31)</f>
        <v>0</v>
      </c>
      <c r="AQ31" s="171" t="n">
        <f aca="false">75.276*(16429*1.9835+AC31*1.9835)/E31</f>
        <v>20.2077440071519</v>
      </c>
      <c r="AR31" s="143" t="n">
        <f aca="false">1766.396/1.9835/30</f>
        <v>29.6848332072935</v>
      </c>
      <c r="AS31" s="102"/>
      <c r="AT31" s="185"/>
      <c r="AV31" s="107" t="n">
        <v>0</v>
      </c>
      <c r="AW31" s="108" t="n">
        <v>84</v>
      </c>
      <c r="AX31" s="108" t="n">
        <v>53</v>
      </c>
      <c r="AY31" s="148"/>
      <c r="AZ31" s="264" t="n">
        <f aca="false">SUM(N31,P31:U31)</f>
        <v>9.46676192041722</v>
      </c>
      <c r="BA31" s="98" t="n">
        <v>0.511</v>
      </c>
      <c r="BB31" s="470" t="n">
        <v>16480</v>
      </c>
    </row>
    <row r="32" customFormat="false" ht="12.95" hidden="false" customHeight="true" outlineLevel="0" collapsed="false">
      <c r="A32" s="10" t="n">
        <f aca="false">A31+1</f>
        <v>18</v>
      </c>
      <c r="B32" s="367" t="n">
        <v>6899.47</v>
      </c>
      <c r="C32" s="99" t="n">
        <v>281633</v>
      </c>
      <c r="D32" s="108" t="n">
        <f aca="false">C32-C31</f>
        <v>-661</v>
      </c>
      <c r="E32" s="99" t="n">
        <f aca="false">C32-152000</f>
        <v>129633</v>
      </c>
      <c r="F32" s="151" t="n">
        <f aca="false">D32/$D$2</f>
        <v>-333.249306780943</v>
      </c>
      <c r="G32" s="141" t="n">
        <v>475</v>
      </c>
      <c r="H32" s="102" t="n">
        <v>0</v>
      </c>
      <c r="I32" s="141" t="n">
        <f aca="false">G32+H32</f>
        <v>475</v>
      </c>
      <c r="J32" s="375" t="n">
        <f aca="false">IF(L32&gt;0,L32,0)</f>
        <v>0</v>
      </c>
      <c r="K32" s="141" t="n">
        <f aca="false">I32+J32</f>
        <v>475</v>
      </c>
      <c r="L32" s="141" t="n">
        <f aca="false">F32-(I32-AK32)</f>
        <v>-125.149306780943</v>
      </c>
      <c r="M32" s="144" t="n">
        <v>293</v>
      </c>
      <c r="N32" s="171" t="n">
        <f aca="false">1/$D$2*1.03</f>
        <v>0.519284093773632</v>
      </c>
      <c r="O32" s="163" t="n">
        <f aca="false">90.3*1.05</f>
        <v>94.815</v>
      </c>
      <c r="P32" s="171" t="n">
        <v>0</v>
      </c>
      <c r="Q32" s="346" t="n">
        <f aca="false">1943000/325851/1.9835*1.02</f>
        <v>3.06634989220373</v>
      </c>
      <c r="R32" s="138" t="n">
        <v>4.2</v>
      </c>
      <c r="S32" s="138" t="n">
        <f aca="false">((6.2*1.04)-T32)-4.2</f>
        <v>1.0011856</v>
      </c>
      <c r="T32" s="138" t="n">
        <f aca="false">(1.131*1.06)*1.04</f>
        <v>1.2468144</v>
      </c>
      <c r="U32" s="365" t="n">
        <v>0</v>
      </c>
      <c r="V32" s="141" t="n">
        <v>59.5</v>
      </c>
      <c r="W32" s="141" t="n">
        <v>70</v>
      </c>
      <c r="X32" s="142" t="n">
        <f aca="false">M32-N32-O32-P32-Q32-R32-S32-T32-U32+V32+W32-AT32+AR32</f>
        <v>347.336199221316</v>
      </c>
      <c r="Y32" s="142" t="n">
        <f aca="false">X32-AO32</f>
        <v>347.336199221316</v>
      </c>
      <c r="Z32" s="113" t="n">
        <f aca="false">Z31-Y32</f>
        <v>20810.0670634135</v>
      </c>
      <c r="AA32" s="142" t="n">
        <f aca="false">Y32</f>
        <v>347.336199221316</v>
      </c>
      <c r="AB32" s="113"/>
      <c r="AC32" s="113" t="n">
        <f aca="false">AC31-(AQ31/1.9835)</f>
        <v>1194.92064310287</v>
      </c>
      <c r="AD32" s="113"/>
      <c r="AE32" s="141" t="n">
        <v>195</v>
      </c>
      <c r="AF32" s="144" t="n">
        <v>1.7</v>
      </c>
      <c r="AG32" s="145" t="n">
        <v>1.3</v>
      </c>
      <c r="AH32" s="141" t="n">
        <v>65.6</v>
      </c>
      <c r="AI32" s="84" t="n">
        <f aca="false">AI31-AH32</f>
        <v>11494.2492311571</v>
      </c>
      <c r="AJ32" s="84"/>
      <c r="AK32" s="141" t="n">
        <f aca="false">N33+O32+P32+Q32+R32+S32+T32+U32+X32+AE32+AH32-AR32</f>
        <v>683.1</v>
      </c>
      <c r="AL32" s="141" t="n">
        <f aca="false">IF(L32&lt;0,L32*-1,0)</f>
        <v>125.149306780943</v>
      </c>
      <c r="AM32" s="141" t="n">
        <f aca="false">AK32+AL32</f>
        <v>808.249306780943</v>
      </c>
      <c r="AN32" s="466"/>
      <c r="AO32" s="157"/>
      <c r="AP32" s="157" t="n">
        <f aca="false">IF((I32-Q32-R32-X32-AF32)&gt;0,0,I32-Q32-R32-X32-AF32)</f>
        <v>0</v>
      </c>
      <c r="AQ32" s="171" t="n">
        <f aca="false">53.162*(16429*1.9835+AC32*1.9835)/E32</f>
        <v>14.3357517847693</v>
      </c>
      <c r="AR32" s="143" t="n">
        <f aca="false">1766.396/1.9835/30</f>
        <v>29.6848332072935</v>
      </c>
      <c r="AS32" s="102"/>
      <c r="AT32" s="185"/>
      <c r="AV32" s="107" t="n">
        <v>0</v>
      </c>
      <c r="AW32" s="108" t="n">
        <v>79</v>
      </c>
      <c r="AX32" s="108" t="n">
        <v>49</v>
      </c>
      <c r="AY32" s="148"/>
      <c r="AZ32" s="264" t="n">
        <f aca="false">SUM(N32,P32:U32)</f>
        <v>10.0336339859774</v>
      </c>
      <c r="BA32" s="98" t="n">
        <v>0.594</v>
      </c>
      <c r="BB32" s="470" t="n">
        <v>16478</v>
      </c>
    </row>
    <row r="33" customFormat="false" ht="12.95" hidden="false" customHeight="true" outlineLevel="0" collapsed="false">
      <c r="A33" s="10" t="n">
        <f aca="false">A32+1</f>
        <v>19</v>
      </c>
      <c r="B33" s="367" t="n">
        <v>6899.28</v>
      </c>
      <c r="C33" s="99" t="n">
        <v>280935</v>
      </c>
      <c r="D33" s="108" t="n">
        <f aca="false">C33-C32</f>
        <v>-698</v>
      </c>
      <c r="E33" s="99" t="n">
        <f aca="false">C33-152000</f>
        <v>128935</v>
      </c>
      <c r="F33" s="151" t="n">
        <f aca="false">D33/$D$2</f>
        <v>-351.903201411646</v>
      </c>
      <c r="G33" s="141" t="n">
        <v>429</v>
      </c>
      <c r="H33" s="102" t="n">
        <v>0</v>
      </c>
      <c r="I33" s="141" t="n">
        <f aca="false">G33+H33</f>
        <v>429</v>
      </c>
      <c r="J33" s="375" t="n">
        <f aca="false">IF(L33&gt;0,L33,0)</f>
        <v>0</v>
      </c>
      <c r="K33" s="141" t="n">
        <f aca="false">I33+J33</f>
        <v>429</v>
      </c>
      <c r="L33" s="141" t="n">
        <f aca="false">F33-(I33-AK33)</f>
        <v>-57.5032014116461</v>
      </c>
      <c r="M33" s="144" t="n">
        <v>296</v>
      </c>
      <c r="N33" s="171" t="n">
        <f aca="false">1/$D$2*1.03</f>
        <v>0.519284093773632</v>
      </c>
      <c r="O33" s="163" t="n">
        <f aca="false">95.7*1.05</f>
        <v>100.485</v>
      </c>
      <c r="P33" s="171" t="n">
        <v>0</v>
      </c>
      <c r="Q33" s="346" t="n">
        <f aca="false">1908800/325851/1.9835*1.02</f>
        <v>3.01237708401363</v>
      </c>
      <c r="R33" s="138" t="n">
        <v>4.2</v>
      </c>
      <c r="S33" s="138" t="n">
        <f aca="false">((6.4*1.04)-T33)-4.2</f>
        <v>1.2091856</v>
      </c>
      <c r="T33" s="138" t="n">
        <f aca="false">(1.131*1.06)*1.04</f>
        <v>1.2468144</v>
      </c>
      <c r="U33" s="365" t="n">
        <v>0</v>
      </c>
      <c r="V33" s="141" t="n">
        <v>60.4</v>
      </c>
      <c r="W33" s="141" t="n">
        <v>70.4</v>
      </c>
      <c r="X33" s="142" t="n">
        <f aca="false">M33-N33-O33-P33-Q33-R33-S33-T33-U33+V33+W33-AT33+AR33</f>
        <v>345.812172029506</v>
      </c>
      <c r="Y33" s="142" t="n">
        <f aca="false">X33-AO33</f>
        <v>345.812172029506</v>
      </c>
      <c r="Z33" s="113" t="n">
        <f aca="false">Z32-Y33</f>
        <v>20464.254891384</v>
      </c>
      <c r="AA33" s="142" t="n">
        <f aca="false">Y33</f>
        <v>345.812172029506</v>
      </c>
      <c r="AB33" s="113"/>
      <c r="AC33" s="113" t="n">
        <f aca="false">AC32-(AQ32/1.9835)</f>
        <v>1187.69314031246</v>
      </c>
      <c r="AD33" s="113"/>
      <c r="AE33" s="141" t="n">
        <v>231</v>
      </c>
      <c r="AF33" s="144" t="n">
        <v>1.7</v>
      </c>
      <c r="AG33" s="145" t="n">
        <v>1.3</v>
      </c>
      <c r="AH33" s="141" t="n">
        <v>65.6</v>
      </c>
      <c r="AI33" s="84" t="n">
        <f aca="false">AI32-AH33</f>
        <v>11428.6492311571</v>
      </c>
      <c r="AJ33" s="84"/>
      <c r="AK33" s="141" t="n">
        <f aca="false">N34+O33+P33+Q33+R33+S33+T33+U33+X33+AE33+AH33-AR33</f>
        <v>723.4</v>
      </c>
      <c r="AL33" s="141" t="n">
        <f aca="false">IF(L33&lt;0,L33*-1,0)</f>
        <v>57.5032014116461</v>
      </c>
      <c r="AM33" s="141" t="n">
        <f aca="false">AK33+AL33</f>
        <v>780.903201411646</v>
      </c>
      <c r="AN33" s="466"/>
      <c r="AO33" s="157"/>
      <c r="AP33" s="157" t="n">
        <f aca="false">IF((I33-Q33-R33-X33-AF33)&gt;0,0,I33-Q33-R33-X33-AF33)</f>
        <v>0</v>
      </c>
      <c r="AQ33" s="171" t="n">
        <f aca="false">49.319*(16429*1.9835+AC33*1.9835)/E33</f>
        <v>13.3659561492679</v>
      </c>
      <c r="AR33" s="143" t="n">
        <f aca="false">1766.396/1.9835/30</f>
        <v>29.6848332072935</v>
      </c>
      <c r="AS33" s="102"/>
      <c r="AT33" s="185"/>
      <c r="AV33" s="107" t="n">
        <v>0</v>
      </c>
      <c r="AW33" s="108" t="n">
        <v>80</v>
      </c>
      <c r="AX33" s="108" t="n">
        <v>42</v>
      </c>
      <c r="AY33" s="148"/>
      <c r="AZ33" s="264" t="n">
        <f aca="false">SUM(N33,P33:U33)</f>
        <v>10.1876611777873</v>
      </c>
      <c r="BA33" s="98" t="n">
        <v>0.66</v>
      </c>
      <c r="BB33" s="470" t="n">
        <v>16478</v>
      </c>
    </row>
    <row r="34" customFormat="false" ht="12.95" hidden="false" customHeight="true" outlineLevel="0" collapsed="false">
      <c r="A34" s="10" t="n">
        <f aca="false">A33+1</f>
        <v>20</v>
      </c>
      <c r="B34" s="367" t="n">
        <v>6899.1</v>
      </c>
      <c r="C34" s="99" t="n">
        <v>280274</v>
      </c>
      <c r="D34" s="108" t="n">
        <f aca="false">C34-C33</f>
        <v>-661</v>
      </c>
      <c r="E34" s="99" t="n">
        <f aca="false">C34-152000</f>
        <v>128274</v>
      </c>
      <c r="F34" s="151" t="n">
        <f aca="false">D34/$D$2</f>
        <v>-333.249306780943</v>
      </c>
      <c r="G34" s="141" t="n">
        <v>401</v>
      </c>
      <c r="H34" s="102" t="n">
        <v>0</v>
      </c>
      <c r="I34" s="141" t="n">
        <f aca="false">G34+H34</f>
        <v>401</v>
      </c>
      <c r="J34" s="375" t="n">
        <f aca="false">IF(L34&gt;0,L34,0)</f>
        <v>0</v>
      </c>
      <c r="K34" s="141" t="n">
        <f aca="false">I34+J34</f>
        <v>401</v>
      </c>
      <c r="L34" s="141" t="n">
        <f aca="false">F34-(I34-AK34)</f>
        <v>-52.0493067809429</v>
      </c>
      <c r="M34" s="144" t="n">
        <v>293</v>
      </c>
      <c r="N34" s="171" t="n">
        <f aca="false">1/$D$2*1.03</f>
        <v>0.519284093773632</v>
      </c>
      <c r="O34" s="102" t="n">
        <f aca="false">97*1.05</f>
        <v>101.85</v>
      </c>
      <c r="P34" s="171" t="n">
        <v>0</v>
      </c>
      <c r="Q34" s="346" t="n">
        <f aca="false">1984900/325851/1.9835*1.02</f>
        <v>3.13247447299803</v>
      </c>
      <c r="R34" s="138" t="n">
        <v>4.2</v>
      </c>
      <c r="S34" s="138" t="n">
        <f aca="false">((6.3*1.04)-T34)-4.2</f>
        <v>1.03804944</v>
      </c>
      <c r="T34" s="138" t="n">
        <f aca="false">(1.1919*1.06)*1.04</f>
        <v>1.31395056</v>
      </c>
      <c r="U34" s="365" t="n">
        <v>0</v>
      </c>
      <c r="V34" s="141" t="n">
        <v>59.9</v>
      </c>
      <c r="W34" s="141" t="n">
        <v>67.7</v>
      </c>
      <c r="X34" s="142" t="n">
        <f aca="false">M34-N34-O34-P34-Q34-R34-S34-T34-U34+V34+W34-AT34+AR34</f>
        <v>338.231074640522</v>
      </c>
      <c r="Y34" s="142" t="n">
        <f aca="false">X34-AO34</f>
        <v>338.231074640522</v>
      </c>
      <c r="Z34" s="113" t="n">
        <f aca="false">Z33-Y34</f>
        <v>20126.0238167434</v>
      </c>
      <c r="AA34" s="142" t="n">
        <f aca="false">Y34</f>
        <v>338.231074640522</v>
      </c>
      <c r="AB34" s="113"/>
      <c r="AC34" s="113" t="n">
        <f aca="false">AC33-(AQ33/1.9835)</f>
        <v>1180.9545690247</v>
      </c>
      <c r="AD34" s="113"/>
      <c r="AE34" s="141" t="n">
        <v>196</v>
      </c>
      <c r="AF34" s="144" t="n">
        <v>1.7</v>
      </c>
      <c r="AG34" s="145" t="n">
        <v>1.3</v>
      </c>
      <c r="AH34" s="141" t="n">
        <v>65.6</v>
      </c>
      <c r="AI34" s="84" t="n">
        <f aca="false">AI33-AH34</f>
        <v>11363.0492311571</v>
      </c>
      <c r="AJ34" s="84"/>
      <c r="AK34" s="141" t="n">
        <f aca="false">N35+O34+P34+Q34+R34+S34+T34+U34+X34+AE34+AH34-AR34</f>
        <v>682.2</v>
      </c>
      <c r="AL34" s="141" t="n">
        <f aca="false">IF(L34&lt;0,L34*-1,0)</f>
        <v>52.0493067809429</v>
      </c>
      <c r="AM34" s="141" t="n">
        <f aca="false">AK34+AL34</f>
        <v>734.249306780943</v>
      </c>
      <c r="AN34" s="466"/>
      <c r="AO34" s="157"/>
      <c r="AP34" s="157" t="n">
        <f aca="false">IF((I34-Q34-R34-X34-AF34)&gt;0,0,I34-Q34-R34-X34-AF34)</f>
        <v>0</v>
      </c>
      <c r="AQ34" s="171" t="n">
        <f aca="false">68.534*(16429*1.9835+AC34*1.9835)/E34</f>
        <v>18.661987016316</v>
      </c>
      <c r="AR34" s="143" t="n">
        <f aca="false">1766.396/1.9835/30</f>
        <v>29.6848332072935</v>
      </c>
      <c r="AS34" s="102"/>
      <c r="AT34" s="185"/>
      <c r="AV34" s="107" t="n">
        <v>0</v>
      </c>
      <c r="AW34" s="108" t="n">
        <v>87</v>
      </c>
      <c r="AX34" s="108" t="n">
        <v>48</v>
      </c>
      <c r="AY34" s="148"/>
      <c r="AZ34" s="264" t="n">
        <f aca="false">SUM(N34,P34:U34)</f>
        <v>10.2037585667717</v>
      </c>
      <c r="BA34" s="98" t="n">
        <v>0.575</v>
      </c>
      <c r="BB34" s="470" t="n">
        <v>16542</v>
      </c>
    </row>
    <row r="35" customFormat="false" ht="12.95" hidden="false" customHeight="true" outlineLevel="0" collapsed="false">
      <c r="A35" s="10" t="n">
        <f aca="false">A34+1</f>
        <v>21</v>
      </c>
      <c r="B35" s="367" t="n">
        <v>6898.9</v>
      </c>
      <c r="C35" s="99" t="n">
        <v>279542</v>
      </c>
      <c r="D35" s="108" t="n">
        <f aca="false">C35-C34</f>
        <v>-732</v>
      </c>
      <c r="E35" s="99" t="n">
        <f aca="false">C35-152000</f>
        <v>127542</v>
      </c>
      <c r="F35" s="151" t="n">
        <f aca="false">D35/$D$2</f>
        <v>-369.044618099319</v>
      </c>
      <c r="G35" s="141" t="n">
        <v>399</v>
      </c>
      <c r="H35" s="102" t="n">
        <v>0</v>
      </c>
      <c r="I35" s="141" t="n">
        <f aca="false">G35+H35</f>
        <v>399</v>
      </c>
      <c r="J35" s="375" t="n">
        <f aca="false">IF(L35&gt;0,L35,0)</f>
        <v>0</v>
      </c>
      <c r="K35" s="141" t="n">
        <f aca="false">I35+J35</f>
        <v>399</v>
      </c>
      <c r="L35" s="141" t="n">
        <f aca="false">F35-(I35-AK35)</f>
        <v>-85.9446180993194</v>
      </c>
      <c r="M35" s="144" t="n">
        <v>295</v>
      </c>
      <c r="N35" s="171" t="n">
        <f aca="false">1/$D$2*1.03</f>
        <v>0.519284093773632</v>
      </c>
      <c r="O35" s="163" t="n">
        <f aca="false">87.1*1.05</f>
        <v>91.455</v>
      </c>
      <c r="P35" s="171" t="n">
        <v>0</v>
      </c>
      <c r="Q35" s="346" t="n">
        <f aca="false">2009500/325851/1.9835*1.02</f>
        <v>3.17129701924004</v>
      </c>
      <c r="R35" s="138" t="n">
        <v>4.2</v>
      </c>
      <c r="S35" s="138" t="n">
        <f aca="false">((6*1.04)-T35)-4.2</f>
        <v>0.72604944</v>
      </c>
      <c r="T35" s="138" t="n">
        <f aca="false">(1.1919*1.06)*1.04</f>
        <v>1.31395056</v>
      </c>
      <c r="U35" s="365" t="n">
        <v>0</v>
      </c>
      <c r="V35" s="141" t="n">
        <v>59.5</v>
      </c>
      <c r="W35" s="141" t="n">
        <v>69</v>
      </c>
      <c r="X35" s="142" t="n">
        <f aca="false">M35-N35-O35-P35-Q35-R35-S35-T35-U35+V35+W35-AT35+AR35</f>
        <v>351.79925209428</v>
      </c>
      <c r="Y35" s="142" t="n">
        <f aca="false">X35-AO35</f>
        <v>351.79925209428</v>
      </c>
      <c r="Z35" s="113" t="n">
        <f aca="false">Z34-Y35</f>
        <v>19774.2245646492</v>
      </c>
      <c r="AA35" s="142" t="n">
        <f aca="false">Y35</f>
        <v>351.79925209428</v>
      </c>
      <c r="AB35" s="113"/>
      <c r="AC35" s="113" t="n">
        <f aca="false">AC34-(AQ34/1.9835)</f>
        <v>1171.54595444627</v>
      </c>
      <c r="AD35" s="113"/>
      <c r="AE35" s="141" t="n">
        <v>193</v>
      </c>
      <c r="AF35" s="144" t="n">
        <v>1.7</v>
      </c>
      <c r="AG35" s="145" t="n">
        <v>1.3</v>
      </c>
      <c r="AH35" s="141" t="n">
        <v>65.6</v>
      </c>
      <c r="AI35" s="84" t="n">
        <f aca="false">AI34-AH35</f>
        <v>11297.4492311571</v>
      </c>
      <c r="AJ35" s="84"/>
      <c r="AK35" s="141" t="n">
        <f aca="false">N36+O35+P35+Q35+R35+S35+T35+U35+X35+AE35+AH35-AR35</f>
        <v>682.1</v>
      </c>
      <c r="AL35" s="141" t="n">
        <f aca="false">IF(L35&lt;0,L35*-1,0)</f>
        <v>85.9446180993194</v>
      </c>
      <c r="AM35" s="141" t="n">
        <f aca="false">AK35+AL35</f>
        <v>768.044618099319</v>
      </c>
      <c r="AN35" s="466"/>
      <c r="AO35" s="157"/>
      <c r="AP35" s="157" t="n">
        <f aca="false">IF((I35-Q35-R35-X35-AF35)&gt;0,0,I35-Q35-R35-X35-AF35)</f>
        <v>0</v>
      </c>
      <c r="AQ35" s="171" t="n">
        <f aca="false">77.714*(16429*1.9835+AC35*1.9835)/E35</f>
        <v>21.2718070199672</v>
      </c>
      <c r="AR35" s="143" t="n">
        <f aca="false">1766.396/1.9835/30</f>
        <v>29.6848332072935</v>
      </c>
      <c r="AS35" s="102"/>
      <c r="AT35" s="185"/>
      <c r="AV35" s="107" t="n">
        <v>0</v>
      </c>
      <c r="AW35" s="108" t="n">
        <v>85</v>
      </c>
      <c r="AX35" s="108" t="n">
        <v>51</v>
      </c>
      <c r="AY35" s="148"/>
      <c r="AZ35" s="264" t="n">
        <f aca="false">SUM(N35,P35:U35)</f>
        <v>9.93058111301367</v>
      </c>
      <c r="BA35" s="98" t="n">
        <v>0.531</v>
      </c>
      <c r="BB35" s="470" t="n">
        <v>16564</v>
      </c>
    </row>
    <row r="36" customFormat="false" ht="12.95" hidden="false" customHeight="true" outlineLevel="0" collapsed="false">
      <c r="A36" s="10" t="n">
        <f aca="false">A35+1</f>
        <v>22</v>
      </c>
      <c r="B36" s="367" t="n">
        <v>6898.73</v>
      </c>
      <c r="C36" s="99" t="n">
        <v>278922</v>
      </c>
      <c r="D36" s="108" t="n">
        <f aca="false">C36-C35</f>
        <v>-620</v>
      </c>
      <c r="E36" s="99" t="n">
        <f aca="false">C36-152000</f>
        <v>126922</v>
      </c>
      <c r="F36" s="151" t="n">
        <f aca="false">D36/$D$2</f>
        <v>-312.578774892866</v>
      </c>
      <c r="G36" s="141" t="n">
        <v>374</v>
      </c>
      <c r="H36" s="102" t="n">
        <v>0</v>
      </c>
      <c r="I36" s="141" t="n">
        <f aca="false">G36+H36</f>
        <v>374</v>
      </c>
      <c r="J36" s="375" t="n">
        <f aca="false">IF(L36&gt;0,L36,0)</f>
        <v>0</v>
      </c>
      <c r="K36" s="141" t="n">
        <f aca="false">I36+J36</f>
        <v>374</v>
      </c>
      <c r="L36" s="141" t="n">
        <f aca="false">F36-(I36-AK36)</f>
        <v>-50.178774892866</v>
      </c>
      <c r="M36" s="144" t="n">
        <v>301</v>
      </c>
      <c r="N36" s="171" t="n">
        <f aca="false">1/$D$2*1.03</f>
        <v>0.519284093773632</v>
      </c>
      <c r="O36" s="163" t="n">
        <f aca="false">89.6*1.05</f>
        <v>94.08</v>
      </c>
      <c r="P36" s="171" t="n">
        <v>0</v>
      </c>
      <c r="Q36" s="346" t="n">
        <f aca="false">2033600/325851/1.9835*1.02</f>
        <v>3.20933048933891</v>
      </c>
      <c r="R36" s="138" t="n">
        <v>4.2</v>
      </c>
      <c r="S36" s="138" t="n">
        <f aca="false">((6.2*1.04)-T36)-4.2</f>
        <v>0.93404944</v>
      </c>
      <c r="T36" s="138" t="n">
        <f aca="false">(1.1919*1.06)*1.04</f>
        <v>1.31395056</v>
      </c>
      <c r="U36" s="365" t="n">
        <v>0</v>
      </c>
      <c r="V36" s="141" t="n">
        <v>59.9</v>
      </c>
      <c r="W36" s="141" t="n">
        <v>69.9</v>
      </c>
      <c r="X36" s="142" t="n">
        <f aca="false">M36-N36-O36-P36-Q36-R36-S36-T36-U36+V36+W36-AT36+AR36</f>
        <v>356.228218624181</v>
      </c>
      <c r="Y36" s="142" t="n">
        <f aca="false">X36-AO36</f>
        <v>356.228218624181</v>
      </c>
      <c r="Z36" s="113" t="n">
        <f aca="false">Z35-Y36</f>
        <v>19417.996346025</v>
      </c>
      <c r="AA36" s="142" t="n">
        <f aca="false">Y36</f>
        <v>356.228218624181</v>
      </c>
      <c r="AB36" s="113"/>
      <c r="AC36" s="113" t="n">
        <f aca="false">AC35-(AQ35/1.9835)</f>
        <v>1160.82157480424</v>
      </c>
      <c r="AD36" s="113"/>
      <c r="AE36" s="141" t="n">
        <v>140</v>
      </c>
      <c r="AF36" s="144" t="n">
        <v>1.7</v>
      </c>
      <c r="AG36" s="145" t="n">
        <v>1.3</v>
      </c>
      <c r="AH36" s="141" t="n">
        <v>65.6</v>
      </c>
      <c r="AI36" s="84" t="n">
        <f aca="false">AI35-AH36</f>
        <v>11231.8492311571</v>
      </c>
      <c r="AJ36" s="84"/>
      <c r="AK36" s="141" t="n">
        <f aca="false">N37+O36+P36+Q36+R36+S36+T36+U36+X36+AE36+AH36-AR36</f>
        <v>636.4</v>
      </c>
      <c r="AL36" s="141" t="n">
        <f aca="false">IF(L36&lt;0,L36*-1,0)</f>
        <v>50.178774892866</v>
      </c>
      <c r="AM36" s="141" t="n">
        <f aca="false">AK36+AL36</f>
        <v>686.578774892866</v>
      </c>
      <c r="AN36" s="466"/>
      <c r="AO36" s="157"/>
      <c r="AP36" s="157" t="n">
        <f aca="false">IF((I36-Q36-R36-X36-AF36)&gt;0,0,I36-Q36-R36-X36-AF36)</f>
        <v>0</v>
      </c>
      <c r="AQ36" s="171" t="n">
        <f aca="false">73.658*(16429*1.9835+AC36*1.9835)/E36</f>
        <v>20.2477446174357</v>
      </c>
      <c r="AR36" s="143" t="n">
        <f aca="false">1766.396/1.9835/30</f>
        <v>29.6848332072935</v>
      </c>
      <c r="AS36" s="102"/>
      <c r="AT36" s="185"/>
      <c r="AV36" s="107" t="n">
        <v>0</v>
      </c>
      <c r="AW36" s="108" t="n">
        <v>89</v>
      </c>
      <c r="AX36" s="108" t="n">
        <v>54</v>
      </c>
      <c r="AY36" s="148"/>
      <c r="AZ36" s="264" t="n">
        <f aca="false">SUM(N36,P36:U36)</f>
        <v>10.1766145831125</v>
      </c>
      <c r="BA36" s="98" t="n">
        <v>0.692</v>
      </c>
      <c r="BB36" s="470" t="n">
        <v>16577</v>
      </c>
    </row>
    <row r="37" customFormat="false" ht="12.95" hidden="false" customHeight="true" outlineLevel="0" collapsed="false">
      <c r="A37" s="10" t="n">
        <f aca="false">A36+1</f>
        <v>23</v>
      </c>
      <c r="B37" s="367" t="n">
        <v>6898.53</v>
      </c>
      <c r="C37" s="99" t="n">
        <v>278193</v>
      </c>
      <c r="D37" s="108" t="n">
        <f aca="false">C37-C36</f>
        <v>-729</v>
      </c>
      <c r="E37" s="99" t="n">
        <f aca="false">C37-152000</f>
        <v>126193</v>
      </c>
      <c r="F37" s="151" t="n">
        <f aca="false">D37/$D$2</f>
        <v>-367.532140156289</v>
      </c>
      <c r="G37" s="141" t="n">
        <v>360</v>
      </c>
      <c r="H37" s="102" t="n">
        <v>0</v>
      </c>
      <c r="I37" s="141" t="n">
        <f aca="false">G37+H37</f>
        <v>360</v>
      </c>
      <c r="J37" s="375" t="n">
        <f aca="false">IF(L37&gt;0,L37,0)</f>
        <v>0</v>
      </c>
      <c r="K37" s="141" t="n">
        <f aca="false">I37+J37</f>
        <v>360</v>
      </c>
      <c r="L37" s="141" t="n">
        <f aca="false">F37-(I37-AK37)</f>
        <v>-78.1321401562894</v>
      </c>
      <c r="M37" s="144" t="n">
        <v>292</v>
      </c>
      <c r="N37" s="171" t="n">
        <f aca="false">1/$D$2*1.03</f>
        <v>0.519284093773632</v>
      </c>
      <c r="O37" s="163" t="n">
        <f aca="false">86.1*1.05</f>
        <v>90.405</v>
      </c>
      <c r="P37" s="171" t="n">
        <v>0</v>
      </c>
      <c r="Q37" s="346" t="n">
        <f aca="false">2210300/325851/1.9835*1.02</f>
        <v>3.4881899983211</v>
      </c>
      <c r="R37" s="138" t="n">
        <v>4.2</v>
      </c>
      <c r="S37" s="138" t="n">
        <f aca="false">((6.9*1.04)-T37)-4.2</f>
        <v>1.66204944</v>
      </c>
      <c r="T37" s="138" t="n">
        <f aca="false">(1.1919*1.06)*1.04</f>
        <v>1.31395056</v>
      </c>
      <c r="U37" s="365" t="n">
        <v>0</v>
      </c>
      <c r="V37" s="141" t="n">
        <v>59.5</v>
      </c>
      <c r="W37" s="141" t="n">
        <v>69.3</v>
      </c>
      <c r="X37" s="142" t="n">
        <f aca="false">M37-N37-O37-P37-Q37-R37-S37-T37-U37+V37+W37-AT37+AR37</f>
        <v>348.896359115199</v>
      </c>
      <c r="Y37" s="142" t="n">
        <f aca="false">X37-AO37</f>
        <v>348.896359115199</v>
      </c>
      <c r="Z37" s="113" t="n">
        <f aca="false">Z36-Y37</f>
        <v>19069.0999869098</v>
      </c>
      <c r="AA37" s="142" t="n">
        <f aca="false">Y37</f>
        <v>348.896359115199</v>
      </c>
      <c r="AB37" s="113"/>
      <c r="AC37" s="113" t="n">
        <f aca="false">AC36-(AQ36/1.9835)</f>
        <v>1150.61348576092</v>
      </c>
      <c r="AD37" s="113"/>
      <c r="AE37" s="141" t="n">
        <v>163</v>
      </c>
      <c r="AF37" s="144" t="n">
        <v>1.7</v>
      </c>
      <c r="AG37" s="145" t="n">
        <v>1.3</v>
      </c>
      <c r="AH37" s="141" t="n">
        <v>65.6</v>
      </c>
      <c r="AI37" s="84" t="n">
        <f aca="false">AI36-AH37</f>
        <v>11166.2492311571</v>
      </c>
      <c r="AJ37" s="84"/>
      <c r="AK37" s="141" t="n">
        <f aca="false">N38+O37+P37+Q37+R37+S37+T37+U37+X37+AE37+AH37-AR37</f>
        <v>649.4</v>
      </c>
      <c r="AL37" s="141" t="n">
        <f aca="false">IF(L37&lt;0,L37*-1,0)</f>
        <v>78.1321401562894</v>
      </c>
      <c r="AM37" s="141" t="n">
        <f aca="false">AK37+AL37</f>
        <v>727.532140156289</v>
      </c>
      <c r="AN37" s="466"/>
      <c r="AO37" s="157"/>
      <c r="AP37" s="157" t="n">
        <f aca="false">IF((I37-Q37-R37-X37-AF37)&gt;0,0,I37-Q37-R37-X37-AF37)</f>
        <v>0</v>
      </c>
      <c r="AQ37" s="171" t="n">
        <f aca="false">100.345*(16429*1.9835+AC37*1.9835)/E37</f>
        <v>27.7269436201381</v>
      </c>
      <c r="AR37" s="143" t="n">
        <f aca="false">1766.396/1.9835/30</f>
        <v>29.6848332072935</v>
      </c>
      <c r="AS37" s="102"/>
      <c r="AT37" s="185"/>
      <c r="AV37" s="107" t="n">
        <v>0</v>
      </c>
      <c r="AW37" s="108" t="n">
        <v>89</v>
      </c>
      <c r="AX37" s="108" t="n">
        <v>54</v>
      </c>
      <c r="AY37" s="148"/>
      <c r="AZ37" s="264" t="n">
        <f aca="false">SUM(N37,P37:U37)</f>
        <v>11.1834740920947</v>
      </c>
      <c r="BA37" s="98" t="n">
        <v>0.706</v>
      </c>
      <c r="BB37" s="470" t="n">
        <v>16603</v>
      </c>
    </row>
    <row r="38" customFormat="false" ht="12.95" hidden="false" customHeight="true" outlineLevel="0" collapsed="false">
      <c r="A38" s="10" t="n">
        <f aca="false">A37+1</f>
        <v>24</v>
      </c>
      <c r="B38" s="367" t="n">
        <v>6898.32</v>
      </c>
      <c r="C38" s="99" t="n">
        <v>277427</v>
      </c>
      <c r="D38" s="108" t="n">
        <f aca="false">C38-C37</f>
        <v>-766</v>
      </c>
      <c r="E38" s="99" t="n">
        <f aca="false">C38-152000</f>
        <v>125427</v>
      </c>
      <c r="F38" s="151" t="n">
        <f aca="false">D38/$D$2</f>
        <v>-386.186034786993</v>
      </c>
      <c r="G38" s="141" t="n">
        <v>329</v>
      </c>
      <c r="H38" s="102" t="n">
        <v>0</v>
      </c>
      <c r="I38" s="141" t="n">
        <f aca="false">G38+H38</f>
        <v>329</v>
      </c>
      <c r="J38" s="375" t="n">
        <f aca="false">IF(L38&gt;0,L38,0)</f>
        <v>0</v>
      </c>
      <c r="K38" s="141" t="n">
        <f aca="false">I38+J38</f>
        <v>329</v>
      </c>
      <c r="L38" s="141" t="n">
        <f aca="false">F38-(I38-AK38)</f>
        <v>-73.5860347869928</v>
      </c>
      <c r="M38" s="144" t="n">
        <v>309</v>
      </c>
      <c r="N38" s="171" t="n">
        <f aca="false">1/$D$2*1.03</f>
        <v>0.519284093773632</v>
      </c>
      <c r="O38" s="163" t="n">
        <f aca="false">86.1*1.05</f>
        <v>90.405</v>
      </c>
      <c r="P38" s="171" t="n">
        <v>0</v>
      </c>
      <c r="Q38" s="346" t="n">
        <f aca="false">1858000/325851/1.9835*1.02</f>
        <v>2.9322069478716</v>
      </c>
      <c r="R38" s="138" t="n">
        <v>4.2</v>
      </c>
      <c r="S38" s="138" t="n">
        <f aca="false">((7.5*1.04)-T38)-4.2</f>
        <v>2.28604944</v>
      </c>
      <c r="T38" s="138" t="n">
        <f aca="false">(1.1919*1.06)*1.04</f>
        <v>1.31395056</v>
      </c>
      <c r="U38" s="365" t="n">
        <v>0</v>
      </c>
      <c r="V38" s="141" t="n">
        <v>59.5</v>
      </c>
      <c r="W38" s="141" t="n">
        <v>68.4</v>
      </c>
      <c r="X38" s="142" t="n">
        <f aca="false">M38-N38-O38-P38-Q38-R38-S38-T38-U38+V38+W38-AT38+AR38</f>
        <v>364.928342165648</v>
      </c>
      <c r="Y38" s="142" t="n">
        <f aca="false">X38-AO38</f>
        <v>364.928342165648</v>
      </c>
      <c r="Z38" s="113" t="n">
        <f aca="false">Z37-Y38</f>
        <v>18704.1716447441</v>
      </c>
      <c r="AA38" s="142" t="n">
        <f aca="false">Y38</f>
        <v>364.928342165648</v>
      </c>
      <c r="AB38" s="113"/>
      <c r="AC38" s="113" t="n">
        <f aca="false">AC37-(AQ37/1.9835)</f>
        <v>1136.63468887655</v>
      </c>
      <c r="AD38" s="113"/>
      <c r="AE38" s="141" t="n">
        <v>150</v>
      </c>
      <c r="AF38" s="144" t="n">
        <v>1.7</v>
      </c>
      <c r="AG38" s="145" t="n">
        <v>1.3</v>
      </c>
      <c r="AH38" s="141" t="n">
        <v>54.7</v>
      </c>
      <c r="AI38" s="84" t="n">
        <f aca="false">AI37-AH38</f>
        <v>11111.5492311571</v>
      </c>
      <c r="AJ38" s="84"/>
      <c r="AK38" s="141" t="n">
        <f aca="false">N39+O38+P38+Q38+R38+S38+T38+U38+X38+AE38+AH38-AR38</f>
        <v>641.6</v>
      </c>
      <c r="AL38" s="141" t="n">
        <f aca="false">IF(L38&lt;0,L38*-1,0)</f>
        <v>73.5860347869928</v>
      </c>
      <c r="AM38" s="141" t="n">
        <f aca="false">AK38+AL38</f>
        <v>715.186034786993</v>
      </c>
      <c r="AN38" s="466"/>
      <c r="AO38" s="157"/>
      <c r="AP38" s="157" t="n">
        <f aca="false">IF((I38-Q38-R38-X38-AF38)&gt;0,0,I38-Q38-R38-X38-AF38)</f>
        <v>-44.7605491135198</v>
      </c>
      <c r="AQ38" s="171" t="n">
        <f aca="false">60.806*(16429*1.9835+AC38*1.9835)/E38</f>
        <v>16.8908479200327</v>
      </c>
      <c r="AR38" s="143" t="n">
        <f aca="false">1766.396/1.9835/30</f>
        <v>29.6848332072935</v>
      </c>
      <c r="AS38" s="102"/>
      <c r="AT38" s="185"/>
      <c r="AV38" s="107" t="n">
        <v>0</v>
      </c>
      <c r="AW38" s="108" t="n">
        <v>89</v>
      </c>
      <c r="AX38" s="108" t="n">
        <v>49</v>
      </c>
      <c r="AY38" s="148"/>
      <c r="AZ38" s="264" t="n">
        <f aca="false">SUM(N38,P38:U38)</f>
        <v>11.2514910416452</v>
      </c>
      <c r="BA38" s="98" t="n">
        <v>0.771</v>
      </c>
      <c r="BB38" s="470" t="n">
        <v>16595</v>
      </c>
    </row>
    <row r="39" customFormat="false" ht="12.95" hidden="false" customHeight="true" outlineLevel="0" collapsed="false">
      <c r="A39" s="10" t="n">
        <f aca="false">A38+1</f>
        <v>25</v>
      </c>
      <c r="B39" s="367" t="n">
        <v>6898.1</v>
      </c>
      <c r="C39" s="99" t="n">
        <v>276625</v>
      </c>
      <c r="D39" s="108" t="n">
        <f aca="false">C39-C38</f>
        <v>-802</v>
      </c>
      <c r="E39" s="99" t="n">
        <f aca="false">C39-152000</f>
        <v>124625</v>
      </c>
      <c r="F39" s="151" t="n">
        <f aca="false">D39/$D$2</f>
        <v>-404.335770103353</v>
      </c>
      <c r="G39" s="141" t="n">
        <v>299</v>
      </c>
      <c r="H39" s="102" t="n">
        <v>0</v>
      </c>
      <c r="I39" s="141" t="n">
        <f aca="false">G39+H39</f>
        <v>299</v>
      </c>
      <c r="J39" s="375" t="n">
        <f aca="false">IF(L39&gt;0,L39,0)</f>
        <v>0</v>
      </c>
      <c r="K39" s="141" t="n">
        <f aca="false">I39+J39</f>
        <v>299</v>
      </c>
      <c r="L39" s="141" t="n">
        <f aca="false">F39-(I39-AK39)</f>
        <v>-49.3557701033527</v>
      </c>
      <c r="M39" s="144" t="n">
        <v>312</v>
      </c>
      <c r="N39" s="171" t="n">
        <f aca="false">1/$D$2*1.03</f>
        <v>0.519284093773632</v>
      </c>
      <c r="O39" s="163" t="n">
        <f aca="false">90.8*1.05</f>
        <v>95.34</v>
      </c>
      <c r="P39" s="171" t="n">
        <v>1</v>
      </c>
      <c r="Q39" s="346" t="n">
        <f aca="false">2183500/325851/1.9835*1.02</f>
        <v>3.44589551704933</v>
      </c>
      <c r="R39" s="138" t="n">
        <v>4.2</v>
      </c>
      <c r="S39" s="138" t="n">
        <f aca="false">((7.3*1.04)-T39)-4.2</f>
        <v>2.07804944</v>
      </c>
      <c r="T39" s="138" t="n">
        <f aca="false">(1.1919*1.06)*1.04</f>
        <v>1.31395056</v>
      </c>
      <c r="U39" s="365" t="n">
        <v>0</v>
      </c>
      <c r="V39" s="141" t="n">
        <v>59.2</v>
      </c>
      <c r="W39" s="141" t="n">
        <v>67.4</v>
      </c>
      <c r="X39" s="142" t="n">
        <f aca="false">M39-N39-O39-P39-Q39-R39-S39-T39-U39+V39+W39-AT39+AR39</f>
        <v>360.167653596471</v>
      </c>
      <c r="Y39" s="142" t="n">
        <f aca="false">X39-AO39</f>
        <v>360.167653596471</v>
      </c>
      <c r="Z39" s="113" t="n">
        <f aca="false">Z38-Y39</f>
        <v>18344.0039911477</v>
      </c>
      <c r="AA39" s="142" t="n">
        <f aca="false">Y39</f>
        <v>360.167653596471</v>
      </c>
      <c r="AB39" s="113"/>
      <c r="AC39" s="113" t="n">
        <f aca="false">AC38-(AQ38/1.9835)</f>
        <v>1128.11901057051</v>
      </c>
      <c r="AD39" s="113"/>
      <c r="AE39" s="141" t="n">
        <v>160</v>
      </c>
      <c r="AF39" s="144" t="n">
        <v>1.7</v>
      </c>
      <c r="AG39" s="145" t="n">
        <v>1.3</v>
      </c>
      <c r="AH39" s="141" t="n">
        <v>55.6</v>
      </c>
      <c r="AI39" s="84" t="n">
        <f aca="false">AI38-AH39</f>
        <v>11055.9492311571</v>
      </c>
      <c r="AJ39" s="84"/>
      <c r="AK39" s="141" t="n">
        <f aca="false">N40+O39+P39+Q39+R39+S39+T39+U39+X39+AE39+AH39-AR39</f>
        <v>653.98</v>
      </c>
      <c r="AL39" s="141" t="n">
        <f aca="false">IF(L39&lt;0,L39*-1,0)</f>
        <v>49.3557701033527</v>
      </c>
      <c r="AM39" s="141" t="n">
        <f aca="false">AK39+AL39</f>
        <v>703.335770103353</v>
      </c>
      <c r="AN39" s="466"/>
      <c r="AO39" s="157"/>
      <c r="AP39" s="157" t="n">
        <f aca="false">IF((I39-Q39-R39-X39-AF39)&gt;0,0,I39-Q39-R39-X39-AF39)</f>
        <v>-70.5135491135199</v>
      </c>
      <c r="AQ39" s="171" t="n">
        <f aca="false">58.263*(16429*1.9835+AC39*1.9835)/E39</f>
        <v>16.2807020887838</v>
      </c>
      <c r="AR39" s="143" t="n">
        <f aca="false">1766.396/1.9835/30</f>
        <v>29.6848332072935</v>
      </c>
      <c r="AS39" s="102"/>
      <c r="AT39" s="185" t="n">
        <f aca="false">1.22-P39</f>
        <v>0.22</v>
      </c>
      <c r="AV39" s="107" t="n">
        <v>0</v>
      </c>
      <c r="AW39" s="108" t="n">
        <v>89</v>
      </c>
      <c r="AX39" s="108" t="n">
        <v>51</v>
      </c>
      <c r="AY39" s="148"/>
      <c r="AZ39" s="264" t="n">
        <f aca="false">SUM(N39,P39:U39)</f>
        <v>12.557179610823</v>
      </c>
      <c r="BA39" s="98" t="n">
        <v>0.86</v>
      </c>
      <c r="BB39" s="470" t="n">
        <v>16611</v>
      </c>
    </row>
    <row r="40" customFormat="false" ht="12.95" hidden="false" customHeight="true" outlineLevel="0" collapsed="false">
      <c r="A40" s="10" t="n">
        <f aca="false">A39+1</f>
        <v>26</v>
      </c>
      <c r="B40" s="367" t="n">
        <v>6897.85</v>
      </c>
      <c r="C40" s="99" t="n">
        <v>275718</v>
      </c>
      <c r="D40" s="108" t="n">
        <f aca="false">C40-C39</f>
        <v>-907</v>
      </c>
      <c r="E40" s="99" t="n">
        <f aca="false">C40-152000</f>
        <v>123718</v>
      </c>
      <c r="F40" s="151" t="n">
        <f aca="false">D40/$D$2</f>
        <v>-457.272498109403</v>
      </c>
      <c r="G40" s="141" t="n">
        <v>291</v>
      </c>
      <c r="H40" s="102" t="n">
        <v>0</v>
      </c>
      <c r="I40" s="141" t="n">
        <f aca="false">G40+H40</f>
        <v>291</v>
      </c>
      <c r="J40" s="375" t="n">
        <f aca="false">IF(L40&gt;0,L40,0)</f>
        <v>0</v>
      </c>
      <c r="K40" s="141" t="n">
        <f aca="false">I40+J40</f>
        <v>291</v>
      </c>
      <c r="L40" s="141" t="n">
        <f aca="false">F40-(I40-AK40)</f>
        <v>-79.9324981094025</v>
      </c>
      <c r="M40" s="144" t="n">
        <v>323</v>
      </c>
      <c r="N40" s="171" t="n">
        <f aca="false">1/$D$2*1.03</f>
        <v>0.519284093773632</v>
      </c>
      <c r="O40" s="4" t="n">
        <f aca="false">87.9*1.05</f>
        <v>92.295</v>
      </c>
      <c r="P40" s="171" t="n">
        <v>1</v>
      </c>
      <c r="Q40" s="346" t="n">
        <f aca="false">1682400/325851/1.9835*1.02</f>
        <v>2.6550834064043</v>
      </c>
      <c r="R40" s="138" t="n">
        <v>4.2</v>
      </c>
      <c r="S40" s="138" t="n">
        <f aca="false">((7.8*1.04)-T40)-4.2</f>
        <v>2.59804944</v>
      </c>
      <c r="T40" s="138" t="n">
        <f aca="false">(1.1919*1.06)*1.04</f>
        <v>1.31395056</v>
      </c>
      <c r="U40" s="365" t="n">
        <v>0</v>
      </c>
      <c r="V40" s="141" t="n">
        <v>58.9</v>
      </c>
      <c r="W40" s="141" t="n">
        <v>68.9</v>
      </c>
      <c r="X40" s="142" t="n">
        <f aca="false">M40-N40-O40-P40-Q40-R40-S40-T40-U40+V40+W40-AT40+AR40</f>
        <v>374.843465707116</v>
      </c>
      <c r="Y40" s="142" t="n">
        <f aca="false">X40-AO40</f>
        <v>374.843465707116</v>
      </c>
      <c r="Z40" s="113" t="n">
        <f aca="false">Z39-Y40</f>
        <v>17969.1605254406</v>
      </c>
      <c r="AA40" s="142" t="n">
        <f aca="false">Y40</f>
        <v>374.843465707116</v>
      </c>
      <c r="AB40" s="113"/>
      <c r="AC40" s="113" t="n">
        <f aca="false">AC39-(AQ39/1.9835)</f>
        <v>1119.9109429684</v>
      </c>
      <c r="AD40" s="113"/>
      <c r="AE40" s="478" t="n">
        <v>163</v>
      </c>
      <c r="AF40" s="144" t="n">
        <v>1.7</v>
      </c>
      <c r="AG40" s="145" t="n">
        <v>1.3</v>
      </c>
      <c r="AH40" s="141" t="n">
        <v>55.6</v>
      </c>
      <c r="AI40" s="84" t="n">
        <f aca="false">AI39-AH40</f>
        <v>11000.3492311571</v>
      </c>
      <c r="AJ40" s="84"/>
      <c r="AK40" s="141" t="n">
        <f aca="false">N41+O40+P40+Q40+R40+S40+T40+U40+X40+AE40+AH40-AR40</f>
        <v>668.34</v>
      </c>
      <c r="AL40" s="141" t="n">
        <f aca="false">IF(L40&lt;0,L40*-1,0)</f>
        <v>79.9324981094025</v>
      </c>
      <c r="AM40" s="141" t="n">
        <f aca="false">AK40+AL40</f>
        <v>748.272498109403</v>
      </c>
      <c r="AN40" s="466"/>
      <c r="AO40" s="157"/>
      <c r="AP40" s="157" t="n">
        <f aca="false">IF((I40-Q40-R40-X40-AF40)&gt;0,0,I40-Q40-R40-X40-AF40)</f>
        <v>-92.3985491135199</v>
      </c>
      <c r="AQ40" s="171" t="n">
        <f aca="false">64.407*(16429*1.9835+AC40*1.9835)/E40</f>
        <v>18.1210164611481</v>
      </c>
      <c r="AR40" s="143" t="n">
        <f aca="false">1766.396/1.9835/30</f>
        <v>29.6848332072935</v>
      </c>
      <c r="AS40" s="102"/>
      <c r="AT40" s="185" t="n">
        <f aca="false">2.06-P40</f>
        <v>1.06</v>
      </c>
      <c r="AV40" s="107" t="n">
        <v>0</v>
      </c>
      <c r="AW40" s="108" t="n">
        <v>88</v>
      </c>
      <c r="AX40" s="108" t="n">
        <v>50</v>
      </c>
      <c r="AY40" s="148"/>
      <c r="AZ40" s="264" t="n">
        <f aca="false">SUM(N40,P40:U40)</f>
        <v>12.2863675001779</v>
      </c>
      <c r="BA40" s="98" t="n">
        <v>0.901</v>
      </c>
      <c r="BB40" s="470" t="n">
        <v>16598</v>
      </c>
    </row>
    <row r="41" customFormat="false" ht="12.95" hidden="false" customHeight="true" outlineLevel="0" collapsed="false">
      <c r="A41" s="10" t="n">
        <f aca="false">A40+1</f>
        <v>27</v>
      </c>
      <c r="B41" s="367" t="n">
        <v>6897.59</v>
      </c>
      <c r="C41" s="99" t="n">
        <v>274773</v>
      </c>
      <c r="D41" s="108" t="n">
        <f aca="false">C41-C40</f>
        <v>-945</v>
      </c>
      <c r="E41" s="99" t="n">
        <f aca="false">C41-152000</f>
        <v>122773</v>
      </c>
      <c r="F41" s="151" t="n">
        <f aca="false">D41/$D$2</f>
        <v>-476.430552054449</v>
      </c>
      <c r="G41" s="141" t="n">
        <v>277</v>
      </c>
      <c r="H41" s="102" t="n">
        <v>0</v>
      </c>
      <c r="I41" s="141" t="n">
        <f aca="false">G41+H41</f>
        <v>277</v>
      </c>
      <c r="J41" s="375" t="n">
        <f aca="false">IF(L41&gt;0,L41,0)</f>
        <v>0</v>
      </c>
      <c r="K41" s="141" t="n">
        <f aca="false">I41+J41</f>
        <v>277</v>
      </c>
      <c r="L41" s="141" t="n">
        <f aca="false">F41-(I41-AK41)</f>
        <v>-97.5605520544492</v>
      </c>
      <c r="M41" s="144" t="n">
        <v>325</v>
      </c>
      <c r="N41" s="171" t="n">
        <f aca="false">1/$D$2*1.03</f>
        <v>0.519284093773632</v>
      </c>
      <c r="O41" s="163" t="n">
        <f aca="false">82.2*1.05</f>
        <v>86.31</v>
      </c>
      <c r="P41" s="171" t="n">
        <v>1</v>
      </c>
      <c r="Q41" s="346" t="n">
        <f aca="false">2018100/325851/1.9835*1.02</f>
        <v>3.18486912890187</v>
      </c>
      <c r="R41" s="138" t="n">
        <v>4.2</v>
      </c>
      <c r="S41" s="138" t="n">
        <f aca="false">((7.5*1.04)-T41)-4.2</f>
        <v>2.85378544</v>
      </c>
      <c r="T41" s="138" t="n">
        <f aca="false">(0.6769*1.06)*1.04</f>
        <v>0.74621456</v>
      </c>
      <c r="U41" s="365" t="n">
        <v>0</v>
      </c>
      <c r="V41" s="141" t="n">
        <v>58.8</v>
      </c>
      <c r="W41" s="141" t="n">
        <v>69.6</v>
      </c>
      <c r="X41" s="142" t="n">
        <f aca="false">M41-N41-O41-P41-Q41-R41-S41-T41-U41+V41+W41-AT41+AR41</f>
        <v>383.140679984618</v>
      </c>
      <c r="Y41" s="142" t="n">
        <f aca="false">X41-AO41</f>
        <v>383.140679984618</v>
      </c>
      <c r="Z41" s="113" t="n">
        <f aca="false">Z40-Y41</f>
        <v>17586.0198454559</v>
      </c>
      <c r="AA41" s="142" t="n">
        <f aca="false">Y41</f>
        <v>383.140679984618</v>
      </c>
      <c r="AB41" s="113"/>
      <c r="AC41" s="113" t="n">
        <f aca="false">AC40-(AQ40/1.9835)</f>
        <v>1110.77506373414</v>
      </c>
      <c r="AD41" s="113"/>
      <c r="AE41" s="141" t="n">
        <v>148</v>
      </c>
      <c r="AF41" s="144" t="n">
        <v>1.7</v>
      </c>
      <c r="AG41" s="145" t="n">
        <v>1.3</v>
      </c>
      <c r="AH41" s="141" t="n">
        <v>55.6</v>
      </c>
      <c r="AI41" s="84" t="n">
        <f aca="false">AI40-AH41</f>
        <v>10944.7492311571</v>
      </c>
      <c r="AJ41" s="84"/>
      <c r="AK41" s="141" t="n">
        <f aca="false">N42+O41+P41+Q41+R41+S41+T41+U41+X41+AE41+AH41-AR41</f>
        <v>655.87</v>
      </c>
      <c r="AL41" s="141" t="n">
        <f aca="false">IF(L41&lt;0,L41*-1,0)</f>
        <v>97.5605520544492</v>
      </c>
      <c r="AM41" s="141" t="n">
        <f aca="false">AK41+AL41</f>
        <v>753.430552054449</v>
      </c>
      <c r="AN41" s="466"/>
      <c r="AO41" s="157"/>
      <c r="AP41" s="157" t="n">
        <f aca="false">IF((I41-Q41-R41-X41-AF41)&gt;0,0,I41-Q41-R41-X41-AF41)</f>
        <v>-115.22554911352</v>
      </c>
      <c r="AQ41" s="171" t="n">
        <f aca="false">59.323*(16429*1.9835+AC41*1.9835)/E41</f>
        <v>16.8103386164389</v>
      </c>
      <c r="AR41" s="143" t="n">
        <f aca="false">1766.396/1.9835/30</f>
        <v>29.6848332072935</v>
      </c>
      <c r="AS41" s="102"/>
      <c r="AT41" s="185" t="n">
        <f aca="false">2.13-P41</f>
        <v>1.13</v>
      </c>
      <c r="AV41" s="107" t="n">
        <v>0</v>
      </c>
      <c r="AW41" s="108" t="n">
        <v>81</v>
      </c>
      <c r="AX41" s="108" t="n">
        <v>53</v>
      </c>
      <c r="AY41" s="148"/>
      <c r="AZ41" s="264" t="n">
        <f aca="false">SUM(N41,P41:U41)</f>
        <v>12.5041532226755</v>
      </c>
      <c r="BA41" s="98" t="n">
        <v>0.842</v>
      </c>
      <c r="BB41" s="470" t="n">
        <v>16597</v>
      </c>
    </row>
    <row r="42" customFormat="false" ht="12.95" hidden="false" customHeight="true" outlineLevel="0" collapsed="false">
      <c r="A42" s="10" t="n">
        <f aca="false">A41+1</f>
        <v>28</v>
      </c>
      <c r="B42" s="367" t="n">
        <v>6897.36</v>
      </c>
      <c r="C42" s="99" t="n">
        <v>273946</v>
      </c>
      <c r="D42" s="108" t="n">
        <f aca="false">C42-C41</f>
        <v>-827</v>
      </c>
      <c r="E42" s="99" t="n">
        <f aca="false">C42-152000</f>
        <v>121946</v>
      </c>
      <c r="F42" s="151" t="n">
        <f aca="false">D42/$D$2</f>
        <v>-416.939752961936</v>
      </c>
      <c r="G42" s="141" t="n">
        <v>250</v>
      </c>
      <c r="H42" s="102" t="n">
        <v>0</v>
      </c>
      <c r="I42" s="141" t="n">
        <f aca="false">G42+H42</f>
        <v>250</v>
      </c>
      <c r="J42" s="375" t="n">
        <f aca="false">IF(L42&gt;0,L42,0)</f>
        <v>0</v>
      </c>
      <c r="K42" s="141" t="n">
        <f aca="false">I42+J42</f>
        <v>250</v>
      </c>
      <c r="L42" s="141" t="n">
        <f aca="false">F42-(I42-AK42)</f>
        <v>-5.77975296193608</v>
      </c>
      <c r="M42" s="144" t="n">
        <v>317</v>
      </c>
      <c r="N42" s="171" t="n">
        <f aca="false">1/$D$2*1.03</f>
        <v>0.519284093773632</v>
      </c>
      <c r="O42" s="163" t="n">
        <f aca="false">82.7*1.05</f>
        <v>86.835</v>
      </c>
      <c r="P42" s="171" t="n">
        <v>1</v>
      </c>
      <c r="Q42" s="346" t="n">
        <f aca="false">2017800/325851/1.9835*1.02</f>
        <v>3.184395683216</v>
      </c>
      <c r="R42" s="138" t="n">
        <v>4.2</v>
      </c>
      <c r="S42" s="138" t="n">
        <f aca="false">((7.6*1.04)-T42)-4.2</f>
        <v>2.95778544</v>
      </c>
      <c r="T42" s="138" t="n">
        <f aca="false">(0.6769*1.06)*1.04</f>
        <v>0.74621456</v>
      </c>
      <c r="U42" s="365" t="n">
        <v>0</v>
      </c>
      <c r="V42" s="141" t="n">
        <v>59.8</v>
      </c>
      <c r="W42" s="141" t="n">
        <v>69.7</v>
      </c>
      <c r="X42" s="142" t="n">
        <f aca="false">M42-N42-O42-P42-Q42-R42-S42-T42-U42+V42+W42-AT42+AR42</f>
        <v>375.802153430304</v>
      </c>
      <c r="Y42" s="142" t="n">
        <f aca="false">X42-AO42</f>
        <v>375.802153430304</v>
      </c>
      <c r="Z42" s="113" t="n">
        <f aca="false">Z41-Y42</f>
        <v>17210.2176920256</v>
      </c>
      <c r="AA42" s="142" t="n">
        <f aca="false">Y42</f>
        <v>375.802153430304</v>
      </c>
      <c r="AB42" s="113"/>
      <c r="AC42" s="113" t="n">
        <f aca="false">AC41-(AQ41/1.9835)</f>
        <v>1102.2999749434</v>
      </c>
      <c r="AD42" s="113"/>
      <c r="AE42" s="141" t="n">
        <v>160</v>
      </c>
      <c r="AF42" s="144" t="n">
        <v>1.7</v>
      </c>
      <c r="AG42" s="145" t="n">
        <v>1.3</v>
      </c>
      <c r="AH42" s="141" t="n">
        <v>55.6</v>
      </c>
      <c r="AI42" s="84" t="n">
        <f aca="false">AI41-AH42</f>
        <v>10889.1492311571</v>
      </c>
      <c r="AJ42" s="84"/>
      <c r="AK42" s="141" t="n">
        <f aca="false">N43+O42+P42+Q42+R42+S42+T42+U42+X42+AE42+AH42-AR42</f>
        <v>661.16</v>
      </c>
      <c r="AL42" s="141" t="n">
        <f aca="false">IF(L42&lt;0,L42*-1,0)</f>
        <v>5.77975296193608</v>
      </c>
      <c r="AM42" s="141" t="n">
        <f aca="false">AK42+AL42</f>
        <v>666.939752961936</v>
      </c>
      <c r="AN42" s="466"/>
      <c r="AO42" s="157"/>
      <c r="AP42" s="157" t="n">
        <f aca="false">IF((I42-Q42-R42-X42-AF42)&gt;0,0,I42-Q42-R42-X42-AF42)</f>
        <v>-134.88654911352</v>
      </c>
      <c r="AQ42" s="171" t="n">
        <f aca="false">87.012*(16429*1.9835+AC42*1.9835)/E42</f>
        <v>24.8117797593043</v>
      </c>
      <c r="AR42" s="143" t="n">
        <f aca="false">1766.396/1.9835/30</f>
        <v>29.6848332072935</v>
      </c>
      <c r="AS42" s="102"/>
      <c r="AT42" s="185" t="n">
        <f aca="false">1.94-P42</f>
        <v>0.94</v>
      </c>
      <c r="AV42" s="107" t="n">
        <v>0</v>
      </c>
      <c r="AW42" s="108" t="n">
        <v>86</v>
      </c>
      <c r="AX42" s="108" t="n">
        <v>54</v>
      </c>
      <c r="AY42" s="148"/>
      <c r="AZ42" s="264" t="n">
        <f aca="false">SUM(N42,P42:U42)</f>
        <v>12.6076797769896</v>
      </c>
      <c r="BA42" s="98" t="n">
        <v>1.71</v>
      </c>
      <c r="BB42" s="470" t="n">
        <v>16583</v>
      </c>
    </row>
    <row r="43" customFormat="false" ht="12.95" hidden="false" customHeight="true" outlineLevel="0" collapsed="false">
      <c r="A43" s="10" t="n">
        <f aca="false">A42+1</f>
        <v>29</v>
      </c>
      <c r="B43" s="367" t="n">
        <v>6897.1</v>
      </c>
      <c r="C43" s="99" t="n">
        <v>273005</v>
      </c>
      <c r="D43" s="108" t="n">
        <f aca="false">C43-C42</f>
        <v>-941</v>
      </c>
      <c r="E43" s="99" t="n">
        <f aca="false">C43-152000</f>
        <v>121005</v>
      </c>
      <c r="F43" s="151" t="n">
        <f aca="false">D43/$D$2</f>
        <v>-474.413914797076</v>
      </c>
      <c r="G43" s="141" t="n">
        <v>235</v>
      </c>
      <c r="H43" s="102" t="n">
        <v>0</v>
      </c>
      <c r="I43" s="141" t="n">
        <f aca="false">G43+H43</f>
        <v>235</v>
      </c>
      <c r="J43" s="375" t="n">
        <f aca="false">IF(L43&gt;0,L43,0)</f>
        <v>0</v>
      </c>
      <c r="K43" s="141" t="n">
        <f aca="false">I43+J43</f>
        <v>235</v>
      </c>
      <c r="L43" s="141" t="n">
        <f aca="false">F43-(I43-AK43)</f>
        <v>-66.8839147970759</v>
      </c>
      <c r="M43" s="144" t="n">
        <v>316</v>
      </c>
      <c r="N43" s="171" t="n">
        <f aca="false">1/$D$2*1.03</f>
        <v>0.519284093773632</v>
      </c>
      <c r="O43" s="163" t="n">
        <f aca="false">67.5*1.05</f>
        <v>70.875</v>
      </c>
      <c r="P43" s="171" t="n">
        <v>1</v>
      </c>
      <c r="Q43" s="346" t="n">
        <f aca="false">2281200/325851/1.9835*1.02</f>
        <v>3.60008099541696</v>
      </c>
      <c r="R43" s="138" t="n">
        <v>4.2</v>
      </c>
      <c r="S43" s="138" t="n">
        <f aca="false">((6.5*1.04)-T43)-4.2</f>
        <v>1.81378544</v>
      </c>
      <c r="T43" s="138" t="n">
        <f aca="false">(0.6769*1.06)*1.04</f>
        <v>0.74621456</v>
      </c>
      <c r="U43" s="365" t="n">
        <v>0</v>
      </c>
      <c r="V43" s="141" t="n">
        <v>60</v>
      </c>
      <c r="W43" s="141" t="n">
        <v>69.7</v>
      </c>
      <c r="X43" s="142" t="n">
        <f aca="false">M43-N43-O43-P43-Q43-R43-S43-T43-U43+V43+W43-AT43+AR43</f>
        <v>391.860468118103</v>
      </c>
      <c r="Y43" s="142" t="n">
        <f aca="false">X43-AO43</f>
        <v>391.860468118103</v>
      </c>
      <c r="Z43" s="113" t="n">
        <f aca="false">Z42-Y43</f>
        <v>16818.3572239075</v>
      </c>
      <c r="AA43" s="142" t="n">
        <f aca="false">Y43</f>
        <v>391.860468118103</v>
      </c>
      <c r="AB43" s="113"/>
      <c r="AC43" s="113" t="n">
        <f aca="false">AC42-(AQ42/1.9835)</f>
        <v>1089.79088507231</v>
      </c>
      <c r="AD43" s="113"/>
      <c r="AE43" s="141" t="n">
        <v>142</v>
      </c>
      <c r="AF43" s="144" t="n">
        <v>1.7</v>
      </c>
      <c r="AG43" s="145" t="n">
        <v>1.3</v>
      </c>
      <c r="AH43" s="141" t="n">
        <v>55.6</v>
      </c>
      <c r="AI43" s="84" t="n">
        <f aca="false">AI42-AH43</f>
        <v>10833.5492311571</v>
      </c>
      <c r="AJ43" s="84"/>
      <c r="AK43" s="141" t="n">
        <f aca="false">N44+O43+P43+Q43+R43+S43+T43+U43+X43+AE43+AH43-AR43</f>
        <v>642.53</v>
      </c>
      <c r="AL43" s="141" t="n">
        <f aca="false">IF(L43&lt;0,L43*-1,0)</f>
        <v>66.8839147970759</v>
      </c>
      <c r="AM43" s="141" t="n">
        <f aca="false">AK43+AL43</f>
        <v>709.413914797076</v>
      </c>
      <c r="AN43" s="466"/>
      <c r="AO43" s="157"/>
      <c r="AP43" s="157" t="n">
        <f aca="false">IF((I43-Q43-R43-X43-AF43)&gt;0,0,I43-Q43-R43-X43-AF43)</f>
        <v>-166.36054911352</v>
      </c>
      <c r="AQ43" s="171" t="n">
        <f aca="false">75.873*(16429*1.9835+AC43*1.9835)/E43</f>
        <v>21.7881458493666</v>
      </c>
      <c r="AR43" s="143" t="n">
        <f aca="false">1766.396/1.9835/30</f>
        <v>29.6848332072935</v>
      </c>
      <c r="AS43" s="102"/>
      <c r="AT43" s="185" t="n">
        <f aca="false">1.77-P43</f>
        <v>0.77</v>
      </c>
      <c r="AV43" s="107" t="n">
        <v>0</v>
      </c>
      <c r="AW43" s="108" t="n">
        <v>93</v>
      </c>
      <c r="AX43" s="108" t="n">
        <v>53</v>
      </c>
      <c r="AY43" s="148"/>
      <c r="AZ43" s="264" t="n">
        <f aca="false">SUM(N43,P43:U43)</f>
        <v>11.8793650891906</v>
      </c>
      <c r="BA43" s="98" t="n">
        <v>6.46</v>
      </c>
      <c r="BB43" s="470" t="n">
        <v>16592</v>
      </c>
    </row>
    <row r="44" customFormat="false" ht="12.95" hidden="false" customHeight="true" outlineLevel="0" collapsed="false">
      <c r="A44" s="10" t="n">
        <v>30</v>
      </c>
      <c r="B44" s="367" t="n">
        <v>6896.8</v>
      </c>
      <c r="C44" s="99" t="n">
        <v>271926</v>
      </c>
      <c r="D44" s="108" t="n">
        <f aca="false">C44-C43</f>
        <v>-1079</v>
      </c>
      <c r="E44" s="99" t="n">
        <f aca="false">C44-152000</f>
        <v>119926</v>
      </c>
      <c r="F44" s="151" t="n">
        <f aca="false">D44/$D$2</f>
        <v>-543.987900176456</v>
      </c>
      <c r="G44" s="141" t="n">
        <v>239</v>
      </c>
      <c r="H44" s="102" t="n">
        <v>0</v>
      </c>
      <c r="I44" s="141" t="n">
        <f aca="false">G44+H44</f>
        <v>239</v>
      </c>
      <c r="J44" s="375" t="n">
        <f aca="false">IF(L44&gt;0,L44,0)</f>
        <v>0</v>
      </c>
      <c r="K44" s="141" t="n">
        <f aca="false">I44+J44</f>
        <v>239</v>
      </c>
      <c r="L44" s="141" t="n">
        <f aca="false">F44-(I44-AK44)</f>
        <v>-86.8971842702293</v>
      </c>
      <c r="M44" s="144" t="n">
        <v>335</v>
      </c>
      <c r="N44" s="171" t="n">
        <f aca="false">1/$D$2*1.03</f>
        <v>0.519284093773632</v>
      </c>
      <c r="O44" s="163" t="n">
        <f aca="false">88.8*1.05</f>
        <v>93.24</v>
      </c>
      <c r="P44" s="171" t="n">
        <v>1</v>
      </c>
      <c r="Q44" s="346" t="n">
        <f aca="false">2120500/325851/1.9835*1.02</f>
        <v>3.34647192301493</v>
      </c>
      <c r="R44" s="138" t="n">
        <v>4.2</v>
      </c>
      <c r="S44" s="138" t="n">
        <f aca="false">((6.6*1.04)-T44)-4.2</f>
        <v>1.91778544</v>
      </c>
      <c r="T44" s="138" t="n">
        <f aca="false">(0.6769*1.06)*1.04</f>
        <v>0.74621456</v>
      </c>
      <c r="U44" s="365" t="n">
        <v>0</v>
      </c>
      <c r="V44" s="141" t="n">
        <v>60</v>
      </c>
      <c r="W44" s="141" t="n">
        <v>70</v>
      </c>
      <c r="X44" s="142" t="n">
        <f aca="false">M44-N44-O44-P44-Q44-R44-S44-T44-U44+V44+W44-AT44+AR44</f>
        <v>388.725077190505</v>
      </c>
      <c r="Y44" s="142" t="n">
        <f aca="false">X44-AO44</f>
        <v>388.725077190505</v>
      </c>
      <c r="Z44" s="113" t="n">
        <f aca="false">Z43-Y44</f>
        <v>16429.632146717</v>
      </c>
      <c r="AA44" s="142" t="n">
        <f aca="false">Y44</f>
        <v>388.725077190505</v>
      </c>
      <c r="AB44" s="113"/>
      <c r="AC44" s="113" t="n">
        <f aca="false">AC43+AS44-(AQ43/1.9835)</f>
        <v>1087.18618840008</v>
      </c>
      <c r="AD44" s="113"/>
      <c r="AE44" s="141" t="n">
        <v>177</v>
      </c>
      <c r="AF44" s="144" t="n">
        <v>1.7</v>
      </c>
      <c r="AG44" s="145" t="n">
        <v>1.3</v>
      </c>
      <c r="AH44" s="141" t="n">
        <v>55.6</v>
      </c>
      <c r="AI44" s="84" t="n">
        <f aca="false">AI43-AH44</f>
        <v>10777.9492311571</v>
      </c>
      <c r="AJ44" s="84"/>
      <c r="AK44" s="141" t="n">
        <f aca="false">N45+O44+P44+Q44+R44+S44+T44+U44+X44+AE44+AH44-AR44</f>
        <v>696.090715906226</v>
      </c>
      <c r="AL44" s="141" t="n">
        <f aca="false">IF(L44&lt;0,L44*-1,0)</f>
        <v>86.8971842702293</v>
      </c>
      <c r="AM44" s="151" t="n">
        <f aca="false">AK44+AL44</f>
        <v>782.987900176456</v>
      </c>
      <c r="AN44" s="108"/>
      <c r="AO44" s="157"/>
      <c r="AP44" s="157" t="n">
        <f aca="false">IF((I44-Q44-R44-X44-AF44)&gt;0,0,I44-Q44-R44-X44-AF44)</f>
        <v>-158.97154911352</v>
      </c>
      <c r="AQ44" s="171" t="n">
        <f aca="false">95.84*(16429*1.9835+AC44*1.9835)/E44</f>
        <v>27.7654818171342</v>
      </c>
      <c r="AR44" s="143" t="n">
        <f aca="false">1766.396/1.9835/30</f>
        <v>29.6848332072935</v>
      </c>
      <c r="AS44" s="102" t="n">
        <f aca="false">BA44</f>
        <v>8.38</v>
      </c>
      <c r="AT44" s="185" t="n">
        <f aca="false">1.99-P44</f>
        <v>0.99</v>
      </c>
      <c r="AV44" s="107" t="n">
        <v>0</v>
      </c>
      <c r="AW44" s="108" t="n">
        <v>95</v>
      </c>
      <c r="AX44" s="108" t="n">
        <v>57</v>
      </c>
      <c r="AY44" s="148"/>
      <c r="AZ44" s="264" t="n">
        <f aca="false">SUM(N44,P44:U44)</f>
        <v>11.7297560167886</v>
      </c>
      <c r="BA44" s="98" t="n">
        <v>8.38</v>
      </c>
      <c r="BB44" s="470" t="n">
        <v>16591</v>
      </c>
    </row>
    <row r="45" customFormat="false" ht="3" hidden="false" customHeight="true" outlineLevel="0" collapsed="false">
      <c r="A45" s="116"/>
      <c r="B45" s="378"/>
      <c r="C45" s="126" t="s">
        <v>138</v>
      </c>
      <c r="D45" s="123"/>
      <c r="E45" s="126"/>
      <c r="F45" s="153"/>
      <c r="G45" s="123"/>
      <c r="H45" s="125"/>
      <c r="I45" s="123"/>
      <c r="J45" s="123"/>
      <c r="K45" s="123"/>
      <c r="L45" s="123"/>
      <c r="M45" s="127"/>
      <c r="N45" s="123"/>
      <c r="O45" s="123"/>
      <c r="P45" s="123"/>
      <c r="Q45" s="123"/>
      <c r="R45" s="123"/>
      <c r="S45" s="123"/>
      <c r="T45" s="123"/>
      <c r="U45" s="373"/>
      <c r="V45" s="123"/>
      <c r="W45" s="123"/>
      <c r="X45" s="123"/>
      <c r="Y45" s="123"/>
      <c r="Z45" s="126"/>
      <c r="AA45" s="123"/>
      <c r="AB45" s="247"/>
      <c r="AC45" s="126"/>
      <c r="AD45" s="126"/>
      <c r="AE45" s="123"/>
      <c r="AF45" s="127"/>
      <c r="AG45" s="128"/>
      <c r="AH45" s="123"/>
      <c r="AI45" s="123"/>
      <c r="AJ45" s="123"/>
      <c r="AK45" s="123"/>
      <c r="AL45" s="123"/>
      <c r="AM45" s="153"/>
      <c r="AN45" s="130"/>
      <c r="AO45" s="130"/>
      <c r="AP45" s="130"/>
      <c r="AQ45" s="252"/>
      <c r="AR45" s="254"/>
      <c r="AS45" s="254"/>
      <c r="AT45" s="257"/>
      <c r="AU45" s="254"/>
      <c r="AV45" s="132"/>
      <c r="AW45" s="130"/>
      <c r="AX45" s="130"/>
      <c r="AY45" s="169"/>
      <c r="AZ45" s="475"/>
      <c r="BA45" s="372"/>
      <c r="BB45" s="475"/>
    </row>
    <row r="46" customFormat="false" ht="12.95" hidden="false" customHeight="true" outlineLevel="0" collapsed="false">
      <c r="A46" s="11" t="s">
        <v>105</v>
      </c>
      <c r="B46" s="364"/>
      <c r="C46" s="99"/>
      <c r="D46" s="99"/>
      <c r="E46" s="99"/>
      <c r="F46" s="156" t="n">
        <f aca="false">SUM(F15:F44)</f>
        <v>886.816233929922</v>
      </c>
      <c r="G46" s="84" t="n">
        <f aca="false">SUM(G15:G44)</f>
        <v>24921</v>
      </c>
      <c r="H46" s="157" t="n">
        <f aca="false">SUM(H15:H44)</f>
        <v>1.146</v>
      </c>
      <c r="I46" s="84" t="n">
        <f aca="false">SUM(I15:I44)</f>
        <v>24922.146</v>
      </c>
      <c r="J46" s="84" t="n">
        <f aca="false">SUM(J15:J44)</f>
        <v>0</v>
      </c>
      <c r="K46" s="84" t="n">
        <f aca="false">SUM(K15:K44)</f>
        <v>24922.146</v>
      </c>
      <c r="L46" s="84" t="n">
        <f aca="false">SUM(L15:L44)</f>
        <v>-3241.83976607008</v>
      </c>
      <c r="M46" s="103" t="n">
        <f aca="false">SUM(M15:M44)</f>
        <v>8855</v>
      </c>
      <c r="N46" s="99" t="n">
        <f aca="false">SUM(N15:N44)</f>
        <v>14.5399546256617</v>
      </c>
      <c r="O46" s="108" t="n">
        <f aca="false">SUM(O15:O44)</f>
        <v>2489.34</v>
      </c>
      <c r="P46" s="88" t="n">
        <f aca="false">SUM(P15:P44)</f>
        <v>6</v>
      </c>
      <c r="Q46" s="108" t="n">
        <f aca="false">SUM(Q15:Q44)</f>
        <v>90.1151784043487</v>
      </c>
      <c r="R46" s="108" t="n">
        <f aca="false">SUM(R15:R44)</f>
        <v>125.17409696</v>
      </c>
      <c r="S46" s="108" t="n">
        <f aca="false">SUM(S15:S44)</f>
        <v>41.6855456</v>
      </c>
      <c r="T46" s="108" t="n">
        <f aca="false">SUM(T15:T44)</f>
        <v>36.14835744</v>
      </c>
      <c r="U46" s="368" t="n">
        <f aca="false">SUM(U15:U44)</f>
        <v>0</v>
      </c>
      <c r="V46" s="84" t="n">
        <f aca="false">SUM(V15:V44)</f>
        <v>1690.2</v>
      </c>
      <c r="W46" s="84" t="n">
        <f aca="false">SUM(W15:W44)</f>
        <v>2116.7</v>
      </c>
      <c r="X46" s="84" t="n">
        <f aca="false">SUM(X15:X44)</f>
        <v>10744.3318631888</v>
      </c>
      <c r="Y46" s="84" t="n">
        <f aca="false">SUM(Y15:Y44)</f>
        <v>10744.3318631888</v>
      </c>
      <c r="Z46" s="84"/>
      <c r="AA46" s="84" t="n">
        <f aca="false">SUM(AA15:AA44)</f>
        <v>10744.3318631888</v>
      </c>
      <c r="AB46" s="113"/>
      <c r="AC46" s="84"/>
      <c r="AD46" s="84"/>
      <c r="AE46" s="84" t="n">
        <f aca="false">SUM(AE15:AE44)</f>
        <v>6251</v>
      </c>
      <c r="AF46" s="103" t="n">
        <f aca="false">SUM(AF15:AF44)</f>
        <v>51</v>
      </c>
      <c r="AG46" s="104" t="n">
        <f aca="false">SUM(AG15:AG44)</f>
        <v>39</v>
      </c>
      <c r="AH46" s="84" t="n">
        <f aca="false">SUM(AH15:AH44)</f>
        <v>1885.7</v>
      </c>
      <c r="AI46" s="84"/>
      <c r="AJ46" s="84" t="n">
        <f aca="false">SUM(AJ15:AJ44)</f>
        <v>0</v>
      </c>
      <c r="AK46" s="84" t="n">
        <f aca="false">SUM(AK15:AK44)</f>
        <v>20793.49</v>
      </c>
      <c r="AL46" s="84" t="n">
        <f aca="false">SUM(AL15:AL44)</f>
        <v>3241.83976607008</v>
      </c>
      <c r="AM46" s="156" t="n">
        <f aca="false">SUM(AM15:AM44)</f>
        <v>24035.3297660701</v>
      </c>
      <c r="AN46" s="84" t="n">
        <f aca="false">SUM(AN15:AN44)</f>
        <v>0</v>
      </c>
      <c r="AO46" s="84" t="n">
        <f aca="false">SUM(AO15:AO44)</f>
        <v>0</v>
      </c>
      <c r="AP46" s="141" t="n">
        <f aca="false">SUM(AP15:AP44)</f>
        <v>-783.116843794639</v>
      </c>
      <c r="AQ46" s="171"/>
      <c r="AR46" s="84" t="n">
        <f aca="false">SUM(AR15:AR44)</f>
        <v>890.544996218805</v>
      </c>
      <c r="AS46" s="102" t="n">
        <f aca="false">SUM(AS15:AS44)</f>
        <v>8.38</v>
      </c>
      <c r="AT46" s="157" t="n">
        <f aca="false">SUM(AT15:AT44)</f>
        <v>5.11</v>
      </c>
      <c r="AU46" s="102" t="n">
        <f aca="false">SUM(AU15:AU44)</f>
        <v>0</v>
      </c>
      <c r="AV46" s="107" t="n">
        <f aca="false">SUM(AV15:AV44)</f>
        <v>0</v>
      </c>
      <c r="AW46" s="108" t="n">
        <f aca="false">AVERAGE(AW15:AW44)</f>
        <v>85.5666666666667</v>
      </c>
      <c r="AX46" s="108" t="n">
        <f aca="false">AVERAGE(AX15:AX44)</f>
        <v>49.1666666666667</v>
      </c>
      <c r="AY46" s="479" t="s">
        <v>130</v>
      </c>
      <c r="AZ46" s="473" t="n">
        <f aca="false">SUM(AZ15:AZ44)</f>
        <v>314.182417123784</v>
      </c>
      <c r="BA46" s="143" t="n">
        <f aca="false">SUM(BA15:BA44)</f>
        <v>39.123</v>
      </c>
      <c r="BB46" s="470"/>
    </row>
    <row r="47" customFormat="false" ht="12.95" hidden="false" customHeight="true" outlineLevel="0" collapsed="false">
      <c r="A47" s="11" t="s">
        <v>107</v>
      </c>
      <c r="B47" s="364"/>
      <c r="C47" s="99"/>
      <c r="D47" s="99" t="n">
        <f aca="false">SUM(D15:D44)</f>
        <v>1759</v>
      </c>
      <c r="E47" s="99"/>
      <c r="F47" s="156" t="n">
        <f aca="false">F46*$D$2</f>
        <v>1759</v>
      </c>
      <c r="G47" s="84" t="n">
        <f aca="false">G46*$D$2</f>
        <v>49430.8035</v>
      </c>
      <c r="H47" s="157" t="n">
        <f aca="false">H46*$D$2</f>
        <v>2.273091</v>
      </c>
      <c r="I47" s="84" t="n">
        <f aca="false">I46*$D$2</f>
        <v>49433.076591</v>
      </c>
      <c r="J47" s="84" t="n">
        <f aca="false">J46*$D$2</f>
        <v>0</v>
      </c>
      <c r="K47" s="84" t="n">
        <f aca="false">K46*$D$2</f>
        <v>49433.076591</v>
      </c>
      <c r="L47" s="84" t="n">
        <f aca="false">L46*$D$2</f>
        <v>-6430.189176</v>
      </c>
      <c r="M47" s="103" t="n">
        <f aca="false">M46*$D$2</f>
        <v>17563.8925</v>
      </c>
      <c r="N47" s="99" t="n">
        <f aca="false">N46*$D$2</f>
        <v>28.84</v>
      </c>
      <c r="O47" s="108" t="n">
        <f aca="false">O46*$D$2</f>
        <v>4937.60589</v>
      </c>
      <c r="P47" s="88" t="n">
        <f aca="false">P46*$D$2</f>
        <v>11.901</v>
      </c>
      <c r="Q47" s="108" t="n">
        <f aca="false">Q46*$D$2</f>
        <v>178.743456365026</v>
      </c>
      <c r="R47" s="108" t="n">
        <f aca="false">R46*$D$2</f>
        <v>248.28282132016</v>
      </c>
      <c r="S47" s="108" t="n">
        <f aca="false">S46*$D$2</f>
        <v>82.6832796976</v>
      </c>
      <c r="T47" s="108" t="n">
        <f aca="false">T46*$D$2</f>
        <v>71.70026698224</v>
      </c>
      <c r="U47" s="368" t="n">
        <f aca="false">U46*$D$2</f>
        <v>0</v>
      </c>
      <c r="V47" s="84" t="n">
        <f aca="false">V46*$D$2</f>
        <v>3352.5117</v>
      </c>
      <c r="W47" s="84" t="n">
        <f aca="false">W46*$D$2</f>
        <v>4198.47445</v>
      </c>
      <c r="X47" s="84" t="n">
        <f aca="false">X46*$D$2</f>
        <v>21311.382250635</v>
      </c>
      <c r="Y47" s="84" t="n">
        <f aca="false">Y46*$D$2</f>
        <v>21311.382250635</v>
      </c>
      <c r="Z47" s="84"/>
      <c r="AA47" s="84" t="n">
        <f aca="false">AA46*$D$2</f>
        <v>21311.382250635</v>
      </c>
      <c r="AB47" s="113"/>
      <c r="AC47" s="84"/>
      <c r="AD47" s="84"/>
      <c r="AE47" s="84" t="n">
        <f aca="false">AE46*$D$2</f>
        <v>12398.8585</v>
      </c>
      <c r="AF47" s="103" t="n">
        <f aca="false">AF46*$D$2</f>
        <v>101.1585</v>
      </c>
      <c r="AG47" s="104" t="n">
        <f aca="false">AG46*$D$2</f>
        <v>77.3565</v>
      </c>
      <c r="AH47" s="84" t="n">
        <f aca="false">AH46*$D$2</f>
        <v>3740.28595</v>
      </c>
      <c r="AI47" s="84"/>
      <c r="AJ47" s="84" t="n">
        <f aca="false">AJ46*$D$2</f>
        <v>0</v>
      </c>
      <c r="AK47" s="84" t="n">
        <f aca="false">AK46*$D$2</f>
        <v>41243.887415</v>
      </c>
      <c r="AL47" s="84" t="n">
        <f aca="false">AL46*$D$2</f>
        <v>6430.189176</v>
      </c>
      <c r="AM47" s="156" t="n">
        <f aca="false">AM46*$D$2</f>
        <v>47674.076591</v>
      </c>
      <c r="AN47" s="84" t="n">
        <f aca="false">AN46*$D$2</f>
        <v>0</v>
      </c>
      <c r="AO47" s="84" t="n">
        <f aca="false">AO46*$D$2</f>
        <v>0</v>
      </c>
      <c r="AP47" s="141"/>
      <c r="AQ47" s="171" t="n">
        <f aca="false">SUM(AQ15:AQ44)</f>
        <v>587.156976543602</v>
      </c>
      <c r="AR47" s="84" t="n">
        <f aca="false">AR46*$D$2</f>
        <v>1766.396</v>
      </c>
      <c r="AS47" s="143" t="n">
        <f aca="false">AS46*$D$2</f>
        <v>16.62173</v>
      </c>
      <c r="AT47" s="226" t="n">
        <f aca="false">AT46*$D$2</f>
        <v>10.135685</v>
      </c>
      <c r="AU47" s="143" t="n">
        <f aca="false">AU46*$D$2</f>
        <v>0</v>
      </c>
      <c r="AV47" s="107"/>
      <c r="AW47" s="108" t="n">
        <f aca="false">MAX(AW15:AW44)</f>
        <v>95</v>
      </c>
      <c r="AX47" s="108" t="n">
        <f aca="false">MAX(AX15:AX44)</f>
        <v>57</v>
      </c>
      <c r="AY47" s="479" t="s">
        <v>108</v>
      </c>
      <c r="AZ47" s="473" t="n">
        <f aca="false">AZ46*$D$2</f>
        <v>623.180824365026</v>
      </c>
      <c r="BA47" s="143" t="n">
        <f aca="false">BA46*$D$2</f>
        <v>77.6004705</v>
      </c>
      <c r="BB47" s="470"/>
      <c r="BD47" s="480"/>
    </row>
    <row r="48" customFormat="false" ht="3" hidden="false" customHeight="true" outlineLevel="0" collapsed="false">
      <c r="A48" s="116"/>
      <c r="B48" s="378"/>
      <c r="C48" s="126"/>
      <c r="D48" s="126"/>
      <c r="E48" s="126"/>
      <c r="F48" s="169"/>
      <c r="G48" s="126"/>
      <c r="H48" s="130"/>
      <c r="I48" s="126"/>
      <c r="J48" s="126"/>
      <c r="K48" s="126"/>
      <c r="L48" s="126"/>
      <c r="M48" s="167"/>
      <c r="N48" s="126"/>
      <c r="O48" s="130"/>
      <c r="P48" s="372"/>
      <c r="Q48" s="125"/>
      <c r="R48" s="125"/>
      <c r="S48" s="126"/>
      <c r="T48" s="126"/>
      <c r="U48" s="168"/>
      <c r="V48" s="126"/>
      <c r="W48" s="126"/>
      <c r="X48" s="126"/>
      <c r="Y48" s="126"/>
      <c r="Z48" s="126"/>
      <c r="AA48" s="126"/>
      <c r="AB48" s="247"/>
      <c r="AC48" s="126"/>
      <c r="AD48" s="126"/>
      <c r="AE48" s="126"/>
      <c r="AF48" s="167"/>
      <c r="AG48" s="168"/>
      <c r="AH48" s="126"/>
      <c r="AI48" s="123"/>
      <c r="AJ48" s="126"/>
      <c r="AK48" s="126"/>
      <c r="AL48" s="126"/>
      <c r="AM48" s="169"/>
      <c r="AN48" s="126"/>
      <c r="AO48" s="126"/>
      <c r="AP48" s="126"/>
      <c r="AQ48" s="252"/>
      <c r="AR48" s="126"/>
      <c r="AS48" s="254"/>
      <c r="AT48" s="257"/>
      <c r="AU48" s="254"/>
      <c r="AV48" s="170"/>
      <c r="AW48" s="126"/>
      <c r="AX48" s="126"/>
      <c r="AY48" s="169"/>
      <c r="AZ48" s="475"/>
      <c r="BA48" s="247"/>
      <c r="BB48" s="475"/>
    </row>
    <row r="49" customFormat="false" ht="12.95" hidden="false" customHeight="true" outlineLevel="0" collapsed="false">
      <c r="A49" s="11" t="s">
        <v>109</v>
      </c>
      <c r="B49" s="364"/>
      <c r="C49" s="99"/>
      <c r="D49" s="99"/>
      <c r="E49" s="99"/>
      <c r="F49" s="156" t="n">
        <f aca="false">F12+F46</f>
        <v>39565.4146710361</v>
      </c>
      <c r="G49" s="84" t="n">
        <f aca="false">G12+G46</f>
        <v>84047</v>
      </c>
      <c r="H49" s="157" t="n">
        <f aca="false">H12+H46</f>
        <v>608.52</v>
      </c>
      <c r="I49" s="84" t="n">
        <f aca="false">I12+I46</f>
        <v>84655.52</v>
      </c>
      <c r="J49" s="84" t="n">
        <f aca="false">J12+J46</f>
        <v>1605.90861557852</v>
      </c>
      <c r="K49" s="84" t="n">
        <f aca="false">K12+K46</f>
        <v>86261.4186155785</v>
      </c>
      <c r="L49" s="84" t="n">
        <f aca="false">L12+L46</f>
        <v>-2898.93532896396</v>
      </c>
      <c r="M49" s="103" t="n">
        <f aca="false">M12+M46</f>
        <v>17893.3</v>
      </c>
      <c r="N49" s="99" t="n">
        <f aca="false">N12+N46</f>
        <v>14.5399546256617</v>
      </c>
      <c r="O49" s="108" t="n">
        <f aca="false">O12+O46</f>
        <v>5917.716</v>
      </c>
      <c r="P49" s="88" t="n">
        <f aca="false">P12+P46</f>
        <v>6</v>
      </c>
      <c r="Q49" s="163"/>
      <c r="R49" s="163"/>
      <c r="S49" s="99"/>
      <c r="T49" s="99"/>
      <c r="U49" s="104"/>
      <c r="V49" s="84" t="n">
        <f aca="false">V12+V46</f>
        <v>6383.98</v>
      </c>
      <c r="W49" s="84" t="n">
        <f aca="false">W12+W46</f>
        <v>3922.96</v>
      </c>
      <c r="X49" s="84" t="n">
        <f aca="false">X12+X46</f>
        <v>22953.0749411594</v>
      </c>
      <c r="Y49" s="84" t="n">
        <f aca="false">Y12+Y46</f>
        <v>22797.2384860029</v>
      </c>
      <c r="Z49" s="84"/>
      <c r="AA49" s="84" t="n">
        <f aca="false">AA12+AA46</f>
        <v>10526.8728770009</v>
      </c>
      <c r="AB49" s="113"/>
      <c r="AC49" s="481"/>
      <c r="AD49" s="481"/>
      <c r="AE49" s="84" t="n">
        <f aca="false">AE12+AE46</f>
        <v>10149.83</v>
      </c>
      <c r="AF49" s="103" t="n">
        <f aca="false">AF12+AF46</f>
        <v>154.7</v>
      </c>
      <c r="AG49" s="104" t="n">
        <f aca="false">AG12+AG46</f>
        <v>118.3</v>
      </c>
      <c r="AH49" s="84"/>
      <c r="AI49" s="481"/>
      <c r="AJ49" s="84" t="n">
        <f aca="false">AJ12+AJ46</f>
        <v>0</v>
      </c>
      <c r="AK49" s="84" t="n">
        <f aca="false">AK12+AK46</f>
        <v>42191.16</v>
      </c>
      <c r="AL49" s="84" t="n">
        <f aca="false">AL12+AL46</f>
        <v>4504.84394454248</v>
      </c>
      <c r="AM49" s="156" t="n">
        <f aca="false">AM12+AM46</f>
        <v>46696.0039445425</v>
      </c>
      <c r="AN49" s="84"/>
      <c r="AO49" s="84"/>
      <c r="AP49" s="141"/>
      <c r="AQ49" s="171"/>
      <c r="AR49" s="84" t="n">
        <f aca="false">AR12+AR46</f>
        <v>1303.45499621881</v>
      </c>
      <c r="AS49" s="143" t="n">
        <f aca="false">AS12+AS46</f>
        <v>8.38</v>
      </c>
      <c r="AT49" s="171" t="n">
        <f aca="false">AT12+AT46</f>
        <v>5.11</v>
      </c>
      <c r="AU49" s="143" t="n">
        <f aca="false">AU12+AU46</f>
        <v>0</v>
      </c>
      <c r="AV49" s="107" t="s">
        <v>135</v>
      </c>
      <c r="AW49" s="108" t="n">
        <f aca="false">MIN(AW15:AW44)</f>
        <v>79</v>
      </c>
      <c r="AX49" s="108" t="n">
        <f aca="false">MIN(AX15:AX44)</f>
        <v>42</v>
      </c>
      <c r="AY49" s="479" t="s">
        <v>110</v>
      </c>
      <c r="AZ49" s="473" t="n">
        <f aca="false">AZ12+AZ46</f>
        <v>665.01083915315</v>
      </c>
      <c r="BA49" s="143" t="n">
        <f aca="false">BA12+BA46</f>
        <v>43.89</v>
      </c>
      <c r="BB49" s="470"/>
    </row>
    <row r="50" customFormat="false" ht="12.95" hidden="false" customHeight="true" outlineLevel="0" collapsed="false">
      <c r="A50" s="11" t="s">
        <v>111</v>
      </c>
      <c r="B50" s="364"/>
      <c r="C50" s="99"/>
      <c r="D50" s="99"/>
      <c r="E50" s="99"/>
      <c r="F50" s="156" t="n">
        <f aca="false">F49*$D$2</f>
        <v>78478</v>
      </c>
      <c r="G50" s="84" t="n">
        <f aca="false">G49*$D$2</f>
        <v>166707.2245</v>
      </c>
      <c r="H50" s="157" t="n">
        <f aca="false">H49*$D$2</f>
        <v>1206.99942</v>
      </c>
      <c r="I50" s="84" t="n">
        <f aca="false">I49*$D$2</f>
        <v>167914.22392</v>
      </c>
      <c r="J50" s="84" t="n">
        <f aca="false">J49*$D$2</f>
        <v>3185.319739</v>
      </c>
      <c r="K50" s="84" t="n">
        <f aca="false">K49*$D$2</f>
        <v>171099.523824</v>
      </c>
      <c r="L50" s="84" t="n">
        <f aca="false">L49*$D$2</f>
        <v>-5750.03822500001</v>
      </c>
      <c r="M50" s="103" t="n">
        <f aca="false">M49*$D$2</f>
        <v>35491.36055</v>
      </c>
      <c r="N50" s="99" t="n">
        <f aca="false">N49*$D$2</f>
        <v>28.84</v>
      </c>
      <c r="O50" s="108" t="n">
        <f aca="false">O49*$D$2</f>
        <v>11737.789686</v>
      </c>
      <c r="P50" s="88" t="n">
        <f aca="false">P49*$D$2</f>
        <v>11.901</v>
      </c>
      <c r="Q50" s="163"/>
      <c r="R50" s="163"/>
      <c r="S50" s="99"/>
      <c r="T50" s="99"/>
      <c r="U50" s="104"/>
      <c r="V50" s="84" t="n">
        <f aca="false">V49*$D$2</f>
        <v>12662.62433</v>
      </c>
      <c r="W50" s="84" t="n">
        <f aca="false">W49*$D$2</f>
        <v>7781.19116</v>
      </c>
      <c r="X50" s="84" t="n">
        <f aca="false">X49*$D$2</f>
        <v>45527.4241457897</v>
      </c>
      <c r="Y50" s="84" t="n">
        <f aca="false">Y49*$D$2</f>
        <v>45218.3225369868</v>
      </c>
      <c r="Z50" s="84"/>
      <c r="AA50" s="84" t="n">
        <f aca="false">AA49*$D$2</f>
        <v>20880.0523515314</v>
      </c>
      <c r="AB50" s="113"/>
      <c r="AC50" s="84"/>
      <c r="AD50" s="84"/>
      <c r="AE50" s="84" t="n">
        <f aca="false">AE49*$D$2</f>
        <v>20132.187805</v>
      </c>
      <c r="AF50" s="103" t="n">
        <f aca="false">AF49*$D$2</f>
        <v>306.84745</v>
      </c>
      <c r="AG50" s="104" t="n">
        <f aca="false">AG49*$D$2</f>
        <v>234.64805</v>
      </c>
      <c r="AH50" s="84"/>
      <c r="AI50" s="84"/>
      <c r="AJ50" s="84" t="n">
        <f aca="false">AJ49*$D$2</f>
        <v>0</v>
      </c>
      <c r="AK50" s="84" t="n">
        <f aca="false">AK49*$D$2</f>
        <v>83686.16586</v>
      </c>
      <c r="AL50" s="84" t="n">
        <f aca="false">AL49*$D$2</f>
        <v>8935.35796400001</v>
      </c>
      <c r="AM50" s="156" t="n">
        <f aca="false">AM49*$D$2</f>
        <v>92621.523824</v>
      </c>
      <c r="AN50" s="84"/>
      <c r="AO50" s="84"/>
      <c r="AP50" s="141"/>
      <c r="AQ50" s="171" t="n">
        <f aca="false">AQ12+AQ47</f>
        <v>1287.95009712557</v>
      </c>
      <c r="AR50" s="84" t="n">
        <f aca="false">AR49*$D$2</f>
        <v>2585.402985</v>
      </c>
      <c r="AS50" s="102" t="n">
        <f aca="false">AS49*$D$2</f>
        <v>16.62173</v>
      </c>
      <c r="AT50" s="157" t="n">
        <f aca="false">AT49*$D$2</f>
        <v>10.135685</v>
      </c>
      <c r="AU50" s="102" t="n">
        <f aca="false">AU49*$D$2</f>
        <v>0</v>
      </c>
      <c r="AV50" s="107" t="n">
        <f aca="false">MAY!AV51+AV46</f>
        <v>1.3</v>
      </c>
      <c r="AW50" s="108"/>
      <c r="AX50" s="108"/>
      <c r="AY50" s="148"/>
      <c r="AZ50" s="473" t="n">
        <f aca="false">AZ49*$D$2</f>
        <v>1319.04899946027</v>
      </c>
      <c r="BA50" s="482" t="n">
        <f aca="false">BA49*$D$2</f>
        <v>87.055815</v>
      </c>
      <c r="BB50" s="470"/>
    </row>
    <row r="51" customFormat="false" ht="3" hidden="false" customHeight="true" outlineLevel="0" collapsed="false">
      <c r="A51" s="116"/>
      <c r="B51" s="378"/>
      <c r="C51" s="126"/>
      <c r="D51" s="126"/>
      <c r="E51" s="126"/>
      <c r="F51" s="169"/>
      <c r="G51" s="126"/>
      <c r="H51" s="130"/>
      <c r="I51" s="126"/>
      <c r="J51" s="126"/>
      <c r="K51" s="126"/>
      <c r="L51" s="126"/>
      <c r="M51" s="167"/>
      <c r="N51" s="126"/>
      <c r="O51" s="130"/>
      <c r="P51" s="372"/>
      <c r="Q51" s="125"/>
      <c r="R51" s="125"/>
      <c r="S51" s="126"/>
      <c r="T51" s="126"/>
      <c r="U51" s="168"/>
      <c r="V51" s="126"/>
      <c r="W51" s="126"/>
      <c r="X51" s="126"/>
      <c r="Y51" s="126"/>
      <c r="Z51" s="126"/>
      <c r="AA51" s="126"/>
      <c r="AB51" s="247"/>
      <c r="AC51" s="126"/>
      <c r="AD51" s="126"/>
      <c r="AE51" s="126"/>
      <c r="AF51" s="167"/>
      <c r="AG51" s="168"/>
      <c r="AH51" s="126"/>
      <c r="AI51" s="126"/>
      <c r="AJ51" s="126"/>
      <c r="AK51" s="126"/>
      <c r="AL51" s="126"/>
      <c r="AM51" s="169"/>
      <c r="AN51" s="126"/>
      <c r="AO51" s="380"/>
      <c r="AP51" s="380"/>
      <c r="AQ51" s="252"/>
      <c r="AR51" s="126"/>
      <c r="AS51" s="254"/>
      <c r="AT51" s="257"/>
      <c r="AU51" s="254"/>
      <c r="AV51" s="132"/>
      <c r="AW51" s="380"/>
      <c r="AX51" s="380"/>
      <c r="AY51" s="169"/>
      <c r="AZ51" s="475"/>
      <c r="BA51" s="247"/>
      <c r="BB51" s="475"/>
    </row>
    <row r="52" customFormat="false" ht="12.95" hidden="false" customHeight="true" outlineLevel="0" collapsed="false">
      <c r="A52" s="11" t="s">
        <v>112</v>
      </c>
      <c r="B52" s="364"/>
      <c r="C52" s="99"/>
      <c r="D52" s="99"/>
      <c r="E52" s="99"/>
      <c r="F52" s="156" t="n">
        <f aca="false">F13+F46</f>
        <v>49510.4613057726</v>
      </c>
      <c r="G52" s="84" t="n">
        <f aca="false">G13+G46</f>
        <v>96564</v>
      </c>
      <c r="H52" s="157" t="n">
        <f aca="false">H13+H46</f>
        <v>638.625</v>
      </c>
      <c r="I52" s="84" t="n">
        <f aca="false">I13+I46</f>
        <v>97202.005</v>
      </c>
      <c r="J52" s="84" t="n">
        <f aca="false">J13+J46</f>
        <v>3521.62554827325</v>
      </c>
      <c r="K52" s="84" t="n">
        <f aca="false">K13+K46</f>
        <v>100723.620548273</v>
      </c>
      <c r="L52" s="84" t="n">
        <f aca="false">L13+L46</f>
        <v>-1859.63369422738</v>
      </c>
      <c r="M52" s="103" t="n">
        <f aca="false">M13+M46</f>
        <v>18530.34</v>
      </c>
      <c r="N52" s="99" t="n">
        <f aca="false">N13+N46</f>
        <v>14.5399546256617</v>
      </c>
      <c r="O52" s="108" t="n">
        <f aca="false">O13+O46</f>
        <v>5917.716</v>
      </c>
      <c r="P52" s="88"/>
      <c r="Q52" s="108" t="n">
        <f aca="false">Q13+Q46</f>
        <v>437.530185885444</v>
      </c>
      <c r="R52" s="108" t="n">
        <f aca="false">R13+R46</f>
        <v>544.044342714581</v>
      </c>
      <c r="S52" s="108" t="n">
        <f aca="false">S13+S46</f>
        <v>55.77981568</v>
      </c>
      <c r="T52" s="108" t="n">
        <f aca="false">T13+T46</f>
        <v>149.43506032</v>
      </c>
      <c r="U52" s="368" t="n">
        <f aca="false">U13+U46</f>
        <v>-65.0339372790604</v>
      </c>
      <c r="V52" s="84" t="n">
        <f aca="false">V13+V46</f>
        <v>6383.98</v>
      </c>
      <c r="W52" s="84" t="n">
        <f aca="false">W13+W46</f>
        <v>3922.96</v>
      </c>
      <c r="X52" s="84" t="n">
        <f aca="false">X13+X46</f>
        <v>23060.5733742722</v>
      </c>
      <c r="Y52" s="84" t="n">
        <f aca="false">Y13+Y46</f>
        <v>22904.7369191156</v>
      </c>
      <c r="Z52" s="84"/>
      <c r="AA52" s="84"/>
      <c r="AB52" s="113"/>
      <c r="AC52" s="84"/>
      <c r="AD52" s="84"/>
      <c r="AE52" s="84"/>
      <c r="AF52" s="103" t="n">
        <f aca="false">AF13+AF46</f>
        <v>154.7</v>
      </c>
      <c r="AG52" s="104" t="n">
        <f aca="false">AG13+AG46</f>
        <v>118.3</v>
      </c>
      <c r="AH52" s="84" t="n">
        <f aca="false">AH13+AH46</f>
        <v>6849.9</v>
      </c>
      <c r="AI52" s="84" t="n">
        <f aca="false">AI44</f>
        <v>10777.9492311571</v>
      </c>
      <c r="AJ52" s="84" t="n">
        <f aca="false">AJ13+AJ46</f>
        <v>0</v>
      </c>
      <c r="AK52" s="84" t="n">
        <f aca="false">AK13+AK46</f>
        <v>45831.9</v>
      </c>
      <c r="AL52" s="84" t="n">
        <f aca="false">AL13+AL46</f>
        <v>5381.25924250063</v>
      </c>
      <c r="AM52" s="156" t="n">
        <f aca="false">AM13+AM46</f>
        <v>51213.1592425006</v>
      </c>
      <c r="AN52" s="84" t="n">
        <f aca="false">AN13+AN46</f>
        <v>2927.4</v>
      </c>
      <c r="AO52" s="84" t="n">
        <f aca="false">AO13+AO46</f>
        <v>235.836455156528</v>
      </c>
      <c r="AP52" s="141"/>
      <c r="AQ52" s="171"/>
      <c r="AR52" s="84" t="n">
        <f aca="false">AR13+AR46</f>
        <v>1303.45499621881</v>
      </c>
      <c r="AS52" s="102" t="n">
        <f aca="false">AS13+AS46</f>
        <v>8.38</v>
      </c>
      <c r="AT52" s="157"/>
      <c r="AV52" s="107" t="n">
        <f aca="false">AV13+AV46</f>
        <v>6.14</v>
      </c>
      <c r="AW52" s="108"/>
      <c r="AX52" s="108"/>
      <c r="AY52" s="148"/>
      <c r="AZ52" s="473" t="n">
        <f aca="false">AZ13+AZ46</f>
        <v>1142.8147060404</v>
      </c>
      <c r="BA52" s="142" t="n">
        <f aca="false">BA13+BA46</f>
        <v>43.89</v>
      </c>
      <c r="BB52" s="470"/>
    </row>
    <row r="53" customFormat="false" ht="12.95" hidden="false" customHeight="true" outlineLevel="0" collapsed="false">
      <c r="A53" s="11" t="s">
        <v>113</v>
      </c>
      <c r="B53" s="364"/>
      <c r="C53" s="99"/>
      <c r="D53" s="99" t="n">
        <f aca="false">D13+D47</f>
        <v>98204</v>
      </c>
      <c r="E53" s="99" t="n">
        <f aca="false">E44</f>
        <v>119926</v>
      </c>
      <c r="F53" s="156" t="n">
        <f aca="false">F52*$D$2</f>
        <v>98204</v>
      </c>
      <c r="G53" s="84" t="n">
        <f aca="false">G52*$D$2</f>
        <v>191534.694</v>
      </c>
      <c r="H53" s="157" t="n">
        <f aca="false">H52*$D$2</f>
        <v>1266.7126875</v>
      </c>
      <c r="I53" s="84" t="n">
        <f aca="false">I52*$D$2</f>
        <v>192800.1769175</v>
      </c>
      <c r="J53" s="84" t="n">
        <f aca="false">J52*$D$2</f>
        <v>6985.144275</v>
      </c>
      <c r="K53" s="84" t="n">
        <f aca="false">K52*$D$2</f>
        <v>199785.3013575</v>
      </c>
      <c r="L53" s="84" t="n">
        <f aca="false">L52*$D$2</f>
        <v>-3688.58343250001</v>
      </c>
      <c r="M53" s="103" t="n">
        <f aca="false">M52*$D$2</f>
        <v>36754.92939</v>
      </c>
      <c r="N53" s="99" t="n">
        <f aca="false">N52*$D$2</f>
        <v>28.84</v>
      </c>
      <c r="O53" s="108" t="n">
        <f aca="false">O52*$D$2</f>
        <v>11737.789686</v>
      </c>
      <c r="P53" s="88"/>
      <c r="Q53" s="108" t="n">
        <f aca="false">Q52*$D$2</f>
        <v>867.841123703779</v>
      </c>
      <c r="R53" s="108" t="n">
        <f aca="false">R52*$D$2</f>
        <v>1079.11195377437</v>
      </c>
      <c r="S53" s="108" t="n">
        <f aca="false">S52*$D$2</f>
        <v>110.63926440128</v>
      </c>
      <c r="T53" s="108" t="n">
        <f aca="false">T52*$D$2</f>
        <v>296.40444214472</v>
      </c>
      <c r="U53" s="368" t="n">
        <f aca="false">U52*$D$2</f>
        <v>-128.994814593016</v>
      </c>
      <c r="V53" s="84" t="n">
        <f aca="false">V52*$D$2</f>
        <v>12662.62433</v>
      </c>
      <c r="W53" s="84" t="n">
        <f aca="false">W52*$D$2</f>
        <v>7781.19116</v>
      </c>
      <c r="X53" s="84" t="n">
        <f aca="false">X52*$D$2</f>
        <v>45740.6472878689</v>
      </c>
      <c r="Y53" s="84" t="n">
        <f aca="false">Y52*$D$2</f>
        <v>45431.5456790659</v>
      </c>
      <c r="Z53" s="84"/>
      <c r="AA53" s="84"/>
      <c r="AB53" s="113"/>
      <c r="AC53" s="84"/>
      <c r="AD53" s="84"/>
      <c r="AE53" s="84"/>
      <c r="AF53" s="369" t="n">
        <f aca="false">AF52*$D$2</f>
        <v>306.84745</v>
      </c>
      <c r="AG53" s="162" t="n">
        <f aca="false">AG52*$D$2</f>
        <v>234.64805</v>
      </c>
      <c r="AH53" s="84" t="n">
        <f aca="false">AH52*$D$2</f>
        <v>13586.77665</v>
      </c>
      <c r="AI53" s="84" t="n">
        <f aca="false">AI52*$D$2</f>
        <v>21378.0623</v>
      </c>
      <c r="AJ53" s="84" t="n">
        <f aca="false">AJ52*$D$2</f>
        <v>0</v>
      </c>
      <c r="AK53" s="84" t="n">
        <f aca="false">AK52*$D$2</f>
        <v>90907.57365</v>
      </c>
      <c r="AL53" s="84" t="n">
        <f aca="false">AL52*$D$2</f>
        <v>10673.7277075</v>
      </c>
      <c r="AM53" s="174" t="n">
        <f aca="false">AM52*$D$2</f>
        <v>101581.3013575</v>
      </c>
      <c r="AN53" s="84" t="n">
        <f aca="false">AN52*$D$2</f>
        <v>5806.4979</v>
      </c>
      <c r="AO53" s="84" t="n">
        <f aca="false">AO52*$D$2</f>
        <v>467.781608802973</v>
      </c>
      <c r="AP53" s="141"/>
      <c r="AQ53" s="171" t="n">
        <f aca="false">AQ13+AQ47</f>
        <v>1287.95009712557</v>
      </c>
      <c r="AR53" s="84" t="n">
        <f aca="false">AR52*$D$2</f>
        <v>2585.402985</v>
      </c>
      <c r="AS53" s="102" t="n">
        <f aca="false">AS52*$D$2</f>
        <v>16.62173</v>
      </c>
      <c r="AT53" s="157"/>
      <c r="AV53" s="107"/>
      <c r="AW53" s="108"/>
      <c r="AX53" s="108"/>
      <c r="AY53" s="148"/>
      <c r="AZ53" s="483" t="n">
        <f aca="false">AZ52*$D$2</f>
        <v>2266.77296943113</v>
      </c>
      <c r="BA53" s="484" t="n">
        <f aca="false">BA52*$D$2</f>
        <v>87.055815</v>
      </c>
      <c r="BB53" s="470"/>
    </row>
    <row r="54" customFormat="false" ht="3" hidden="false" customHeight="true" outlineLevel="0" collapsed="false">
      <c r="A54" s="116"/>
      <c r="B54" s="378"/>
      <c r="C54" s="126"/>
      <c r="D54" s="123"/>
      <c r="E54" s="126"/>
      <c r="F54" s="153"/>
      <c r="G54" s="123"/>
      <c r="H54" s="125"/>
      <c r="I54" s="123"/>
      <c r="J54" s="123"/>
      <c r="K54" s="485"/>
      <c r="L54" s="123"/>
      <c r="M54" s="127"/>
      <c r="N54" s="123"/>
      <c r="O54" s="125"/>
      <c r="P54" s="372"/>
      <c r="Q54" s="125"/>
      <c r="R54" s="125"/>
      <c r="S54" s="123"/>
      <c r="T54" s="123"/>
      <c r="U54" s="373"/>
      <c r="V54" s="123"/>
      <c r="W54" s="123"/>
      <c r="X54" s="123"/>
      <c r="Y54" s="123"/>
      <c r="Z54" s="126"/>
      <c r="AA54" s="123"/>
      <c r="AB54" s="247"/>
      <c r="AC54" s="126"/>
      <c r="AD54" s="126"/>
      <c r="AE54" s="123"/>
      <c r="AF54" s="121"/>
      <c r="AG54" s="178"/>
      <c r="AH54" s="123"/>
      <c r="AI54" s="126"/>
      <c r="AJ54" s="486"/>
      <c r="AK54" s="123"/>
      <c r="AL54" s="123"/>
      <c r="AM54" s="123"/>
      <c r="AN54" s="378"/>
      <c r="AO54" s="123"/>
      <c r="AP54" s="123"/>
      <c r="AQ54" s="252"/>
      <c r="AR54" s="254"/>
      <c r="AS54" s="254"/>
      <c r="AT54" s="252"/>
      <c r="AU54" s="254"/>
      <c r="AV54" s="378"/>
      <c r="AW54" s="123"/>
      <c r="AX54" s="123"/>
      <c r="AY54" s="123"/>
      <c r="AZ54" s="123"/>
      <c r="BA54" s="123"/>
      <c r="BB54" s="123"/>
    </row>
    <row r="55" customFormat="false" ht="14.1" hidden="false" customHeight="true" outlineLevel="0" collapsed="false">
      <c r="A55" s="182"/>
      <c r="B55" s="185"/>
      <c r="D55" s="11"/>
      <c r="E55" s="487"/>
      <c r="I55" s="11"/>
      <c r="J55" s="11"/>
      <c r="K55" s="488"/>
      <c r="L55" s="161"/>
      <c r="M55" s="11"/>
      <c r="N55" s="11"/>
      <c r="Q55" s="489"/>
      <c r="S55" s="11"/>
      <c r="T55" s="11"/>
      <c r="V55" s="11"/>
      <c r="W55" s="11"/>
      <c r="X55" s="11"/>
      <c r="Y55" s="11"/>
      <c r="AA55" s="11"/>
      <c r="AB55" s="161"/>
      <c r="AE55" s="11"/>
      <c r="AF55" s="11"/>
      <c r="AG55" s="11"/>
      <c r="AH55" s="11"/>
      <c r="AI55" s="487"/>
      <c r="AJ55" s="490"/>
      <c r="AK55" s="11"/>
      <c r="AL55" s="11"/>
      <c r="AM55" s="11"/>
      <c r="AN55" s="10"/>
      <c r="AO55" s="10"/>
      <c r="AP55" s="14"/>
      <c r="AQ55" s="72"/>
      <c r="AR55" s="414"/>
      <c r="AX55" s="9"/>
      <c r="BA55" s="5"/>
      <c r="BB55" s="1"/>
    </row>
    <row r="56" customFormat="false" ht="11.1" hidden="false" customHeight="true" outlineLevel="0" collapsed="false">
      <c r="A56" s="11"/>
      <c r="B56" s="185"/>
      <c r="E56" s="390"/>
      <c r="F56" s="197"/>
      <c r="I56" s="12"/>
      <c r="J56" s="11"/>
      <c r="K56" s="186"/>
      <c r="L56" s="110"/>
      <c r="M56" s="11"/>
      <c r="N56" s="11"/>
      <c r="S56" s="137"/>
      <c r="T56" s="137"/>
      <c r="U56" s="98"/>
      <c r="V56" s="26"/>
      <c r="W56" s="137"/>
      <c r="X56" s="491"/>
      <c r="Y56" s="491"/>
      <c r="Z56" s="161"/>
      <c r="AA56" s="491"/>
      <c r="AB56" s="161"/>
      <c r="AC56" s="161"/>
      <c r="AD56" s="161"/>
      <c r="AE56" s="26"/>
      <c r="AF56" s="26"/>
      <c r="AG56" s="26"/>
      <c r="AH56" s="11"/>
      <c r="AI56" s="2"/>
      <c r="AJ56" s="111"/>
      <c r="AK56" s="11"/>
      <c r="AL56" s="11"/>
      <c r="AM56" s="11"/>
      <c r="AN56" s="10"/>
      <c r="AO56" s="10"/>
      <c r="AP56" s="14"/>
      <c r="AX56" s="9"/>
    </row>
    <row r="57" customFormat="false" ht="11.1" hidden="false" customHeight="true" outlineLevel="0" collapsed="false">
      <c r="B57" s="161"/>
      <c r="C57" s="161"/>
      <c r="D57" s="56"/>
      <c r="E57" s="390"/>
      <c r="F57" s="238"/>
      <c r="K57" s="391"/>
      <c r="L57" s="449"/>
      <c r="M57" s="492"/>
      <c r="N57" s="492"/>
      <c r="O57" s="493"/>
      <c r="P57" s="494"/>
      <c r="Q57" s="493"/>
      <c r="R57" s="493"/>
      <c r="S57" s="26"/>
      <c r="T57" s="26"/>
      <c r="U57" s="98"/>
      <c r="V57" s="26"/>
      <c r="W57" s="137"/>
      <c r="X57" s="95"/>
      <c r="Y57" s="95"/>
      <c r="Z57" s="161"/>
      <c r="AA57" s="95"/>
      <c r="AC57" s="161"/>
      <c r="AD57" s="161"/>
      <c r="AE57" s="161"/>
      <c r="AF57" s="161"/>
      <c r="AG57" s="161"/>
      <c r="AI57" s="26"/>
      <c r="AJ57" s="495"/>
      <c r="AN57" s="92"/>
      <c r="AO57" s="92"/>
      <c r="AP57" s="92"/>
    </row>
    <row r="58" customFormat="false" ht="11.1" hidden="false" customHeight="true" outlineLevel="0" collapsed="false">
      <c r="B58" s="56"/>
      <c r="C58" s="161"/>
      <c r="D58" s="161"/>
      <c r="E58" s="390"/>
      <c r="H58" s="110"/>
      <c r="K58" s="391"/>
      <c r="L58" s="110"/>
      <c r="O58" s="110"/>
      <c r="P58" s="8"/>
      <c r="Q58" s="110"/>
      <c r="R58" s="110"/>
      <c r="S58" s="26"/>
      <c r="T58" s="26"/>
      <c r="U58" s="98"/>
      <c r="V58" s="26"/>
      <c r="W58" s="26"/>
      <c r="X58" s="95"/>
      <c r="Y58" s="95"/>
      <c r="Z58" s="191"/>
      <c r="AA58" s="95"/>
      <c r="AC58" s="191"/>
      <c r="AD58" s="191"/>
      <c r="AE58" s="161"/>
      <c r="AF58" s="161"/>
      <c r="AG58" s="161"/>
      <c r="AI58" s="161"/>
      <c r="AJ58" s="238"/>
      <c r="AN58" s="92"/>
      <c r="AO58" s="92"/>
      <c r="AP58" s="92"/>
    </row>
    <row r="59" customFormat="false" ht="11.1" hidden="false" customHeight="true" outlineLevel="0" collapsed="false">
      <c r="B59" s="8"/>
      <c r="C59" s="161"/>
      <c r="D59" s="161"/>
      <c r="E59" s="390"/>
      <c r="F59" s="392"/>
      <c r="G59" s="56"/>
      <c r="K59" s="186"/>
      <c r="Z59" s="2"/>
      <c r="AC59" s="2"/>
      <c r="AD59" s="2"/>
      <c r="AN59" s="92"/>
      <c r="AO59" s="92"/>
      <c r="AP59" s="92"/>
    </row>
    <row r="61" customFormat="false" ht="11.1" hidden="false" customHeight="true" outlineLevel="0" collapsed="false">
      <c r="B61" s="183"/>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9"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3" topLeftCell="B14" activePane="bottomRight" state="frozen"/>
      <selection pane="topLeft" activeCell="A1" activeCellId="0" sqref="A1"/>
      <selection pane="topRight" activeCell="B1" activeCellId="0" sqref="B1"/>
      <selection pane="bottomLeft" activeCell="A14" activeCellId="0" sqref="A14"/>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99"/>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10" width="5.66"/>
    <col collapsed="false" customWidth="true" hidden="false" outlineLevel="0" max="11" min="9" style="56" width="6.32"/>
    <col collapsed="false" customWidth="true" hidden="false" outlineLevel="0" max="12" min="12" style="56" width="6.82"/>
    <col collapsed="false" customWidth="true" hidden="false" outlineLevel="0" max="13" min="13" style="110" width="5.49"/>
    <col collapsed="false" customWidth="true" hidden="false" outlineLevel="0" max="14" min="14" style="110" width="4.49"/>
    <col collapsed="false" customWidth="true" hidden="false" outlineLevel="0" max="15" min="15" style="110" width="5.49"/>
    <col collapsed="false" customWidth="true" hidden="false" outlineLevel="0" max="16" min="16" style="8" width="4.82"/>
    <col collapsed="false" customWidth="true" hidden="false" outlineLevel="0" max="18" min="17" style="110" width="4.32"/>
    <col collapsed="false" customWidth="true" hidden="false" outlineLevel="0" max="20" min="19" style="56" width="4.32"/>
    <col collapsed="false" customWidth="true" hidden="false" outlineLevel="0" max="21" min="21" style="8" width="5.16"/>
    <col collapsed="false" customWidth="true" hidden="false" outlineLevel="0" max="23" min="22" style="56" width="5.49"/>
    <col collapsed="false" customWidth="true" hidden="false" outlineLevel="0" max="25" min="24" style="161" width="6.32"/>
    <col collapsed="false" customWidth="true" hidden="false" outlineLevel="0" max="26" min="26" style="56" width="5.49"/>
    <col collapsed="false" customWidth="true" hidden="false" outlineLevel="0" max="27" min="27" style="161" width="6.32"/>
    <col collapsed="false" customWidth="true" hidden="false" outlineLevel="0" max="28" min="28" style="56" width="5.49"/>
    <col collapsed="false" customWidth="true" hidden="false" outlineLevel="0" max="29" min="29" style="56" width="5.82"/>
    <col collapsed="false" customWidth="true" hidden="false" outlineLevel="0" max="30" min="30" style="191" width="5.49"/>
    <col collapsed="false" customWidth="true" hidden="false" outlineLevel="0" max="33" min="31" style="56" width="5.49"/>
    <col collapsed="false" customWidth="true" hidden="false" outlineLevel="0" max="34" min="34" style="161" width="5.82"/>
    <col collapsed="false" customWidth="true" hidden="false" outlineLevel="0" max="35" min="35" style="56" width="5.49"/>
    <col collapsed="false" customWidth="true" hidden="false" outlineLevel="0" max="36" min="36" style="189" width="6.32"/>
    <col collapsed="false" customWidth="true" hidden="false" outlineLevel="0" max="37" min="37" style="56" width="6.32"/>
    <col collapsed="false" customWidth="true" hidden="false" outlineLevel="0" max="38" min="38" style="56" width="6.82"/>
    <col collapsed="false" customWidth="true" hidden="false" outlineLevel="0" max="39" min="39" style="8" width="6.82"/>
    <col collapsed="false" customWidth="true" hidden="false" outlineLevel="0" max="41" min="40" style="56" width="5.49"/>
    <col collapsed="false" customWidth="true" hidden="false" outlineLevel="0" max="42" min="42" style="110" width="6.32"/>
    <col collapsed="false" customWidth="true" hidden="false" outlineLevel="0" max="43" min="43" style="300" width="6.32"/>
    <col collapsed="false" customWidth="true" hidden="false" outlineLevel="0" max="44" min="44" style="300" width="5.49"/>
    <col collapsed="false" customWidth="true" hidden="false" outlineLevel="0" max="45" min="45" style="300" width="5.99"/>
    <col collapsed="false" customWidth="true" hidden="false" outlineLevel="0" max="46" min="46" style="392" width="5.82"/>
    <col collapsed="false" customWidth="true" hidden="false" outlineLevel="0" max="47" min="47" style="110" width="4.99"/>
    <col collapsed="false" customWidth="true" hidden="false" outlineLevel="0" max="48" min="48" style="191" width="5.32"/>
    <col collapsed="false" customWidth="true" hidden="false" outlineLevel="0" max="49" min="49" style="191" width="3.82"/>
    <col collapsed="false" customWidth="true" hidden="false" outlineLevel="0" max="50" min="50" style="192" width="3.82"/>
    <col collapsed="false" customWidth="true" hidden="false" outlineLevel="0" max="51" min="51" style="193" width="3.82"/>
    <col collapsed="false" customWidth="true" hidden="false" outlineLevel="0" max="52" min="52" style="193" width="5.49"/>
    <col collapsed="false" customWidth="false" hidden="false" outlineLevel="0" max="54" min="53" style="56" width="9.32"/>
    <col collapsed="false" customWidth="false" hidden="false" outlineLevel="0" max="257" min="55" style="193" width="9.32"/>
  </cols>
  <sheetData>
    <row r="1" customFormat="false" ht="14.1" hidden="false" customHeight="true" outlineLevel="0" collapsed="false">
      <c r="A1" s="11"/>
      <c r="B1" s="11"/>
      <c r="C1" s="2"/>
      <c r="D1" s="11"/>
      <c r="E1" s="2"/>
      <c r="F1" s="11"/>
      <c r="G1" s="11"/>
      <c r="H1" s="4"/>
      <c r="I1" s="11"/>
      <c r="J1" s="11"/>
      <c r="K1" s="13" t="s">
        <v>0</v>
      </c>
      <c r="L1" s="11"/>
      <c r="M1" s="11"/>
      <c r="N1" s="11"/>
      <c r="O1" s="11"/>
      <c r="P1" s="5"/>
      <c r="Q1" s="11"/>
      <c r="R1" s="11"/>
      <c r="S1" s="11"/>
      <c r="T1" s="11"/>
      <c r="U1" s="5"/>
      <c r="V1" s="11"/>
      <c r="W1" s="11"/>
      <c r="X1" s="2"/>
      <c r="Y1" s="2"/>
      <c r="Z1" s="11"/>
      <c r="AA1" s="2"/>
      <c r="AB1" s="11"/>
      <c r="AC1" s="11"/>
      <c r="AD1" s="9"/>
      <c r="AE1" s="11"/>
      <c r="AF1" s="11"/>
      <c r="AG1" s="11"/>
      <c r="AH1" s="2"/>
      <c r="AI1" s="11"/>
      <c r="AJ1" s="14"/>
      <c r="AK1" s="11"/>
      <c r="AL1" s="11"/>
      <c r="AM1" s="5"/>
      <c r="AN1" s="14"/>
      <c r="AO1" s="14"/>
      <c r="AP1" s="354"/>
      <c r="AS1" s="6"/>
      <c r="AT1" s="93"/>
      <c r="AU1" s="4"/>
      <c r="AV1" s="3"/>
      <c r="AW1" s="9"/>
      <c r="AX1" s="10"/>
      <c r="AY1" s="0"/>
      <c r="AZ1" s="0"/>
      <c r="BA1" s="1"/>
      <c r="BB1" s="1"/>
      <c r="BC1" s="0"/>
      <c r="BD1" s="0"/>
      <c r="BE1" s="0"/>
      <c r="BF1" s="0"/>
      <c r="BG1" s="0"/>
      <c r="BH1" s="0"/>
      <c r="BI1" s="0"/>
      <c r="BJ1" s="0"/>
      <c r="BK1" s="0"/>
      <c r="BL1" s="0"/>
      <c r="BM1" s="0"/>
      <c r="BN1" s="0"/>
      <c r="BO1" s="0"/>
      <c r="BP1" s="0"/>
      <c r="BQ1" s="0"/>
      <c r="BR1" s="0"/>
      <c r="BS1" s="0"/>
      <c r="BT1" s="0"/>
      <c r="BU1" s="0"/>
      <c r="BV1" s="0"/>
      <c r="BW1" s="0"/>
      <c r="BX1" s="0"/>
      <c r="BY1" s="0"/>
      <c r="BZ1" s="0"/>
      <c r="CA1" s="0"/>
      <c r="CB1" s="0"/>
      <c r="CC1" s="0"/>
      <c r="CD1" s="0"/>
      <c r="CE1" s="0"/>
      <c r="CF1" s="0"/>
      <c r="CG1" s="0"/>
      <c r="CH1" s="0"/>
      <c r="CI1" s="0"/>
      <c r="CJ1" s="0"/>
      <c r="CK1" s="0"/>
      <c r="CL1" s="0"/>
      <c r="CM1" s="0"/>
      <c r="CN1" s="0"/>
      <c r="CO1" s="0"/>
      <c r="CP1" s="0"/>
      <c r="CQ1" s="0"/>
      <c r="CR1" s="0"/>
      <c r="CS1" s="0"/>
      <c r="CT1" s="0"/>
      <c r="CU1" s="0"/>
      <c r="CV1" s="0"/>
      <c r="CW1" s="0"/>
      <c r="CX1" s="0"/>
      <c r="CY1" s="0"/>
      <c r="CZ1" s="0"/>
      <c r="DA1" s="0"/>
      <c r="DB1" s="0"/>
      <c r="DC1" s="0"/>
      <c r="DD1" s="0"/>
      <c r="DE1" s="0"/>
      <c r="DF1" s="0"/>
      <c r="DG1" s="0"/>
      <c r="DH1" s="0"/>
      <c r="DI1" s="0"/>
      <c r="DJ1" s="0"/>
      <c r="DK1" s="0"/>
      <c r="DL1" s="0"/>
      <c r="DM1" s="0"/>
      <c r="DN1" s="0"/>
      <c r="DO1" s="0"/>
      <c r="DP1" s="0"/>
      <c r="DQ1" s="0"/>
      <c r="DR1" s="0"/>
      <c r="DS1" s="0"/>
      <c r="DT1" s="0"/>
      <c r="DU1" s="0"/>
      <c r="DV1" s="0"/>
      <c r="DW1" s="0"/>
      <c r="DX1" s="0"/>
      <c r="DY1" s="0"/>
      <c r="DZ1" s="0"/>
      <c r="EA1" s="0"/>
      <c r="EB1" s="0"/>
      <c r="EC1" s="0"/>
      <c r="ED1" s="0"/>
      <c r="EE1" s="0"/>
      <c r="EF1" s="0"/>
      <c r="EG1" s="0"/>
      <c r="EH1" s="0"/>
      <c r="EI1" s="0"/>
      <c r="EJ1" s="0"/>
      <c r="EK1" s="0"/>
      <c r="EL1" s="0"/>
      <c r="EM1" s="0"/>
      <c r="EN1" s="0"/>
      <c r="EO1" s="0"/>
      <c r="EP1" s="0"/>
      <c r="EQ1" s="0"/>
      <c r="ER1" s="0"/>
      <c r="ES1" s="0"/>
      <c r="ET1" s="0"/>
      <c r="EU1" s="0"/>
      <c r="EV1" s="0"/>
      <c r="EW1" s="0"/>
      <c r="EX1" s="0"/>
      <c r="EY1" s="0"/>
      <c r="EZ1" s="0"/>
      <c r="FA1" s="0"/>
      <c r="FB1" s="0"/>
      <c r="FC1" s="0"/>
      <c r="FD1" s="0"/>
      <c r="FE1" s="0"/>
      <c r="FF1" s="0"/>
      <c r="FG1" s="0"/>
      <c r="FH1" s="0"/>
      <c r="FI1" s="0"/>
      <c r="FJ1" s="0"/>
      <c r="FK1" s="0"/>
      <c r="FL1" s="0"/>
      <c r="FM1" s="0"/>
      <c r="FN1" s="0"/>
      <c r="FO1" s="0"/>
      <c r="FP1" s="0"/>
      <c r="FQ1" s="0"/>
      <c r="FR1" s="0"/>
      <c r="FS1" s="0"/>
      <c r="FT1" s="0"/>
      <c r="FU1" s="0"/>
      <c r="FV1" s="0"/>
      <c r="FW1" s="0"/>
      <c r="FX1" s="0"/>
      <c r="FY1" s="0"/>
      <c r="FZ1" s="0"/>
      <c r="GA1" s="0"/>
      <c r="GB1" s="0"/>
      <c r="GC1" s="0"/>
      <c r="GD1" s="0"/>
      <c r="GE1" s="0"/>
      <c r="GF1" s="0"/>
      <c r="GG1" s="0"/>
      <c r="GH1" s="0"/>
      <c r="GI1" s="0"/>
      <c r="GJ1" s="0"/>
      <c r="GK1" s="0"/>
      <c r="GL1" s="0"/>
      <c r="GM1" s="0"/>
      <c r="GN1" s="0"/>
      <c r="GO1" s="0"/>
      <c r="GP1" s="0"/>
      <c r="GQ1" s="0"/>
      <c r="GR1" s="0"/>
      <c r="GS1" s="0"/>
      <c r="GT1" s="0"/>
      <c r="GU1" s="0"/>
      <c r="GV1" s="0"/>
      <c r="GW1" s="0"/>
      <c r="GX1" s="0"/>
      <c r="GY1" s="0"/>
      <c r="GZ1" s="0"/>
      <c r="HA1" s="0"/>
      <c r="HB1" s="0"/>
      <c r="HC1" s="0"/>
      <c r="HD1" s="0"/>
      <c r="HE1" s="0"/>
      <c r="HF1" s="0"/>
      <c r="HG1" s="0"/>
      <c r="HH1" s="0"/>
      <c r="HI1" s="0"/>
      <c r="HJ1" s="0"/>
      <c r="HK1" s="0"/>
      <c r="HL1" s="0"/>
      <c r="HM1" s="0"/>
      <c r="HN1" s="0"/>
      <c r="HO1" s="0"/>
      <c r="HP1" s="0"/>
      <c r="HQ1" s="0"/>
      <c r="HR1" s="0"/>
      <c r="HS1" s="0"/>
      <c r="HT1" s="0"/>
      <c r="HU1" s="0"/>
      <c r="HV1" s="0"/>
      <c r="HW1" s="0"/>
      <c r="HX1" s="0"/>
      <c r="HY1" s="0"/>
      <c r="HZ1" s="0"/>
      <c r="IA1" s="0"/>
      <c r="IB1" s="0"/>
      <c r="IC1" s="0"/>
      <c r="ID1" s="0"/>
      <c r="IE1" s="0"/>
      <c r="IF1" s="0"/>
      <c r="IG1" s="0"/>
      <c r="IH1" s="0"/>
      <c r="II1" s="0"/>
      <c r="IJ1" s="0"/>
      <c r="IK1" s="0"/>
      <c r="IL1" s="0"/>
      <c r="IM1" s="0"/>
      <c r="IN1" s="0"/>
      <c r="IO1" s="0"/>
      <c r="IP1" s="0"/>
      <c r="IQ1" s="0"/>
      <c r="IR1" s="0"/>
      <c r="IS1" s="0"/>
      <c r="IT1" s="0"/>
      <c r="IU1" s="0"/>
      <c r="IV1" s="0"/>
      <c r="IW1" s="0"/>
    </row>
    <row r="2" customFormat="false" ht="14.1" hidden="false" customHeight="true" outlineLevel="0" collapsed="false">
      <c r="A2" s="14" t="s">
        <v>1</v>
      </c>
      <c r="B2" s="11"/>
      <c r="C2" s="2"/>
      <c r="D2" s="15" t="n">
        <v>1.9835</v>
      </c>
      <c r="E2" s="2"/>
      <c r="F2" s="11"/>
      <c r="G2" s="11"/>
      <c r="H2" s="4"/>
      <c r="I2" s="11"/>
      <c r="J2" s="11"/>
      <c r="K2" s="456" t="s">
        <v>139</v>
      </c>
      <c r="L2" s="456"/>
      <c r="M2" s="456"/>
      <c r="N2" s="456"/>
      <c r="O2" s="456"/>
      <c r="P2" s="456"/>
      <c r="Q2" s="456"/>
      <c r="R2" s="456"/>
      <c r="S2" s="456"/>
      <c r="T2" s="456"/>
      <c r="U2" s="6"/>
      <c r="V2" s="357"/>
      <c r="W2" s="357"/>
      <c r="X2" s="358"/>
      <c r="Y2" s="358"/>
      <c r="Z2" s="357"/>
      <c r="AA2" s="358"/>
      <c r="AB2" s="357"/>
      <c r="AC2" s="357"/>
      <c r="AD2" s="10"/>
      <c r="AE2" s="357"/>
      <c r="AF2" s="357"/>
      <c r="AG2" s="357"/>
      <c r="AH2" s="358"/>
      <c r="AI2" s="11"/>
      <c r="AJ2" s="14"/>
      <c r="AK2" s="11"/>
      <c r="AL2" s="11"/>
      <c r="AM2" s="5"/>
      <c r="AN2" s="14"/>
      <c r="AO2" s="14"/>
      <c r="AP2" s="354"/>
      <c r="AS2" s="6"/>
      <c r="AT2" s="93"/>
      <c r="AU2" s="4"/>
      <c r="AV2" s="3"/>
      <c r="AW2" s="9"/>
      <c r="AX2" s="10"/>
      <c r="AY2" s="0"/>
      <c r="AZ2" s="0"/>
      <c r="BA2" s="1"/>
      <c r="BB2" s="1"/>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row>
    <row r="3" customFormat="false" ht="14.1" hidden="false" customHeight="true" outlineLevel="0" collapsed="false">
      <c r="A3" s="16"/>
      <c r="B3" s="16"/>
      <c r="C3" s="17"/>
      <c r="D3" s="18"/>
      <c r="E3" s="17"/>
      <c r="F3" s="16"/>
      <c r="G3" s="16"/>
      <c r="H3" s="22"/>
      <c r="I3" s="16"/>
      <c r="J3" s="16"/>
      <c r="K3" s="16"/>
      <c r="L3" s="16"/>
      <c r="M3" s="16"/>
      <c r="N3" s="16"/>
      <c r="O3" s="16"/>
      <c r="P3" s="20"/>
      <c r="Q3" s="16"/>
      <c r="R3" s="16"/>
      <c r="S3" s="16"/>
      <c r="T3" s="16"/>
      <c r="U3" s="20"/>
      <c r="V3" s="16"/>
      <c r="W3" s="16"/>
      <c r="X3" s="17"/>
      <c r="Y3" s="17"/>
      <c r="Z3" s="16"/>
      <c r="AA3" s="17"/>
      <c r="AB3" s="16"/>
      <c r="AC3" s="16"/>
      <c r="AD3" s="28"/>
      <c r="AE3" s="16"/>
      <c r="AF3" s="16"/>
      <c r="AG3" s="16"/>
      <c r="AH3" s="17"/>
      <c r="AI3" s="16"/>
      <c r="AJ3" s="360"/>
      <c r="AK3" s="16"/>
      <c r="AL3" s="16"/>
      <c r="AM3" s="20"/>
      <c r="AN3" s="360"/>
      <c r="AO3" s="360"/>
      <c r="AP3" s="359"/>
      <c r="AS3" s="6"/>
      <c r="AT3" s="93"/>
      <c r="AU3" s="4"/>
      <c r="AV3" s="27"/>
      <c r="AW3" s="28"/>
      <c r="AX3" s="29"/>
      <c r="AY3" s="0"/>
      <c r="AZ3" s="0"/>
      <c r="BA3" s="23"/>
      <c r="BB3" s="1"/>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row>
    <row r="4" s="1" customFormat="true" ht="14.1" hidden="false" customHeight="true" outlineLevel="0" collapsed="false">
      <c r="A4" s="11"/>
      <c r="B4" s="496"/>
      <c r="C4" s="497"/>
      <c r="D4" s="497" t="s">
        <v>3</v>
      </c>
      <c r="E4" s="497"/>
      <c r="F4" s="498"/>
      <c r="H4" s="499"/>
      <c r="I4" s="499" t="s">
        <v>140</v>
      </c>
      <c r="J4" s="499"/>
      <c r="K4" s="499"/>
      <c r="L4" s="500"/>
      <c r="N4" s="499"/>
      <c r="O4" s="499"/>
      <c r="P4" s="499"/>
      <c r="Q4" s="499"/>
      <c r="R4" s="499"/>
      <c r="S4" s="499"/>
      <c r="T4" s="499"/>
      <c r="U4" s="499"/>
      <c r="V4" s="499"/>
      <c r="W4" s="499"/>
      <c r="X4" s="499"/>
      <c r="Y4" s="499"/>
      <c r="Z4" s="499"/>
      <c r="AA4" s="499" t="s">
        <v>5</v>
      </c>
      <c r="AB4" s="499"/>
      <c r="AC4" s="499"/>
      <c r="AD4" s="499"/>
      <c r="AE4" s="499"/>
      <c r="AF4" s="499"/>
      <c r="AG4" s="499"/>
      <c r="AH4" s="499"/>
      <c r="AI4" s="499"/>
      <c r="AJ4" s="499"/>
      <c r="AK4" s="499"/>
      <c r="AL4" s="499"/>
      <c r="AM4" s="501"/>
      <c r="AN4" s="502"/>
      <c r="AO4" s="503"/>
      <c r="AP4" s="503"/>
      <c r="AQ4" s="503" t="s">
        <v>6</v>
      </c>
      <c r="AR4" s="503"/>
      <c r="AS4" s="503"/>
      <c r="AT4" s="503"/>
      <c r="AU4" s="504"/>
      <c r="AV4" s="505"/>
      <c r="AW4" s="506" t="s">
        <v>7</v>
      </c>
      <c r="AX4" s="506"/>
      <c r="AY4" s="507"/>
      <c r="AZ4" s="338"/>
      <c r="BA4" s="460"/>
      <c r="BB4" s="461"/>
    </row>
    <row r="5" customFormat="fals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333" t="s">
        <v>16</v>
      </c>
      <c r="M5" s="462" t="s">
        <v>18</v>
      </c>
      <c r="N5" s="462"/>
      <c r="O5" s="462"/>
      <c r="P5" s="462"/>
      <c r="Q5" s="462"/>
      <c r="R5" s="462"/>
      <c r="S5" s="462"/>
      <c r="T5" s="462"/>
      <c r="U5" s="462"/>
      <c r="V5" s="333" t="s">
        <v>19</v>
      </c>
      <c r="W5" s="333" t="s">
        <v>20</v>
      </c>
      <c r="X5" s="58" t="s">
        <v>17</v>
      </c>
      <c r="Y5" s="58" t="s">
        <v>17</v>
      </c>
      <c r="Z5" s="64" t="s">
        <v>21</v>
      </c>
      <c r="AA5" s="58" t="s">
        <v>21</v>
      </c>
      <c r="AB5" s="64" t="s">
        <v>21</v>
      </c>
      <c r="AC5" s="413" t="s">
        <v>22</v>
      </c>
      <c r="AD5" s="418" t="s">
        <v>21</v>
      </c>
      <c r="AE5" s="333" t="s">
        <v>23</v>
      </c>
      <c r="AF5" s="416" t="s">
        <v>141</v>
      </c>
      <c r="AG5" s="417"/>
      <c r="AH5" s="418" t="s">
        <v>25</v>
      </c>
      <c r="AI5" s="413" t="s">
        <v>133</v>
      </c>
      <c r="AJ5" s="413" t="s">
        <v>27</v>
      </c>
      <c r="AK5" s="333" t="s">
        <v>15</v>
      </c>
      <c r="AL5" s="333" t="s">
        <v>16</v>
      </c>
      <c r="AM5" s="333" t="s">
        <v>17</v>
      </c>
      <c r="AN5" s="463" t="s">
        <v>28</v>
      </c>
      <c r="AO5" s="64" t="s">
        <v>21</v>
      </c>
      <c r="AP5" s="70" t="s">
        <v>29</v>
      </c>
      <c r="AQ5" s="70" t="s">
        <v>29</v>
      </c>
      <c r="AR5" s="65" t="s">
        <v>30</v>
      </c>
      <c r="AS5" s="71" t="s">
        <v>31</v>
      </c>
      <c r="AT5" s="414" t="s">
        <v>32</v>
      </c>
      <c r="AU5" s="219" t="s">
        <v>33</v>
      </c>
      <c r="AV5" s="419" t="s">
        <v>34</v>
      </c>
      <c r="AW5" s="418" t="s">
        <v>35</v>
      </c>
      <c r="AX5" s="418" t="s">
        <v>36</v>
      </c>
      <c r="AY5" s="265"/>
      <c r="AZ5" s="305" t="s">
        <v>17</v>
      </c>
      <c r="BA5" s="72" t="s">
        <v>37</v>
      </c>
      <c r="BB5" s="76" t="s">
        <v>37</v>
      </c>
    </row>
    <row r="6" customFormat="false" ht="12.95" hidden="false" customHeight="true" outlineLevel="0" collapsed="false">
      <c r="A6" s="420" t="s">
        <v>142</v>
      </c>
      <c r="B6" s="412" t="s">
        <v>39</v>
      </c>
      <c r="C6" s="413"/>
      <c r="D6" s="333" t="s">
        <v>40</v>
      </c>
      <c r="E6" s="413" t="s">
        <v>41</v>
      </c>
      <c r="F6" s="333" t="s">
        <v>42</v>
      </c>
      <c r="G6" s="412" t="s">
        <v>43</v>
      </c>
      <c r="H6" s="414" t="s">
        <v>44</v>
      </c>
      <c r="I6" s="333" t="s">
        <v>45</v>
      </c>
      <c r="J6" s="333" t="s">
        <v>45</v>
      </c>
      <c r="K6" s="333" t="s">
        <v>45</v>
      </c>
      <c r="L6" s="333" t="s">
        <v>46</v>
      </c>
      <c r="M6" s="421" t="s">
        <v>47</v>
      </c>
      <c r="N6" s="72" t="s">
        <v>48</v>
      </c>
      <c r="O6" s="333" t="s">
        <v>49</v>
      </c>
      <c r="P6" s="72" t="s">
        <v>50</v>
      </c>
      <c r="Q6" s="61" t="s">
        <v>51</v>
      </c>
      <c r="R6" s="61" t="s">
        <v>52</v>
      </c>
      <c r="S6" s="61"/>
      <c r="T6" s="61" t="s">
        <v>49</v>
      </c>
      <c r="U6" s="422" t="s">
        <v>53</v>
      </c>
      <c r="V6" s="333" t="s">
        <v>54</v>
      </c>
      <c r="W6" s="333" t="s">
        <v>55</v>
      </c>
      <c r="X6" s="58" t="s">
        <v>21</v>
      </c>
      <c r="Y6" s="58" t="s">
        <v>21</v>
      </c>
      <c r="Z6" s="64" t="s">
        <v>56</v>
      </c>
      <c r="AA6" s="58" t="s">
        <v>56</v>
      </c>
      <c r="AB6" s="64" t="s">
        <v>57</v>
      </c>
      <c r="AC6" s="413" t="s">
        <v>58</v>
      </c>
      <c r="AD6" s="418" t="s">
        <v>59</v>
      </c>
      <c r="AE6" s="333" t="s">
        <v>60</v>
      </c>
      <c r="AF6" s="78" t="s">
        <v>61</v>
      </c>
      <c r="AG6" s="81" t="s">
        <v>62</v>
      </c>
      <c r="AH6" s="418" t="s">
        <v>63</v>
      </c>
      <c r="AI6" s="413" t="s">
        <v>64</v>
      </c>
      <c r="AJ6" s="413"/>
      <c r="AK6" s="333" t="s">
        <v>65</v>
      </c>
      <c r="AL6" s="333" t="s">
        <v>65</v>
      </c>
      <c r="AM6" s="333" t="s">
        <v>65</v>
      </c>
      <c r="AN6" s="463" t="s">
        <v>66</v>
      </c>
      <c r="AO6" s="64" t="s">
        <v>67</v>
      </c>
      <c r="AP6" s="70" t="s">
        <v>68</v>
      </c>
      <c r="AQ6" s="70" t="s">
        <v>68</v>
      </c>
      <c r="AR6" s="65" t="s">
        <v>69</v>
      </c>
      <c r="AS6" s="71" t="s">
        <v>70</v>
      </c>
      <c r="AT6" s="414" t="s">
        <v>71</v>
      </c>
      <c r="AU6" s="219" t="s">
        <v>72</v>
      </c>
      <c r="AV6" s="423"/>
      <c r="AW6" s="418" t="s">
        <v>73</v>
      </c>
      <c r="AX6" s="418" t="s">
        <v>73</v>
      </c>
      <c r="AY6" s="265"/>
      <c r="AZ6" s="305" t="s">
        <v>74</v>
      </c>
      <c r="BA6" s="72" t="s">
        <v>75</v>
      </c>
      <c r="BB6" s="76" t="s">
        <v>76</v>
      </c>
    </row>
    <row r="7" customFormat="false" ht="12.95" hidden="false" customHeight="true" outlineLevel="0" collapsed="false">
      <c r="A7" s="333"/>
      <c r="B7" s="412"/>
      <c r="C7" s="413"/>
      <c r="D7" s="333"/>
      <c r="E7" s="413"/>
      <c r="F7" s="333"/>
      <c r="G7" s="412"/>
      <c r="H7" s="414"/>
      <c r="I7" s="333"/>
      <c r="J7" s="333"/>
      <c r="K7" s="333"/>
      <c r="L7" s="333"/>
      <c r="M7" s="421"/>
      <c r="N7" s="72" t="s">
        <v>77</v>
      </c>
      <c r="O7" s="333" t="s">
        <v>78</v>
      </c>
      <c r="P7" s="72"/>
      <c r="Q7" s="61" t="s">
        <v>79</v>
      </c>
      <c r="R7" s="61" t="s">
        <v>79</v>
      </c>
      <c r="S7" s="61" t="s">
        <v>62</v>
      </c>
      <c r="T7" s="61" t="s">
        <v>62</v>
      </c>
      <c r="U7" s="422" t="s">
        <v>80</v>
      </c>
      <c r="V7" s="333"/>
      <c r="W7" s="333"/>
      <c r="X7" s="68" t="s">
        <v>81</v>
      </c>
      <c r="Y7" s="60" t="s">
        <v>82</v>
      </c>
      <c r="Z7" s="64" t="s">
        <v>83</v>
      </c>
      <c r="AA7" s="58" t="s">
        <v>84</v>
      </c>
      <c r="AB7" s="64" t="s">
        <v>85</v>
      </c>
      <c r="AC7" s="413"/>
      <c r="AD7" s="418"/>
      <c r="AE7" s="333"/>
      <c r="AF7" s="508" t="n">
        <v>1.7</v>
      </c>
      <c r="AG7" s="509" t="n">
        <v>1.3</v>
      </c>
      <c r="AH7" s="418"/>
      <c r="AI7" s="413"/>
      <c r="AJ7" s="413"/>
      <c r="AK7" s="333"/>
      <c r="AL7" s="333"/>
      <c r="AM7" s="333"/>
      <c r="AN7" s="463"/>
      <c r="AO7" s="64" t="s">
        <v>42</v>
      </c>
      <c r="AP7" s="70" t="s">
        <v>86</v>
      </c>
      <c r="AQ7" s="70" t="s">
        <v>87</v>
      </c>
      <c r="AR7" s="65" t="s">
        <v>88</v>
      </c>
      <c r="AS7" s="71" t="s">
        <v>89</v>
      </c>
      <c r="AT7" s="414" t="s">
        <v>90</v>
      </c>
      <c r="AU7" s="219" t="s">
        <v>91</v>
      </c>
      <c r="AV7" s="423"/>
      <c r="AW7" s="418"/>
      <c r="AX7" s="418"/>
      <c r="AY7" s="265"/>
      <c r="AZ7" s="305" t="s">
        <v>92</v>
      </c>
      <c r="BA7" s="8"/>
      <c r="BB7" s="85"/>
    </row>
    <row r="8" customFormat="false" ht="12.95" hidden="false" customHeight="true" outlineLevel="0" collapsed="false">
      <c r="A8" s="333"/>
      <c r="B8" s="412"/>
      <c r="C8" s="413"/>
      <c r="D8" s="333"/>
      <c r="E8" s="413"/>
      <c r="F8" s="333"/>
      <c r="G8" s="412"/>
      <c r="H8" s="414"/>
      <c r="I8" s="333"/>
      <c r="J8" s="333"/>
      <c r="K8" s="333"/>
      <c r="L8" s="333"/>
      <c r="M8" s="421"/>
      <c r="N8" s="72"/>
      <c r="O8" s="333"/>
      <c r="P8" s="72"/>
      <c r="Q8" s="61" t="s">
        <v>62</v>
      </c>
      <c r="R8" s="61" t="s">
        <v>62</v>
      </c>
      <c r="S8" s="61"/>
      <c r="T8" s="61"/>
      <c r="U8" s="422"/>
      <c r="V8" s="333"/>
      <c r="W8" s="333"/>
      <c r="X8" s="68" t="s">
        <v>93</v>
      </c>
      <c r="Y8" s="60" t="s">
        <v>81</v>
      </c>
      <c r="Z8" s="64"/>
      <c r="AA8" s="60" t="s">
        <v>94</v>
      </c>
      <c r="AB8" s="64" t="s">
        <v>95</v>
      </c>
      <c r="AC8" s="413"/>
      <c r="AD8" s="418"/>
      <c r="AE8" s="333"/>
      <c r="AF8" s="425"/>
      <c r="AG8" s="426"/>
      <c r="AH8" s="418"/>
      <c r="AI8" s="413"/>
      <c r="AJ8" s="413"/>
      <c r="AK8" s="333"/>
      <c r="AL8" s="333"/>
      <c r="AM8" s="333"/>
      <c r="AN8" s="463"/>
      <c r="AO8" s="64"/>
      <c r="AP8" s="70"/>
      <c r="AQ8" s="70"/>
      <c r="AR8" s="65"/>
      <c r="AS8" s="7" t="n">
        <v>1532.4</v>
      </c>
      <c r="AT8" s="201" t="n">
        <f aca="false">(716-25)/2</f>
        <v>345.5</v>
      </c>
      <c r="AU8" s="219"/>
      <c r="AV8" s="423"/>
      <c r="AW8" s="418"/>
      <c r="AX8" s="418"/>
      <c r="AY8" s="265"/>
      <c r="AZ8" s="305"/>
      <c r="BA8" s="8"/>
      <c r="BB8" s="85"/>
    </row>
    <row r="9" customFormat="false" ht="12.95" hidden="false" customHeight="true" outlineLevel="0" collapsed="false">
      <c r="A9" s="333"/>
      <c r="B9" s="412"/>
      <c r="C9" s="413"/>
      <c r="D9" s="333"/>
      <c r="E9" s="413"/>
      <c r="F9" s="333"/>
      <c r="G9" s="412"/>
      <c r="H9" s="414"/>
      <c r="I9" s="333"/>
      <c r="J9" s="333"/>
      <c r="K9" s="333"/>
      <c r="L9" s="333"/>
      <c r="M9" s="421"/>
      <c r="N9" s="72"/>
      <c r="O9" s="333"/>
      <c r="P9" s="72"/>
      <c r="Q9" s="61"/>
      <c r="R9" s="86" t="n">
        <v>4.2</v>
      </c>
      <c r="S9" s="61"/>
      <c r="T9" s="61"/>
      <c r="U9" s="422"/>
      <c r="V9" s="333"/>
      <c r="W9" s="333"/>
      <c r="X9" s="68"/>
      <c r="Y9" s="60" t="s">
        <v>93</v>
      </c>
      <c r="Z9" s="64"/>
      <c r="AA9" s="60" t="s">
        <v>93</v>
      </c>
      <c r="AB9" s="64" t="s">
        <v>96</v>
      </c>
      <c r="AC9" s="413"/>
      <c r="AD9" s="418"/>
      <c r="AE9" s="333"/>
      <c r="AF9" s="425"/>
      <c r="AG9" s="426"/>
      <c r="AH9" s="418"/>
      <c r="AI9" s="413"/>
      <c r="AJ9" s="413"/>
      <c r="AK9" s="333"/>
      <c r="AL9" s="333"/>
      <c r="AM9" s="333"/>
      <c r="AN9" s="463"/>
      <c r="AO9" s="64"/>
      <c r="AP9" s="70"/>
      <c r="AQ9" s="70"/>
      <c r="AR9" s="65"/>
      <c r="AS9" s="71"/>
      <c r="AT9" s="201" t="n">
        <f aca="false">AT8/D2</f>
        <v>174.187043105621</v>
      </c>
      <c r="AU9" s="219"/>
      <c r="AV9" s="423"/>
      <c r="AW9" s="418"/>
      <c r="AX9" s="418"/>
      <c r="AY9" s="265"/>
      <c r="AZ9" s="305"/>
      <c r="BA9" s="8"/>
      <c r="BB9" s="76" t="s">
        <v>97</v>
      </c>
    </row>
    <row r="10" customFormat="false" ht="12.95" hidden="false" customHeight="true" outlineLevel="0" collapsed="false">
      <c r="A10" s="333"/>
      <c r="B10" s="412"/>
      <c r="C10" s="413" t="s">
        <v>10</v>
      </c>
      <c r="D10" s="333"/>
      <c r="E10" s="413" t="s">
        <v>99</v>
      </c>
      <c r="F10" s="333"/>
      <c r="G10" s="412" t="s">
        <v>42</v>
      </c>
      <c r="H10" s="414" t="s">
        <v>42</v>
      </c>
      <c r="I10" s="414" t="s">
        <v>42</v>
      </c>
      <c r="J10" s="414" t="s">
        <v>42</v>
      </c>
      <c r="K10" s="414" t="s">
        <v>42</v>
      </c>
      <c r="L10" s="414" t="s">
        <v>42</v>
      </c>
      <c r="M10" s="428"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8" t="s">
        <v>42</v>
      </c>
      <c r="AE10" s="414" t="s">
        <v>42</v>
      </c>
      <c r="AF10" s="428" t="s">
        <v>42</v>
      </c>
      <c r="AG10" s="427" t="s">
        <v>42</v>
      </c>
      <c r="AH10" s="414" t="s">
        <v>42</v>
      </c>
      <c r="AI10" s="414" t="s">
        <v>42</v>
      </c>
      <c r="AJ10" s="414" t="s">
        <v>42</v>
      </c>
      <c r="AK10" s="414" t="s">
        <v>42</v>
      </c>
      <c r="AL10" s="414" t="s">
        <v>42</v>
      </c>
      <c r="AM10" s="414" t="s">
        <v>42</v>
      </c>
      <c r="AN10" s="463" t="s">
        <v>42</v>
      </c>
      <c r="AO10" s="64" t="s">
        <v>42</v>
      </c>
      <c r="AP10" s="64" t="s">
        <v>42</v>
      </c>
      <c r="AQ10" s="70" t="s">
        <v>100</v>
      </c>
      <c r="AR10" s="65" t="s">
        <v>42</v>
      </c>
      <c r="AS10" s="64" t="s">
        <v>42</v>
      </c>
      <c r="AT10" s="64" t="s">
        <v>42</v>
      </c>
      <c r="AU10" s="64" t="s">
        <v>42</v>
      </c>
      <c r="AV10" s="423"/>
      <c r="AW10" s="418"/>
      <c r="AX10" s="418"/>
      <c r="AY10" s="265"/>
      <c r="AZ10" s="305" t="s">
        <v>101</v>
      </c>
      <c r="BA10" s="72" t="s">
        <v>42</v>
      </c>
      <c r="BB10" s="76" t="s">
        <v>99</v>
      </c>
    </row>
    <row r="11" customFormat="false" ht="12.95" hidden="false" customHeight="true" outlineLevel="0" collapsed="false">
      <c r="A11" s="465"/>
      <c r="B11" s="333"/>
      <c r="C11" s="413"/>
      <c r="D11" s="333"/>
      <c r="E11" s="413"/>
      <c r="F11" s="465"/>
      <c r="G11" s="333"/>
      <c r="H11" s="414"/>
      <c r="I11" s="333"/>
      <c r="J11" s="333"/>
      <c r="K11" s="333"/>
      <c r="L11" s="424"/>
      <c r="M11" s="333"/>
      <c r="N11" s="72" t="n">
        <v>1.03</v>
      </c>
      <c r="O11" s="430" t="n">
        <v>1.05</v>
      </c>
      <c r="P11" s="72" t="n">
        <v>1.02</v>
      </c>
      <c r="Q11" s="87" t="n">
        <v>1.02</v>
      </c>
      <c r="R11" s="88" t="n">
        <v>1.04</v>
      </c>
      <c r="S11" s="61"/>
      <c r="T11" s="87" t="n">
        <v>1.04</v>
      </c>
      <c r="U11" s="422"/>
      <c r="V11" s="333"/>
      <c r="W11" s="333"/>
      <c r="X11" s="61" t="s">
        <v>42</v>
      </c>
      <c r="Y11" s="61" t="s">
        <v>42</v>
      </c>
      <c r="Z11" s="61" t="s">
        <v>42</v>
      </c>
      <c r="AA11" s="60" t="s">
        <v>42</v>
      </c>
      <c r="AB11" s="89" t="s">
        <v>102</v>
      </c>
      <c r="AC11" s="413"/>
      <c r="AD11" s="226" t="n">
        <v>9637.14244839646</v>
      </c>
      <c r="AE11" s="333"/>
      <c r="AF11" s="425"/>
      <c r="AG11" s="426"/>
      <c r="AH11" s="418"/>
      <c r="AI11" s="413"/>
      <c r="AJ11" s="413"/>
      <c r="AK11" s="333"/>
      <c r="AL11" s="333"/>
      <c r="AM11" s="333"/>
      <c r="AN11" s="463"/>
      <c r="AO11" s="64"/>
      <c r="AP11" s="70"/>
      <c r="AQ11" s="70"/>
      <c r="AR11" s="65"/>
      <c r="AS11" s="92"/>
      <c r="AT11" s="335"/>
      <c r="AU11" s="510"/>
      <c r="AV11" s="511"/>
      <c r="AW11" s="418"/>
      <c r="AX11" s="418"/>
      <c r="AY11" s="265"/>
      <c r="AZ11" s="305" t="s">
        <v>42</v>
      </c>
      <c r="BA11" s="8"/>
      <c r="BB11" s="85"/>
    </row>
    <row r="12" s="244" customFormat="true" ht="12.95" hidden="false" customHeight="true" outlineLevel="0" collapsed="false">
      <c r="A12" s="512" t="s">
        <v>103</v>
      </c>
      <c r="B12" s="142"/>
      <c r="C12" s="113"/>
      <c r="D12" s="113"/>
      <c r="E12" s="113"/>
      <c r="F12" s="225" t="n">
        <f aca="false">JUN!F49</f>
        <v>39565.4146710361</v>
      </c>
      <c r="G12" s="113" t="n">
        <f aca="false">JUN!G49</f>
        <v>84047</v>
      </c>
      <c r="H12" s="113" t="n">
        <f aca="false">JUN!H49</f>
        <v>608.52</v>
      </c>
      <c r="I12" s="113" t="n">
        <f aca="false">JUN!I49</f>
        <v>84655.52</v>
      </c>
      <c r="J12" s="113" t="n">
        <f aca="false">JUN!J49</f>
        <v>1605.90861557852</v>
      </c>
      <c r="K12" s="113" t="n">
        <f aca="false">JUN!K49</f>
        <v>86261.4186155785</v>
      </c>
      <c r="L12" s="229" t="n">
        <f aca="false">JUN!L49</f>
        <v>-2898.93532896396</v>
      </c>
      <c r="M12" s="113" t="n">
        <f aca="false">JUN!M49</f>
        <v>17893.3</v>
      </c>
      <c r="N12" s="113" t="n">
        <f aca="false">JUN!N49</f>
        <v>14.5399546256617</v>
      </c>
      <c r="O12" s="113" t="n">
        <f aca="false">JUN!O49</f>
        <v>5917.716</v>
      </c>
      <c r="P12" s="346" t="n">
        <f aca="false">JUN!P49</f>
        <v>6</v>
      </c>
      <c r="Q12" s="113"/>
      <c r="R12" s="113"/>
      <c r="S12" s="113"/>
      <c r="T12" s="113"/>
      <c r="U12" s="228"/>
      <c r="V12" s="113" t="n">
        <f aca="false">JUN!V49</f>
        <v>6383.98</v>
      </c>
      <c r="W12" s="113" t="n">
        <f aca="false">JUN!W49</f>
        <v>3922.96</v>
      </c>
      <c r="X12" s="113" t="n">
        <f aca="false">JUN!X49</f>
        <v>22953.0749411594</v>
      </c>
      <c r="Y12" s="113" t="n">
        <f aca="false">JUN!Y49</f>
        <v>22797.2384860029</v>
      </c>
      <c r="Z12" s="113" t="n">
        <f aca="false">JUN!Z44</f>
        <v>16429.632146717</v>
      </c>
      <c r="AA12" s="113" t="n">
        <v>375.594650529493</v>
      </c>
      <c r="AB12" s="113" t="n">
        <f aca="false">JUN!AB44</f>
        <v>0</v>
      </c>
      <c r="AC12" s="113" t="n">
        <f aca="false">JUN!AC44</f>
        <v>1087.18618840008</v>
      </c>
      <c r="AD12" s="226" t="n">
        <f aca="false">AD11/D2</f>
        <v>4858.65512901258</v>
      </c>
      <c r="AE12" s="113" t="n">
        <f aca="false">JUN!AE49</f>
        <v>10149.83</v>
      </c>
      <c r="AF12" s="227" t="n">
        <f aca="false">JUN!AF49</f>
        <v>154.7</v>
      </c>
      <c r="AG12" s="229" t="n">
        <f aca="false">JUN!AG49</f>
        <v>118.3</v>
      </c>
      <c r="AH12" s="113"/>
      <c r="AI12" s="113"/>
      <c r="AJ12" s="113" t="n">
        <f aca="false">JUN!AJ49</f>
        <v>0</v>
      </c>
      <c r="AK12" s="113" t="n">
        <f aca="false">JUN!AK49</f>
        <v>42191.16</v>
      </c>
      <c r="AL12" s="113" t="n">
        <f aca="false">JUN!AL49</f>
        <v>4504.84394454248</v>
      </c>
      <c r="AM12" s="225" t="n">
        <f aca="false">JUN!AM49</f>
        <v>46696.0039445425</v>
      </c>
      <c r="AN12" s="226"/>
      <c r="AO12" s="226"/>
      <c r="AP12" s="143"/>
      <c r="AQ12" s="113" t="n">
        <f aca="false">JUN!AQ50</f>
        <v>1287.95009712557</v>
      </c>
      <c r="AR12" s="113" t="n">
        <f aca="false">JUN!AR49</f>
        <v>1303.45499621881</v>
      </c>
      <c r="AS12" s="113" t="n">
        <f aca="false">JUN!AS49</f>
        <v>8.38</v>
      </c>
      <c r="AT12" s="113" t="n">
        <f aca="false">JUN!AT49</f>
        <v>5.11</v>
      </c>
      <c r="AU12" s="225"/>
      <c r="AV12" s="171"/>
      <c r="AW12" s="226"/>
      <c r="AX12" s="226"/>
      <c r="AY12" s="265"/>
      <c r="AZ12" s="432" t="n">
        <f aca="false">JUN!AZ49</f>
        <v>665.01083915315</v>
      </c>
      <c r="BA12" s="492" t="n">
        <f aca="false">JUN!BA49</f>
        <v>43.89</v>
      </c>
      <c r="BB12" s="470"/>
    </row>
    <row r="13" customFormat="false" ht="12.95" hidden="false" customHeight="true" outlineLevel="0" collapsed="false">
      <c r="A13" s="513" t="s">
        <v>104</v>
      </c>
      <c r="B13" s="346" t="n">
        <f aca="false">JUN!B44</f>
        <v>6896.8</v>
      </c>
      <c r="C13" s="113" t="n">
        <f aca="false">JUN!C44</f>
        <v>271926</v>
      </c>
      <c r="D13" s="113" t="n">
        <f aca="false">JUN!D53</f>
        <v>98204</v>
      </c>
      <c r="E13" s="113" t="n">
        <f aca="false">JUN!E53</f>
        <v>119926</v>
      </c>
      <c r="F13" s="225" t="n">
        <f aca="false">JUN!F52</f>
        <v>49510.4613057726</v>
      </c>
      <c r="G13" s="113" t="n">
        <f aca="false">JUN!G52</f>
        <v>96564</v>
      </c>
      <c r="H13" s="113" t="n">
        <f aca="false">JUN!H52</f>
        <v>638.625</v>
      </c>
      <c r="I13" s="113" t="n">
        <f aca="false">JUN!I52</f>
        <v>97202.005</v>
      </c>
      <c r="J13" s="113" t="n">
        <f aca="false">JUN!J52</f>
        <v>3521.62554827325</v>
      </c>
      <c r="K13" s="113" t="n">
        <f aca="false">JUN!K52</f>
        <v>100723.620548273</v>
      </c>
      <c r="L13" s="229" t="n">
        <f aca="false">JUN!L52</f>
        <v>-1859.63369422738</v>
      </c>
      <c r="M13" s="113" t="n">
        <f aca="false">JUN!M52</f>
        <v>18530.34</v>
      </c>
      <c r="N13" s="113" t="n">
        <f aca="false">JUN!N52</f>
        <v>14.5399546256617</v>
      </c>
      <c r="O13" s="113" t="n">
        <f aca="false">JUN!O52</f>
        <v>5917.716</v>
      </c>
      <c r="P13" s="113" t="n">
        <f aca="false">JUN!P52</f>
        <v>0</v>
      </c>
      <c r="Q13" s="113" t="n">
        <f aca="false">JUN!Q52</f>
        <v>437.530185885444</v>
      </c>
      <c r="R13" s="113" t="n">
        <f aca="false">JUN!R52</f>
        <v>544.044342714581</v>
      </c>
      <c r="S13" s="113" t="n">
        <f aca="false">JUN!S52</f>
        <v>55.77981568</v>
      </c>
      <c r="T13" s="113" t="n">
        <f aca="false">JUN!T52</f>
        <v>149.43506032</v>
      </c>
      <c r="U13" s="327" t="n">
        <f aca="false">JUN!U52</f>
        <v>-65.0339372790604</v>
      </c>
      <c r="V13" s="113" t="n">
        <f aca="false">JUN!V52</f>
        <v>6383.98</v>
      </c>
      <c r="W13" s="113" t="n">
        <f aca="false">JUN!W52</f>
        <v>3922.96</v>
      </c>
      <c r="X13" s="113" t="n">
        <f aca="false">JUN!X52</f>
        <v>23060.5733742722</v>
      </c>
      <c r="Y13" s="113" t="n">
        <f aca="false">JUN!Y52</f>
        <v>22904.7369191156</v>
      </c>
      <c r="Z13" s="113"/>
      <c r="AA13" s="113"/>
      <c r="AB13" s="113"/>
      <c r="AC13" s="113"/>
      <c r="AD13" s="226"/>
      <c r="AE13" s="113" t="n">
        <f aca="false">JUN!AE50</f>
        <v>20132.187805</v>
      </c>
      <c r="AF13" s="277" t="n">
        <f aca="false">AF12</f>
        <v>154.7</v>
      </c>
      <c r="AG13" s="278" t="n">
        <f aca="false">AG12</f>
        <v>118.3</v>
      </c>
      <c r="AH13" s="113" t="n">
        <f aca="false">JUN!AH52</f>
        <v>6849.9</v>
      </c>
      <c r="AI13" s="113" t="n">
        <f aca="false">JUN!AI52</f>
        <v>10777.9492311571</v>
      </c>
      <c r="AJ13" s="113" t="n">
        <f aca="false">JUN!AJ52</f>
        <v>0</v>
      </c>
      <c r="AK13" s="113" t="n">
        <f aca="false">JUN!AK52</f>
        <v>45831.9</v>
      </c>
      <c r="AL13" s="113" t="n">
        <f aca="false">JUN!AL52</f>
        <v>5381.25924250063</v>
      </c>
      <c r="AM13" s="225" t="n">
        <f aca="false">JUN!AM52</f>
        <v>51213.1592425006</v>
      </c>
      <c r="AN13" s="113" t="n">
        <f aca="false">JUN!AN52</f>
        <v>2927.4</v>
      </c>
      <c r="AO13" s="113" t="n">
        <f aca="false">JUN!AO52</f>
        <v>235.836455156528</v>
      </c>
      <c r="AP13" s="143"/>
      <c r="AQ13" s="113" t="n">
        <f aca="false">JUN!AQ53</f>
        <v>1287.95009712557</v>
      </c>
      <c r="AR13" s="113" t="n">
        <f aca="false">JUN!AR52</f>
        <v>1303.45499621881</v>
      </c>
      <c r="AS13" s="113" t="n">
        <f aca="false">JUN!AS52</f>
        <v>8.38</v>
      </c>
      <c r="AT13" s="171" t="n">
        <v>0</v>
      </c>
      <c r="AU13" s="514"/>
      <c r="AV13" s="346" t="n">
        <f aca="false">JUN!AV52</f>
        <v>6.14</v>
      </c>
      <c r="AW13" s="226"/>
      <c r="AX13" s="226"/>
      <c r="AY13" s="312"/>
      <c r="AZ13" s="348" t="n">
        <f aca="false">JUN!AZ52</f>
        <v>1142.8147060404</v>
      </c>
      <c r="BA13" s="492" t="n">
        <f aca="false">JUN!BA52</f>
        <v>43.89</v>
      </c>
      <c r="BB13" s="96"/>
    </row>
    <row r="14" customFormat="false" ht="3" hidden="false" customHeight="true" outlineLevel="0" collapsed="false">
      <c r="A14" s="245"/>
      <c r="B14" s="246"/>
      <c r="C14" s="247"/>
      <c r="D14" s="248"/>
      <c r="E14" s="247"/>
      <c r="F14" s="249"/>
      <c r="G14" s="248"/>
      <c r="H14" s="254"/>
      <c r="I14" s="248"/>
      <c r="J14" s="248"/>
      <c r="K14" s="248"/>
      <c r="L14" s="255"/>
      <c r="M14" s="248"/>
      <c r="N14" s="248"/>
      <c r="O14" s="248"/>
      <c r="P14" s="252"/>
      <c r="Q14" s="248"/>
      <c r="R14" s="248"/>
      <c r="S14" s="248"/>
      <c r="T14" s="248"/>
      <c r="U14" s="253"/>
      <c r="V14" s="248"/>
      <c r="W14" s="248"/>
      <c r="X14" s="248"/>
      <c r="Y14" s="248"/>
      <c r="Z14" s="247"/>
      <c r="AA14" s="248"/>
      <c r="AB14" s="247"/>
      <c r="AC14" s="247"/>
      <c r="AD14" s="257"/>
      <c r="AE14" s="248"/>
      <c r="AF14" s="251"/>
      <c r="AG14" s="255"/>
      <c r="AH14" s="248"/>
      <c r="AI14" s="247"/>
      <c r="AJ14" s="247"/>
      <c r="AK14" s="248"/>
      <c r="AL14" s="248"/>
      <c r="AM14" s="249"/>
      <c r="AN14" s="257"/>
      <c r="AO14" s="257"/>
      <c r="AP14" s="254"/>
      <c r="AQ14" s="252"/>
      <c r="AR14" s="252"/>
      <c r="AS14" s="252"/>
      <c r="AT14" s="252"/>
      <c r="AU14" s="254"/>
      <c r="AV14" s="515"/>
      <c r="AW14" s="257"/>
      <c r="AX14" s="257"/>
      <c r="AY14" s="257"/>
      <c r="AZ14" s="257"/>
      <c r="BA14" s="257"/>
      <c r="BB14" s="257"/>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row>
    <row r="15" customFormat="false" ht="12.95" hidden="false" customHeight="true" outlineLevel="0" collapsed="false">
      <c r="A15" s="192" t="n">
        <v>1</v>
      </c>
      <c r="B15" s="112" t="n">
        <v>6896.53</v>
      </c>
      <c r="C15" s="113" t="n">
        <v>270957</v>
      </c>
      <c r="D15" s="108" t="n">
        <f aca="false">C15-C13</f>
        <v>-969</v>
      </c>
      <c r="E15" s="113" t="n">
        <f aca="false">C15-152000</f>
        <v>118957</v>
      </c>
      <c r="F15" s="260" t="n">
        <f aca="false">D15/$D$2</f>
        <v>-488.530375598689</v>
      </c>
      <c r="G15" s="142" t="n">
        <v>233</v>
      </c>
      <c r="H15" s="143" t="n">
        <v>0</v>
      </c>
      <c r="I15" s="142" t="n">
        <f aca="false">G15+H15</f>
        <v>233</v>
      </c>
      <c r="J15" s="143" t="n">
        <f aca="false">IF(L15&gt;0,L15,0)</f>
        <v>0</v>
      </c>
      <c r="K15" s="142" t="n">
        <f aca="false">I15+J15</f>
        <v>233</v>
      </c>
      <c r="L15" s="263" t="n">
        <f aca="false">F15-(I15-AK15)</f>
        <v>-43.8303755986891</v>
      </c>
      <c r="M15" s="142" t="n">
        <v>317</v>
      </c>
      <c r="N15" s="171" t="n">
        <f aca="false">1/$D$2*1.03</f>
        <v>0.519284093773632</v>
      </c>
      <c r="O15" s="142" t="n">
        <f aca="false">86.5*1.05</f>
        <v>90.825</v>
      </c>
      <c r="P15" s="171" t="n">
        <v>1</v>
      </c>
      <c r="Q15" s="346" t="n">
        <f aca="false">2067700/325851/1.9835*1.02</f>
        <v>3.26314548230038</v>
      </c>
      <c r="R15" s="138" t="n">
        <v>4.2</v>
      </c>
      <c r="S15" s="138" t="n">
        <f aca="false">((6.3*1.04)-T15)-4.2</f>
        <v>0.817459199999999</v>
      </c>
      <c r="T15" s="138" t="n">
        <f aca="false">(1.392*1.06)*1.04</f>
        <v>1.5345408</v>
      </c>
      <c r="U15" s="365" t="n">
        <v>0</v>
      </c>
      <c r="V15" s="142" t="n">
        <v>66</v>
      </c>
      <c r="W15" s="142" t="n">
        <v>71.1</v>
      </c>
      <c r="X15" s="142" t="n">
        <f aca="false">M15-N15-O15-P15-Q15-R15-S15-T15-U15+V15+W15-AT15+AR15</f>
        <v>383.950969323661</v>
      </c>
      <c r="Y15" s="142" t="n">
        <f aca="false">X15-AO15</f>
        <v>383.950969323661</v>
      </c>
      <c r="Z15" s="113" t="n">
        <f aca="false">Z12+AP15</f>
        <v>16269.5180319111</v>
      </c>
      <c r="AA15" s="142" t="n">
        <f aca="false">(-AP15)</f>
        <v>160.114114805962</v>
      </c>
      <c r="AB15" s="113"/>
      <c r="AC15" s="113" t="n">
        <f aca="false">AC12-(JUN!AQ44/1.9835)+AS15</f>
        <v>1081.96796212474</v>
      </c>
      <c r="AD15" s="226" t="n">
        <f aca="false">AD12</f>
        <v>4858.65512901258</v>
      </c>
      <c r="AE15" s="142" t="n">
        <v>176</v>
      </c>
      <c r="AF15" s="262" t="n">
        <v>1.7</v>
      </c>
      <c r="AG15" s="263" t="n">
        <v>1.3</v>
      </c>
      <c r="AH15" s="142" t="n">
        <v>48.8</v>
      </c>
      <c r="AI15" s="113" t="n">
        <f aca="false">AI13-AH15</f>
        <v>10729.1492311571</v>
      </c>
      <c r="AJ15" s="113"/>
      <c r="AK15" s="141" t="n">
        <f aca="false">N15+O15+P15+Q15+R15+S15+T15+U15+X15+AE15+AH15-AR15</f>
        <v>677.7</v>
      </c>
      <c r="AL15" s="142" t="n">
        <f aca="false">IF(L15&lt;0,L15*-1,0)</f>
        <v>43.8303755986891</v>
      </c>
      <c r="AM15" s="260" t="n">
        <f aca="false">AK15+AL15</f>
        <v>721.530375598689</v>
      </c>
      <c r="AN15" s="226"/>
      <c r="AO15" s="226"/>
      <c r="AP15" s="157" t="n">
        <f aca="false">I15-Q15-R15-X15-AF15</f>
        <v>-160.114114805962</v>
      </c>
      <c r="AQ15" s="171" t="n">
        <f aca="false">80.917*(Z15*1.9835+AC15*1.9835)/E15</f>
        <v>23.4109290431654</v>
      </c>
      <c r="AR15" s="200" t="n">
        <v>33.2103988997351</v>
      </c>
      <c r="AS15" s="158" t="n">
        <f aca="false">BA15</f>
        <v>8.78</v>
      </c>
      <c r="AT15" s="5" t="n">
        <f aca="false">2.2-P15</f>
        <v>1.2</v>
      </c>
      <c r="AU15" s="4"/>
      <c r="AV15" s="330" t="n">
        <v>0</v>
      </c>
      <c r="AW15" s="516" t="n">
        <v>93</v>
      </c>
      <c r="AX15" s="516" t="n">
        <v>53</v>
      </c>
      <c r="AY15" s="148"/>
      <c r="AZ15" s="264" t="n">
        <f aca="false">SUM(N15,P15:U15)</f>
        <v>11.334429576074</v>
      </c>
      <c r="BA15" s="1" t="n">
        <v>8.78</v>
      </c>
      <c r="BB15" s="470" t="n">
        <v>16580</v>
      </c>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92" t="n">
        <f aca="false">A15+1</f>
        <v>2</v>
      </c>
      <c r="B16" s="112" t="n">
        <v>6896.24</v>
      </c>
      <c r="C16" s="113" t="n">
        <v>269916</v>
      </c>
      <c r="D16" s="226" t="n">
        <f aca="false">C16-C15</f>
        <v>-1041</v>
      </c>
      <c r="E16" s="113" t="n">
        <f aca="false">C16-152000</f>
        <v>117916</v>
      </c>
      <c r="F16" s="260" t="n">
        <f aca="false">D16/$D$2</f>
        <v>-524.829846231409</v>
      </c>
      <c r="G16" s="142" t="n">
        <v>219</v>
      </c>
      <c r="H16" s="143" t="n">
        <v>0</v>
      </c>
      <c r="I16" s="142" t="n">
        <f aca="false">G16+H16</f>
        <v>219</v>
      </c>
      <c r="J16" s="143" t="n">
        <f aca="false">IF(L16&gt;0,L16,0)</f>
        <v>0</v>
      </c>
      <c r="K16" s="142" t="n">
        <f aca="false">I16+J16</f>
        <v>219</v>
      </c>
      <c r="L16" s="142" t="n">
        <f aca="false">F16-(I16-AK16)</f>
        <v>-30.4398462314091</v>
      </c>
      <c r="M16" s="262" t="n">
        <v>340</v>
      </c>
      <c r="N16" s="171" t="n">
        <f aca="false">1/$D$2*1.03</f>
        <v>0.519284093773632</v>
      </c>
      <c r="O16" s="142" t="n">
        <f aca="false">89.7*1.05</f>
        <v>94.185</v>
      </c>
      <c r="P16" s="171" t="n">
        <v>0</v>
      </c>
      <c r="Q16" s="346" t="n">
        <f aca="false">2074900/325851/1.9835*1.02</f>
        <v>3.27450817876146</v>
      </c>
      <c r="R16" s="138" t="n">
        <v>4.2</v>
      </c>
      <c r="S16" s="138" t="n">
        <f aca="false">((6.6*1.04)-T16)-4.2</f>
        <v>1.1294592</v>
      </c>
      <c r="T16" s="138" t="n">
        <f aca="false">(1.392*1.06)*1.04</f>
        <v>1.5345408</v>
      </c>
      <c r="U16" s="365" t="n">
        <v>0</v>
      </c>
      <c r="V16" s="142" t="n">
        <v>69.8</v>
      </c>
      <c r="W16" s="142" t="n">
        <v>71.1</v>
      </c>
      <c r="X16" s="142" t="n">
        <f aca="false">M16-N16-O16-P16-Q16-R16-S16-T16-U16+V16+W16-AT16+AR16</f>
        <v>407.1576066272</v>
      </c>
      <c r="Y16" s="142" t="n">
        <f aca="false">X16-AO16</f>
        <v>407.1576066272</v>
      </c>
      <c r="Z16" s="113" t="n">
        <f aca="false">Z15+AP16</f>
        <v>16072.1859171051</v>
      </c>
      <c r="AA16" s="142" t="n">
        <f aca="false">(-AP16)</f>
        <v>197.332114805961</v>
      </c>
      <c r="AB16" s="113"/>
      <c r="AC16" s="113" t="n">
        <f aca="false">AC15-(AQ15/1.9835)+AS16</f>
        <v>1079.0851241902</v>
      </c>
      <c r="AD16" s="226" t="n">
        <f aca="false">AD15</f>
        <v>4858.65512901258</v>
      </c>
      <c r="AE16" s="142" t="n">
        <v>187</v>
      </c>
      <c r="AF16" s="262" t="n">
        <v>1.7</v>
      </c>
      <c r="AG16" s="263" t="n">
        <v>1.3</v>
      </c>
      <c r="AH16" s="142" t="n">
        <v>47.6</v>
      </c>
      <c r="AI16" s="113" t="n">
        <f aca="false">AI15-AH16</f>
        <v>10681.5492311571</v>
      </c>
      <c r="AJ16" s="113"/>
      <c r="AK16" s="141" t="n">
        <f aca="false">N16+O16+P16+Q16+R16+S16+T16+U16+X16+AE16+AH16-AR16</f>
        <v>713.39</v>
      </c>
      <c r="AL16" s="142" t="n">
        <f aca="false">IF(L16&lt;0,L16*-1,0)</f>
        <v>30.4398462314091</v>
      </c>
      <c r="AM16" s="142" t="n">
        <f aca="false">AK16+AL16</f>
        <v>743.829846231409</v>
      </c>
      <c r="AN16" s="231"/>
      <c r="AO16" s="226"/>
      <c r="AP16" s="157" t="n">
        <f aca="false">I16-Q16-R16-X16-AF16</f>
        <v>-197.332114805961</v>
      </c>
      <c r="AQ16" s="171" t="n">
        <f aca="false">65.881*(Z16*1.9835+AC16*1.9835)/E16</f>
        <v>19.00710435649</v>
      </c>
      <c r="AR16" s="200" t="n">
        <v>33.2103988997351</v>
      </c>
      <c r="AS16" s="158" t="n">
        <f aca="false">BA16</f>
        <v>8.92</v>
      </c>
      <c r="AT16" s="5" t="n">
        <v>2.11</v>
      </c>
      <c r="AU16" s="4"/>
      <c r="AV16" s="330" t="n">
        <v>0</v>
      </c>
      <c r="AW16" s="226" t="n">
        <v>94</v>
      </c>
      <c r="AX16" s="226" t="n">
        <v>51</v>
      </c>
      <c r="AY16" s="148"/>
      <c r="AZ16" s="264" t="n">
        <f aca="false">SUM(N16,P16:U16)</f>
        <v>10.6577922725351</v>
      </c>
      <c r="BA16" s="1" t="n">
        <v>8.92</v>
      </c>
      <c r="BB16" s="470" t="n">
        <v>16557</v>
      </c>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92" t="n">
        <f aca="false">A16+1</f>
        <v>3</v>
      </c>
      <c r="B17" s="112" t="n">
        <v>6895.89</v>
      </c>
      <c r="C17" s="113" t="n">
        <v>268663</v>
      </c>
      <c r="D17" s="226" t="n">
        <f aca="false">C17-C16</f>
        <v>-1253</v>
      </c>
      <c r="E17" s="113" t="n">
        <f aca="false">C17-152000</f>
        <v>116663</v>
      </c>
      <c r="F17" s="260" t="n">
        <f aca="false">D17/$D$2</f>
        <v>-631.711620872196</v>
      </c>
      <c r="G17" s="142" t="n">
        <v>204</v>
      </c>
      <c r="H17" s="143" t="n">
        <v>0</v>
      </c>
      <c r="I17" s="142" t="n">
        <f aca="false">G17+H17</f>
        <v>204</v>
      </c>
      <c r="J17" s="143" t="n">
        <f aca="false">IF(L17&gt;0,L17,0)</f>
        <v>0</v>
      </c>
      <c r="K17" s="142" t="n">
        <f aca="false">I17+J17</f>
        <v>204</v>
      </c>
      <c r="L17" s="142" t="n">
        <f aca="false">F17-(I17-AK17)</f>
        <v>-91.1316208721955</v>
      </c>
      <c r="M17" s="262" t="n">
        <v>343</v>
      </c>
      <c r="N17" s="171" t="n">
        <f aca="false">1/$D$2*1.03</f>
        <v>0.519284093773632</v>
      </c>
      <c r="O17" s="142" t="n">
        <f aca="false">105*1.05</f>
        <v>110.25</v>
      </c>
      <c r="P17" s="171" t="n">
        <v>0</v>
      </c>
      <c r="Q17" s="346" t="n">
        <f aca="false">1997400/325851/1.9835*1.02</f>
        <v>3.15220137657629</v>
      </c>
      <c r="R17" s="138" t="n">
        <v>4.2</v>
      </c>
      <c r="S17" s="138" t="n">
        <f aca="false">((6.6*1.04)-T17)-4.2</f>
        <v>1.1294592</v>
      </c>
      <c r="T17" s="138" t="n">
        <f aca="false">(1.392*1.06)*1.04</f>
        <v>1.5345408</v>
      </c>
      <c r="U17" s="365" t="n">
        <v>0</v>
      </c>
      <c r="V17" s="142" t="n">
        <v>69.6</v>
      </c>
      <c r="W17" s="142" t="n">
        <v>71.7</v>
      </c>
      <c r="X17" s="142" t="n">
        <f aca="false">M17-N17-O17-P17-Q17-R17-S17-T17-U17+V17+W17-AT17+AR17</f>
        <v>394.404913429385</v>
      </c>
      <c r="Y17" s="142" t="n">
        <f aca="false">X17-AO17</f>
        <v>394.404913429385</v>
      </c>
      <c r="Z17" s="113" t="n">
        <f aca="false">Z16+AP17</f>
        <v>15872.7288022991</v>
      </c>
      <c r="AA17" s="142" t="n">
        <f aca="false">(-AP17)</f>
        <v>199.457114805961</v>
      </c>
      <c r="AB17" s="113"/>
      <c r="AC17" s="113" t="n">
        <f aca="false">AC16-(AQ16/1.9835)+AS17</f>
        <v>1078.32251549018</v>
      </c>
      <c r="AD17" s="226" t="n">
        <f aca="false">AD16</f>
        <v>4858.65512901258</v>
      </c>
      <c r="AE17" s="142" t="n">
        <v>215</v>
      </c>
      <c r="AF17" s="262" t="n">
        <v>1.7</v>
      </c>
      <c r="AG17" s="263" t="n">
        <v>1.3</v>
      </c>
      <c r="AH17" s="142" t="n">
        <v>47.6</v>
      </c>
      <c r="AI17" s="113" t="n">
        <f aca="false">AI16-AH17</f>
        <v>10633.9492311571</v>
      </c>
      <c r="AJ17" s="113"/>
      <c r="AK17" s="141" t="n">
        <f aca="false">N17+O17+P17+Q17+R17+S17+T17+U17+X17+AE17+AH17-AR17</f>
        <v>744.58</v>
      </c>
      <c r="AL17" s="142" t="n">
        <f aca="false">IF(L17&lt;0,L17*-1,0)</f>
        <v>91.1316208721955</v>
      </c>
      <c r="AM17" s="142" t="n">
        <f aca="false">AK17+AL17</f>
        <v>835.711620872196</v>
      </c>
      <c r="AN17" s="231"/>
      <c r="AO17" s="226"/>
      <c r="AP17" s="157" t="n">
        <f aca="false">I17-Q17-R17-X17-AF17</f>
        <v>-199.457114805961</v>
      </c>
      <c r="AQ17" s="171" t="n">
        <f aca="false">69.008*(Z17*1.9835+AC17*1.9835)/E17</f>
        <v>19.8881846790493</v>
      </c>
      <c r="AR17" s="200" t="n">
        <v>33.2103988997351</v>
      </c>
      <c r="AS17" s="158" t="n">
        <f aca="false">BA17</f>
        <v>8.82</v>
      </c>
      <c r="AT17" s="5" t="n">
        <v>2.32</v>
      </c>
      <c r="AU17" s="4"/>
      <c r="AV17" s="330" t="n">
        <v>0</v>
      </c>
      <c r="AW17" s="226" t="n">
        <v>92</v>
      </c>
      <c r="AX17" s="226" t="n">
        <v>62</v>
      </c>
      <c r="AY17" s="148"/>
      <c r="AZ17" s="264" t="n">
        <f aca="false">SUM(N17,P17:U17)</f>
        <v>10.5354854703499</v>
      </c>
      <c r="BA17" s="1" t="n">
        <v>8.82</v>
      </c>
      <c r="BB17" s="470" t="n">
        <v>16539</v>
      </c>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92" t="n">
        <f aca="false">A17+1</f>
        <v>4</v>
      </c>
      <c r="B18" s="112" t="n">
        <v>6895.57</v>
      </c>
      <c r="C18" s="113" t="n">
        <v>267524</v>
      </c>
      <c r="D18" s="226" t="n">
        <f aca="false">C18-C17</f>
        <v>-1139</v>
      </c>
      <c r="E18" s="113" t="n">
        <f aca="false">C18-152000</f>
        <v>115524</v>
      </c>
      <c r="F18" s="260" t="n">
        <f aca="false">D18/$D$2</f>
        <v>-574.237459037056</v>
      </c>
      <c r="G18" s="142" t="n">
        <v>200</v>
      </c>
      <c r="H18" s="143" t="n">
        <v>0</v>
      </c>
      <c r="I18" s="142" t="n">
        <f aca="false">G18+H18</f>
        <v>200</v>
      </c>
      <c r="J18" s="143" t="n">
        <f aca="false">IF(L18&gt;0,L18,0)</f>
        <v>0</v>
      </c>
      <c r="K18" s="142" t="n">
        <f aca="false">I18+J18</f>
        <v>200</v>
      </c>
      <c r="L18" s="142" t="n">
        <f aca="false">F18-(I18-AK18)</f>
        <v>-69.0074590370556</v>
      </c>
      <c r="M18" s="262" t="n">
        <v>343</v>
      </c>
      <c r="N18" s="171" t="n">
        <f aca="false">1/$D$2*1.03</f>
        <v>0.519284093773632</v>
      </c>
      <c r="O18" s="142" t="n">
        <f aca="false">91.8*1.05</f>
        <v>96.39</v>
      </c>
      <c r="P18" s="171" t="n">
        <v>0</v>
      </c>
      <c r="Q18" s="346" t="n">
        <f aca="false">1839700/325851/1.9835*1.02</f>
        <v>2.90332676103304</v>
      </c>
      <c r="R18" s="138" t="n">
        <v>4.2</v>
      </c>
      <c r="S18" s="138" t="n">
        <f aca="false">((7.3*1.04)-T18)-4.2</f>
        <v>1.92646944</v>
      </c>
      <c r="T18" s="138" t="n">
        <f aca="false">(1.3294*1.06)*1.04</f>
        <v>1.46553056</v>
      </c>
      <c r="U18" s="365" t="n">
        <v>0</v>
      </c>
      <c r="V18" s="142" t="n">
        <v>68.9</v>
      </c>
      <c r="W18" s="142" t="n">
        <v>72.1</v>
      </c>
      <c r="X18" s="142" t="n">
        <f aca="false">M18-N18-O18-P18-Q18-R18-S18-T18-U18+V18+W18-AT18+AR18</f>
        <v>407.535788044929</v>
      </c>
      <c r="Y18" s="142" t="n">
        <f aca="false">X18-AO18</f>
        <v>407.535788044929</v>
      </c>
      <c r="Z18" s="113" t="n">
        <f aca="false">Z17+AP18</f>
        <v>15656.3896874932</v>
      </c>
      <c r="AA18" s="142" t="n">
        <f aca="false">(-AP18)</f>
        <v>216.339114805961</v>
      </c>
      <c r="AB18" s="113"/>
      <c r="AC18" s="113" t="n">
        <f aca="false">AC17-(AQ17/1.9835)+AS18</f>
        <v>1077.26570193886</v>
      </c>
      <c r="AD18" s="226" t="n">
        <f aca="false">AD17</f>
        <v>4858.65512901258</v>
      </c>
      <c r="AE18" s="142" t="n">
        <v>176</v>
      </c>
      <c r="AF18" s="262" t="n">
        <v>1.7</v>
      </c>
      <c r="AG18" s="263" t="n">
        <v>1.3</v>
      </c>
      <c r="AH18" s="142" t="n">
        <v>47.5</v>
      </c>
      <c r="AI18" s="113" t="n">
        <f aca="false">AI17-AH18</f>
        <v>10586.4492311571</v>
      </c>
      <c r="AJ18" s="113"/>
      <c r="AK18" s="141" t="n">
        <f aca="false">N18+O18+P18+Q18+R18+S18+T18+U18+X18+AE18+AH18-AR18</f>
        <v>705.23</v>
      </c>
      <c r="AL18" s="142" t="n">
        <f aca="false">IF(L18&lt;0,L18*-1,0)</f>
        <v>69.0074590370556</v>
      </c>
      <c r="AM18" s="142" t="n">
        <f aca="false">AK18+AL18</f>
        <v>774.237459037056</v>
      </c>
      <c r="AN18" s="231"/>
      <c r="AO18" s="226"/>
      <c r="AP18" s="157" t="n">
        <f aca="false">I18-Q18-R18-X18-AF18</f>
        <v>-216.339114805961</v>
      </c>
      <c r="AQ18" s="171" t="n">
        <f aca="false">51.704*(Z18*1.9835+AC18*1.9835)/E18</f>
        <v>14.8550784889649</v>
      </c>
      <c r="AR18" s="200" t="n">
        <v>33.2103988997351</v>
      </c>
      <c r="AS18" s="158" t="n">
        <f aca="false">BA18</f>
        <v>8.97</v>
      </c>
      <c r="AT18" s="5" t="n">
        <v>2.27</v>
      </c>
      <c r="AU18" s="4"/>
      <c r="AV18" s="330" t="n">
        <v>0.09</v>
      </c>
      <c r="AW18" s="226" t="n">
        <v>91</v>
      </c>
      <c r="AX18" s="226" t="n">
        <v>59</v>
      </c>
      <c r="AY18" s="148"/>
      <c r="AZ18" s="264" t="n">
        <f aca="false">SUM(N18,P18:U18)</f>
        <v>11.0146108548067</v>
      </c>
      <c r="BA18" s="1" t="n">
        <v>8.97</v>
      </c>
      <c r="BB18" s="470" t="n">
        <v>16520</v>
      </c>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92" t="n">
        <f aca="false">A18+1</f>
        <v>5</v>
      </c>
      <c r="B19" s="112" t="n">
        <v>6895.29</v>
      </c>
      <c r="C19" s="113" t="n">
        <v>266528</v>
      </c>
      <c r="D19" s="226" t="n">
        <f aca="false">C19-C18</f>
        <v>-996</v>
      </c>
      <c r="E19" s="113" t="n">
        <f aca="false">C19-152000</f>
        <v>114528</v>
      </c>
      <c r="F19" s="260" t="n">
        <f aca="false">D19/$D$2</f>
        <v>-502.142677085959</v>
      </c>
      <c r="G19" s="142" t="n">
        <v>196</v>
      </c>
      <c r="H19" s="143" t="n">
        <v>0</v>
      </c>
      <c r="I19" s="142" t="n">
        <f aca="false">G19+H19</f>
        <v>196</v>
      </c>
      <c r="J19" s="143" t="n">
        <f aca="false">IF(L19&gt;0,L19,0)</f>
        <v>0</v>
      </c>
      <c r="K19" s="142" t="n">
        <f aca="false">I19+J19</f>
        <v>196</v>
      </c>
      <c r="L19" s="142" t="n">
        <f aca="false">F19-(I19-AK19)</f>
        <v>-10.3526770859592</v>
      </c>
      <c r="M19" s="262" t="n">
        <v>317</v>
      </c>
      <c r="N19" s="171" t="n">
        <f aca="false">1/$D$2*1.03</f>
        <v>0.519284093773632</v>
      </c>
      <c r="O19" s="142" t="n">
        <f aca="false">87.5*1.05</f>
        <v>91.875</v>
      </c>
      <c r="P19" s="171" t="n">
        <v>0</v>
      </c>
      <c r="Q19" s="346" t="n">
        <f aca="false">1642700/325851/1.9835*1.02</f>
        <v>2.59243076063977</v>
      </c>
      <c r="R19" s="138" t="n">
        <v>4.2</v>
      </c>
      <c r="S19" s="138" t="n">
        <f aca="false">((7.5*1.04)-T19)-4.2</f>
        <v>2.13446944</v>
      </c>
      <c r="T19" s="138" t="n">
        <f aca="false">(1.3294*1.06)*1.04</f>
        <v>1.46553056</v>
      </c>
      <c r="U19" s="365" t="n">
        <v>0</v>
      </c>
      <c r="V19" s="142" t="n">
        <v>69.8</v>
      </c>
      <c r="W19" s="142" t="n">
        <v>70.7</v>
      </c>
      <c r="X19" s="142" t="n">
        <f aca="false">M19-N19-O19-P19-Q19-R19-S19-T19-U19+V19+W19-AT19+AR19</f>
        <v>385.813684045322</v>
      </c>
      <c r="Y19" s="142" t="n">
        <f aca="false">X19-AO19</f>
        <v>385.813684045322</v>
      </c>
      <c r="Z19" s="113" t="n">
        <f aca="false">Z18+AP19</f>
        <v>15458.0835726872</v>
      </c>
      <c r="AA19" s="142" t="n">
        <f aca="false">(-AP19)</f>
        <v>198.306114805961</v>
      </c>
      <c r="AB19" s="113"/>
      <c r="AC19" s="113" t="n">
        <f aca="false">AC18-(AQ18/1.9835)+AS19</f>
        <v>1078.93637575335</v>
      </c>
      <c r="AD19" s="226" t="n">
        <f aca="false">AD18</f>
        <v>4858.65512901258</v>
      </c>
      <c r="AE19" s="142" t="n">
        <v>185</v>
      </c>
      <c r="AF19" s="262" t="n">
        <v>1.7</v>
      </c>
      <c r="AG19" s="263" t="n">
        <v>1.3</v>
      </c>
      <c r="AH19" s="142" t="n">
        <v>47.4</v>
      </c>
      <c r="AI19" s="113" t="n">
        <f aca="false">AI18-AH19</f>
        <v>10539.0492311571</v>
      </c>
      <c r="AJ19" s="113"/>
      <c r="AK19" s="141" t="n">
        <f aca="false">N19+O19+P19+Q19+R19+S19+T19+U19+X19+AE19+AH19-AR19</f>
        <v>687.79</v>
      </c>
      <c r="AL19" s="142" t="n">
        <f aca="false">IF(L19&lt;0,L19*-1,0)</f>
        <v>10.3526770859592</v>
      </c>
      <c r="AM19" s="142" t="n">
        <f aca="false">AK19+AL19</f>
        <v>698.142677085959</v>
      </c>
      <c r="AN19" s="231"/>
      <c r="AO19" s="226"/>
      <c r="AP19" s="157" t="n">
        <f aca="false">I19-Q19-R19-X19-AF19</f>
        <v>-198.306114805961</v>
      </c>
      <c r="AQ19" s="171" t="n">
        <f aca="false">34.938*(Z19*1.9835+AC19*1.9835)/E19</f>
        <v>10.0063529815278</v>
      </c>
      <c r="AR19" s="200" t="n">
        <v>33.2103988997351</v>
      </c>
      <c r="AS19" s="158" t="n">
        <f aca="false">BA19</f>
        <v>9.16</v>
      </c>
      <c r="AT19" s="5" t="n">
        <v>2.11</v>
      </c>
      <c r="AU19" s="4"/>
      <c r="AV19" s="330" t="n">
        <v>0.08</v>
      </c>
      <c r="AW19" s="226" t="n">
        <v>89</v>
      </c>
      <c r="AX19" s="226" t="n">
        <v>56</v>
      </c>
      <c r="AY19" s="148"/>
      <c r="AZ19" s="264" t="n">
        <f aca="false">SUM(N19,P19:U19)</f>
        <v>10.9117148544134</v>
      </c>
      <c r="BA19" s="1" t="n">
        <v>9.16</v>
      </c>
      <c r="BB19" s="470" t="n">
        <v>16510</v>
      </c>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92" t="n">
        <f aca="false">A19+1</f>
        <v>6</v>
      </c>
      <c r="B20" s="112" t="n">
        <v>6895.01</v>
      </c>
      <c r="C20" s="113" t="n">
        <v>265531</v>
      </c>
      <c r="D20" s="226" t="n">
        <f aca="false">C20-C19</f>
        <v>-997</v>
      </c>
      <c r="E20" s="113" t="n">
        <f aca="false">C20-152000</f>
        <v>113531</v>
      </c>
      <c r="F20" s="260" t="n">
        <f aca="false">D20/$D$2</f>
        <v>-502.646836400303</v>
      </c>
      <c r="G20" s="142" t="n">
        <v>195</v>
      </c>
      <c r="H20" s="143" t="n">
        <v>0.024</v>
      </c>
      <c r="I20" s="142" t="n">
        <f aca="false">G20+H20</f>
        <v>195.024</v>
      </c>
      <c r="J20" s="143" t="n">
        <f aca="false">IF(L20&gt;0,L20,0)</f>
        <v>0</v>
      </c>
      <c r="K20" s="142" t="n">
        <f aca="false">I20+J20</f>
        <v>195.024</v>
      </c>
      <c r="L20" s="142" t="n">
        <f aca="false">F20-(I20-AK20)</f>
        <v>-52.7108364003026</v>
      </c>
      <c r="M20" s="262" t="n">
        <v>315</v>
      </c>
      <c r="N20" s="171" t="n">
        <f aca="false">1/$D$2*1.03</f>
        <v>0.519284093773632</v>
      </c>
      <c r="O20" s="142" t="n">
        <f aca="false">87*1.05</f>
        <v>91.35</v>
      </c>
      <c r="P20" s="171" t="n">
        <v>0</v>
      </c>
      <c r="Q20" s="346" t="n">
        <f aca="false">1637500/325851/1.9835*1.02</f>
        <v>2.58422436875121</v>
      </c>
      <c r="R20" s="138" t="n">
        <f aca="false">((5.3)*1.04)-T20</f>
        <v>4.04646944</v>
      </c>
      <c r="S20" s="138" t="n">
        <v>0</v>
      </c>
      <c r="T20" s="138" t="n">
        <f aca="false">(1.3294*1.06)*1.04</f>
        <v>1.46553056</v>
      </c>
      <c r="U20" s="365" t="n">
        <v>0</v>
      </c>
      <c r="V20" s="142" t="n">
        <v>70.8</v>
      </c>
      <c r="W20" s="142" t="n">
        <v>68.7</v>
      </c>
      <c r="X20" s="142" t="n">
        <f aca="false">M20-N20-O20-P20-Q20-R20-S20-T20-U20+V20+W20-AT20+AR20</f>
        <v>385.80489043721</v>
      </c>
      <c r="Y20" s="142" t="n">
        <f aca="false">X20-AO20</f>
        <v>385.80489043721</v>
      </c>
      <c r="Z20" s="113" t="n">
        <f aca="false">Z19+AP20</f>
        <v>15258.9719884413</v>
      </c>
      <c r="AA20" s="142" t="n">
        <f aca="false">(-AP20)</f>
        <v>199.111584245961</v>
      </c>
      <c r="AB20" s="113"/>
      <c r="AC20" s="113" t="n">
        <f aca="false">AC19-(AQ19/1.9835)+AS20</f>
        <v>1083.0715796951</v>
      </c>
      <c r="AD20" s="226" t="n">
        <f aca="false">AD19</f>
        <v>4858.65512901258</v>
      </c>
      <c r="AE20" s="142" t="n">
        <v>145</v>
      </c>
      <c r="AF20" s="262" t="n">
        <v>1.7</v>
      </c>
      <c r="AG20" s="263" t="n">
        <v>1.3</v>
      </c>
      <c r="AH20" s="142" t="n">
        <v>47.4</v>
      </c>
      <c r="AI20" s="113" t="n">
        <f aca="false">AI19-AH20</f>
        <v>10491.6492311571</v>
      </c>
      <c r="AJ20" s="113"/>
      <c r="AK20" s="141" t="n">
        <f aca="false">N20+O20+P20+Q20+R20+S20+T20+U20+X20+AE20+AH20-AR20</f>
        <v>644.96</v>
      </c>
      <c r="AL20" s="142" t="n">
        <f aca="false">IF(L20&lt;0,L20*-1,0)</f>
        <v>52.7108364003026</v>
      </c>
      <c r="AM20" s="142" t="n">
        <f aca="false">AK20+AL20</f>
        <v>697.670836400303</v>
      </c>
      <c r="AN20" s="231"/>
      <c r="AO20" s="226"/>
      <c r="AP20" s="157" t="n">
        <f aca="false">I20-Q20-R20-X20-AF20</f>
        <v>-199.111584245961</v>
      </c>
      <c r="AQ20" s="171" t="n">
        <f aca="false">0*(Z20*1.9835+AC20*1.9835)/E20</f>
        <v>0</v>
      </c>
      <c r="AR20" s="200" t="n">
        <v>33.2103988997351</v>
      </c>
      <c r="AS20" s="158" t="n">
        <f aca="false">BA20</f>
        <v>9.18</v>
      </c>
      <c r="AT20" s="5" t="n">
        <v>1.94</v>
      </c>
      <c r="AU20" s="4"/>
      <c r="AV20" s="330" t="n">
        <v>0.46</v>
      </c>
      <c r="AW20" s="226" t="n">
        <v>91</v>
      </c>
      <c r="AX20" s="226" t="n">
        <v>51</v>
      </c>
      <c r="AY20" s="148"/>
      <c r="AZ20" s="264" t="n">
        <f aca="false">SUM(N20,P20:U20)</f>
        <v>8.61550846252484</v>
      </c>
      <c r="BA20" s="1" t="n">
        <v>9.18</v>
      </c>
      <c r="BB20" s="470" t="n">
        <v>16496</v>
      </c>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92" t="n">
        <f aca="false">A20+1</f>
        <v>7</v>
      </c>
      <c r="B21" s="112" t="n">
        <v>6894.68</v>
      </c>
      <c r="C21" s="113" t="n">
        <v>264366</v>
      </c>
      <c r="D21" s="226" t="n">
        <f aca="false">C21-C20</f>
        <v>-1165</v>
      </c>
      <c r="E21" s="113" t="n">
        <f aca="false">C21-152000</f>
        <v>112366</v>
      </c>
      <c r="F21" s="260" t="n">
        <f aca="false">D21/$D$2</f>
        <v>-587.345601209982</v>
      </c>
      <c r="G21" s="142" t="n">
        <v>187</v>
      </c>
      <c r="H21" s="143" t="n">
        <v>0.001</v>
      </c>
      <c r="I21" s="142" t="n">
        <f aca="false">G21+H21</f>
        <v>187.001</v>
      </c>
      <c r="J21" s="143" t="n">
        <f aca="false">IF(L21&gt;0,L21,0)</f>
        <v>0</v>
      </c>
      <c r="K21" s="142" t="n">
        <f aca="false">I21+J21</f>
        <v>187.001</v>
      </c>
      <c r="L21" s="142" t="n">
        <f aca="false">F21-(I21-AK21)</f>
        <v>-23.4166012099823</v>
      </c>
      <c r="M21" s="262" t="n">
        <v>332</v>
      </c>
      <c r="N21" s="171" t="n">
        <f aca="false">1/$D$2*1.03</f>
        <v>0.519284093773632</v>
      </c>
      <c r="O21" s="142" t="n">
        <f aca="false">92*1.05</f>
        <v>96.6</v>
      </c>
      <c r="P21" s="171" t="n">
        <v>0</v>
      </c>
      <c r="Q21" s="346" t="n">
        <f aca="false">1837100/325851/1.9835*1.02</f>
        <v>2.89922356508876</v>
      </c>
      <c r="R21" s="138" t="n">
        <v>4.2</v>
      </c>
      <c r="S21" s="138" t="n">
        <f aca="false">((6.1*1.04)-T21)-4.2</f>
        <v>0.678469439999999</v>
      </c>
      <c r="T21" s="138" t="n">
        <f aca="false">(1.3294*1.06)*1.04</f>
        <v>1.46553056</v>
      </c>
      <c r="U21" s="365" t="n">
        <v>0</v>
      </c>
      <c r="V21" s="142" t="n">
        <v>78.2</v>
      </c>
      <c r="W21" s="142" t="n">
        <v>69.2</v>
      </c>
      <c r="X21" s="142" t="n">
        <f aca="false">M21-N21-O21-P21-Q21-R21-S21-T21-U21+V21+W21-AT21+AR21</f>
        <v>404.177891240873</v>
      </c>
      <c r="Y21" s="142" t="n">
        <f aca="false">X21-AO21</f>
        <v>404.177891240873</v>
      </c>
      <c r="Z21" s="113" t="n">
        <f aca="false">Z20+AP21</f>
        <v>15032.9958736353</v>
      </c>
      <c r="AA21" s="142" t="n">
        <f aca="false">(-AP21)</f>
        <v>225.976114805961</v>
      </c>
      <c r="AB21" s="113"/>
      <c r="AC21" s="113" t="n">
        <f aca="false">AC20-(AQ20/1.9835)+AS21</f>
        <v>1092.2515796951</v>
      </c>
      <c r="AD21" s="226" t="n">
        <f aca="false">AD20</f>
        <v>4858.65512901258</v>
      </c>
      <c r="AE21" s="142" t="n">
        <v>225</v>
      </c>
      <c r="AF21" s="262" t="n">
        <v>1.7</v>
      </c>
      <c r="AG21" s="263" t="n">
        <v>1.3</v>
      </c>
      <c r="AH21" s="142" t="n">
        <v>48.6</v>
      </c>
      <c r="AI21" s="113" t="n">
        <f aca="false">AI20-AH21</f>
        <v>10443.0492311571</v>
      </c>
      <c r="AJ21" s="113"/>
      <c r="AK21" s="141" t="n">
        <f aca="false">N21+O21+P21+Q21+R21+S21+T21+U21+X21+AE21+AH21-AR21</f>
        <v>750.93</v>
      </c>
      <c r="AL21" s="142" t="n">
        <f aca="false">IF(L21&lt;0,L21*-1,0)</f>
        <v>23.4166012099823</v>
      </c>
      <c r="AM21" s="142" t="n">
        <f aca="false">AK21+AL21</f>
        <v>774.346601209982</v>
      </c>
      <c r="AN21" s="231"/>
      <c r="AO21" s="226"/>
      <c r="AP21" s="157" t="n">
        <f aca="false">I21-Q21-R21-X21-AF21</f>
        <v>-225.976114805961</v>
      </c>
      <c r="AQ21" s="171" t="n">
        <f aca="false">88.689*(Z21*1.9835+AC21*1.9835)/E21</f>
        <v>25.2448869195213</v>
      </c>
      <c r="AR21" s="200" t="n">
        <v>33.2103988997351</v>
      </c>
      <c r="AS21" s="158" t="n">
        <f aca="false">BA21</f>
        <v>9.18</v>
      </c>
      <c r="AT21" s="5" t="n">
        <v>2.07</v>
      </c>
      <c r="AU21" s="4"/>
      <c r="AV21" s="330" t="n">
        <v>0</v>
      </c>
      <c r="AW21" s="516" t="n">
        <v>93</v>
      </c>
      <c r="AX21" s="516" t="n">
        <v>58</v>
      </c>
      <c r="AY21" s="148"/>
      <c r="AZ21" s="264" t="n">
        <f aca="false">SUM(N21,P21:U21)</f>
        <v>9.7625076588624</v>
      </c>
      <c r="BA21" s="1" t="n">
        <v>9.18</v>
      </c>
      <c r="BB21" s="470" t="n">
        <v>16475</v>
      </c>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92" t="n">
        <f aca="false">A21+1</f>
        <v>8</v>
      </c>
      <c r="B22" s="112" t="n">
        <v>6894.32</v>
      </c>
      <c r="C22" s="113" t="n">
        <v>263096</v>
      </c>
      <c r="D22" s="226" t="n">
        <f aca="false">C22-C21</f>
        <v>-1270</v>
      </c>
      <c r="E22" s="113" t="n">
        <f aca="false">C22-152000</f>
        <v>111096</v>
      </c>
      <c r="F22" s="260" t="n">
        <f aca="false">D22/$D$2</f>
        <v>-640.282329216032</v>
      </c>
      <c r="G22" s="142" t="n">
        <v>187</v>
      </c>
      <c r="H22" s="143" t="n">
        <v>0</v>
      </c>
      <c r="I22" s="142" t="n">
        <f aca="false">G22+H22</f>
        <v>187</v>
      </c>
      <c r="J22" s="143" t="n">
        <f aca="false">IF(L22&gt;0,L22,0)</f>
        <v>0</v>
      </c>
      <c r="K22" s="142" t="n">
        <f aca="false">I22+J22</f>
        <v>187</v>
      </c>
      <c r="L22" s="142" t="n">
        <f aca="false">F22-(I22-AK22)</f>
        <v>-37.1523292160323</v>
      </c>
      <c r="M22" s="262" t="n">
        <v>346</v>
      </c>
      <c r="N22" s="171" t="n">
        <f aca="false">1/$D$2*1.03</f>
        <v>0.519284093773632</v>
      </c>
      <c r="O22" s="142" t="n">
        <f aca="false">93.2*1.05</f>
        <v>97.86</v>
      </c>
      <c r="P22" s="171" t="n">
        <v>0</v>
      </c>
      <c r="Q22" s="346" t="n">
        <f aca="false">1751800/325851/1.9835*1.02</f>
        <v>2.76460717507076</v>
      </c>
      <c r="R22" s="138" t="n">
        <v>4.2</v>
      </c>
      <c r="S22" s="138" t="n">
        <f aca="false">((7.1*1.04)-T22)-4.2</f>
        <v>1.71846944</v>
      </c>
      <c r="T22" s="138" t="n">
        <f aca="false">(1.3294*1.06)*1.04</f>
        <v>1.46553056</v>
      </c>
      <c r="U22" s="365" t="n">
        <v>0</v>
      </c>
      <c r="V22" s="142" t="n">
        <v>108</v>
      </c>
      <c r="W22" s="142" t="n">
        <v>71.3</v>
      </c>
      <c r="X22" s="142" t="n">
        <f aca="false">M22-N22-O22-P22-Q22-R22-S22-T22-U22+V22+W22-AT22+AR22</f>
        <v>447.812507630891</v>
      </c>
      <c r="Y22" s="142" t="n">
        <f aca="false">X22-AO22</f>
        <v>447.812507630891</v>
      </c>
      <c r="Z22" s="113" t="n">
        <f aca="false">Z21+AP22</f>
        <v>14763.5187588293</v>
      </c>
      <c r="AA22" s="142" t="n">
        <f aca="false">(-AP22)</f>
        <v>269.477114805961</v>
      </c>
      <c r="AB22" s="113"/>
      <c r="AC22" s="113" t="n">
        <f aca="false">AC21-(AQ21/1.9835)+AS22</f>
        <v>1088.70413481508</v>
      </c>
      <c r="AD22" s="226" t="n">
        <f aca="false">AD21</f>
        <v>4858.65512901258</v>
      </c>
      <c r="AE22" s="142" t="n">
        <v>217</v>
      </c>
      <c r="AF22" s="262" t="n">
        <v>1.7</v>
      </c>
      <c r="AG22" s="263" t="n">
        <v>1.3</v>
      </c>
      <c r="AH22" s="142" t="n">
        <v>50</v>
      </c>
      <c r="AI22" s="113" t="n">
        <f aca="false">AI21-AH22</f>
        <v>10393.0492311571</v>
      </c>
      <c r="AJ22" s="113"/>
      <c r="AK22" s="141" t="n">
        <f aca="false">N22+O22+P22+Q22+R22+S22+T22+U22+X22+AE22+AH22-AR22</f>
        <v>790.13</v>
      </c>
      <c r="AL22" s="142" t="n">
        <f aca="false">IF(L22&lt;0,L22*-1,0)</f>
        <v>37.1523292160323</v>
      </c>
      <c r="AM22" s="142" t="n">
        <f aca="false">AK22+AL22</f>
        <v>827.282329216032</v>
      </c>
      <c r="AN22" s="231"/>
      <c r="AO22" s="226"/>
      <c r="AP22" s="157" t="n">
        <f aca="false">I22-Q22-R22-X22-AF22</f>
        <v>-269.477114805961</v>
      </c>
      <c r="AQ22" s="171" t="n">
        <f aca="false">61.682*(Z22*1.9835+AC22*1.9835)/E22</f>
        <v>17.4575140207107</v>
      </c>
      <c r="AR22" s="200" t="n">
        <v>33.2103988997351</v>
      </c>
      <c r="AS22" s="158" t="n">
        <f aca="false">BA22</f>
        <v>9.18</v>
      </c>
      <c r="AT22" s="5" t="n">
        <v>2.17</v>
      </c>
      <c r="AU22" s="4"/>
      <c r="AV22" s="330" t="n">
        <v>0</v>
      </c>
      <c r="AW22" s="226" t="n">
        <v>93</v>
      </c>
      <c r="AX22" s="226" t="n">
        <v>56</v>
      </c>
      <c r="AY22" s="148"/>
      <c r="AZ22" s="264" t="n">
        <f aca="false">SUM(N22,P22:U22)</f>
        <v>10.6678912688444</v>
      </c>
      <c r="BA22" s="1" t="n">
        <v>9.18</v>
      </c>
      <c r="BB22" s="470" t="n">
        <v>16484</v>
      </c>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92" t="n">
        <f aca="false">A22+1</f>
        <v>9</v>
      </c>
      <c r="B23" s="112" t="n">
        <v>6893.94</v>
      </c>
      <c r="C23" s="113" t="n">
        <v>261757</v>
      </c>
      <c r="D23" s="226" t="n">
        <f aca="false">C23-C22</f>
        <v>-1339</v>
      </c>
      <c r="E23" s="113" t="n">
        <f aca="false">C23-152000</f>
        <v>109757</v>
      </c>
      <c r="F23" s="260" t="n">
        <f aca="false">D23/$D$2</f>
        <v>-675.069321905722</v>
      </c>
      <c r="G23" s="142" t="n">
        <v>186</v>
      </c>
      <c r="H23" s="143" t="n">
        <v>0</v>
      </c>
      <c r="I23" s="142" t="n">
        <f aca="false">G23+H23</f>
        <v>186</v>
      </c>
      <c r="J23" s="143" t="n">
        <f aca="false">IF(L23&gt;0,L23,0)</f>
        <v>0</v>
      </c>
      <c r="K23" s="142" t="n">
        <f aca="false">I23+J23</f>
        <v>186</v>
      </c>
      <c r="L23" s="142" t="n">
        <f aca="false">F23-(I23-AK23)</f>
        <v>-55.7193219057223</v>
      </c>
      <c r="M23" s="262" t="n">
        <v>327</v>
      </c>
      <c r="N23" s="171" t="n">
        <f aca="false">1/$D$2*1.03</f>
        <v>0.519284093773632</v>
      </c>
      <c r="O23" s="142" t="n">
        <f aca="false">95.4*1.05</f>
        <v>100.17</v>
      </c>
      <c r="P23" s="171" t="n">
        <v>0</v>
      </c>
      <c r="Q23" s="346" t="n">
        <f aca="false">1808300/325851/1.9835*1.02</f>
        <v>2.85377277924447</v>
      </c>
      <c r="R23" s="138" t="n">
        <v>4.2</v>
      </c>
      <c r="S23" s="138" t="n">
        <f aca="false">((6.8*1.04)-T23)-4.2</f>
        <v>1.40646944</v>
      </c>
      <c r="T23" s="138" t="n">
        <f aca="false">(1.3294*1.06)*1.04</f>
        <v>1.46553056</v>
      </c>
      <c r="U23" s="365" t="n">
        <v>0</v>
      </c>
      <c r="V23" s="142" t="n">
        <v>138</v>
      </c>
      <c r="W23" s="142" t="n">
        <v>69.7</v>
      </c>
      <c r="X23" s="142" t="n">
        <f aca="false">M23-N23-O23-P23-Q23-R23-S23-T23-U23+V23+W23-AT23+AR23</f>
        <v>454.945342026717</v>
      </c>
      <c r="Y23" s="142" t="n">
        <f aca="false">X23-AO23</f>
        <v>454.945342026717</v>
      </c>
      <c r="Z23" s="113" t="n">
        <f aca="false">Z22+AP23</f>
        <v>14485.8196440234</v>
      </c>
      <c r="AA23" s="142" t="n">
        <f aca="false">(-AP23)</f>
        <v>277.699114805961</v>
      </c>
      <c r="AB23" s="113"/>
      <c r="AC23" s="113" t="n">
        <f aca="false">AC22-(AQ22/1.9835)+AS23</f>
        <v>1089.16276651626</v>
      </c>
      <c r="AD23" s="226" t="n">
        <f aca="false">AD22</f>
        <v>4858.65512901258</v>
      </c>
      <c r="AE23" s="142" t="n">
        <v>223</v>
      </c>
      <c r="AF23" s="262" t="n">
        <v>1.7</v>
      </c>
      <c r="AG23" s="263" t="n">
        <v>1.3</v>
      </c>
      <c r="AH23" s="142" t="n">
        <v>50</v>
      </c>
      <c r="AI23" s="113" t="n">
        <f aca="false">AI22-AH23</f>
        <v>10343.0492311571</v>
      </c>
      <c r="AJ23" s="113"/>
      <c r="AK23" s="141" t="n">
        <f aca="false">N23+O23+P23+Q23+R23+S23+T23+U23+X23+AE23+AH23-AR23</f>
        <v>805.35</v>
      </c>
      <c r="AL23" s="142" t="n">
        <f aca="false">IF(L23&lt;0,L23*-1,0)</f>
        <v>55.7193219057223</v>
      </c>
      <c r="AM23" s="142" t="n">
        <f aca="false">AK23+AL23</f>
        <v>861.069321905722</v>
      </c>
      <c r="AN23" s="231"/>
      <c r="AO23" s="226"/>
      <c r="AP23" s="157" t="n">
        <f aca="false">I23-Q23-R23-X23-AF23</f>
        <v>-277.699114805961</v>
      </c>
      <c r="AQ23" s="171" t="n">
        <f aca="false">48.772*(Z23*1.9835+AC23*1.9835)/E23</f>
        <v>13.727710342471</v>
      </c>
      <c r="AR23" s="200" t="n">
        <v>33.2103988997351</v>
      </c>
      <c r="AS23" s="158" t="n">
        <f aca="false">BA23</f>
        <v>9.26</v>
      </c>
      <c r="AT23" s="5" t="n">
        <v>2.35</v>
      </c>
      <c r="AU23" s="4"/>
      <c r="AV23" s="330" t="n">
        <v>0</v>
      </c>
      <c r="AW23" s="232" t="n">
        <v>88</v>
      </c>
      <c r="AX23" s="226" t="n">
        <v>55</v>
      </c>
      <c r="AY23" s="148"/>
      <c r="AZ23" s="264" t="n">
        <f aca="false">SUM(N23,P23:U23)</f>
        <v>10.4450568730181</v>
      </c>
      <c r="BA23" s="1" t="n">
        <v>9.26</v>
      </c>
      <c r="BB23" s="470" t="n">
        <v>16469</v>
      </c>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92" t="n">
        <f aca="false">A23+1</f>
        <v>10</v>
      </c>
      <c r="B24" s="112" t="n">
        <v>6893.58</v>
      </c>
      <c r="C24" s="113" t="n">
        <v>260498</v>
      </c>
      <c r="D24" s="226" t="n">
        <f aca="false">C24-C23</f>
        <v>-1259</v>
      </c>
      <c r="E24" s="113" t="n">
        <f aca="false">C24-152000</f>
        <v>108498</v>
      </c>
      <c r="F24" s="260" t="n">
        <f aca="false">D24/$D$2</f>
        <v>-634.736576758256</v>
      </c>
      <c r="G24" s="142" t="n">
        <v>238</v>
      </c>
      <c r="H24" s="143" t="n">
        <v>0</v>
      </c>
      <c r="I24" s="142" t="n">
        <f aca="false">G24+H24</f>
        <v>238</v>
      </c>
      <c r="J24" s="143" t="n">
        <f aca="false">IF(L24&gt;0,L24,0)</f>
        <v>0</v>
      </c>
      <c r="K24" s="142" t="n">
        <f aca="false">I24+J24</f>
        <v>238</v>
      </c>
      <c r="L24" s="142" t="n">
        <f aca="false">F24-(I24-AK24)</f>
        <v>-66.8365767582557</v>
      </c>
      <c r="M24" s="262" t="n">
        <v>318</v>
      </c>
      <c r="N24" s="171" t="n">
        <f aca="false">1/$D$2*1.03</f>
        <v>0.519284093773632</v>
      </c>
      <c r="O24" s="142" t="n">
        <f aca="false">86.2*1.05</f>
        <v>90.51</v>
      </c>
      <c r="P24" s="171" t="n">
        <v>0</v>
      </c>
      <c r="Q24" s="346" t="n">
        <f aca="false">1749200/325851/1.9835*1.02</f>
        <v>2.76050397912649</v>
      </c>
      <c r="R24" s="138" t="n">
        <v>4.2</v>
      </c>
      <c r="S24" s="138" t="n">
        <f aca="false">((7.8*1.04)-T24)-4.2</f>
        <v>2.44646944</v>
      </c>
      <c r="T24" s="138" t="n">
        <f aca="false">(1.3294*1.06)*1.04</f>
        <v>1.46553056</v>
      </c>
      <c r="U24" s="365" t="n">
        <v>0</v>
      </c>
      <c r="V24" s="142" t="n">
        <v>141</v>
      </c>
      <c r="W24" s="142" t="n">
        <v>69.4</v>
      </c>
      <c r="X24" s="142" t="n">
        <f aca="false">M24-N24-O24-P24-Q24-R24-S24-T24-U24+V24+W24-AT24+AR24</f>
        <v>457.208610826835</v>
      </c>
      <c r="Y24" s="142" t="n">
        <f aca="false">X24-AO24</f>
        <v>457.208610826835</v>
      </c>
      <c r="Z24" s="113" t="n">
        <f aca="false">Z23+AP24</f>
        <v>14257.9505292174</v>
      </c>
      <c r="AA24" s="142" t="n">
        <f aca="false">(-AP24)</f>
        <v>227.869114805961</v>
      </c>
      <c r="AB24" s="113"/>
      <c r="AC24" s="113" t="n">
        <f aca="false">AC23-(AQ23/1.9835)+AS24</f>
        <v>1091.8118134825</v>
      </c>
      <c r="AD24" s="226" t="n">
        <f aca="false">AD23</f>
        <v>4858.65512901258</v>
      </c>
      <c r="AE24" s="142" t="n">
        <v>230</v>
      </c>
      <c r="AF24" s="262" t="n">
        <v>1.7</v>
      </c>
      <c r="AG24" s="263" t="n">
        <v>1.3</v>
      </c>
      <c r="AH24" s="142" t="n">
        <v>50</v>
      </c>
      <c r="AI24" s="113" t="n">
        <f aca="false">AI23-AH24</f>
        <v>10293.0492311571</v>
      </c>
      <c r="AJ24" s="113"/>
      <c r="AK24" s="141" t="n">
        <f aca="false">N24+O24+P24+Q24+R24+S24+T24+U24+X24+AE24+AH24-AR24</f>
        <v>805.9</v>
      </c>
      <c r="AL24" s="142" t="n">
        <f aca="false">IF(L24&lt;0,L24*-1,0)</f>
        <v>66.8365767582557</v>
      </c>
      <c r="AM24" s="142" t="n">
        <f aca="false">AK24+AL24</f>
        <v>872.736576758256</v>
      </c>
      <c r="AN24" s="231"/>
      <c r="AO24" s="226"/>
      <c r="AP24" s="157" t="n">
        <f aca="false">I24-Q24-R24-X24-AF24</f>
        <v>-227.869114805961</v>
      </c>
      <c r="AQ24" s="171" t="n">
        <f aca="false">45.493*(Z24*1.9835+AC24*1.9835)/E24</f>
        <v>12.7660548151271</v>
      </c>
      <c r="AR24" s="200" t="n">
        <v>33.2103988997351</v>
      </c>
      <c r="AS24" s="158" t="n">
        <f aca="false">BA24</f>
        <v>9.57</v>
      </c>
      <c r="AT24" s="5" t="n">
        <v>2.5</v>
      </c>
      <c r="AU24" s="4"/>
      <c r="AV24" s="330" t="n">
        <v>0</v>
      </c>
      <c r="AW24" s="226" t="n">
        <v>90</v>
      </c>
      <c r="AX24" s="226" t="n">
        <v>54</v>
      </c>
      <c r="AY24" s="148"/>
      <c r="AZ24" s="264" t="n">
        <f aca="false">SUM(N24,P24:U24)</f>
        <v>11.3917880729001</v>
      </c>
      <c r="BA24" s="1" t="n">
        <v>9.57</v>
      </c>
      <c r="BB24" s="470" t="n">
        <v>16448</v>
      </c>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92" t="n">
        <f aca="false">A24+1</f>
        <v>11</v>
      </c>
      <c r="B25" s="112" t="n">
        <v>6893.2</v>
      </c>
      <c r="C25" s="113" t="n">
        <v>259169</v>
      </c>
      <c r="D25" s="226" t="n">
        <f aca="false">C25-C24</f>
        <v>-1329</v>
      </c>
      <c r="E25" s="113" t="n">
        <f aca="false">C25-152000</f>
        <v>107169</v>
      </c>
      <c r="F25" s="260" t="n">
        <f aca="false">D25/$D$2</f>
        <v>-670.027728762289</v>
      </c>
      <c r="G25" s="142" t="n">
        <v>201</v>
      </c>
      <c r="H25" s="143" t="n">
        <v>0</v>
      </c>
      <c r="I25" s="142" t="n">
        <f aca="false">G25+H25</f>
        <v>201</v>
      </c>
      <c r="J25" s="143" t="n">
        <f aca="false">IF(L25&gt;0,L25,0)</f>
        <v>0</v>
      </c>
      <c r="K25" s="142" t="n">
        <f aca="false">I25+J25</f>
        <v>201</v>
      </c>
      <c r="L25" s="142" t="n">
        <f aca="false">F25-(I25-AK25)</f>
        <v>-59.0977287622889</v>
      </c>
      <c r="M25" s="262" t="n">
        <v>331</v>
      </c>
      <c r="N25" s="171" t="n">
        <f aca="false">1/$D$2*1.03</f>
        <v>0.519284093773632</v>
      </c>
      <c r="O25" s="142" t="n">
        <f aca="false">87.2*1.05</f>
        <v>91.56</v>
      </c>
      <c r="P25" s="171" t="n">
        <v>0</v>
      </c>
      <c r="Q25" s="346" t="n">
        <f aca="false">2030600/325851/1.9835*1.02</f>
        <v>3.20459603248013</v>
      </c>
      <c r="R25" s="138" t="n">
        <v>4.2</v>
      </c>
      <c r="S25" s="138" t="n">
        <f aca="false">((7.7*1.04)-T25)-4.2</f>
        <v>2.30851552</v>
      </c>
      <c r="T25" s="138" t="n">
        <f aca="false">(1.3602*1.06)*1.04</f>
        <v>1.49948448</v>
      </c>
      <c r="U25" s="365" t="n">
        <v>0</v>
      </c>
      <c r="V25" s="142" t="n">
        <v>136</v>
      </c>
      <c r="W25" s="142" t="n">
        <v>69.3</v>
      </c>
      <c r="X25" s="142" t="n">
        <f aca="false">M25-N25-O25-P25-Q25-R25-S25-T25-U25+V25+W25-AT25+AR25</f>
        <v>463.848518773481</v>
      </c>
      <c r="Y25" s="142" t="n">
        <f aca="false">X25-AO25</f>
        <v>463.848518773481</v>
      </c>
      <c r="Z25" s="113" t="n">
        <f aca="false">Z24+AP25</f>
        <v>13985.9974144114</v>
      </c>
      <c r="AA25" s="142" t="n">
        <f aca="false">(-AP25)</f>
        <v>271.953114805961</v>
      </c>
      <c r="AB25" s="113"/>
      <c r="AC25" s="113" t="n">
        <f aca="false">AC24-(AQ24/1.9835)+AS25</f>
        <v>1095.03568804003</v>
      </c>
      <c r="AD25" s="226" t="n">
        <f aca="false">AD24</f>
        <v>4858.65512901258</v>
      </c>
      <c r="AE25" s="142" t="n">
        <v>228</v>
      </c>
      <c r="AF25" s="262" t="n">
        <v>1.7</v>
      </c>
      <c r="AG25" s="263" t="n">
        <v>1.3</v>
      </c>
      <c r="AH25" s="142" t="n">
        <v>50</v>
      </c>
      <c r="AI25" s="113" t="n">
        <f aca="false">AI24-AH25</f>
        <v>10243.0492311571</v>
      </c>
      <c r="AJ25" s="113"/>
      <c r="AK25" s="141" t="n">
        <f aca="false">N25+O25+P25+Q25+R25+S25+T25+U25+X25+AE25+AH25-AR25</f>
        <v>811.93</v>
      </c>
      <c r="AL25" s="142" t="n">
        <f aca="false">IF(L25&lt;0,L25*-1,0)</f>
        <v>59.0977287622889</v>
      </c>
      <c r="AM25" s="142" t="n">
        <f aca="false">AK25+AL25</f>
        <v>871.027728762289</v>
      </c>
      <c r="AN25" s="231"/>
      <c r="AO25" s="226"/>
      <c r="AP25" s="157" t="n">
        <f aca="false">I25-Q25-R25-X25-AF25</f>
        <v>-271.953114805961</v>
      </c>
      <c r="AQ25" s="171" t="n">
        <f aca="false">69.669*(Z25*1.9835+AC25*1.9835)/E25</f>
        <v>19.4461529197654</v>
      </c>
      <c r="AR25" s="200" t="n">
        <v>33.2103988997351</v>
      </c>
      <c r="AS25" s="158" t="n">
        <f aca="false">BA25</f>
        <v>9.66</v>
      </c>
      <c r="AT25" s="5" t="n">
        <v>2.37</v>
      </c>
      <c r="AU25" s="4"/>
      <c r="AV25" s="330" t="n">
        <v>0</v>
      </c>
      <c r="AW25" s="226" t="n">
        <v>90</v>
      </c>
      <c r="AX25" s="226" t="n">
        <v>58</v>
      </c>
      <c r="AY25" s="148"/>
      <c r="AZ25" s="264" t="n">
        <f aca="false">SUM(N25,P25:U25)</f>
        <v>11.7318801262538</v>
      </c>
      <c r="BA25" s="1" t="n">
        <v>9.66</v>
      </c>
      <c r="BB25" s="470" t="n">
        <v>16424</v>
      </c>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92" t="n">
        <f aca="false">A25+1</f>
        <v>12</v>
      </c>
      <c r="B26" s="112" t="n">
        <v>6892.8</v>
      </c>
      <c r="C26" s="113" t="n">
        <v>257776</v>
      </c>
      <c r="D26" s="226" t="n">
        <f aca="false">C26-C25</f>
        <v>-1393</v>
      </c>
      <c r="E26" s="113" t="n">
        <f aca="false">C26-152000</f>
        <v>105776</v>
      </c>
      <c r="F26" s="260" t="n">
        <f aca="false">D26/$D$2</f>
        <v>-702.293924880262</v>
      </c>
      <c r="G26" s="142" t="n">
        <v>183</v>
      </c>
      <c r="H26" s="143" t="n">
        <v>0</v>
      </c>
      <c r="I26" s="142" t="n">
        <f aca="false">G26+H26</f>
        <v>183</v>
      </c>
      <c r="J26" s="143" t="n">
        <f aca="false">IF(L26&gt;0,L26,0)</f>
        <v>0</v>
      </c>
      <c r="K26" s="142" t="n">
        <f aca="false">I26+J26</f>
        <v>183</v>
      </c>
      <c r="L26" s="142" t="n">
        <f aca="false">F26-(I26-AK26)</f>
        <v>-61.633924880262</v>
      </c>
      <c r="M26" s="262" t="n">
        <v>335</v>
      </c>
      <c r="N26" s="171" t="n">
        <f aca="false">1/$D$2*1.03</f>
        <v>0.519284093773632</v>
      </c>
      <c r="O26" s="142" t="n">
        <f aca="false">93.4*1.05</f>
        <v>98.07</v>
      </c>
      <c r="P26" s="171" t="n">
        <v>0</v>
      </c>
      <c r="Q26" s="346" t="n">
        <f aca="false">1965400/325851/1.9835*1.02</f>
        <v>3.10170050341596</v>
      </c>
      <c r="R26" s="138" t="n">
        <v>4.2</v>
      </c>
      <c r="S26" s="138" t="n">
        <f aca="false">((7.5*1.04)-T26)-4.2</f>
        <v>2.10051552</v>
      </c>
      <c r="T26" s="138" t="n">
        <f aca="false">(1.3602*1.06)*1.04</f>
        <v>1.49948448</v>
      </c>
      <c r="U26" s="365" t="n">
        <v>0</v>
      </c>
      <c r="V26" s="142" t="n">
        <v>134</v>
      </c>
      <c r="W26" s="142" t="n">
        <v>68.1</v>
      </c>
      <c r="X26" s="142" t="n">
        <f aca="false">M26-N26-O26-P26-Q26-R26-S26-T26-U26+V26+W26-AT26+AR26</f>
        <v>458.379414302546</v>
      </c>
      <c r="Y26" s="142" t="n">
        <f aca="false">X26-AO26</f>
        <v>458.379414302546</v>
      </c>
      <c r="Z26" s="113" t="n">
        <f aca="false">Z25+AP26</f>
        <v>13701.6162996055</v>
      </c>
      <c r="AA26" s="142" t="n">
        <f aca="false">(-AP26)</f>
        <v>284.381114805961</v>
      </c>
      <c r="AB26" s="113"/>
      <c r="AC26" s="113" t="n">
        <f aca="false">AC25-(AQ25/1.9835)+AS26</f>
        <v>1094.98172891739</v>
      </c>
      <c r="AD26" s="226" t="n">
        <f aca="false">AD25</f>
        <v>4858.65512901258</v>
      </c>
      <c r="AE26" s="142" t="n">
        <v>239</v>
      </c>
      <c r="AF26" s="262" t="n">
        <v>1.7</v>
      </c>
      <c r="AG26" s="263" t="n">
        <v>1.3</v>
      </c>
      <c r="AH26" s="142" t="n">
        <v>50</v>
      </c>
      <c r="AI26" s="113" t="n">
        <f aca="false">AI25-AH26</f>
        <v>10193.0492311571</v>
      </c>
      <c r="AJ26" s="113"/>
      <c r="AK26" s="141" t="n">
        <f aca="false">N26+O26+P26+Q26+R26+S26+T26+U26+X26+AE26+AH26-AR26</f>
        <v>823.66</v>
      </c>
      <c r="AL26" s="142" t="n">
        <f aca="false">IF(L26&lt;0,L26*-1,0)</f>
        <v>61.633924880262</v>
      </c>
      <c r="AM26" s="142" t="n">
        <f aca="false">AK26+AL26</f>
        <v>885.293924880262</v>
      </c>
      <c r="AN26" s="231"/>
      <c r="AO26" s="226"/>
      <c r="AP26" s="157" t="n">
        <f aca="false">I26-Q26-R26-X26-AF26</f>
        <v>-284.381114805961</v>
      </c>
      <c r="AQ26" s="171" t="n">
        <f aca="false">68.044*(Z26*1.9835+AC26*1.9835)/E26</f>
        <v>18.8797733624589</v>
      </c>
      <c r="AR26" s="200" t="n">
        <v>33.2103988997351</v>
      </c>
      <c r="AS26" s="158" t="n">
        <f aca="false">BA26</f>
        <v>9.75</v>
      </c>
      <c r="AT26" s="5" t="n">
        <v>2.44</v>
      </c>
      <c r="AU26" s="4"/>
      <c r="AV26" s="330" t="n">
        <v>0</v>
      </c>
      <c r="AW26" s="226" t="n">
        <v>92</v>
      </c>
      <c r="AX26" s="226" t="n">
        <v>59</v>
      </c>
      <c r="AY26" s="148"/>
      <c r="AZ26" s="264" t="n">
        <f aca="false">SUM(N26,P26:U26)</f>
        <v>11.4209845971896</v>
      </c>
      <c r="BA26" s="1" t="n">
        <v>9.75</v>
      </c>
      <c r="BB26" s="470" t="n">
        <v>16398</v>
      </c>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92" t="n">
        <f aca="false">A26+1</f>
        <v>13</v>
      </c>
      <c r="B27" s="112" t="n">
        <v>6892.46</v>
      </c>
      <c r="C27" s="113" t="n">
        <v>256597</v>
      </c>
      <c r="D27" s="226" t="n">
        <f aca="false">C27-C26</f>
        <v>-1179</v>
      </c>
      <c r="E27" s="113" t="n">
        <f aca="false">C27-152000</f>
        <v>104597</v>
      </c>
      <c r="F27" s="260" t="n">
        <f aca="false">D27/$D$2</f>
        <v>-594.403831610789</v>
      </c>
      <c r="G27" s="142" t="n">
        <v>195</v>
      </c>
      <c r="H27" s="143" t="n">
        <v>0</v>
      </c>
      <c r="I27" s="142" t="n">
        <f aca="false">G27+H27</f>
        <v>195</v>
      </c>
      <c r="J27" s="143" t="n">
        <f aca="false">IF(L27&gt;0,L27,0)</f>
        <v>0</v>
      </c>
      <c r="K27" s="142" t="n">
        <f aca="false">I27+J27</f>
        <v>195</v>
      </c>
      <c r="L27" s="142" t="n">
        <f aca="false">F27-(I27-AK27)</f>
        <v>-12.303831610789</v>
      </c>
      <c r="M27" s="262" t="n">
        <v>326</v>
      </c>
      <c r="N27" s="171" t="n">
        <f aca="false">1/$D$2*1.03</f>
        <v>0.519284093773632</v>
      </c>
      <c r="O27" s="142" t="n">
        <f aca="false">90.5*1.05</f>
        <v>95.025</v>
      </c>
      <c r="P27" s="171" t="n">
        <v>0</v>
      </c>
      <c r="Q27" s="346" t="n">
        <f aca="false">2048800/325851/1.9835*1.02</f>
        <v>3.23331840409007</v>
      </c>
      <c r="R27" s="138" t="n">
        <v>4.2</v>
      </c>
      <c r="S27" s="138" t="n">
        <f aca="false">((7.7*1.04)-T27)-4.2</f>
        <v>2.30851552</v>
      </c>
      <c r="T27" s="138" t="n">
        <f aca="false">(1.3602*1.06)*1.04</f>
        <v>1.49948448</v>
      </c>
      <c r="U27" s="365" t="n">
        <v>0</v>
      </c>
      <c r="V27" s="142" t="n">
        <v>134</v>
      </c>
      <c r="W27" s="142" t="n">
        <v>68.6</v>
      </c>
      <c r="X27" s="142" t="n">
        <f aca="false">M27-N27-O27-P27-Q27-R27-S27-T27-U27+V27+W27-AT27+AR27</f>
        <v>452.524796401871</v>
      </c>
      <c r="Y27" s="142" t="n">
        <f aca="false">X27-AO27</f>
        <v>452.524796401871</v>
      </c>
      <c r="Z27" s="113" t="n">
        <f aca="false">Z26+AP27</f>
        <v>13434.9581847995</v>
      </c>
      <c r="AA27" s="142" t="n">
        <f aca="false">(-AP27)</f>
        <v>266.658114805961</v>
      </c>
      <c r="AB27" s="113"/>
      <c r="AC27" s="113" t="n">
        <f aca="false">AC26-(AQ26/1.9835)+AS27</f>
        <v>1095.18331532401</v>
      </c>
      <c r="AD27" s="226" t="n">
        <f aca="false">AD26</f>
        <v>4858.65512901258</v>
      </c>
      <c r="AE27" s="142" t="n">
        <v>201</v>
      </c>
      <c r="AF27" s="262" t="n">
        <v>1.7</v>
      </c>
      <c r="AG27" s="263" t="n">
        <v>1.3</v>
      </c>
      <c r="AH27" s="142" t="n">
        <v>50</v>
      </c>
      <c r="AI27" s="113" t="n">
        <f aca="false">AI26-AH27</f>
        <v>10143.0492311571</v>
      </c>
      <c r="AJ27" s="113"/>
      <c r="AK27" s="141" t="n">
        <f aca="false">N27+O27+P27+Q27+R27+S27+T27+U27+X27+AE27+AH27-AR27</f>
        <v>777.1</v>
      </c>
      <c r="AL27" s="142" t="n">
        <f aca="false">IF(L27&lt;0,L27*-1,0)</f>
        <v>12.303831610789</v>
      </c>
      <c r="AM27" s="142" t="n">
        <f aca="false">AK27+AL27</f>
        <v>789.403831610789</v>
      </c>
      <c r="AN27" s="231"/>
      <c r="AO27" s="226"/>
      <c r="AP27" s="157" t="n">
        <f aca="false">I27-Q27-R27-X27-AF27</f>
        <v>-266.658114805961</v>
      </c>
      <c r="AQ27" s="171" t="n">
        <f aca="false">56.753*(Z27*1.9835+AC27*1.9835)/E27</f>
        <v>15.6376555792598</v>
      </c>
      <c r="AR27" s="200" t="n">
        <v>33.2103988997351</v>
      </c>
      <c r="AS27" s="158" t="n">
        <f aca="false">BA27</f>
        <v>9.72</v>
      </c>
      <c r="AT27" s="5" t="n">
        <v>2.5</v>
      </c>
      <c r="AU27" s="4"/>
      <c r="AV27" s="330" t="n">
        <v>0</v>
      </c>
      <c r="AW27" s="226" t="n">
        <v>92</v>
      </c>
      <c r="AX27" s="226" t="n">
        <v>58</v>
      </c>
      <c r="AY27" s="148"/>
      <c r="AZ27" s="264" t="n">
        <f aca="false">SUM(N27,P27:U27)</f>
        <v>11.7606024978637</v>
      </c>
      <c r="BA27" s="1" t="n">
        <v>9.72</v>
      </c>
      <c r="BB27" s="470" t="n">
        <v>16382</v>
      </c>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92" t="n">
        <f aca="false">A27+1</f>
        <v>14</v>
      </c>
      <c r="B28" s="112" t="n">
        <v>6892.08</v>
      </c>
      <c r="C28" s="113" t="n">
        <v>255280</v>
      </c>
      <c r="D28" s="226" t="n">
        <f aca="false">C28-C27</f>
        <v>-1317</v>
      </c>
      <c r="E28" s="113" t="n">
        <f aca="false">C28-152000</f>
        <v>103280</v>
      </c>
      <c r="F28" s="260" t="n">
        <f aca="false">D28/$D$2</f>
        <v>-663.977816990169</v>
      </c>
      <c r="G28" s="142" t="n">
        <v>182</v>
      </c>
      <c r="H28" s="143" t="n">
        <v>0</v>
      </c>
      <c r="I28" s="142" t="n">
        <f aca="false">G28+H28</f>
        <v>182</v>
      </c>
      <c r="J28" s="143" t="n">
        <f aca="false">IF(L28&gt;0,L28,0)</f>
        <v>0</v>
      </c>
      <c r="K28" s="142" t="n">
        <f aca="false">I28+J28</f>
        <v>182</v>
      </c>
      <c r="L28" s="142" t="n">
        <f aca="false">F28-(I28-AK28)</f>
        <v>-53.2678169901689</v>
      </c>
      <c r="M28" s="262" t="n">
        <v>321</v>
      </c>
      <c r="N28" s="171" t="n">
        <f aca="false">1/$D$2*1.03</f>
        <v>0.519284093773632</v>
      </c>
      <c r="O28" s="142" t="n">
        <f aca="false">89.1*1.05</f>
        <v>93.555</v>
      </c>
      <c r="P28" s="171" t="n">
        <v>0</v>
      </c>
      <c r="Q28" s="346" t="n">
        <f aca="false">1771300/325851/1.9835*1.02</f>
        <v>2.79538114465284</v>
      </c>
      <c r="R28" s="138" t="n">
        <v>4.2</v>
      </c>
      <c r="S28" s="138" t="n">
        <f aca="false">((5.5*1.04)-T28)-4.2</f>
        <v>0.02051552</v>
      </c>
      <c r="T28" s="138" t="n">
        <f aca="false">(1.3602*1.06)*1.04</f>
        <v>1.49948448</v>
      </c>
      <c r="U28" s="365" t="n">
        <v>0</v>
      </c>
      <c r="V28" s="142" t="n">
        <v>131</v>
      </c>
      <c r="W28" s="142" t="n">
        <v>70.1</v>
      </c>
      <c r="X28" s="142" t="n">
        <f aca="false">M28-N28-O28-P28-Q28-R28-S28-T28-U28+V28+W28-AT28+AR28</f>
        <v>450.330733661309</v>
      </c>
      <c r="Y28" s="142" t="n">
        <f aca="false">X28-AO28</f>
        <v>450.330733661309</v>
      </c>
      <c r="Z28" s="113" t="n">
        <f aca="false">Z27+AP28</f>
        <v>13157.9320699936</v>
      </c>
      <c r="AA28" s="142" t="n">
        <f aca="false">(-AP28)</f>
        <v>277.026114805961</v>
      </c>
      <c r="AB28" s="113"/>
      <c r="AC28" s="113" t="n">
        <f aca="false">AC27-(AQ27/1.9835)+AS28</f>
        <v>1097.39944560924</v>
      </c>
      <c r="AD28" s="226" t="n">
        <f aca="false">AD27</f>
        <v>4858.65512901258</v>
      </c>
      <c r="AE28" s="142" t="n">
        <v>223</v>
      </c>
      <c r="AF28" s="262" t="n">
        <v>1.7</v>
      </c>
      <c r="AG28" s="263" t="n">
        <v>1.3</v>
      </c>
      <c r="AH28" s="142" t="n">
        <v>50</v>
      </c>
      <c r="AI28" s="113" t="n">
        <f aca="false">AI27-AH28</f>
        <v>10093.0492311571</v>
      </c>
      <c r="AJ28" s="113"/>
      <c r="AK28" s="141" t="n">
        <f aca="false">N28+O28+P28+Q28+R28+S28+T28+U28+X28+AE28+AH28-AR28</f>
        <v>792.71</v>
      </c>
      <c r="AL28" s="142" t="n">
        <f aca="false">IF(L28&lt;0,L28*-1,0)</f>
        <v>53.2678169901689</v>
      </c>
      <c r="AM28" s="142" t="n">
        <f aca="false">AK28+AL28</f>
        <v>845.977816990169</v>
      </c>
      <c r="AN28" s="231"/>
      <c r="AO28" s="226"/>
      <c r="AP28" s="157" t="n">
        <f aca="false">I28-Q28-R28-X28-AF28</f>
        <v>-277.026114805961</v>
      </c>
      <c r="AQ28" s="171" t="n">
        <f aca="false">63.998*(Z28*1.9835+AC28*1.9835)/E28</f>
        <v>17.521032658952</v>
      </c>
      <c r="AR28" s="200" t="n">
        <v>33.2103988997351</v>
      </c>
      <c r="AS28" s="158" t="n">
        <f aca="false">BA28</f>
        <v>10.1</v>
      </c>
      <c r="AT28" s="5" t="n">
        <v>2.39</v>
      </c>
      <c r="AU28" s="4"/>
      <c r="AV28" s="330" t="n">
        <v>0</v>
      </c>
      <c r="AW28" s="226" t="n">
        <v>93</v>
      </c>
      <c r="AX28" s="226" t="n">
        <v>59</v>
      </c>
      <c r="AY28" s="148"/>
      <c r="AZ28" s="264" t="n">
        <f aca="false">SUM(N28,P28:U28)</f>
        <v>9.03466523842647</v>
      </c>
      <c r="BA28" s="1" t="n">
        <v>10.1</v>
      </c>
      <c r="BB28" s="470" t="n">
        <v>16370</v>
      </c>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92" t="n">
        <f aca="false">A28+1</f>
        <v>15</v>
      </c>
      <c r="B29" s="112" t="n">
        <v>6891.67</v>
      </c>
      <c r="C29" s="113" t="n">
        <v>253870</v>
      </c>
      <c r="D29" s="226" t="n">
        <f aca="false">C29-C28</f>
        <v>-1410</v>
      </c>
      <c r="E29" s="113" t="n">
        <f aca="false">C29-152000</f>
        <v>101870</v>
      </c>
      <c r="F29" s="260" t="n">
        <f aca="false">D29/$D$2</f>
        <v>-710.864633224099</v>
      </c>
      <c r="G29" s="142" t="n">
        <v>173</v>
      </c>
      <c r="H29" s="143" t="n">
        <v>0</v>
      </c>
      <c r="I29" s="142" t="n">
        <f aca="false">G29+H29</f>
        <v>173</v>
      </c>
      <c r="J29" s="143" t="n">
        <f aca="false">IF(L29&gt;0,L29,0)</f>
        <v>0</v>
      </c>
      <c r="K29" s="142" t="n">
        <f aca="false">I29+J29</f>
        <v>173</v>
      </c>
      <c r="L29" s="142" t="n">
        <f aca="false">F29-(I29-AK29)</f>
        <v>-71.5846332240989</v>
      </c>
      <c r="M29" s="262" t="n">
        <v>329</v>
      </c>
      <c r="N29" s="171" t="n">
        <f aca="false">1/$D$2*1.03</f>
        <v>0.519284093773632</v>
      </c>
      <c r="O29" s="142" t="n">
        <f aca="false">98.7*1.05</f>
        <v>103.635</v>
      </c>
      <c r="P29" s="171" t="n">
        <v>0</v>
      </c>
      <c r="Q29" s="346" t="n">
        <f aca="false">1679800/325851/1.9835*1.02</f>
        <v>2.65098021046002</v>
      </c>
      <c r="R29" s="138" t="n">
        <v>4.2</v>
      </c>
      <c r="S29" s="138" t="n">
        <f aca="false">((5.8*1.04)-T29)-4.2</f>
        <v>0.332515519999999</v>
      </c>
      <c r="T29" s="138" t="n">
        <f aca="false">(1.3602*1.06)*1.04</f>
        <v>1.49948448</v>
      </c>
      <c r="U29" s="365" t="n">
        <v>0</v>
      </c>
      <c r="V29" s="142" t="n">
        <v>129</v>
      </c>
      <c r="W29" s="142" t="n">
        <v>69.9</v>
      </c>
      <c r="X29" s="142" t="n">
        <f aca="false">M29-N29-O29-P29-Q29-R29-S29-T29-U29+V29+W29-AT29+AR29</f>
        <v>445.853134595501</v>
      </c>
      <c r="Y29" s="142" t="n">
        <f aca="false">X29-AO29</f>
        <v>445.853134595501</v>
      </c>
      <c r="Z29" s="113" t="n">
        <f aca="false">Z28+AP29</f>
        <v>12876.5279551876</v>
      </c>
      <c r="AA29" s="142" t="n">
        <f aca="false">(-AP29)</f>
        <v>281.404114805961</v>
      </c>
      <c r="AB29" s="113"/>
      <c r="AC29" s="113" t="n">
        <f aca="false">AC28-(AQ28/1.9835)+AS29</f>
        <v>1098.66605379731</v>
      </c>
      <c r="AD29" s="226" t="n">
        <f aca="false">AD28</f>
        <v>4858.65512901258</v>
      </c>
      <c r="AE29" s="142" t="n">
        <v>237</v>
      </c>
      <c r="AF29" s="262" t="n">
        <v>1.7</v>
      </c>
      <c r="AG29" s="263" t="n">
        <v>1.3</v>
      </c>
      <c r="AH29" s="142" t="n">
        <v>49.8</v>
      </c>
      <c r="AI29" s="113" t="n">
        <f aca="false">AI28-AH29</f>
        <v>10043.2492311571</v>
      </c>
      <c r="AJ29" s="113"/>
      <c r="AK29" s="141" t="n">
        <f aca="false">N29+O29+P29+Q29+R29+S29+T29+U29+X29+AE29+AH29-AR29</f>
        <v>812.28</v>
      </c>
      <c r="AL29" s="142" t="n">
        <f aca="false">IF(L29&lt;0,L29*-1,0)</f>
        <v>71.5846332240989</v>
      </c>
      <c r="AM29" s="142" t="n">
        <f aca="false">AK29+AL29</f>
        <v>883.864633224099</v>
      </c>
      <c r="AN29" s="231"/>
      <c r="AO29" s="226"/>
      <c r="AP29" s="157" t="n">
        <f aca="false">I29-Q29-R29-X29-AF29</f>
        <v>-281.404114805961</v>
      </c>
      <c r="AQ29" s="171" t="n">
        <f aca="false">62.186*(Z29*1.9835+AC29*1.9835)/E29</f>
        <v>16.9214029247459</v>
      </c>
      <c r="AR29" s="200" t="n">
        <v>33.2103988997351</v>
      </c>
      <c r="AS29" s="158" t="n">
        <f aca="false">BA29</f>
        <v>10.1</v>
      </c>
      <c r="AT29" s="5" t="n">
        <v>2.42</v>
      </c>
      <c r="AU29" s="4"/>
      <c r="AV29" s="330" t="n">
        <v>0</v>
      </c>
      <c r="AW29" s="232" t="n">
        <v>87</v>
      </c>
      <c r="AX29" s="226" t="n">
        <v>59</v>
      </c>
      <c r="AY29" s="148"/>
      <c r="AZ29" s="264" t="n">
        <f aca="false">SUM(N29,P29:U29)</f>
        <v>9.20226430423366</v>
      </c>
      <c r="BA29" s="1" t="n">
        <v>10.1</v>
      </c>
      <c r="BB29" s="470" t="n">
        <v>16361</v>
      </c>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75" hidden="false" customHeight="true" outlineLevel="0" collapsed="false">
      <c r="A30" s="192" t="n">
        <f aca="false">A29+1</f>
        <v>16</v>
      </c>
      <c r="B30" s="112" t="n">
        <v>6891.26</v>
      </c>
      <c r="C30" s="113" t="n">
        <v>252462</v>
      </c>
      <c r="D30" s="226" t="n">
        <f aca="false">C30-C29</f>
        <v>-1408</v>
      </c>
      <c r="E30" s="113" t="n">
        <f aca="false">C30-152000</f>
        <v>100462</v>
      </c>
      <c r="F30" s="260" t="n">
        <f aca="false">D30/$D$2</f>
        <v>-709.856314595412</v>
      </c>
      <c r="G30" s="142" t="n">
        <v>157</v>
      </c>
      <c r="H30" s="143" t="n">
        <v>0</v>
      </c>
      <c r="I30" s="142" t="n">
        <f aca="false">G30+H30</f>
        <v>157</v>
      </c>
      <c r="J30" s="143" t="n">
        <f aca="false">IF(L30&gt;0,L30,0)</f>
        <v>0</v>
      </c>
      <c r="K30" s="142" t="n">
        <f aca="false">I30+J30</f>
        <v>157</v>
      </c>
      <c r="L30" s="142" t="n">
        <f aca="false">F30-(I30-AK30)</f>
        <v>-45.6163145954122</v>
      </c>
      <c r="M30" s="262" t="n">
        <v>332</v>
      </c>
      <c r="N30" s="171" t="n">
        <f aca="false">1/$D$2*1.03</f>
        <v>0.519284093773632</v>
      </c>
      <c r="O30" s="142" t="n">
        <f aca="false">98.3*1.05</f>
        <v>103.215</v>
      </c>
      <c r="P30" s="171" t="n">
        <v>0</v>
      </c>
      <c r="Q30" s="346" t="n">
        <f aca="false">2011100/325851/1.9835*1.02</f>
        <v>3.17382206289805</v>
      </c>
      <c r="R30" s="138" t="n">
        <v>4.2</v>
      </c>
      <c r="S30" s="138" t="n">
        <f aca="false">((6.8*1.04)-T30)-4.2</f>
        <v>1.37251552</v>
      </c>
      <c r="T30" s="138" t="n">
        <f aca="false">(1.3602*1.06)*1.04</f>
        <v>1.49948448</v>
      </c>
      <c r="U30" s="365" t="n">
        <v>0</v>
      </c>
      <c r="V30" s="142" t="n">
        <v>131</v>
      </c>
      <c r="W30" s="142" t="n">
        <v>70.6</v>
      </c>
      <c r="X30" s="142" t="n">
        <f aca="false">M30-N30-O30-P30-Q30-R30-S30-T30-U30+V30+W30-AT30+AR30</f>
        <v>450.470292743063</v>
      </c>
      <c r="Y30" s="142" t="n">
        <f aca="false">X30-AO30</f>
        <v>450.470292743063</v>
      </c>
      <c r="Z30" s="113" t="n">
        <f aca="false">Z29+AP30</f>
        <v>12573.9838403816</v>
      </c>
      <c r="AA30" s="142" t="n">
        <f aca="false">(-AP30)</f>
        <v>302.544114805961</v>
      </c>
      <c r="AB30" s="113"/>
      <c r="AC30" s="113" t="n">
        <f aca="false">AC29-(AQ29/1.9835)+AS30</f>
        <v>1100.23497090104</v>
      </c>
      <c r="AD30" s="226" t="n">
        <f aca="false">AD29</f>
        <v>4858.65512901258</v>
      </c>
      <c r="AE30" s="142" t="n">
        <v>240</v>
      </c>
      <c r="AF30" s="262" t="n">
        <v>1.7</v>
      </c>
      <c r="AG30" s="263" t="n">
        <v>1.3</v>
      </c>
      <c r="AH30" s="142" t="n">
        <v>50</v>
      </c>
      <c r="AI30" s="113" t="n">
        <f aca="false">AI29-AH30</f>
        <v>9993.24923115706</v>
      </c>
      <c r="AJ30" s="113"/>
      <c r="AK30" s="141" t="n">
        <f aca="false">N30+O30+P30+Q30+R30+S30+T30+U30+X30+AE30+AH30-AR30</f>
        <v>821.24</v>
      </c>
      <c r="AL30" s="142" t="n">
        <f aca="false">IF(L30&lt;0,L30*-1,0)</f>
        <v>45.6163145954122</v>
      </c>
      <c r="AM30" s="142" t="n">
        <f aca="false">AK30+AL30</f>
        <v>866.856314595412</v>
      </c>
      <c r="AN30" s="231"/>
      <c r="AO30" s="226"/>
      <c r="AP30" s="157" t="n">
        <f aca="false">I30-Q30-R30-X30-AF30</f>
        <v>-302.544114805961</v>
      </c>
      <c r="AQ30" s="171" t="n">
        <f aca="false">38.071*(Z30*1.9835+AC30*1.9835)/E30</f>
        <v>10.2784397502207</v>
      </c>
      <c r="AR30" s="200" t="n">
        <v>33.2103988997351</v>
      </c>
      <c r="AS30" s="158" t="n">
        <f aca="false">BA30</f>
        <v>10.1</v>
      </c>
      <c r="AT30" s="5" t="n">
        <v>2.36</v>
      </c>
      <c r="AU30" s="4"/>
      <c r="AV30" s="330" t="n">
        <v>0</v>
      </c>
      <c r="AW30" s="232" t="n">
        <v>89</v>
      </c>
      <c r="AX30" s="226" t="n">
        <v>57</v>
      </c>
      <c r="AY30" s="148"/>
      <c r="AZ30" s="264" t="n">
        <f aca="false">SUM(N30,P30:U30)</f>
        <v>10.7651061566717</v>
      </c>
      <c r="BA30" s="1" t="n">
        <v>10.1</v>
      </c>
      <c r="BB30" s="470" t="n">
        <v>16369</v>
      </c>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92" t="n">
        <f aca="false">A30+1</f>
        <v>17</v>
      </c>
      <c r="B31" s="112" t="n">
        <v>6890.82</v>
      </c>
      <c r="C31" s="113" t="n">
        <v>250957</v>
      </c>
      <c r="D31" s="226" t="n">
        <f aca="false">C31-C30</f>
        <v>-1505</v>
      </c>
      <c r="E31" s="113" t="n">
        <f aca="false">C31-152000</f>
        <v>98957</v>
      </c>
      <c r="F31" s="260" t="n">
        <f aca="false">D31/$D$2</f>
        <v>-758.759768086715</v>
      </c>
      <c r="G31" s="142" t="n">
        <v>149</v>
      </c>
      <c r="H31" s="143" t="n">
        <v>0</v>
      </c>
      <c r="I31" s="142" t="n">
        <f aca="false">G31+H31</f>
        <v>149</v>
      </c>
      <c r="J31" s="143" t="n">
        <f aca="false">IF(L31&gt;0,L31,0)</f>
        <v>0</v>
      </c>
      <c r="K31" s="142" t="n">
        <f aca="false">I31+J31</f>
        <v>149</v>
      </c>
      <c r="L31" s="142" t="n">
        <f aca="false">F31-(I31-AK31)</f>
        <v>-70.6597680867155</v>
      </c>
      <c r="M31" s="262" t="n">
        <v>344</v>
      </c>
      <c r="N31" s="171" t="n">
        <f aca="false">1/$D$2*1.03</f>
        <v>0.519284093773632</v>
      </c>
      <c r="O31" s="142" t="n">
        <f aca="false">94.8*1.05</f>
        <v>99.54</v>
      </c>
      <c r="P31" s="171" t="n">
        <v>0</v>
      </c>
      <c r="Q31" s="346" t="n">
        <f aca="false">1815600/325851/1.9835*1.02</f>
        <v>2.86529329093417</v>
      </c>
      <c r="R31" s="138" t="n">
        <v>4.2</v>
      </c>
      <c r="S31" s="138" t="n">
        <f aca="false">((7.6*1.04)-T31)-4.2</f>
        <v>2.20451552</v>
      </c>
      <c r="T31" s="138" t="n">
        <f aca="false">(1.3602*1.06)*1.04</f>
        <v>1.49948448</v>
      </c>
      <c r="U31" s="365" t="n">
        <v>0</v>
      </c>
      <c r="V31" s="142" t="n">
        <v>132</v>
      </c>
      <c r="W31" s="142" t="n">
        <v>70.2</v>
      </c>
      <c r="X31" s="142" t="n">
        <f aca="false">M31-N31-O31-P31-Q31-R31-S31-T31-U31+V31+W31-AT31+AR31</f>
        <v>466.481821515027</v>
      </c>
      <c r="Y31" s="142" t="n">
        <f aca="false">X31-AO31</f>
        <v>466.481821515027</v>
      </c>
      <c r="Z31" s="113" t="n">
        <f aca="false">Z30+AP31</f>
        <v>12247.7367255757</v>
      </c>
      <c r="AA31" s="142" t="n">
        <f aca="false">(-AP31)</f>
        <v>326.247114805961</v>
      </c>
      <c r="AB31" s="113"/>
      <c r="AC31" s="113" t="n">
        <f aca="false">AC30-(AQ30/1.9835)+AS31</f>
        <v>1105.15299976405</v>
      </c>
      <c r="AD31" s="226" t="n">
        <f aca="false">AD30</f>
        <v>4858.65512901258</v>
      </c>
      <c r="AE31" s="142" t="n">
        <v>243</v>
      </c>
      <c r="AF31" s="262" t="n">
        <v>1.7</v>
      </c>
      <c r="AG31" s="263" t="n">
        <v>1.3</v>
      </c>
      <c r="AH31" s="142" t="n">
        <v>50</v>
      </c>
      <c r="AI31" s="113" t="n">
        <f aca="false">AI30-AH31</f>
        <v>9943.24923115707</v>
      </c>
      <c r="AJ31" s="113"/>
      <c r="AK31" s="141" t="n">
        <f aca="false">N31+O31+P31+Q31+R31+S31+T31+U31+X31+AE31+AH31-AR31</f>
        <v>837.1</v>
      </c>
      <c r="AL31" s="142" t="n">
        <f aca="false">IF(L31&lt;0,L31*-1,0)</f>
        <v>70.6597680867155</v>
      </c>
      <c r="AM31" s="142" t="n">
        <f aca="false">AK31+AL31</f>
        <v>907.759768086715</v>
      </c>
      <c r="AN31" s="231"/>
      <c r="AO31" s="226"/>
      <c r="AP31" s="157" t="n">
        <f aca="false">I31-Q31-R31-X31-AF31</f>
        <v>-326.247114805961</v>
      </c>
      <c r="AQ31" s="171" t="n">
        <f aca="false">60.595*(Z31*1.9835+AC31*1.9835)/E31</f>
        <v>16.2180164413933</v>
      </c>
      <c r="AR31" s="200" t="n">
        <v>33.2103988997351</v>
      </c>
      <c r="AS31" s="158" t="n">
        <f aca="false">BA31</f>
        <v>10.1</v>
      </c>
      <c r="AT31" s="5" t="n">
        <v>2.1</v>
      </c>
      <c r="AU31" s="4"/>
      <c r="AV31" s="330" t="n">
        <v>0</v>
      </c>
      <c r="AW31" s="232" t="n">
        <v>90</v>
      </c>
      <c r="AX31" s="226" t="n">
        <v>52</v>
      </c>
      <c r="AY31" s="148"/>
      <c r="AZ31" s="264" t="n">
        <f aca="false">SUM(N31,P31:U31)</f>
        <v>11.2885773847078</v>
      </c>
      <c r="BA31" s="1" t="n">
        <v>10.1</v>
      </c>
      <c r="BB31" s="470" t="n">
        <v>16331</v>
      </c>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92" t="n">
        <f aca="false">A31+1</f>
        <v>18</v>
      </c>
      <c r="B32" s="112" t="n">
        <v>6890.37</v>
      </c>
      <c r="C32" s="113" t="n">
        <v>249426</v>
      </c>
      <c r="D32" s="226" t="n">
        <f aca="false">C32-C31</f>
        <v>-1531</v>
      </c>
      <c r="E32" s="113" t="n">
        <f aca="false">C32-152000</f>
        <v>97426</v>
      </c>
      <c r="F32" s="260" t="n">
        <f aca="false">D32/$D$2</f>
        <v>-771.867910259642</v>
      </c>
      <c r="G32" s="142" t="n">
        <v>140</v>
      </c>
      <c r="H32" s="143" t="n">
        <v>0</v>
      </c>
      <c r="I32" s="142" t="n">
        <f aca="false">G32+H32</f>
        <v>140</v>
      </c>
      <c r="J32" s="143" t="n">
        <f aca="false">IF(L32&gt;0,L32,0)</f>
        <v>0</v>
      </c>
      <c r="K32" s="142" t="n">
        <f aca="false">I32+J32</f>
        <v>140</v>
      </c>
      <c r="L32" s="142" t="n">
        <f aca="false">F32-(I32-AK32)</f>
        <v>-83.4279102596421</v>
      </c>
      <c r="M32" s="262" t="n">
        <v>335</v>
      </c>
      <c r="N32" s="171" t="n">
        <f aca="false">1/$D$2*1.03</f>
        <v>0.519284093773632</v>
      </c>
      <c r="O32" s="142" t="n">
        <f aca="false">96.6*1.05</f>
        <v>101.43</v>
      </c>
      <c r="P32" s="171" t="n">
        <v>0</v>
      </c>
      <c r="Q32" s="346" t="n">
        <f aca="false">2017100/325851/1.9835*1.02</f>
        <v>3.18329097661561</v>
      </c>
      <c r="R32" s="138" t="n">
        <v>4.2</v>
      </c>
      <c r="S32" s="138" t="n">
        <f aca="false">((7.4*1.04)-T32)-4.2</f>
        <v>2.02793392</v>
      </c>
      <c r="T32" s="138" t="n">
        <f aca="false">(1.3317*1.06)*1.04</f>
        <v>1.46806608</v>
      </c>
      <c r="U32" s="365" t="n">
        <v>0</v>
      </c>
      <c r="V32" s="142" t="n">
        <v>132</v>
      </c>
      <c r="W32" s="142" t="n">
        <v>69.6</v>
      </c>
      <c r="X32" s="142" t="n">
        <f aca="false">M32-N32-O32-P32-Q32-R32-S32-T32-U32+V32+W32-AT32+AR32</f>
        <v>454.821823829346</v>
      </c>
      <c r="Y32" s="142" t="n">
        <f aca="false">X32-AO32</f>
        <v>454.821823829346</v>
      </c>
      <c r="Z32" s="113" t="n">
        <f aca="false">Z31+AP32</f>
        <v>11923.8316107697</v>
      </c>
      <c r="AA32" s="142" t="n">
        <f aca="false">(-AP32)</f>
        <v>323.905114805961</v>
      </c>
      <c r="AB32" s="113"/>
      <c r="AC32" s="113" t="n">
        <f aca="false">AC31-(AQ31/1.9835)+AS32</f>
        <v>1107.07653571495</v>
      </c>
      <c r="AD32" s="226" t="n">
        <f aca="false">AD31</f>
        <v>4858.65512901258</v>
      </c>
      <c r="AE32" s="142" t="n">
        <v>244</v>
      </c>
      <c r="AF32" s="262" t="n">
        <v>1.7</v>
      </c>
      <c r="AG32" s="263" t="n">
        <v>1.3</v>
      </c>
      <c r="AH32" s="142" t="n">
        <v>50</v>
      </c>
      <c r="AI32" s="113" t="n">
        <f aca="false">AI31-AH32</f>
        <v>9893.24923115706</v>
      </c>
      <c r="AJ32" s="113"/>
      <c r="AK32" s="141" t="n">
        <f aca="false">N32+O32+P32+Q32+R32+S32+T32+U32+X32+AE32+AH32-AR32</f>
        <v>828.44</v>
      </c>
      <c r="AL32" s="142" t="n">
        <f aca="false">IF(L32&lt;0,L32*-1,0)</f>
        <v>83.4279102596421</v>
      </c>
      <c r="AM32" s="142" t="n">
        <f aca="false">AK32+AL32</f>
        <v>911.867910259642</v>
      </c>
      <c r="AN32" s="231"/>
      <c r="AO32" s="226"/>
      <c r="AP32" s="157" t="n">
        <f aca="false">I32-Q32-R32-X32-AF32</f>
        <v>-323.905114805961</v>
      </c>
      <c r="AQ32" s="171" t="n">
        <f aca="false">50.929*(Z32*1.9835+AC32*1.9835)/E32</f>
        <v>13.5113008692573</v>
      </c>
      <c r="AR32" s="200" t="n">
        <v>33.2103988997351</v>
      </c>
      <c r="AS32" s="158" t="n">
        <f aca="false">BA32</f>
        <v>10.1</v>
      </c>
      <c r="AT32" s="5" t="n">
        <v>2.16</v>
      </c>
      <c r="AU32" s="4"/>
      <c r="AV32" s="330" t="n">
        <v>0</v>
      </c>
      <c r="AW32" s="232" t="n">
        <v>93</v>
      </c>
      <c r="AX32" s="226" t="n">
        <v>55</v>
      </c>
      <c r="AY32" s="148"/>
      <c r="AZ32" s="264" t="n">
        <f aca="false">SUM(N32,P32:U32)</f>
        <v>11.3985750703892</v>
      </c>
      <c r="BA32" s="1" t="n">
        <v>10.1</v>
      </c>
      <c r="BB32" s="470" t="n">
        <v>16306</v>
      </c>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92" t="n">
        <f aca="false">A32+1</f>
        <v>19</v>
      </c>
      <c r="B33" s="112" t="n">
        <v>6889.92</v>
      </c>
      <c r="C33" s="113" t="n">
        <v>247899</v>
      </c>
      <c r="D33" s="226" t="n">
        <f aca="false">C33-C32</f>
        <v>-1527</v>
      </c>
      <c r="E33" s="113" t="n">
        <f aca="false">C33-152000</f>
        <v>95899</v>
      </c>
      <c r="F33" s="260" t="n">
        <f aca="false">D33/$D$2</f>
        <v>-769.851273002269</v>
      </c>
      <c r="G33" s="142" t="n">
        <v>132</v>
      </c>
      <c r="H33" s="143" t="n">
        <v>0</v>
      </c>
      <c r="I33" s="142" t="n">
        <f aca="false">G33+H33</f>
        <v>132</v>
      </c>
      <c r="J33" s="143" t="n">
        <f aca="false">IF(L33&gt;0,L33,0)</f>
        <v>0</v>
      </c>
      <c r="K33" s="142" t="n">
        <f aca="false">I33+J33</f>
        <v>132</v>
      </c>
      <c r="L33" s="142" t="n">
        <f aca="false">F33-(I33-AK33)</f>
        <v>-99.1412730022687</v>
      </c>
      <c r="M33" s="262" t="n">
        <v>330</v>
      </c>
      <c r="N33" s="171" t="n">
        <f aca="false">1/$D$2*1.03</f>
        <v>0.519284093773632</v>
      </c>
      <c r="O33" s="142" t="n">
        <f aca="false">92.4*1.05</f>
        <v>97.02</v>
      </c>
      <c r="P33" s="171" t="n">
        <v>0</v>
      </c>
      <c r="Q33" s="346" t="n">
        <f aca="false">2050300/325851/1.9835*1.02</f>
        <v>3.23568563251946</v>
      </c>
      <c r="R33" s="138" t="n">
        <v>4.2</v>
      </c>
      <c r="S33" s="138" t="n">
        <f aca="false">((7.5*1.04)-T33)-4.2</f>
        <v>2.13193392</v>
      </c>
      <c r="T33" s="138" t="n">
        <f aca="false">(1.3317*1.06)*1.04</f>
        <v>1.46806608</v>
      </c>
      <c r="U33" s="365" t="n">
        <v>0</v>
      </c>
      <c r="V33" s="142" t="n">
        <v>133</v>
      </c>
      <c r="W33" s="142" t="n">
        <v>72</v>
      </c>
      <c r="X33" s="142" t="n">
        <f aca="false">M33-N33-O33-P33-Q33-R33-S33-T33-U33+V33+W33-AT33+AR33</f>
        <v>457.345429173442</v>
      </c>
      <c r="Y33" s="142" t="n">
        <f aca="false">X33-AO33</f>
        <v>457.345429173442</v>
      </c>
      <c r="Z33" s="113" t="n">
        <f aca="false">Z32+AP33</f>
        <v>11589.3504959638</v>
      </c>
      <c r="AA33" s="142" t="n">
        <f aca="false">(-AP33)</f>
        <v>334.481114805961</v>
      </c>
      <c r="AB33" s="113"/>
      <c r="AC33" s="113" t="n">
        <f aca="false">AC32-(AQ32/1.9835)+AS33</f>
        <v>1110.36468753282</v>
      </c>
      <c r="AD33" s="226" t="n">
        <f aca="false">AD32</f>
        <v>4858.65512901258</v>
      </c>
      <c r="AE33" s="142" t="n">
        <v>220</v>
      </c>
      <c r="AF33" s="262" t="n">
        <v>1.7</v>
      </c>
      <c r="AG33" s="263" t="n">
        <v>1.3</v>
      </c>
      <c r="AH33" s="142" t="n">
        <v>50</v>
      </c>
      <c r="AI33" s="113" t="n">
        <f aca="false">AI32-AH33</f>
        <v>9843.24923115706</v>
      </c>
      <c r="AJ33" s="113"/>
      <c r="AK33" s="141" t="n">
        <f aca="false">N33+O33+P33+Q33+R33+S33+T33+U33+X33+AE33+AH33-AR33</f>
        <v>802.71</v>
      </c>
      <c r="AL33" s="142" t="n">
        <f aca="false">IF(L33&lt;0,L33*-1,0)</f>
        <v>99.1412730022687</v>
      </c>
      <c r="AM33" s="142" t="n">
        <f aca="false">AK33+AL33</f>
        <v>901.851273002269</v>
      </c>
      <c r="AN33" s="231"/>
      <c r="AO33" s="226"/>
      <c r="AP33" s="157" t="n">
        <f aca="false">I33-Q33-R33-X33-AF33</f>
        <v>-334.481114805961</v>
      </c>
      <c r="AQ33" s="171" t="n">
        <f aca="false">79.947*(Z33*1.9835+AC33*1.9835)/E33</f>
        <v>20.9997574678434</v>
      </c>
      <c r="AR33" s="200" t="n">
        <v>33.2103988997351</v>
      </c>
      <c r="AS33" s="158" t="n">
        <f aca="false">BA33</f>
        <v>10.1</v>
      </c>
      <c r="AT33" s="5" t="n">
        <v>2.29</v>
      </c>
      <c r="AU33" s="4"/>
      <c r="AV33" s="330" t="n">
        <v>0</v>
      </c>
      <c r="AW33" s="232" t="n">
        <v>94</v>
      </c>
      <c r="AX33" s="226" t="n">
        <v>56</v>
      </c>
      <c r="AY33" s="148"/>
      <c r="AZ33" s="264" t="n">
        <f aca="false">SUM(N33,P33:U33)</f>
        <v>11.5549697262931</v>
      </c>
      <c r="BA33" s="1" t="n">
        <v>10.1</v>
      </c>
      <c r="BB33" s="470" t="n">
        <v>16297</v>
      </c>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92" t="n">
        <f aca="false">A33+1</f>
        <v>20</v>
      </c>
      <c r="B34" s="112" t="n">
        <v>6889.48</v>
      </c>
      <c r="C34" s="113" t="n">
        <v>246417</v>
      </c>
      <c r="D34" s="226" t="n">
        <f aca="false">C34-C33</f>
        <v>-1482</v>
      </c>
      <c r="E34" s="113" t="n">
        <f aca="false">C34-152000</f>
        <v>94417</v>
      </c>
      <c r="F34" s="260" t="n">
        <f aca="false">D34/$D$2</f>
        <v>-747.164103856819</v>
      </c>
      <c r="G34" s="142" t="n">
        <v>126</v>
      </c>
      <c r="H34" s="143" t="n">
        <v>0</v>
      </c>
      <c r="I34" s="142" t="n">
        <f aca="false">G34+H34</f>
        <v>126</v>
      </c>
      <c r="J34" s="143" t="n">
        <f aca="false">IF(L34&gt;0,L34,0)</f>
        <v>0</v>
      </c>
      <c r="K34" s="142" t="n">
        <f aca="false">I34+J34</f>
        <v>126</v>
      </c>
      <c r="L34" s="142" t="n">
        <f aca="false">F34-(I34-AK34)</f>
        <v>-76.1241038568188</v>
      </c>
      <c r="M34" s="262" t="n">
        <v>344</v>
      </c>
      <c r="N34" s="171" t="n">
        <f aca="false">1/$D$2*1.03</f>
        <v>0.519284093773632</v>
      </c>
      <c r="O34" s="142" t="n">
        <f aca="false">116*1.05</f>
        <v>121.8</v>
      </c>
      <c r="P34" s="171" t="n">
        <v>0</v>
      </c>
      <c r="Q34" s="346" t="n">
        <f aca="false">2234800/325851/1.9835*1.02</f>
        <v>3.52685472933448</v>
      </c>
      <c r="R34" s="138" t="n">
        <v>4.2</v>
      </c>
      <c r="S34" s="138" t="n">
        <f aca="false">((7.5*1.04)-T34)-4.2</f>
        <v>2.13193392</v>
      </c>
      <c r="T34" s="138" t="n">
        <f aca="false">(1.3317*1.06)*1.04</f>
        <v>1.46806608</v>
      </c>
      <c r="U34" s="365" t="n">
        <v>0</v>
      </c>
      <c r="V34" s="142" t="n">
        <v>133</v>
      </c>
      <c r="W34" s="142" t="n">
        <v>72</v>
      </c>
      <c r="X34" s="142" t="n">
        <f aca="false">M34-N34-O34-P34-Q34-R34-S34-T34-U34+V34+W34-AT34+AR34</f>
        <v>446.604260076627</v>
      </c>
      <c r="Y34" s="142" t="n">
        <f aca="false">X34-AO34</f>
        <v>446.604260076627</v>
      </c>
      <c r="Z34" s="113" t="n">
        <f aca="false">Z33+AP34</f>
        <v>11259.3193811578</v>
      </c>
      <c r="AA34" s="142" t="n">
        <f aca="false">(-AP34)</f>
        <v>330.031114805961</v>
      </c>
      <c r="AB34" s="113"/>
      <c r="AC34" s="113" t="n">
        <f aca="false">AC33-(AQ33/1.9835)+AS34</f>
        <v>1110.37746420646</v>
      </c>
      <c r="AD34" s="226" t="n">
        <f aca="false">AD33</f>
        <v>4858.65512901258</v>
      </c>
      <c r="AE34" s="142" t="n">
        <v>200</v>
      </c>
      <c r="AF34" s="262" t="n">
        <v>1.7</v>
      </c>
      <c r="AG34" s="263" t="n">
        <v>1.3</v>
      </c>
      <c r="AH34" s="142" t="n">
        <v>50</v>
      </c>
      <c r="AI34" s="113" t="n">
        <f aca="false">AI33-AH34</f>
        <v>9793.24923115706</v>
      </c>
      <c r="AJ34" s="113"/>
      <c r="AK34" s="141" t="n">
        <f aca="false">N34+O34+P34+Q34+R34+S34+T34+U34+X34+AE34+AH34-AR34</f>
        <v>797.04</v>
      </c>
      <c r="AL34" s="142" t="n">
        <f aca="false">IF(L34&lt;0,L34*-1,0)</f>
        <v>76.1241038568188</v>
      </c>
      <c r="AM34" s="142" t="n">
        <f aca="false">AK34+AL34</f>
        <v>873.164103856819</v>
      </c>
      <c r="AN34" s="231"/>
      <c r="AO34" s="226"/>
      <c r="AP34" s="157" t="n">
        <f aca="false">I34-Q34-R34-X34-AF34</f>
        <v>-330.031114805961</v>
      </c>
      <c r="AQ34" s="171" t="n">
        <f aca="false">74.063*(Z34*1.9835+AC34*1.9835)/E34</f>
        <v>19.2460834041366</v>
      </c>
      <c r="AR34" s="200" t="n">
        <v>33.2103988997351</v>
      </c>
      <c r="AS34" s="158" t="n">
        <v>10.6</v>
      </c>
      <c r="AT34" s="5" t="n">
        <v>1.96</v>
      </c>
      <c r="AU34" s="4"/>
      <c r="AV34" s="330" t="n">
        <v>0</v>
      </c>
      <c r="AW34" s="232" t="n">
        <v>92</v>
      </c>
      <c r="AX34" s="226" t="n">
        <v>57</v>
      </c>
      <c r="AY34" s="148"/>
      <c r="AZ34" s="264" t="n">
        <f aca="false">SUM(N34,P34:U34)</f>
        <v>11.8461388231081</v>
      </c>
      <c r="BA34" s="1" t="n">
        <v>36.9</v>
      </c>
      <c r="BB34" s="470" t="n">
        <v>16241</v>
      </c>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92" t="n">
        <f aca="false">A34+1</f>
        <v>21</v>
      </c>
      <c r="B35" s="112" t="n">
        <v>6889.01</v>
      </c>
      <c r="C35" s="113" t="n">
        <v>244835</v>
      </c>
      <c r="D35" s="226" t="n">
        <f aca="false">C35-C34</f>
        <v>-1582</v>
      </c>
      <c r="E35" s="113" t="n">
        <f aca="false">C35-152000</f>
        <v>92835</v>
      </c>
      <c r="F35" s="260" t="n">
        <f aca="false">D35/$D$2</f>
        <v>-797.580035291152</v>
      </c>
      <c r="G35" s="142" t="n">
        <v>151</v>
      </c>
      <c r="H35" s="143" t="n">
        <v>0</v>
      </c>
      <c r="I35" s="142" t="n">
        <f aca="false">G35+H35</f>
        <v>151</v>
      </c>
      <c r="J35" s="143" t="n">
        <f aca="false">IF(L35&gt;0,L35,0)</f>
        <v>0</v>
      </c>
      <c r="K35" s="142" t="n">
        <f aca="false">I35+J35</f>
        <v>151</v>
      </c>
      <c r="L35" s="142" t="n">
        <f aca="false">F35-(I35-AK35)</f>
        <v>-113.400035291152</v>
      </c>
      <c r="M35" s="262" t="n">
        <v>326</v>
      </c>
      <c r="N35" s="171" t="n">
        <f aca="false">1/$D$2*1.03</f>
        <v>0.519284093773632</v>
      </c>
      <c r="O35" s="142" t="n">
        <f aca="false">99*1.05</f>
        <v>103.95</v>
      </c>
      <c r="P35" s="171" t="n">
        <v>0</v>
      </c>
      <c r="Q35" s="346" t="n">
        <f aca="false">2155100/325851/1.9835*1.02</f>
        <v>3.40107599211953</v>
      </c>
      <c r="R35" s="138" t="n">
        <v>4.2</v>
      </c>
      <c r="S35" s="138" t="n">
        <f aca="false">((7.7*1.04)-T35)-4.2</f>
        <v>2.33993392</v>
      </c>
      <c r="T35" s="138" t="n">
        <f aca="false">(1.3317*1.06)*1.04</f>
        <v>1.46806608</v>
      </c>
      <c r="U35" s="365" t="n">
        <v>0</v>
      </c>
      <c r="V35" s="142" t="n">
        <v>130</v>
      </c>
      <c r="W35" s="142" t="n">
        <v>71</v>
      </c>
      <c r="X35" s="142" t="n">
        <f aca="false">M35-N35-O35-P35-Q35-R35-S35-T35-U35+V35+W35-AT35+AR35</f>
        <v>442.512038813842</v>
      </c>
      <c r="Y35" s="142" t="n">
        <f aca="false">X35-AO35</f>
        <v>442.512038813842</v>
      </c>
      <c r="Z35" s="113" t="n">
        <f aca="false">Z34+AP35</f>
        <v>10958.5062663518</v>
      </c>
      <c r="AA35" s="142" t="n">
        <f aca="false">(-AP35)</f>
        <v>300.813114805961</v>
      </c>
      <c r="AB35" s="113"/>
      <c r="AC35" s="113" t="n">
        <f aca="false">AC34-(AQ34/1.9835)+AS35</f>
        <v>1111.27437199363</v>
      </c>
      <c r="AD35" s="226" t="n">
        <f aca="false">AD34</f>
        <v>4858.65512901258</v>
      </c>
      <c r="AE35" s="142" t="n">
        <v>260</v>
      </c>
      <c r="AF35" s="262" t="n">
        <v>1.7</v>
      </c>
      <c r="AG35" s="263" t="n">
        <v>1.3</v>
      </c>
      <c r="AH35" s="142" t="n">
        <v>50</v>
      </c>
      <c r="AI35" s="113" t="n">
        <f aca="false">AI34-AH35</f>
        <v>9743.24923115706</v>
      </c>
      <c r="AJ35" s="113"/>
      <c r="AK35" s="141" t="n">
        <f aca="false">N35+O35+P35+Q35+R35+S35+T35+U35+X35+AE35+AH35-AR35</f>
        <v>835.18</v>
      </c>
      <c r="AL35" s="142" t="n">
        <f aca="false">IF(L35&lt;0,L35*-1,0)</f>
        <v>113.400035291152</v>
      </c>
      <c r="AM35" s="142" t="n">
        <f aca="false">AK35+AL35</f>
        <v>948.580035291152</v>
      </c>
      <c r="AN35" s="231"/>
      <c r="AO35" s="226"/>
      <c r="AP35" s="157" t="n">
        <f aca="false">I35-Q35-R35-X35-AF35</f>
        <v>-300.813114805961</v>
      </c>
      <c r="AQ35" s="171" t="n">
        <f aca="false">80.903*(Z35*1.9835+AC35*1.9835)/E35</f>
        <v>20.8633703003058</v>
      </c>
      <c r="AR35" s="200" t="n">
        <v>33.2103988997351</v>
      </c>
      <c r="AS35" s="158" t="n">
        <v>10.6</v>
      </c>
      <c r="AT35" s="5" t="n">
        <v>1.82</v>
      </c>
      <c r="AU35" s="4"/>
      <c r="AV35" s="330" t="n">
        <v>0</v>
      </c>
      <c r="AW35" s="226" t="n">
        <v>91</v>
      </c>
      <c r="AX35" s="226" t="n">
        <v>56</v>
      </c>
      <c r="AY35" s="148"/>
      <c r="AZ35" s="264" t="n">
        <f aca="false">SUM(N35,P35:U35)</f>
        <v>11.9283600858932</v>
      </c>
      <c r="BA35" s="1" t="n">
        <v>59.4</v>
      </c>
      <c r="BB35" s="470" t="n">
        <v>16123</v>
      </c>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92" t="n">
        <f aca="false">A35+1</f>
        <v>22</v>
      </c>
      <c r="B36" s="112" t="n">
        <v>6888.6</v>
      </c>
      <c r="C36" s="113" t="n">
        <v>243468</v>
      </c>
      <c r="D36" s="226" t="n">
        <f aca="false">C36-C35</f>
        <v>-1367</v>
      </c>
      <c r="E36" s="113" t="n">
        <f aca="false">C36-152000</f>
        <v>91468</v>
      </c>
      <c r="F36" s="260" t="n">
        <f aca="false">D36/$D$2</f>
        <v>-689.185782707336</v>
      </c>
      <c r="G36" s="142" t="n">
        <v>148</v>
      </c>
      <c r="H36" s="143" t="n">
        <v>0</v>
      </c>
      <c r="I36" s="142" t="n">
        <f aca="false">G36+H36</f>
        <v>148</v>
      </c>
      <c r="J36" s="143" t="n">
        <f aca="false">IF(L36&gt;0,L36,0)</f>
        <v>18.8042172926645</v>
      </c>
      <c r="K36" s="142" t="n">
        <f aca="false">I36+J36</f>
        <v>166.804217292664</v>
      </c>
      <c r="L36" s="142" t="n">
        <f aca="false">F36-(I36-AK36)</f>
        <v>18.8042172926645</v>
      </c>
      <c r="M36" s="262" t="n">
        <v>328</v>
      </c>
      <c r="N36" s="171" t="n">
        <f aca="false">1/$D$2*1.03</f>
        <v>0.519284093773632</v>
      </c>
      <c r="O36" s="142" t="n">
        <f aca="false">104*1.05</f>
        <v>109.2</v>
      </c>
      <c r="P36" s="171" t="n">
        <v>0</v>
      </c>
      <c r="Q36" s="346" t="n">
        <f aca="false">1920500/325851/1.9835*1.02</f>
        <v>3.03084146576287</v>
      </c>
      <c r="R36" s="138" t="n">
        <v>4.2</v>
      </c>
      <c r="S36" s="138" t="n">
        <f aca="false">((7.7*1.04)-T36)-4.2</f>
        <v>2.33993392</v>
      </c>
      <c r="T36" s="138" t="n">
        <f aca="false">(1.3317*1.06)*1.04</f>
        <v>1.46806608</v>
      </c>
      <c r="U36" s="365" t="n">
        <v>0</v>
      </c>
      <c r="V36" s="142" t="n">
        <v>129</v>
      </c>
      <c r="W36" s="142" t="n">
        <v>72</v>
      </c>
      <c r="X36" s="142" t="n">
        <f aca="false">M36-N36-O36-P36-Q36-R36-S36-T36-U36+V36+W36-AT36+AR36</f>
        <v>439.842273340199</v>
      </c>
      <c r="Y36" s="142" t="n">
        <f aca="false">X36-AO36</f>
        <v>439.842273340199</v>
      </c>
      <c r="Z36" s="113" t="n">
        <f aca="false">Z35+AP36</f>
        <v>10657.7331515459</v>
      </c>
      <c r="AA36" s="142" t="n">
        <f aca="false">(-AP36)</f>
        <v>300.773114805961</v>
      </c>
      <c r="AB36" s="113"/>
      <c r="AC36" s="113" t="n">
        <f aca="false">AC35-(AQ35/1.9835)+AS36</f>
        <v>1111.35590952814</v>
      </c>
      <c r="AD36" s="226" t="n">
        <f aca="false">AD35</f>
        <v>4858.65512901258</v>
      </c>
      <c r="AE36" s="142" t="n">
        <v>259</v>
      </c>
      <c r="AF36" s="262" t="n">
        <v>1.7</v>
      </c>
      <c r="AG36" s="263" t="n">
        <v>1.3</v>
      </c>
      <c r="AH36" s="142" t="n">
        <v>69.6</v>
      </c>
      <c r="AI36" s="113" t="n">
        <f aca="false">AI35-AH36</f>
        <v>9673.64923115706</v>
      </c>
      <c r="AJ36" s="113"/>
      <c r="AK36" s="141" t="n">
        <f aca="false">N36+O36+P36+Q36+R36+S36+T36+U36+X36+AE36+AH36-AR36</f>
        <v>855.99</v>
      </c>
      <c r="AL36" s="142" t="n">
        <f aca="false">IF(L36&lt;0,L36*-1,0)</f>
        <v>0</v>
      </c>
      <c r="AM36" s="142" t="n">
        <f aca="false">AK36+AL36</f>
        <v>855.99</v>
      </c>
      <c r="AN36" s="231"/>
      <c r="AO36" s="226"/>
      <c r="AP36" s="157" t="n">
        <f aca="false">I36-Q36-R36-X36-AF36</f>
        <v>-300.773114805961</v>
      </c>
      <c r="AQ36" s="171" t="n">
        <f aca="false">71.523*(Z36*1.9835+AC36*1.9835)/E36</f>
        <v>18.253728786475</v>
      </c>
      <c r="AR36" s="200" t="n">
        <v>33.2103988997351</v>
      </c>
      <c r="AS36" s="158" t="n">
        <v>10.6</v>
      </c>
      <c r="AT36" s="5" t="n">
        <v>1.61</v>
      </c>
      <c r="AU36" s="4"/>
      <c r="AV36" s="330" t="n">
        <v>0</v>
      </c>
      <c r="AW36" s="226" t="n">
        <v>98</v>
      </c>
      <c r="AX36" s="226" t="n">
        <v>58</v>
      </c>
      <c r="AY36" s="148"/>
      <c r="AZ36" s="264" t="n">
        <f aca="false">SUM(N36,P36:U36)</f>
        <v>11.5581255595365</v>
      </c>
      <c r="BA36" s="1" t="n">
        <v>59.2</v>
      </c>
      <c r="BB36" s="470" t="n">
        <v>16029</v>
      </c>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92" t="n">
        <f aca="false">A36+1</f>
        <v>23</v>
      </c>
      <c r="B37" s="112" t="n">
        <v>6888.16</v>
      </c>
      <c r="C37" s="113" t="n">
        <v>242002</v>
      </c>
      <c r="D37" s="226" t="n">
        <f aca="false">C37-C36</f>
        <v>-1466</v>
      </c>
      <c r="E37" s="113" t="n">
        <f aca="false">C37-152000</f>
        <v>90002</v>
      </c>
      <c r="F37" s="260" t="n">
        <f aca="false">D37/$D$2</f>
        <v>-739.097554827325</v>
      </c>
      <c r="G37" s="142" t="n">
        <v>143</v>
      </c>
      <c r="H37" s="143" t="n">
        <v>0</v>
      </c>
      <c r="I37" s="142" t="n">
        <f aca="false">G37+H37</f>
        <v>143</v>
      </c>
      <c r="J37" s="143" t="n">
        <f aca="false">IF(L37&gt;0,L37,0)</f>
        <v>0</v>
      </c>
      <c r="K37" s="142" t="n">
        <f aca="false">I37+J37</f>
        <v>143</v>
      </c>
      <c r="L37" s="142" t="n">
        <f aca="false">F37-(I37-AK37)</f>
        <v>-76.7275548273254</v>
      </c>
      <c r="M37" s="262" t="n">
        <v>304</v>
      </c>
      <c r="N37" s="171" t="n">
        <f aca="false">1/$D$2*1.03</f>
        <v>0.519284093773632</v>
      </c>
      <c r="O37" s="142" t="n">
        <f aca="false">89.2*1.05</f>
        <v>93.66</v>
      </c>
      <c r="P37" s="171" t="n">
        <v>0</v>
      </c>
      <c r="Q37" s="346" t="n">
        <f aca="false">2174300/325851/1.9835*1.02</f>
        <v>3.43137651601573</v>
      </c>
      <c r="R37" s="138" t="n">
        <v>4.2</v>
      </c>
      <c r="S37" s="138" t="n">
        <f aca="false">((7.7*1.04)-T37)-4.2</f>
        <v>2.33993392</v>
      </c>
      <c r="T37" s="138" t="n">
        <f aca="false">(1.3317*1.06)*1.04</f>
        <v>1.46806608</v>
      </c>
      <c r="U37" s="365" t="n">
        <v>0</v>
      </c>
      <c r="V37" s="142" t="n">
        <v>129</v>
      </c>
      <c r="W37" s="142" t="n">
        <v>71.03</v>
      </c>
      <c r="X37" s="142" t="n">
        <f aca="false">M37-N37-O37-P37-Q37-R37-S37-T37-U37+V37+W37-AT37+AR37</f>
        <v>429.961738289946</v>
      </c>
      <c r="Y37" s="142" t="n">
        <f aca="false">X37-AO37</f>
        <v>429.961738289946</v>
      </c>
      <c r="Z37" s="113" t="n">
        <f aca="false">Z36+AP37</f>
        <v>10361.4400367399</v>
      </c>
      <c r="AA37" s="142" t="n">
        <f aca="false">(-AP37)</f>
        <v>296.293114805961</v>
      </c>
      <c r="AB37" s="113"/>
      <c r="AC37" s="113" t="n">
        <f aca="false">AC36-(AQ36/1.9835)+AS37</f>
        <v>1112.75312213894</v>
      </c>
      <c r="AD37" s="226" t="n">
        <f aca="false">AD36</f>
        <v>4858.65512901258</v>
      </c>
      <c r="AE37" s="142" t="n">
        <v>232.5</v>
      </c>
      <c r="AF37" s="262" t="n">
        <v>1.7</v>
      </c>
      <c r="AG37" s="263" t="n">
        <v>1.3</v>
      </c>
      <c r="AH37" s="142" t="n">
        <v>70.5</v>
      </c>
      <c r="AI37" s="113" t="n">
        <f aca="false">AI36-AH37</f>
        <v>9603.14923115706</v>
      </c>
      <c r="AJ37" s="113"/>
      <c r="AK37" s="141" t="n">
        <f aca="false">N37+O37+P37+Q37+R37+S37+T37+U37+X37+AE37+AH37-AR37</f>
        <v>805.37</v>
      </c>
      <c r="AL37" s="142" t="n">
        <f aca="false">IF(L37&lt;0,L37*-1,0)</f>
        <v>76.7275548273254</v>
      </c>
      <c r="AM37" s="142" t="n">
        <f aca="false">AK37+AL37</f>
        <v>882.097554827326</v>
      </c>
      <c r="AN37" s="231"/>
      <c r="AO37" s="226"/>
      <c r="AP37" s="157" t="n">
        <f aca="false">I37-Q37-R37-X37-AF37</f>
        <v>-296.293114805961</v>
      </c>
      <c r="AQ37" s="171" t="n">
        <f aca="false">62.055*(Z37*1.9835+AC37*1.9835)/E37</f>
        <v>15.6920246274153</v>
      </c>
      <c r="AR37" s="200" t="n">
        <v>33.2103988997351</v>
      </c>
      <c r="AS37" s="158" t="n">
        <v>10.6</v>
      </c>
      <c r="AT37" s="5" t="n">
        <v>1.66</v>
      </c>
      <c r="AU37" s="4"/>
      <c r="AV37" s="330" t="n">
        <v>0</v>
      </c>
      <c r="AW37" s="226" t="n">
        <v>97</v>
      </c>
      <c r="AX37" s="232" t="n">
        <v>65</v>
      </c>
      <c r="AY37" s="148"/>
      <c r="AZ37" s="264" t="n">
        <f aca="false">SUM(N37,P37:U37)</f>
        <v>11.9586606097894</v>
      </c>
      <c r="BA37" s="1" t="n">
        <v>59.1</v>
      </c>
      <c r="BB37" s="470" t="n">
        <v>15924</v>
      </c>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92" t="n">
        <f aca="false">A37+1</f>
        <v>24</v>
      </c>
      <c r="B38" s="112" t="n">
        <v>6887.73</v>
      </c>
      <c r="C38" s="113" t="n">
        <v>240579</v>
      </c>
      <c r="D38" s="226" t="n">
        <f aca="false">C38-C37</f>
        <v>-1423</v>
      </c>
      <c r="E38" s="113" t="n">
        <f aca="false">C38-152000</f>
        <v>88579</v>
      </c>
      <c r="F38" s="260" t="n">
        <f aca="false">D38/$D$2</f>
        <v>-717.418704310562</v>
      </c>
      <c r="G38" s="142" t="n">
        <v>136</v>
      </c>
      <c r="H38" s="143" t="n">
        <v>0</v>
      </c>
      <c r="I38" s="142" t="n">
        <f aca="false">G38+H38</f>
        <v>136</v>
      </c>
      <c r="J38" s="143" t="n">
        <f aca="false">IF(L38&gt;0,L38,0)</f>
        <v>0</v>
      </c>
      <c r="K38" s="142" t="n">
        <f aca="false">I38+J38</f>
        <v>136</v>
      </c>
      <c r="L38" s="142" t="n">
        <f aca="false">F38-(I38-AK38)</f>
        <v>-8.90870431056214</v>
      </c>
      <c r="M38" s="262" t="n">
        <v>324</v>
      </c>
      <c r="N38" s="171" t="n">
        <f aca="false">1/$D$2*1.03</f>
        <v>0.519284093773632</v>
      </c>
      <c r="O38" s="142" t="n">
        <f aca="false">101*1.05</f>
        <v>106.05</v>
      </c>
      <c r="P38" s="171" t="n">
        <v>0</v>
      </c>
      <c r="Q38" s="346" t="n">
        <f aca="false">1790100/325851/1.9835*1.02</f>
        <v>2.82505040763453</v>
      </c>
      <c r="R38" s="138" t="n">
        <v>4.2</v>
      </c>
      <c r="S38" s="138" t="n">
        <f aca="false">((7.5*1.04)-T38)-4.2</f>
        <v>2.13193392</v>
      </c>
      <c r="T38" s="138" t="n">
        <f aca="false">(1.3317*1.06)*1.04</f>
        <v>1.46806608</v>
      </c>
      <c r="U38" s="365" t="n">
        <v>0</v>
      </c>
      <c r="V38" s="142" t="n">
        <v>136</v>
      </c>
      <c r="W38" s="142" t="n">
        <v>72.2</v>
      </c>
      <c r="X38" s="142" t="n">
        <f aca="false">M38-N38-O38-P38-Q38-R38-S38-T38-U38+V38+W38-AT38+AR38</f>
        <v>446.426064398327</v>
      </c>
      <c r="Y38" s="142" t="n">
        <f aca="false">X38-AO38</f>
        <v>446.426064398327</v>
      </c>
      <c r="Z38" s="113" t="n">
        <f aca="false">Z37+AP38</f>
        <v>10042.288921934</v>
      </c>
      <c r="AA38" s="142" t="n">
        <f aca="false">(-AP38)</f>
        <v>319.151114805961</v>
      </c>
      <c r="AB38" s="113"/>
      <c r="AC38" s="113" t="n">
        <f aca="false">AC37-(AQ37/1.9835)+AS38</f>
        <v>1115.44184176212</v>
      </c>
      <c r="AD38" s="226" t="n">
        <f aca="false">AD37</f>
        <v>4858.65512901258</v>
      </c>
      <c r="AE38" s="142" t="n">
        <v>244</v>
      </c>
      <c r="AF38" s="262" t="n">
        <v>1.7</v>
      </c>
      <c r="AG38" s="263" t="n">
        <v>1.3</v>
      </c>
      <c r="AH38" s="142" t="n">
        <v>70.1</v>
      </c>
      <c r="AI38" s="113" t="n">
        <f aca="false">AI37-AH38</f>
        <v>9533.04923115706</v>
      </c>
      <c r="AJ38" s="113"/>
      <c r="AK38" s="141" t="n">
        <f aca="false">N38+O38+P38+Q38+R38+S38+T38+U38+X38+AE38+AH38-AR38</f>
        <v>844.51</v>
      </c>
      <c r="AL38" s="142" t="n">
        <f aca="false">IF(L38&lt;0,L38*-1,0)</f>
        <v>8.90870431056214</v>
      </c>
      <c r="AM38" s="142" t="n">
        <f aca="false">AK38+AL38</f>
        <v>853.418704310562</v>
      </c>
      <c r="AN38" s="231"/>
      <c r="AO38" s="226"/>
      <c r="AP38" s="157" t="n">
        <f aca="false">I38-Q38-R38-X38-AF38</f>
        <v>-319.151114805961</v>
      </c>
      <c r="AQ38" s="171" t="n">
        <f aca="false">44.27*(Z38*1.9835+AC38*1.9835)/E38</f>
        <v>11.0608074328301</v>
      </c>
      <c r="AR38" s="200" t="n">
        <v>33.2103988997351</v>
      </c>
      <c r="AS38" s="158" t="n">
        <v>10.6</v>
      </c>
      <c r="AT38" s="5" t="n">
        <v>1.79</v>
      </c>
      <c r="AU38" s="4"/>
      <c r="AV38" s="330" t="n">
        <v>0.01</v>
      </c>
      <c r="AW38" s="226" t="n">
        <v>90</v>
      </c>
      <c r="AX38" s="232" t="n">
        <v>64</v>
      </c>
      <c r="AY38" s="148"/>
      <c r="AZ38" s="264" t="n">
        <f aca="false">SUM(N38,P38:U38)</f>
        <v>11.1443345014082</v>
      </c>
      <c r="BA38" s="1" t="n">
        <v>59.1</v>
      </c>
      <c r="BB38" s="470" t="n">
        <v>15813</v>
      </c>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92" t="n">
        <f aca="false">A38+1</f>
        <v>25</v>
      </c>
      <c r="B39" s="112" t="n">
        <v>6887.28</v>
      </c>
      <c r="C39" s="113" t="n">
        <v>239096</v>
      </c>
      <c r="D39" s="226" t="n">
        <f aca="false">C39-C38</f>
        <v>-1483</v>
      </c>
      <c r="E39" s="113" t="n">
        <f aca="false">C39-152000</f>
        <v>87096</v>
      </c>
      <c r="F39" s="260" t="n">
        <f aca="false">D39/$D$2</f>
        <v>-747.668263171162</v>
      </c>
      <c r="G39" s="142" t="n">
        <v>201</v>
      </c>
      <c r="H39" s="143" t="n">
        <v>0</v>
      </c>
      <c r="I39" s="142" t="n">
        <f aca="false">G39+H39</f>
        <v>201</v>
      </c>
      <c r="J39" s="143" t="n">
        <f aca="false">IF(L39&gt;0,L39,0)</f>
        <v>0</v>
      </c>
      <c r="K39" s="142" t="n">
        <f aca="false">I39+J39</f>
        <v>201</v>
      </c>
      <c r="L39" s="142" t="n">
        <f aca="false">F39-(I39-AK39)</f>
        <v>-163.278263171162</v>
      </c>
      <c r="M39" s="262" t="n">
        <v>297</v>
      </c>
      <c r="N39" s="171" t="n">
        <f aca="false">1/$D$2*1.03</f>
        <v>0.519284093773632</v>
      </c>
      <c r="O39" s="142" t="n">
        <f aca="false">89.4*1.05</f>
        <v>93.87</v>
      </c>
      <c r="P39" s="171" t="n">
        <v>0</v>
      </c>
      <c r="Q39" s="346" t="n">
        <f aca="false">1730700/325851/1.9835*1.02</f>
        <v>2.73130816183067</v>
      </c>
      <c r="R39" s="138" t="n">
        <v>4.2</v>
      </c>
      <c r="S39" s="138" t="n">
        <f aca="false">((7.7*1.04)-T39)-4.2</f>
        <v>2.52227088</v>
      </c>
      <c r="T39" s="138" t="n">
        <f aca="false">(1.1663*1.06)*1.04</f>
        <v>1.28572912</v>
      </c>
      <c r="U39" s="365" t="n">
        <v>0</v>
      </c>
      <c r="V39" s="142" t="n">
        <v>133</v>
      </c>
      <c r="W39" s="142" t="n">
        <v>71.1</v>
      </c>
      <c r="X39" s="142" t="n">
        <f aca="false">M39-N39-O39-P39-Q39-R39-S39-T39-U39+V39+W39-AT39+AR39</f>
        <v>427.371806644131</v>
      </c>
      <c r="Y39" s="142" t="n">
        <f aca="false">X39-AO39</f>
        <v>427.371806644131</v>
      </c>
      <c r="Z39" s="113" t="n">
        <f aca="false">Z38+AP39</f>
        <v>9807.28580712799</v>
      </c>
      <c r="AA39" s="142" t="n">
        <f aca="false">(-AP39)</f>
        <v>235.003114805961</v>
      </c>
      <c r="AB39" s="113"/>
      <c r="AC39" s="113" t="n">
        <f aca="false">AC38-(AQ38/1.9835)+AS39</f>
        <v>1120.4654326707</v>
      </c>
      <c r="AD39" s="226" t="n">
        <f aca="false">AD38</f>
        <v>4858.65512901258</v>
      </c>
      <c r="AE39" s="142" t="n">
        <v>216</v>
      </c>
      <c r="AF39" s="262" t="n">
        <v>1.7</v>
      </c>
      <c r="AG39" s="263" t="n">
        <v>1.3</v>
      </c>
      <c r="AH39" s="142" t="n">
        <v>70.1</v>
      </c>
      <c r="AI39" s="113" t="n">
        <f aca="false">AI38-AH39</f>
        <v>9462.94923115706</v>
      </c>
      <c r="AJ39" s="113"/>
      <c r="AK39" s="141" t="n">
        <f aca="false">N39+O39+P39+Q39+R39+S39+T39+U39+X39+AE39+AH39-AR39</f>
        <v>785.39</v>
      </c>
      <c r="AL39" s="142" t="n">
        <f aca="false">IF(L39&lt;0,L39*-1,0)</f>
        <v>163.278263171162</v>
      </c>
      <c r="AM39" s="142" t="n">
        <f aca="false">AK39+AL39</f>
        <v>948.668263171162</v>
      </c>
      <c r="AN39" s="231"/>
      <c r="AO39" s="226"/>
      <c r="AP39" s="157" t="n">
        <f aca="false">I39-Q39-R39-X39-AF39</f>
        <v>-235.003114805961</v>
      </c>
      <c r="AQ39" s="171" t="n">
        <f aca="false">45.892*(Z39*1.9835+AC39*1.9835)/E39</f>
        <v>11.4209381585307</v>
      </c>
      <c r="AR39" s="200" t="n">
        <v>33.2103988997351</v>
      </c>
      <c r="AS39" s="158" t="n">
        <v>10.6</v>
      </c>
      <c r="AT39" s="5" t="n">
        <v>1.81</v>
      </c>
      <c r="AU39" s="4"/>
      <c r="AV39" s="330" t="n">
        <v>0</v>
      </c>
      <c r="AW39" s="226" t="n">
        <v>92</v>
      </c>
      <c r="AX39" s="232" t="n">
        <v>62</v>
      </c>
      <c r="AY39" s="148"/>
      <c r="AZ39" s="264" t="n">
        <f aca="false">SUM(N39,P39:U39)</f>
        <v>11.2585922556043</v>
      </c>
      <c r="BA39" s="1" t="n">
        <v>59.1</v>
      </c>
      <c r="BB39" s="470" t="n">
        <v>15741</v>
      </c>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92" t="n">
        <f aca="false">A39+1</f>
        <v>26</v>
      </c>
      <c r="B40" s="112" t="n">
        <v>6886.9</v>
      </c>
      <c r="C40" s="113" t="n">
        <v>237847</v>
      </c>
      <c r="D40" s="226" t="n">
        <f aca="false">C40-C39</f>
        <v>-1249</v>
      </c>
      <c r="E40" s="113" t="n">
        <f aca="false">C40-152000</f>
        <v>85847</v>
      </c>
      <c r="F40" s="260" t="n">
        <f aca="false">D40/$D$2</f>
        <v>-629.694983614822</v>
      </c>
      <c r="G40" s="142" t="n">
        <v>188</v>
      </c>
      <c r="H40" s="143" t="n">
        <v>0</v>
      </c>
      <c r="I40" s="142" t="n">
        <f aca="false">G40+H40</f>
        <v>188</v>
      </c>
      <c r="J40" s="143" t="n">
        <f aca="false">IF(L40&gt;0,L40,0)</f>
        <v>0</v>
      </c>
      <c r="K40" s="142" t="n">
        <f aca="false">I40+J40</f>
        <v>188</v>
      </c>
      <c r="L40" s="142" t="n">
        <f aca="false">F40-(I40-AK40)</f>
        <v>-40.6749836148223</v>
      </c>
      <c r="M40" s="262" t="n">
        <v>296</v>
      </c>
      <c r="N40" s="171" t="n">
        <f aca="false">1/$D$2*1.03</f>
        <v>0.519284093773632</v>
      </c>
      <c r="O40" s="142" t="n">
        <f aca="false">94.9*1.05</f>
        <v>99.645</v>
      </c>
      <c r="P40" s="171" t="n">
        <v>0</v>
      </c>
      <c r="Q40" s="346" t="n">
        <f aca="false">2046700/325851/1.9835*1.02</f>
        <v>3.23000428428892</v>
      </c>
      <c r="R40" s="138" t="n">
        <v>4.2</v>
      </c>
      <c r="S40" s="138" t="n">
        <f aca="false">((7.9*1.04)-T40)-4.2</f>
        <v>2.73027088</v>
      </c>
      <c r="T40" s="138" t="n">
        <f aca="false">(1.1663*1.06)*1.04</f>
        <v>1.28572912</v>
      </c>
      <c r="U40" s="365" t="n">
        <v>0</v>
      </c>
      <c r="V40" s="142" t="n">
        <v>136</v>
      </c>
      <c r="W40" s="142" t="n">
        <v>70</v>
      </c>
      <c r="X40" s="142" t="n">
        <f aca="false">M40-N40-O40-P40-Q40-R40-S40-T40-U40+V40+W40-AT40+AR40</f>
        <v>421.520110521672</v>
      </c>
      <c r="Y40" s="142" t="n">
        <f aca="false">X40-AO40</f>
        <v>421.520110521672</v>
      </c>
      <c r="Z40" s="113" t="n">
        <f aca="false">Z39+AP40</f>
        <v>9564.63569232203</v>
      </c>
      <c r="AA40" s="142" t="n">
        <f aca="false">(-AP40)</f>
        <v>242.650114805961</v>
      </c>
      <c r="AB40" s="113"/>
      <c r="AC40" s="113" t="n">
        <f aca="false">AC39-(AQ39/1.9835)+AS40</f>
        <v>1125.30746031954</v>
      </c>
      <c r="AD40" s="226" t="n">
        <f aca="false">AD39</f>
        <v>4858.65512901258</v>
      </c>
      <c r="AE40" s="142" t="n">
        <v>207</v>
      </c>
      <c r="AF40" s="262" t="n">
        <v>1.7</v>
      </c>
      <c r="AG40" s="263" t="n">
        <v>1.3</v>
      </c>
      <c r="AH40" s="142" t="n">
        <v>70.1</v>
      </c>
      <c r="AI40" s="113" t="n">
        <f aca="false">AI39-AH40</f>
        <v>9392.84923115706</v>
      </c>
      <c r="AJ40" s="113"/>
      <c r="AK40" s="141" t="n">
        <f aca="false">N40+O40+P40+Q40+R40+S40+T40+U40+X40+AE40+AH40-AR40</f>
        <v>777.02</v>
      </c>
      <c r="AL40" s="142" t="n">
        <f aca="false">IF(L40&lt;0,L40*-1,0)</f>
        <v>40.6749836148223</v>
      </c>
      <c r="AM40" s="142" t="n">
        <f aca="false">AK40+AL40</f>
        <v>817.694983614822</v>
      </c>
      <c r="AN40" s="231"/>
      <c r="AO40" s="226"/>
      <c r="AP40" s="157" t="n">
        <f aca="false">I40-Q40-R40-X40-AF40</f>
        <v>-242.650114805961</v>
      </c>
      <c r="AQ40" s="171" t="n">
        <f aca="false">73.427*(Z40*1.9835+AC40*1.9835)/E40</f>
        <v>18.1358644939973</v>
      </c>
      <c r="AR40" s="200" t="n">
        <v>33.2103988997351</v>
      </c>
      <c r="AS40" s="158" t="n">
        <v>10.6</v>
      </c>
      <c r="AT40" s="5" t="n">
        <v>2.08</v>
      </c>
      <c r="AU40" s="4"/>
      <c r="AV40" s="330" t="n">
        <v>0</v>
      </c>
      <c r="AW40" s="226" t="n">
        <v>94</v>
      </c>
      <c r="AX40" s="226" t="n">
        <v>59</v>
      </c>
      <c r="AY40" s="148"/>
      <c r="AZ40" s="264" t="n">
        <f aca="false">SUM(N40,P40:U40)</f>
        <v>11.9652883780626</v>
      </c>
      <c r="BA40" s="1" t="n">
        <v>59</v>
      </c>
      <c r="BB40" s="470" t="n">
        <v>15624</v>
      </c>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192" t="n">
        <f aca="false">A40+1</f>
        <v>27</v>
      </c>
      <c r="B41" s="112" t="n">
        <v>6886.59</v>
      </c>
      <c r="C41" s="113" t="n">
        <v>236836</v>
      </c>
      <c r="D41" s="226" t="n">
        <f aca="false">C41-C40</f>
        <v>-1011</v>
      </c>
      <c r="E41" s="113" t="n">
        <f aca="false">C41-152000</f>
        <v>84836</v>
      </c>
      <c r="F41" s="260" t="n">
        <f aca="false">D41/$D$2</f>
        <v>-509.705066801109</v>
      </c>
      <c r="G41" s="142" t="n">
        <v>155</v>
      </c>
      <c r="H41" s="143" t="n">
        <v>0</v>
      </c>
      <c r="I41" s="142" t="n">
        <f aca="false">G41+H41</f>
        <v>155</v>
      </c>
      <c r="J41" s="143" t="n">
        <f aca="false">IF(L41&gt;0,L41,0)</f>
        <v>52.6949331988909</v>
      </c>
      <c r="K41" s="142" t="n">
        <f aca="false">I41+J41</f>
        <v>207.694933198891</v>
      </c>
      <c r="L41" s="142" t="n">
        <f aca="false">F41-(I41-AK41)</f>
        <v>52.6949331988909</v>
      </c>
      <c r="M41" s="262" t="n">
        <v>282</v>
      </c>
      <c r="N41" s="171" t="n">
        <f aca="false">1/$D$2*1.03</f>
        <v>0.519284093773632</v>
      </c>
      <c r="O41" s="142" t="n">
        <f aca="false">76.5*1.05</f>
        <v>80.325</v>
      </c>
      <c r="P41" s="171" t="n">
        <v>0</v>
      </c>
      <c r="Q41" s="346" t="n">
        <f aca="false">2064400/325851/1.9835*1.02</f>
        <v>3.25793757975573</v>
      </c>
      <c r="R41" s="138" t="n">
        <v>4.2</v>
      </c>
      <c r="S41" s="138" t="n">
        <f aca="false">((7.5*1.04)-T41)-4.2</f>
        <v>2.31427088</v>
      </c>
      <c r="T41" s="138" t="n">
        <f aca="false">(1.1663*1.06)*1.04</f>
        <v>1.28572912</v>
      </c>
      <c r="U41" s="365" t="n">
        <v>0</v>
      </c>
      <c r="V41" s="142" t="n">
        <v>137</v>
      </c>
      <c r="W41" s="142" t="n">
        <v>69.2</v>
      </c>
      <c r="X41" s="142" t="n">
        <f aca="false">M41-N41-O41-P41-Q41-R41-S41-T41-U41+V41+W41-AT41+AR41</f>
        <v>427.608177226206</v>
      </c>
      <c r="Y41" s="142" t="n">
        <f aca="false">X41-AO41</f>
        <v>427.608177226206</v>
      </c>
      <c r="Z41" s="113" t="n">
        <f aca="false">Z40+AP41</f>
        <v>9282.86957751607</v>
      </c>
      <c r="AA41" s="142" t="n">
        <f aca="false">(-AP41)</f>
        <v>281.766114805961</v>
      </c>
      <c r="AB41" s="113"/>
      <c r="AC41" s="113" t="n">
        <f aca="false">AC40-(AQ40/1.9835)+AS41</f>
        <v>1126.76409531122</v>
      </c>
      <c r="AD41" s="226" t="n">
        <f aca="false">AD40</f>
        <v>4858.65512901258</v>
      </c>
      <c r="AE41" s="142" t="n">
        <v>161</v>
      </c>
      <c r="AF41" s="262" t="n">
        <v>1.7</v>
      </c>
      <c r="AG41" s="263" t="n">
        <v>1.3</v>
      </c>
      <c r="AH41" s="142" t="n">
        <v>70.1</v>
      </c>
      <c r="AI41" s="113" t="n">
        <f aca="false">AI40-AH41</f>
        <v>9322.74923115706</v>
      </c>
      <c r="AJ41" s="113"/>
      <c r="AK41" s="141" t="n">
        <f aca="false">N41+O41+P41+Q41+R41+S41+T41+U41+X41+AE41+AH41-AR41</f>
        <v>717.4</v>
      </c>
      <c r="AL41" s="142" t="n">
        <f aca="false">IF(L41&lt;0,L41*-1,0)</f>
        <v>0</v>
      </c>
      <c r="AM41" s="142" t="n">
        <f aca="false">AK41+AL41</f>
        <v>717.4</v>
      </c>
      <c r="AN41" s="231"/>
      <c r="AO41" s="226"/>
      <c r="AP41" s="157" t="n">
        <f aca="false">I41-Q41-R41-X41-AF41</f>
        <v>-281.766114805961</v>
      </c>
      <c r="AQ41" s="171" t="n">
        <f aca="false">43.597*(Z41*1.9835+AC41*1.9835)/E41</f>
        <v>10.6107009203774</v>
      </c>
      <c r="AR41" s="200" t="n">
        <v>33.2103988997351</v>
      </c>
      <c r="AS41" s="158" t="n">
        <v>10.6</v>
      </c>
      <c r="AT41" s="5" t="n">
        <v>1.9</v>
      </c>
      <c r="AU41" s="4"/>
      <c r="AV41" s="330" t="n">
        <v>0.11</v>
      </c>
      <c r="AW41" s="226" t="n">
        <v>92</v>
      </c>
      <c r="AX41" s="226" t="n">
        <v>58</v>
      </c>
      <c r="AY41" s="148"/>
      <c r="AZ41" s="264" t="n">
        <f aca="false">SUM(N41,P41:U41)</f>
        <v>11.5772216735294</v>
      </c>
      <c r="BA41" s="1" t="n">
        <v>58.7</v>
      </c>
      <c r="BB41" s="470" t="n">
        <v>15519</v>
      </c>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75" hidden="false" customHeight="true" outlineLevel="0" collapsed="false">
      <c r="A42" s="192" t="n">
        <f aca="false">A41+1</f>
        <v>28</v>
      </c>
      <c r="B42" s="112" t="n">
        <v>6886.29</v>
      </c>
      <c r="C42" s="113" t="n">
        <v>235858</v>
      </c>
      <c r="D42" s="226" t="n">
        <f aca="false">C42-C41</f>
        <v>-978</v>
      </c>
      <c r="E42" s="113" t="n">
        <f aca="false">C42-152000</f>
        <v>83858</v>
      </c>
      <c r="F42" s="260" t="n">
        <f aca="false">D42/$D$2</f>
        <v>-493.067809427779</v>
      </c>
      <c r="G42" s="142" t="n">
        <v>153</v>
      </c>
      <c r="H42" s="143" t="n">
        <v>0</v>
      </c>
      <c r="I42" s="142" t="n">
        <f aca="false">G42+H42</f>
        <v>153</v>
      </c>
      <c r="J42" s="143" t="n">
        <f aca="false">IF(L42&gt;0,L42,0)</f>
        <v>108.752190572221</v>
      </c>
      <c r="K42" s="142" t="n">
        <f aca="false">I42+J42</f>
        <v>261.752190572221</v>
      </c>
      <c r="L42" s="142" t="n">
        <f aca="false">F42-(I42-AK42)</f>
        <v>108.752190572221</v>
      </c>
      <c r="M42" s="262" t="n">
        <v>288</v>
      </c>
      <c r="N42" s="171" t="n">
        <f aca="false">1/$D$2*1.03</f>
        <v>0.519284093773632</v>
      </c>
      <c r="O42" s="142" t="n">
        <f aca="false">82.8*1.05</f>
        <v>86.94</v>
      </c>
      <c r="P42" s="171" t="n">
        <v>0</v>
      </c>
      <c r="Q42" s="346" t="n">
        <f aca="false">1604700/325851/1.9835*1.02</f>
        <v>2.53246097376187</v>
      </c>
      <c r="R42" s="138" t="n">
        <v>4.2</v>
      </c>
      <c r="S42" s="138" t="n">
        <f aca="false">((7.2*1.04)-T42)-4.2</f>
        <v>2.00227088</v>
      </c>
      <c r="T42" s="138" t="n">
        <f aca="false">(1.1663*1.06)*1.04</f>
        <v>1.28572912</v>
      </c>
      <c r="U42" s="365" t="n">
        <v>0</v>
      </c>
      <c r="V42" s="142" t="n">
        <v>136</v>
      </c>
      <c r="W42" s="142" t="n">
        <v>68.6</v>
      </c>
      <c r="X42" s="142" t="n">
        <f aca="false">M42-N42-O42-P42-Q42-R42-S42-T42-U42+V42+W42-AT42+AR42</f>
        <v>426.4506538322</v>
      </c>
      <c r="Y42" s="142" t="n">
        <f aca="false">X42-AO42</f>
        <v>426.4506538322</v>
      </c>
      <c r="Z42" s="113" t="n">
        <f aca="false">Z41+AP42</f>
        <v>9000.98646271011</v>
      </c>
      <c r="AA42" s="142" t="n">
        <f aca="false">(-AP42)</f>
        <v>281.883114805961</v>
      </c>
      <c r="AB42" s="113"/>
      <c r="AC42" s="113" t="n">
        <f aca="false">AC41-(AQ41/1.9835)+AS42</f>
        <v>1132.0146116105</v>
      </c>
      <c r="AD42" s="226" t="n">
        <f aca="false">AD41</f>
        <v>4858.65512901258</v>
      </c>
      <c r="AE42" s="142" t="n">
        <v>194</v>
      </c>
      <c r="AF42" s="262" t="n">
        <v>1.7</v>
      </c>
      <c r="AG42" s="263" t="n">
        <v>1.3</v>
      </c>
      <c r="AH42" s="142" t="n">
        <v>70.1</v>
      </c>
      <c r="AI42" s="113" t="n">
        <f aca="false">AI41-AH42</f>
        <v>9252.64923115706</v>
      </c>
      <c r="AJ42" s="113"/>
      <c r="AK42" s="141" t="n">
        <f aca="false">N42+O42+P42+Q42+R42+S42+T42+U42+X42+AE42+AH42-AR42</f>
        <v>754.82</v>
      </c>
      <c r="AL42" s="142" t="n">
        <f aca="false">IF(L42&lt;0,L42*-1,0)</f>
        <v>0</v>
      </c>
      <c r="AM42" s="142" t="n">
        <f aca="false">AK42+AL42</f>
        <v>754.82</v>
      </c>
      <c r="AN42" s="231"/>
      <c r="AO42" s="226"/>
      <c r="AP42" s="157" t="n">
        <f aca="false">I42-Q42-R42-X42-AF42</f>
        <v>-281.883114805961</v>
      </c>
      <c r="AQ42" s="171" t="n">
        <f aca="false">26.665*(Z42*1.9835+AC42*1.9835)/E42</f>
        <v>6.39097886281984</v>
      </c>
      <c r="AR42" s="200" t="n">
        <v>33.2103988997351</v>
      </c>
      <c r="AS42" s="158" t="n">
        <v>10.6</v>
      </c>
      <c r="AT42" s="5" t="n">
        <v>1.88</v>
      </c>
      <c r="AU42" s="4"/>
      <c r="AV42" s="330" t="n">
        <v>0.06</v>
      </c>
      <c r="AW42" s="226" t="n">
        <v>86</v>
      </c>
      <c r="AX42" s="226" t="n">
        <v>58</v>
      </c>
      <c r="AY42" s="148"/>
      <c r="AZ42" s="264" t="n">
        <f aca="false">SUM(N42,P42:U42)</f>
        <v>10.5397450675355</v>
      </c>
      <c r="BA42" s="1" t="n">
        <v>58.6</v>
      </c>
      <c r="BB42" s="470" t="n">
        <v>15430</v>
      </c>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192" t="n">
        <f aca="false">A42+1</f>
        <v>29</v>
      </c>
      <c r="B43" s="112" t="n">
        <v>6885.88</v>
      </c>
      <c r="C43" s="113" t="n">
        <v>234526</v>
      </c>
      <c r="D43" s="226" t="n">
        <f aca="false">C43-C42</f>
        <v>-1332</v>
      </c>
      <c r="E43" s="113" t="n">
        <f aca="false">C43-152000</f>
        <v>82526</v>
      </c>
      <c r="F43" s="260" t="n">
        <f aca="false">D43/$D$2</f>
        <v>-671.540206705319</v>
      </c>
      <c r="G43" s="142" t="n">
        <v>245</v>
      </c>
      <c r="H43" s="143" t="n">
        <v>0</v>
      </c>
      <c r="I43" s="142" t="n">
        <f aca="false">G43+H43</f>
        <v>245</v>
      </c>
      <c r="J43" s="143" t="n">
        <f aca="false">IF(L43&gt;0,L43,0)</f>
        <v>0</v>
      </c>
      <c r="K43" s="142" t="n">
        <f aca="false">I43+J43</f>
        <v>245</v>
      </c>
      <c r="L43" s="142" t="n">
        <f aca="false">F43-(I43-AK43)</f>
        <v>-212.840206705319</v>
      </c>
      <c r="M43" s="262" t="n">
        <v>269</v>
      </c>
      <c r="N43" s="171" t="n">
        <f aca="false">1/$D$2*1.03</f>
        <v>0.519284093773632</v>
      </c>
      <c r="O43" s="142" t="n">
        <f aca="false">87.4*1.05</f>
        <v>91.77</v>
      </c>
      <c r="P43" s="171" t="n">
        <v>0</v>
      </c>
      <c r="Q43" s="346" t="n">
        <f aca="false">1398600/325851/1.9835*1.02</f>
        <v>2.20720378756363</v>
      </c>
      <c r="R43" s="138" t="n">
        <f aca="false">((4.9)*1.04)-T43</f>
        <v>3.81027088</v>
      </c>
      <c r="S43" s="138" t="n">
        <v>0</v>
      </c>
      <c r="T43" s="138" t="n">
        <f aca="false">(1.1663*1.06)*1.04</f>
        <v>1.28572912</v>
      </c>
      <c r="U43" s="365" t="n">
        <v>0</v>
      </c>
      <c r="V43" s="142" t="n">
        <v>137</v>
      </c>
      <c r="W43" s="142" t="n">
        <v>68.3</v>
      </c>
      <c r="X43" s="142" t="n">
        <f aca="false">M43-N43-O43-P43-Q43-R43-S43-T43-U43+V43+W43-AT43+AR43</f>
        <v>406.217911018398</v>
      </c>
      <c r="Y43" s="142" t="n">
        <f aca="false">X43-AO43</f>
        <v>406.217911018398</v>
      </c>
      <c r="Z43" s="113" t="n">
        <f aca="false">Z42+AP43</f>
        <v>8832.05107702414</v>
      </c>
      <c r="AA43" s="142" t="n">
        <f aca="false">(-AP43)</f>
        <v>168.935385685961</v>
      </c>
      <c r="AB43" s="113"/>
      <c r="AC43" s="113" t="n">
        <f aca="false">AC42-(AQ42/1.9835)+AS43</f>
        <v>1139.39254008904</v>
      </c>
      <c r="AD43" s="226" t="n">
        <f aca="false">AD42</f>
        <v>4858.65512901258</v>
      </c>
      <c r="AE43" s="142" t="n">
        <v>161</v>
      </c>
      <c r="AF43" s="262" t="n">
        <v>1.7</v>
      </c>
      <c r="AG43" s="263" t="n">
        <v>1.3</v>
      </c>
      <c r="AH43" s="142" t="n">
        <v>70.1</v>
      </c>
      <c r="AI43" s="113" t="n">
        <f aca="false">AI42-AH43</f>
        <v>9182.54923115706</v>
      </c>
      <c r="AJ43" s="113"/>
      <c r="AK43" s="141" t="n">
        <f aca="false">N43+O43+P43+Q43+R43+S43+T43+U43+X43+AE43+AH43-AR43</f>
        <v>703.7</v>
      </c>
      <c r="AL43" s="142" t="n">
        <f aca="false">IF(L43&lt;0,L43*-1,0)</f>
        <v>212.840206705319</v>
      </c>
      <c r="AM43" s="142" t="n">
        <f aca="false">AK43+AL43</f>
        <v>916.540206705319</v>
      </c>
      <c r="AN43" s="231"/>
      <c r="AO43" s="226"/>
      <c r="AP43" s="157" t="n">
        <f aca="false">I43-Q43-R43-X43-AF43</f>
        <v>-168.935385685961</v>
      </c>
      <c r="AQ43" s="171" t="n">
        <f aca="false">31.961*(Z43*1.9835+AC43*1.9835)/E43</f>
        <v>7.65984190785014</v>
      </c>
      <c r="AR43" s="200" t="n">
        <v>33.2103988997351</v>
      </c>
      <c r="AS43" s="158" t="n">
        <v>10.6</v>
      </c>
      <c r="AT43" s="5" t="n">
        <v>1.7</v>
      </c>
      <c r="AU43" s="4"/>
      <c r="AV43" s="330" t="n">
        <v>0.07</v>
      </c>
      <c r="AW43" s="232" t="n">
        <v>85</v>
      </c>
      <c r="AX43" s="226" t="n">
        <v>57</v>
      </c>
      <c r="AY43" s="148"/>
      <c r="AZ43" s="264" t="n">
        <f aca="false">SUM(N43,P43:U43)</f>
        <v>7.82248788133726</v>
      </c>
      <c r="BA43" s="1" t="n">
        <v>51.7</v>
      </c>
      <c r="BB43" s="470" t="n">
        <v>15390</v>
      </c>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192" t="n">
        <v>30</v>
      </c>
      <c r="B44" s="112" t="n">
        <v>6885.57</v>
      </c>
      <c r="C44" s="113" t="n">
        <v>233527</v>
      </c>
      <c r="D44" s="226" t="n">
        <f aca="false">C44-C43</f>
        <v>-999</v>
      </c>
      <c r="E44" s="113" t="n">
        <f aca="false">C44-152000</f>
        <v>81527</v>
      </c>
      <c r="F44" s="260" t="n">
        <f aca="false">D44/$D$2</f>
        <v>-503.655155028989</v>
      </c>
      <c r="G44" s="142" t="n">
        <v>208</v>
      </c>
      <c r="H44" s="143" t="n">
        <v>0</v>
      </c>
      <c r="I44" s="142" t="n">
        <f aca="false">G44+H44</f>
        <v>208</v>
      </c>
      <c r="J44" s="143" t="n">
        <f aca="false">IF(L44&gt;0,L44,0)</f>
        <v>0</v>
      </c>
      <c r="K44" s="142" t="n">
        <f aca="false">I44+J44</f>
        <v>208</v>
      </c>
      <c r="L44" s="142" t="n">
        <f aca="false">F44-(I44-AK44)</f>
        <v>-13.1351550289892</v>
      </c>
      <c r="M44" s="262" t="n">
        <v>257</v>
      </c>
      <c r="N44" s="171" t="n">
        <f aca="false">1/$D$2*1.03</f>
        <v>0.519284093773632</v>
      </c>
      <c r="O44" s="142" t="n">
        <f aca="false">70.2*1.05</f>
        <v>73.71</v>
      </c>
      <c r="P44" s="171" t="n">
        <v>0</v>
      </c>
      <c r="Q44" s="346" t="n">
        <f aca="false">1820300/325851/1.9835*1.02</f>
        <v>2.87271060667959</v>
      </c>
      <c r="R44" s="138" t="n">
        <f aca="false">((5)*1.04)-T44</f>
        <v>3.91427088</v>
      </c>
      <c r="S44" s="138" t="n">
        <v>0</v>
      </c>
      <c r="T44" s="138" t="n">
        <f aca="false">(1.1663*1.06)*1.04</f>
        <v>1.28572912</v>
      </c>
      <c r="U44" s="365" t="n">
        <v>0</v>
      </c>
      <c r="V44" s="142" t="n">
        <v>127</v>
      </c>
      <c r="W44" s="142" t="n">
        <v>67.1</v>
      </c>
      <c r="X44" s="142" t="n">
        <f aca="false">M44-N44-O44-P44-Q44-R44-S44-T44-U44+V44+W44-AT44+AR44</f>
        <v>400.328404199282</v>
      </c>
      <c r="Y44" s="142" t="n">
        <f aca="false">X44-AO44</f>
        <v>400.328404199282</v>
      </c>
      <c r="Z44" s="113" t="n">
        <f aca="false">Z43+AP44</f>
        <v>8631.23569133818</v>
      </c>
      <c r="AA44" s="142" t="n">
        <f aca="false">(-AP44)</f>
        <v>200.815385685961</v>
      </c>
      <c r="AB44" s="113"/>
      <c r="AC44" s="113" t="n">
        <f aca="false">AC43-(AQ43/1.9835)+AS44</f>
        <v>1143.7307594448</v>
      </c>
      <c r="AD44" s="226" t="n">
        <f aca="false">AD43</f>
        <v>4858.65512901258</v>
      </c>
      <c r="AE44" s="142" t="n">
        <v>179</v>
      </c>
      <c r="AF44" s="262" t="n">
        <v>1.7</v>
      </c>
      <c r="AG44" s="263" t="n">
        <v>1.3</v>
      </c>
      <c r="AH44" s="142" t="n">
        <v>70.1</v>
      </c>
      <c r="AI44" s="113" t="n">
        <f aca="false">AI43-AH44</f>
        <v>9112.44923115706</v>
      </c>
      <c r="AJ44" s="113"/>
      <c r="AK44" s="141" t="n">
        <f aca="false">N44+O44+P44+Q44+R44+S44+T44+U44+X44+AE44+AH44-AR44</f>
        <v>698.52</v>
      </c>
      <c r="AL44" s="142" t="n">
        <f aca="false">IF(L44&lt;0,L44*-1,0)</f>
        <v>13.1351550289892</v>
      </c>
      <c r="AM44" s="142" t="n">
        <f aca="false">AK44+AL44</f>
        <v>711.655155028989</v>
      </c>
      <c r="AN44" s="231"/>
      <c r="AO44" s="226"/>
      <c r="AP44" s="157" t="n">
        <f aca="false">I44-Q44-R44-X44-AF44</f>
        <v>-200.815385685961</v>
      </c>
      <c r="AQ44" s="171" t="n">
        <f aca="false">46.712*(Z44*1.9835+AC44*1.9835)/E44</f>
        <v>11.1089875729015</v>
      </c>
      <c r="AR44" s="200" t="n">
        <v>33.2103988997351</v>
      </c>
      <c r="AS44" s="158" t="n">
        <f aca="false">BA44-20</f>
        <v>8.2</v>
      </c>
      <c r="AT44" s="5" t="n">
        <v>1.68</v>
      </c>
      <c r="AU44" s="4"/>
      <c r="AV44" s="330" t="n">
        <v>0</v>
      </c>
      <c r="AW44" s="232" t="n">
        <v>87</v>
      </c>
      <c r="AX44" s="226" t="n">
        <v>54</v>
      </c>
      <c r="AY44" s="148"/>
      <c r="AZ44" s="264" t="n">
        <f aca="false">SUM(N44,P44:U44)</f>
        <v>8.59199470045322</v>
      </c>
      <c r="BA44" s="1" t="n">
        <v>28.2</v>
      </c>
      <c r="BB44" s="470" t="n">
        <v>15331</v>
      </c>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3.5" hidden="false" customHeight="true" outlineLevel="0" collapsed="false">
      <c r="A45" s="192" t="n">
        <v>31</v>
      </c>
      <c r="B45" s="112" t="n">
        <v>6885.22</v>
      </c>
      <c r="C45" s="113" t="n">
        <v>232399</v>
      </c>
      <c r="D45" s="226" t="n">
        <f aca="false">C45-C44</f>
        <v>-1128</v>
      </c>
      <c r="E45" s="113" t="n">
        <f aca="false">C45-152000</f>
        <v>80399</v>
      </c>
      <c r="F45" s="260" t="n">
        <f aca="false">D45/$D$2</f>
        <v>-568.691706579279</v>
      </c>
      <c r="G45" s="142" t="n">
        <v>156</v>
      </c>
      <c r="H45" s="143" t="n">
        <v>0</v>
      </c>
      <c r="I45" s="142" t="n">
        <f aca="false">G45+H45</f>
        <v>156</v>
      </c>
      <c r="J45" s="143" t="n">
        <f aca="false">IF(L45&gt;0,L45,0)</f>
        <v>0</v>
      </c>
      <c r="K45" s="142" t="n">
        <f aca="false">I45+J45</f>
        <v>156</v>
      </c>
      <c r="L45" s="142" t="n">
        <f aca="false">F45-(I45-AK45)</f>
        <v>-42.131706579279</v>
      </c>
      <c r="M45" s="262" t="n">
        <v>268</v>
      </c>
      <c r="N45" s="171" t="n">
        <f aca="false">1/$D$2*1.03</f>
        <v>0.519284093773632</v>
      </c>
      <c r="O45" s="142" t="n">
        <f aca="false">79.9*1.05</f>
        <v>83.895</v>
      </c>
      <c r="P45" s="171" t="n">
        <v>0</v>
      </c>
      <c r="Q45" s="346" t="n">
        <f aca="false">1695000/325851/1.9835*1.02</f>
        <v>2.67496812521118</v>
      </c>
      <c r="R45" s="138" t="n">
        <f aca="false">((5.2)*1.04)-T45</f>
        <v>4.12227088</v>
      </c>
      <c r="S45" s="138" t="n">
        <v>0</v>
      </c>
      <c r="T45" s="138" t="n">
        <f aca="false">(1.1663*1.06)*1.04</f>
        <v>1.28572912</v>
      </c>
      <c r="U45" s="365" t="n">
        <v>0</v>
      </c>
      <c r="V45" s="142" t="n">
        <v>115</v>
      </c>
      <c r="W45" s="142" t="n">
        <v>69.1</v>
      </c>
      <c r="X45" s="142" t="n">
        <f aca="false">M45-N45-O45-P45-Q45-R45-S45-T45-U45+V45+W45-AT45+AR45</f>
        <v>391.17314668075</v>
      </c>
      <c r="Y45" s="142" t="n">
        <f aca="false">X45-AO45</f>
        <v>391.17314668075</v>
      </c>
      <c r="Z45" s="113" t="n">
        <f aca="false">Z44+AP45</f>
        <v>8387.56530565222</v>
      </c>
      <c r="AA45" s="142" t="n">
        <f aca="false">(-AP45)</f>
        <v>243.670385685961</v>
      </c>
      <c r="AB45" s="113"/>
      <c r="AC45" s="113" t="n">
        <f aca="false">AC44-(AQ44/1.9835)+AS45</f>
        <v>1146.230059887</v>
      </c>
      <c r="AD45" s="226" t="n">
        <f aca="false">AD44</f>
        <v>4858.65512901258</v>
      </c>
      <c r="AE45" s="142" t="n">
        <v>162</v>
      </c>
      <c r="AF45" s="262" t="n">
        <v>1.7</v>
      </c>
      <c r="AG45" s="263" t="n">
        <v>1.3</v>
      </c>
      <c r="AH45" s="142" t="n">
        <v>70.1</v>
      </c>
      <c r="AI45" s="113" t="n">
        <f aca="false">AI44-AH45</f>
        <v>9042.34923115706</v>
      </c>
      <c r="AJ45" s="113"/>
      <c r="AK45" s="141" t="n">
        <f aca="false">N45+O45+P45+Q45+R45+S45+T45+U45+X45+AE45+AH45-AR45</f>
        <v>682.56</v>
      </c>
      <c r="AL45" s="142" t="n">
        <f aca="false">IF(L45&lt;0,L45*-1,0)</f>
        <v>42.131706579279</v>
      </c>
      <c r="AM45" s="142" t="n">
        <f aca="false">AK45+AL45</f>
        <v>724.691706579279</v>
      </c>
      <c r="AN45" s="231"/>
      <c r="AO45" s="226"/>
      <c r="AP45" s="157" t="n">
        <f aca="false">I45-Q45-R45-X45-AF45</f>
        <v>-243.670385685961</v>
      </c>
      <c r="AQ45" s="171" t="n">
        <f aca="false">39.81*(Z45*1.9835+AC45*1.9835)/E45</f>
        <v>9.36352903035421</v>
      </c>
      <c r="AR45" s="200" t="n">
        <v>33.2103988997351</v>
      </c>
      <c r="AS45" s="158" t="n">
        <f aca="false">BA45-20</f>
        <v>8.1</v>
      </c>
      <c r="AT45" s="5" t="n">
        <v>1.64</v>
      </c>
      <c r="AU45" s="4"/>
      <c r="AV45" s="330" t="n">
        <v>0</v>
      </c>
      <c r="AW45" s="232" t="n">
        <v>86</v>
      </c>
      <c r="AX45" s="226" t="n">
        <v>57</v>
      </c>
      <c r="AY45" s="148"/>
      <c r="AZ45" s="264" t="n">
        <f aca="false">SUM(N45,P45:U45)</f>
        <v>8.60225221898481</v>
      </c>
      <c r="BA45" s="56" t="n">
        <v>28.1</v>
      </c>
      <c r="BB45" s="85" t="n">
        <v>15283</v>
      </c>
    </row>
    <row r="46" customFormat="false" ht="3" hidden="false" customHeight="true" outlineLevel="0" collapsed="false">
      <c r="A46" s="245"/>
      <c r="B46" s="267"/>
      <c r="C46" s="247"/>
      <c r="D46" s="248"/>
      <c r="E46" s="247"/>
      <c r="F46" s="249"/>
      <c r="G46" s="248"/>
      <c r="H46" s="254"/>
      <c r="I46" s="248"/>
      <c r="J46" s="248"/>
      <c r="K46" s="248"/>
      <c r="L46" s="248"/>
      <c r="M46" s="251"/>
      <c r="N46" s="248"/>
      <c r="O46" s="248"/>
      <c r="P46" s="252"/>
      <c r="Q46" s="248"/>
      <c r="R46" s="248"/>
      <c r="S46" s="248"/>
      <c r="T46" s="248"/>
      <c r="U46" s="253"/>
      <c r="V46" s="248"/>
      <c r="W46" s="248"/>
      <c r="X46" s="248"/>
      <c r="Y46" s="248"/>
      <c r="Z46" s="247"/>
      <c r="AA46" s="248"/>
      <c r="AB46" s="247"/>
      <c r="AC46" s="247"/>
      <c r="AD46" s="257"/>
      <c r="AE46" s="248"/>
      <c r="AF46" s="251"/>
      <c r="AG46" s="255"/>
      <c r="AH46" s="248"/>
      <c r="AI46" s="248"/>
      <c r="AJ46" s="248"/>
      <c r="AK46" s="248"/>
      <c r="AL46" s="248"/>
      <c r="AM46" s="248"/>
      <c r="AN46" s="256"/>
      <c r="AO46" s="257"/>
      <c r="AP46" s="254"/>
      <c r="AQ46" s="254"/>
      <c r="AR46" s="254"/>
      <c r="AS46" s="252"/>
      <c r="AT46" s="252"/>
      <c r="AU46" s="254"/>
      <c r="AV46" s="515"/>
      <c r="AW46" s="257"/>
      <c r="AX46" s="257"/>
      <c r="AY46" s="270"/>
      <c r="AZ46" s="270"/>
      <c r="BA46" s="270"/>
      <c r="BB46" s="270"/>
    </row>
    <row r="47" customFormat="false" ht="12.95" hidden="false" customHeight="true" outlineLevel="0" collapsed="false">
      <c r="A47" s="194" t="s">
        <v>105</v>
      </c>
      <c r="B47" s="224"/>
      <c r="C47" s="113"/>
      <c r="D47" s="113"/>
      <c r="E47" s="113"/>
      <c r="F47" s="225" t="n">
        <f aca="false">SUM(F15:F45)</f>
        <v>-19927.9052180489</v>
      </c>
      <c r="G47" s="113" t="n">
        <f aca="false">SUM(G15:G45)</f>
        <v>5567</v>
      </c>
      <c r="H47" s="226" t="n">
        <f aca="false">SUM(H15:H45)</f>
        <v>0.025</v>
      </c>
      <c r="I47" s="113" t="n">
        <f aca="false">SUM(I15:I45)</f>
        <v>5567.025</v>
      </c>
      <c r="J47" s="113" t="n">
        <f aca="false">SUM(J15:J45)</f>
        <v>180.251341063776</v>
      </c>
      <c r="K47" s="113" t="n">
        <f aca="false">SUM(K15:K45)</f>
        <v>5747.27634106378</v>
      </c>
      <c r="L47" s="113" t="n">
        <f aca="false">SUM(L15:L45)</f>
        <v>-1604.3002180489</v>
      </c>
      <c r="M47" s="227" t="n">
        <f aca="false">SUM(M15:M45)</f>
        <v>9864</v>
      </c>
      <c r="N47" s="113" t="n">
        <f aca="false">SUM(N15:N45)</f>
        <v>16.0978069069826</v>
      </c>
      <c r="O47" s="113" t="n">
        <f aca="false">SUM(O15:O45)</f>
        <v>2987.88</v>
      </c>
      <c r="P47" s="171" t="n">
        <f aca="false">SUM(P15:P45)</f>
        <v>1</v>
      </c>
      <c r="Q47" s="113" t="n">
        <f aca="false">SUM(Q15:Q45)</f>
        <v>92.2138053146177</v>
      </c>
      <c r="R47" s="113" t="n">
        <f aca="false">SUM(R15:R45)</f>
        <v>129.29328208</v>
      </c>
      <c r="S47" s="113" t="n">
        <f aca="false">SUM(S15:S45)</f>
        <v>49.04742384</v>
      </c>
      <c r="T47" s="113" t="n">
        <f aca="false">SUM(T15:T45)</f>
        <v>44.63529408</v>
      </c>
      <c r="U47" s="228" t="n">
        <f aca="false">SUM(U15:U45)</f>
        <v>0</v>
      </c>
      <c r="V47" s="113" t="n">
        <f aca="false">SUM(V15:V45)</f>
        <v>3650.1</v>
      </c>
      <c r="W47" s="113" t="n">
        <f aca="false">SUM(W15:W45)</f>
        <v>2175.03</v>
      </c>
      <c r="X47" s="113" t="n">
        <f aca="false">SUM(X15:X45)</f>
        <v>13334.8847536702</v>
      </c>
      <c r="Y47" s="113" t="n">
        <f aca="false">SUM(Y15:Y45)</f>
        <v>13334.8847536702</v>
      </c>
      <c r="Z47" s="113"/>
      <c r="AA47" s="113" t="n">
        <f aca="false">SUM(AA15:AA45)</f>
        <v>8042.0668410648</v>
      </c>
      <c r="AB47" s="113"/>
      <c r="AC47" s="113"/>
      <c r="AD47" s="113"/>
      <c r="AE47" s="113" t="n">
        <f aca="false">SUM(AE15:AE45)</f>
        <v>6529.5</v>
      </c>
      <c r="AF47" s="438" t="n">
        <f aca="false">SUM(AF15:AF45)</f>
        <v>52.7</v>
      </c>
      <c r="AG47" s="439" t="n">
        <f aca="false">SUM(AG15:AG45)</f>
        <v>40.3</v>
      </c>
      <c r="AH47" s="113" t="n">
        <f aca="false">SUM(AH15:AH45)</f>
        <v>1735.6</v>
      </c>
      <c r="AI47" s="113"/>
      <c r="AJ47" s="113" t="n">
        <f aca="false">SUM(AJ15:AJ45)</f>
        <v>0</v>
      </c>
      <c r="AK47" s="113" t="n">
        <f aca="false">SUM(AK15:AK45)</f>
        <v>23890.63</v>
      </c>
      <c r="AL47" s="113" t="n">
        <f aca="false">SUM(AL15:AL45)</f>
        <v>1784.55155911268</v>
      </c>
      <c r="AM47" s="113" t="n">
        <f aca="false">SUM(AM15:AM45)</f>
        <v>25675.1815591127</v>
      </c>
      <c r="AN47" s="231"/>
      <c r="AO47" s="113" t="n">
        <f aca="false">SUM(AO15:AO45)</f>
        <v>0</v>
      </c>
      <c r="AP47" s="143" t="n">
        <f aca="false">SUM(AP15:AP45)</f>
        <v>-8042.0668410648</v>
      </c>
      <c r="AQ47" s="517"/>
      <c r="AR47" s="143" t="n">
        <f aca="false">SUM(AR15:AR45)</f>
        <v>1029.52236589179</v>
      </c>
      <c r="AS47" s="143" t="n">
        <f aca="false">SUM(AS15:AS45)</f>
        <v>303.05</v>
      </c>
      <c r="AT47" s="171" t="n">
        <f aca="false">SUM(AT15:AT45)</f>
        <v>63.6</v>
      </c>
      <c r="AU47" s="143" t="n">
        <f aca="false">SUM(AU15:AU45)</f>
        <v>0</v>
      </c>
      <c r="AV47" s="330" t="n">
        <f aca="false">SUM(AV15:AV45)</f>
        <v>0.88</v>
      </c>
      <c r="AW47" s="226" t="n">
        <f aca="false">AVERAGE(AW15:AW45)</f>
        <v>91.0967741935484</v>
      </c>
      <c r="AX47" s="226" t="n">
        <f aca="false">AVERAGE(AX15:AX45)</f>
        <v>57.1935483870968</v>
      </c>
      <c r="AY47" s="234" t="s">
        <v>130</v>
      </c>
      <c r="AZ47" s="348" t="n">
        <f aca="false">SUM(AZ15:AZ45)</f>
        <v>332.2876122216</v>
      </c>
      <c r="BA47" s="143" t="n">
        <f aca="false">SUM(BA15:BA45)</f>
        <v>797.85</v>
      </c>
      <c r="BB47" s="85"/>
    </row>
    <row r="48" customFormat="false" ht="12.95" hidden="false" customHeight="true" outlineLevel="0" collapsed="false">
      <c r="A48" s="194" t="s">
        <v>107</v>
      </c>
      <c r="B48" s="224"/>
      <c r="C48" s="113"/>
      <c r="D48" s="113" t="n">
        <f aca="false">SUM(D15:D45)</f>
        <v>-39527</v>
      </c>
      <c r="E48" s="113"/>
      <c r="F48" s="225" t="n">
        <f aca="false">F47*$D$2</f>
        <v>-39527</v>
      </c>
      <c r="G48" s="113" t="n">
        <f aca="false">G47*$D$2</f>
        <v>11042.1445</v>
      </c>
      <c r="H48" s="226" t="n">
        <f aca="false">H47*$D$2</f>
        <v>0.0495875</v>
      </c>
      <c r="I48" s="113" t="n">
        <f aca="false">I47*$D$2</f>
        <v>11042.1940875</v>
      </c>
      <c r="J48" s="113" t="n">
        <f aca="false">J47*$D$2</f>
        <v>357.528535</v>
      </c>
      <c r="K48" s="113" t="n">
        <f aca="false">K47*$D$2</f>
        <v>11399.7226225</v>
      </c>
      <c r="L48" s="113" t="n">
        <f aca="false">L47*$D$2</f>
        <v>-3182.1294825</v>
      </c>
      <c r="M48" s="227" t="n">
        <f aca="false">M47*$D$2</f>
        <v>19565.244</v>
      </c>
      <c r="N48" s="113" t="n">
        <f aca="false">N47*$D$2</f>
        <v>31.93</v>
      </c>
      <c r="O48" s="113" t="n">
        <f aca="false">O47*$D$2</f>
        <v>5926.45998</v>
      </c>
      <c r="P48" s="171" t="n">
        <f aca="false">P47*$D$2</f>
        <v>1.9835</v>
      </c>
      <c r="Q48" s="113" t="n">
        <f aca="false">Q47*$D$2</f>
        <v>182.906082841544</v>
      </c>
      <c r="R48" s="113" t="n">
        <f aca="false">R47*$D$2</f>
        <v>256.45322500568</v>
      </c>
      <c r="S48" s="113" t="n">
        <f aca="false">S47*$D$2</f>
        <v>97.28556518664</v>
      </c>
      <c r="T48" s="113" t="n">
        <f aca="false">T47*$D$2</f>
        <v>88.53410580768</v>
      </c>
      <c r="U48" s="228" t="n">
        <f aca="false">U47*$D$2</f>
        <v>0</v>
      </c>
      <c r="V48" s="113" t="n">
        <f aca="false">V47*$D$2</f>
        <v>7239.97335</v>
      </c>
      <c r="W48" s="113" t="n">
        <f aca="false">W47*$D$2</f>
        <v>4314.172005</v>
      </c>
      <c r="X48" s="113" t="n">
        <f aca="false">X47*$D$2</f>
        <v>26449.7439089048</v>
      </c>
      <c r="Y48" s="113" t="n">
        <f aca="false">Y47*$D$2</f>
        <v>26449.7439089048</v>
      </c>
      <c r="Z48" s="113"/>
      <c r="AA48" s="113" t="n">
        <f aca="false">AA47*$D$2</f>
        <v>15951.439579252</v>
      </c>
      <c r="AB48" s="113"/>
      <c r="AC48" s="113"/>
      <c r="AD48" s="113"/>
      <c r="AE48" s="113" t="n">
        <f aca="false">AE47*$D$2</f>
        <v>12951.26325</v>
      </c>
      <c r="AF48" s="227" t="n">
        <f aca="false">AF47*$D$2</f>
        <v>104.53045</v>
      </c>
      <c r="AG48" s="229" t="n">
        <f aca="false">AG47*$D$2</f>
        <v>79.93505</v>
      </c>
      <c r="AH48" s="113" t="n">
        <f aca="false">AH47*$D$2</f>
        <v>3442.5626</v>
      </c>
      <c r="AI48" s="113"/>
      <c r="AJ48" s="113" t="n">
        <f aca="false">AJ47*$D$2</f>
        <v>0</v>
      </c>
      <c r="AK48" s="113" t="n">
        <f aca="false">AK47*$D$2</f>
        <v>47387.064605</v>
      </c>
      <c r="AL48" s="113" t="n">
        <f aca="false">AL47*$D$2</f>
        <v>3539.6580175</v>
      </c>
      <c r="AM48" s="113" t="n">
        <f aca="false">AM47*$D$2</f>
        <v>50926.7226225</v>
      </c>
      <c r="AN48" s="231"/>
      <c r="AO48" s="113" t="n">
        <f aca="false">AO47*$D$2</f>
        <v>0</v>
      </c>
      <c r="AP48" s="143"/>
      <c r="AQ48" s="517" t="n">
        <f aca="false">SUM(AQ15:AQ45)</f>
        <v>465.584203118918</v>
      </c>
      <c r="AR48" s="143" t="n">
        <f aca="false">AR47*$D$2</f>
        <v>2042.05761274636</v>
      </c>
      <c r="AS48" s="143" t="n">
        <f aca="false">AS47*$D$2</f>
        <v>601.099675</v>
      </c>
      <c r="AT48" s="171" t="n">
        <f aca="false">AT47*$D$2</f>
        <v>126.1506</v>
      </c>
      <c r="AU48" s="143" t="n">
        <f aca="false">AU47*$D$2</f>
        <v>0</v>
      </c>
      <c r="AV48" s="330"/>
      <c r="AW48" s="226" t="n">
        <f aca="false">MAX(AW15:AW45)</f>
        <v>98</v>
      </c>
      <c r="AX48" s="226" t="n">
        <f aca="false">MAX(AX15:AX45)</f>
        <v>65</v>
      </c>
      <c r="AY48" s="234" t="s">
        <v>35</v>
      </c>
      <c r="AZ48" s="348" t="n">
        <f aca="false">AZ47*$D$2</f>
        <v>659.092478841544</v>
      </c>
      <c r="BA48" s="143" t="n">
        <f aca="false">BA47*$D$2</f>
        <v>1582.535475</v>
      </c>
      <c r="BB48" s="85"/>
    </row>
    <row r="49" customFormat="false" ht="3" hidden="false" customHeight="true" outlineLevel="0" collapsed="false">
      <c r="A49" s="245"/>
      <c r="B49" s="267"/>
      <c r="C49" s="247"/>
      <c r="D49" s="247"/>
      <c r="E49" s="247"/>
      <c r="F49" s="270"/>
      <c r="G49" s="247"/>
      <c r="H49" s="257"/>
      <c r="I49" s="247"/>
      <c r="J49" s="247"/>
      <c r="K49" s="247"/>
      <c r="L49" s="247"/>
      <c r="M49" s="271"/>
      <c r="N49" s="247"/>
      <c r="O49" s="247"/>
      <c r="P49" s="252"/>
      <c r="Q49" s="247"/>
      <c r="R49" s="247"/>
      <c r="S49" s="247"/>
      <c r="T49" s="247"/>
      <c r="U49" s="253"/>
      <c r="V49" s="247"/>
      <c r="W49" s="247"/>
      <c r="X49" s="247"/>
      <c r="Y49" s="247"/>
      <c r="Z49" s="247"/>
      <c r="AA49" s="247"/>
      <c r="AB49" s="247"/>
      <c r="AC49" s="247"/>
      <c r="AD49" s="247"/>
      <c r="AE49" s="247"/>
      <c r="AF49" s="271"/>
      <c r="AG49" s="272"/>
      <c r="AH49" s="247"/>
      <c r="AI49" s="248"/>
      <c r="AJ49" s="247"/>
      <c r="AK49" s="247"/>
      <c r="AL49" s="247"/>
      <c r="AM49" s="247"/>
      <c r="AN49" s="274"/>
      <c r="AO49" s="247"/>
      <c r="AP49" s="254"/>
      <c r="AQ49" s="252"/>
      <c r="AR49" s="252"/>
      <c r="AS49" s="252"/>
      <c r="AT49" s="252"/>
      <c r="AU49" s="254"/>
      <c r="AV49" s="274"/>
      <c r="AW49" s="247"/>
      <c r="AX49" s="247"/>
      <c r="AY49" s="247"/>
      <c r="AZ49" s="247"/>
      <c r="BA49" s="247"/>
      <c r="BB49" s="247"/>
    </row>
    <row r="50" customFormat="false" ht="12.95" hidden="false" customHeight="true" outlineLevel="0" collapsed="false">
      <c r="A50" s="194" t="s">
        <v>109</v>
      </c>
      <c r="B50" s="224"/>
      <c r="C50" s="113"/>
      <c r="D50" s="113"/>
      <c r="E50" s="113"/>
      <c r="F50" s="225" t="n">
        <f aca="false">F12+F47</f>
        <v>19637.5094529872</v>
      </c>
      <c r="G50" s="113" t="n">
        <f aca="false">G12+G47</f>
        <v>89614</v>
      </c>
      <c r="H50" s="226" t="n">
        <f aca="false">H12+H47</f>
        <v>608.545</v>
      </c>
      <c r="I50" s="113" t="n">
        <f aca="false">I12+I47</f>
        <v>90222.545</v>
      </c>
      <c r="J50" s="113" t="n">
        <f aca="false">J12+J47</f>
        <v>1786.1599566423</v>
      </c>
      <c r="K50" s="113" t="n">
        <f aca="false">K12+K47</f>
        <v>92008.6949566423</v>
      </c>
      <c r="L50" s="113" t="n">
        <f aca="false">L12+L47</f>
        <v>-4503.23554701286</v>
      </c>
      <c r="M50" s="227" t="n">
        <f aca="false">M12+M47</f>
        <v>27757.3</v>
      </c>
      <c r="N50" s="113" t="n">
        <f aca="false">N12+N47</f>
        <v>30.6377615326443</v>
      </c>
      <c r="O50" s="113" t="n">
        <f aca="false">O12+O47</f>
        <v>8905.596</v>
      </c>
      <c r="P50" s="171" t="n">
        <f aca="false">P12+P47</f>
        <v>7</v>
      </c>
      <c r="Q50" s="113"/>
      <c r="R50" s="113"/>
      <c r="S50" s="113"/>
      <c r="T50" s="113"/>
      <c r="U50" s="228"/>
      <c r="V50" s="113" t="n">
        <f aca="false">V12+V47</f>
        <v>10034.08</v>
      </c>
      <c r="W50" s="113" t="n">
        <f aca="false">W12+W47</f>
        <v>6097.99</v>
      </c>
      <c r="X50" s="113" t="n">
        <f aca="false">X12+X47</f>
        <v>36287.9596948296</v>
      </c>
      <c r="Y50" s="113" t="n">
        <f aca="false">Y12+Y47</f>
        <v>36132.1232396731</v>
      </c>
      <c r="Z50" s="84"/>
      <c r="AA50" s="113"/>
      <c r="AB50" s="441"/>
      <c r="AC50" s="441"/>
      <c r="AD50" s="113"/>
      <c r="AE50" s="113" t="n">
        <f aca="false">AE12+AE47</f>
        <v>16679.33</v>
      </c>
      <c r="AF50" s="227" t="n">
        <f aca="false">AF12+AF47</f>
        <v>207.4</v>
      </c>
      <c r="AG50" s="229" t="n">
        <f aca="false">AG12+AG47</f>
        <v>158.6</v>
      </c>
      <c r="AH50" s="113"/>
      <c r="AI50" s="441"/>
      <c r="AJ50" s="113" t="n">
        <f aca="false">AJ12+AJ47</f>
        <v>0</v>
      </c>
      <c r="AK50" s="113" t="n">
        <f aca="false">AK12+AK47</f>
        <v>66081.79</v>
      </c>
      <c r="AL50" s="113" t="n">
        <f aca="false">AL12+AL47</f>
        <v>6289.39550365516</v>
      </c>
      <c r="AM50" s="113" t="n">
        <f aca="false">AM12+AM47</f>
        <v>72371.1855036552</v>
      </c>
      <c r="AN50" s="231"/>
      <c r="AO50" s="226"/>
      <c r="AP50" s="143"/>
      <c r="AQ50" s="517"/>
      <c r="AR50" s="143" t="n">
        <f aca="false">AR12+AR47</f>
        <v>2332.97736211059</v>
      </c>
      <c r="AS50" s="143" t="n">
        <f aca="false">AS12+AS47</f>
        <v>311.43</v>
      </c>
      <c r="AT50" s="171" t="n">
        <f aca="false">AT12+AT47</f>
        <v>68.71</v>
      </c>
      <c r="AU50" s="143" t="n">
        <f aca="false">AU12+AU47</f>
        <v>0</v>
      </c>
      <c r="AV50" s="330" t="s">
        <v>135</v>
      </c>
      <c r="AW50" s="226" t="n">
        <f aca="false">MIN(AW15:AW45)</f>
        <v>85</v>
      </c>
      <c r="AX50" s="226" t="n">
        <f aca="false">MIN(AX15:AX45)</f>
        <v>51</v>
      </c>
      <c r="AY50" s="234" t="s">
        <v>36</v>
      </c>
      <c r="AZ50" s="348" t="n">
        <f aca="false">AZ12+AZ47</f>
        <v>997.298451374751</v>
      </c>
      <c r="BA50" s="143" t="n">
        <f aca="false">BA12+BA47</f>
        <v>841.74</v>
      </c>
      <c r="BB50" s="85"/>
    </row>
    <row r="51" customFormat="false" ht="12.95" hidden="false" customHeight="true" outlineLevel="0" collapsed="false">
      <c r="A51" s="194" t="s">
        <v>111</v>
      </c>
      <c r="B51" s="224"/>
      <c r="C51" s="113"/>
      <c r="D51" s="113"/>
      <c r="E51" s="113"/>
      <c r="F51" s="225" t="n">
        <f aca="false">F50*$D$2</f>
        <v>38951</v>
      </c>
      <c r="G51" s="113" t="n">
        <f aca="false">G50*$D$2</f>
        <v>177749.369</v>
      </c>
      <c r="H51" s="226" t="n">
        <f aca="false">H50*$D$2</f>
        <v>1207.0490075</v>
      </c>
      <c r="I51" s="113" t="n">
        <f aca="false">I50*$D$2</f>
        <v>178956.4180075</v>
      </c>
      <c r="J51" s="113" t="n">
        <f aca="false">J50*$D$2</f>
        <v>3542.848274</v>
      </c>
      <c r="K51" s="113" t="n">
        <f aca="false">K50*$D$2</f>
        <v>182499.2464465</v>
      </c>
      <c r="L51" s="113" t="n">
        <f aca="false">L50*$D$2</f>
        <v>-8932.16770750001</v>
      </c>
      <c r="M51" s="227" t="n">
        <f aca="false">M50*$D$2</f>
        <v>55056.60455</v>
      </c>
      <c r="N51" s="113" t="n">
        <f aca="false">N50*$D$2</f>
        <v>60.77</v>
      </c>
      <c r="O51" s="113" t="n">
        <f aca="false">O50*$D$2</f>
        <v>17664.249666</v>
      </c>
      <c r="P51" s="171" t="n">
        <f aca="false">P50*$D$2</f>
        <v>13.8845</v>
      </c>
      <c r="Q51" s="113"/>
      <c r="R51" s="113"/>
      <c r="S51" s="113"/>
      <c r="T51" s="113"/>
      <c r="U51" s="228"/>
      <c r="V51" s="113" t="n">
        <f aca="false">V50*$D$2</f>
        <v>19902.59768</v>
      </c>
      <c r="W51" s="113" t="n">
        <f aca="false">W50*$D$2</f>
        <v>12095.363165</v>
      </c>
      <c r="X51" s="113" t="n">
        <f aca="false">X50*$D$2</f>
        <v>71977.1680546945</v>
      </c>
      <c r="Y51" s="113" t="n">
        <f aca="false">Y50*$D$2</f>
        <v>71668.0664458916</v>
      </c>
      <c r="Z51" s="84"/>
      <c r="AA51" s="113"/>
      <c r="AB51" s="113"/>
      <c r="AC51" s="113"/>
      <c r="AD51" s="113"/>
      <c r="AE51" s="113" t="n">
        <f aca="false">AE50*$D$2</f>
        <v>33083.451055</v>
      </c>
      <c r="AF51" s="227" t="n">
        <f aca="false">AF50*$D$2</f>
        <v>411.3779</v>
      </c>
      <c r="AG51" s="229" t="n">
        <f aca="false">AG50*$D$2</f>
        <v>314.5831</v>
      </c>
      <c r="AH51" s="113"/>
      <c r="AI51" s="113"/>
      <c r="AJ51" s="113" t="n">
        <f aca="false">AJ50*$D$2</f>
        <v>0</v>
      </c>
      <c r="AK51" s="113" t="n">
        <f aca="false">AK50*$D$2</f>
        <v>131073.230465</v>
      </c>
      <c r="AL51" s="113" t="n">
        <f aca="false">AL50*$D$2</f>
        <v>12475.0159815</v>
      </c>
      <c r="AM51" s="113" t="n">
        <f aca="false">AM50*$D$2</f>
        <v>143548.2464465</v>
      </c>
      <c r="AN51" s="231"/>
      <c r="AO51" s="226"/>
      <c r="AP51" s="143"/>
      <c r="AQ51" s="517" t="n">
        <f aca="false">AQ12+AQ48</f>
        <v>1753.53430024449</v>
      </c>
      <c r="AR51" s="143" t="n">
        <f aca="false">AR50*$D$2</f>
        <v>4627.46059774636</v>
      </c>
      <c r="AS51" s="143" t="n">
        <f aca="false">AS50*$D$2</f>
        <v>617.721405</v>
      </c>
      <c r="AT51" s="143" t="n">
        <f aca="false">AT50*$D$2</f>
        <v>136.286285</v>
      </c>
      <c r="AU51" s="143" t="n">
        <f aca="false">AU50*$D$2</f>
        <v>0</v>
      </c>
      <c r="AV51" s="330" t="n">
        <f aca="false">JUN!AV50+AV47</f>
        <v>2.18</v>
      </c>
      <c r="AW51" s="226"/>
      <c r="AX51" s="226"/>
      <c r="AY51" s="265"/>
      <c r="AZ51" s="348" t="n">
        <f aca="false">AZ50*$D$2</f>
        <v>1978.14147830182</v>
      </c>
      <c r="BA51" s="143" t="n">
        <f aca="false">BA50*$D$2</f>
        <v>1669.59129</v>
      </c>
      <c r="BB51" s="85"/>
    </row>
    <row r="52" customFormat="false" ht="3" hidden="false" customHeight="true" outlineLevel="0" collapsed="false">
      <c r="A52" s="245"/>
      <c r="B52" s="267"/>
      <c r="C52" s="247"/>
      <c r="D52" s="247"/>
      <c r="E52" s="247"/>
      <c r="F52" s="270"/>
      <c r="G52" s="247"/>
      <c r="H52" s="257"/>
      <c r="I52" s="247"/>
      <c r="J52" s="247"/>
      <c r="K52" s="247"/>
      <c r="L52" s="247"/>
      <c r="M52" s="271"/>
      <c r="N52" s="247"/>
      <c r="O52" s="247"/>
      <c r="P52" s="252"/>
      <c r="Q52" s="247"/>
      <c r="R52" s="247"/>
      <c r="S52" s="247"/>
      <c r="T52" s="247"/>
      <c r="U52" s="253"/>
      <c r="V52" s="247"/>
      <c r="W52" s="247"/>
      <c r="X52" s="247"/>
      <c r="Y52" s="247"/>
      <c r="Z52" s="247"/>
      <c r="AA52" s="247"/>
      <c r="AB52" s="247"/>
      <c r="AC52" s="247"/>
      <c r="AD52" s="257"/>
      <c r="AE52" s="247"/>
      <c r="AF52" s="271"/>
      <c r="AG52" s="272"/>
      <c r="AH52" s="247"/>
      <c r="AI52" s="247"/>
      <c r="AJ52" s="247"/>
      <c r="AK52" s="247"/>
      <c r="AL52" s="247"/>
      <c r="AM52" s="247"/>
      <c r="AN52" s="274"/>
      <c r="AO52" s="247"/>
      <c r="AP52" s="254"/>
      <c r="AQ52" s="252"/>
      <c r="AR52" s="252"/>
      <c r="AS52" s="252"/>
      <c r="AT52" s="252"/>
      <c r="AU52" s="254"/>
      <c r="AV52" s="515"/>
      <c r="AW52" s="247"/>
      <c r="AX52" s="247"/>
      <c r="AY52" s="247"/>
      <c r="AZ52" s="247"/>
      <c r="BA52" s="247"/>
      <c r="BB52" s="247"/>
    </row>
    <row r="53" customFormat="false" ht="12.95" hidden="false" customHeight="true" outlineLevel="0" collapsed="false">
      <c r="A53" s="194" t="s">
        <v>112</v>
      </c>
      <c r="B53" s="224"/>
      <c r="C53" s="113"/>
      <c r="D53" s="113"/>
      <c r="E53" s="113"/>
      <c r="F53" s="225" t="n">
        <f aca="false">F13+F47</f>
        <v>29582.5560877237</v>
      </c>
      <c r="G53" s="113" t="n">
        <f aca="false">G13+G47</f>
        <v>102131</v>
      </c>
      <c r="H53" s="226" t="n">
        <f aca="false">H13+H47</f>
        <v>638.65</v>
      </c>
      <c r="I53" s="113" t="n">
        <f aca="false">I13+I47</f>
        <v>102769.03</v>
      </c>
      <c r="J53" s="113" t="n">
        <f aca="false">J13+J47</f>
        <v>3701.87688933703</v>
      </c>
      <c r="K53" s="113" t="n">
        <f aca="false">K13+K47</f>
        <v>106470.896889337</v>
      </c>
      <c r="L53" s="113" t="n">
        <f aca="false">L13+L47</f>
        <v>-3463.93391227628</v>
      </c>
      <c r="M53" s="227" t="n">
        <f aca="false">M13+M47</f>
        <v>28394.34</v>
      </c>
      <c r="N53" s="113" t="n">
        <f aca="false">N13+N47</f>
        <v>30.6377615326443</v>
      </c>
      <c r="O53" s="113" t="n">
        <f aca="false">O13+O47</f>
        <v>8905.596</v>
      </c>
      <c r="P53" s="171"/>
      <c r="Q53" s="113" t="n">
        <f aca="false">Q13+Q47</f>
        <v>529.743991200062</v>
      </c>
      <c r="R53" s="113" t="n">
        <f aca="false">R13+R47</f>
        <v>673.337624794581</v>
      </c>
      <c r="S53" s="113" t="n">
        <f aca="false">S13+S47</f>
        <v>104.82723952</v>
      </c>
      <c r="T53" s="113" t="n">
        <f aca="false">T13+T47</f>
        <v>194.0703544</v>
      </c>
      <c r="U53" s="327" t="n">
        <f aca="false">U13+U47</f>
        <v>-65.0339372790604</v>
      </c>
      <c r="V53" s="113" t="n">
        <f aca="false">V13+V47</f>
        <v>10034.08</v>
      </c>
      <c r="W53" s="113" t="n">
        <f aca="false">W13+W47</f>
        <v>6097.99</v>
      </c>
      <c r="X53" s="113" t="n">
        <f aca="false">X13+X47</f>
        <v>36395.4581279424</v>
      </c>
      <c r="Y53" s="113" t="n">
        <f aca="false">Y13+Y47</f>
        <v>36239.6216727858</v>
      </c>
      <c r="Z53" s="113"/>
      <c r="AA53" s="113"/>
      <c r="AB53" s="113"/>
      <c r="AC53" s="113"/>
      <c r="AD53" s="226"/>
      <c r="AE53" s="113"/>
      <c r="AF53" s="227" t="n">
        <f aca="false">AF13+AF47</f>
        <v>207.4</v>
      </c>
      <c r="AG53" s="229" t="n">
        <f aca="false">AG13+AG47</f>
        <v>158.6</v>
      </c>
      <c r="AH53" s="113" t="n">
        <f aca="false">AH13+AH47</f>
        <v>8585.5</v>
      </c>
      <c r="AI53" s="113" t="n">
        <f aca="false">AI45</f>
        <v>9042.34923115706</v>
      </c>
      <c r="AJ53" s="113" t="n">
        <f aca="false">AJ13+AJ47</f>
        <v>0</v>
      </c>
      <c r="AK53" s="113" t="n">
        <f aca="false">AK13+AK47</f>
        <v>69722.53</v>
      </c>
      <c r="AL53" s="113" t="n">
        <f aca="false">AL13+AL47</f>
        <v>7165.81080161331</v>
      </c>
      <c r="AM53" s="518" t="n">
        <f aca="false">AM13+AM47</f>
        <v>76888.3408016133</v>
      </c>
      <c r="AN53" s="113" t="n">
        <f aca="false">AN13+AN47</f>
        <v>2927.4</v>
      </c>
      <c r="AO53" s="113" t="n">
        <f aca="false">AO13+AO47</f>
        <v>235.836455156528</v>
      </c>
      <c r="AP53" s="143"/>
      <c r="AQ53" s="517"/>
      <c r="AR53" s="517"/>
      <c r="AS53" s="142" t="n">
        <f aca="false">AS13+AS47</f>
        <v>311.43</v>
      </c>
      <c r="AT53" s="517"/>
      <c r="AU53" s="518" t="n">
        <f aca="false">AU13+AU47</f>
        <v>0</v>
      </c>
      <c r="AV53" s="330" t="n">
        <f aca="false">AV13+AV47</f>
        <v>7.02</v>
      </c>
      <c r="AW53" s="226"/>
      <c r="AX53" s="226"/>
      <c r="AY53" s="265"/>
      <c r="AZ53" s="348" t="n">
        <f aca="false">AZ13+AZ47</f>
        <v>1475.102318262</v>
      </c>
      <c r="BA53" s="142" t="n">
        <f aca="false">BA13+BA47</f>
        <v>841.74</v>
      </c>
      <c r="BB53" s="85"/>
    </row>
    <row r="54" customFormat="false" ht="12.95" hidden="false" customHeight="true" outlineLevel="0" collapsed="false">
      <c r="A54" s="194" t="s">
        <v>113</v>
      </c>
      <c r="B54" s="224"/>
      <c r="C54" s="113"/>
      <c r="D54" s="113" t="n">
        <f aca="false">D13+D48</f>
        <v>58677</v>
      </c>
      <c r="E54" s="113" t="n">
        <f aca="false">E45</f>
        <v>80399</v>
      </c>
      <c r="F54" s="225" t="n">
        <f aca="false">F53*$D$2</f>
        <v>58677</v>
      </c>
      <c r="G54" s="113" t="n">
        <f aca="false">G53*$D$2</f>
        <v>202576.8385</v>
      </c>
      <c r="H54" s="226" t="n">
        <f aca="false">H53*$D$2</f>
        <v>1266.762275</v>
      </c>
      <c r="I54" s="113" t="n">
        <f aca="false">I53*$D$2</f>
        <v>203842.371005</v>
      </c>
      <c r="J54" s="113" t="n">
        <f aca="false">J53*$D$2</f>
        <v>7342.67281</v>
      </c>
      <c r="K54" s="113" t="n">
        <f aca="false">K53*$D$2</f>
        <v>211185.02398</v>
      </c>
      <c r="L54" s="113" t="n">
        <f aca="false">L53*$D$2</f>
        <v>-6870.71291500001</v>
      </c>
      <c r="M54" s="227" t="n">
        <f aca="false">M53*$D$2</f>
        <v>56320.17339</v>
      </c>
      <c r="N54" s="113" t="n">
        <f aca="false">N53*$D$2</f>
        <v>60.77</v>
      </c>
      <c r="O54" s="113" t="n">
        <f aca="false">O53*$D$2</f>
        <v>17664.249666</v>
      </c>
      <c r="P54" s="171"/>
      <c r="Q54" s="226" t="n">
        <f aca="false">Q53*$D$2</f>
        <v>1050.74720654532</v>
      </c>
      <c r="R54" s="226" t="n">
        <f aca="false">R53*$D$2</f>
        <v>1335.56517878005</v>
      </c>
      <c r="S54" s="239" t="n">
        <f aca="false">S53*$D$2</f>
        <v>207.92482958792</v>
      </c>
      <c r="T54" s="239" t="n">
        <f aca="false">T53*$D$2</f>
        <v>384.9385479524</v>
      </c>
      <c r="U54" s="433" t="n">
        <f aca="false">U53*$D$2</f>
        <v>-128.994814593016</v>
      </c>
      <c r="V54" s="113" t="n">
        <f aca="false">V53*$D$2</f>
        <v>19902.59768</v>
      </c>
      <c r="W54" s="113" t="n">
        <f aca="false">W53*$D$2</f>
        <v>12095.363165</v>
      </c>
      <c r="X54" s="113" t="n">
        <f aca="false">X53*$D$2</f>
        <v>72190.3911967737</v>
      </c>
      <c r="Y54" s="113" t="n">
        <f aca="false">Y53*$D$2</f>
        <v>71881.2895879707</v>
      </c>
      <c r="Z54" s="113"/>
      <c r="AA54" s="113"/>
      <c r="AB54" s="113"/>
      <c r="AC54" s="113"/>
      <c r="AD54" s="226"/>
      <c r="AE54" s="113"/>
      <c r="AF54" s="277" t="n">
        <f aca="false">AF53*$D$2</f>
        <v>411.3779</v>
      </c>
      <c r="AG54" s="278" t="n">
        <f aca="false">AG53*$D$2</f>
        <v>314.5831</v>
      </c>
      <c r="AH54" s="113" t="n">
        <f aca="false">AH53*$D$2</f>
        <v>17029.33925</v>
      </c>
      <c r="AI54" s="113" t="n">
        <f aca="false">AI53*$D$2</f>
        <v>17935.4997</v>
      </c>
      <c r="AJ54" s="113" t="n">
        <f aca="false">AJ53*$D$2</f>
        <v>0</v>
      </c>
      <c r="AK54" s="113" t="n">
        <f aca="false">AK53*$D$2</f>
        <v>138294.638255</v>
      </c>
      <c r="AL54" s="113" t="n">
        <f aca="false">AL53*$D$2</f>
        <v>14213.385725</v>
      </c>
      <c r="AM54" s="279" t="n">
        <f aca="false">AM53*$D$2</f>
        <v>152508.02398</v>
      </c>
      <c r="AN54" s="113" t="n">
        <f aca="false">AN53*$D$2</f>
        <v>5806.4979</v>
      </c>
      <c r="AO54" s="113" t="n">
        <f aca="false">AO53*$D$2</f>
        <v>467.781608802973</v>
      </c>
      <c r="AP54" s="143"/>
      <c r="AQ54" s="517" t="n">
        <f aca="false">AQ13+AQ48</f>
        <v>1753.53430024449</v>
      </c>
      <c r="AR54" s="171"/>
      <c r="AS54" s="142" t="n">
        <f aca="false">AS53*$D$2</f>
        <v>617.721405</v>
      </c>
      <c r="AT54" s="171"/>
      <c r="AU54" s="279" t="n">
        <f aca="false">AU53*$D$2</f>
        <v>0</v>
      </c>
      <c r="AV54" s="330"/>
      <c r="AW54" s="226"/>
      <c r="AX54" s="226"/>
      <c r="AY54" s="265"/>
      <c r="AZ54" s="348" t="n">
        <f aca="false">AZ53*$D$2</f>
        <v>2925.86544827268</v>
      </c>
      <c r="BA54" s="142" t="n">
        <f aca="false">BA53*$D$2</f>
        <v>1669.59129</v>
      </c>
      <c r="BB54" s="85"/>
    </row>
    <row r="55" customFormat="false" ht="3" hidden="false" customHeight="true" outlineLevel="0" collapsed="false">
      <c r="A55" s="245"/>
      <c r="B55" s="519"/>
      <c r="C55" s="520"/>
      <c r="D55" s="245"/>
      <c r="E55" s="520"/>
      <c r="F55" s="521"/>
      <c r="G55" s="245"/>
      <c r="H55" s="522"/>
      <c r="I55" s="245"/>
      <c r="J55" s="245"/>
      <c r="K55" s="245"/>
      <c r="L55" s="245"/>
      <c r="M55" s="523"/>
      <c r="N55" s="245"/>
      <c r="O55" s="245"/>
      <c r="P55" s="524"/>
      <c r="Q55" s="245"/>
      <c r="R55" s="245"/>
      <c r="S55" s="245"/>
      <c r="T55" s="245"/>
      <c r="U55" s="525"/>
      <c r="V55" s="245"/>
      <c r="W55" s="245"/>
      <c r="X55" s="245"/>
      <c r="Y55" s="245"/>
      <c r="Z55" s="520"/>
      <c r="AA55" s="245"/>
      <c r="AB55" s="520"/>
      <c r="AC55" s="520"/>
      <c r="AD55" s="526"/>
      <c r="AE55" s="245"/>
      <c r="AF55" s="251"/>
      <c r="AG55" s="255"/>
      <c r="AH55" s="245"/>
      <c r="AI55" s="520"/>
      <c r="AJ55" s="520"/>
      <c r="AK55" s="245"/>
      <c r="AL55" s="245"/>
      <c r="AM55" s="245"/>
      <c r="AN55" s="267"/>
      <c r="AO55" s="248"/>
      <c r="AP55" s="254"/>
      <c r="AQ55" s="254"/>
      <c r="AR55" s="254"/>
      <c r="AS55" s="252"/>
      <c r="AT55" s="252"/>
      <c r="AU55" s="254"/>
      <c r="AV55" s="519"/>
      <c r="AW55" s="245"/>
      <c r="AX55" s="245"/>
      <c r="AY55" s="245"/>
      <c r="AZ55" s="245"/>
      <c r="BA55" s="245"/>
      <c r="BB55" s="245"/>
    </row>
    <row r="56" customFormat="false" ht="11.1" hidden="false" customHeight="true" outlineLevel="0" collapsed="false">
      <c r="A56" s="194"/>
      <c r="B56" s="185"/>
      <c r="C56" s="2"/>
      <c r="D56" s="11"/>
      <c r="E56" s="487"/>
      <c r="F56" s="1"/>
      <c r="G56" s="1"/>
      <c r="H56" s="4"/>
      <c r="I56" s="11"/>
      <c r="J56" s="11"/>
      <c r="K56" s="488"/>
      <c r="L56" s="161"/>
      <c r="M56" s="11"/>
      <c r="N56" s="11"/>
      <c r="O56" s="11"/>
      <c r="P56" s="5"/>
      <c r="Q56" s="11"/>
      <c r="R56" s="11"/>
      <c r="S56" s="11"/>
      <c r="T56" s="11"/>
      <c r="U56" s="5"/>
      <c r="V56" s="11"/>
      <c r="W56" s="11"/>
      <c r="X56" s="11"/>
      <c r="Y56" s="11"/>
      <c r="Z56" s="1"/>
      <c r="AA56" s="11"/>
      <c r="AB56" s="1"/>
      <c r="AC56" s="1"/>
      <c r="AD56" s="9"/>
      <c r="AE56" s="11"/>
      <c r="AF56" s="11"/>
      <c r="AG56" s="11"/>
      <c r="AH56" s="11"/>
      <c r="AI56" s="487"/>
      <c r="AJ56" s="490"/>
      <c r="AK56" s="487"/>
      <c r="AL56" s="194"/>
      <c r="AM56" s="194"/>
      <c r="AN56" s="192"/>
      <c r="AO56" s="192"/>
      <c r="AP56" s="335"/>
      <c r="AV56" s="8"/>
      <c r="AX56" s="191"/>
    </row>
    <row r="57" customFormat="false" ht="11.1" hidden="false" customHeight="true" outlineLevel="0" collapsed="false">
      <c r="A57" s="194"/>
      <c r="B57" s="185"/>
      <c r="C57" s="2"/>
      <c r="D57" s="1"/>
      <c r="E57" s="390"/>
      <c r="F57" s="197"/>
      <c r="G57" s="1"/>
      <c r="H57" s="4"/>
      <c r="I57" s="12"/>
      <c r="J57" s="11"/>
      <c r="K57" s="186"/>
      <c r="L57" s="110"/>
      <c r="M57" s="11"/>
      <c r="N57" s="11"/>
      <c r="O57" s="11"/>
      <c r="P57" s="5"/>
      <c r="Q57" s="11"/>
      <c r="R57" s="11"/>
      <c r="S57" s="137"/>
      <c r="T57" s="137"/>
      <c r="U57" s="98"/>
      <c r="V57" s="26"/>
      <c r="W57" s="137"/>
      <c r="X57" s="491"/>
      <c r="Y57" s="491"/>
      <c r="Z57" s="161"/>
      <c r="AA57" s="491"/>
      <c r="AB57" s="161"/>
      <c r="AC57" s="161"/>
      <c r="AE57" s="26"/>
      <c r="AF57" s="26"/>
      <c r="AG57" s="26"/>
      <c r="AH57" s="137"/>
      <c r="AI57" s="95"/>
      <c r="AJ57" s="391"/>
      <c r="AK57" s="2"/>
      <c r="AL57" s="194"/>
      <c r="AN57" s="197"/>
      <c r="AO57" s="197"/>
      <c r="AP57" s="335"/>
    </row>
    <row r="58" customFormat="false" ht="11.1" hidden="false" customHeight="true" outlineLevel="0" collapsed="false">
      <c r="B58" s="161"/>
      <c r="E58" s="390"/>
      <c r="F58" s="238"/>
      <c r="G58" s="1"/>
      <c r="H58" s="4"/>
      <c r="I58" s="1"/>
      <c r="J58" s="1"/>
      <c r="K58" s="391"/>
      <c r="L58" s="449"/>
      <c r="M58" s="492"/>
      <c r="N58" s="492"/>
      <c r="O58" s="390"/>
      <c r="P58" s="494"/>
      <c r="Q58" s="390"/>
      <c r="R58" s="390"/>
      <c r="S58" s="26"/>
      <c r="T58" s="26"/>
      <c r="U58" s="98"/>
      <c r="V58" s="26"/>
      <c r="W58" s="137"/>
      <c r="X58" s="95"/>
      <c r="Y58" s="95"/>
      <c r="Z58" s="161"/>
      <c r="AA58" s="95"/>
      <c r="AB58" s="161"/>
      <c r="AC58" s="161"/>
      <c r="AE58" s="161"/>
      <c r="AF58" s="161"/>
      <c r="AG58" s="161"/>
      <c r="AH58" s="95"/>
      <c r="AI58" s="26"/>
      <c r="AJ58" s="495"/>
      <c r="AK58" s="26"/>
      <c r="AN58" s="189"/>
      <c r="AO58" s="189"/>
      <c r="AP58" s="335"/>
    </row>
    <row r="59" customFormat="false" ht="11.1" hidden="false" customHeight="true" outlineLevel="0" collapsed="false">
      <c r="G59" s="283"/>
      <c r="AN59" s="189"/>
      <c r="AO59" s="189"/>
      <c r="AP59" s="335"/>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90"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99"/>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95" width="5.66"/>
    <col collapsed="false" customWidth="true" hidden="false" outlineLevel="0" max="11" min="9" style="56" width="6.32"/>
    <col collapsed="false" customWidth="true" hidden="false" outlineLevel="0" max="12" min="12" style="56" width="6.82"/>
    <col collapsed="false" customWidth="true" hidden="false" outlineLevel="0" max="13" min="13" style="110" width="5.49"/>
    <col collapsed="false" customWidth="true" hidden="false" outlineLevel="0" max="14" min="14" style="110" width="4.49"/>
    <col collapsed="false" customWidth="true" hidden="false" outlineLevel="0" max="15" min="15" style="110" width="5.49"/>
    <col collapsed="false" customWidth="true" hidden="false" outlineLevel="0" max="16" min="16" style="8" width="4.82"/>
    <col collapsed="false" customWidth="true" hidden="false" outlineLevel="0" max="20" min="17" style="56" width="4.32"/>
    <col collapsed="false" customWidth="true" hidden="false" outlineLevel="0" max="21" min="21" style="8" width="5.16"/>
    <col collapsed="false" customWidth="true" hidden="false" outlineLevel="0" max="22" min="22" style="56" width="5.49"/>
    <col collapsed="false" customWidth="true" hidden="false" outlineLevel="0" max="23" min="23" style="161" width="5.49"/>
    <col collapsed="false" customWidth="true" hidden="false" outlineLevel="0" max="25" min="24" style="56" width="6.32"/>
    <col collapsed="false" customWidth="true" hidden="false" outlineLevel="0" max="26" min="26" style="56" width="5.49"/>
    <col collapsed="false" customWidth="true" hidden="false" outlineLevel="0" max="27" min="27" style="56" width="6.32"/>
    <col collapsed="false" customWidth="true" hidden="false" outlineLevel="0" max="28" min="28" style="56" width="5.49"/>
    <col collapsed="false" customWidth="true" hidden="false" outlineLevel="0" max="29" min="29" style="161" width="5.82"/>
    <col collapsed="false" customWidth="true" hidden="false" outlineLevel="0" max="30" min="30" style="161" width="5.49"/>
    <col collapsed="false" customWidth="true" hidden="false" outlineLevel="0" max="33" min="31" style="56" width="5.49"/>
    <col collapsed="false" customWidth="true" hidden="false" outlineLevel="0" max="34" min="34" style="56" width="6.32"/>
    <col collapsed="false" customWidth="true" hidden="false" outlineLevel="0" max="35" min="35" style="56" width="5.49"/>
    <col collapsed="false" customWidth="true" hidden="false" outlineLevel="0" max="36" min="36" style="189" width="6.32"/>
    <col collapsed="false" customWidth="true" hidden="false" outlineLevel="0" max="37" min="37" style="8" width="6.32"/>
    <col collapsed="false" customWidth="true" hidden="false" outlineLevel="0" max="38" min="38" style="188" width="6.82"/>
    <col collapsed="false" customWidth="true" hidden="false" outlineLevel="0" max="39" min="39" style="191" width="6.82"/>
    <col collapsed="false" customWidth="true" hidden="false" outlineLevel="0" max="41" min="40" style="392" width="5.49"/>
    <col collapsed="false" customWidth="true" hidden="false" outlineLevel="0" max="42" min="42" style="418" width="6.32"/>
    <col collapsed="false" customWidth="true" hidden="false" outlineLevel="0" max="43" min="43" style="189" width="6.32"/>
    <col collapsed="false" customWidth="true" hidden="false" outlineLevel="0" max="44" min="44" style="189" width="5.49"/>
    <col collapsed="false" customWidth="true" hidden="false" outlineLevel="0" max="45" min="45" style="189" width="5.82"/>
    <col collapsed="false" customWidth="true" hidden="false" outlineLevel="0" max="47" min="46" style="335" width="5.82"/>
    <col collapsed="false" customWidth="true" hidden="false" outlineLevel="0" max="48" min="48" style="192" width="5.32"/>
    <col collapsed="false" customWidth="true" hidden="false" outlineLevel="0" max="50" min="49" style="56" width="3.82"/>
    <col collapsed="false" customWidth="true" hidden="false" outlineLevel="0" max="51" min="51" style="193" width="3.82"/>
    <col collapsed="false" customWidth="true" hidden="false" outlineLevel="0" max="52" min="52" style="193" width="5.49"/>
    <col collapsed="false" customWidth="false" hidden="false" outlineLevel="0" max="54" min="53" style="56" width="9.32"/>
    <col collapsed="false" customWidth="false" hidden="false" outlineLevel="0" max="257" min="55" style="193" width="9.32"/>
  </cols>
  <sheetData>
    <row r="1" customFormat="false" ht="14.1" hidden="false" customHeight="true" outlineLevel="0" collapsed="false">
      <c r="A1" s="194"/>
      <c r="B1" s="194"/>
      <c r="D1" s="194"/>
      <c r="F1" s="194"/>
      <c r="G1" s="194"/>
      <c r="I1" s="194"/>
      <c r="J1" s="194"/>
      <c r="K1" s="299" t="s">
        <v>0</v>
      </c>
      <c r="L1" s="299"/>
      <c r="M1" s="299"/>
      <c r="N1" s="299"/>
      <c r="O1" s="299"/>
      <c r="P1" s="299"/>
      <c r="Q1" s="299"/>
      <c r="R1" s="299"/>
      <c r="S1" s="299"/>
      <c r="T1" s="299"/>
      <c r="U1" s="299"/>
      <c r="V1" s="299"/>
      <c r="W1" s="299"/>
      <c r="X1" s="161"/>
      <c r="Y1" s="161"/>
      <c r="Z1" s="194"/>
      <c r="AA1" s="161"/>
      <c r="AB1" s="194"/>
      <c r="AC1" s="194"/>
      <c r="AE1" s="194"/>
      <c r="AF1" s="194"/>
      <c r="AG1" s="194"/>
      <c r="AH1" s="161"/>
      <c r="AI1" s="194"/>
      <c r="AJ1" s="197"/>
      <c r="AK1" s="194"/>
      <c r="AL1" s="194"/>
      <c r="AM1" s="8"/>
      <c r="AN1" s="197"/>
      <c r="AO1" s="197"/>
      <c r="AQ1" s="392"/>
      <c r="AR1" s="392"/>
      <c r="AS1" s="414"/>
      <c r="AV1" s="188"/>
      <c r="AW1" s="191"/>
      <c r="AX1" s="192"/>
    </row>
    <row r="2" customFormat="false" ht="14.1" hidden="false" customHeight="true" outlineLevel="0" collapsed="false">
      <c r="A2" s="197" t="s">
        <v>1</v>
      </c>
      <c r="B2" s="194"/>
      <c r="D2" s="198" t="n">
        <v>1.9835</v>
      </c>
      <c r="F2" s="194"/>
      <c r="G2" s="194"/>
      <c r="I2" s="194"/>
      <c r="J2" s="194"/>
      <c r="K2" s="299" t="s">
        <v>143</v>
      </c>
      <c r="L2" s="299"/>
      <c r="M2" s="299"/>
      <c r="N2" s="299"/>
      <c r="O2" s="299"/>
      <c r="P2" s="299"/>
      <c r="Q2" s="299"/>
      <c r="R2" s="299"/>
      <c r="S2" s="299"/>
      <c r="T2" s="299"/>
      <c r="U2" s="299"/>
      <c r="V2" s="299"/>
      <c r="W2" s="299"/>
      <c r="X2" s="89"/>
      <c r="Y2" s="89"/>
      <c r="Z2" s="200" t="s">
        <v>118</v>
      </c>
      <c r="AA2" s="200"/>
      <c r="AB2" s="200"/>
      <c r="AC2" s="200"/>
      <c r="AD2" s="200"/>
      <c r="AE2" s="194"/>
      <c r="AF2" s="194"/>
      <c r="AG2" s="194"/>
      <c r="AH2" s="161"/>
      <c r="AI2" s="194"/>
      <c r="AJ2" s="197"/>
      <c r="AK2" s="194"/>
      <c r="AL2" s="194"/>
      <c r="AM2" s="8"/>
      <c r="AN2" s="197"/>
      <c r="AO2" s="197"/>
      <c r="AQ2" s="392"/>
      <c r="AR2" s="392"/>
      <c r="AS2" s="414"/>
      <c r="AV2" s="188"/>
      <c r="AW2" s="191"/>
      <c r="AX2" s="192"/>
    </row>
    <row r="3" customFormat="false" ht="14.1" hidden="false" customHeight="true" outlineLevel="0" collapsed="false">
      <c r="A3" s="202"/>
      <c r="B3" s="202"/>
      <c r="C3" s="203"/>
      <c r="D3" s="204"/>
      <c r="E3" s="203"/>
      <c r="F3" s="202"/>
      <c r="G3" s="202"/>
      <c r="H3" s="205"/>
      <c r="I3" s="202"/>
      <c r="J3" s="202"/>
      <c r="K3" s="202"/>
      <c r="L3" s="202"/>
      <c r="M3" s="202"/>
      <c r="N3" s="202"/>
      <c r="O3" s="203"/>
      <c r="P3" s="206"/>
      <c r="Q3" s="206"/>
      <c r="R3" s="206"/>
      <c r="S3" s="206"/>
      <c r="T3" s="206"/>
      <c r="U3" s="206"/>
      <c r="V3" s="202"/>
      <c r="W3" s="202"/>
      <c r="X3" s="203"/>
      <c r="Y3" s="203"/>
      <c r="Z3" s="202"/>
      <c r="AA3" s="203"/>
      <c r="AB3" s="202"/>
      <c r="AC3" s="202"/>
      <c r="AD3" s="203"/>
      <c r="AE3" s="202"/>
      <c r="AF3" s="202"/>
      <c r="AG3" s="202"/>
      <c r="AH3" s="203"/>
      <c r="AI3" s="202"/>
      <c r="AJ3" s="208"/>
      <c r="AK3" s="202"/>
      <c r="AL3" s="202"/>
      <c r="AM3" s="206"/>
      <c r="AN3" s="208"/>
      <c r="AO3" s="208"/>
      <c r="AP3" s="527"/>
      <c r="AQ3" s="528"/>
      <c r="AR3" s="392"/>
      <c r="AS3" s="414"/>
      <c r="AV3" s="211"/>
      <c r="AW3" s="212"/>
      <c r="AX3" s="213"/>
      <c r="BA3" s="209"/>
      <c r="BB3" s="209"/>
    </row>
    <row r="4" s="56" customFormat="true" ht="14.1" hidden="false" customHeight="true" outlineLevel="0" collapsed="false">
      <c r="A4" s="194"/>
      <c r="B4" s="529" t="s">
        <v>3</v>
      </c>
      <c r="C4" s="529"/>
      <c r="D4" s="529"/>
      <c r="E4" s="529"/>
      <c r="F4" s="529"/>
      <c r="G4" s="530" t="s">
        <v>115</v>
      </c>
      <c r="H4" s="530"/>
      <c r="I4" s="530"/>
      <c r="J4" s="530"/>
      <c r="K4" s="530"/>
      <c r="L4" s="530"/>
      <c r="M4" s="531" t="s">
        <v>5</v>
      </c>
      <c r="N4" s="531"/>
      <c r="O4" s="531"/>
      <c r="P4" s="531"/>
      <c r="Q4" s="531"/>
      <c r="R4" s="531"/>
      <c r="S4" s="531"/>
      <c r="T4" s="531"/>
      <c r="U4" s="531"/>
      <c r="V4" s="531"/>
      <c r="W4" s="531"/>
      <c r="X4" s="531"/>
      <c r="Y4" s="531"/>
      <c r="Z4" s="531"/>
      <c r="AA4" s="531"/>
      <c r="AB4" s="531"/>
      <c r="AC4" s="531"/>
      <c r="AD4" s="531"/>
      <c r="AE4" s="531"/>
      <c r="AF4" s="531"/>
      <c r="AG4" s="531"/>
      <c r="AH4" s="531"/>
      <c r="AI4" s="531"/>
      <c r="AJ4" s="531"/>
      <c r="AK4" s="531"/>
      <c r="AL4" s="531"/>
      <c r="AM4" s="531"/>
      <c r="AN4" s="532" t="s">
        <v>6</v>
      </c>
      <c r="AO4" s="532"/>
      <c r="AP4" s="532"/>
      <c r="AQ4" s="532"/>
      <c r="AR4" s="532"/>
      <c r="AS4" s="532"/>
      <c r="AT4" s="532"/>
      <c r="AU4" s="532"/>
      <c r="AV4" s="532" t="s">
        <v>7</v>
      </c>
      <c r="AW4" s="532"/>
      <c r="AX4" s="532"/>
      <c r="AY4" s="532"/>
      <c r="AZ4" s="411"/>
      <c r="BB4" s="57"/>
    </row>
    <row r="5" customFormat="fals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424" t="s">
        <v>16</v>
      </c>
      <c r="M5" s="462" t="s">
        <v>18</v>
      </c>
      <c r="N5" s="462"/>
      <c r="O5" s="462"/>
      <c r="P5" s="462"/>
      <c r="Q5" s="462"/>
      <c r="R5" s="462"/>
      <c r="S5" s="462"/>
      <c r="T5" s="462"/>
      <c r="U5" s="462"/>
      <c r="V5" s="333" t="s">
        <v>19</v>
      </c>
      <c r="W5" s="333" t="s">
        <v>20</v>
      </c>
      <c r="X5" s="58" t="s">
        <v>17</v>
      </c>
      <c r="Y5" s="58" t="s">
        <v>17</v>
      </c>
      <c r="Z5" s="64" t="s">
        <v>21</v>
      </c>
      <c r="AA5" s="58" t="s">
        <v>21</v>
      </c>
      <c r="AB5" s="64" t="s">
        <v>21</v>
      </c>
      <c r="AC5" s="413" t="s">
        <v>22</v>
      </c>
      <c r="AD5" s="413" t="s">
        <v>21</v>
      </c>
      <c r="AE5" s="333" t="s">
        <v>23</v>
      </c>
      <c r="AF5" s="416" t="s">
        <v>132</v>
      </c>
      <c r="AG5" s="417"/>
      <c r="AH5" s="418" t="s">
        <v>25</v>
      </c>
      <c r="AI5" s="413" t="s">
        <v>133</v>
      </c>
      <c r="AJ5" s="413" t="s">
        <v>27</v>
      </c>
      <c r="AK5" s="333" t="s">
        <v>15</v>
      </c>
      <c r="AL5" s="333" t="s">
        <v>16</v>
      </c>
      <c r="AM5" s="333" t="s">
        <v>17</v>
      </c>
      <c r="AN5" s="463" t="s">
        <v>28</v>
      </c>
      <c r="AO5" s="64" t="s">
        <v>21</v>
      </c>
      <c r="AP5" s="70" t="s">
        <v>29</v>
      </c>
      <c r="AQ5" s="70" t="s">
        <v>29</v>
      </c>
      <c r="AR5" s="65" t="s">
        <v>30</v>
      </c>
      <c r="AS5" s="71" t="s">
        <v>31</v>
      </c>
      <c r="AT5" s="414" t="s">
        <v>32</v>
      </c>
      <c r="AU5" s="219" t="s">
        <v>33</v>
      </c>
      <c r="AV5" s="419" t="s">
        <v>34</v>
      </c>
      <c r="AW5" s="418" t="s">
        <v>35</v>
      </c>
      <c r="AX5" s="418" t="s">
        <v>36</v>
      </c>
      <c r="AY5" s="265"/>
      <c r="AZ5" s="305" t="s">
        <v>17</v>
      </c>
      <c r="BA5" s="72" t="s">
        <v>37</v>
      </c>
      <c r="BB5" s="76" t="s">
        <v>37</v>
      </c>
    </row>
    <row r="6" customFormat="false" ht="12.95" hidden="false" customHeight="true" outlineLevel="0" collapsed="false">
      <c r="A6" s="420" t="s">
        <v>144</v>
      </c>
      <c r="B6" s="412" t="s">
        <v>39</v>
      </c>
      <c r="C6" s="413"/>
      <c r="D6" s="333" t="s">
        <v>40</v>
      </c>
      <c r="E6" s="413" t="s">
        <v>41</v>
      </c>
      <c r="F6" s="333" t="s">
        <v>42</v>
      </c>
      <c r="G6" s="412" t="s">
        <v>43</v>
      </c>
      <c r="H6" s="414" t="s">
        <v>44</v>
      </c>
      <c r="I6" s="333" t="s">
        <v>45</v>
      </c>
      <c r="J6" s="333" t="s">
        <v>45</v>
      </c>
      <c r="K6" s="333" t="s">
        <v>45</v>
      </c>
      <c r="L6" s="424" t="s">
        <v>46</v>
      </c>
      <c r="M6" s="333" t="s">
        <v>47</v>
      </c>
      <c r="N6" s="72" t="s">
        <v>48</v>
      </c>
      <c r="O6" s="333" t="s">
        <v>49</v>
      </c>
      <c r="P6" s="72" t="s">
        <v>50</v>
      </c>
      <c r="Q6" s="61" t="s">
        <v>51</v>
      </c>
      <c r="R6" s="61" t="s">
        <v>52</v>
      </c>
      <c r="S6" s="61"/>
      <c r="T6" s="61" t="s">
        <v>49</v>
      </c>
      <c r="U6" s="422" t="s">
        <v>53</v>
      </c>
      <c r="V6" s="333" t="s">
        <v>54</v>
      </c>
      <c r="W6" s="333" t="s">
        <v>55</v>
      </c>
      <c r="X6" s="58" t="s">
        <v>21</v>
      </c>
      <c r="Y6" s="58" t="s">
        <v>21</v>
      </c>
      <c r="Z6" s="64" t="s">
        <v>56</v>
      </c>
      <c r="AA6" s="58" t="s">
        <v>56</v>
      </c>
      <c r="AB6" s="64" t="s">
        <v>57</v>
      </c>
      <c r="AC6" s="413" t="s">
        <v>58</v>
      </c>
      <c r="AD6" s="413" t="s">
        <v>59</v>
      </c>
      <c r="AE6" s="424" t="s">
        <v>60</v>
      </c>
      <c r="AF6" s="61" t="s">
        <v>61</v>
      </c>
      <c r="AG6" s="61" t="s">
        <v>62</v>
      </c>
      <c r="AH6" s="533" t="s">
        <v>63</v>
      </c>
      <c r="AI6" s="413" t="s">
        <v>64</v>
      </c>
      <c r="AJ6" s="413"/>
      <c r="AK6" s="333" t="s">
        <v>65</v>
      </c>
      <c r="AL6" s="333" t="s">
        <v>65</v>
      </c>
      <c r="AM6" s="333" t="s">
        <v>65</v>
      </c>
      <c r="AN6" s="463" t="s">
        <v>66</v>
      </c>
      <c r="AO6" s="64" t="s">
        <v>67</v>
      </c>
      <c r="AP6" s="70" t="s">
        <v>68</v>
      </c>
      <c r="AQ6" s="70" t="s">
        <v>68</v>
      </c>
      <c r="AR6" s="65" t="s">
        <v>69</v>
      </c>
      <c r="AS6" s="71" t="s">
        <v>70</v>
      </c>
      <c r="AT6" s="414" t="s">
        <v>71</v>
      </c>
      <c r="AU6" s="219" t="s">
        <v>72</v>
      </c>
      <c r="AV6" s="423"/>
      <c r="AW6" s="418" t="s">
        <v>73</v>
      </c>
      <c r="AX6" s="418" t="s">
        <v>73</v>
      </c>
      <c r="AY6" s="265"/>
      <c r="AZ6" s="305" t="s">
        <v>74</v>
      </c>
      <c r="BA6" s="72" t="s">
        <v>75</v>
      </c>
      <c r="BB6" s="76" t="s">
        <v>76</v>
      </c>
    </row>
    <row r="7" customFormat="false" ht="12.95" hidden="false" customHeight="true" outlineLevel="0" collapsed="false">
      <c r="A7" s="333"/>
      <c r="B7" s="412"/>
      <c r="C7" s="413"/>
      <c r="D7" s="333"/>
      <c r="E7" s="413"/>
      <c r="F7" s="333"/>
      <c r="G7" s="412"/>
      <c r="H7" s="414"/>
      <c r="I7" s="333"/>
      <c r="J7" s="333"/>
      <c r="K7" s="333"/>
      <c r="L7" s="424"/>
      <c r="M7" s="333"/>
      <c r="N7" s="72" t="s">
        <v>77</v>
      </c>
      <c r="O7" s="333" t="s">
        <v>78</v>
      </c>
      <c r="P7" s="72"/>
      <c r="Q7" s="61" t="s">
        <v>79</v>
      </c>
      <c r="R7" s="61" t="s">
        <v>79</v>
      </c>
      <c r="S7" s="61" t="s">
        <v>62</v>
      </c>
      <c r="T7" s="61" t="s">
        <v>62</v>
      </c>
      <c r="U7" s="422" t="s">
        <v>80</v>
      </c>
      <c r="V7" s="333"/>
      <c r="W7" s="333"/>
      <c r="X7" s="68" t="s">
        <v>81</v>
      </c>
      <c r="Y7" s="60" t="s">
        <v>82</v>
      </c>
      <c r="Z7" s="64" t="s">
        <v>83</v>
      </c>
      <c r="AA7" s="58" t="s">
        <v>84</v>
      </c>
      <c r="AB7" s="64" t="s">
        <v>85</v>
      </c>
      <c r="AC7" s="413"/>
      <c r="AD7" s="413"/>
      <c r="AE7" s="424"/>
      <c r="AF7" s="83" t="n">
        <v>1.7</v>
      </c>
      <c r="AG7" s="83" t="n">
        <v>1.3</v>
      </c>
      <c r="AH7" s="533"/>
      <c r="AI7" s="413"/>
      <c r="AJ7" s="413"/>
      <c r="AK7" s="333"/>
      <c r="AL7" s="333"/>
      <c r="AM7" s="333"/>
      <c r="AN7" s="463"/>
      <c r="AO7" s="64" t="s">
        <v>42</v>
      </c>
      <c r="AP7" s="70" t="s">
        <v>86</v>
      </c>
      <c r="AQ7" s="70" t="s">
        <v>87</v>
      </c>
      <c r="AR7" s="65" t="s">
        <v>88</v>
      </c>
      <c r="AS7" s="71" t="s">
        <v>89</v>
      </c>
      <c r="AT7" s="414" t="s">
        <v>90</v>
      </c>
      <c r="AU7" s="219" t="s">
        <v>91</v>
      </c>
      <c r="AV7" s="423"/>
      <c r="AW7" s="418"/>
      <c r="AX7" s="418"/>
      <c r="AY7" s="265"/>
      <c r="AZ7" s="305" t="s">
        <v>92</v>
      </c>
      <c r="BA7" s="8"/>
      <c r="BB7" s="85"/>
    </row>
    <row r="8" customFormat="false" ht="12.95" hidden="false" customHeight="true" outlineLevel="0" collapsed="false">
      <c r="A8" s="333"/>
      <c r="B8" s="412"/>
      <c r="C8" s="413"/>
      <c r="D8" s="333"/>
      <c r="E8" s="413"/>
      <c r="F8" s="333"/>
      <c r="G8" s="412"/>
      <c r="H8" s="414"/>
      <c r="I8" s="333"/>
      <c r="J8" s="333"/>
      <c r="K8" s="333"/>
      <c r="L8" s="424"/>
      <c r="M8" s="333"/>
      <c r="N8" s="72"/>
      <c r="O8" s="413"/>
      <c r="P8" s="72"/>
      <c r="Q8" s="61" t="s">
        <v>62</v>
      </c>
      <c r="R8" s="61" t="s">
        <v>62</v>
      </c>
      <c r="S8" s="61"/>
      <c r="T8" s="61"/>
      <c r="U8" s="422"/>
      <c r="V8" s="333"/>
      <c r="W8" s="333"/>
      <c r="X8" s="68" t="s">
        <v>93</v>
      </c>
      <c r="Y8" s="60" t="s">
        <v>81</v>
      </c>
      <c r="Z8" s="64"/>
      <c r="AA8" s="60" t="s">
        <v>94</v>
      </c>
      <c r="AB8" s="64" t="s">
        <v>95</v>
      </c>
      <c r="AC8" s="413"/>
      <c r="AD8" s="413"/>
      <c r="AE8" s="424"/>
      <c r="AF8" s="200"/>
      <c r="AG8" s="200"/>
      <c r="AH8" s="533"/>
      <c r="AI8" s="413"/>
      <c r="AJ8" s="413"/>
      <c r="AK8" s="333"/>
      <c r="AL8" s="333"/>
      <c r="AM8" s="333"/>
      <c r="AN8" s="463"/>
      <c r="AO8" s="64"/>
      <c r="AP8" s="70"/>
      <c r="AQ8" s="70"/>
      <c r="AR8" s="65"/>
      <c r="AS8" s="184" t="n">
        <v>1532.4</v>
      </c>
      <c r="AT8" s="201" t="n">
        <f aca="false">(716-25)/2</f>
        <v>345.5</v>
      </c>
      <c r="AU8" s="219"/>
      <c r="AV8" s="423"/>
      <c r="AW8" s="418"/>
      <c r="AX8" s="418"/>
      <c r="AY8" s="265"/>
      <c r="AZ8" s="305"/>
      <c r="BA8" s="8"/>
      <c r="BB8" s="85"/>
    </row>
    <row r="9" customFormat="false" ht="12.95" hidden="false" customHeight="true" outlineLevel="0" collapsed="false">
      <c r="A9" s="333"/>
      <c r="B9" s="412"/>
      <c r="C9" s="413"/>
      <c r="D9" s="333"/>
      <c r="E9" s="413"/>
      <c r="F9" s="333"/>
      <c r="G9" s="412"/>
      <c r="H9" s="414"/>
      <c r="I9" s="333"/>
      <c r="J9" s="333"/>
      <c r="K9" s="333"/>
      <c r="L9" s="424"/>
      <c r="M9" s="333"/>
      <c r="N9" s="72"/>
      <c r="O9" s="413"/>
      <c r="P9" s="72"/>
      <c r="Q9" s="61"/>
      <c r="R9" s="86" t="n">
        <v>4.2</v>
      </c>
      <c r="S9" s="61"/>
      <c r="T9" s="61"/>
      <c r="U9" s="422"/>
      <c r="V9" s="333"/>
      <c r="W9" s="333"/>
      <c r="X9" s="68"/>
      <c r="Y9" s="60" t="s">
        <v>93</v>
      </c>
      <c r="Z9" s="64"/>
      <c r="AA9" s="60" t="s">
        <v>93</v>
      </c>
      <c r="AB9" s="64" t="s">
        <v>96</v>
      </c>
      <c r="AC9" s="413"/>
      <c r="AD9" s="413"/>
      <c r="AE9" s="424"/>
      <c r="AF9" s="200"/>
      <c r="AG9" s="200"/>
      <c r="AH9" s="533"/>
      <c r="AI9" s="413"/>
      <c r="AJ9" s="413"/>
      <c r="AK9" s="333"/>
      <c r="AL9" s="333"/>
      <c r="AM9" s="333"/>
      <c r="AN9" s="463"/>
      <c r="AO9" s="64"/>
      <c r="AP9" s="70"/>
      <c r="AQ9" s="70"/>
      <c r="AR9" s="65"/>
      <c r="AS9" s="71"/>
      <c r="AT9" s="201" t="n">
        <f aca="false">AT8/D2</f>
        <v>174.187043105621</v>
      </c>
      <c r="AU9" s="219"/>
      <c r="AV9" s="423"/>
      <c r="AW9" s="418"/>
      <c r="AX9" s="418"/>
      <c r="AY9" s="265"/>
      <c r="AZ9" s="305"/>
      <c r="BA9" s="8"/>
      <c r="BB9" s="76" t="s">
        <v>97</v>
      </c>
    </row>
    <row r="10" customFormat="false" ht="12.95" hidden="false" customHeight="true" outlineLevel="0" collapsed="false">
      <c r="A10" s="333"/>
      <c r="B10" s="412"/>
      <c r="C10" s="413" t="s">
        <v>10</v>
      </c>
      <c r="D10" s="333"/>
      <c r="E10" s="413" t="s">
        <v>99</v>
      </c>
      <c r="F10" s="333"/>
      <c r="G10" s="412" t="s">
        <v>42</v>
      </c>
      <c r="H10" s="414" t="s">
        <v>42</v>
      </c>
      <c r="I10" s="414" t="s">
        <v>42</v>
      </c>
      <c r="J10" s="414" t="s">
        <v>42</v>
      </c>
      <c r="K10" s="414" t="s">
        <v>42</v>
      </c>
      <c r="L10" s="427" t="s">
        <v>42</v>
      </c>
      <c r="M10" s="414"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3" t="s">
        <v>42</v>
      </c>
      <c r="AE10" s="414" t="s">
        <v>42</v>
      </c>
      <c r="AF10" s="428" t="s">
        <v>42</v>
      </c>
      <c r="AG10" s="427" t="s">
        <v>42</v>
      </c>
      <c r="AH10" s="414" t="s">
        <v>42</v>
      </c>
      <c r="AI10" s="414" t="s">
        <v>42</v>
      </c>
      <c r="AJ10" s="414" t="s">
        <v>42</v>
      </c>
      <c r="AK10" s="414" t="s">
        <v>42</v>
      </c>
      <c r="AL10" s="414" t="s">
        <v>42</v>
      </c>
      <c r="AM10" s="414" t="s">
        <v>42</v>
      </c>
      <c r="AN10" s="463" t="s">
        <v>42</v>
      </c>
      <c r="AO10" s="64" t="s">
        <v>42</v>
      </c>
      <c r="AP10" s="64" t="s">
        <v>42</v>
      </c>
      <c r="AQ10" s="70" t="s">
        <v>100</v>
      </c>
      <c r="AR10" s="65" t="s">
        <v>42</v>
      </c>
      <c r="AS10" s="64" t="s">
        <v>42</v>
      </c>
      <c r="AT10" s="65" t="s">
        <v>42</v>
      </c>
      <c r="AU10" s="64" t="s">
        <v>42</v>
      </c>
      <c r="AV10" s="423"/>
      <c r="AW10" s="418"/>
      <c r="AX10" s="418"/>
      <c r="AY10" s="265"/>
      <c r="AZ10" s="305" t="s">
        <v>101</v>
      </c>
      <c r="BA10" s="72" t="s">
        <v>42</v>
      </c>
      <c r="BB10" s="76" t="s">
        <v>99</v>
      </c>
    </row>
    <row r="11" customFormat="false" ht="12.95" hidden="false" customHeight="true" outlineLevel="0" collapsed="false">
      <c r="A11" s="333"/>
      <c r="B11" s="412"/>
      <c r="C11" s="413"/>
      <c r="D11" s="333"/>
      <c r="E11" s="413"/>
      <c r="F11" s="333"/>
      <c r="G11" s="412"/>
      <c r="H11" s="414"/>
      <c r="I11" s="333"/>
      <c r="J11" s="333"/>
      <c r="K11" s="333"/>
      <c r="L11" s="424"/>
      <c r="M11" s="333"/>
      <c r="N11" s="72" t="n">
        <v>1.03</v>
      </c>
      <c r="O11" s="430" t="n">
        <v>1.05</v>
      </c>
      <c r="P11" s="72" t="n">
        <v>1.02</v>
      </c>
      <c r="Q11" s="87" t="n">
        <v>1.02</v>
      </c>
      <c r="R11" s="88" t="n">
        <v>1.04</v>
      </c>
      <c r="S11" s="61"/>
      <c r="T11" s="87" t="n">
        <v>1.04</v>
      </c>
      <c r="U11" s="422"/>
      <c r="V11" s="333"/>
      <c r="W11" s="333"/>
      <c r="X11" s="61" t="s">
        <v>42</v>
      </c>
      <c r="Y11" s="61" t="s">
        <v>42</v>
      </c>
      <c r="Z11" s="61" t="s">
        <v>42</v>
      </c>
      <c r="AA11" s="60" t="s">
        <v>42</v>
      </c>
      <c r="AB11" s="89" t="s">
        <v>102</v>
      </c>
      <c r="AC11" s="413"/>
      <c r="AD11" s="413"/>
      <c r="AE11" s="333"/>
      <c r="AF11" s="425"/>
      <c r="AG11" s="426"/>
      <c r="AH11" s="418"/>
      <c r="AI11" s="413"/>
      <c r="AJ11" s="413"/>
      <c r="AK11" s="333"/>
      <c r="AL11" s="333"/>
      <c r="AM11" s="333"/>
      <c r="AN11" s="463"/>
      <c r="AO11" s="64"/>
      <c r="AP11" s="70"/>
      <c r="AQ11" s="70"/>
      <c r="AR11" s="65"/>
      <c r="AS11" s="92"/>
      <c r="AU11" s="189"/>
      <c r="AV11" s="423"/>
      <c r="AW11" s="418"/>
      <c r="AX11" s="418"/>
      <c r="AY11" s="265"/>
      <c r="AZ11" s="305" t="s">
        <v>42</v>
      </c>
      <c r="BA11" s="8"/>
      <c r="BB11" s="85"/>
    </row>
    <row r="12" customFormat="false" ht="12.95" hidden="false" customHeight="true" outlineLevel="0" collapsed="false">
      <c r="A12" s="197" t="s">
        <v>103</v>
      </c>
      <c r="B12" s="534"/>
      <c r="D12" s="161"/>
      <c r="F12" s="114" t="n">
        <f aca="false">JUL!F50</f>
        <v>19637.5094529872</v>
      </c>
      <c r="G12" s="161" t="n">
        <f aca="false">JUL!G50</f>
        <v>89614</v>
      </c>
      <c r="H12" s="161" t="n">
        <f aca="false">JUL!H50</f>
        <v>608.545</v>
      </c>
      <c r="I12" s="161" t="n">
        <f aca="false">JUL!I50</f>
        <v>90222.545</v>
      </c>
      <c r="J12" s="161" t="n">
        <f aca="false">JUL!J50</f>
        <v>1786.1599566423</v>
      </c>
      <c r="K12" s="161" t="n">
        <f aca="false">JUL!K50</f>
        <v>92008.6949566423</v>
      </c>
      <c r="L12" s="535" t="n">
        <f aca="false">JUL!L50</f>
        <v>-4503.23554701286</v>
      </c>
      <c r="M12" s="161" t="n">
        <f aca="false">JUL!M50</f>
        <v>27757.3</v>
      </c>
      <c r="N12" s="161" t="n">
        <f aca="false">JUL!N50</f>
        <v>30.6377615326443</v>
      </c>
      <c r="O12" s="161" t="n">
        <f aca="false">JUL!O50</f>
        <v>8905.596</v>
      </c>
      <c r="P12" s="282" t="n">
        <f aca="false">JUL!P50</f>
        <v>7</v>
      </c>
      <c r="Q12" s="8"/>
      <c r="R12" s="8"/>
      <c r="S12" s="8"/>
      <c r="T12" s="8"/>
      <c r="U12" s="536"/>
      <c r="V12" s="161" t="n">
        <f aca="false">JUL!V50</f>
        <v>10034.08</v>
      </c>
      <c r="W12" s="161" t="n">
        <f aca="false">JUL!W50</f>
        <v>6097.99</v>
      </c>
      <c r="X12" s="161" t="n">
        <f aca="false">JUL!X50</f>
        <v>36287.9596948296</v>
      </c>
      <c r="Y12" s="161" t="n">
        <f aca="false">JUL!Y50</f>
        <v>36132.1232396731</v>
      </c>
      <c r="Z12" s="161" t="n">
        <f aca="false">JUL!Z45</f>
        <v>8387.56530565222</v>
      </c>
      <c r="AA12" s="161"/>
      <c r="AB12" s="161"/>
      <c r="AC12" s="161" t="n">
        <f aca="false">JUL!AC45</f>
        <v>1146.230059887</v>
      </c>
      <c r="AD12" s="161" t="n">
        <f aca="false">JUL!AD45</f>
        <v>4858.65512901258</v>
      </c>
      <c r="AE12" s="161" t="n">
        <f aca="false">JUL!AE50</f>
        <v>16679.33</v>
      </c>
      <c r="AF12" s="537" t="n">
        <f aca="false">JUL!AF50</f>
        <v>207.4</v>
      </c>
      <c r="AG12" s="535" t="n">
        <f aca="false">JUL!AG50</f>
        <v>158.6</v>
      </c>
      <c r="AH12" s="161"/>
      <c r="AI12" s="161"/>
      <c r="AJ12" s="161"/>
      <c r="AK12" s="161" t="n">
        <f aca="false">JUL!AK50</f>
        <v>66081.79</v>
      </c>
      <c r="AL12" s="161" t="n">
        <f aca="false">JUL!AL50</f>
        <v>6289.39550365516</v>
      </c>
      <c r="AM12" s="161" t="n">
        <f aca="false">JUL!AM50</f>
        <v>72371.1855036552</v>
      </c>
      <c r="AN12" s="538"/>
      <c r="AO12" s="192"/>
      <c r="AP12" s="110" t="n">
        <f aca="false">JUL!AP46</f>
        <v>0</v>
      </c>
      <c r="AQ12" s="110" t="n">
        <f aca="false">JUL!AQ51</f>
        <v>1753.53430024449</v>
      </c>
      <c r="AR12" s="110" t="n">
        <f aca="false">JUL!AR50</f>
        <v>2332.97736211059</v>
      </c>
      <c r="AS12" s="143" t="n">
        <f aca="false">JUL!AS50</f>
        <v>311.43</v>
      </c>
      <c r="AT12" s="143" t="n">
        <f aca="false">JUL!AT50</f>
        <v>68.71</v>
      </c>
      <c r="AU12" s="143" t="n">
        <f aca="false">JUL!AU50</f>
        <v>0</v>
      </c>
      <c r="AV12" s="539"/>
      <c r="AW12" s="191"/>
      <c r="AX12" s="191"/>
      <c r="AY12" s="265"/>
      <c r="AZ12" s="432" t="n">
        <f aca="false">JUL!AZ50</f>
        <v>997.298451374751</v>
      </c>
      <c r="BA12" s="110" t="n">
        <f aca="false">JUL!BA50</f>
        <v>841.74</v>
      </c>
      <c r="BB12" s="85"/>
    </row>
    <row r="13" s="244" customFormat="true" ht="12.95" hidden="false" customHeight="true" outlineLevel="0" collapsed="false">
      <c r="A13" s="238" t="s">
        <v>104</v>
      </c>
      <c r="B13" s="540" t="n">
        <f aca="false">JUL!B45</f>
        <v>6885.22</v>
      </c>
      <c r="C13" s="161" t="n">
        <f aca="false">JUL!C45</f>
        <v>232399</v>
      </c>
      <c r="D13" s="161" t="n">
        <f aca="false">JUL!D54</f>
        <v>58677</v>
      </c>
      <c r="E13" s="161" t="n">
        <f aca="false">JUL!E54</f>
        <v>80399</v>
      </c>
      <c r="F13" s="114" t="n">
        <f aca="false">JUL!F53</f>
        <v>29582.5560877237</v>
      </c>
      <c r="G13" s="161" t="n">
        <f aca="false">JUL!G53</f>
        <v>102131</v>
      </c>
      <c r="H13" s="161" t="n">
        <f aca="false">JUL!H53</f>
        <v>638.65</v>
      </c>
      <c r="I13" s="161" t="n">
        <f aca="false">JUL!I53</f>
        <v>102769.03</v>
      </c>
      <c r="J13" s="161" t="n">
        <f aca="false">JUL!J53</f>
        <v>3701.87688933703</v>
      </c>
      <c r="K13" s="161" t="n">
        <f aca="false">JUL!K53</f>
        <v>106470.896889337</v>
      </c>
      <c r="L13" s="541" t="n">
        <f aca="false">JUL!L53</f>
        <v>-3463.93391227628</v>
      </c>
      <c r="M13" s="161" t="n">
        <f aca="false">JUL!M53</f>
        <v>28394.34</v>
      </c>
      <c r="N13" s="161" t="n">
        <f aca="false">JUL!N53</f>
        <v>30.6377615326443</v>
      </c>
      <c r="O13" s="161" t="n">
        <f aca="false">JUL!O53</f>
        <v>8905.596</v>
      </c>
      <c r="P13" s="8"/>
      <c r="Q13" s="161" t="n">
        <f aca="false">JUL!Q53</f>
        <v>529.743991200062</v>
      </c>
      <c r="R13" s="161" t="n">
        <f aca="false">JUL!R53</f>
        <v>673.337624794581</v>
      </c>
      <c r="S13" s="161" t="n">
        <f aca="false">JUL!S53</f>
        <v>104.82723952</v>
      </c>
      <c r="T13" s="161" t="n">
        <f aca="false">JUL!T53</f>
        <v>194.0703544</v>
      </c>
      <c r="U13" s="542" t="n">
        <f aca="false">JUL!U53</f>
        <v>-65.0339372790604</v>
      </c>
      <c r="V13" s="161" t="n">
        <f aca="false">JUL!V53</f>
        <v>10034.08</v>
      </c>
      <c r="W13" s="161" t="n">
        <f aca="false">JUL!W53</f>
        <v>6097.99</v>
      </c>
      <c r="X13" s="161" t="n">
        <f aca="false">JUL!X53</f>
        <v>36395.4581279424</v>
      </c>
      <c r="Y13" s="161" t="n">
        <f aca="false">JUL!Y53</f>
        <v>36239.6216727858</v>
      </c>
      <c r="Z13" s="161"/>
      <c r="AA13" s="161"/>
      <c r="AB13" s="161"/>
      <c r="AC13" s="161"/>
      <c r="AD13" s="161"/>
      <c r="AE13" s="161" t="n">
        <f aca="false">JUL!AE51</f>
        <v>33083.451055</v>
      </c>
      <c r="AF13" s="227" t="n">
        <f aca="false">AF12</f>
        <v>207.4</v>
      </c>
      <c r="AG13" s="229" t="n">
        <f aca="false">AG12</f>
        <v>158.6</v>
      </c>
      <c r="AH13" s="161" t="n">
        <f aca="false">JUL!AH53</f>
        <v>8585.5</v>
      </c>
      <c r="AI13" s="161" t="n">
        <f aca="false">JUL!AI53</f>
        <v>9042.34923115706</v>
      </c>
      <c r="AJ13" s="161" t="n">
        <f aca="false">JUL!AJ53</f>
        <v>0</v>
      </c>
      <c r="AK13" s="161" t="n">
        <f aca="false">JUL!AK53</f>
        <v>69722.53</v>
      </c>
      <c r="AL13" s="161" t="n">
        <f aca="false">JUL!AL53</f>
        <v>7165.81080161331</v>
      </c>
      <c r="AM13" s="161" t="n">
        <f aca="false">JUL!AM53</f>
        <v>76888.3408016133</v>
      </c>
      <c r="AN13" s="543" t="n">
        <f aca="false">JUL!AN53</f>
        <v>2927.4</v>
      </c>
      <c r="AO13" s="191" t="n">
        <f aca="false">JUL!AO53</f>
        <v>235.836455156528</v>
      </c>
      <c r="AP13" s="192"/>
      <c r="AQ13" s="110" t="n">
        <f aca="false">JUL!AQ54</f>
        <v>1753.53430024449</v>
      </c>
      <c r="AR13" s="110"/>
      <c r="AS13" s="143" t="n">
        <f aca="false">JUL!AS53</f>
        <v>311.43</v>
      </c>
      <c r="AT13" s="110" t="n">
        <f aca="false">JUL!AT52</f>
        <v>0</v>
      </c>
      <c r="AU13" s="110" t="n">
        <f aca="false">JUL!AU53</f>
        <v>0</v>
      </c>
      <c r="AV13" s="233" t="n">
        <f aca="false">JUL!AV53</f>
        <v>7.02</v>
      </c>
      <c r="AW13" s="191"/>
      <c r="AX13" s="191"/>
      <c r="AY13" s="312"/>
      <c r="AZ13" s="432" t="n">
        <f aca="false">JUL!AZ53</f>
        <v>1475.102318262</v>
      </c>
      <c r="BA13" s="110" t="n">
        <f aca="false">JUL!BA53</f>
        <v>841.74</v>
      </c>
      <c r="BB13" s="114"/>
    </row>
    <row r="14" customFormat="false" ht="3" hidden="false" customHeight="true" outlineLevel="0" collapsed="false">
      <c r="A14" s="245"/>
      <c r="B14" s="544"/>
      <c r="C14" s="520"/>
      <c r="D14" s="245"/>
      <c r="E14" s="520"/>
      <c r="F14" s="521"/>
      <c r="G14" s="245"/>
      <c r="H14" s="545"/>
      <c r="I14" s="245"/>
      <c r="J14" s="245"/>
      <c r="K14" s="245"/>
      <c r="L14" s="245"/>
      <c r="M14" s="523"/>
      <c r="N14" s="245"/>
      <c r="O14" s="245"/>
      <c r="P14" s="524"/>
      <c r="Q14" s="524"/>
      <c r="R14" s="524"/>
      <c r="S14" s="524"/>
      <c r="T14" s="524"/>
      <c r="U14" s="525"/>
      <c r="V14" s="245"/>
      <c r="W14" s="245"/>
      <c r="X14" s="245"/>
      <c r="Y14" s="245"/>
      <c r="Z14" s="520"/>
      <c r="AA14" s="245"/>
      <c r="AB14" s="520"/>
      <c r="AC14" s="520"/>
      <c r="AD14" s="520"/>
      <c r="AE14" s="245"/>
      <c r="AF14" s="251"/>
      <c r="AG14" s="255"/>
      <c r="AH14" s="245"/>
      <c r="AI14" s="520"/>
      <c r="AJ14" s="520"/>
      <c r="AK14" s="245"/>
      <c r="AL14" s="245"/>
      <c r="AM14" s="245"/>
      <c r="AN14" s="546"/>
      <c r="AO14" s="344"/>
      <c r="AP14" s="344"/>
      <c r="AQ14" s="131"/>
      <c r="AR14" s="131"/>
      <c r="AS14" s="547"/>
      <c r="AT14" s="547"/>
      <c r="AU14" s="547"/>
      <c r="AV14" s="548"/>
      <c r="AW14" s="526"/>
      <c r="AX14" s="526"/>
      <c r="AY14" s="526"/>
      <c r="AZ14" s="526"/>
      <c r="BA14" s="526"/>
      <c r="BB14" s="526"/>
    </row>
    <row r="15" customFormat="false" ht="12.95" hidden="false" customHeight="true" outlineLevel="0" collapsed="false">
      <c r="A15" s="192" t="n">
        <v>1</v>
      </c>
      <c r="B15" s="318" t="n">
        <v>6884.89</v>
      </c>
      <c r="C15" s="161" t="n">
        <v>231339</v>
      </c>
      <c r="D15" s="191" t="n">
        <f aca="false">C15-C13</f>
        <v>-1060</v>
      </c>
      <c r="E15" s="161" t="n">
        <f aca="false">C15-152000</f>
        <v>79339</v>
      </c>
      <c r="F15" s="549" t="n">
        <f aca="false">D15/$D$2</f>
        <v>-534.408873203932</v>
      </c>
      <c r="G15" s="550" t="n">
        <v>160</v>
      </c>
      <c r="H15" s="195" t="n">
        <v>0</v>
      </c>
      <c r="I15" s="194" t="n">
        <f aca="false">G15+H15</f>
        <v>160</v>
      </c>
      <c r="J15" s="110" t="n">
        <f aca="false">IF(L15&gt;0,L15,0)</f>
        <v>0</v>
      </c>
      <c r="K15" s="194" t="n">
        <f aca="false">I15+J15</f>
        <v>160</v>
      </c>
      <c r="L15" s="194" t="n">
        <f aca="false">F15-(I15-AK15)</f>
        <v>-24.3588732039324</v>
      </c>
      <c r="M15" s="551" t="n">
        <v>249</v>
      </c>
      <c r="N15" s="171" t="n">
        <v>0</v>
      </c>
      <c r="O15" s="194" t="n">
        <f aca="false">72.1*1.05</f>
        <v>75.705</v>
      </c>
      <c r="P15" s="171" t="n">
        <v>0</v>
      </c>
      <c r="Q15" s="346" t="n">
        <f aca="false">1639200/325851/1.9835*1.02</f>
        <v>2.58690722763785</v>
      </c>
      <c r="R15" s="138" t="n">
        <v>4.2</v>
      </c>
      <c r="S15" s="138" t="n">
        <f aca="false">((7.1*1.04)-T15)-4.2</f>
        <v>2.00840064</v>
      </c>
      <c r="T15" s="138" t="n">
        <f aca="false">(1.0664*1.06)*1.04</f>
        <v>1.17559936</v>
      </c>
      <c r="U15" s="365" t="n">
        <v>0</v>
      </c>
      <c r="V15" s="194" t="n">
        <v>112</v>
      </c>
      <c r="W15" s="550" t="n">
        <v>68.5</v>
      </c>
      <c r="X15" s="347" t="n">
        <f aca="false">M15-N15-O15-P15-Q15-R15-S15-T15-U15+V15+W15-AT15+AR15</f>
        <v>358.947373141862</v>
      </c>
      <c r="Y15" s="347" t="n">
        <f aca="false">X15-AO15</f>
        <v>358.947373141862</v>
      </c>
      <c r="Z15" s="113" t="n">
        <f aca="false">Z12+AP15</f>
        <v>8180.13102528272</v>
      </c>
      <c r="AA15" s="142" t="n">
        <f aca="false">(-AP15)</f>
        <v>207.4342803695</v>
      </c>
      <c r="AB15" s="441"/>
      <c r="AC15" s="441" t="n">
        <f aca="false">AC12-(JUL!AQ45/1.9835)+AS15</f>
        <v>1149.50934951122</v>
      </c>
      <c r="AD15" s="449" t="n">
        <f aca="false">AD12</f>
        <v>4858.65512901258</v>
      </c>
      <c r="AE15" s="550" t="n">
        <v>172</v>
      </c>
      <c r="AF15" s="262" t="n">
        <v>1.7</v>
      </c>
      <c r="AG15" s="263" t="n">
        <v>1.3</v>
      </c>
      <c r="AH15" s="194" t="n">
        <v>70.1</v>
      </c>
      <c r="AI15" s="161" t="n">
        <f aca="false">AI13-AH15</f>
        <v>8972.24923115706</v>
      </c>
      <c r="AJ15" s="161"/>
      <c r="AK15" s="11" t="n">
        <f aca="false">N15+O15+P15+Q15+R15+S15+T15+U15+X15+AE15+AH15-AR15</f>
        <v>670.05</v>
      </c>
      <c r="AL15" s="194" t="n">
        <f aca="false">IF(L15&lt;0,L15*-1,0)</f>
        <v>24.3588732039324</v>
      </c>
      <c r="AM15" s="194" t="n">
        <f aca="false">AK15+AL15</f>
        <v>694.408873203932</v>
      </c>
      <c r="AN15" s="231"/>
      <c r="AO15" s="192"/>
      <c r="AP15" s="102" t="n">
        <f aca="false">I15-Q15-R15-X15-AF15</f>
        <v>-207.4342803695</v>
      </c>
      <c r="AQ15" s="171" t="n">
        <f aca="false">15.326*(Z15*1.9835+AC15*1.9835)/E15</f>
        <v>3.57469676501905</v>
      </c>
      <c r="AR15" s="171" t="n">
        <f aca="false">1025.215/31/1.9835</f>
        <v>16.6732803695</v>
      </c>
      <c r="AS15" s="158" t="n">
        <f aca="false">BA15-20</f>
        <v>8</v>
      </c>
      <c r="AT15" s="5" t="n">
        <v>1.55</v>
      </c>
      <c r="AU15" s="4"/>
      <c r="AV15" s="552" t="n">
        <v>0.19</v>
      </c>
      <c r="AW15" s="553" t="n">
        <v>86</v>
      </c>
      <c r="AX15" s="191" t="n">
        <v>56</v>
      </c>
      <c r="AY15" s="148"/>
      <c r="AZ15" s="264" t="n">
        <f aca="false">SUM(N15,P15:U15)</f>
        <v>9.97090722763785</v>
      </c>
      <c r="BA15" s="554" t="n">
        <v>28</v>
      </c>
      <c r="BB15" s="470" t="n">
        <v>15225</v>
      </c>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row>
    <row r="16" customFormat="false" ht="12.95" hidden="false" customHeight="true" outlineLevel="0" collapsed="false">
      <c r="A16" s="192" t="n">
        <f aca="false">A15+1</f>
        <v>2</v>
      </c>
      <c r="B16" s="318" t="n">
        <v>6884.58</v>
      </c>
      <c r="C16" s="161" t="n">
        <v>230352</v>
      </c>
      <c r="D16" s="191" t="n">
        <f aca="false">C16-C15</f>
        <v>-987</v>
      </c>
      <c r="E16" s="161" t="n">
        <f aca="false">C16-152000</f>
        <v>78352</v>
      </c>
      <c r="F16" s="549" t="n">
        <f aca="false">D16/$D$2</f>
        <v>-497.605243256869</v>
      </c>
      <c r="G16" s="550" t="n">
        <v>173</v>
      </c>
      <c r="H16" s="195" t="n">
        <v>0</v>
      </c>
      <c r="I16" s="194" t="n">
        <f aca="false">G16+H16</f>
        <v>173</v>
      </c>
      <c r="J16" s="110" t="n">
        <f aca="false">IF(L16&gt;0,L16,0)</f>
        <v>0</v>
      </c>
      <c r="K16" s="194" t="n">
        <f aca="false">I16+J16</f>
        <v>173</v>
      </c>
      <c r="L16" s="194" t="n">
        <f aca="false">F16-(I16-AK16)</f>
        <v>-21.3652432568691</v>
      </c>
      <c r="M16" s="551" t="n">
        <v>249</v>
      </c>
      <c r="N16" s="171" t="n">
        <v>0</v>
      </c>
      <c r="O16" s="194" t="n">
        <f aca="false">84.3*1.05</f>
        <v>88.515</v>
      </c>
      <c r="P16" s="171" t="n">
        <v>0</v>
      </c>
      <c r="Q16" s="346" t="n">
        <f aca="false">1786100/325851/1.9835*1.02</f>
        <v>2.81873779848949</v>
      </c>
      <c r="R16" s="138" t="n">
        <v>4.2</v>
      </c>
      <c r="S16" s="138" t="n">
        <f aca="false">((6.6*1.04)-T16)-4.2</f>
        <v>1.48840064</v>
      </c>
      <c r="T16" s="138" t="n">
        <f aca="false">(1.0664*1.06)*1.04</f>
        <v>1.17559936</v>
      </c>
      <c r="U16" s="365" t="n">
        <v>0</v>
      </c>
      <c r="V16" s="194" t="n">
        <v>113</v>
      </c>
      <c r="W16" s="550" t="n">
        <v>67.8</v>
      </c>
      <c r="X16" s="347" t="n">
        <f aca="false">M16-N16-O16-P16-Q16-R16-S16-T16-U16+V16+W16-AT16+AR16</f>
        <v>346.61554257101</v>
      </c>
      <c r="Y16" s="347" t="n">
        <f aca="false">X16-AO16</f>
        <v>346.61554257101</v>
      </c>
      <c r="Z16" s="113" t="n">
        <f aca="false">Z15+AP16</f>
        <v>7997.79674491322</v>
      </c>
      <c r="AA16" s="142" t="n">
        <f aca="false">(-AP16)</f>
        <v>182.3342803695</v>
      </c>
      <c r="AB16" s="441"/>
      <c r="AC16" s="441" t="n">
        <f aca="false">AC15-(AQ15/1.9835)+AS16</f>
        <v>1155.50713284119</v>
      </c>
      <c r="AD16" s="449" t="n">
        <f aca="false">AD15</f>
        <v>4858.65512901258</v>
      </c>
      <c r="AE16" s="550" t="n">
        <v>151</v>
      </c>
      <c r="AF16" s="262" t="n">
        <v>1.7</v>
      </c>
      <c r="AG16" s="263" t="n">
        <v>1.3</v>
      </c>
      <c r="AH16" s="194" t="n">
        <v>70.1</v>
      </c>
      <c r="AI16" s="161" t="n">
        <f aca="false">AI15-AH16</f>
        <v>8902.14923115706</v>
      </c>
      <c r="AJ16" s="161"/>
      <c r="AK16" s="11" t="n">
        <f aca="false">N16+O16+P16+Q16+R16+S16+T16+U16+X16+AE16+AH16-AR16</f>
        <v>649.24</v>
      </c>
      <c r="AL16" s="194" t="n">
        <f aca="false">IF(L16&lt;0,L16*-1,0)</f>
        <v>21.3652432568691</v>
      </c>
      <c r="AM16" s="194" t="n">
        <f aca="false">AK16+AL16</f>
        <v>670.605243256869</v>
      </c>
      <c r="AN16" s="231"/>
      <c r="AO16" s="192"/>
      <c r="AP16" s="102" t="n">
        <f aca="false">I16-Q16-R16-X16-AF16</f>
        <v>-182.3342803695</v>
      </c>
      <c r="AQ16" s="171" t="n">
        <f aca="false">31.586*(Z16*1.9835+AC16*1.9835)/E16</f>
        <v>7.31904857995758</v>
      </c>
      <c r="AR16" s="171" t="n">
        <f aca="false">1025.215/31/1.9835</f>
        <v>16.6732803695</v>
      </c>
      <c r="AS16" s="158" t="n">
        <f aca="false">BA16-20</f>
        <v>7.8</v>
      </c>
      <c r="AT16" s="5" t="n">
        <v>1.66</v>
      </c>
      <c r="AU16" s="4"/>
      <c r="AV16" s="552" t="n">
        <v>0</v>
      </c>
      <c r="AW16" s="553" t="n">
        <v>85</v>
      </c>
      <c r="AX16" s="191" t="n">
        <v>53</v>
      </c>
      <c r="AY16" s="148"/>
      <c r="AZ16" s="264" t="n">
        <f aca="false">SUM(N16,P16:U16)</f>
        <v>9.68273779848949</v>
      </c>
      <c r="BA16" s="554" t="n">
        <v>27.8</v>
      </c>
      <c r="BB16" s="470" t="n">
        <v>15218</v>
      </c>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row>
    <row r="17" customFormat="false" ht="12.95" hidden="false" customHeight="true" outlineLevel="0" collapsed="false">
      <c r="A17" s="192" t="n">
        <f aca="false">A16+1</f>
        <v>3</v>
      </c>
      <c r="B17" s="318" t="n">
        <v>6884.29</v>
      </c>
      <c r="C17" s="161" t="n">
        <v>229428</v>
      </c>
      <c r="D17" s="191" t="n">
        <f aca="false">C17-C16</f>
        <v>-924</v>
      </c>
      <c r="E17" s="161" t="n">
        <f aca="false">C17-152000</f>
        <v>77428</v>
      </c>
      <c r="F17" s="549" t="n">
        <f aca="false">D17/$D$2</f>
        <v>-465.843206453239</v>
      </c>
      <c r="G17" s="550" t="n">
        <v>158</v>
      </c>
      <c r="H17" s="195" t="n">
        <v>0</v>
      </c>
      <c r="I17" s="194" t="n">
        <f aca="false">G17+H17</f>
        <v>158</v>
      </c>
      <c r="J17" s="110" t="n">
        <f aca="false">IF(L17&gt;0,L17,0)</f>
        <v>0</v>
      </c>
      <c r="K17" s="194" t="n">
        <f aca="false">I17+J17</f>
        <v>158</v>
      </c>
      <c r="L17" s="194" t="n">
        <f aca="false">F17-(I17-AK17)</f>
        <v>-46.2532064532391</v>
      </c>
      <c r="M17" s="551" t="n">
        <v>223</v>
      </c>
      <c r="N17" s="171" t="n">
        <v>0</v>
      </c>
      <c r="O17" s="194" t="n">
        <f aca="false">53.1*1.05</f>
        <v>55.755</v>
      </c>
      <c r="P17" s="171" t="n">
        <v>0</v>
      </c>
      <c r="Q17" s="346" t="n">
        <f aca="false">1898100/325851/1.9835*1.02</f>
        <v>2.99549085455064</v>
      </c>
      <c r="R17" s="138" t="n">
        <v>4.2</v>
      </c>
      <c r="S17" s="138" t="n">
        <f aca="false">((6.9*1.04)-T17)-4.2</f>
        <v>1.80040064</v>
      </c>
      <c r="T17" s="138" t="n">
        <f aca="false">(1.0664*1.06)*1.04</f>
        <v>1.17559936</v>
      </c>
      <c r="U17" s="365" t="n">
        <v>0</v>
      </c>
      <c r="V17" s="194" t="n">
        <v>114</v>
      </c>
      <c r="W17" s="550" t="n">
        <v>67.2</v>
      </c>
      <c r="X17" s="347" t="n">
        <f aca="false">M17-N17-O17-P17-Q17-R17-S17-T17-U17+V17+W17-AT17+AR17</f>
        <v>353.236789514949</v>
      </c>
      <c r="Y17" s="347" t="n">
        <f aca="false">X17-AO17</f>
        <v>353.236789514949</v>
      </c>
      <c r="Z17" s="113" t="n">
        <f aca="false">Z16+AP17</f>
        <v>7793.66446454372</v>
      </c>
      <c r="AA17" s="142" t="n">
        <f aca="false">(-AP17)</f>
        <v>204.1322803695</v>
      </c>
      <c r="AB17" s="441"/>
      <c r="AC17" s="441" t="n">
        <f aca="false">AC16-(AQ16/1.9835)+AS17</f>
        <v>1159.71716632747</v>
      </c>
      <c r="AD17" s="449" t="n">
        <f aca="false">AD16</f>
        <v>4858.65512901258</v>
      </c>
      <c r="AE17" s="550" t="n">
        <v>105</v>
      </c>
      <c r="AF17" s="262" t="n">
        <v>1.7</v>
      </c>
      <c r="AG17" s="263" t="n">
        <v>1.3</v>
      </c>
      <c r="AH17" s="194" t="n">
        <v>70.1</v>
      </c>
      <c r="AI17" s="161" t="n">
        <f aca="false">AI16-AH17</f>
        <v>8832.04923115706</v>
      </c>
      <c r="AJ17" s="161"/>
      <c r="AK17" s="11" t="n">
        <f aca="false">N17+O17+P17+Q17+R17+S17+T17+U17+X17+AE17+AH17-AR17</f>
        <v>577.59</v>
      </c>
      <c r="AL17" s="194" t="n">
        <f aca="false">IF(L17&lt;0,L17*-1,0)</f>
        <v>46.2532064532391</v>
      </c>
      <c r="AM17" s="194" t="n">
        <f aca="false">AK17+AL17</f>
        <v>623.843206453239</v>
      </c>
      <c r="AN17" s="231"/>
      <c r="AO17" s="192"/>
      <c r="AP17" s="102" t="n">
        <f aca="false">I17-Q17-R17-X17-AF17</f>
        <v>-204.1322803695</v>
      </c>
      <c r="AQ17" s="171" t="n">
        <f aca="false">38.217*(Z17*1.9835+AC17*1.9835)/E17</f>
        <v>8.76552337279179</v>
      </c>
      <c r="AR17" s="171" t="n">
        <f aca="false">1025.215/31/1.9835</f>
        <v>16.6732803695</v>
      </c>
      <c r="AS17" s="158" t="n">
        <f aca="false">BA17-20</f>
        <v>7.9</v>
      </c>
      <c r="AT17" s="5" t="n">
        <v>1.71</v>
      </c>
      <c r="AU17" s="4"/>
      <c r="AV17" s="552" t="n">
        <v>0</v>
      </c>
      <c r="AW17" s="553" t="n">
        <v>86</v>
      </c>
      <c r="AX17" s="191" t="n">
        <v>60</v>
      </c>
      <c r="AY17" s="148"/>
      <c r="AZ17" s="264" t="n">
        <f aca="false">SUM(N17,P17:U17)</f>
        <v>10.1714908545506</v>
      </c>
      <c r="BA17" s="554" t="n">
        <v>27.9</v>
      </c>
      <c r="BB17" s="470" t="n">
        <v>15193</v>
      </c>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row>
    <row r="18" customFormat="false" ht="12.95" hidden="false" customHeight="true" outlineLevel="0" collapsed="false">
      <c r="A18" s="192" t="n">
        <f aca="false">A17+1</f>
        <v>4</v>
      </c>
      <c r="B18" s="318" t="n">
        <v>6884.02</v>
      </c>
      <c r="C18" s="161" t="n">
        <v>228568</v>
      </c>
      <c r="D18" s="191" t="n">
        <f aca="false">C18-C17</f>
        <v>-860</v>
      </c>
      <c r="E18" s="161" t="n">
        <f aca="false">C18-152000</f>
        <v>76568</v>
      </c>
      <c r="F18" s="549" t="n">
        <f aca="false">D18/$D$2</f>
        <v>-433.577010335266</v>
      </c>
      <c r="G18" s="550" t="n">
        <v>147</v>
      </c>
      <c r="H18" s="195" t="n">
        <v>0</v>
      </c>
      <c r="I18" s="194" t="n">
        <f aca="false">G18+H18</f>
        <v>147</v>
      </c>
      <c r="J18" s="110" t="n">
        <f aca="false">IF(L18&gt;0,L18,0)</f>
        <v>32.5829896647343</v>
      </c>
      <c r="K18" s="194" t="n">
        <f aca="false">I18+J18</f>
        <v>179.582989664734</v>
      </c>
      <c r="L18" s="194" t="n">
        <f aca="false">F18-(I18-AK18)</f>
        <v>32.5829896647343</v>
      </c>
      <c r="M18" s="551" t="n">
        <v>241</v>
      </c>
      <c r="N18" s="171" t="n">
        <v>0</v>
      </c>
      <c r="O18" s="194" t="n">
        <f aca="false">81.5*1.05</f>
        <v>85.575</v>
      </c>
      <c r="P18" s="171" t="n">
        <v>0</v>
      </c>
      <c r="Q18" s="346" t="n">
        <f aca="false">1663900/325851/1.9835*1.02</f>
        <v>2.62588758910848</v>
      </c>
      <c r="R18" s="138" t="n">
        <v>4.2</v>
      </c>
      <c r="S18" s="138" t="n">
        <f aca="false">((7.1*1.04)-T18)-4.2</f>
        <v>2.00840064</v>
      </c>
      <c r="T18" s="138" t="n">
        <f aca="false">(1.0664*1.06)*1.04</f>
        <v>1.17559936</v>
      </c>
      <c r="U18" s="365" t="n">
        <v>0</v>
      </c>
      <c r="V18" s="194" t="n">
        <v>114</v>
      </c>
      <c r="W18" s="550" t="n">
        <v>67</v>
      </c>
      <c r="X18" s="347" t="n">
        <f aca="false">M18-N18-O18-P18-Q18-R18-S18-T18-U18+V18+W18-AT18+AR18</f>
        <v>341.148392780392</v>
      </c>
      <c r="Y18" s="347" t="n">
        <f aca="false">X18-AO18</f>
        <v>341.148392780392</v>
      </c>
      <c r="Z18" s="113" t="n">
        <f aca="false">Z17+AP18</f>
        <v>7590.99018417422</v>
      </c>
      <c r="AA18" s="142" t="n">
        <f aca="false">(-AP18)</f>
        <v>202.6742803695</v>
      </c>
      <c r="AB18" s="441"/>
      <c r="AC18" s="441" t="n">
        <f aca="false">AC17-(AQ17/1.9835)+AS18</f>
        <v>1162.99794607398</v>
      </c>
      <c r="AD18" s="449" t="n">
        <f aca="false">AD17</f>
        <v>4858.65512901258</v>
      </c>
      <c r="AE18" s="550" t="n">
        <v>123</v>
      </c>
      <c r="AF18" s="262" t="n">
        <v>1.7</v>
      </c>
      <c r="AG18" s="263" t="n">
        <v>1.3</v>
      </c>
      <c r="AH18" s="194" t="n">
        <v>70.1</v>
      </c>
      <c r="AI18" s="161" t="n">
        <f aca="false">AI17-AH18</f>
        <v>8761.94923115706</v>
      </c>
      <c r="AJ18" s="161"/>
      <c r="AK18" s="11" t="n">
        <f aca="false">N18+O18+P18+Q18+R18+S18+T18+U18+X18+AE18+AH18-AR18</f>
        <v>613.16</v>
      </c>
      <c r="AL18" s="194" t="n">
        <f aca="false">IF(L18&lt;0,L18*-1,0)</f>
        <v>0</v>
      </c>
      <c r="AM18" s="194" t="n">
        <f aca="false">AK18+AL18</f>
        <v>613.16</v>
      </c>
      <c r="AN18" s="231"/>
      <c r="AO18" s="192"/>
      <c r="AP18" s="102" t="n">
        <f aca="false">I18-Q18-R18-X18-AF18</f>
        <v>-202.6742803695</v>
      </c>
      <c r="AQ18" s="171" t="n">
        <f aca="false">37.294*(Z18*1.9835+AC18*1.9835)/E18</f>
        <v>8.4572627116944</v>
      </c>
      <c r="AR18" s="171" t="n">
        <f aca="false">1025.215/31/1.9835</f>
        <v>16.6732803695</v>
      </c>
      <c r="AS18" s="158" t="n">
        <f aca="false">BA18-20</f>
        <v>7.7</v>
      </c>
      <c r="AT18" s="5" t="n">
        <v>1.94</v>
      </c>
      <c r="AU18" s="4"/>
      <c r="AV18" s="552" t="n">
        <v>0</v>
      </c>
      <c r="AW18" s="553" t="n">
        <v>84</v>
      </c>
      <c r="AX18" s="191" t="n">
        <v>59</v>
      </c>
      <c r="AY18" s="148"/>
      <c r="AZ18" s="264" t="n">
        <f aca="false">SUM(N18,P18:U18)</f>
        <v>10.0098875891085</v>
      </c>
      <c r="BA18" s="554" t="n">
        <v>27.7</v>
      </c>
      <c r="BB18" s="470" t="n">
        <v>15119</v>
      </c>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row>
    <row r="19" customFormat="false" ht="12.95" hidden="false" customHeight="true" outlineLevel="0" collapsed="false">
      <c r="A19" s="192" t="n">
        <f aca="false">A18+1</f>
        <v>5</v>
      </c>
      <c r="B19" s="318" t="n">
        <v>6883.71</v>
      </c>
      <c r="C19" s="161" t="n">
        <v>227592</v>
      </c>
      <c r="D19" s="191" t="n">
        <f aca="false">C19-C18</f>
        <v>-976</v>
      </c>
      <c r="E19" s="161" t="n">
        <f aca="false">C19-152000</f>
        <v>75592</v>
      </c>
      <c r="F19" s="549" t="n">
        <f aca="false">D19/$D$2</f>
        <v>-492.059490799092</v>
      </c>
      <c r="G19" s="550" t="n">
        <v>169</v>
      </c>
      <c r="H19" s="195" t="n">
        <v>0</v>
      </c>
      <c r="I19" s="194" t="n">
        <f aca="false">G19+H19</f>
        <v>169</v>
      </c>
      <c r="J19" s="110" t="n">
        <f aca="false">IF(L19&gt;0,L19,0)</f>
        <v>0</v>
      </c>
      <c r="K19" s="194" t="n">
        <f aca="false">I19+J19</f>
        <v>169</v>
      </c>
      <c r="L19" s="194" t="n">
        <f aca="false">F19-(I19-AK19)</f>
        <v>-27.6294907990924</v>
      </c>
      <c r="M19" s="551" t="n">
        <v>247</v>
      </c>
      <c r="N19" s="171" t="n">
        <v>0</v>
      </c>
      <c r="O19" s="194" t="n">
        <f aca="false">87.5*1.05</f>
        <v>91.875</v>
      </c>
      <c r="P19" s="171" t="n">
        <v>0</v>
      </c>
      <c r="Q19" s="346" t="n">
        <f aca="false">1514700/325851/1.9835*1.02</f>
        <v>2.39042726799845</v>
      </c>
      <c r="R19" s="138" t="n">
        <v>4.2</v>
      </c>
      <c r="S19" s="138" t="n">
        <f aca="false">((6.9*1.04)-T19)-4.2</f>
        <v>1.80040064</v>
      </c>
      <c r="T19" s="138" t="n">
        <f aca="false">(1.0664*1.06)*1.04</f>
        <v>1.17559936</v>
      </c>
      <c r="U19" s="365" t="n">
        <v>0</v>
      </c>
      <c r="V19" s="194" t="n">
        <v>110</v>
      </c>
      <c r="W19" s="550" t="n">
        <v>66.9</v>
      </c>
      <c r="X19" s="347" t="n">
        <f aca="false">M19-N19-O19-P19-Q19-R19-S19-T19-U19+V19+W19-AT19+AR19</f>
        <v>337.261853101502</v>
      </c>
      <c r="Y19" s="347" t="n">
        <f aca="false">X19-AO19</f>
        <v>337.261853101502</v>
      </c>
      <c r="Z19" s="113" t="n">
        <f aca="false">Z18+AP19</f>
        <v>7414.43790380472</v>
      </c>
      <c r="AA19" s="142" t="n">
        <f aca="false">(-AP19)</f>
        <v>176.5522803695</v>
      </c>
      <c r="AB19" s="441"/>
      <c r="AC19" s="441" t="n">
        <f aca="false">AC18-(AQ18/1.9835)+AS19</f>
        <v>1166.43413830403</v>
      </c>
      <c r="AD19" s="449" t="n">
        <f aca="false">AD18</f>
        <v>4858.65512901258</v>
      </c>
      <c r="AE19" s="550" t="n">
        <v>141</v>
      </c>
      <c r="AF19" s="262" t="n">
        <v>1.7</v>
      </c>
      <c r="AG19" s="263" t="n">
        <v>1.3</v>
      </c>
      <c r="AH19" s="194" t="n">
        <v>70.4</v>
      </c>
      <c r="AI19" s="161" t="n">
        <f aca="false">AI18-AH19</f>
        <v>8691.54923115706</v>
      </c>
      <c r="AJ19" s="161"/>
      <c r="AK19" s="11" t="n">
        <f aca="false">N19+O19+P19+Q19+R19+S19+T19+U19+X19+AE19+AH19-AR19</f>
        <v>633.43</v>
      </c>
      <c r="AL19" s="194" t="n">
        <f aca="false">IF(L19&lt;0,L19*-1,0)</f>
        <v>27.6294907990924</v>
      </c>
      <c r="AM19" s="194" t="n">
        <f aca="false">AK19+AL19</f>
        <v>661.059490799093</v>
      </c>
      <c r="AN19" s="231"/>
      <c r="AO19" s="192"/>
      <c r="AP19" s="102" t="n">
        <f aca="false">I19-Q19-R19-X19-AF19</f>
        <v>-176.5522803695</v>
      </c>
      <c r="AQ19" s="171" t="n">
        <f aca="false">19.016*(Z19*1.9835+AC19*1.9835)/E19</f>
        <v>4.28160859310588</v>
      </c>
      <c r="AR19" s="171" t="n">
        <f aca="false">1025.215/31/1.9835</f>
        <v>16.6732803695</v>
      </c>
      <c r="AS19" s="158" t="n">
        <f aca="false">BA19-20</f>
        <v>7.7</v>
      </c>
      <c r="AT19" s="5" t="n">
        <v>1.87</v>
      </c>
      <c r="AU19" s="4"/>
      <c r="AV19" s="552" t="n">
        <v>0.15</v>
      </c>
      <c r="AW19" s="553" t="n">
        <v>84</v>
      </c>
      <c r="AX19" s="191" t="n">
        <v>57</v>
      </c>
      <c r="AY19" s="148"/>
      <c r="AZ19" s="264" t="n">
        <f aca="false">SUM(N19,P19:U19)</f>
        <v>9.56642726799845</v>
      </c>
      <c r="BA19" s="554" t="n">
        <v>27.7</v>
      </c>
      <c r="BB19" s="470" t="n">
        <v>15064</v>
      </c>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row>
    <row r="20" customFormat="false" ht="12.95" hidden="false" customHeight="true" outlineLevel="0" collapsed="false">
      <c r="A20" s="192" t="n">
        <f aca="false">A19+1</f>
        <v>6</v>
      </c>
      <c r="B20" s="318" t="n">
        <v>6883.43</v>
      </c>
      <c r="C20" s="161" t="n">
        <v>226712</v>
      </c>
      <c r="D20" s="191" t="n">
        <f aca="false">C20-C19</f>
        <v>-880</v>
      </c>
      <c r="E20" s="161" t="n">
        <f aca="false">C20-152000</f>
        <v>74712</v>
      </c>
      <c r="F20" s="549" t="n">
        <f aca="false">D20/$D$2</f>
        <v>-443.660196622133</v>
      </c>
      <c r="G20" s="550" t="n">
        <v>197</v>
      </c>
      <c r="H20" s="195" t="n">
        <v>0</v>
      </c>
      <c r="I20" s="194" t="n">
        <f aca="false">G20+H20</f>
        <v>197</v>
      </c>
      <c r="J20" s="110" t="n">
        <f aca="false">IF(L20&gt;0,L20,0)</f>
        <v>0.0598033778674676</v>
      </c>
      <c r="K20" s="194" t="n">
        <f aca="false">I20+J20</f>
        <v>197.059803377867</v>
      </c>
      <c r="L20" s="194" t="n">
        <f aca="false">F20-(I20-AK20)</f>
        <v>0.0598033778674676</v>
      </c>
      <c r="M20" s="551" t="n">
        <v>267</v>
      </c>
      <c r="N20" s="171" t="n">
        <v>0</v>
      </c>
      <c r="O20" s="194" t="n">
        <f aca="false">81.1*1.05</f>
        <v>85.155</v>
      </c>
      <c r="P20" s="171" t="n">
        <v>0</v>
      </c>
      <c r="Q20" s="346" t="n">
        <f aca="false">1829100/325851/1.9835*1.02</f>
        <v>2.88659834679868</v>
      </c>
      <c r="R20" s="138" t="n">
        <v>4.2</v>
      </c>
      <c r="S20" s="138" t="n">
        <f aca="false">((5.9*1.04)-T20)-4.2</f>
        <v>0.760400640000001</v>
      </c>
      <c r="T20" s="138" t="n">
        <f aca="false">(1.0664*1.06)*1.04</f>
        <v>1.17559936</v>
      </c>
      <c r="U20" s="365" t="n">
        <v>0</v>
      </c>
      <c r="V20" s="194" t="n">
        <v>108</v>
      </c>
      <c r="W20" s="550" t="n">
        <v>66.4</v>
      </c>
      <c r="X20" s="347" t="n">
        <f aca="false">M20-N20-O20-P20-Q20-R20-S20-T20-U20+V20+W20-AT20+AR20</f>
        <v>362.215682022701</v>
      </c>
      <c r="Y20" s="347" t="n">
        <f aca="false">X20-AO20</f>
        <v>362.215682022701</v>
      </c>
      <c r="Z20" s="113" t="n">
        <f aca="false">Z19+AP20</f>
        <v>7240.43562343522</v>
      </c>
      <c r="AA20" s="142" t="n">
        <f aca="false">(-AP20)</f>
        <v>174.0022803695</v>
      </c>
      <c r="AB20" s="441"/>
      <c r="AC20" s="441" t="n">
        <f aca="false">AC19-(AQ19/1.9835)+AS20</f>
        <v>1171.87552545144</v>
      </c>
      <c r="AD20" s="449" t="n">
        <f aca="false">AD19</f>
        <v>4858.65512901258</v>
      </c>
      <c r="AE20" s="550" t="n">
        <v>130</v>
      </c>
      <c r="AF20" s="262" t="n">
        <v>1.7</v>
      </c>
      <c r="AG20" s="263" t="n">
        <v>1.3</v>
      </c>
      <c r="AH20" s="194" t="n">
        <v>71</v>
      </c>
      <c r="AI20" s="161" t="n">
        <f aca="false">AI19-AH20</f>
        <v>8620.54923115706</v>
      </c>
      <c r="AJ20" s="161"/>
      <c r="AK20" s="11" t="n">
        <f aca="false">N20+O20+P20+Q20+R20+S20+T20+U20+X20+AE20+AH20-AR20</f>
        <v>640.72</v>
      </c>
      <c r="AL20" s="194" t="n">
        <f aca="false">IF(L20&lt;0,L20*-1,0)</f>
        <v>0</v>
      </c>
      <c r="AM20" s="194" t="n">
        <f aca="false">AK20+AL20</f>
        <v>640.72</v>
      </c>
      <c r="AN20" s="231"/>
      <c r="AO20" s="555"/>
      <c r="AP20" s="102" t="n">
        <f aca="false">I20-Q20-R20-X20-AF20</f>
        <v>-174.0022803695</v>
      </c>
      <c r="AQ20" s="556" t="n">
        <f aca="false">44.858*(Z20*1.9835+AC20*1.9835)/E20</f>
        <v>10.0183702223269</v>
      </c>
      <c r="AR20" s="171" t="n">
        <f aca="false">1025.215/31/1.9835</f>
        <v>16.6732803695</v>
      </c>
      <c r="AS20" s="158" t="n">
        <f aca="false">BA20-20</f>
        <v>7.6</v>
      </c>
      <c r="AT20" s="5" t="n">
        <v>1.68</v>
      </c>
      <c r="AU20" s="4"/>
      <c r="AV20" s="552" t="n">
        <v>0</v>
      </c>
      <c r="AW20" s="553" t="n">
        <v>89</v>
      </c>
      <c r="AX20" s="191" t="n">
        <v>52</v>
      </c>
      <c r="AY20" s="148"/>
      <c r="AZ20" s="264" t="n">
        <f aca="false">SUM(N20,P20:U20)</f>
        <v>9.02259834679868</v>
      </c>
      <c r="BA20" s="554" t="n">
        <v>27.6</v>
      </c>
      <c r="BB20" s="470" t="n">
        <v>15040</v>
      </c>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row>
    <row r="21" customFormat="false" ht="12.95" hidden="false" customHeight="true" outlineLevel="0" collapsed="false">
      <c r="A21" s="192" t="n">
        <f aca="false">A20+1</f>
        <v>7</v>
      </c>
      <c r="B21" s="318" t="n">
        <v>6883.1</v>
      </c>
      <c r="C21" s="161" t="n">
        <v>225674</v>
      </c>
      <c r="D21" s="191" t="n">
        <f aca="false">C21-C20</f>
        <v>-1038</v>
      </c>
      <c r="E21" s="161" t="n">
        <f aca="false">C21-152000</f>
        <v>73674</v>
      </c>
      <c r="F21" s="549" t="n">
        <f aca="false">D21/$D$2</f>
        <v>-523.317368288379</v>
      </c>
      <c r="G21" s="550" t="n">
        <v>150</v>
      </c>
      <c r="H21" s="195" t="n">
        <v>0</v>
      </c>
      <c r="I21" s="194" t="n">
        <f aca="false">G21+H21</f>
        <v>150</v>
      </c>
      <c r="J21" s="110" t="n">
        <f aca="false">IF(L21&gt;0,L21,0)</f>
        <v>0</v>
      </c>
      <c r="K21" s="194" t="n">
        <f aca="false">I21+J21</f>
        <v>150</v>
      </c>
      <c r="L21" s="194" t="n">
        <f aca="false">F21-(I21-AK21)</f>
        <v>-52.7873682883792</v>
      </c>
      <c r="M21" s="551" t="n">
        <v>247</v>
      </c>
      <c r="N21" s="171" t="n">
        <v>0</v>
      </c>
      <c r="O21" s="194" t="n">
        <f aca="false">75.3*1.05</f>
        <v>79.065</v>
      </c>
      <c r="P21" s="171" t="n">
        <v>0</v>
      </c>
      <c r="Q21" s="346" t="n">
        <f aca="false">1766900/325851/1.9835*1.02</f>
        <v>2.78843727459329</v>
      </c>
      <c r="R21" s="138" t="n">
        <v>4.2</v>
      </c>
      <c r="S21" s="138" t="n">
        <f aca="false">((6.2*1.04)-T21)-4.2</f>
        <v>1.07240064</v>
      </c>
      <c r="T21" s="138" t="n">
        <f aca="false">(1.0664*1.06)*1.04</f>
        <v>1.17559936</v>
      </c>
      <c r="U21" s="365" t="n">
        <v>0</v>
      </c>
      <c r="V21" s="194" t="n">
        <v>109</v>
      </c>
      <c r="W21" s="550" t="n">
        <v>68.1</v>
      </c>
      <c r="X21" s="347" t="n">
        <f aca="false">M21-N21-O21-P21-Q21-R21-S21-T21-U21+V21+W21-AT21+AR21</f>
        <v>350.901843094907</v>
      </c>
      <c r="Y21" s="347" t="n">
        <f aca="false">X21-AO21</f>
        <v>350.901843094907</v>
      </c>
      <c r="Z21" s="113" t="n">
        <f aca="false">Z20+AP21</f>
        <v>7030.84534306572</v>
      </c>
      <c r="AA21" s="142" t="n">
        <f aca="false">(-AP21)</f>
        <v>209.5902803695</v>
      </c>
      <c r="AB21" s="441"/>
      <c r="AC21" s="441" t="n">
        <f aca="false">AC20-(AQ20/1.9835)+AS21</f>
        <v>1171.62467078932</v>
      </c>
      <c r="AD21" s="449" t="n">
        <f aca="false">AD20</f>
        <v>4858.65512901258</v>
      </c>
      <c r="AE21" s="550" t="n">
        <v>127</v>
      </c>
      <c r="AF21" s="262" t="n">
        <v>1.7</v>
      </c>
      <c r="AG21" s="263" t="n">
        <v>1.3</v>
      </c>
      <c r="AH21" s="194" t="n">
        <v>71</v>
      </c>
      <c r="AI21" s="161" t="n">
        <f aca="false">AI20-AH21</f>
        <v>8549.54923115706</v>
      </c>
      <c r="AJ21" s="161"/>
      <c r="AK21" s="11" t="n">
        <f aca="false">N21+O21+P21+Q21+R21+S21+T21+U21+X21+AE21+AH21-AR21</f>
        <v>620.53</v>
      </c>
      <c r="AL21" s="194" t="n">
        <f aca="false">IF(L21&lt;0,L21*-1,0)</f>
        <v>52.7873682883792</v>
      </c>
      <c r="AM21" s="194" t="n">
        <f aca="false">AK21+AL21</f>
        <v>673.317368288379</v>
      </c>
      <c r="AN21" s="231"/>
      <c r="AO21" s="555"/>
      <c r="AP21" s="102" t="n">
        <f aca="false">I21-Q21-R21-X21-AF21</f>
        <v>-209.5902803695</v>
      </c>
      <c r="AQ21" s="556" t="n">
        <f aca="false">49.235*(Z21*1.9835+AC21*1.9835)/E21</f>
        <v>10.8726785593374</v>
      </c>
      <c r="AR21" s="171" t="n">
        <f aca="false">1025.215/31/1.9835</f>
        <v>16.6732803695</v>
      </c>
      <c r="AS21" s="158" t="n">
        <f aca="false">BA21-20</f>
        <v>4.8</v>
      </c>
      <c r="AT21" s="5" t="n">
        <v>1.57</v>
      </c>
      <c r="AU21" s="4"/>
      <c r="AV21" s="552" t="n">
        <v>0</v>
      </c>
      <c r="AW21" s="553" t="n">
        <v>89</v>
      </c>
      <c r="AX21" s="191" t="n">
        <v>54</v>
      </c>
      <c r="AY21" s="148"/>
      <c r="AZ21" s="264" t="n">
        <f aca="false">SUM(N21,P21:U21)</f>
        <v>9.23643727459329</v>
      </c>
      <c r="BA21" s="554" t="n">
        <v>24.8</v>
      </c>
      <c r="BB21" s="470" t="n">
        <v>15001</v>
      </c>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row>
    <row r="22" customFormat="false" ht="12.95" hidden="false" customHeight="true" outlineLevel="0" collapsed="false">
      <c r="A22" s="192" t="n">
        <f aca="false">A21+1</f>
        <v>8</v>
      </c>
      <c r="B22" s="318" t="n">
        <v>6882.73</v>
      </c>
      <c r="C22" s="161" t="n">
        <v>224520</v>
      </c>
      <c r="D22" s="191" t="n">
        <f aca="false">C22-C21</f>
        <v>-1154</v>
      </c>
      <c r="E22" s="161" t="n">
        <f aca="false">C22-152000</f>
        <v>72520</v>
      </c>
      <c r="F22" s="549" t="n">
        <f aca="false">D22/$D$2</f>
        <v>-581.799848752206</v>
      </c>
      <c r="G22" s="550" t="n">
        <v>126</v>
      </c>
      <c r="H22" s="195" t="n">
        <v>0</v>
      </c>
      <c r="I22" s="194" t="n">
        <f aca="false">G22+H22</f>
        <v>126</v>
      </c>
      <c r="J22" s="110" t="n">
        <f aca="false">IF(L22&gt;0,L22,0)</f>
        <v>0</v>
      </c>
      <c r="K22" s="194" t="n">
        <f aca="false">I22+J22</f>
        <v>126</v>
      </c>
      <c r="L22" s="194" t="n">
        <f aca="false">F22-(I22-AK22)</f>
        <v>-53.7298487522056</v>
      </c>
      <c r="M22" s="551" t="n">
        <v>278</v>
      </c>
      <c r="N22" s="171" t="n">
        <v>0</v>
      </c>
      <c r="O22" s="194" t="n">
        <f aca="false">75.6*1.05</f>
        <v>79.38</v>
      </c>
      <c r="P22" s="171" t="n">
        <v>0</v>
      </c>
      <c r="Q22" s="346" t="n">
        <f aca="false">1900800/325851/1.9835*1.02</f>
        <v>2.99975186572354</v>
      </c>
      <c r="R22" s="138" t="n">
        <v>4.2</v>
      </c>
      <c r="S22" s="138" t="n">
        <f aca="false">((6.1*1.04)-T22)-4.2</f>
        <v>1.06100224</v>
      </c>
      <c r="T22" s="138" t="n">
        <f aca="false">(0.9824*1.06)*1.04</f>
        <v>1.08299776</v>
      </c>
      <c r="U22" s="365" t="n">
        <v>0</v>
      </c>
      <c r="V22" s="194" t="n">
        <v>114</v>
      </c>
      <c r="W22" s="550" t="n">
        <v>67.5</v>
      </c>
      <c r="X22" s="347" t="n">
        <f aca="false">M22-N22-O22-P22-Q22-R22-S22-T22-U22+V22+W22-AT22+AR22</f>
        <v>386.019528503776</v>
      </c>
      <c r="Y22" s="347" t="n">
        <f aca="false">X22-AO22</f>
        <v>386.019528503776</v>
      </c>
      <c r="Z22" s="113" t="n">
        <f aca="false">Z21+AP22</f>
        <v>6761.92606269622</v>
      </c>
      <c r="AA22" s="142" t="n">
        <f aca="false">(-AP22)</f>
        <v>268.9192803695</v>
      </c>
      <c r="AB22" s="441"/>
      <c r="AC22" s="441" t="n">
        <f aca="false">AC21-(AQ21/1.9835)+AS22</f>
        <v>1176.44310862177</v>
      </c>
      <c r="AD22" s="449" t="n">
        <f aca="false">AD21</f>
        <v>4858.65512901258</v>
      </c>
      <c r="AE22" s="550" t="n">
        <v>125</v>
      </c>
      <c r="AF22" s="262" t="n">
        <v>1.7</v>
      </c>
      <c r="AG22" s="263" t="n">
        <v>1.3</v>
      </c>
      <c r="AH22" s="194" t="n">
        <v>71</v>
      </c>
      <c r="AI22" s="161" t="n">
        <f aca="false">AI21-AH22</f>
        <v>8478.54923115706</v>
      </c>
      <c r="AJ22" s="161"/>
      <c r="AK22" s="11" t="n">
        <f aca="false">N22+O22+P22+Q22+R22+S22+T22+U22+X22+AE22+AH22-AR22</f>
        <v>654.07</v>
      </c>
      <c r="AL22" s="194" t="n">
        <f aca="false">IF(L22&lt;0,L22*-1,0)</f>
        <v>53.7298487522056</v>
      </c>
      <c r="AM22" s="194" t="n">
        <f aca="false">AK22+AL22</f>
        <v>707.799848752206</v>
      </c>
      <c r="AN22" s="231"/>
      <c r="AO22" s="555"/>
      <c r="AP22" s="102" t="n">
        <f aca="false">I22-Q22-R22-X22-AF22</f>
        <v>-268.9192803695</v>
      </c>
      <c r="AQ22" s="556" t="n">
        <f aca="false">46.864*(Z22*1.9835+AC22*1.9835)/E22</f>
        <v>10.1752492291417</v>
      </c>
      <c r="AR22" s="171" t="n">
        <f aca="false">1025.215/31/1.9835</f>
        <v>16.6732803695</v>
      </c>
      <c r="AS22" s="158" t="n">
        <f aca="false">BA22</f>
        <v>10.3</v>
      </c>
      <c r="AT22" s="5" t="n">
        <v>1.43</v>
      </c>
      <c r="AU22" s="4"/>
      <c r="AV22" s="552" t="n">
        <v>0</v>
      </c>
      <c r="AW22" s="553" t="n">
        <v>88</v>
      </c>
      <c r="AX22" s="191" t="n">
        <v>52</v>
      </c>
      <c r="AY22" s="148"/>
      <c r="AZ22" s="264" t="n">
        <f aca="false">SUM(N22,P22:U22)</f>
        <v>9.34375186572354</v>
      </c>
      <c r="BA22" s="554" t="n">
        <v>10.3</v>
      </c>
      <c r="BB22" s="470" t="n">
        <v>14986</v>
      </c>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row>
    <row r="23" customFormat="false" ht="12.95" hidden="false" customHeight="true" outlineLevel="0" collapsed="false">
      <c r="A23" s="192" t="n">
        <f aca="false">A22+1</f>
        <v>9</v>
      </c>
      <c r="B23" s="318" t="n">
        <v>6882.37</v>
      </c>
      <c r="C23" s="161" t="n">
        <v>223402</v>
      </c>
      <c r="D23" s="191" t="n">
        <f aca="false">C23-C22</f>
        <v>-1118</v>
      </c>
      <c r="E23" s="161" t="n">
        <f aca="false">C23-152000</f>
        <v>71402</v>
      </c>
      <c r="F23" s="549" t="n">
        <f aca="false">D23/$D$2</f>
        <v>-563.650113435846</v>
      </c>
      <c r="G23" s="550" t="n">
        <v>108</v>
      </c>
      <c r="H23" s="195" t="n">
        <v>0</v>
      </c>
      <c r="I23" s="194" t="n">
        <f aca="false">G23+H23</f>
        <v>108</v>
      </c>
      <c r="J23" s="110" t="n">
        <f aca="false">IF(L23&gt;0,L23,0)</f>
        <v>0</v>
      </c>
      <c r="K23" s="194" t="n">
        <f aca="false">I23+J23</f>
        <v>108</v>
      </c>
      <c r="L23" s="194" t="n">
        <f aca="false">F23-(I23-AK23)</f>
        <v>-26.3201134358457</v>
      </c>
      <c r="M23" s="551" t="n">
        <v>263</v>
      </c>
      <c r="N23" s="171" t="n">
        <v>0</v>
      </c>
      <c r="O23" s="194" t="n">
        <f aca="false">73*1.05</f>
        <v>76.65</v>
      </c>
      <c r="P23" s="171" t="n">
        <v>0</v>
      </c>
      <c r="Q23" s="346" t="n">
        <f aca="false">1845400/325851/1.9835*1.02</f>
        <v>2.91232222906472</v>
      </c>
      <c r="R23" s="138" t="n">
        <v>4.2</v>
      </c>
      <c r="S23" s="138" t="n">
        <f aca="false">((5.9*1.04)-T23)-4.2</f>
        <v>0.853002240000001</v>
      </c>
      <c r="T23" s="138" t="n">
        <f aca="false">(0.9824*1.06)*1.04</f>
        <v>1.08299776</v>
      </c>
      <c r="U23" s="365" t="n">
        <v>0</v>
      </c>
      <c r="V23" s="194" t="n">
        <v>113</v>
      </c>
      <c r="W23" s="550" t="n">
        <v>67.5</v>
      </c>
      <c r="X23" s="347" t="n">
        <f aca="false">M23-N23-O23-P23-Q23-R23-S23-T23-U23+V23+W23-AT23+AR23</f>
        <v>373.304958140435</v>
      </c>
      <c r="Y23" s="347" t="n">
        <f aca="false">X23-AO23</f>
        <v>373.304958140435</v>
      </c>
      <c r="Z23" s="113" t="n">
        <f aca="false">Z22+AP23</f>
        <v>6487.80878232672</v>
      </c>
      <c r="AA23" s="142" t="n">
        <f aca="false">(-AP23)</f>
        <v>274.1172803695</v>
      </c>
      <c r="AB23" s="441"/>
      <c r="AC23" s="441" t="n">
        <f aca="false">AC22-(AQ22/1.9835)+AS23</f>
        <v>1180.50316194713</v>
      </c>
      <c r="AD23" s="449" t="n">
        <f aca="false">AD22</f>
        <v>4858.65512901258</v>
      </c>
      <c r="AE23" s="550" t="n">
        <v>132</v>
      </c>
      <c r="AF23" s="262" t="n">
        <v>1.7</v>
      </c>
      <c r="AG23" s="263" t="n">
        <v>1.3</v>
      </c>
      <c r="AH23" s="194" t="n">
        <v>71</v>
      </c>
      <c r="AI23" s="161" t="n">
        <f aca="false">AI22-AH23</f>
        <v>8407.54923115706</v>
      </c>
      <c r="AJ23" s="161"/>
      <c r="AK23" s="11" t="n">
        <f aca="false">N23+O23+P23+Q23+R23+S23+T23+U23+X23+AE23+AH23-AR23</f>
        <v>645.33</v>
      </c>
      <c r="AL23" s="194" t="n">
        <f aca="false">IF(L23&lt;0,L23*-1,0)</f>
        <v>26.3201134358457</v>
      </c>
      <c r="AM23" s="194" t="n">
        <f aca="false">AK23+AL23</f>
        <v>671.650113435846</v>
      </c>
      <c r="AN23" s="231"/>
      <c r="AO23" s="555"/>
      <c r="AP23" s="102" t="n">
        <f aca="false">I23-Q23-R23-X23-AF23</f>
        <v>-274.1172803695</v>
      </c>
      <c r="AQ23" s="556" t="n">
        <f aca="false">54.185*(Z23*1.9835+AC23*1.9835)/E23</f>
        <v>11.5425211049606</v>
      </c>
      <c r="AR23" s="171" t="n">
        <f aca="false">1025.215/31/1.9835</f>
        <v>16.6732803695</v>
      </c>
      <c r="AS23" s="158" t="n">
        <f aca="false">BA23</f>
        <v>9.19</v>
      </c>
      <c r="AT23" s="5" t="n">
        <v>1.17</v>
      </c>
      <c r="AU23" s="4"/>
      <c r="AV23" s="552" t="n">
        <v>0</v>
      </c>
      <c r="AW23" s="557" t="n">
        <v>90</v>
      </c>
      <c r="AX23" s="191" t="n">
        <v>51</v>
      </c>
      <c r="AY23" s="148"/>
      <c r="AZ23" s="264" t="n">
        <f aca="false">SUM(N23,P23:U23)</f>
        <v>9.04832222906473</v>
      </c>
      <c r="BA23" s="554" t="n">
        <v>9.19</v>
      </c>
      <c r="BB23" s="470" t="n">
        <v>14969</v>
      </c>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row>
    <row r="24" customFormat="false" ht="12.95" hidden="false" customHeight="true" outlineLevel="0" collapsed="false">
      <c r="A24" s="192" t="n">
        <f aca="false">A23+1</f>
        <v>10</v>
      </c>
      <c r="B24" s="318" t="n">
        <v>6882.02</v>
      </c>
      <c r="C24" s="161" t="n">
        <v>222315</v>
      </c>
      <c r="D24" s="191" t="n">
        <f aca="false">C24-C23</f>
        <v>-1087</v>
      </c>
      <c r="E24" s="161" t="n">
        <f aca="false">C24-152000</f>
        <v>70315</v>
      </c>
      <c r="F24" s="549" t="n">
        <f aca="false">D24/$D$2</f>
        <v>-548.021174691202</v>
      </c>
      <c r="G24" s="550" t="n">
        <v>101</v>
      </c>
      <c r="H24" s="195" t="n">
        <v>0</v>
      </c>
      <c r="I24" s="194" t="n">
        <f aca="false">G24+H24</f>
        <v>101</v>
      </c>
      <c r="J24" s="110" t="n">
        <f aca="false">IF(L24&gt;0,L24,0)</f>
        <v>0</v>
      </c>
      <c r="K24" s="194" t="n">
        <f aca="false">I24+J24</f>
        <v>101</v>
      </c>
      <c r="L24" s="194" t="n">
        <f aca="false">F24-(I24-AK24)</f>
        <v>-16.4811746912023</v>
      </c>
      <c r="M24" s="551" t="n">
        <v>281</v>
      </c>
      <c r="N24" s="171" t="n">
        <v>0</v>
      </c>
      <c r="O24" s="194" t="n">
        <f aca="false">82.4*1.05</f>
        <v>86.52</v>
      </c>
      <c r="P24" s="171" t="n">
        <v>0</v>
      </c>
      <c r="Q24" s="346" t="n">
        <f aca="false">2044500/325851/1.9835*1.02</f>
        <v>3.22653234925915</v>
      </c>
      <c r="R24" s="138" t="n">
        <v>4.2</v>
      </c>
      <c r="S24" s="138" t="n">
        <f aca="false">((6*1.04)-T24)-4.2</f>
        <v>0.95700224</v>
      </c>
      <c r="T24" s="138" t="n">
        <f aca="false">(0.9824*1.06)*1.04</f>
        <v>1.08299776</v>
      </c>
      <c r="U24" s="365" t="n">
        <v>0</v>
      </c>
      <c r="V24" s="194" t="n">
        <v>111</v>
      </c>
      <c r="W24" s="550" t="n">
        <v>67.8</v>
      </c>
      <c r="X24" s="347" t="n">
        <f aca="false">M24-N24-O24-P24-Q24-R24-S24-T24-U24+V24+W24-AT24+AR24</f>
        <v>379.226748020241</v>
      </c>
      <c r="Y24" s="347" t="n">
        <f aca="false">X24-AO24</f>
        <v>379.226748020241</v>
      </c>
      <c r="Z24" s="113" t="n">
        <f aca="false">Z23+AP24</f>
        <v>6200.45550195722</v>
      </c>
      <c r="AA24" s="142" t="n">
        <f aca="false">(-AP24)</f>
        <v>287.3532803695</v>
      </c>
      <c r="AB24" s="441"/>
      <c r="AC24" s="441" t="n">
        <f aca="false">AC23-(AQ23/1.9835)+AS24</f>
        <v>1183.86389242106</v>
      </c>
      <c r="AD24" s="449" t="n">
        <f aca="false">AD23</f>
        <v>4858.65512901258</v>
      </c>
      <c r="AE24" s="550" t="n">
        <v>103</v>
      </c>
      <c r="AF24" s="262" t="n">
        <v>1.7</v>
      </c>
      <c r="AG24" s="263" t="n">
        <v>1.3</v>
      </c>
      <c r="AH24" s="194" t="n">
        <v>71</v>
      </c>
      <c r="AI24" s="161" t="n">
        <f aca="false">AI23-AH24</f>
        <v>8336.54923115706</v>
      </c>
      <c r="AJ24" s="161"/>
      <c r="AK24" s="11" t="n">
        <f aca="false">N24+O24+P24+Q24+R24+S24+T24+U24+X24+AE24+AH24-AR24</f>
        <v>632.54</v>
      </c>
      <c r="AL24" s="194" t="n">
        <f aca="false">IF(L24&lt;0,L24*-1,0)</f>
        <v>16.4811746912023</v>
      </c>
      <c r="AM24" s="194" t="n">
        <f aca="false">AK24+AL24</f>
        <v>649.021174691202</v>
      </c>
      <c r="AN24" s="231"/>
      <c r="AO24" s="555"/>
      <c r="AP24" s="102" t="n">
        <f aca="false">I24-Q24-R24-X24-AF24</f>
        <v>-287.3532803695</v>
      </c>
      <c r="AQ24" s="556" t="n">
        <f aca="false">55.625*(Z24*1.9835+AC24*1.9835)/E24</f>
        <v>11.5868322830183</v>
      </c>
      <c r="AR24" s="171" t="n">
        <f aca="false">1025.215/31/1.9835</f>
        <v>16.6732803695</v>
      </c>
      <c r="AS24" s="158" t="n">
        <f aca="false">BA24</f>
        <v>9.18</v>
      </c>
      <c r="AT24" s="5" t="n">
        <v>1.26</v>
      </c>
      <c r="AU24" s="4"/>
      <c r="AV24" s="552" t="n">
        <v>0</v>
      </c>
      <c r="AW24" s="553" t="n">
        <v>90</v>
      </c>
      <c r="AX24" s="191" t="n">
        <v>56</v>
      </c>
      <c r="AY24" s="148"/>
      <c r="AZ24" s="264" t="n">
        <f aca="false">SUM(N24,P24:U24)</f>
        <v>9.46653234925915</v>
      </c>
      <c r="BA24" s="554" t="n">
        <v>9.18</v>
      </c>
      <c r="BB24" s="470" t="n">
        <v>14925</v>
      </c>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row>
    <row r="25" customFormat="false" ht="12.95" hidden="false" customHeight="true" outlineLevel="0" collapsed="false">
      <c r="A25" s="192" t="n">
        <v>11</v>
      </c>
      <c r="B25" s="318" t="n">
        <v>6881.6</v>
      </c>
      <c r="C25" s="161" t="n">
        <v>221027</v>
      </c>
      <c r="D25" s="191" t="n">
        <f aca="false">C25-C24</f>
        <v>-1288</v>
      </c>
      <c r="E25" s="161" t="n">
        <f aca="false">C25-152000</f>
        <v>69027</v>
      </c>
      <c r="F25" s="549" t="n">
        <f aca="false">D25/$D$2</f>
        <v>-649.357196874212</v>
      </c>
      <c r="G25" s="550" t="n">
        <v>95</v>
      </c>
      <c r="H25" s="195" t="n">
        <v>0</v>
      </c>
      <c r="I25" s="194" t="n">
        <f aca="false">G25+H25</f>
        <v>95</v>
      </c>
      <c r="J25" s="110" t="n">
        <f aca="false">IF(L25&gt;0,L25,0)</f>
        <v>0</v>
      </c>
      <c r="K25" s="194" t="n">
        <f aca="false">I25+J25</f>
        <v>95</v>
      </c>
      <c r="L25" s="194" t="n">
        <f aca="false">F25-(I25-AK25)</f>
        <v>-106.647196874212</v>
      </c>
      <c r="M25" s="551" t="n">
        <v>259</v>
      </c>
      <c r="N25" s="171" t="n">
        <v>0</v>
      </c>
      <c r="O25" s="194" t="n">
        <f aca="false">59.2*1.05</f>
        <v>62.16</v>
      </c>
      <c r="P25" s="171" t="n">
        <v>0</v>
      </c>
      <c r="Q25" s="346" t="n">
        <f aca="false">1939200/325851/1.9835*1.02</f>
        <v>3.06035291351594</v>
      </c>
      <c r="R25" s="138" t="n">
        <v>4.2</v>
      </c>
      <c r="S25" s="138" t="n">
        <f aca="false">((6*1.04)-T25)-4.2</f>
        <v>0.95700224</v>
      </c>
      <c r="T25" s="138" t="n">
        <f aca="false">(0.9824*1.06)*1.04</f>
        <v>1.08299776</v>
      </c>
      <c r="U25" s="365" t="n">
        <v>0</v>
      </c>
      <c r="V25" s="194" t="n">
        <v>111</v>
      </c>
      <c r="W25" s="550" t="n">
        <v>66.9</v>
      </c>
      <c r="X25" s="347" t="n">
        <f aca="false">M25-N25-O25-P25-Q25-R25-S25-T25-U25+V25+W25-AT25+AR25</f>
        <v>380.922927455984</v>
      </c>
      <c r="Y25" s="347" t="n">
        <f aca="false">X25-AO25</f>
        <v>380.922927455984</v>
      </c>
      <c r="Z25" s="113" t="n">
        <f aca="false">Z24+AP25</f>
        <v>5905.57222158772</v>
      </c>
      <c r="AA25" s="142" t="n">
        <f aca="false">(-AP25)</f>
        <v>294.8832803695</v>
      </c>
      <c r="AB25" s="441"/>
      <c r="AC25" s="441" t="n">
        <f aca="false">AC24-(AQ24/1.9835)+AS25</f>
        <v>1187.20228300184</v>
      </c>
      <c r="AD25" s="449" t="n">
        <f aca="false">AD24</f>
        <v>4858.65512901258</v>
      </c>
      <c r="AE25" s="550" t="n">
        <v>131</v>
      </c>
      <c r="AF25" s="262" t="n">
        <v>1.7</v>
      </c>
      <c r="AG25" s="263" t="n">
        <v>1.3</v>
      </c>
      <c r="AH25" s="194" t="n">
        <v>71</v>
      </c>
      <c r="AI25" s="161" t="n">
        <f aca="false">AI24-AH25</f>
        <v>8265.54923115706</v>
      </c>
      <c r="AJ25" s="161"/>
      <c r="AK25" s="11" t="n">
        <f aca="false">N25+O25+P25+Q25+R25+S25+T25+U25+X25+AE25+AH25-AR25</f>
        <v>637.71</v>
      </c>
      <c r="AL25" s="194" t="n">
        <f aca="false">IF(L25&lt;0,L25*-1,0)</f>
        <v>106.647196874212</v>
      </c>
      <c r="AM25" s="194" t="n">
        <f aca="false">AK25+AL25</f>
        <v>744.357196874212</v>
      </c>
      <c r="AN25" s="231"/>
      <c r="AO25" s="555"/>
      <c r="AP25" s="102" t="n">
        <f aca="false">I25-Q25-R25-X25-AF25</f>
        <v>-294.8832803695</v>
      </c>
      <c r="AQ25" s="556" t="n">
        <f aca="false">58.685*(Z25*1.9835+AC25*1.9835)/E25</f>
        <v>11.9606964277594</v>
      </c>
      <c r="AR25" s="171" t="n">
        <f aca="false">1025.215/31/1.9835</f>
        <v>16.6732803695</v>
      </c>
      <c r="AS25" s="158" t="n">
        <f aca="false">BA25</f>
        <v>9.18</v>
      </c>
      <c r="AT25" s="5" t="n">
        <v>1.19</v>
      </c>
      <c r="AU25" s="4"/>
      <c r="AV25" s="552" t="n">
        <v>0</v>
      </c>
      <c r="AW25" s="553" t="n">
        <v>89</v>
      </c>
      <c r="AX25" s="191" t="n">
        <v>54</v>
      </c>
      <c r="AY25" s="148"/>
      <c r="AZ25" s="264" t="n">
        <f aca="false">SUM(N25,P25:U25)</f>
        <v>9.30035291351594</v>
      </c>
      <c r="BA25" s="554" t="n">
        <v>9.18</v>
      </c>
      <c r="BB25" s="470" t="n">
        <v>14921</v>
      </c>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row>
    <row r="26" customFormat="false" ht="12.95" hidden="false" customHeight="true" outlineLevel="0" collapsed="false">
      <c r="A26" s="192" t="n">
        <v>12</v>
      </c>
      <c r="B26" s="318" t="n">
        <v>6881.22</v>
      </c>
      <c r="C26" s="161" t="n">
        <v>219862</v>
      </c>
      <c r="D26" s="191" t="n">
        <f aca="false">C26-C25</f>
        <v>-1165</v>
      </c>
      <c r="E26" s="161" t="n">
        <f aca="false">C26-152000</f>
        <v>67862</v>
      </c>
      <c r="F26" s="549" t="n">
        <f aca="false">D26/$D$2</f>
        <v>-587.345601209982</v>
      </c>
      <c r="G26" s="550" t="n">
        <v>97</v>
      </c>
      <c r="H26" s="195" t="n">
        <v>0</v>
      </c>
      <c r="I26" s="194" t="n">
        <f aca="false">G26+H26</f>
        <v>97</v>
      </c>
      <c r="J26" s="110" t="n">
        <f aca="false">IF(L26&gt;0,L26,0)</f>
        <v>28.1043987900177</v>
      </c>
      <c r="K26" s="194" t="n">
        <f aca="false">I26+J26</f>
        <v>125.104398790018</v>
      </c>
      <c r="L26" s="194" t="n">
        <f aca="false">F26-(I26-AK26)</f>
        <v>28.1043987900177</v>
      </c>
      <c r="M26" s="551" t="n">
        <v>291</v>
      </c>
      <c r="N26" s="171" t="n">
        <v>0</v>
      </c>
      <c r="O26" s="194" t="n">
        <f aca="false">93.6*1.05</f>
        <v>98.28</v>
      </c>
      <c r="P26" s="171" t="n">
        <v>0</v>
      </c>
      <c r="Q26" s="346" t="n">
        <f aca="false">1647400/325851/1.9835*1.02</f>
        <v>2.59984807638519</v>
      </c>
      <c r="R26" s="138" t="n">
        <v>4.2</v>
      </c>
      <c r="S26" s="138" t="n">
        <f aca="false">((7*1.04)-T26)-4.2</f>
        <v>1.99700224</v>
      </c>
      <c r="T26" s="138" t="n">
        <f aca="false">(0.9824*1.06)*1.04</f>
        <v>1.08299776</v>
      </c>
      <c r="U26" s="365" t="n">
        <v>0</v>
      </c>
      <c r="V26" s="194" t="n">
        <v>107</v>
      </c>
      <c r="W26" s="550" t="n">
        <v>68.7</v>
      </c>
      <c r="X26" s="347" t="n">
        <f aca="false">M26-N26-O26-P26-Q26-R26-S26-T26-U26+V26+W26-AT26+AR26</f>
        <v>373.963432293115</v>
      </c>
      <c r="Y26" s="347" t="n">
        <f aca="false">X26-AO26</f>
        <v>373.963432293115</v>
      </c>
      <c r="Z26" s="113" t="n">
        <f aca="false">Z25+AP26</f>
        <v>5620.10894121822</v>
      </c>
      <c r="AA26" s="142" t="n">
        <f aca="false">(-AP26)</f>
        <v>285.4632803695</v>
      </c>
      <c r="AB26" s="441"/>
      <c r="AC26" s="441" t="n">
        <f aca="false">AC25-(AQ25/1.9835)+AS26</f>
        <v>1190.67218649176</v>
      </c>
      <c r="AD26" s="449" t="n">
        <f aca="false">AD25</f>
        <v>4858.65512901258</v>
      </c>
      <c r="AE26" s="550" t="n">
        <v>176</v>
      </c>
      <c r="AF26" s="262" t="n">
        <v>1.7</v>
      </c>
      <c r="AG26" s="263" t="n">
        <v>1.3</v>
      </c>
      <c r="AH26" s="194" t="n">
        <v>71</v>
      </c>
      <c r="AI26" s="161" t="n">
        <f aca="false">AI25-AH26</f>
        <v>8194.54923115706</v>
      </c>
      <c r="AJ26" s="161"/>
      <c r="AK26" s="11" t="n">
        <f aca="false">N26+O26+P26+Q26+R26+S26+T26+U26+X26+AE26+AH26-AR26</f>
        <v>712.45</v>
      </c>
      <c r="AL26" s="194" t="n">
        <f aca="false">IF(L26&lt;0,L26*-1,0)</f>
        <v>0</v>
      </c>
      <c r="AM26" s="194" t="n">
        <f aca="false">AK26+AL26</f>
        <v>712.45</v>
      </c>
      <c r="AN26" s="231"/>
      <c r="AO26" s="555"/>
      <c r="AP26" s="102" t="n">
        <f aca="false">I26-Q26-R26-X26-AF26</f>
        <v>-285.4632803695</v>
      </c>
      <c r="AQ26" s="556" t="n">
        <f aca="false">44.924*(Z26*1.9835+AC26*1.9835)/E26</f>
        <v>8.94295185073672</v>
      </c>
      <c r="AR26" s="171" t="n">
        <f aca="false">1025.215/31/1.9835</f>
        <v>16.6732803695</v>
      </c>
      <c r="AS26" s="158" t="n">
        <f aca="false">BA26</f>
        <v>9.5</v>
      </c>
      <c r="AT26" s="5" t="n">
        <v>1.25</v>
      </c>
      <c r="AU26" s="4"/>
      <c r="AV26" s="552" t="n">
        <v>0</v>
      </c>
      <c r="AW26" s="553" t="n">
        <v>86</v>
      </c>
      <c r="AX26" s="191" t="n">
        <v>59</v>
      </c>
      <c r="AY26" s="148"/>
      <c r="AZ26" s="264" t="n">
        <f aca="false">SUM(N26,P26:U26)</f>
        <v>9.87984807638519</v>
      </c>
      <c r="BA26" s="554" t="n">
        <v>9.5</v>
      </c>
      <c r="BB26" s="470" t="n">
        <v>14890</v>
      </c>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row>
    <row r="27" customFormat="false" ht="12.95" hidden="false" customHeight="true" outlineLevel="0" collapsed="false">
      <c r="A27" s="192" t="n">
        <v>13</v>
      </c>
      <c r="B27" s="318" t="n">
        <v>6880.84</v>
      </c>
      <c r="C27" s="161" t="n">
        <v>218704</v>
      </c>
      <c r="D27" s="191" t="n">
        <f aca="false">C27-C26</f>
        <v>-1158</v>
      </c>
      <c r="E27" s="161" t="n">
        <f aca="false">C27-152000</f>
        <v>66704</v>
      </c>
      <c r="F27" s="549" t="n">
        <f aca="false">D27/$D$2</f>
        <v>-583.816486009579</v>
      </c>
      <c r="G27" s="550" t="n">
        <v>106</v>
      </c>
      <c r="H27" s="195" t="n">
        <v>0</v>
      </c>
      <c r="I27" s="194" t="n">
        <f aca="false">G27+H27</f>
        <v>106</v>
      </c>
      <c r="J27" s="110" t="n">
        <f aca="false">IF(L27&gt;0,L27,0)</f>
        <v>16.923513990421</v>
      </c>
      <c r="K27" s="194" t="n">
        <f aca="false">I27+J27</f>
        <v>122.923513990421</v>
      </c>
      <c r="L27" s="194" t="n">
        <f aca="false">F27-(I27-AK27)</f>
        <v>16.923513990421</v>
      </c>
      <c r="M27" s="551" t="n">
        <v>298</v>
      </c>
      <c r="N27" s="171" t="n">
        <v>0</v>
      </c>
      <c r="O27" s="194" t="n">
        <f aca="false">99.2*1.05</f>
        <v>104.16</v>
      </c>
      <c r="P27" s="171" t="n">
        <v>0</v>
      </c>
      <c r="Q27" s="346" t="n">
        <f aca="false">1393200/325851/1.9835*1.02</f>
        <v>2.19868176521782</v>
      </c>
      <c r="R27" s="138" t="n">
        <v>4.2</v>
      </c>
      <c r="S27" s="138" t="n">
        <f aca="false">((7.4*1.04)-T27)-4.2</f>
        <v>2.41300224</v>
      </c>
      <c r="T27" s="138" t="n">
        <f aca="false">(0.9824*1.06)*1.04</f>
        <v>1.08299776</v>
      </c>
      <c r="U27" s="365" t="n">
        <v>0</v>
      </c>
      <c r="V27" s="194" t="n">
        <v>105</v>
      </c>
      <c r="W27" s="550" t="n">
        <v>69.4</v>
      </c>
      <c r="X27" s="347" t="n">
        <f aca="false">M27-N27-O27-P27-Q27-R27-S27-T27-U27+V27+W27-AT27+AR27</f>
        <v>373.358598604282</v>
      </c>
      <c r="Y27" s="347" t="n">
        <f aca="false">X27-AO27</f>
        <v>373.358598604282</v>
      </c>
      <c r="Z27" s="113" t="n">
        <f aca="false">Z26+AP27</f>
        <v>5344.65166084872</v>
      </c>
      <c r="AA27" s="142" t="n">
        <f aca="false">(-AP27)</f>
        <v>275.4572803695</v>
      </c>
      <c r="AB27" s="441"/>
      <c r="AC27" s="441" t="n">
        <f aca="false">AC26-(AQ26/1.9835)+AS27</f>
        <v>1195.07351401848</v>
      </c>
      <c r="AD27" s="449" t="n">
        <f aca="false">AD26</f>
        <v>4858.65512901258</v>
      </c>
      <c r="AE27" s="550" t="n">
        <v>165</v>
      </c>
      <c r="AF27" s="262" t="n">
        <v>1.7</v>
      </c>
      <c r="AG27" s="263" t="n">
        <v>1.3</v>
      </c>
      <c r="AH27" s="194" t="n">
        <v>71</v>
      </c>
      <c r="AI27" s="161" t="n">
        <f aca="false">AI26-AH27</f>
        <v>8123.54923115706</v>
      </c>
      <c r="AJ27" s="161"/>
      <c r="AK27" s="11" t="n">
        <f aca="false">N27+O27+P27+Q27+R27+S27+T27+U27+X27+AE27+AH27-AR27</f>
        <v>706.74</v>
      </c>
      <c r="AL27" s="194" t="n">
        <f aca="false">IF(L27&lt;0,L27*-1,0)</f>
        <v>0</v>
      </c>
      <c r="AM27" s="194" t="n">
        <f aca="false">AK27+AL27</f>
        <v>706.74</v>
      </c>
      <c r="AN27" s="231"/>
      <c r="AO27" s="555"/>
      <c r="AP27" s="102" t="n">
        <f aca="false">I27-Q27-R27-X27-AF27</f>
        <v>-275.4572803695</v>
      </c>
      <c r="AQ27" s="556" t="n">
        <f aca="false">0*(Z27*1.9835+AC27*1.9835)/E27</f>
        <v>0</v>
      </c>
      <c r="AR27" s="171" t="n">
        <f aca="false">1025.215/31/1.9835</f>
        <v>16.6732803695</v>
      </c>
      <c r="AS27" s="158" t="n">
        <f aca="false">BA27</f>
        <v>8.91</v>
      </c>
      <c r="AT27" s="5" t="n">
        <v>1.66</v>
      </c>
      <c r="AU27" s="4"/>
      <c r="AV27" s="552" t="n">
        <v>0.55</v>
      </c>
      <c r="AW27" s="553" t="n">
        <v>80</v>
      </c>
      <c r="AX27" s="191" t="n">
        <v>57</v>
      </c>
      <c r="AY27" s="148"/>
      <c r="AZ27" s="264" t="n">
        <f aca="false">SUM(N27,P27:U27)</f>
        <v>9.89468176521783</v>
      </c>
      <c r="BA27" s="554" t="n">
        <v>8.91</v>
      </c>
      <c r="BB27" s="470" t="n">
        <v>14923</v>
      </c>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row>
    <row r="28" customFormat="false" ht="12.95" hidden="false" customHeight="true" outlineLevel="0" collapsed="false">
      <c r="A28" s="192" t="n">
        <v>14</v>
      </c>
      <c r="B28" s="318" t="n">
        <v>6880.81</v>
      </c>
      <c r="C28" s="161" t="n">
        <v>218614</v>
      </c>
      <c r="D28" s="191" t="n">
        <f aca="false">C28-C27</f>
        <v>-90</v>
      </c>
      <c r="E28" s="161" t="n">
        <f aca="false">C28-152000</f>
        <v>66614</v>
      </c>
      <c r="F28" s="549" t="n">
        <f aca="false">D28/$D$2</f>
        <v>-45.3743382908999</v>
      </c>
      <c r="G28" s="550" t="n">
        <v>138</v>
      </c>
      <c r="H28" s="195" t="n">
        <v>0</v>
      </c>
      <c r="I28" s="194" t="n">
        <f aca="false">G28+H28</f>
        <v>138</v>
      </c>
      <c r="J28" s="110" t="n">
        <f aca="false">IF(L28&gt;0,L28,0)</f>
        <v>331.0556617091</v>
      </c>
      <c r="K28" s="194" t="n">
        <f aca="false">I28+J28</f>
        <v>469.0556617091</v>
      </c>
      <c r="L28" s="194" t="n">
        <f aca="false">F28-(I28-AK28)</f>
        <v>331.0556617091</v>
      </c>
      <c r="M28" s="551" t="n">
        <v>214</v>
      </c>
      <c r="N28" s="171" t="n">
        <v>0</v>
      </c>
      <c r="O28" s="194" t="n">
        <f aca="false">87.1*1.05</f>
        <v>91.455</v>
      </c>
      <c r="P28" s="171" t="n">
        <v>0</v>
      </c>
      <c r="Q28" s="346" t="n">
        <f aca="false">1289300/325851/1.9835*1.02</f>
        <v>2.03471174267538</v>
      </c>
      <c r="R28" s="138" t="n">
        <v>4.2</v>
      </c>
      <c r="S28" s="138" t="n">
        <f aca="false">((6.9*1.04)-T28)-4.2</f>
        <v>1.89300224</v>
      </c>
      <c r="T28" s="138" t="n">
        <f aca="false">(0.9824*1.06)*1.04</f>
        <v>1.08299776</v>
      </c>
      <c r="U28" s="365" t="n">
        <v>0</v>
      </c>
      <c r="V28" s="194" t="n">
        <v>107</v>
      </c>
      <c r="W28" s="550" t="n">
        <v>65.9</v>
      </c>
      <c r="X28" s="347" t="n">
        <f aca="false">M28-N28-O28-P28-Q28-R28-S28-T28-U28+V28+W28-AT28+AR28</f>
        <v>301.137568626825</v>
      </c>
      <c r="Y28" s="347" t="n">
        <f aca="false">X28-AO28</f>
        <v>301.137568626825</v>
      </c>
      <c r="Z28" s="113" t="n">
        <f aca="false">Z27+AP28</f>
        <v>5173.57938047922</v>
      </c>
      <c r="AA28" s="142" t="n">
        <f aca="false">(-AP28)</f>
        <v>171.0722803695</v>
      </c>
      <c r="AB28" s="441"/>
      <c r="AC28" s="441" t="n">
        <f aca="false">AC27-(AQ27/1.9835)+AS28</f>
        <v>1203.68351401848</v>
      </c>
      <c r="AD28" s="449" t="n">
        <f aca="false">AD27</f>
        <v>4858.65512901258</v>
      </c>
      <c r="AE28" s="550" t="n">
        <v>57.1</v>
      </c>
      <c r="AF28" s="262" t="n">
        <v>1.7</v>
      </c>
      <c r="AG28" s="263" t="n">
        <v>1.3</v>
      </c>
      <c r="AH28" s="194" t="n">
        <v>72.2</v>
      </c>
      <c r="AI28" s="161" t="n">
        <f aca="false">AI27-AH28</f>
        <v>8051.34923115706</v>
      </c>
      <c r="AJ28" s="161"/>
      <c r="AK28" s="11" t="n">
        <f aca="false">N28+O28+P28+Q28+R28+S28+T28+U28+X28+AE28+AH28-AR28</f>
        <v>514.43</v>
      </c>
      <c r="AL28" s="194" t="n">
        <f aca="false">IF(L28&lt;0,L28*-1,0)</f>
        <v>0</v>
      </c>
      <c r="AM28" s="194" t="n">
        <f aca="false">AK28+AL28</f>
        <v>514.43</v>
      </c>
      <c r="AN28" s="231"/>
      <c r="AO28" s="555"/>
      <c r="AP28" s="102" t="n">
        <f aca="false">I28-Q28-R28-X28-AF28</f>
        <v>-171.0722803695</v>
      </c>
      <c r="AQ28" s="556" t="n">
        <f aca="false">0*(Z28*1.9835+AC28*1.9835)/E28</f>
        <v>0</v>
      </c>
      <c r="AR28" s="171" t="n">
        <f aca="false">1025.215/31/1.9835</f>
        <v>16.6732803695</v>
      </c>
      <c r="AS28" s="158" t="n">
        <f aca="false">BA28</f>
        <v>8.61</v>
      </c>
      <c r="AT28" s="5" t="n">
        <v>1.77</v>
      </c>
      <c r="AU28" s="4"/>
      <c r="AV28" s="552" t="n">
        <v>1.65</v>
      </c>
      <c r="AW28" s="553" t="n">
        <v>78</v>
      </c>
      <c r="AX28" s="191" t="n">
        <v>54</v>
      </c>
      <c r="AY28" s="148"/>
      <c r="AZ28" s="264" t="n">
        <f aca="false">SUM(N28,P28:U28)</f>
        <v>9.21071174267538</v>
      </c>
      <c r="BA28" s="554" t="n">
        <v>8.61</v>
      </c>
      <c r="BB28" s="470" t="n">
        <v>14921</v>
      </c>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row>
    <row r="29" customFormat="false" ht="12.95" hidden="false" customHeight="true" outlineLevel="0" collapsed="false">
      <c r="A29" s="192" t="n">
        <v>15</v>
      </c>
      <c r="B29" s="318" t="n">
        <v>6880.53</v>
      </c>
      <c r="C29" s="161" t="n">
        <v>217767</v>
      </c>
      <c r="D29" s="191" t="n">
        <f aca="false">C29-C28</f>
        <v>-847</v>
      </c>
      <c r="E29" s="161" t="n">
        <f aca="false">C29-152000</f>
        <v>65767</v>
      </c>
      <c r="F29" s="549" t="n">
        <f aca="false">D29/$D$2</f>
        <v>-427.022939248803</v>
      </c>
      <c r="G29" s="550" t="n">
        <v>167</v>
      </c>
      <c r="H29" s="195" t="n">
        <v>0</v>
      </c>
      <c r="I29" s="194" t="n">
        <f aca="false">G29+H29</f>
        <v>167</v>
      </c>
      <c r="J29" s="110" t="n">
        <f aca="false">IF(L29&gt;0,L29,0)</f>
        <v>0</v>
      </c>
      <c r="K29" s="194" t="n">
        <f aca="false">I29+J29</f>
        <v>167</v>
      </c>
      <c r="L29" s="194" t="n">
        <f aca="false">F29-(I29-AK29)</f>
        <v>-14.3729392488025</v>
      </c>
      <c r="M29" s="551" t="n">
        <v>247</v>
      </c>
      <c r="N29" s="171" t="n">
        <v>0</v>
      </c>
      <c r="O29" s="194" t="n">
        <f aca="false">87.9*1.05</f>
        <v>92.295</v>
      </c>
      <c r="P29" s="171" t="n">
        <v>0</v>
      </c>
      <c r="Q29" s="346" t="n">
        <f aca="false">1392100/325851/1.9835*1.02</f>
        <v>2.19694579770294</v>
      </c>
      <c r="R29" s="138" t="n">
        <f aca="false">(4.4*1.04)-T29</f>
        <v>3.55087824</v>
      </c>
      <c r="S29" s="138" t="n">
        <v>0</v>
      </c>
      <c r="T29" s="138" t="n">
        <f aca="false">(0.9299*1.06)*1.04</f>
        <v>1.02512176</v>
      </c>
      <c r="U29" s="365" t="n">
        <v>0</v>
      </c>
      <c r="V29" s="194" t="n">
        <v>102</v>
      </c>
      <c r="W29" s="550" t="n">
        <v>64.9</v>
      </c>
      <c r="X29" s="347" t="n">
        <f aca="false">M29-N29-O29-P29-Q29-R29-S29-T29-U29+V29+W29-AT29+AR29</f>
        <v>329.655334571797</v>
      </c>
      <c r="Y29" s="347" t="n">
        <f aca="false">X29-AO29</f>
        <v>329.655334571797</v>
      </c>
      <c r="Z29" s="113" t="n">
        <f aca="false">Z28+AP29</f>
        <v>5003.47622186972</v>
      </c>
      <c r="AA29" s="142" t="n">
        <f aca="false">(-AP29)</f>
        <v>170.1031586095</v>
      </c>
      <c r="AB29" s="441"/>
      <c r="AC29" s="441" t="n">
        <f aca="false">AC28-(AQ28/1.9835)+AS29</f>
        <v>1212.21351401848</v>
      </c>
      <c r="AD29" s="449" t="n">
        <f aca="false">AD28</f>
        <v>4858.65512901258</v>
      </c>
      <c r="AE29" s="550" t="n">
        <v>95.7</v>
      </c>
      <c r="AF29" s="262" t="n">
        <v>1.7</v>
      </c>
      <c r="AG29" s="263" t="n">
        <v>1.3</v>
      </c>
      <c r="AH29" s="194" t="n">
        <v>71.9</v>
      </c>
      <c r="AI29" s="161" t="n">
        <f aca="false">AI28-AH29</f>
        <v>7979.44923115706</v>
      </c>
      <c r="AJ29" s="161"/>
      <c r="AK29" s="11" t="n">
        <f aca="false">N29+O29+P29+Q29+R29+S29+T29+U29+X29+AE29+AH29-AR29</f>
        <v>579.65</v>
      </c>
      <c r="AL29" s="194" t="n">
        <f aca="false">IF(L29&lt;0,L29*-1,0)</f>
        <v>14.3729392488025</v>
      </c>
      <c r="AM29" s="194" t="n">
        <f aca="false">AK29+AL29</f>
        <v>594.022939248803</v>
      </c>
      <c r="AN29" s="231"/>
      <c r="AO29" s="555"/>
      <c r="AP29" s="102" t="n">
        <f aca="false">I29-Q29-R29-X29-AF29</f>
        <v>-170.1031586095</v>
      </c>
      <c r="AQ29" s="556" t="n">
        <f aca="false">48.121*(Z29*1.9835+AC29*1.9835)/E29</f>
        <v>9.02086419733258</v>
      </c>
      <c r="AR29" s="171" t="n">
        <f aca="false">1025.215/31/1.9835</f>
        <v>16.6732803695</v>
      </c>
      <c r="AS29" s="158" t="n">
        <f aca="false">BA29</f>
        <v>8.53</v>
      </c>
      <c r="AT29" s="5" t="n">
        <v>1.85</v>
      </c>
      <c r="AU29" s="4"/>
      <c r="AV29" s="552" t="n">
        <v>0</v>
      </c>
      <c r="AW29" s="553" t="n">
        <v>86</v>
      </c>
      <c r="AX29" s="191" t="n">
        <v>52</v>
      </c>
      <c r="AY29" s="148"/>
      <c r="AZ29" s="264" t="n">
        <f aca="false">SUM(N29,P29:U29)</f>
        <v>6.77294579770294</v>
      </c>
      <c r="BA29" s="554" t="n">
        <v>8.53</v>
      </c>
      <c r="BB29" s="470" t="n">
        <v>14918</v>
      </c>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row>
    <row r="30" customFormat="false" ht="12.95" hidden="false" customHeight="true" outlineLevel="0" collapsed="false">
      <c r="A30" s="192" t="n">
        <v>16</v>
      </c>
      <c r="B30" s="318" t="n">
        <v>6880.22</v>
      </c>
      <c r="C30" s="161" t="n">
        <v>216830</v>
      </c>
      <c r="D30" s="191" t="n">
        <f aca="false">C30-C29</f>
        <v>-937</v>
      </c>
      <c r="E30" s="161" t="n">
        <f aca="false">C30-152000</f>
        <v>64830</v>
      </c>
      <c r="F30" s="549" t="n">
        <f aca="false">D30/$D$2</f>
        <v>-472.397277539703</v>
      </c>
      <c r="G30" s="550" t="n">
        <v>124</v>
      </c>
      <c r="H30" s="195" t="n">
        <v>0</v>
      </c>
      <c r="I30" s="194" t="n">
        <f aca="false">G30+H30</f>
        <v>124</v>
      </c>
      <c r="J30" s="110" t="n">
        <f aca="false">IF(L30&gt;0,L30,0)</f>
        <v>0</v>
      </c>
      <c r="K30" s="194" t="n">
        <f aca="false">I30+J30</f>
        <v>124</v>
      </c>
      <c r="L30" s="194" t="n">
        <f aca="false">F30-(I30-AK30)</f>
        <v>-9.76727753970243</v>
      </c>
      <c r="M30" s="551" t="n">
        <v>235</v>
      </c>
      <c r="N30" s="171" t="n">
        <v>0</v>
      </c>
      <c r="O30" s="194" t="n">
        <f aca="false">89.7*1.05</f>
        <v>94.185</v>
      </c>
      <c r="P30" s="171" t="n">
        <v>0</v>
      </c>
      <c r="Q30" s="346" t="n">
        <f aca="false">1666900/325851/1.9835*1.02</f>
        <v>2.63062204596726</v>
      </c>
      <c r="R30" s="138" t="n">
        <f aca="false">(4.3*1.04)-T30</f>
        <v>3.44687824</v>
      </c>
      <c r="S30" s="138" t="n">
        <v>0</v>
      </c>
      <c r="T30" s="138" t="n">
        <f aca="false">(0.9299*1.06)*1.04</f>
        <v>1.02512176</v>
      </c>
      <c r="U30" s="365" t="n">
        <v>0</v>
      </c>
      <c r="V30" s="194" t="n">
        <v>98</v>
      </c>
      <c r="W30" s="550" t="n">
        <v>63.6</v>
      </c>
      <c r="X30" s="347" t="n">
        <f aca="false">M30-N30-O30-P30-Q30-R30-S30-T30-U30+V30+W30-AT30+AR30</f>
        <v>310.015658323533</v>
      </c>
      <c r="Y30" s="347" t="n">
        <f aca="false">X30-AO30</f>
        <v>310.015658323533</v>
      </c>
      <c r="Z30" s="113" t="n">
        <f aca="false">Z29+AP30</f>
        <v>4809.68306326022</v>
      </c>
      <c r="AA30" s="142" t="n">
        <f aca="false">(-AP30)</f>
        <v>193.7931586095</v>
      </c>
      <c r="AB30" s="441"/>
      <c r="AC30" s="441" t="n">
        <f aca="false">AC29-(AQ29/1.9835)+AS30</f>
        <v>1215.75556130997</v>
      </c>
      <c r="AD30" s="449" t="n">
        <f aca="false">AD29</f>
        <v>4858.65512901258</v>
      </c>
      <c r="AE30" s="550" t="n">
        <v>120</v>
      </c>
      <c r="AF30" s="262" t="n">
        <v>1.7</v>
      </c>
      <c r="AG30" s="263" t="n">
        <v>1.3</v>
      </c>
      <c r="AH30" s="194" t="n">
        <v>72</v>
      </c>
      <c r="AI30" s="161" t="n">
        <f aca="false">AI29-AH30</f>
        <v>7907.44923115706</v>
      </c>
      <c r="AJ30" s="161"/>
      <c r="AK30" s="11" t="n">
        <f aca="false">N30+O30+P30+Q30+R30+S30+T30+U30+X30+AE30+AH30-AR30</f>
        <v>586.63</v>
      </c>
      <c r="AL30" s="194" t="n">
        <f aca="false">IF(L30&lt;0,L30*-1,0)</f>
        <v>9.76727753970243</v>
      </c>
      <c r="AM30" s="194" t="n">
        <f aca="false">AK30+AL30</f>
        <v>596.397277539703</v>
      </c>
      <c r="AN30" s="231"/>
      <c r="AO30" s="555"/>
      <c r="AP30" s="102" t="n">
        <f aca="false">I30-Q30-R30-X30-AF30</f>
        <v>-193.7931586095</v>
      </c>
      <c r="AQ30" s="556" t="n">
        <f aca="false">22.415*(Z30*1.9835+AC30*1.9835)/E30</f>
        <v>4.13222150436189</v>
      </c>
      <c r="AR30" s="171" t="n">
        <f aca="false">1025.215/31/1.9835</f>
        <v>16.6732803695</v>
      </c>
      <c r="AS30" s="158" t="n">
        <f aca="false">BA30</f>
        <v>8.09</v>
      </c>
      <c r="AT30" s="5" t="n">
        <v>1.97</v>
      </c>
      <c r="AU30" s="4"/>
      <c r="AV30" s="552" t="n">
        <v>0.06</v>
      </c>
      <c r="AW30" s="553" t="n">
        <v>87</v>
      </c>
      <c r="AX30" s="191" t="n">
        <v>55</v>
      </c>
      <c r="AY30" s="148"/>
      <c r="AZ30" s="264" t="n">
        <f aca="false">SUM(N30,P30:U30)</f>
        <v>7.10262204596726</v>
      </c>
      <c r="BA30" s="554" t="n">
        <v>8.09</v>
      </c>
      <c r="BB30" s="470" t="n">
        <v>14908</v>
      </c>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row>
    <row r="31" customFormat="false" ht="12.95" hidden="false" customHeight="true" outlineLevel="0" collapsed="false">
      <c r="A31" s="192" t="n">
        <v>17</v>
      </c>
      <c r="B31" s="318" t="n">
        <v>6879.89</v>
      </c>
      <c r="C31" s="161" t="n">
        <v>215836</v>
      </c>
      <c r="D31" s="191" t="n">
        <f aca="false">C31-C30</f>
        <v>-994</v>
      </c>
      <c r="E31" s="161" t="n">
        <f aca="false">C31-152000</f>
        <v>63836</v>
      </c>
      <c r="F31" s="549" t="n">
        <f aca="false">D31/$D$2</f>
        <v>-501.134358457272</v>
      </c>
      <c r="G31" s="550" t="n">
        <v>107</v>
      </c>
      <c r="H31" s="195" t="n">
        <v>0</v>
      </c>
      <c r="I31" s="194" t="n">
        <f aca="false">G31+H31</f>
        <v>107</v>
      </c>
      <c r="J31" s="110" t="n">
        <f aca="false">IF(L31&gt;0,L31,0)</f>
        <v>0</v>
      </c>
      <c r="K31" s="194" t="n">
        <f aca="false">I31+J31</f>
        <v>107</v>
      </c>
      <c r="L31" s="194" t="n">
        <f aca="false">F31-(I31-AK31)</f>
        <v>-10.0643584572724</v>
      </c>
      <c r="M31" s="551" t="n">
        <v>241</v>
      </c>
      <c r="N31" s="171" t="n">
        <v>0</v>
      </c>
      <c r="O31" s="194" t="n">
        <f aca="false">86.6*1.05</f>
        <v>90.93</v>
      </c>
      <c r="P31" s="171" t="n">
        <v>0</v>
      </c>
      <c r="Q31" s="346" t="n">
        <f aca="false">1942300/325851/1.9835*1.02</f>
        <v>3.06524518560335</v>
      </c>
      <c r="R31" s="138" t="n">
        <f aca="false">(4.4*1.04)-T31</f>
        <v>3.55087824</v>
      </c>
      <c r="S31" s="138" t="n">
        <v>0</v>
      </c>
      <c r="T31" s="138" t="n">
        <f aca="false">(0.9299*1.06)*1.04</f>
        <v>1.02512176</v>
      </c>
      <c r="U31" s="365" t="n">
        <v>0</v>
      </c>
      <c r="V31" s="194" t="n">
        <v>98.2</v>
      </c>
      <c r="W31" s="550" t="n">
        <v>63.7</v>
      </c>
      <c r="X31" s="347" t="n">
        <f aca="false">M31-N31-O31-P31-Q31-R31-S31-T31-U31+V31+W31-AT31+AR31</f>
        <v>319.272035183897</v>
      </c>
      <c r="Y31" s="347" t="n">
        <f aca="false">X31-AO31</f>
        <v>319.272035183897</v>
      </c>
      <c r="Z31" s="113" t="n">
        <f aca="false">Z30+AP31</f>
        <v>4589.09490465072</v>
      </c>
      <c r="AA31" s="142" t="n">
        <f aca="false">(-AP31)</f>
        <v>220.5881586095</v>
      </c>
      <c r="AB31" s="441"/>
      <c r="AC31" s="441" t="n">
        <f aca="false">AC30-(AQ30/1.9835)+AS31</f>
        <v>1221.80226334962</v>
      </c>
      <c r="AD31" s="449" t="n">
        <f aca="false">AD30</f>
        <v>4858.65512901258</v>
      </c>
      <c r="AE31" s="550" t="n">
        <v>125</v>
      </c>
      <c r="AF31" s="262" t="n">
        <v>1.7</v>
      </c>
      <c r="AG31" s="263" t="n">
        <v>1.3</v>
      </c>
      <c r="AH31" s="194" t="n">
        <v>71.9</v>
      </c>
      <c r="AI31" s="161" t="n">
        <f aca="false">AI30-AH31</f>
        <v>7835.54923115706</v>
      </c>
      <c r="AJ31" s="161"/>
      <c r="AK31" s="11" t="n">
        <f aca="false">N31+O31+P31+Q31+R31+S31+T31+U31+X31+AE31+AH31-AR31</f>
        <v>598.07</v>
      </c>
      <c r="AL31" s="194" t="n">
        <f aca="false">IF(L31&lt;0,L31*-1,0)</f>
        <v>10.0643584572724</v>
      </c>
      <c r="AM31" s="194" t="n">
        <f aca="false">AK31+AL31</f>
        <v>608.134358457273</v>
      </c>
      <c r="AN31" s="231"/>
      <c r="AO31" s="555"/>
      <c r="AP31" s="102" t="n">
        <f aca="false">I31-Q31-R31-X31-AF31</f>
        <v>-220.5881586095</v>
      </c>
      <c r="AQ31" s="556" t="n">
        <f aca="false">46.931*(Z31*1.9835+AC31*1.9835)/E31</f>
        <v>8.47363078725937</v>
      </c>
      <c r="AR31" s="171" t="n">
        <f aca="false">1025.215/31/1.9835</f>
        <v>16.6732803695</v>
      </c>
      <c r="AS31" s="158" t="n">
        <f aca="false">BA31</f>
        <v>8.13</v>
      </c>
      <c r="AT31" s="5" t="n">
        <v>1.73</v>
      </c>
      <c r="AU31" s="4"/>
      <c r="AV31" s="552" t="n">
        <v>0</v>
      </c>
      <c r="AW31" s="553" t="n">
        <v>91</v>
      </c>
      <c r="AX31" s="191" t="n">
        <v>54</v>
      </c>
      <c r="AY31" s="148"/>
      <c r="AZ31" s="264" t="n">
        <f aca="false">SUM(N31,P31:U31)</f>
        <v>7.64124518560335</v>
      </c>
      <c r="BA31" s="554" t="n">
        <v>8.13</v>
      </c>
      <c r="BB31" s="470" t="n">
        <v>14862</v>
      </c>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row>
    <row r="32" customFormat="false" ht="12.95" hidden="false" customHeight="true" outlineLevel="0" collapsed="false">
      <c r="A32" s="192" t="n">
        <v>18</v>
      </c>
      <c r="B32" s="318" t="n">
        <v>6879.52</v>
      </c>
      <c r="C32" s="161" t="n">
        <v>214731</v>
      </c>
      <c r="D32" s="191" t="n">
        <f aca="false">C32-C31</f>
        <v>-1105</v>
      </c>
      <c r="E32" s="161" t="n">
        <f aca="false">C32-152000</f>
        <v>62731</v>
      </c>
      <c r="F32" s="549" t="n">
        <f aca="false">D32/$D$2</f>
        <v>-557.096042349382</v>
      </c>
      <c r="G32" s="550" t="n">
        <v>95</v>
      </c>
      <c r="H32" s="195" t="n">
        <v>0</v>
      </c>
      <c r="I32" s="194" t="n">
        <f aca="false">G32+H32</f>
        <v>95</v>
      </c>
      <c r="J32" s="110" t="n">
        <f aca="false">IF(L32&gt;0,L32,0)</f>
        <v>0</v>
      </c>
      <c r="K32" s="194" t="n">
        <f aca="false">I32+J32</f>
        <v>95</v>
      </c>
      <c r="L32" s="194" t="n">
        <f aca="false">F32-(I32-AK32)</f>
        <v>-27.3960423493825</v>
      </c>
      <c r="M32" s="551" t="n">
        <v>253</v>
      </c>
      <c r="N32" s="171" t="n">
        <v>0</v>
      </c>
      <c r="O32" s="194" t="n">
        <f aca="false">90.2*1.05</f>
        <v>94.71</v>
      </c>
      <c r="P32" s="171" t="n">
        <v>0</v>
      </c>
      <c r="Q32" s="346" t="n">
        <f aca="false">1502700/325851/1.9835*1.02</f>
        <v>2.37148944056333</v>
      </c>
      <c r="R32" s="138" t="n">
        <f aca="false">(4.4*1.04)-T32</f>
        <v>3.55087824</v>
      </c>
      <c r="S32" s="138" t="n">
        <v>0</v>
      </c>
      <c r="T32" s="138" t="n">
        <f aca="false">(0.9299*1.06)*1.04</f>
        <v>1.02512176</v>
      </c>
      <c r="U32" s="365" t="n">
        <v>0</v>
      </c>
      <c r="V32" s="194" t="n">
        <v>101</v>
      </c>
      <c r="W32" s="550" t="n">
        <v>64.6</v>
      </c>
      <c r="X32" s="347" t="n">
        <f aca="false">M32-N32-O32-P32-Q32-R32-S32-T32-U32+V32+W32-AT32+AR32</f>
        <v>331.815790928937</v>
      </c>
      <c r="Y32" s="347" t="n">
        <f aca="false">X32-AO32</f>
        <v>331.815790928937</v>
      </c>
      <c r="Z32" s="113" t="n">
        <f aca="false">Z31+AP32</f>
        <v>4344.65674604122</v>
      </c>
      <c r="AA32" s="142" t="n">
        <f aca="false">(-AP32)</f>
        <v>244.4381586095</v>
      </c>
      <c r="AB32" s="441"/>
      <c r="AC32" s="441" t="n">
        <f aca="false">AC31-(AQ31/1.9835)+AS32</f>
        <v>1225.56020346191</v>
      </c>
      <c r="AD32" s="449" t="n">
        <f aca="false">AD31</f>
        <v>4858.65512901258</v>
      </c>
      <c r="AE32" s="550" t="n">
        <v>136</v>
      </c>
      <c r="AF32" s="262" t="n">
        <v>1.7</v>
      </c>
      <c r="AG32" s="263" t="n">
        <v>1.3</v>
      </c>
      <c r="AH32" s="194" t="n">
        <v>71.9</v>
      </c>
      <c r="AI32" s="161" t="n">
        <f aca="false">AI31-AH32</f>
        <v>7763.64923115706</v>
      </c>
      <c r="AJ32" s="161"/>
      <c r="AK32" s="11" t="n">
        <f aca="false">N32+O32+P32+Q32+R32+S32+T32+U32+X32+AE32+AH32-AR32</f>
        <v>624.7</v>
      </c>
      <c r="AL32" s="194" t="n">
        <f aca="false">IF(L32&lt;0,L32*-1,0)</f>
        <v>27.3960423493825</v>
      </c>
      <c r="AM32" s="194" t="n">
        <f aca="false">AK32+AL32</f>
        <v>652.096042349382</v>
      </c>
      <c r="AN32" s="231"/>
      <c r="AO32" s="555"/>
      <c r="AP32" s="102" t="n">
        <f aca="false">I32-Q32-R32-X32-AF32</f>
        <v>-244.4381586095</v>
      </c>
      <c r="AQ32" s="556" t="n">
        <f aca="false">54.987*(Z32*1.9835+AC32*1.9835)/E32</f>
        <v>9.684609869674</v>
      </c>
      <c r="AR32" s="171" t="n">
        <f aca="false">1025.215/31/1.9835</f>
        <v>16.6732803695</v>
      </c>
      <c r="AS32" s="158" t="n">
        <f aca="false">BA32</f>
        <v>8.03</v>
      </c>
      <c r="AT32" s="5" t="n">
        <v>1.8</v>
      </c>
      <c r="AU32" s="4"/>
      <c r="AV32" s="552" t="n">
        <v>0</v>
      </c>
      <c r="AW32" s="553" t="n">
        <v>91</v>
      </c>
      <c r="AX32" s="191" t="n">
        <v>54</v>
      </c>
      <c r="AY32" s="148"/>
      <c r="AZ32" s="264" t="n">
        <f aca="false">SUM(N32,P32:U32)</f>
        <v>6.94748944056333</v>
      </c>
      <c r="BA32" s="554" t="n">
        <v>8.03</v>
      </c>
      <c r="BB32" s="470" t="n">
        <v>14833</v>
      </c>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row>
    <row r="33" customFormat="false" ht="12.95" hidden="false" customHeight="true" outlineLevel="0" collapsed="false">
      <c r="A33" s="192" t="n">
        <v>19</v>
      </c>
      <c r="B33" s="318" t="n">
        <v>6879.13</v>
      </c>
      <c r="C33" s="161" t="n">
        <v>213567</v>
      </c>
      <c r="D33" s="191" t="n">
        <f aca="false">C33-C32</f>
        <v>-1164</v>
      </c>
      <c r="E33" s="161" t="n">
        <f aca="false">C33-152000</f>
        <v>61567</v>
      </c>
      <c r="F33" s="549" t="n">
        <f aca="false">D33/$D$2</f>
        <v>-586.841441895639</v>
      </c>
      <c r="G33" s="550" t="n">
        <v>88</v>
      </c>
      <c r="H33" s="195" t="n">
        <v>0</v>
      </c>
      <c r="I33" s="194" t="n">
        <f aca="false">G33+H33</f>
        <v>88</v>
      </c>
      <c r="J33" s="110" t="n">
        <f aca="false">IF(L33&gt;0,L33,0)</f>
        <v>0</v>
      </c>
      <c r="K33" s="194" t="n">
        <f aca="false">I33+J33</f>
        <v>88</v>
      </c>
      <c r="L33" s="194" t="n">
        <f aca="false">F33-(I33-AK33)</f>
        <v>-18.361441895639</v>
      </c>
      <c r="M33" s="551" t="n">
        <v>261</v>
      </c>
      <c r="N33" s="171" t="n">
        <f aca="false">1/$D$2*1.03</f>
        <v>0.519284093773632</v>
      </c>
      <c r="O33" s="194" t="n">
        <f aca="false">89.3*1.05</f>
        <v>93.765</v>
      </c>
      <c r="P33" s="171" t="n">
        <v>0</v>
      </c>
      <c r="Q33" s="346" t="n">
        <f aca="false">1291300/325851/1.9835*1.02</f>
        <v>2.0378680472479</v>
      </c>
      <c r="R33" s="138" t="n">
        <f aca="false">(4.4*1.04)-T33</f>
        <v>3.55087824</v>
      </c>
      <c r="S33" s="138" t="n">
        <v>0</v>
      </c>
      <c r="T33" s="138" t="n">
        <f aca="false">(0.9299*1.06)*1.04</f>
        <v>1.02512176</v>
      </c>
      <c r="U33" s="365" t="n">
        <v>0</v>
      </c>
      <c r="V33" s="194" t="n">
        <v>96.4</v>
      </c>
      <c r="W33" s="550" t="n">
        <v>64.5</v>
      </c>
      <c r="X33" s="347" t="n">
        <f aca="false">M33-N33-O33-P33-Q33-R33-S33-T33-U33+V33+W33-AT33+AR33</f>
        <v>335.955128228478</v>
      </c>
      <c r="Y33" s="347" t="n">
        <f aca="false">X33-AO33</f>
        <v>335.955128228478</v>
      </c>
      <c r="Z33" s="113" t="n">
        <f aca="false">Z32+AP33</f>
        <v>4089.4128715255</v>
      </c>
      <c r="AA33" s="142" t="n">
        <f aca="false">(-AP33)</f>
        <v>255.243874515726</v>
      </c>
      <c r="AB33" s="441"/>
      <c r="AC33" s="441" t="n">
        <f aca="false">AC32-(AQ32/1.9835)+AS33</f>
        <v>1228.70761719034</v>
      </c>
      <c r="AD33" s="449" t="n">
        <f aca="false">AD32</f>
        <v>4858.65512901258</v>
      </c>
      <c r="AE33" s="550" t="n">
        <v>165</v>
      </c>
      <c r="AF33" s="262" t="n">
        <v>1.7</v>
      </c>
      <c r="AG33" s="263" t="n">
        <v>1.3</v>
      </c>
      <c r="AH33" s="194" t="n">
        <v>71.3</v>
      </c>
      <c r="AI33" s="161" t="n">
        <f aca="false">AI32-AH33</f>
        <v>7692.34923115706</v>
      </c>
      <c r="AJ33" s="161"/>
      <c r="AK33" s="11" t="n">
        <f aca="false">N33+O33+P33+Q33+R33+S33+T33+U33+X33+AE33+AH33-AR33</f>
        <v>656.48</v>
      </c>
      <c r="AL33" s="194" t="n">
        <f aca="false">IF(L33&lt;0,L33*-1,0)</f>
        <v>18.361441895639</v>
      </c>
      <c r="AM33" s="194" t="n">
        <f aca="false">AK33+AL33</f>
        <v>674.841441895639</v>
      </c>
      <c r="AN33" s="231"/>
      <c r="AO33" s="555"/>
      <c r="AP33" s="102" t="n">
        <f aca="false">I33-Q33-R33-X33-AF33</f>
        <v>-255.243874515726</v>
      </c>
      <c r="AQ33" s="556" t="n">
        <f aca="false">18.018*(Z33*1.9835+AC33*1.9835)/E33</f>
        <v>3.08708770387432</v>
      </c>
      <c r="AR33" s="171" t="n">
        <f aca="false">1025.215/31/1.9835</f>
        <v>16.6732803695</v>
      </c>
      <c r="AS33" s="158" t="n">
        <f aca="false">BA33</f>
        <v>8.03</v>
      </c>
      <c r="AT33" s="5" t="n">
        <v>1.72</v>
      </c>
      <c r="AU33" s="4"/>
      <c r="AV33" s="552" t="n">
        <v>0.05</v>
      </c>
      <c r="AW33" s="553" t="n">
        <v>84</v>
      </c>
      <c r="AX33" s="191" t="n">
        <v>57</v>
      </c>
      <c r="AY33" s="148"/>
      <c r="AZ33" s="264" t="n">
        <f aca="false">SUM(N33,P33:U33)</f>
        <v>7.13315214102154</v>
      </c>
      <c r="BA33" s="554" t="n">
        <v>8.03</v>
      </c>
      <c r="BB33" s="470" t="n">
        <v>14807</v>
      </c>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row>
    <row r="34" customFormat="false" ht="12.95" hidden="false" customHeight="true" outlineLevel="0" collapsed="false">
      <c r="A34" s="192" t="n">
        <v>20</v>
      </c>
      <c r="B34" s="318" t="n">
        <v>6878.77</v>
      </c>
      <c r="C34" s="161" t="n">
        <v>212499</v>
      </c>
      <c r="D34" s="191" t="n">
        <f aca="false">C34-C33</f>
        <v>-1068</v>
      </c>
      <c r="E34" s="161" t="n">
        <f aca="false">C34-152000</f>
        <v>60499</v>
      </c>
      <c r="F34" s="549" t="n">
        <f aca="false">D34/$D$2</f>
        <v>-538.442147718679</v>
      </c>
      <c r="G34" s="550" t="n">
        <v>96</v>
      </c>
      <c r="H34" s="195" t="n">
        <v>0</v>
      </c>
      <c r="I34" s="194" t="n">
        <f aca="false">G34+H34</f>
        <v>96</v>
      </c>
      <c r="J34" s="110" t="n">
        <f aca="false">IF(L34&gt;0,L34,0)</f>
        <v>0</v>
      </c>
      <c r="K34" s="194" t="n">
        <f aca="false">I34+J34</f>
        <v>96</v>
      </c>
      <c r="L34" s="194" t="n">
        <f aca="false">F34-(I34-AK34)</f>
        <v>-15.5021477186789</v>
      </c>
      <c r="M34" s="551" t="n">
        <v>238</v>
      </c>
      <c r="N34" s="171" t="n">
        <f aca="false">1/$D$2*1.03</f>
        <v>0.519284093773632</v>
      </c>
      <c r="O34" s="194" t="n">
        <f aca="false">80.2*1.05</f>
        <v>84.21</v>
      </c>
      <c r="P34" s="171" t="n">
        <v>0</v>
      </c>
      <c r="Q34" s="346" t="n">
        <f aca="false">1447100/325851/1.9835*1.02</f>
        <v>2.28374417344725</v>
      </c>
      <c r="R34" s="138" t="n">
        <f aca="false">(4.3*1.04)-T34</f>
        <v>3.44687824</v>
      </c>
      <c r="S34" s="138" t="n">
        <v>0</v>
      </c>
      <c r="T34" s="138" t="n">
        <f aca="false">(0.9299*1.06)*1.04</f>
        <v>1.02512176</v>
      </c>
      <c r="U34" s="365" t="n">
        <v>0</v>
      </c>
      <c r="V34" s="194" t="n">
        <v>94.2</v>
      </c>
      <c r="W34" s="550" t="n">
        <v>63</v>
      </c>
      <c r="X34" s="347" t="n">
        <f aca="false">M34-N34-O34-P34-Q34-R34-S34-T34-U34+V34+W34-AT34+AR34</f>
        <v>318.028252102279</v>
      </c>
      <c r="Y34" s="347" t="n">
        <f aca="false">X34-AO34</f>
        <v>318.028252102279</v>
      </c>
      <c r="Z34" s="113" t="n">
        <f aca="false">Z33+AP34</f>
        <v>3859.95399700977</v>
      </c>
      <c r="AA34" s="142" t="n">
        <f aca="false">(-AP34)</f>
        <v>229.458874515726</v>
      </c>
      <c r="AB34" s="441"/>
      <c r="AC34" s="441" t="n">
        <f aca="false">AC33-(AQ33/1.9835)+AS34</f>
        <v>1235.33123317023</v>
      </c>
      <c r="AD34" s="449" t="n">
        <f aca="false">AD33</f>
        <v>4858.65512901258</v>
      </c>
      <c r="AE34" s="550" t="n">
        <v>156</v>
      </c>
      <c r="AF34" s="262" t="n">
        <v>1.7</v>
      </c>
      <c r="AG34" s="263" t="n">
        <v>1.3</v>
      </c>
      <c r="AH34" s="194" t="n">
        <v>70.1</v>
      </c>
      <c r="AI34" s="161" t="n">
        <f aca="false">AI33-AH34</f>
        <v>7622.24923115706</v>
      </c>
      <c r="AJ34" s="161"/>
      <c r="AK34" s="11" t="n">
        <f aca="false">N34+O34+P34+Q34+R34+S34+T34+U34+X34+AE34+AH34-AR34</f>
        <v>618.94</v>
      </c>
      <c r="AL34" s="194" t="n">
        <f aca="false">IF(L34&lt;0,L34*-1,0)</f>
        <v>15.5021477186789</v>
      </c>
      <c r="AM34" s="194" t="n">
        <f aca="false">AK34+AL34</f>
        <v>634.442147718679</v>
      </c>
      <c r="AN34" s="231"/>
      <c r="AO34" s="555"/>
      <c r="AP34" s="102" t="n">
        <f aca="false">I34-Q34-R34-X34-AF34</f>
        <v>-229.458874515726</v>
      </c>
      <c r="AQ34" s="556" t="n">
        <f aca="false">38.635*(Z34*1.9835+AC34*1.9835)/E34</f>
        <v>6.45406634895927</v>
      </c>
      <c r="AR34" s="171" t="n">
        <f aca="false">1025.215/31/1.9835</f>
        <v>16.6732803695</v>
      </c>
      <c r="AS34" s="158" t="n">
        <f aca="false">BA34</f>
        <v>8.18</v>
      </c>
      <c r="AT34" s="5" t="n">
        <v>2.36</v>
      </c>
      <c r="AU34" s="4"/>
      <c r="AV34" s="552" t="n">
        <v>0</v>
      </c>
      <c r="AW34" s="553" t="n">
        <v>81</v>
      </c>
      <c r="AX34" s="191" t="n">
        <v>53</v>
      </c>
      <c r="AY34" s="148"/>
      <c r="AZ34" s="264" t="n">
        <f aca="false">SUM(N34,P34:U34)</f>
        <v>7.27502826722089</v>
      </c>
      <c r="BA34" s="554" t="n">
        <v>8.18</v>
      </c>
      <c r="BB34" s="470" t="n">
        <v>14785</v>
      </c>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row>
    <row r="35" customFormat="false" ht="12.95" hidden="false" customHeight="true" outlineLevel="0" collapsed="false">
      <c r="A35" s="192" t="n">
        <v>21</v>
      </c>
      <c r="B35" s="318" t="n">
        <v>6878.36</v>
      </c>
      <c r="C35" s="161" t="n">
        <v>211288</v>
      </c>
      <c r="D35" s="191" t="n">
        <f aca="false">C35-C34</f>
        <v>-1211</v>
      </c>
      <c r="E35" s="161" t="n">
        <f aca="false">C35-152000</f>
        <v>59288</v>
      </c>
      <c r="F35" s="549" t="n">
        <f aca="false">D35/$D$2</f>
        <v>-610.536929669776</v>
      </c>
      <c r="G35" s="550" t="n">
        <v>102</v>
      </c>
      <c r="H35" s="195" t="n">
        <v>0</v>
      </c>
      <c r="I35" s="194" t="n">
        <f aca="false">G35+H35</f>
        <v>102</v>
      </c>
      <c r="J35" s="110" t="n">
        <f aca="false">IF(L35&gt;0,L35,0)</f>
        <v>0</v>
      </c>
      <c r="K35" s="194" t="n">
        <f aca="false">I35+J35</f>
        <v>102</v>
      </c>
      <c r="L35" s="194" t="n">
        <f aca="false">F35-(I35-AK35)</f>
        <v>-37.2669296697755</v>
      </c>
      <c r="M35" s="551" t="n">
        <v>264</v>
      </c>
      <c r="N35" s="171" t="n">
        <f aca="false">1/$D$2*1.03</f>
        <v>0.519284093773632</v>
      </c>
      <c r="O35" s="194" t="n">
        <f aca="false">85.2*1.05</f>
        <v>89.46</v>
      </c>
      <c r="P35" s="171" t="n">
        <v>0</v>
      </c>
      <c r="Q35" s="346" t="n">
        <f aca="false">1687700/325851/1.9835*1.02</f>
        <v>2.66344761352148</v>
      </c>
      <c r="R35" s="138" t="n">
        <f aca="false">(4.5*1.04)-T35</f>
        <v>3.65487824</v>
      </c>
      <c r="S35" s="138" t="n">
        <v>0</v>
      </c>
      <c r="T35" s="138" t="n">
        <f aca="false">(0.9299*1.06)*1.04</f>
        <v>1.02512176</v>
      </c>
      <c r="U35" s="365" t="n">
        <v>0</v>
      </c>
      <c r="V35" s="194" t="n">
        <v>94.2</v>
      </c>
      <c r="W35" s="550" t="n">
        <v>64</v>
      </c>
      <c r="X35" s="347" t="n">
        <f aca="false">M35-N35-O35-P35-Q35-R35-S35-T35-U35+V35+W35-AT35+AR35</f>
        <v>338.520548662205</v>
      </c>
      <c r="Y35" s="347" t="n">
        <f aca="false">X35-AO35</f>
        <v>338.520548662205</v>
      </c>
      <c r="Z35" s="113" t="n">
        <f aca="false">Z34+AP35</f>
        <v>3615.41512249404</v>
      </c>
      <c r="AA35" s="142" t="n">
        <f aca="false">(-AP35)</f>
        <v>244.538874515726</v>
      </c>
      <c r="AB35" s="441"/>
      <c r="AC35" s="441" t="n">
        <f aca="false">AC34-(AQ34/1.9835)+AS35</f>
        <v>1240.34735550502</v>
      </c>
      <c r="AD35" s="449" t="n">
        <f aca="false">AD34</f>
        <v>4858.65512901258</v>
      </c>
      <c r="AE35" s="550" t="n">
        <v>186</v>
      </c>
      <c r="AF35" s="262" t="n">
        <v>1.7</v>
      </c>
      <c r="AG35" s="263" t="n">
        <v>1.3</v>
      </c>
      <c r="AH35" s="194" t="n">
        <v>70.1</v>
      </c>
      <c r="AI35" s="161" t="n">
        <f aca="false">AI34-AH35</f>
        <v>7552.14923115706</v>
      </c>
      <c r="AJ35" s="161"/>
      <c r="AK35" s="11" t="n">
        <f aca="false">N35+O35+P35+Q35+R35+S35+T35+U35+X35+AE35+AH35-AR35</f>
        <v>675.27</v>
      </c>
      <c r="AL35" s="194" t="n">
        <f aca="false">IF(L35&lt;0,L35*-1,0)</f>
        <v>37.2669296697755</v>
      </c>
      <c r="AM35" s="194" t="n">
        <f aca="false">AK35+AL35</f>
        <v>712.536929669776</v>
      </c>
      <c r="AN35" s="231"/>
      <c r="AO35" s="555"/>
      <c r="AP35" s="102" t="n">
        <f aca="false">I35-Q35-R35-X35-AF35</f>
        <v>-244.538874515726</v>
      </c>
      <c r="AQ35" s="556" t="n">
        <f aca="false">23.994*(Z35*1.9835+AC35*1.9835)/E35</f>
        <v>3.89785333580854</v>
      </c>
      <c r="AR35" s="171" t="n">
        <f aca="false">1025.215/31/1.9835</f>
        <v>16.6732803695</v>
      </c>
      <c r="AS35" s="158" t="n">
        <f aca="false">BA35</f>
        <v>8.27</v>
      </c>
      <c r="AT35" s="5" t="n">
        <v>3.03</v>
      </c>
      <c r="AU35" s="4"/>
      <c r="AV35" s="552" t="n">
        <v>0</v>
      </c>
      <c r="AW35" s="553" t="n">
        <v>83</v>
      </c>
      <c r="AX35" s="191" t="n">
        <v>51</v>
      </c>
      <c r="AY35" s="148"/>
      <c r="AZ35" s="264" t="n">
        <f aca="false">SUM(N35,P35:U35)</f>
        <v>7.86273170729511</v>
      </c>
      <c r="BA35" s="554" t="n">
        <v>8.27</v>
      </c>
      <c r="BB35" s="470" t="n">
        <v>14758</v>
      </c>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row>
    <row r="36" customFormat="false" ht="12.95" hidden="false" customHeight="true" outlineLevel="0" collapsed="false">
      <c r="A36" s="192" t="n">
        <v>22</v>
      </c>
      <c r="B36" s="318" t="n">
        <v>6878.03</v>
      </c>
      <c r="C36" s="161" t="n">
        <v>210313</v>
      </c>
      <c r="D36" s="191" t="n">
        <f aca="false">C36-C35</f>
        <v>-975</v>
      </c>
      <c r="E36" s="161" t="n">
        <f aca="false">C36-152000</f>
        <v>58313</v>
      </c>
      <c r="F36" s="549" t="n">
        <f aca="false">D36/$D$2</f>
        <v>-491.555331484749</v>
      </c>
      <c r="G36" s="550" t="n">
        <v>102</v>
      </c>
      <c r="H36" s="195" t="n">
        <v>0</v>
      </c>
      <c r="I36" s="194" t="n">
        <f aca="false">G36+H36</f>
        <v>102</v>
      </c>
      <c r="J36" s="110" t="n">
        <f aca="false">IF(L36&gt;0,L36,0)</f>
        <v>36.4146685152509</v>
      </c>
      <c r="K36" s="194" t="n">
        <f aca="false">I36+J36</f>
        <v>138.414668515251</v>
      </c>
      <c r="L36" s="194" t="n">
        <f aca="false">F36-(I36-AK36)</f>
        <v>36.4146685152509</v>
      </c>
      <c r="M36" s="551" t="n">
        <v>250</v>
      </c>
      <c r="N36" s="171" t="n">
        <f aca="false">1/$D$2*1.03</f>
        <v>0.519284093773632</v>
      </c>
      <c r="O36" s="194" t="n">
        <f aca="false">98*1.05</f>
        <v>102.9</v>
      </c>
      <c r="P36" s="171" t="n">
        <v>0</v>
      </c>
      <c r="Q36" s="346" t="n">
        <f aca="false">967100/325851/1.9835*1.02</f>
        <v>1.52623107604232</v>
      </c>
      <c r="R36" s="138" t="n">
        <f aca="false">(4.3*1.04)-T36</f>
        <v>3.3784192</v>
      </c>
      <c r="S36" s="138" t="n">
        <v>0</v>
      </c>
      <c r="T36" s="138" t="n">
        <f aca="false">(0.992*1.06)*1.04</f>
        <v>1.0935808</v>
      </c>
      <c r="U36" s="365" t="n">
        <v>0</v>
      </c>
      <c r="V36" s="194" t="n">
        <v>95.2</v>
      </c>
      <c r="W36" s="550" t="n">
        <v>64</v>
      </c>
      <c r="X36" s="347" t="n">
        <f aca="false">M36-N36-O36-P36-Q36-R36-S36-T36-U36+V36+W36-AT36+AR36</f>
        <v>313.825765199684</v>
      </c>
      <c r="Y36" s="347" t="n">
        <f aca="false">X36-AO36</f>
        <v>313.825765199684</v>
      </c>
      <c r="Z36" s="113" t="n">
        <f aca="false">Z35+AP36</f>
        <v>3396.98470701832</v>
      </c>
      <c r="AA36" s="142" t="n">
        <f aca="false">(-AP36)</f>
        <v>218.430415475726</v>
      </c>
      <c r="AB36" s="441"/>
      <c r="AC36" s="441" t="n">
        <f aca="false">AC35-(AQ35/1.9835)+AS36</f>
        <v>1246.67221643982</v>
      </c>
      <c r="AD36" s="449" t="n">
        <f aca="false">AD35</f>
        <v>4858.65512901258</v>
      </c>
      <c r="AE36" s="550" t="n">
        <v>153</v>
      </c>
      <c r="AF36" s="262" t="n">
        <v>1.7</v>
      </c>
      <c r="AG36" s="263" t="n">
        <v>1.3</v>
      </c>
      <c r="AH36" s="194" t="n">
        <v>70.4</v>
      </c>
      <c r="AI36" s="161" t="n">
        <f aca="false">AI35-AH36</f>
        <v>7481.74923115706</v>
      </c>
      <c r="AJ36" s="161"/>
      <c r="AK36" s="11" t="n">
        <f aca="false">N36+O36+P36+Q36+R36+S36+T36+U36+X36+AE36+AH36-AR36</f>
        <v>629.97</v>
      </c>
      <c r="AL36" s="194" t="n">
        <f aca="false">IF(L36&lt;0,L36*-1,0)</f>
        <v>0</v>
      </c>
      <c r="AM36" s="194" t="n">
        <f aca="false">AK36+AL36</f>
        <v>629.97</v>
      </c>
      <c r="AN36" s="231"/>
      <c r="AO36" s="555"/>
      <c r="AP36" s="102" t="n">
        <f aca="false">I36-Q36-R36-X36-AF36</f>
        <v>-218.430415475726</v>
      </c>
      <c r="AQ36" s="556" t="n">
        <f aca="false">0*(Z36*1.9835+AC36*1.9835)/E36</f>
        <v>0</v>
      </c>
      <c r="AR36" s="171" t="n">
        <f aca="false">1025.215/31/1.9835</f>
        <v>16.6732803695</v>
      </c>
      <c r="AS36" s="158" t="n">
        <f aca="false">BA36</f>
        <v>8.29</v>
      </c>
      <c r="AT36" s="5" t="n">
        <v>2.63</v>
      </c>
      <c r="AU36" s="4"/>
      <c r="AV36" s="552" t="n">
        <v>0.65</v>
      </c>
      <c r="AW36" s="553" t="n">
        <v>73</v>
      </c>
      <c r="AX36" s="191" t="n">
        <v>52</v>
      </c>
      <c r="AY36" s="148"/>
      <c r="AZ36" s="264" t="n">
        <f aca="false">SUM(N36,P36:U36)</f>
        <v>6.51751516981595</v>
      </c>
      <c r="BA36" s="554" t="n">
        <v>8.29</v>
      </c>
      <c r="BB36" s="470" t="n">
        <v>14778</v>
      </c>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row>
    <row r="37" customFormat="false" ht="12.95" hidden="false" customHeight="true" outlineLevel="0" collapsed="false">
      <c r="A37" s="192" t="n">
        <v>23</v>
      </c>
      <c r="B37" s="318" t="n">
        <v>6877.7</v>
      </c>
      <c r="C37" s="161" t="n">
        <v>209348</v>
      </c>
      <c r="D37" s="191" t="n">
        <f aca="false">C37-C36</f>
        <v>-965</v>
      </c>
      <c r="E37" s="161" t="n">
        <f aca="false">C37-152000</f>
        <v>57348</v>
      </c>
      <c r="F37" s="549" t="n">
        <f aca="false">D37/$D$2</f>
        <v>-486.513738341316</v>
      </c>
      <c r="G37" s="550" t="n">
        <v>151</v>
      </c>
      <c r="H37" s="195" t="n">
        <v>0</v>
      </c>
      <c r="I37" s="194" t="n">
        <f aca="false">G37+H37</f>
        <v>151</v>
      </c>
      <c r="J37" s="110" t="n">
        <f aca="false">IF(L37&gt;0,L37,0)</f>
        <v>0</v>
      </c>
      <c r="K37" s="194" t="n">
        <f aca="false">I37+J37</f>
        <v>151</v>
      </c>
      <c r="L37" s="194" t="n">
        <f aca="false">F37-(I37-AK37)</f>
        <v>-21.8837383413158</v>
      </c>
      <c r="M37" s="551" t="n">
        <v>217</v>
      </c>
      <c r="N37" s="171" t="n">
        <f aca="false">1/$D$2*1.03</f>
        <v>0.519284093773632</v>
      </c>
      <c r="O37" s="194" t="n">
        <f aca="false">86.5*1.05</f>
        <v>90.825</v>
      </c>
      <c r="P37" s="171" t="n">
        <v>0</v>
      </c>
      <c r="Q37" s="346" t="n">
        <f aca="false">1200700/325851/1.9835*1.02</f>
        <v>1.89488745011272</v>
      </c>
      <c r="R37" s="138" t="n">
        <f aca="false">(4.3*1.04)-T37</f>
        <v>3.3784192</v>
      </c>
      <c r="S37" s="138" t="n">
        <v>0</v>
      </c>
      <c r="T37" s="138" t="n">
        <f aca="false">(0.992*1.06)*1.04</f>
        <v>1.0935808</v>
      </c>
      <c r="U37" s="365" t="n">
        <v>0</v>
      </c>
      <c r="V37" s="194" t="n">
        <v>95.9</v>
      </c>
      <c r="W37" s="550" t="n">
        <v>64.1</v>
      </c>
      <c r="X37" s="347" t="n">
        <f aca="false">M37-N37-O37-P37-Q37-R37-S37-T37-U37+V37+W37-AT37+AR37</f>
        <v>283.858828456114</v>
      </c>
      <c r="Y37" s="347" t="n">
        <f aca="false">X37-AO37</f>
        <v>283.858828456114</v>
      </c>
      <c r="Z37" s="113" t="n">
        <f aca="false">Z36+AP37</f>
        <v>3257.15257191209</v>
      </c>
      <c r="AA37" s="142" t="n">
        <f aca="false">(-AP37)</f>
        <v>139.832135106226</v>
      </c>
      <c r="AB37" s="441"/>
      <c r="AC37" s="441" t="n">
        <f aca="false">AC36-(AQ36/1.9835)+AS37</f>
        <v>1254.96221643982</v>
      </c>
      <c r="AD37" s="449" t="n">
        <f aca="false">AD36</f>
        <v>4858.65512901258</v>
      </c>
      <c r="AE37" s="550" t="n">
        <v>171</v>
      </c>
      <c r="AF37" s="262" t="n">
        <v>1.7</v>
      </c>
      <c r="AG37" s="263" t="n">
        <v>1.3</v>
      </c>
      <c r="AH37" s="194" t="n">
        <v>70.1</v>
      </c>
      <c r="AI37" s="161" t="n">
        <f aca="false">AI36-AH37</f>
        <v>7411.64923115706</v>
      </c>
      <c r="AJ37" s="161"/>
      <c r="AK37" s="11" t="n">
        <f aca="false">N37+O37+P37+Q37+R37+S37+T37+U37+X37+AE37+AH37-AR37</f>
        <v>615.63</v>
      </c>
      <c r="AL37" s="194" t="n">
        <f aca="false">IF(L37&lt;0,L37*-1,0)</f>
        <v>21.8837383413158</v>
      </c>
      <c r="AM37" s="194" t="n">
        <f aca="false">AK37+AL37</f>
        <v>637.513738341316</v>
      </c>
      <c r="AN37" s="231"/>
      <c r="AO37" s="555"/>
      <c r="AP37" s="102" t="n">
        <f aca="false">I37-Q37-R37-X37-AF37</f>
        <v>-139.832135106226</v>
      </c>
      <c r="AQ37" s="556" t="n">
        <f aca="false">21.594*(Z37*1.9835+AC37*1.9835)/E37</f>
        <v>3.36997876941023</v>
      </c>
      <c r="AR37" s="171" t="n">
        <v>7.04</v>
      </c>
      <c r="AS37" s="158" t="n">
        <f aca="false">BA37</f>
        <v>8.29</v>
      </c>
      <c r="AT37" s="5" t="n">
        <v>2.47</v>
      </c>
      <c r="AU37" s="4" t="n">
        <v>3.3</v>
      </c>
      <c r="AV37" s="552" t="n">
        <v>0</v>
      </c>
      <c r="AW37" s="553" t="n">
        <v>78</v>
      </c>
      <c r="AX37" s="191" t="n">
        <v>51</v>
      </c>
      <c r="AY37" s="148"/>
      <c r="AZ37" s="264" t="n">
        <f aca="false">SUM(N37,P37:U37)</f>
        <v>6.88617154388635</v>
      </c>
      <c r="BA37" s="554" t="n">
        <v>8.29</v>
      </c>
      <c r="BB37" s="470" t="n">
        <v>14798</v>
      </c>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row>
    <row r="38" customFormat="false" ht="12.95" hidden="false" customHeight="true" outlineLevel="0" collapsed="false">
      <c r="A38" s="192" t="n">
        <v>24</v>
      </c>
      <c r="B38" s="318" t="n">
        <v>6877.38</v>
      </c>
      <c r="C38" s="161" t="n">
        <v>208414</v>
      </c>
      <c r="D38" s="191" t="n">
        <f aca="false">C38-C37</f>
        <v>-934</v>
      </c>
      <c r="E38" s="161" t="n">
        <f aca="false">C38-152000</f>
        <v>56414</v>
      </c>
      <c r="F38" s="549" t="n">
        <f aca="false">D38/$D$2</f>
        <v>-470.884799596673</v>
      </c>
      <c r="G38" s="550" t="n">
        <v>142</v>
      </c>
      <c r="H38" s="195" t="n">
        <v>0</v>
      </c>
      <c r="I38" s="194" t="n">
        <f aca="false">G38+H38</f>
        <v>142</v>
      </c>
      <c r="J38" s="110" t="n">
        <f aca="false">IF(L38&gt;0,L38,0)</f>
        <v>0</v>
      </c>
      <c r="K38" s="194" t="n">
        <f aca="false">I38+J38</f>
        <v>142</v>
      </c>
      <c r="L38" s="194" t="n">
        <f aca="false">F38-(I38-AK38)</f>
        <v>-27.7347995966725</v>
      </c>
      <c r="M38" s="551" t="n">
        <v>244</v>
      </c>
      <c r="N38" s="171" t="n">
        <f aca="false">1/$D$2*1.03</f>
        <v>0.519284093773632</v>
      </c>
      <c r="O38" s="194" t="n">
        <f aca="false">108*1.05</f>
        <v>113.4</v>
      </c>
      <c r="P38" s="171" t="n">
        <v>0</v>
      </c>
      <c r="Q38" s="346" t="n">
        <f aca="false">1572900/325851/1.9835*1.02</f>
        <v>2.4822757310588</v>
      </c>
      <c r="R38" s="138" t="n">
        <f aca="false">(4.4*1.04)-T38</f>
        <v>3.4824192</v>
      </c>
      <c r="S38" s="138" t="n">
        <v>0</v>
      </c>
      <c r="T38" s="138" t="n">
        <f aca="false">(0.992*1.06)*1.04</f>
        <v>1.0935808</v>
      </c>
      <c r="U38" s="365" t="n">
        <v>0</v>
      </c>
      <c r="V38" s="194" t="n">
        <v>96.5</v>
      </c>
      <c r="W38" s="550" t="n">
        <v>65</v>
      </c>
      <c r="X38" s="347" t="n">
        <f aca="false">M38-N38-O38-P38-Q38-R38-S38-T38-U38+V38+W38-AT38+AR38</f>
        <v>282.072440175168</v>
      </c>
      <c r="Y38" s="347" t="n">
        <f aca="false">X38-AO38</f>
        <v>282.072440175168</v>
      </c>
      <c r="Z38" s="113" t="n">
        <f aca="false">Z37+AP38</f>
        <v>3109.41543680586</v>
      </c>
      <c r="AA38" s="142" t="n">
        <f aca="false">(-AP38)</f>
        <v>147.737135106226</v>
      </c>
      <c r="AB38" s="441"/>
      <c r="AC38" s="441" t="n">
        <f aca="false">AC37-(AQ37/1.9835)+AS38</f>
        <v>1261.74321025409</v>
      </c>
      <c r="AD38" s="449" t="n">
        <f aca="false">AD37</f>
        <v>4858.65512901258</v>
      </c>
      <c r="AE38" s="550" t="n">
        <v>112</v>
      </c>
      <c r="AF38" s="262" t="n">
        <v>1.7</v>
      </c>
      <c r="AG38" s="263" t="n">
        <v>1.3</v>
      </c>
      <c r="AH38" s="194" t="n">
        <v>70.1</v>
      </c>
      <c r="AI38" s="161" t="n">
        <f aca="false">AI37-AH38</f>
        <v>7341.54923115706</v>
      </c>
      <c r="AJ38" s="161"/>
      <c r="AK38" s="11" t="n">
        <f aca="false">N38+O38+P38+Q38+R38+S38+T38+U38+X38+AE38+AH38-AR38</f>
        <v>585.15</v>
      </c>
      <c r="AL38" s="194" t="n">
        <f aca="false">IF(L38&lt;0,L38*-1,0)</f>
        <v>27.7347995966725</v>
      </c>
      <c r="AM38" s="194" t="n">
        <f aca="false">AK38+AL38</f>
        <v>612.884799596673</v>
      </c>
      <c r="AN38" s="231"/>
      <c r="AO38" s="555"/>
      <c r="AP38" s="102" t="n">
        <f aca="false">I38-Q38-R38-X38-AF38</f>
        <v>-147.737135106226</v>
      </c>
      <c r="AQ38" s="556" t="n">
        <f aca="false">20.335*(Z38*1.9835+AC38*1.9835)/E38</f>
        <v>3.12525930164457</v>
      </c>
      <c r="AR38" s="171"/>
      <c r="AS38" s="158" t="n">
        <f aca="false">BA38</f>
        <v>8.48</v>
      </c>
      <c r="AT38" s="5" t="n">
        <v>2.45</v>
      </c>
      <c r="AU38" s="4" t="n">
        <f aca="false">O38</f>
        <v>113.4</v>
      </c>
      <c r="AV38" s="552" t="n">
        <v>0</v>
      </c>
      <c r="AW38" s="553" t="n">
        <v>81</v>
      </c>
      <c r="AX38" s="191" t="n">
        <v>50</v>
      </c>
      <c r="AY38" s="148"/>
      <c r="AZ38" s="264" t="n">
        <f aca="false">SUM(N38,P38:U38)</f>
        <v>7.57755982483243</v>
      </c>
      <c r="BA38" s="554" t="n">
        <v>8.48</v>
      </c>
      <c r="BB38" s="470" t="n">
        <v>14769</v>
      </c>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row>
    <row r="39" customFormat="false" ht="12.95" hidden="false" customHeight="true" outlineLevel="0" collapsed="false">
      <c r="A39" s="192" t="n">
        <v>25</v>
      </c>
      <c r="B39" s="318" t="n">
        <v>6877</v>
      </c>
      <c r="C39" s="161" t="n">
        <v>207304</v>
      </c>
      <c r="D39" s="191" t="n">
        <f aca="false">C39-C38</f>
        <v>-1110</v>
      </c>
      <c r="E39" s="161" t="n">
        <f aca="false">C39-152000</f>
        <v>55304</v>
      </c>
      <c r="F39" s="549" t="n">
        <f aca="false">D39/$D$2</f>
        <v>-559.616838921099</v>
      </c>
      <c r="G39" s="550" t="n">
        <v>122</v>
      </c>
      <c r="H39" s="195" t="n">
        <v>0</v>
      </c>
      <c r="I39" s="194" t="n">
        <f aca="false">G39+H39</f>
        <v>122</v>
      </c>
      <c r="J39" s="110" t="n">
        <f aca="false">IF(L39&gt;0,L39,0)</f>
        <v>0</v>
      </c>
      <c r="K39" s="194" t="n">
        <f aca="false">I39+J39</f>
        <v>122</v>
      </c>
      <c r="L39" s="194" t="n">
        <f aca="false">F39-(I39-AK39)</f>
        <v>-35.0968389210991</v>
      </c>
      <c r="M39" s="551" t="n">
        <v>240</v>
      </c>
      <c r="N39" s="171" t="n">
        <f aca="false">1/$D$2*1.03</f>
        <v>0.519284093773632</v>
      </c>
      <c r="O39" s="194" t="n">
        <f aca="false">101*1.05</f>
        <v>106.05</v>
      </c>
      <c r="P39" s="171" t="n">
        <v>0</v>
      </c>
      <c r="Q39" s="346" t="n">
        <f aca="false">1387300/325851/1.9835*1.02</f>
        <v>2.18937066672889</v>
      </c>
      <c r="R39" s="138" t="n">
        <f aca="false">(4.4*1.04)-T39</f>
        <v>3.4824192</v>
      </c>
      <c r="S39" s="138" t="n">
        <v>0</v>
      </c>
      <c r="T39" s="138" t="n">
        <f aca="false">(0.992*1.06)*1.04</f>
        <v>1.0935808</v>
      </c>
      <c r="U39" s="365" t="n">
        <v>0</v>
      </c>
      <c r="V39" s="194" t="n">
        <v>94.6</v>
      </c>
      <c r="W39" s="550" t="n">
        <v>64.9</v>
      </c>
      <c r="X39" s="347" t="n">
        <f aca="false">M39-N39-O39-P39-Q39-R39-S39-T39-U39+V39+W39-AT39+AR39</f>
        <v>283.885345239498</v>
      </c>
      <c r="Y39" s="347" t="n">
        <f aca="false">X39-AO39</f>
        <v>283.885345239498</v>
      </c>
      <c r="Z39" s="113" t="n">
        <f aca="false">Z38+AP39</f>
        <v>2940.15830169964</v>
      </c>
      <c r="AA39" s="142" t="n">
        <f aca="false">(-AP39)</f>
        <v>169.257135106226</v>
      </c>
      <c r="AB39" s="441"/>
      <c r="AC39" s="441" t="n">
        <f aca="false">AC38-(AQ38/1.9835)+AS39</f>
        <v>1268.87758166742</v>
      </c>
      <c r="AD39" s="449" t="n">
        <f aca="false">AD38</f>
        <v>4858.65512901258</v>
      </c>
      <c r="AE39" s="550" t="n">
        <v>179</v>
      </c>
      <c r="AF39" s="262" t="n">
        <v>1.7</v>
      </c>
      <c r="AG39" s="263" t="n">
        <v>1.3</v>
      </c>
      <c r="AH39" s="194" t="n">
        <v>70.3</v>
      </c>
      <c r="AI39" s="161" t="n">
        <f aca="false">AI38-AH39</f>
        <v>7271.24923115706</v>
      </c>
      <c r="AJ39" s="161"/>
      <c r="AK39" s="11" t="n">
        <f aca="false">N39+O39+P39+Q39+R39+S39+T39+U39+X39+AE39+AH39-AR39</f>
        <v>646.52</v>
      </c>
      <c r="AL39" s="194" t="n">
        <f aca="false">IF(L39&lt;0,L39*-1,0)</f>
        <v>35.0968389210991</v>
      </c>
      <c r="AM39" s="194" t="n">
        <f aca="false">AK39+AL39</f>
        <v>681.616838921099</v>
      </c>
      <c r="AN39" s="231"/>
      <c r="AO39" s="555"/>
      <c r="AP39" s="102" t="n">
        <f aca="false">I39-Q39-R39-X39-AF39</f>
        <v>-169.257135106226</v>
      </c>
      <c r="AQ39" s="556" t="n">
        <f aca="false">40.501*(Z39*1.9835+AC39*1.9835)/E39</f>
        <v>6.11398030786827</v>
      </c>
      <c r="AR39" s="171"/>
      <c r="AS39" s="158" t="n">
        <f aca="false">BA39</f>
        <v>8.71</v>
      </c>
      <c r="AT39" s="5" t="n">
        <v>2.28</v>
      </c>
      <c r="AU39" s="4" t="n">
        <f aca="false">O39</f>
        <v>106.05</v>
      </c>
      <c r="AV39" s="552" t="n">
        <v>0</v>
      </c>
      <c r="AW39" s="553" t="n">
        <v>82</v>
      </c>
      <c r="AX39" s="191" t="n">
        <v>50</v>
      </c>
      <c r="AY39" s="148"/>
      <c r="AZ39" s="264" t="n">
        <f aca="false">SUM(N39,P39:U39)</f>
        <v>7.28465476050252</v>
      </c>
      <c r="BA39" s="554" t="n">
        <v>8.71</v>
      </c>
      <c r="BB39" s="470" t="n">
        <v>14754</v>
      </c>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row>
    <row r="40" customFormat="false" ht="12.95" hidden="false" customHeight="true" outlineLevel="0" collapsed="false">
      <c r="A40" s="192" t="n">
        <v>26</v>
      </c>
      <c r="B40" s="318" t="n">
        <v>6876.65</v>
      </c>
      <c r="C40" s="161" t="n">
        <v>206293</v>
      </c>
      <c r="D40" s="191" t="n">
        <f aca="false">C40-C39</f>
        <v>-1011</v>
      </c>
      <c r="E40" s="161" t="n">
        <f aca="false">C40-152000</f>
        <v>54293</v>
      </c>
      <c r="F40" s="549" t="n">
        <f aca="false">D40/$D$2</f>
        <v>-509.705066801109</v>
      </c>
      <c r="G40" s="550" t="n">
        <v>112</v>
      </c>
      <c r="H40" s="195" t="n">
        <v>0</v>
      </c>
      <c r="I40" s="194" t="n">
        <f aca="false">G40+H40</f>
        <v>112</v>
      </c>
      <c r="J40" s="110" t="n">
        <f aca="false">IF(L40&gt;0,L40,0)</f>
        <v>22.7849331988908</v>
      </c>
      <c r="K40" s="194" t="n">
        <f aca="false">I40+J40</f>
        <v>134.784933198891</v>
      </c>
      <c r="L40" s="194" t="n">
        <f aca="false">F40-(I40-AK40)</f>
        <v>22.7849331988908</v>
      </c>
      <c r="M40" s="551" t="n">
        <v>248</v>
      </c>
      <c r="N40" s="171" t="n">
        <f aca="false">1/$D$2*1.03</f>
        <v>0.519284093773632</v>
      </c>
      <c r="O40" s="194" t="n">
        <f aca="false">90.3*1.05</f>
        <v>94.815</v>
      </c>
      <c r="P40" s="171" t="n">
        <v>0</v>
      </c>
      <c r="Q40" s="346" t="n">
        <f aca="false">1256200/325851/1.9835*1.02</f>
        <v>1.98247490200017</v>
      </c>
      <c r="R40" s="138" t="n">
        <f aca="false">(4.3*1.04)-T40</f>
        <v>3.3784192</v>
      </c>
      <c r="S40" s="138" t="n">
        <v>0</v>
      </c>
      <c r="T40" s="138" t="n">
        <f aca="false">(0.992*1.06)*1.04</f>
        <v>1.0935808</v>
      </c>
      <c r="U40" s="365" t="n">
        <v>0</v>
      </c>
      <c r="V40" s="194" t="n">
        <v>94.5</v>
      </c>
      <c r="W40" s="550" t="n">
        <v>65.5</v>
      </c>
      <c r="X40" s="347" t="n">
        <f aca="false">M40-N40-O40-P40-Q40-R40-S40-T40-U40+V40+W40-AT40+AR40</f>
        <v>304.101241004226</v>
      </c>
      <c r="Y40" s="347" t="n">
        <f aca="false">X40-AO40</f>
        <v>304.101241004226</v>
      </c>
      <c r="Z40" s="113" t="n">
        <f aca="false">Z39+AP40</f>
        <v>2740.99616659341</v>
      </c>
      <c r="AA40" s="142" t="n">
        <f aca="false">(-AP40)</f>
        <v>199.162135106226</v>
      </c>
      <c r="AB40" s="441"/>
      <c r="AC40" s="441" t="n">
        <f aca="false">AC39-(AQ39/1.9835)+AS40</f>
        <v>1274.3451615475</v>
      </c>
      <c r="AD40" s="449" t="n">
        <f aca="false">AD39</f>
        <v>4858.65512901258</v>
      </c>
      <c r="AE40" s="550" t="n">
        <v>168</v>
      </c>
      <c r="AF40" s="262" t="n">
        <v>1.7</v>
      </c>
      <c r="AG40" s="263" t="n">
        <v>1.3</v>
      </c>
      <c r="AH40" s="194" t="n">
        <v>70.6</v>
      </c>
      <c r="AI40" s="161" t="n">
        <f aca="false">AI39-AH40</f>
        <v>7200.64923115706</v>
      </c>
      <c r="AJ40" s="161"/>
      <c r="AK40" s="11" t="n">
        <f aca="false">N40+O40+P40+Q40+R40+S40+T40+U40+X40+AE40+AH40-AR40</f>
        <v>644.49</v>
      </c>
      <c r="AL40" s="194" t="n">
        <f aca="false">IF(L40&lt;0,L40*-1,0)</f>
        <v>0</v>
      </c>
      <c r="AM40" s="194" t="n">
        <f aca="false">AK40+AL40</f>
        <v>644.49</v>
      </c>
      <c r="AN40" s="231"/>
      <c r="AO40" s="555"/>
      <c r="AP40" s="102" t="n">
        <f aca="false">I40-Q40-R40-X40-AF40</f>
        <v>-199.162135106226</v>
      </c>
      <c r="AQ40" s="556" t="n">
        <f aca="false">0*(Z40*1.9835+AC40*1.9835)/E40</f>
        <v>0</v>
      </c>
      <c r="AR40" s="171"/>
      <c r="AS40" s="158" t="n">
        <f aca="false">BA40</f>
        <v>8.55</v>
      </c>
      <c r="AT40" s="5" t="n">
        <v>2.11</v>
      </c>
      <c r="AU40" s="4" t="n">
        <f aca="false">O40</f>
        <v>94.815</v>
      </c>
      <c r="AV40" s="552" t="n">
        <v>0.35</v>
      </c>
      <c r="AW40" s="553" t="n">
        <v>81</v>
      </c>
      <c r="AX40" s="191" t="n">
        <v>52</v>
      </c>
      <c r="AY40" s="148"/>
      <c r="AZ40" s="264" t="n">
        <f aca="false">SUM(N40,P40:U40)</f>
        <v>6.9737589957738</v>
      </c>
      <c r="BA40" s="554" t="n">
        <v>8.55</v>
      </c>
      <c r="BB40" s="470" t="n">
        <v>14775</v>
      </c>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row>
    <row r="41" customFormat="false" ht="12.95" hidden="false" customHeight="true" outlineLevel="0" collapsed="false">
      <c r="A41" s="192" t="n">
        <v>27</v>
      </c>
      <c r="B41" s="318" t="n">
        <v>6876.41</v>
      </c>
      <c r="C41" s="161" t="n">
        <v>205599</v>
      </c>
      <c r="D41" s="191" t="n">
        <f aca="false">C41-C40</f>
        <v>-694</v>
      </c>
      <c r="E41" s="161" t="n">
        <f aca="false">C41-152000</f>
        <v>53599</v>
      </c>
      <c r="F41" s="549" t="n">
        <f aca="false">D41/$D$2</f>
        <v>-349.886564154273</v>
      </c>
      <c r="G41" s="550" t="n">
        <v>191</v>
      </c>
      <c r="H41" s="195" t="n">
        <v>0</v>
      </c>
      <c r="I41" s="194" t="n">
        <f aca="false">G41+H41</f>
        <v>191</v>
      </c>
      <c r="J41" s="110" t="n">
        <f aca="false">IF(L41&gt;0,L41,0)</f>
        <v>6.5934358457273</v>
      </c>
      <c r="K41" s="194" t="n">
        <f aca="false">I41+J41</f>
        <v>197.593435845727</v>
      </c>
      <c r="L41" s="194" t="n">
        <f aca="false">F41-(I41-AK41)</f>
        <v>6.5934358457273</v>
      </c>
      <c r="M41" s="551" t="n">
        <v>200</v>
      </c>
      <c r="N41" s="171" t="n">
        <f aca="false">1/$D$2*1.03</f>
        <v>0.519284093773632</v>
      </c>
      <c r="O41" s="194" t="n">
        <f aca="false">86.1*1.05</f>
        <v>90.405</v>
      </c>
      <c r="P41" s="171" t="n">
        <v>0</v>
      </c>
      <c r="Q41" s="346" t="n">
        <f aca="false">1096000/325851/1.9835*1.02</f>
        <v>1.72965490574127</v>
      </c>
      <c r="R41" s="138" t="n">
        <f aca="false">(2.3*1.04)-T41</f>
        <v>1.2984192</v>
      </c>
      <c r="S41" s="138" t="n">
        <v>0</v>
      </c>
      <c r="T41" s="138" t="n">
        <f aca="false">(0.992*1.06)*1.04</f>
        <v>1.0935808</v>
      </c>
      <c r="U41" s="365" t="n">
        <v>0</v>
      </c>
      <c r="V41" s="194" t="n">
        <v>95</v>
      </c>
      <c r="W41" s="550" t="n">
        <v>65.3</v>
      </c>
      <c r="X41" s="347" t="n">
        <f aca="false">M41-N41-O41-P41-Q41-R41-S41-T41-U41+V41+W41-AT41+AR41</f>
        <v>263.534061000485</v>
      </c>
      <c r="Y41" s="347" t="n">
        <f aca="false">X41-AO41</f>
        <v>263.534061000485</v>
      </c>
      <c r="Z41" s="113" t="n">
        <f aca="false">Z40+AP41</f>
        <v>2663.73403148718</v>
      </c>
      <c r="AA41" s="142" t="n">
        <f aca="false">(-AP41)</f>
        <v>77.2621351062264</v>
      </c>
      <c r="AB41" s="441"/>
      <c r="AC41" s="441" t="n">
        <f aca="false">AC40-(AQ40/1.9835)+AS41</f>
        <v>1282.7051615475</v>
      </c>
      <c r="AD41" s="449" t="n">
        <f aca="false">AD40</f>
        <v>4858.65512901258</v>
      </c>
      <c r="AE41" s="550" t="n">
        <v>118</v>
      </c>
      <c r="AF41" s="262" t="n">
        <v>1.7</v>
      </c>
      <c r="AG41" s="263" t="n">
        <v>1.3</v>
      </c>
      <c r="AH41" s="194" t="n">
        <v>70.9</v>
      </c>
      <c r="AI41" s="161" t="n">
        <f aca="false">AI40-AH41</f>
        <v>7129.74923115706</v>
      </c>
      <c r="AJ41" s="161"/>
      <c r="AK41" s="11" t="n">
        <f aca="false">N41+O41+P41+Q41+R41+S41+T41+U41+X41+AE41+AH41-AR41</f>
        <v>547.48</v>
      </c>
      <c r="AL41" s="194" t="n">
        <f aca="false">IF(L41&lt;0,L41*-1,0)</f>
        <v>0</v>
      </c>
      <c r="AM41" s="194" t="n">
        <f aca="false">AK41+AL41</f>
        <v>547.48</v>
      </c>
      <c r="AN41" s="231"/>
      <c r="AO41" s="555"/>
      <c r="AP41" s="102" t="n">
        <f aca="false">I41-Q41-R41-X41-AF41</f>
        <v>-77.2621351062264</v>
      </c>
      <c r="AQ41" s="556" t="n">
        <f aca="false">10.555*(Z41*1.9835+AC41*1.9835)/E41</f>
        <v>1.5414845310771</v>
      </c>
      <c r="AR41" s="171"/>
      <c r="AS41" s="158" t="n">
        <f aca="false">BA41</f>
        <v>8.36</v>
      </c>
      <c r="AT41" s="5" t="n">
        <v>1.72</v>
      </c>
      <c r="AU41" s="4" t="n">
        <f aca="false">O41</f>
        <v>90.405</v>
      </c>
      <c r="AV41" s="552" t="n">
        <v>0.11</v>
      </c>
      <c r="AW41" s="553" t="n">
        <v>74</v>
      </c>
      <c r="AX41" s="191" t="n">
        <v>48</v>
      </c>
      <c r="AY41" s="148"/>
      <c r="AZ41" s="264" t="n">
        <f aca="false">SUM(N41,P41:U41)</f>
        <v>4.6409389995149</v>
      </c>
      <c r="BA41" s="554" t="n">
        <v>8.36</v>
      </c>
      <c r="BB41" s="470" t="n">
        <v>14777</v>
      </c>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row>
    <row r="42" customFormat="false" ht="12.95" hidden="false" customHeight="true" outlineLevel="0" collapsed="false">
      <c r="A42" s="555" t="n">
        <v>28</v>
      </c>
      <c r="B42" s="540" t="n">
        <v>6876.13</v>
      </c>
      <c r="C42" s="449" t="n">
        <v>204791</v>
      </c>
      <c r="D42" s="553" t="n">
        <f aca="false">C42-C41</f>
        <v>-808</v>
      </c>
      <c r="E42" s="449" t="n">
        <f aca="false">C42-152000</f>
        <v>52791</v>
      </c>
      <c r="F42" s="558" t="n">
        <f aca="false">D42/$D$2</f>
        <v>-407.360725989413</v>
      </c>
      <c r="G42" s="550" t="n">
        <v>185</v>
      </c>
      <c r="H42" s="195" t="n">
        <v>0</v>
      </c>
      <c r="I42" s="550" t="n">
        <f aca="false">G42+H42</f>
        <v>185</v>
      </c>
      <c r="J42" s="559" t="n">
        <f aca="false">IF(L42&gt;0,L42,0)</f>
        <v>0</v>
      </c>
      <c r="K42" s="550" t="n">
        <f aca="false">I42+J42</f>
        <v>185</v>
      </c>
      <c r="L42" s="550" t="n">
        <f aca="false">F42-(I42-AK42)</f>
        <v>-16.4607259894125</v>
      </c>
      <c r="M42" s="560" t="n">
        <v>206</v>
      </c>
      <c r="N42" s="171" t="n">
        <f aca="false">1/$D$2*1.03</f>
        <v>0.519284093773632</v>
      </c>
      <c r="O42" s="550" t="n">
        <f aca="false">83.6*1.05</f>
        <v>87.78</v>
      </c>
      <c r="P42" s="171" t="n">
        <v>0</v>
      </c>
      <c r="Q42" s="346" t="n">
        <f aca="false">1166700/325851/1.9835*1.02</f>
        <v>1.84123027237987</v>
      </c>
      <c r="R42" s="138" t="n">
        <v>4.2</v>
      </c>
      <c r="S42" s="138" t="n">
        <f aca="false">((5.7*1.04)-T42)-4.2</f>
        <v>0.634419200000001</v>
      </c>
      <c r="T42" s="138" t="n">
        <f aca="false">(0.992*1.06)*1.04</f>
        <v>1.0935808</v>
      </c>
      <c r="U42" s="365" t="n">
        <v>0</v>
      </c>
      <c r="V42" s="550" t="n">
        <v>95.1</v>
      </c>
      <c r="W42" s="550" t="n">
        <v>64.6</v>
      </c>
      <c r="X42" s="347" t="n">
        <f aca="false">M42-N42-O42-P42-Q42-R42-S42-T42-U42+V42+W42-AT42+AR42</f>
        <v>267.931485633847</v>
      </c>
      <c r="Y42" s="347" t="n">
        <f aca="false">X42-AO42</f>
        <v>267.931485633847</v>
      </c>
      <c r="Z42" s="113" t="n">
        <f aca="false">Z41+AP42</f>
        <v>2573.06131558096</v>
      </c>
      <c r="AA42" s="142" t="n">
        <f aca="false">(-AP42)</f>
        <v>90.6727159062264</v>
      </c>
      <c r="AB42" s="441"/>
      <c r="AC42" s="441" t="n">
        <f aca="false">AC41-(AQ41/1.9835)+AS42</f>
        <v>1290.28800776324</v>
      </c>
      <c r="AD42" s="449" t="n">
        <f aca="false">AD41</f>
        <v>4858.65512901258</v>
      </c>
      <c r="AE42" s="550" t="n">
        <v>141</v>
      </c>
      <c r="AF42" s="262" t="n">
        <v>1.7</v>
      </c>
      <c r="AG42" s="263" t="n">
        <v>1.3</v>
      </c>
      <c r="AH42" s="194" t="n">
        <v>70.9</v>
      </c>
      <c r="AI42" s="161" t="n">
        <f aca="false">AI41-AH42</f>
        <v>7058.84923115706</v>
      </c>
      <c r="AJ42" s="161"/>
      <c r="AK42" s="11" t="n">
        <f aca="false">N42+O42+P42+Q42+R42+S42+T42+U42+X42+AE42+AH42-AR42</f>
        <v>575.9</v>
      </c>
      <c r="AL42" s="550" t="n">
        <f aca="false">IF(L42&lt;0,L42*-1,0)</f>
        <v>16.4607259894125</v>
      </c>
      <c r="AM42" s="550" t="n">
        <f aca="false">AK42+AL42</f>
        <v>592.360725989413</v>
      </c>
      <c r="AN42" s="231"/>
      <c r="AO42" s="555"/>
      <c r="AP42" s="102" t="n">
        <f aca="false">I42-Q42-R42-X42-AF42</f>
        <v>-90.6727159062264</v>
      </c>
      <c r="AQ42" s="556" t="n">
        <f aca="false">34.512*(Z42*1.9835+AC42*1.9835)/E42</f>
        <v>5.00963889960467</v>
      </c>
      <c r="AR42" s="171"/>
      <c r="AS42" s="158" t="n">
        <f aca="false">BA42</f>
        <v>8.36</v>
      </c>
      <c r="AT42" s="5" t="n">
        <v>1.7</v>
      </c>
      <c r="AU42" s="4" t="n">
        <f aca="false">O42</f>
        <v>87.78</v>
      </c>
      <c r="AV42" s="552" t="n">
        <v>0</v>
      </c>
      <c r="AW42" s="553" t="n">
        <v>76</v>
      </c>
      <c r="AX42" s="553" t="n">
        <v>47</v>
      </c>
      <c r="AY42" s="148"/>
      <c r="AZ42" s="264" t="n">
        <f aca="false">SUM(N42,P42:U42)</f>
        <v>8.28851436615351</v>
      </c>
      <c r="BA42" s="554" t="n">
        <v>8.36</v>
      </c>
      <c r="BB42" s="470" t="n">
        <v>14755</v>
      </c>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row>
    <row r="43" customFormat="false" ht="12.95" hidden="false" customHeight="true" outlineLevel="0" collapsed="false">
      <c r="A43" s="555" t="n">
        <v>29</v>
      </c>
      <c r="B43" s="540" t="n">
        <v>6875.8</v>
      </c>
      <c r="C43" s="449" t="n">
        <v>203844</v>
      </c>
      <c r="D43" s="553" t="n">
        <f aca="false">C43-C42</f>
        <v>-947</v>
      </c>
      <c r="E43" s="449" t="n">
        <f aca="false">C43-152000</f>
        <v>51844</v>
      </c>
      <c r="F43" s="558" t="n">
        <f aca="false">D43/$D$2</f>
        <v>-477.438870683136</v>
      </c>
      <c r="G43" s="550" t="n">
        <v>145</v>
      </c>
      <c r="H43" s="561" t="n">
        <v>0</v>
      </c>
      <c r="I43" s="550" t="n">
        <f aca="false">G43+H43</f>
        <v>145</v>
      </c>
      <c r="J43" s="559" t="n">
        <f aca="false">IF(L43&gt;0,L43,0)</f>
        <v>0</v>
      </c>
      <c r="K43" s="550" t="n">
        <f aca="false">I43+J43</f>
        <v>145</v>
      </c>
      <c r="L43" s="550" t="n">
        <f aca="false">F43-(I43-AK43)</f>
        <v>-37.8488706831359</v>
      </c>
      <c r="M43" s="560" t="n">
        <v>200</v>
      </c>
      <c r="N43" s="171" t="n">
        <f aca="false">1/$D$2*1.03</f>
        <v>0.519284093773632</v>
      </c>
      <c r="O43" s="550" t="n">
        <f aca="false">78*1.05</f>
        <v>81.9</v>
      </c>
      <c r="P43" s="171" t="n">
        <v>0</v>
      </c>
      <c r="Q43" s="346" t="n">
        <f aca="false">1218300/325851/1.9835*1.02</f>
        <v>1.9226629303509</v>
      </c>
      <c r="R43" s="138" t="n">
        <v>4.2</v>
      </c>
      <c r="S43" s="138" t="n">
        <f aca="false">((6.8*1.04)-T43)-4.2</f>
        <v>1.52453648</v>
      </c>
      <c r="T43" s="138" t="n">
        <f aca="false">(1.2223*1.06)*1.04</f>
        <v>1.34746352</v>
      </c>
      <c r="U43" s="365" t="n">
        <v>0</v>
      </c>
      <c r="V43" s="550" t="n">
        <v>87.1</v>
      </c>
      <c r="W43" s="550" t="n">
        <v>63.3</v>
      </c>
      <c r="X43" s="347" t="n">
        <f aca="false">M43-N43-O43-P43-Q43-R43-S43-T43-U43+V43+W43-AT43+AR43</f>
        <v>257.176052975875</v>
      </c>
      <c r="Y43" s="347" t="n">
        <f aca="false">X43-AO43</f>
        <v>257.176052975875</v>
      </c>
      <c r="Z43" s="113" t="n">
        <f aca="false">Z42+AP43</f>
        <v>2453.06259967473</v>
      </c>
      <c r="AA43" s="142" t="n">
        <f aca="false">(-AP43)</f>
        <v>119.998715906226</v>
      </c>
      <c r="AB43" s="441"/>
      <c r="AC43" s="441" t="n">
        <f aca="false">AC42-(AQ42/1.9835)+AS43</f>
        <v>1295.62235165051</v>
      </c>
      <c r="AD43" s="449" t="n">
        <f aca="false">AD42</f>
        <v>4858.65512901258</v>
      </c>
      <c r="AE43" s="550" t="n">
        <v>165</v>
      </c>
      <c r="AF43" s="262" t="n">
        <v>1.7</v>
      </c>
      <c r="AG43" s="263" t="n">
        <v>1.3</v>
      </c>
      <c r="AH43" s="194" t="n">
        <v>71</v>
      </c>
      <c r="AI43" s="161" t="n">
        <f aca="false">AI42-AH43</f>
        <v>6987.84923115706</v>
      </c>
      <c r="AJ43" s="161"/>
      <c r="AK43" s="11" t="n">
        <f aca="false">N43+O43+P43+Q43+R43+S43+T43+U43+X43+AE43+AH43-AR43</f>
        <v>584.59</v>
      </c>
      <c r="AL43" s="550" t="n">
        <f aca="false">IF(L43&lt;0,L43*-1,0)</f>
        <v>37.8488706831359</v>
      </c>
      <c r="AM43" s="550" t="n">
        <f aca="false">AK43+AL43</f>
        <v>622.438870683136</v>
      </c>
      <c r="AN43" s="231"/>
      <c r="AO43" s="555"/>
      <c r="AP43" s="102" t="n">
        <f aca="false">I43-Q43-R43-X43-AF43</f>
        <v>-119.998715906226</v>
      </c>
      <c r="AQ43" s="556" t="n">
        <f aca="false">36.69*(Z43*1.9835+AC43*1.9835)/E43</f>
        <v>5.26211527060003</v>
      </c>
      <c r="AR43" s="171"/>
      <c r="AS43" s="158" t="n">
        <f aca="false">BA43</f>
        <v>7.86</v>
      </c>
      <c r="AT43" s="5" t="n">
        <v>1.81</v>
      </c>
      <c r="AU43" s="4" t="n">
        <f aca="false">O43</f>
        <v>81.9</v>
      </c>
      <c r="AV43" s="552" t="n">
        <v>0</v>
      </c>
      <c r="AW43" s="553" t="n">
        <v>82</v>
      </c>
      <c r="AX43" s="553" t="n">
        <v>49</v>
      </c>
      <c r="AY43" s="148"/>
      <c r="AZ43" s="264" t="n">
        <f aca="false">SUM(N43,P43:U43)</f>
        <v>9.51394702412453</v>
      </c>
      <c r="BA43" s="554" t="n">
        <v>7.86</v>
      </c>
      <c r="BB43" s="470" t="n">
        <v>14735</v>
      </c>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row>
    <row r="44" customFormat="false" ht="12.95" hidden="false" customHeight="true" outlineLevel="0" collapsed="false">
      <c r="A44" s="555" t="n">
        <v>30</v>
      </c>
      <c r="B44" s="540" t="n">
        <v>6875.48</v>
      </c>
      <c r="C44" s="449" t="n">
        <v>202931</v>
      </c>
      <c r="D44" s="553" t="n">
        <f aca="false">C44-C43</f>
        <v>-913</v>
      </c>
      <c r="E44" s="449" t="n">
        <f aca="false">C44-152000</f>
        <v>50931</v>
      </c>
      <c r="F44" s="558" t="n">
        <f aca="false">D44/$D$2</f>
        <v>-460.297453995463</v>
      </c>
      <c r="G44" s="550" t="n">
        <v>123</v>
      </c>
      <c r="H44" s="561" t="n">
        <v>0</v>
      </c>
      <c r="I44" s="550" t="n">
        <f aca="false">G44+H44</f>
        <v>123</v>
      </c>
      <c r="J44" s="559" t="n">
        <f aca="false">IF(L44&gt;0,L44,0)</f>
        <v>0</v>
      </c>
      <c r="K44" s="550" t="n">
        <f aca="false">I44+J44</f>
        <v>123</v>
      </c>
      <c r="L44" s="550" t="n">
        <f aca="false">F44-(I44-AK44)</f>
        <v>-14.4574539954625</v>
      </c>
      <c r="M44" s="560" t="n">
        <v>212</v>
      </c>
      <c r="N44" s="171" t="n">
        <f aca="false">1/$D$2*1.03</f>
        <v>0.519284093773632</v>
      </c>
      <c r="O44" s="550" t="n">
        <f aca="false">72.6*1.05</f>
        <v>76.23</v>
      </c>
      <c r="P44" s="171" t="n">
        <v>0</v>
      </c>
      <c r="Q44" s="346" t="n">
        <f aca="false">1289700/325851/1.9835*1.02</f>
        <v>2.03534300358989</v>
      </c>
      <c r="R44" s="138" t="n">
        <v>4.2</v>
      </c>
      <c r="S44" s="138" t="n">
        <f aca="false">((7.1*1.04)-T44)-4.2</f>
        <v>1.83653648</v>
      </c>
      <c r="T44" s="138" t="n">
        <f aca="false">(1.2223*1.06)*1.04</f>
        <v>1.34746352</v>
      </c>
      <c r="U44" s="365" t="n">
        <v>0</v>
      </c>
      <c r="V44" s="550" t="n">
        <v>82.9</v>
      </c>
      <c r="W44" s="550" t="n">
        <v>59.2</v>
      </c>
      <c r="X44" s="347" t="n">
        <f aca="false">M44-N44-O44-P44-Q44-R44-S44-T44-U44+V44+W44-AT44+AR44</f>
        <v>265.671372902636</v>
      </c>
      <c r="Y44" s="347" t="n">
        <f aca="false">X44-AO44</f>
        <v>265.671372902636</v>
      </c>
      <c r="Z44" s="113" t="n">
        <f aca="false">Z43+AP44</f>
        <v>2302.45588376851</v>
      </c>
      <c r="AA44" s="142" t="n">
        <f aca="false">(-AP44)</f>
        <v>150.606715906226</v>
      </c>
      <c r="AB44" s="441"/>
      <c r="AC44" s="441" t="n">
        <f aca="false">AC43-(AQ43/1.9835)+AS44</f>
        <v>1300.83940722369</v>
      </c>
      <c r="AD44" s="449" t="n">
        <f aca="false">AD43</f>
        <v>4858.65512901258</v>
      </c>
      <c r="AE44" s="550" t="n">
        <v>146</v>
      </c>
      <c r="AF44" s="262" t="n">
        <v>1.7</v>
      </c>
      <c r="AG44" s="263" t="n">
        <v>1.3</v>
      </c>
      <c r="AH44" s="194" t="n">
        <v>71</v>
      </c>
      <c r="AI44" s="161" t="n">
        <f aca="false">AI43-AH44</f>
        <v>6916.84923115706</v>
      </c>
      <c r="AJ44" s="161"/>
      <c r="AK44" s="11" t="n">
        <f aca="false">N44+O44+P44+Q44+R44+S44+T44+U44+X44+AE44+AH44-AR44</f>
        <v>568.84</v>
      </c>
      <c r="AL44" s="550" t="n">
        <f aca="false">IF(L44&lt;0,L44*-1,0)</f>
        <v>14.4574539954625</v>
      </c>
      <c r="AM44" s="550" t="n">
        <f aca="false">AK44+AL44</f>
        <v>583.297453995463</v>
      </c>
      <c r="AN44" s="231"/>
      <c r="AO44" s="555"/>
      <c r="AP44" s="102" t="n">
        <f aca="false">I44-Q44-R44-X44-AF44</f>
        <v>-150.606715906226</v>
      </c>
      <c r="AQ44" s="556" t="n">
        <f aca="false">27.978*(Z44*1.9835+AC44*1.9835)/E44</f>
        <v>3.92614668619331</v>
      </c>
      <c r="AR44" s="171"/>
      <c r="AS44" s="158" t="n">
        <f aca="false">BA44</f>
        <v>7.87</v>
      </c>
      <c r="AT44" s="5" t="n">
        <v>2.26</v>
      </c>
      <c r="AU44" s="4" t="n">
        <f aca="false">O44</f>
        <v>76.23</v>
      </c>
      <c r="AV44" s="552" t="n">
        <v>0</v>
      </c>
      <c r="AW44" s="553" t="n">
        <v>85</v>
      </c>
      <c r="AX44" s="553" t="n">
        <v>51</v>
      </c>
      <c r="AY44" s="148"/>
      <c r="AZ44" s="264" t="n">
        <f aca="false">SUM(N44,P44:U44)</f>
        <v>9.93862709736352</v>
      </c>
      <c r="BA44" s="554" t="n">
        <v>7.87</v>
      </c>
      <c r="BB44" s="470" t="n">
        <v>14721</v>
      </c>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row>
    <row r="45" customFormat="false" ht="12.95" hidden="false" customHeight="true" outlineLevel="0" collapsed="false">
      <c r="A45" s="555" t="n">
        <v>31</v>
      </c>
      <c r="B45" s="540" t="n">
        <v>6875.15</v>
      </c>
      <c r="C45" s="449" t="n">
        <v>201989</v>
      </c>
      <c r="D45" s="553" t="n">
        <f aca="false">C45-C44</f>
        <v>-942</v>
      </c>
      <c r="E45" s="449" t="n">
        <f aca="false">C45-152000</f>
        <v>49989</v>
      </c>
      <c r="F45" s="558" t="n">
        <f aca="false">D45/$D$2</f>
        <v>-474.918074111419</v>
      </c>
      <c r="G45" s="550" t="n">
        <v>111</v>
      </c>
      <c r="H45" s="561" t="n">
        <v>0</v>
      </c>
      <c r="I45" s="550" t="n">
        <f aca="false">G45+H45</f>
        <v>111</v>
      </c>
      <c r="J45" s="559" t="n">
        <f aca="false">IF(L45&gt;0,L45,0)</f>
        <v>0</v>
      </c>
      <c r="K45" s="550" t="n">
        <f aca="false">I45+J45</f>
        <v>111</v>
      </c>
      <c r="L45" s="550" t="n">
        <f aca="false">F45-(I45-AK45)</f>
        <v>-27.7180741114191</v>
      </c>
      <c r="M45" s="560" t="n">
        <v>198</v>
      </c>
      <c r="N45" s="171" t="n">
        <f aca="false">1/$D$2*1.03</f>
        <v>0.519284093773632</v>
      </c>
      <c r="O45" s="550" t="n">
        <f aca="false">59.7*1.05</f>
        <v>62.685</v>
      </c>
      <c r="P45" s="171" t="n">
        <v>0</v>
      </c>
      <c r="Q45" s="346" t="n">
        <f aca="false">1465300/325851/1.9835*1.02</f>
        <v>2.31246654505719</v>
      </c>
      <c r="R45" s="138" t="n">
        <v>4.2</v>
      </c>
      <c r="S45" s="138" t="n">
        <f aca="false">((7.2*1.04)-T45)-4.2</f>
        <v>1.94053648</v>
      </c>
      <c r="T45" s="138" t="n">
        <f aca="false">(1.2223*1.06)*1.04</f>
        <v>1.34746352</v>
      </c>
      <c r="U45" s="365" t="n">
        <v>0</v>
      </c>
      <c r="V45" s="550" t="n">
        <v>82.9</v>
      </c>
      <c r="W45" s="550" t="n">
        <v>58.1</v>
      </c>
      <c r="X45" s="347" t="n">
        <f aca="false">M45-N45-O45-P45-Q45-R45-S45-T45-U45+V45+W45-AT45+AR45</f>
        <v>264.195249361169</v>
      </c>
      <c r="Y45" s="347" t="n">
        <f aca="false">X45-AO45</f>
        <v>264.195249361169</v>
      </c>
      <c r="Z45" s="113" t="n">
        <f aca="false">Z44+AP45</f>
        <v>2141.04816786228</v>
      </c>
      <c r="AA45" s="142" t="n">
        <f aca="false">(-AP45)</f>
        <v>161.407715906226</v>
      </c>
      <c r="AB45" s="441"/>
      <c r="AC45" s="441" t="n">
        <f aca="false">AC44-(AQ44/1.9835)+AS45</f>
        <v>1307.16000380236</v>
      </c>
      <c r="AD45" s="449" t="n">
        <f aca="false">AD44</f>
        <v>4858.65512901258</v>
      </c>
      <c r="AE45" s="550" t="n">
        <v>150</v>
      </c>
      <c r="AF45" s="262" t="n">
        <v>1.7</v>
      </c>
      <c r="AG45" s="263" t="n">
        <v>1.3</v>
      </c>
      <c r="AH45" s="194" t="n">
        <v>71</v>
      </c>
      <c r="AI45" s="161" t="n">
        <f aca="false">AI44-AH45</f>
        <v>6845.84923115706</v>
      </c>
      <c r="AJ45" s="161"/>
      <c r="AK45" s="11" t="n">
        <f aca="false">N45+O45+P45+Q45+R45+S45+T45+U45+X45+AE45+AH45-AR45</f>
        <v>558.2</v>
      </c>
      <c r="AL45" s="550" t="n">
        <f aca="false">IF(L45&lt;0,L45*-1,0)</f>
        <v>27.7180741114191</v>
      </c>
      <c r="AM45" s="550" t="n">
        <f aca="false">AK45+AL45</f>
        <v>585.918074111419</v>
      </c>
      <c r="AN45" s="231"/>
      <c r="AO45" s="192"/>
      <c r="AP45" s="102" t="n">
        <f aca="false">I45-Q45-R45-X45-AF45</f>
        <v>-161.407715906226</v>
      </c>
      <c r="AQ45" s="171" t="n">
        <f aca="false">44.036*(Z45*1.9835+AC45*1.9835)/E45</f>
        <v>6.02502836077069</v>
      </c>
      <c r="AR45" s="171"/>
      <c r="AS45" s="158" t="n">
        <f aca="false">BA45</f>
        <v>8.3</v>
      </c>
      <c r="AT45" s="5" t="n">
        <v>1.8</v>
      </c>
      <c r="AU45" s="4" t="n">
        <f aca="false">O45</f>
        <v>62.685</v>
      </c>
      <c r="AV45" s="552" t="n">
        <v>0</v>
      </c>
      <c r="AW45" s="553" t="n">
        <v>86</v>
      </c>
      <c r="AX45" s="553" t="n">
        <v>51</v>
      </c>
      <c r="AY45" s="148"/>
      <c r="AZ45" s="264" t="n">
        <f aca="false">SUM(N45,P45:U45)</f>
        <v>10.3197506388308</v>
      </c>
      <c r="BA45" s="554" t="n">
        <v>8.3</v>
      </c>
      <c r="BB45" s="470" t="n">
        <v>14652</v>
      </c>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row>
    <row r="46" customFormat="false" ht="3" hidden="false" customHeight="true" outlineLevel="0" collapsed="false">
      <c r="A46" s="245"/>
      <c r="B46" s="519"/>
      <c r="C46" s="520"/>
      <c r="D46" s="245"/>
      <c r="E46" s="520"/>
      <c r="F46" s="521"/>
      <c r="G46" s="545"/>
      <c r="H46" s="545"/>
      <c r="I46" s="245"/>
      <c r="J46" s="245"/>
      <c r="K46" s="245"/>
      <c r="L46" s="245"/>
      <c r="M46" s="523"/>
      <c r="N46" s="245"/>
      <c r="O46" s="245"/>
      <c r="P46" s="524"/>
      <c r="Q46" s="524"/>
      <c r="R46" s="524"/>
      <c r="S46" s="524"/>
      <c r="T46" s="524"/>
      <c r="U46" s="525"/>
      <c r="V46" s="245"/>
      <c r="W46" s="245"/>
      <c r="X46" s="245"/>
      <c r="Y46" s="245"/>
      <c r="Z46" s="520"/>
      <c r="AA46" s="245"/>
      <c r="AB46" s="520"/>
      <c r="AC46" s="520"/>
      <c r="AD46" s="520"/>
      <c r="AE46" s="245" t="n">
        <v>178</v>
      </c>
      <c r="AF46" s="251"/>
      <c r="AG46" s="255"/>
      <c r="AH46" s="245"/>
      <c r="AI46" s="245"/>
      <c r="AJ46" s="245"/>
      <c r="AK46" s="245"/>
      <c r="AL46" s="245"/>
      <c r="AM46" s="245"/>
      <c r="AN46" s="546"/>
      <c r="AO46" s="344"/>
      <c r="AP46" s="344"/>
      <c r="AQ46" s="131"/>
      <c r="AR46" s="131"/>
      <c r="AS46" s="547"/>
      <c r="AT46" s="547"/>
      <c r="AU46" s="547"/>
      <c r="AV46" s="548"/>
      <c r="AW46" s="526"/>
      <c r="AX46" s="526"/>
      <c r="AY46" s="526"/>
      <c r="AZ46" s="526"/>
      <c r="BA46" s="526"/>
      <c r="BB46" s="526"/>
    </row>
    <row r="47" customFormat="false" ht="12.95" hidden="false" customHeight="true" outlineLevel="0" collapsed="false">
      <c r="A47" s="194" t="s">
        <v>105</v>
      </c>
      <c r="B47" s="534"/>
      <c r="D47" s="161"/>
      <c r="F47" s="114" t="n">
        <f aca="false">SUM(F15:F45)</f>
        <v>-15331.4847491807</v>
      </c>
      <c r="G47" s="449" t="n">
        <f aca="false">SUM(G15:G45)</f>
        <v>4088</v>
      </c>
      <c r="H47" s="161" t="n">
        <f aca="false">SUM(H15:H45)</f>
        <v>0</v>
      </c>
      <c r="I47" s="161" t="n">
        <f aca="false">SUM(I15:I45)</f>
        <v>4088</v>
      </c>
      <c r="J47" s="161" t="n">
        <f aca="false">SUM(J15:J45)</f>
        <v>474.51940509201</v>
      </c>
      <c r="K47" s="161" t="n">
        <f aca="false">SUM(K15:K45)</f>
        <v>4562.51940509201</v>
      </c>
      <c r="L47" s="161" t="n">
        <f aca="false">SUM(L15:L45)</f>
        <v>-214.984749180739</v>
      </c>
      <c r="M47" s="537" t="n">
        <f aca="false">SUM(M15:M45)</f>
        <v>7561</v>
      </c>
      <c r="N47" s="161" t="n">
        <f aca="false">SUM(N15:N45)</f>
        <v>6.75069321905722</v>
      </c>
      <c r="O47" s="161" t="n">
        <f aca="false">SUM(O15:O45)</f>
        <v>2706.795</v>
      </c>
      <c r="P47" s="8" t="n">
        <f aca="false">SUM(P15:P45)</f>
        <v>0</v>
      </c>
      <c r="Q47" s="191" t="n">
        <f aca="false">SUM(Q15:Q45)</f>
        <v>75.2906470881342</v>
      </c>
      <c r="R47" s="191" t="n">
        <f aca="false">SUM(R15:R45)</f>
        <v>118.75066288</v>
      </c>
      <c r="S47" s="191" t="n">
        <f aca="false">SUM(S15:S45)</f>
        <v>27.0058488</v>
      </c>
      <c r="T47" s="191" t="n">
        <f aca="false">SUM(T15:T45)</f>
        <v>34.68348832</v>
      </c>
      <c r="U47" s="536" t="n">
        <f aca="false">SUM(U15:U45)</f>
        <v>0</v>
      </c>
      <c r="V47" s="161" t="n">
        <f aca="false">SUM(V15:V45)</f>
        <v>3151.7</v>
      </c>
      <c r="W47" s="161" t="n">
        <f aca="false">SUM(W15:W45)</f>
        <v>2027.9</v>
      </c>
      <c r="X47" s="161" t="n">
        <f aca="false">SUM(X15:X45)</f>
        <v>10087.7758278218</v>
      </c>
      <c r="Y47" s="113" t="n">
        <f aca="false">SUM(Y15:Y45)</f>
        <v>10087.7758278218</v>
      </c>
      <c r="Z47" s="161"/>
      <c r="AA47" s="113"/>
      <c r="AB47" s="161"/>
      <c r="AE47" s="161" t="n">
        <f aca="false">SUM(AE15:AE45)</f>
        <v>4324.8</v>
      </c>
      <c r="AF47" s="537" t="n">
        <f aca="false">SUM(AF15:AF45)</f>
        <v>52.7</v>
      </c>
      <c r="AG47" s="535" t="n">
        <f aca="false">SUM(AG15:AG45)</f>
        <v>40.3</v>
      </c>
      <c r="AH47" s="161" t="n">
        <f aca="false">SUM(AH15:AH45)</f>
        <v>2196.5</v>
      </c>
      <c r="AI47" s="161"/>
      <c r="AJ47" s="161" t="n">
        <f aca="false">SUM(AJ15:AJ45)</f>
        <v>0</v>
      </c>
      <c r="AK47" s="161" t="n">
        <f aca="false">SUM(AK15:AK45)</f>
        <v>19204.5</v>
      </c>
      <c r="AL47" s="161" t="n">
        <f aca="false">SUM(AL15:AL45)</f>
        <v>689.504154272749</v>
      </c>
      <c r="AM47" s="161" t="n">
        <f aca="false">SUM(AM15:AM45)</f>
        <v>19894.0041542728</v>
      </c>
      <c r="AN47" s="538"/>
      <c r="AO47" s="161" t="n">
        <f aca="false">SUM(AO15:AO45)</f>
        <v>0</v>
      </c>
      <c r="AP47" s="110" t="n">
        <f aca="false">SUM(AP15:AP45)</f>
        <v>-6246.51713778994</v>
      </c>
      <c r="AQ47" s="8"/>
      <c r="AR47" s="171" t="n">
        <f aca="false">SUM(AR15:AR45)</f>
        <v>373.852168129</v>
      </c>
      <c r="AS47" s="226" t="n">
        <f aca="false">SUM(AS15:AS45)</f>
        <v>256.7</v>
      </c>
      <c r="AT47" s="143" t="n">
        <f aca="false">SUM(AT15:AT45)</f>
        <v>57.4</v>
      </c>
      <c r="AU47" s="143" t="n">
        <f aca="false">SUM(AU15:AU45)</f>
        <v>716.565</v>
      </c>
      <c r="AV47" s="552" t="n">
        <f aca="false">SUM(AV15:AV45)</f>
        <v>3.76</v>
      </c>
      <c r="AW47" s="191" t="n">
        <f aca="false">AVERAGE(AW15:AW45)</f>
        <v>84.0322580645161</v>
      </c>
      <c r="AX47" s="191" t="n">
        <f aca="false">AVERAGE(AX15:AX45)</f>
        <v>53.258064516129</v>
      </c>
      <c r="AY47" s="317" t="s">
        <v>130</v>
      </c>
      <c r="AZ47" s="432" t="n">
        <f aca="false">SUM(AZ15:AZ45)</f>
        <v>262.481340307191</v>
      </c>
      <c r="BA47" s="161" t="n">
        <f aca="false">SUM(BA15:BA45)</f>
        <v>396.7</v>
      </c>
      <c r="BB47" s="85"/>
    </row>
    <row r="48" customFormat="false" ht="12.95" hidden="false" customHeight="true" outlineLevel="0" collapsed="false">
      <c r="A48" s="194" t="s">
        <v>107</v>
      </c>
      <c r="B48" s="534"/>
      <c r="D48" s="161" t="n">
        <f aca="false">SUM(D15:D45)</f>
        <v>-30410</v>
      </c>
      <c r="F48" s="114" t="n">
        <f aca="false">F47*$D$2</f>
        <v>-30410</v>
      </c>
      <c r="G48" s="449" t="n">
        <f aca="false">G47*$D$2</f>
        <v>8108.548</v>
      </c>
      <c r="H48" s="161" t="n">
        <f aca="false">H47*$D$2</f>
        <v>0</v>
      </c>
      <c r="I48" s="161" t="n">
        <f aca="false">I47*$D$2</f>
        <v>8108.548</v>
      </c>
      <c r="J48" s="161" t="n">
        <f aca="false">J47*$D$2</f>
        <v>941.209240000001</v>
      </c>
      <c r="K48" s="161" t="n">
        <f aca="false">K47*$D$2</f>
        <v>9049.75724</v>
      </c>
      <c r="L48" s="161" t="n">
        <f aca="false">L47*$D$2</f>
        <v>-426.422249999996</v>
      </c>
      <c r="M48" s="537" t="n">
        <f aca="false">M47*$D$2</f>
        <v>14997.2435</v>
      </c>
      <c r="N48" s="161" t="n">
        <f aca="false">N47*$D$2</f>
        <v>13.39</v>
      </c>
      <c r="O48" s="161" t="n">
        <f aca="false">O47*$D$2</f>
        <v>5368.9278825</v>
      </c>
      <c r="P48" s="8" t="n">
        <f aca="false">P47*$D$2</f>
        <v>0</v>
      </c>
      <c r="Q48" s="191" t="n">
        <f aca="false">Q47*$D$2</f>
        <v>149.338998499314</v>
      </c>
      <c r="R48" s="191" t="n">
        <f aca="false">R47*$D$2</f>
        <v>235.54193982248</v>
      </c>
      <c r="S48" s="191" t="n">
        <f aca="false">S47*$D$2</f>
        <v>53.5661010948</v>
      </c>
      <c r="T48" s="191" t="n">
        <f aca="false">T47*$D$2</f>
        <v>68.79469908272</v>
      </c>
      <c r="U48" s="536" t="n">
        <f aca="false">U47*$D$2</f>
        <v>0</v>
      </c>
      <c r="V48" s="161" t="n">
        <f aca="false">V47*$D$2</f>
        <v>6251.39695</v>
      </c>
      <c r="W48" s="161" t="n">
        <f aca="false">W47*$D$2</f>
        <v>4022.33965</v>
      </c>
      <c r="X48" s="161" t="n">
        <f aca="false">X47*$D$2</f>
        <v>20009.1033544846</v>
      </c>
      <c r="Y48" s="113" t="n">
        <f aca="false">Y47*$D$2</f>
        <v>20009.1033544846</v>
      </c>
      <c r="Z48" s="161"/>
      <c r="AA48" s="113"/>
      <c r="AB48" s="161"/>
      <c r="AE48" s="161" t="n">
        <f aca="false">AE47*$D$2</f>
        <v>8578.2408</v>
      </c>
      <c r="AF48" s="537" t="n">
        <f aca="false">AF47*$D$2</f>
        <v>104.53045</v>
      </c>
      <c r="AG48" s="535" t="n">
        <f aca="false">AG47*$D$2</f>
        <v>79.93505</v>
      </c>
      <c r="AH48" s="161" t="n">
        <f aca="false">AH47*$D$2</f>
        <v>4356.75775</v>
      </c>
      <c r="AI48" s="161"/>
      <c r="AJ48" s="161" t="n">
        <f aca="false">AJ47*$D$2</f>
        <v>0</v>
      </c>
      <c r="AK48" s="161" t="n">
        <f aca="false">AK47*$D$2</f>
        <v>38092.12575</v>
      </c>
      <c r="AL48" s="161" t="n">
        <f aca="false">AL47*$D$2</f>
        <v>1367.63149</v>
      </c>
      <c r="AM48" s="161" t="n">
        <f aca="false">AM47*$D$2</f>
        <v>39459.75724</v>
      </c>
      <c r="AN48" s="538"/>
      <c r="AO48" s="161" t="n">
        <f aca="false">AO47*$D$2</f>
        <v>0</v>
      </c>
      <c r="AP48" s="192"/>
      <c r="AQ48" s="8" t="n">
        <f aca="false">SUM(AQ15:AQ45)</f>
        <v>186.621405574289</v>
      </c>
      <c r="AR48" s="143" t="n">
        <f aca="false">AR47*$D$2</f>
        <v>741.535775483871</v>
      </c>
      <c r="AS48" s="226" t="n">
        <f aca="false">AS47*$D$2</f>
        <v>509.16445</v>
      </c>
      <c r="AT48" s="143" t="n">
        <f aca="false">AT47*$D$2</f>
        <v>113.8529</v>
      </c>
      <c r="AU48" s="143" t="n">
        <f aca="false">AU47*$D$2</f>
        <v>1421.3066775</v>
      </c>
      <c r="AV48" s="539"/>
      <c r="AW48" s="191" t="n">
        <f aca="false">MAX(AW15:AW45)</f>
        <v>91</v>
      </c>
      <c r="AX48" s="191" t="n">
        <f aca="false">MAX(AX15:AX45)</f>
        <v>60</v>
      </c>
      <c r="AY48" s="317" t="s">
        <v>108</v>
      </c>
      <c r="AZ48" s="432" t="n">
        <f aca="false">AZ47*$D$2</f>
        <v>520.631738499314</v>
      </c>
      <c r="BA48" s="161" t="n">
        <f aca="false">BA47*$D$2</f>
        <v>786.85445</v>
      </c>
      <c r="BB48" s="85"/>
    </row>
    <row r="49" customFormat="false" ht="3" hidden="false" customHeight="true" outlineLevel="0" collapsed="false">
      <c r="A49" s="245"/>
      <c r="B49" s="519"/>
      <c r="C49" s="520"/>
      <c r="D49" s="520"/>
      <c r="E49" s="520"/>
      <c r="F49" s="562"/>
      <c r="G49" s="520"/>
      <c r="H49" s="520"/>
      <c r="I49" s="520"/>
      <c r="J49" s="520"/>
      <c r="K49" s="520"/>
      <c r="L49" s="520"/>
      <c r="M49" s="563"/>
      <c r="N49" s="520"/>
      <c r="O49" s="520"/>
      <c r="P49" s="524"/>
      <c r="Q49" s="526"/>
      <c r="R49" s="526"/>
      <c r="S49" s="526"/>
      <c r="T49" s="526"/>
      <c r="U49" s="525"/>
      <c r="V49" s="520"/>
      <c r="W49" s="520"/>
      <c r="X49" s="520"/>
      <c r="Y49" s="247"/>
      <c r="Z49" s="520"/>
      <c r="AA49" s="247"/>
      <c r="AB49" s="520"/>
      <c r="AC49" s="520"/>
      <c r="AD49" s="520"/>
      <c r="AE49" s="520"/>
      <c r="AF49" s="563"/>
      <c r="AG49" s="564"/>
      <c r="AH49" s="520"/>
      <c r="AI49" s="245"/>
      <c r="AJ49" s="520"/>
      <c r="AK49" s="520"/>
      <c r="AL49" s="520"/>
      <c r="AM49" s="520"/>
      <c r="AN49" s="565"/>
      <c r="AO49" s="520"/>
      <c r="AP49" s="344"/>
      <c r="AQ49" s="524"/>
      <c r="AR49" s="252"/>
      <c r="AS49" s="257"/>
      <c r="AT49" s="254"/>
      <c r="AU49" s="547"/>
      <c r="AV49" s="565"/>
      <c r="AW49" s="520"/>
      <c r="AX49" s="520"/>
      <c r="AY49" s="520"/>
      <c r="AZ49" s="520"/>
      <c r="BA49" s="520"/>
      <c r="BB49" s="520"/>
    </row>
    <row r="50" customFormat="false" ht="12.95" hidden="false" customHeight="true" outlineLevel="0" collapsed="false">
      <c r="A50" s="194" t="s">
        <v>109</v>
      </c>
      <c r="B50" s="534"/>
      <c r="D50" s="161"/>
      <c r="F50" s="114" t="n">
        <f aca="false">F12+F47</f>
        <v>4306.02470380641</v>
      </c>
      <c r="G50" s="161" t="n">
        <f aca="false">G12+G47</f>
        <v>93702</v>
      </c>
      <c r="H50" s="161" t="n">
        <f aca="false">H12+H47</f>
        <v>608.545</v>
      </c>
      <c r="I50" s="161" t="n">
        <f aca="false">I12+I47</f>
        <v>94310.545</v>
      </c>
      <c r="J50" s="161" t="n">
        <f aca="false">J12+J47</f>
        <v>2260.67936173431</v>
      </c>
      <c r="K50" s="161" t="n">
        <f aca="false">K12+K47</f>
        <v>96571.2143617343</v>
      </c>
      <c r="L50" s="161" t="n">
        <f aca="false">L12+L47</f>
        <v>-4718.2202961936</v>
      </c>
      <c r="M50" s="537" t="n">
        <f aca="false">M12+M47</f>
        <v>35318.3</v>
      </c>
      <c r="N50" s="161" t="n">
        <f aca="false">N12+N47</f>
        <v>37.3884547517015</v>
      </c>
      <c r="O50" s="161" t="n">
        <f aca="false">O12+O47</f>
        <v>11612.391</v>
      </c>
      <c r="P50" s="8" t="n">
        <f aca="false">P12+P47</f>
        <v>7</v>
      </c>
      <c r="Q50" s="191"/>
      <c r="R50" s="191"/>
      <c r="S50" s="191"/>
      <c r="T50" s="191"/>
      <c r="U50" s="536"/>
      <c r="V50" s="161" t="n">
        <f aca="false">V12+V47</f>
        <v>13185.78</v>
      </c>
      <c r="W50" s="161" t="n">
        <f aca="false">W12+W47</f>
        <v>8125.89</v>
      </c>
      <c r="X50" s="161" t="n">
        <f aca="false">X12+X47</f>
        <v>46375.7355226514</v>
      </c>
      <c r="Y50" s="113" t="n">
        <f aca="false">Y12+Y47</f>
        <v>46219.8990674949</v>
      </c>
      <c r="Z50" s="84" t="n">
        <f aca="false">Z45</f>
        <v>2141.04816786228</v>
      </c>
      <c r="AA50" s="113"/>
      <c r="AB50" s="449"/>
      <c r="AE50" s="161" t="n">
        <f aca="false">AE12+AE47</f>
        <v>21004.13</v>
      </c>
      <c r="AF50" s="537" t="n">
        <f aca="false">AF12+AF47</f>
        <v>260.1</v>
      </c>
      <c r="AG50" s="535" t="n">
        <f aca="false">AG12+AG47</f>
        <v>198.9</v>
      </c>
      <c r="AH50" s="161"/>
      <c r="AI50" s="449"/>
      <c r="AJ50" s="161" t="n">
        <f aca="false">AJ12+AJ47</f>
        <v>0</v>
      </c>
      <c r="AK50" s="161" t="n">
        <f aca="false">AK12+AK47</f>
        <v>85286.29</v>
      </c>
      <c r="AL50" s="161" t="n">
        <f aca="false">AL12+AL47</f>
        <v>6978.89965792791</v>
      </c>
      <c r="AM50" s="161" t="n">
        <f aca="false">AM12+AM47</f>
        <v>92265.1896579279</v>
      </c>
      <c r="AN50" s="538"/>
      <c r="AO50" s="192"/>
      <c r="AP50" s="192"/>
      <c r="AQ50" s="8"/>
      <c r="AR50" s="143" t="n">
        <f aca="false">AR12+AR47</f>
        <v>2706.82953023959</v>
      </c>
      <c r="AS50" s="226" t="n">
        <f aca="false">AS12+AS47</f>
        <v>568.13</v>
      </c>
      <c r="AT50" s="143" t="n">
        <f aca="false">AT12+AT47</f>
        <v>126.11</v>
      </c>
      <c r="AU50" s="143" t="n">
        <f aca="false">AU12+AU47</f>
        <v>716.565</v>
      </c>
      <c r="AV50" s="539" t="s">
        <v>135</v>
      </c>
      <c r="AW50" s="191" t="n">
        <f aca="false">MIN(AW15:AW45)</f>
        <v>73</v>
      </c>
      <c r="AX50" s="191" t="n">
        <f aca="false">MIN(AX15:AX45)</f>
        <v>47</v>
      </c>
      <c r="AY50" s="317" t="s">
        <v>110</v>
      </c>
      <c r="AZ50" s="432" t="n">
        <f aca="false">AZ12+AZ47</f>
        <v>1259.77979168194</v>
      </c>
      <c r="BA50" s="161" t="n">
        <f aca="false">BA12+BA47</f>
        <v>1238.44</v>
      </c>
      <c r="BB50" s="85"/>
    </row>
    <row r="51" customFormat="false" ht="12.95" hidden="false" customHeight="true" outlineLevel="0" collapsed="false">
      <c r="A51" s="194" t="s">
        <v>111</v>
      </c>
      <c r="B51" s="534"/>
      <c r="D51" s="161"/>
      <c r="F51" s="114" t="n">
        <f aca="false">F50*$D$2</f>
        <v>8541.00000000001</v>
      </c>
      <c r="G51" s="161" t="n">
        <f aca="false">G50*$D$2</f>
        <v>185857.917</v>
      </c>
      <c r="H51" s="161" t="n">
        <f aca="false">H50*$D$2</f>
        <v>1207.0490075</v>
      </c>
      <c r="I51" s="161" t="n">
        <f aca="false">I50*$D$2</f>
        <v>187064.9660075</v>
      </c>
      <c r="J51" s="161" t="n">
        <f aca="false">J50*$D$2</f>
        <v>4484.057514</v>
      </c>
      <c r="K51" s="161" t="n">
        <f aca="false">K50*$D$2</f>
        <v>191549.0036865</v>
      </c>
      <c r="L51" s="161" t="n">
        <f aca="false">L50*$D$2</f>
        <v>-9358.5899575</v>
      </c>
      <c r="M51" s="537" t="n">
        <f aca="false">M50*$D$2</f>
        <v>70053.84805</v>
      </c>
      <c r="N51" s="161" t="n">
        <f aca="false">N50*$D$2</f>
        <v>74.16</v>
      </c>
      <c r="O51" s="161" t="n">
        <f aca="false">O50*$D$2</f>
        <v>23033.1775485</v>
      </c>
      <c r="P51" s="8" t="n">
        <f aca="false">P50*$D$2</f>
        <v>13.8845</v>
      </c>
      <c r="Q51" s="191"/>
      <c r="R51" s="191"/>
      <c r="S51" s="191"/>
      <c r="T51" s="191"/>
      <c r="U51" s="536"/>
      <c r="V51" s="161" t="n">
        <f aca="false">V50*$D$2</f>
        <v>26153.99463</v>
      </c>
      <c r="W51" s="161" t="n">
        <f aca="false">W50*$D$2</f>
        <v>16117.702815</v>
      </c>
      <c r="X51" s="161" t="n">
        <f aca="false">X50*$D$2</f>
        <v>91986.2714091791</v>
      </c>
      <c r="Y51" s="113" t="n">
        <f aca="false">Y50*$D$2</f>
        <v>91677.1698003761</v>
      </c>
      <c r="Z51" s="84" t="n">
        <f aca="false">Z50*$D$2</f>
        <v>4246.76904095483</v>
      </c>
      <c r="AA51" s="113"/>
      <c r="AB51" s="161"/>
      <c r="AE51" s="535" t="n">
        <f aca="false">AE50*$D$2</f>
        <v>41661.691855</v>
      </c>
      <c r="AF51" s="161" t="n">
        <f aca="false">AF50*$D$2</f>
        <v>515.90835</v>
      </c>
      <c r="AG51" s="161" t="n">
        <f aca="false">AG50*$D$2</f>
        <v>394.51815</v>
      </c>
      <c r="AH51" s="537"/>
      <c r="AI51" s="161"/>
      <c r="AJ51" s="161" t="n">
        <f aca="false">AJ50*$D$2</f>
        <v>0</v>
      </c>
      <c r="AK51" s="161" t="n">
        <f aca="false">AK50*$D$2</f>
        <v>169165.356215</v>
      </c>
      <c r="AL51" s="161" t="n">
        <f aca="false">AL50*$D$2</f>
        <v>13842.6474715</v>
      </c>
      <c r="AM51" s="161" t="n">
        <f aca="false">AM50*$D$2</f>
        <v>183008.0036865</v>
      </c>
      <c r="AN51" s="538"/>
      <c r="AO51" s="192"/>
      <c r="AP51" s="192"/>
      <c r="AQ51" s="110" t="n">
        <f aca="false">AQ12+AQ48</f>
        <v>1940.15570581878</v>
      </c>
      <c r="AR51" s="143" t="n">
        <f aca="false">AR50*$D$2</f>
        <v>5368.99637323023</v>
      </c>
      <c r="AS51" s="226" t="n">
        <f aca="false">AS50*$D$2</f>
        <v>1126.885855</v>
      </c>
      <c r="AT51" s="143" t="n">
        <f aca="false">AT50*$D$2</f>
        <v>250.139185</v>
      </c>
      <c r="AU51" s="143" t="n">
        <f aca="false">AU50*$D$2</f>
        <v>1421.3066775</v>
      </c>
      <c r="AV51" s="539" t="n">
        <f aca="false">JUL!AV51+AV47</f>
        <v>5.94</v>
      </c>
      <c r="AW51" s="191"/>
      <c r="AX51" s="191"/>
      <c r="AY51" s="265"/>
      <c r="AZ51" s="432" t="n">
        <f aca="false">AZ50*$D$2</f>
        <v>2498.77321680113</v>
      </c>
      <c r="BA51" s="161" t="n">
        <f aca="false">BA50*$D$2</f>
        <v>2456.44574</v>
      </c>
      <c r="BB51" s="85"/>
    </row>
    <row r="52" customFormat="false" ht="3" hidden="false" customHeight="true" outlineLevel="0" collapsed="false">
      <c r="A52" s="245"/>
      <c r="B52" s="519"/>
      <c r="C52" s="520"/>
      <c r="D52" s="520"/>
      <c r="E52" s="520"/>
      <c r="F52" s="562"/>
      <c r="G52" s="520"/>
      <c r="H52" s="526"/>
      <c r="I52" s="520"/>
      <c r="J52" s="520"/>
      <c r="K52" s="520"/>
      <c r="L52" s="520"/>
      <c r="M52" s="563"/>
      <c r="N52" s="520"/>
      <c r="O52" s="520"/>
      <c r="P52" s="524"/>
      <c r="Q52" s="526"/>
      <c r="R52" s="526"/>
      <c r="S52" s="526"/>
      <c r="T52" s="526"/>
      <c r="U52" s="525"/>
      <c r="V52" s="520"/>
      <c r="W52" s="520"/>
      <c r="X52" s="520"/>
      <c r="Y52" s="247"/>
      <c r="Z52" s="520"/>
      <c r="AA52" s="247"/>
      <c r="AB52" s="520"/>
      <c r="AC52" s="520"/>
      <c r="AD52" s="520"/>
      <c r="AE52" s="564"/>
      <c r="AF52" s="247"/>
      <c r="AG52" s="247"/>
      <c r="AH52" s="563"/>
      <c r="AI52" s="520"/>
      <c r="AJ52" s="520"/>
      <c r="AK52" s="520"/>
      <c r="AL52" s="520"/>
      <c r="AM52" s="520"/>
      <c r="AN52" s="548"/>
      <c r="AO52" s="566"/>
      <c r="AP52" s="344"/>
      <c r="AQ52" s="524"/>
      <c r="AR52" s="524"/>
      <c r="AS52" s="344"/>
      <c r="AT52" s="547"/>
      <c r="AU52" s="547"/>
      <c r="AV52" s="548"/>
      <c r="AW52" s="566"/>
      <c r="AX52" s="566"/>
      <c r="AY52" s="566"/>
      <c r="AZ52" s="566"/>
      <c r="BA52" s="566"/>
      <c r="BB52" s="566"/>
    </row>
    <row r="53" customFormat="false" ht="12.95" hidden="false" customHeight="true" outlineLevel="0" collapsed="false">
      <c r="A53" s="194" t="s">
        <v>112</v>
      </c>
      <c r="B53" s="534"/>
      <c r="D53" s="161"/>
      <c r="F53" s="114" t="n">
        <f aca="false">F13+F47</f>
        <v>14251.071338543</v>
      </c>
      <c r="G53" s="161" t="n">
        <f aca="false">G13+G47</f>
        <v>106219</v>
      </c>
      <c r="H53" s="191" t="n">
        <f aca="false">H13+H47</f>
        <v>638.65</v>
      </c>
      <c r="I53" s="161" t="n">
        <f aca="false">I13+I47</f>
        <v>106857.03</v>
      </c>
      <c r="J53" s="161" t="n">
        <f aca="false">J13+J47</f>
        <v>4176.39629442904</v>
      </c>
      <c r="K53" s="161" t="n">
        <f aca="false">K13+K47</f>
        <v>111033.416294429</v>
      </c>
      <c r="L53" s="161" t="n">
        <f aca="false">L13+L47</f>
        <v>-3678.91866145702</v>
      </c>
      <c r="M53" s="537" t="n">
        <f aca="false">M13+M47</f>
        <v>35955.34</v>
      </c>
      <c r="N53" s="161" t="n">
        <f aca="false">N13+N47</f>
        <v>37.3884547517015</v>
      </c>
      <c r="O53" s="161" t="n">
        <f aca="false">O13+O47</f>
        <v>11612.391</v>
      </c>
      <c r="Q53" s="191" t="n">
        <f aca="false">Q13+Q47</f>
        <v>605.034638288196</v>
      </c>
      <c r="R53" s="191" t="n">
        <f aca="false">R13+R47</f>
        <v>792.088287674581</v>
      </c>
      <c r="S53" s="191" t="n">
        <f aca="false">S13+S47</f>
        <v>131.83308832</v>
      </c>
      <c r="T53" s="191" t="n">
        <f aca="false">T13+T47</f>
        <v>228.75384272</v>
      </c>
      <c r="U53" s="567" t="n">
        <f aca="false">U13+U47</f>
        <v>-65.0339372790604</v>
      </c>
      <c r="V53" s="161" t="n">
        <f aca="false">V13+V47</f>
        <v>13185.78</v>
      </c>
      <c r="W53" s="161" t="n">
        <f aca="false">W13+W47</f>
        <v>8125.89</v>
      </c>
      <c r="X53" s="161" t="n">
        <f aca="false">X13+X47</f>
        <v>46483.2339557642</v>
      </c>
      <c r="Y53" s="113" t="n">
        <f aca="false">Y13+Y47</f>
        <v>46327.3975006077</v>
      </c>
      <c r="Z53" s="161"/>
      <c r="AA53" s="113"/>
      <c r="AB53" s="161"/>
      <c r="AE53" s="535"/>
      <c r="AF53" s="113" t="n">
        <f aca="false">AF13+AF47</f>
        <v>260.1</v>
      </c>
      <c r="AG53" s="113" t="n">
        <f aca="false">AG13+AG47</f>
        <v>198.9</v>
      </c>
      <c r="AH53" s="537" t="n">
        <f aca="false">AH13+AH47</f>
        <v>10782</v>
      </c>
      <c r="AI53" s="161" t="n">
        <f aca="false">AI45</f>
        <v>6845.84923115706</v>
      </c>
      <c r="AJ53" s="161" t="n">
        <f aca="false">AJ13+AJ47</f>
        <v>0</v>
      </c>
      <c r="AK53" s="161" t="n">
        <f aca="false">AK13+AK47</f>
        <v>88927.03</v>
      </c>
      <c r="AL53" s="161" t="n">
        <f aca="false">AL13+AL47</f>
        <v>7855.31495588606</v>
      </c>
      <c r="AM53" s="568" t="n">
        <f aca="false">AM13+AM47</f>
        <v>96782.3449558861</v>
      </c>
      <c r="AN53" s="161" t="n">
        <f aca="false">AN13+AN47</f>
        <v>2927.4</v>
      </c>
      <c r="AO53" s="161" t="n">
        <f aca="false">AO13+AO47</f>
        <v>235.836455156528</v>
      </c>
      <c r="AP53" s="192"/>
      <c r="AQ53" s="8"/>
      <c r="AR53" s="8"/>
      <c r="AS53" s="161" t="n">
        <f aca="false">AS13+AS47</f>
        <v>568.13</v>
      </c>
      <c r="AT53" s="110" t="n">
        <f aca="false">AT12+AT47</f>
        <v>126.11</v>
      </c>
      <c r="AU53" s="568" t="n">
        <f aca="false">AU13+AU47</f>
        <v>716.565</v>
      </c>
      <c r="AV53" s="539" t="n">
        <f aca="false">AV13+AV47</f>
        <v>10.78</v>
      </c>
      <c r="AW53" s="191"/>
      <c r="AX53" s="191"/>
      <c r="AY53" s="265"/>
      <c r="AZ53" s="432" t="n">
        <f aca="false">AZ13+AZ47</f>
        <v>1737.58365856919</v>
      </c>
      <c r="BA53" s="161" t="n">
        <f aca="false">BA13+BA47</f>
        <v>1238.44</v>
      </c>
      <c r="BB53" s="85"/>
    </row>
    <row r="54" customFormat="false" ht="12.95" hidden="false" customHeight="true" outlineLevel="0" collapsed="false">
      <c r="A54" s="194" t="s">
        <v>113</v>
      </c>
      <c r="B54" s="534"/>
      <c r="D54" s="161" t="n">
        <f aca="false">D13+D48</f>
        <v>28267</v>
      </c>
      <c r="E54" s="161" t="n">
        <f aca="false">E45</f>
        <v>49989</v>
      </c>
      <c r="F54" s="114" t="n">
        <f aca="false">F53*$D$2</f>
        <v>28267</v>
      </c>
      <c r="G54" s="161" t="n">
        <f aca="false">G53*$D$2</f>
        <v>210685.3865</v>
      </c>
      <c r="H54" s="191" t="n">
        <f aca="false">H53*$D$2</f>
        <v>1266.762275</v>
      </c>
      <c r="I54" s="161" t="n">
        <f aca="false">I53*$D$2</f>
        <v>211950.919005</v>
      </c>
      <c r="J54" s="161" t="n">
        <f aca="false">J53*$D$2</f>
        <v>8283.88205</v>
      </c>
      <c r="K54" s="161" t="n">
        <f aca="false">K53*$D$2</f>
        <v>220234.78122</v>
      </c>
      <c r="L54" s="161" t="n">
        <f aca="false">L53*$D$2</f>
        <v>-7297.135165</v>
      </c>
      <c r="M54" s="537" t="n">
        <f aca="false">M53*$D$2</f>
        <v>71317.41689</v>
      </c>
      <c r="N54" s="161" t="n">
        <f aca="false">N53*$D$2</f>
        <v>74.16</v>
      </c>
      <c r="O54" s="161" t="n">
        <f aca="false">O53*$D$2</f>
        <v>23033.1775485</v>
      </c>
      <c r="Q54" s="191" t="n">
        <f aca="false">Q53*$D$2</f>
        <v>1200.08620504464</v>
      </c>
      <c r="R54" s="191" t="n">
        <f aca="false">R53*$D$2</f>
        <v>1571.10711860253</v>
      </c>
      <c r="S54" s="569" t="n">
        <f aca="false">S53*$D$2</f>
        <v>261.49093068272</v>
      </c>
      <c r="T54" s="569" t="n">
        <f aca="false">T53*$D$2</f>
        <v>453.73324703512</v>
      </c>
      <c r="U54" s="542" t="n">
        <f aca="false">U53*$D$2</f>
        <v>-128.994814593016</v>
      </c>
      <c r="V54" s="161" t="n">
        <f aca="false">V53*$D$2</f>
        <v>26153.99463</v>
      </c>
      <c r="W54" s="161" t="n">
        <f aca="false">W53*$D$2</f>
        <v>16117.702815</v>
      </c>
      <c r="X54" s="161" t="n">
        <f aca="false">X53*$D$2</f>
        <v>92199.4945512583</v>
      </c>
      <c r="Y54" s="113" t="n">
        <f aca="false">Y53*$D$2</f>
        <v>91890.3929424553</v>
      </c>
      <c r="Z54" s="161"/>
      <c r="AA54" s="113"/>
      <c r="AB54" s="161"/>
      <c r="AE54" s="535"/>
      <c r="AF54" s="113" t="n">
        <f aca="false">AF53*$D$2</f>
        <v>515.90835</v>
      </c>
      <c r="AG54" s="113" t="n">
        <f aca="false">AG53*$D$2</f>
        <v>394.51815</v>
      </c>
      <c r="AH54" s="537" t="n">
        <f aca="false">AH53*$D$2</f>
        <v>21386.097</v>
      </c>
      <c r="AI54" s="161" t="n">
        <f aca="false">AI53*$D$2</f>
        <v>13578.74195</v>
      </c>
      <c r="AJ54" s="161" t="n">
        <f aca="false">AJ53*$D$2</f>
        <v>0</v>
      </c>
      <c r="AK54" s="161" t="n">
        <f aca="false">AK53*$D$2</f>
        <v>176386.764005</v>
      </c>
      <c r="AL54" s="161" t="n">
        <f aca="false">AL53*$D$2</f>
        <v>15581.017215</v>
      </c>
      <c r="AM54" s="570" t="n">
        <f aca="false">AM53*$D$2</f>
        <v>191967.78122</v>
      </c>
      <c r="AN54" s="161" t="n">
        <f aca="false">AN53*$D$2</f>
        <v>5806.4979</v>
      </c>
      <c r="AO54" s="161" t="n">
        <f aca="false">AO53*$D$2</f>
        <v>467.781608802973</v>
      </c>
      <c r="AP54" s="192"/>
      <c r="AQ54" s="110" t="n">
        <f aca="false">AQ13+AQ48</f>
        <v>1940.15570581878</v>
      </c>
      <c r="AR54" s="8"/>
      <c r="AS54" s="161" t="n">
        <f aca="false">AS53*$D$2</f>
        <v>1126.885855</v>
      </c>
      <c r="AT54" s="110" t="n">
        <f aca="false">AT53*$D$2</f>
        <v>250.139185</v>
      </c>
      <c r="AU54" s="570" t="n">
        <f aca="false">AU53*$D$2</f>
        <v>1421.3066775</v>
      </c>
      <c r="AV54" s="539"/>
      <c r="AW54" s="191"/>
      <c r="AX54" s="191"/>
      <c r="AY54" s="265"/>
      <c r="AZ54" s="432" t="n">
        <f aca="false">AZ53*$D$2</f>
        <v>3446.49718677199</v>
      </c>
      <c r="BA54" s="161" t="n">
        <f aca="false">BA53*$D$2</f>
        <v>2456.44574</v>
      </c>
      <c r="BB54" s="85"/>
    </row>
    <row r="55" customFormat="false" ht="3" hidden="false" customHeight="true" outlineLevel="0" collapsed="false">
      <c r="A55" s="245"/>
      <c r="B55" s="519"/>
      <c r="C55" s="520"/>
      <c r="D55" s="245"/>
      <c r="E55" s="520"/>
      <c r="F55" s="521"/>
      <c r="G55" s="245"/>
      <c r="H55" s="545"/>
      <c r="I55" s="245"/>
      <c r="J55" s="245"/>
      <c r="K55" s="571"/>
      <c r="L55" s="245"/>
      <c r="M55" s="523"/>
      <c r="N55" s="245"/>
      <c r="O55" s="245"/>
      <c r="P55" s="524"/>
      <c r="Q55" s="524"/>
      <c r="R55" s="572"/>
      <c r="S55" s="524"/>
      <c r="T55" s="524"/>
      <c r="U55" s="525"/>
      <c r="V55" s="245"/>
      <c r="W55" s="245"/>
      <c r="X55" s="245"/>
      <c r="Y55" s="245"/>
      <c r="Z55" s="520"/>
      <c r="AA55" s="245"/>
      <c r="AB55" s="520"/>
      <c r="AC55" s="520"/>
      <c r="AD55" s="520"/>
      <c r="AE55" s="573"/>
      <c r="AF55" s="248"/>
      <c r="AG55" s="248"/>
      <c r="AH55" s="523"/>
      <c r="AI55" s="520"/>
      <c r="AJ55" s="520"/>
      <c r="AK55" s="245"/>
      <c r="AL55" s="245"/>
      <c r="AM55" s="245"/>
      <c r="AN55" s="519"/>
      <c r="AO55" s="245"/>
      <c r="AP55" s="344"/>
      <c r="AQ55" s="524"/>
      <c r="AR55" s="524"/>
      <c r="AS55" s="547"/>
      <c r="AT55" s="547"/>
      <c r="AU55" s="547"/>
      <c r="AV55" s="519"/>
      <c r="AW55" s="245"/>
      <c r="AX55" s="245"/>
      <c r="AY55" s="245"/>
      <c r="AZ55" s="245"/>
      <c r="BA55" s="245"/>
      <c r="BB55" s="245"/>
    </row>
    <row r="56" customFormat="false" ht="11.1" hidden="false" customHeight="true" outlineLevel="0" collapsed="false">
      <c r="A56" s="574"/>
      <c r="B56" s="185"/>
      <c r="C56" s="2"/>
      <c r="D56" s="11"/>
      <c r="E56" s="487"/>
      <c r="F56" s="1"/>
      <c r="G56" s="1"/>
      <c r="H56" s="3"/>
      <c r="I56" s="11"/>
      <c r="J56" s="11"/>
      <c r="K56" s="488"/>
      <c r="L56" s="161"/>
      <c r="M56" s="11"/>
      <c r="N56" s="11"/>
      <c r="O56" s="11"/>
      <c r="P56" s="5"/>
      <c r="Q56" s="5"/>
      <c r="R56" s="5"/>
      <c r="S56" s="5"/>
      <c r="T56" s="5"/>
      <c r="U56" s="5"/>
      <c r="V56" s="11"/>
      <c r="W56" s="11"/>
      <c r="X56" s="11"/>
      <c r="Y56" s="11"/>
      <c r="Z56" s="1"/>
      <c r="AA56" s="11"/>
      <c r="AB56" s="1"/>
      <c r="AC56" s="1"/>
      <c r="AD56" s="2"/>
      <c r="AE56" s="11"/>
      <c r="AF56" s="11"/>
      <c r="AG56" s="11"/>
      <c r="AH56" s="11"/>
      <c r="AI56" s="487"/>
      <c r="AJ56" s="490"/>
      <c r="AK56" s="487"/>
      <c r="AL56" s="194"/>
      <c r="AM56" s="194"/>
      <c r="AN56" s="418"/>
      <c r="AO56" s="418"/>
      <c r="AQ56" s="392"/>
      <c r="AR56" s="392"/>
      <c r="AS56" s="414"/>
      <c r="AV56" s="8"/>
      <c r="AW56" s="191"/>
      <c r="AX56" s="191"/>
    </row>
    <row r="57" customFormat="false" ht="11.1" hidden="false" customHeight="true" outlineLevel="0" collapsed="false">
      <c r="A57" s="194"/>
      <c r="B57" s="575"/>
      <c r="C57" s="2"/>
      <c r="D57" s="1"/>
      <c r="E57" s="390"/>
      <c r="F57" s="197"/>
      <c r="G57" s="1"/>
      <c r="H57" s="3"/>
      <c r="I57" s="12"/>
      <c r="J57" s="11"/>
      <c r="K57" s="186"/>
      <c r="L57" s="110"/>
      <c r="M57" s="11"/>
      <c r="N57" s="11"/>
      <c r="O57" s="2"/>
      <c r="P57" s="5"/>
      <c r="Q57" s="5"/>
      <c r="R57" s="98"/>
      <c r="S57" s="98"/>
      <c r="T57" s="98"/>
      <c r="U57" s="98"/>
      <c r="V57" s="26"/>
      <c r="W57" s="137"/>
      <c r="X57" s="491"/>
      <c r="Y57" s="491"/>
      <c r="Z57" s="161"/>
      <c r="AA57" s="491"/>
      <c r="AB57" s="161"/>
      <c r="AC57" s="89"/>
      <c r="AD57" s="89"/>
      <c r="AE57" s="2"/>
      <c r="AF57" s="2"/>
      <c r="AG57" s="2"/>
      <c r="AH57" s="11"/>
      <c r="AI57" s="2"/>
      <c r="AJ57" s="111"/>
      <c r="AK57" s="2"/>
      <c r="AL57" s="194"/>
      <c r="AM57" s="8"/>
      <c r="AN57" s="576"/>
      <c r="AO57" s="576"/>
      <c r="AQ57" s="392"/>
      <c r="AR57" s="392"/>
      <c r="AS57" s="414"/>
      <c r="AV57" s="191"/>
      <c r="AW57" s="191"/>
      <c r="AX57" s="191"/>
    </row>
    <row r="58" customFormat="false" ht="11.1" hidden="false" customHeight="true" outlineLevel="0" collapsed="false">
      <c r="B58" s="161"/>
      <c r="E58" s="390"/>
      <c r="F58" s="238"/>
      <c r="G58" s="1"/>
      <c r="H58" s="3"/>
      <c r="I58" s="1"/>
      <c r="J58" s="1"/>
      <c r="K58" s="391"/>
      <c r="L58" s="449"/>
      <c r="M58" s="4"/>
      <c r="N58" s="4"/>
      <c r="O58" s="390"/>
      <c r="P58" s="494"/>
      <c r="Q58" s="494"/>
      <c r="R58" s="98"/>
      <c r="S58" s="98"/>
      <c r="T58" s="98"/>
      <c r="U58" s="98"/>
      <c r="V58" s="26"/>
      <c r="W58" s="137"/>
      <c r="X58" s="95"/>
      <c r="Y58" s="95"/>
      <c r="Z58" s="161"/>
      <c r="AA58" s="95"/>
      <c r="AB58" s="161"/>
      <c r="AE58" s="161"/>
      <c r="AF58" s="161"/>
      <c r="AG58" s="161"/>
      <c r="AH58" s="2"/>
      <c r="AI58" s="26"/>
      <c r="AJ58" s="495"/>
      <c r="AK58" s="26"/>
      <c r="AL58" s="56"/>
      <c r="AM58" s="8"/>
      <c r="AN58" s="189"/>
      <c r="AO58" s="189"/>
      <c r="AQ58" s="392"/>
      <c r="AR58" s="392"/>
      <c r="AS58" s="414"/>
      <c r="AV58" s="191"/>
      <c r="AW58" s="191"/>
      <c r="AX58" s="192"/>
    </row>
    <row r="59" customFormat="false" ht="11.1" hidden="false" customHeight="true" outlineLevel="0" collapsed="false">
      <c r="D59" s="161"/>
      <c r="E59" s="390"/>
      <c r="F59" s="1"/>
      <c r="G59" s="1"/>
      <c r="H59" s="161"/>
      <c r="I59" s="1"/>
      <c r="J59" s="1"/>
      <c r="K59" s="391"/>
      <c r="L59" s="191"/>
      <c r="M59" s="4"/>
      <c r="N59" s="4"/>
      <c r="O59" s="191"/>
      <c r="Q59" s="8"/>
      <c r="R59" s="98"/>
      <c r="S59" s="98"/>
      <c r="T59" s="98"/>
      <c r="U59" s="98"/>
      <c r="V59" s="26"/>
      <c r="W59" s="26"/>
      <c r="X59" s="95"/>
      <c r="Y59" s="95"/>
      <c r="Z59" s="191"/>
      <c r="AA59" s="95"/>
      <c r="AB59" s="191"/>
      <c r="AC59" s="191"/>
      <c r="AE59" s="161"/>
      <c r="AF59" s="161"/>
      <c r="AG59" s="161"/>
      <c r="AH59" s="2"/>
      <c r="AI59" s="161"/>
      <c r="AJ59" s="238"/>
      <c r="AK59" s="161"/>
      <c r="AL59" s="56"/>
      <c r="AM59" s="390"/>
      <c r="AN59" s="189"/>
      <c r="AO59" s="189"/>
      <c r="AQ59" s="392"/>
      <c r="AR59" s="392"/>
      <c r="AS59" s="414"/>
      <c r="AV59" s="191"/>
      <c r="AW59" s="191"/>
      <c r="AX59" s="192"/>
    </row>
    <row r="60" customFormat="false" ht="11.1" hidden="false" customHeight="true" outlineLevel="0" collapsed="false">
      <c r="G60" s="283"/>
      <c r="Q60" s="8"/>
      <c r="R60" s="8"/>
      <c r="S60" s="8"/>
      <c r="T60" s="8"/>
      <c r="W60" s="56"/>
      <c r="X60" s="1"/>
      <c r="Y60" s="1"/>
      <c r="Z60" s="161"/>
      <c r="AA60" s="1"/>
      <c r="AB60" s="161"/>
      <c r="AH60" s="161"/>
      <c r="AK60" s="56"/>
      <c r="AL60" s="56"/>
      <c r="AM60" s="8"/>
      <c r="AN60" s="189"/>
      <c r="AO60" s="189"/>
      <c r="AQ60" s="392"/>
      <c r="AR60" s="392"/>
      <c r="AS60" s="414"/>
      <c r="AV60" s="188"/>
      <c r="AW60" s="191"/>
      <c r="AX60" s="192"/>
    </row>
    <row r="61" customFormat="false" ht="11.1" hidden="false" customHeight="true" outlineLevel="0" collapsed="false">
      <c r="Q61" s="8"/>
      <c r="R61" s="8"/>
      <c r="S61" s="8"/>
      <c r="T61" s="8"/>
      <c r="W61" s="56"/>
      <c r="X61" s="161"/>
      <c r="Y61" s="161"/>
      <c r="Z61" s="161"/>
      <c r="AA61" s="161"/>
      <c r="AB61" s="161"/>
      <c r="AH61" s="161"/>
      <c r="AK61" s="56"/>
      <c r="AL61" s="56"/>
      <c r="AM61" s="8"/>
      <c r="AN61" s="189"/>
      <c r="AO61" s="189"/>
      <c r="AQ61" s="392"/>
      <c r="AR61" s="392"/>
      <c r="AS61" s="414"/>
      <c r="AV61" s="188"/>
      <c r="AW61" s="191"/>
      <c r="AX61" s="192"/>
    </row>
    <row r="62" customFormat="false" ht="11.1" hidden="false" customHeight="true" outlineLevel="0" collapsed="false">
      <c r="Q62" s="8"/>
      <c r="R62" s="8"/>
      <c r="S62" s="8"/>
      <c r="T62" s="8"/>
      <c r="W62" s="56"/>
      <c r="X62" s="161"/>
      <c r="Y62" s="161"/>
      <c r="Z62" s="161"/>
      <c r="AA62" s="161"/>
      <c r="AB62" s="161"/>
      <c r="AH62" s="161"/>
      <c r="AK62" s="56"/>
      <c r="AL62" s="56"/>
      <c r="AM62" s="8"/>
      <c r="AN62" s="189"/>
      <c r="AO62" s="189"/>
      <c r="AQ62" s="392"/>
      <c r="AR62" s="392"/>
      <c r="AS62" s="414"/>
      <c r="AV62" s="188"/>
      <c r="AW62" s="191"/>
      <c r="AX62" s="192"/>
    </row>
    <row r="63" customFormat="false" ht="11.1" hidden="false" customHeight="true" outlineLevel="0" collapsed="false">
      <c r="X63" s="161"/>
      <c r="Y63" s="161"/>
      <c r="AA63" s="161"/>
    </row>
  </sheetData>
  <mergeCells count="9">
    <mergeCell ref="K1:W1"/>
    <mergeCell ref="K2:W2"/>
    <mergeCell ref="Z2:AD2"/>
    <mergeCell ref="B4:F4"/>
    <mergeCell ref="G4:L4"/>
    <mergeCell ref="M4:AM4"/>
    <mergeCell ref="AN4:AU4"/>
    <mergeCell ref="AV4:AY4"/>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B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4" topLeftCell="B15" activePane="bottomRight" state="frozen"/>
      <selection pane="topLeft" activeCell="A1" activeCellId="0" sqref="A1"/>
      <selection pane="topRight" activeCell="B1" activeCellId="0" sqref="B1"/>
      <selection pane="bottomLeft" activeCell="A15" activeCellId="0" sqref="A15"/>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195" width="5.66"/>
    <col collapsed="false" customWidth="true" hidden="false" outlineLevel="0" max="11" min="9" style="56" width="6.32"/>
    <col collapsed="false" customWidth="true" hidden="false" outlineLevel="0" max="12" min="12" style="56" width="6.82"/>
    <col collapsed="false" customWidth="true" hidden="false" outlineLevel="0" max="13" min="13" style="110" width="5.49"/>
    <col collapsed="false" customWidth="true" hidden="false" outlineLevel="0" max="14" min="14" style="110" width="4.49"/>
    <col collapsed="false" customWidth="true" hidden="false" outlineLevel="0" max="15" min="15" style="110" width="5.49"/>
    <col collapsed="false" customWidth="true" hidden="false" outlineLevel="0" max="16" min="16" style="8" width="4.82"/>
    <col collapsed="false" customWidth="true" hidden="false" outlineLevel="0" max="20" min="17" style="8" width="4.32"/>
    <col collapsed="false" customWidth="true" hidden="false" outlineLevel="0" max="21" min="21" style="8" width="5.16"/>
    <col collapsed="false" customWidth="true" hidden="false" outlineLevel="0" max="22" min="22" style="56" width="5.49"/>
    <col collapsed="false" customWidth="true" hidden="false" outlineLevel="0" max="23" min="23" style="161" width="5.49"/>
    <col collapsed="false" customWidth="true" hidden="false" outlineLevel="0" max="25" min="24" style="56" width="6.32"/>
    <col collapsed="false" customWidth="true" hidden="false" outlineLevel="0" max="26" min="26" style="56" width="5.49"/>
    <col collapsed="false" customWidth="true" hidden="false" outlineLevel="0" max="27" min="27" style="56" width="6.32"/>
    <col collapsed="false" customWidth="true" hidden="false" outlineLevel="0" max="28" min="28" style="56" width="5.49"/>
    <col collapsed="false" customWidth="true" hidden="false" outlineLevel="0" max="29" min="29" style="161" width="5.82"/>
    <col collapsed="false" customWidth="true" hidden="false" outlineLevel="0" max="30" min="30" style="161" width="5.49"/>
    <col collapsed="false" customWidth="true" hidden="false" outlineLevel="0" max="33" min="31" style="56" width="5.49"/>
    <col collapsed="false" customWidth="true" hidden="false" outlineLevel="0" max="34" min="34" style="56" width="6.32"/>
    <col collapsed="false" customWidth="true" hidden="false" outlineLevel="0" max="35" min="35" style="56" width="5.49"/>
    <col collapsed="false" customWidth="true" hidden="false" outlineLevel="0" max="36" min="36" style="189" width="6.32"/>
    <col collapsed="false" customWidth="true" hidden="false" outlineLevel="0" max="37" min="37" style="8" width="6.32"/>
    <col collapsed="false" customWidth="true" hidden="false" outlineLevel="0" max="38" min="38" style="188" width="6.82"/>
    <col collapsed="false" customWidth="true" hidden="false" outlineLevel="0" max="39" min="39" style="191" width="6.82"/>
    <col collapsed="false" customWidth="true" hidden="false" outlineLevel="0" max="41" min="40" style="56" width="5.49"/>
    <col collapsed="false" customWidth="true" hidden="false" outlineLevel="0" max="42" min="42" style="110" width="6.32"/>
    <col collapsed="false" customWidth="true" hidden="false" outlineLevel="0" max="43" min="43" style="8" width="6.32"/>
    <col collapsed="false" customWidth="true" hidden="false" outlineLevel="0" max="44" min="44" style="8" width="5.49"/>
    <col collapsed="false" customWidth="true" hidden="false" outlineLevel="0" max="46" min="45" style="56" width="5.82"/>
    <col collapsed="false" customWidth="true" hidden="false" outlineLevel="0" max="47" min="47" style="110" width="4.99"/>
    <col collapsed="false" customWidth="true" hidden="false" outlineLevel="0" max="48" min="48" style="192" width="5.32"/>
    <col collapsed="false" customWidth="true" hidden="false" outlineLevel="0" max="49" min="49" style="56" width="3.82"/>
    <col collapsed="false" customWidth="true" hidden="false" outlineLevel="0" max="50" min="50" style="8" width="3.82"/>
    <col collapsed="false" customWidth="true" hidden="false" outlineLevel="0" max="51" min="51" style="193" width="3.82"/>
    <col collapsed="false" customWidth="true" hidden="false" outlineLevel="0" max="52" min="52" style="193" width="5.49"/>
    <col collapsed="false" customWidth="false" hidden="false" outlineLevel="0" max="54" min="53" style="56" width="9.32"/>
    <col collapsed="false" customWidth="false" hidden="false" outlineLevel="0" max="257" min="55" style="193" width="9.32"/>
  </cols>
  <sheetData>
    <row r="1" customFormat="false" ht="14.1" hidden="false" customHeight="true" outlineLevel="0" collapsed="false">
      <c r="A1" s="194"/>
      <c r="B1" s="194"/>
      <c r="D1" s="194"/>
      <c r="F1" s="194"/>
      <c r="G1" s="194"/>
      <c r="I1" s="194"/>
      <c r="J1" s="194"/>
      <c r="K1" s="196" t="s">
        <v>0</v>
      </c>
      <c r="L1" s="194"/>
      <c r="M1" s="194"/>
      <c r="N1" s="194"/>
      <c r="O1" s="194"/>
      <c r="V1" s="194"/>
      <c r="W1" s="194"/>
      <c r="X1" s="161"/>
      <c r="Y1" s="161"/>
      <c r="Z1" s="194"/>
      <c r="AA1" s="161"/>
      <c r="AB1" s="194"/>
      <c r="AC1" s="194"/>
      <c r="AD1" s="194"/>
      <c r="AE1" s="194"/>
      <c r="AF1" s="194"/>
      <c r="AG1" s="194"/>
      <c r="AH1" s="161"/>
      <c r="AI1" s="194"/>
      <c r="AJ1" s="197"/>
      <c r="AK1" s="194"/>
      <c r="AL1" s="194"/>
      <c r="AM1" s="8"/>
      <c r="AN1" s="197"/>
      <c r="AO1" s="197"/>
      <c r="AP1" s="335"/>
      <c r="AQ1" s="300"/>
      <c r="AR1" s="300"/>
      <c r="AV1" s="188"/>
      <c r="AW1" s="191"/>
      <c r="AX1" s="192"/>
    </row>
    <row r="2" customFormat="false" ht="14.1" hidden="false" customHeight="true" outlineLevel="0" collapsed="false">
      <c r="A2" s="197" t="s">
        <v>1</v>
      </c>
      <c r="B2" s="194"/>
      <c r="D2" s="198" t="n">
        <v>1.9835</v>
      </c>
      <c r="F2" s="194"/>
      <c r="G2" s="194"/>
      <c r="I2" s="194"/>
      <c r="J2" s="194"/>
      <c r="K2" s="199" t="s">
        <v>145</v>
      </c>
      <c r="L2" s="199"/>
      <c r="M2" s="199"/>
      <c r="N2" s="199"/>
      <c r="O2" s="199"/>
      <c r="P2" s="199"/>
      <c r="Q2" s="199"/>
      <c r="R2" s="199"/>
      <c r="S2" s="199"/>
      <c r="T2" s="199"/>
      <c r="U2" s="199"/>
      <c r="V2" s="199"/>
      <c r="W2" s="200"/>
      <c r="X2" s="89"/>
      <c r="Y2" s="89"/>
      <c r="Z2" s="200"/>
      <c r="AA2" s="89"/>
      <c r="AB2" s="200"/>
      <c r="AC2" s="200"/>
      <c r="AD2" s="200"/>
      <c r="AE2" s="194"/>
      <c r="AF2" s="194"/>
      <c r="AG2" s="194"/>
      <c r="AH2" s="161"/>
      <c r="AI2" s="194"/>
      <c r="AJ2" s="197"/>
      <c r="AK2" s="194"/>
      <c r="AL2" s="194"/>
      <c r="AM2" s="8"/>
      <c r="AN2" s="197"/>
      <c r="AO2" s="197"/>
      <c r="AP2" s="335"/>
      <c r="AQ2" s="300"/>
      <c r="AR2" s="300"/>
      <c r="AV2" s="188"/>
      <c r="AW2" s="191"/>
      <c r="AX2" s="192"/>
    </row>
    <row r="3" customFormat="false" ht="14.1" hidden="false" customHeight="true" outlineLevel="0" collapsed="false">
      <c r="A3" s="202"/>
      <c r="B3" s="202"/>
      <c r="C3" s="203"/>
      <c r="D3" s="204"/>
      <c r="E3" s="203"/>
      <c r="F3" s="202"/>
      <c r="G3" s="202"/>
      <c r="H3" s="205"/>
      <c r="I3" s="202"/>
      <c r="J3" s="202"/>
      <c r="K3" s="202"/>
      <c r="L3" s="202"/>
      <c r="M3" s="202"/>
      <c r="N3" s="202"/>
      <c r="O3" s="202"/>
      <c r="P3" s="206"/>
      <c r="Q3" s="206"/>
      <c r="R3" s="206"/>
      <c r="S3" s="206"/>
      <c r="T3" s="206"/>
      <c r="U3" s="206"/>
      <c r="V3" s="202"/>
      <c r="W3" s="202"/>
      <c r="X3" s="203"/>
      <c r="Y3" s="203"/>
      <c r="Z3" s="202"/>
      <c r="AA3" s="203"/>
      <c r="AB3" s="202"/>
      <c r="AC3" s="202"/>
      <c r="AD3" s="202"/>
      <c r="AE3" s="202"/>
      <c r="AF3" s="202"/>
      <c r="AG3" s="202"/>
      <c r="AH3" s="203"/>
      <c r="AI3" s="202"/>
      <c r="AJ3" s="208"/>
      <c r="AK3" s="202"/>
      <c r="AL3" s="202"/>
      <c r="AM3" s="206"/>
      <c r="AN3" s="208"/>
      <c r="AO3" s="208"/>
      <c r="AP3" s="337"/>
      <c r="AQ3" s="336"/>
      <c r="AR3" s="300"/>
      <c r="AS3" s="294"/>
      <c r="AV3" s="211"/>
      <c r="AW3" s="212"/>
      <c r="AX3" s="213"/>
      <c r="BA3" s="209"/>
    </row>
    <row r="4" s="56" customFormat="true" ht="14.1" hidden="false" customHeight="true" outlineLevel="0" collapsed="false">
      <c r="A4" s="194"/>
      <c r="B4" s="396"/>
      <c r="C4" s="397"/>
      <c r="D4" s="398" t="s">
        <v>3</v>
      </c>
      <c r="E4" s="397"/>
      <c r="F4" s="577"/>
      <c r="G4" s="194"/>
      <c r="H4" s="195"/>
      <c r="I4" s="574" t="s">
        <v>4</v>
      </c>
      <c r="J4" s="574"/>
      <c r="K4" s="194"/>
      <c r="L4" s="401"/>
      <c r="M4" s="194"/>
      <c r="N4" s="194"/>
      <c r="O4" s="194"/>
      <c r="P4" s="8"/>
      <c r="Q4" s="8"/>
      <c r="R4" s="8"/>
      <c r="S4" s="8"/>
      <c r="T4" s="8"/>
      <c r="U4" s="8"/>
      <c r="V4" s="406"/>
      <c r="W4" s="194"/>
      <c r="X4" s="406" t="s">
        <v>5</v>
      </c>
      <c r="Y4" s="161"/>
      <c r="Z4" s="194"/>
      <c r="AA4" s="161"/>
      <c r="AB4" s="194"/>
      <c r="AC4" s="194"/>
      <c r="AD4" s="194"/>
      <c r="AE4" s="194"/>
      <c r="AF4" s="194"/>
      <c r="AG4" s="194"/>
      <c r="AH4" s="161"/>
      <c r="AI4" s="194"/>
      <c r="AJ4" s="197"/>
      <c r="AK4" s="194"/>
      <c r="AL4" s="194"/>
      <c r="AM4" s="8"/>
      <c r="AN4" s="396"/>
      <c r="AO4" s="194"/>
      <c r="AP4" s="578" t="s">
        <v>6</v>
      </c>
      <c r="AQ4" s="578"/>
      <c r="AR4" s="579"/>
      <c r="AS4" s="580"/>
      <c r="AT4" s="581"/>
      <c r="AU4" s="399"/>
      <c r="AV4" s="408"/>
      <c r="AW4" s="409" t="s">
        <v>7</v>
      </c>
      <c r="AX4" s="410"/>
      <c r="AY4" s="57"/>
      <c r="AZ4" s="411"/>
      <c r="BB4" s="57"/>
    </row>
    <row r="5" customFormat="fals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333" t="s">
        <v>16</v>
      </c>
      <c r="M5" s="415" t="s">
        <v>18</v>
      </c>
      <c r="N5" s="415"/>
      <c r="O5" s="415"/>
      <c r="P5" s="415"/>
      <c r="Q5" s="415"/>
      <c r="R5" s="415"/>
      <c r="S5" s="415"/>
      <c r="T5" s="415"/>
      <c r="U5" s="415"/>
      <c r="V5" s="333" t="s">
        <v>19</v>
      </c>
      <c r="W5" s="333" t="s">
        <v>20</v>
      </c>
      <c r="X5" s="58" t="s">
        <v>17</v>
      </c>
      <c r="Y5" s="58" t="s">
        <v>17</v>
      </c>
      <c r="Z5" s="64" t="s">
        <v>21</v>
      </c>
      <c r="AA5" s="58" t="s">
        <v>21</v>
      </c>
      <c r="AB5" s="64" t="s">
        <v>21</v>
      </c>
      <c r="AC5" s="413" t="s">
        <v>22</v>
      </c>
      <c r="AD5" s="413" t="s">
        <v>21</v>
      </c>
      <c r="AE5" s="333" t="s">
        <v>23</v>
      </c>
      <c r="AF5" s="416" t="s">
        <v>132</v>
      </c>
      <c r="AG5" s="417"/>
      <c r="AH5" s="418" t="s">
        <v>25</v>
      </c>
      <c r="AI5" s="413" t="s">
        <v>133</v>
      </c>
      <c r="AJ5" s="413" t="s">
        <v>27</v>
      </c>
      <c r="AK5" s="333" t="s">
        <v>15</v>
      </c>
      <c r="AL5" s="333" t="s">
        <v>16</v>
      </c>
      <c r="AM5" s="333" t="s">
        <v>17</v>
      </c>
      <c r="AN5" s="463" t="s">
        <v>28</v>
      </c>
      <c r="AO5" s="64" t="s">
        <v>21</v>
      </c>
      <c r="AP5" s="70" t="s">
        <v>29</v>
      </c>
      <c r="AQ5" s="70" t="s">
        <v>29</v>
      </c>
      <c r="AR5" s="65" t="s">
        <v>30</v>
      </c>
      <c r="AS5" s="71" t="s">
        <v>31</v>
      </c>
      <c r="AT5" s="414" t="s">
        <v>32</v>
      </c>
      <c r="AU5" s="219" t="s">
        <v>146</v>
      </c>
      <c r="AV5" s="419" t="s">
        <v>34</v>
      </c>
      <c r="AW5" s="418" t="s">
        <v>35</v>
      </c>
      <c r="AX5" s="418" t="s">
        <v>36</v>
      </c>
      <c r="AY5" s="265"/>
      <c r="AZ5" s="305" t="s">
        <v>17</v>
      </c>
      <c r="BA5" s="72" t="s">
        <v>37</v>
      </c>
      <c r="BB5" s="76" t="s">
        <v>37</v>
      </c>
    </row>
    <row r="6" customFormat="false" ht="12.95" hidden="false" customHeight="true" outlineLevel="0" collapsed="false">
      <c r="A6" s="420" t="s">
        <v>147</v>
      </c>
      <c r="B6" s="412" t="s">
        <v>39</v>
      </c>
      <c r="C6" s="413"/>
      <c r="D6" s="333" t="s">
        <v>40</v>
      </c>
      <c r="E6" s="413" t="s">
        <v>41</v>
      </c>
      <c r="F6" s="333" t="s">
        <v>42</v>
      </c>
      <c r="G6" s="412" t="s">
        <v>43</v>
      </c>
      <c r="H6" s="414" t="s">
        <v>44</v>
      </c>
      <c r="I6" s="333" t="s">
        <v>45</v>
      </c>
      <c r="J6" s="333" t="s">
        <v>45</v>
      </c>
      <c r="K6" s="333" t="s">
        <v>45</v>
      </c>
      <c r="L6" s="333" t="s">
        <v>46</v>
      </c>
      <c r="M6" s="421" t="s">
        <v>47</v>
      </c>
      <c r="N6" s="72" t="s">
        <v>48</v>
      </c>
      <c r="O6" s="333" t="s">
        <v>49</v>
      </c>
      <c r="P6" s="72" t="s">
        <v>50</v>
      </c>
      <c r="Q6" s="61" t="s">
        <v>51</v>
      </c>
      <c r="R6" s="61" t="s">
        <v>52</v>
      </c>
      <c r="S6" s="61"/>
      <c r="T6" s="61" t="s">
        <v>49</v>
      </c>
      <c r="U6" s="422" t="s">
        <v>53</v>
      </c>
      <c r="V6" s="333" t="s">
        <v>54</v>
      </c>
      <c r="W6" s="333" t="s">
        <v>55</v>
      </c>
      <c r="X6" s="58" t="s">
        <v>21</v>
      </c>
      <c r="Y6" s="58" t="s">
        <v>21</v>
      </c>
      <c r="Z6" s="64" t="s">
        <v>56</v>
      </c>
      <c r="AA6" s="58" t="s">
        <v>56</v>
      </c>
      <c r="AB6" s="64" t="s">
        <v>57</v>
      </c>
      <c r="AC6" s="413" t="s">
        <v>58</v>
      </c>
      <c r="AD6" s="413" t="s">
        <v>59</v>
      </c>
      <c r="AE6" s="424" t="s">
        <v>60</v>
      </c>
      <c r="AF6" s="61" t="s">
        <v>61</v>
      </c>
      <c r="AG6" s="61" t="s">
        <v>62</v>
      </c>
      <c r="AH6" s="533" t="s">
        <v>63</v>
      </c>
      <c r="AI6" s="413" t="s">
        <v>64</v>
      </c>
      <c r="AJ6" s="413"/>
      <c r="AK6" s="333" t="s">
        <v>65</v>
      </c>
      <c r="AL6" s="333" t="s">
        <v>65</v>
      </c>
      <c r="AM6" s="333" t="s">
        <v>65</v>
      </c>
      <c r="AN6" s="463" t="s">
        <v>66</v>
      </c>
      <c r="AO6" s="64" t="s">
        <v>67</v>
      </c>
      <c r="AP6" s="70" t="s">
        <v>68</v>
      </c>
      <c r="AQ6" s="70" t="s">
        <v>68</v>
      </c>
      <c r="AR6" s="65" t="s">
        <v>69</v>
      </c>
      <c r="AS6" s="71" t="s">
        <v>70</v>
      </c>
      <c r="AT6" s="414" t="s">
        <v>71</v>
      </c>
      <c r="AU6" s="219" t="s">
        <v>148</v>
      </c>
      <c r="AV6" s="423"/>
      <c r="AW6" s="418" t="s">
        <v>73</v>
      </c>
      <c r="AX6" s="418" t="s">
        <v>73</v>
      </c>
      <c r="AY6" s="265"/>
      <c r="AZ6" s="305" t="s">
        <v>74</v>
      </c>
      <c r="BA6" s="72" t="s">
        <v>75</v>
      </c>
      <c r="BB6" s="76" t="s">
        <v>76</v>
      </c>
    </row>
    <row r="7" customFormat="false" ht="12.95" hidden="false" customHeight="true" outlineLevel="0" collapsed="false">
      <c r="A7" s="333"/>
      <c r="B7" s="412"/>
      <c r="C7" s="413"/>
      <c r="D7" s="333"/>
      <c r="E7" s="413"/>
      <c r="F7" s="333"/>
      <c r="G7" s="412"/>
      <c r="H7" s="414"/>
      <c r="I7" s="333"/>
      <c r="J7" s="333"/>
      <c r="K7" s="333"/>
      <c r="L7" s="333"/>
      <c r="M7" s="421"/>
      <c r="N7" s="72" t="s">
        <v>77</v>
      </c>
      <c r="O7" s="333" t="s">
        <v>78</v>
      </c>
      <c r="P7" s="72"/>
      <c r="Q7" s="61" t="s">
        <v>79</v>
      </c>
      <c r="R7" s="61" t="s">
        <v>79</v>
      </c>
      <c r="S7" s="61" t="s">
        <v>62</v>
      </c>
      <c r="T7" s="61" t="s">
        <v>62</v>
      </c>
      <c r="U7" s="422" t="s">
        <v>80</v>
      </c>
      <c r="V7" s="333"/>
      <c r="W7" s="333"/>
      <c r="X7" s="68" t="s">
        <v>81</v>
      </c>
      <c r="Y7" s="60" t="s">
        <v>82</v>
      </c>
      <c r="Z7" s="64" t="s">
        <v>83</v>
      </c>
      <c r="AA7" s="58" t="s">
        <v>84</v>
      </c>
      <c r="AB7" s="64" t="s">
        <v>85</v>
      </c>
      <c r="AC7" s="413"/>
      <c r="AD7" s="413"/>
      <c r="AE7" s="424"/>
      <c r="AF7" s="83" t="n">
        <v>1.7</v>
      </c>
      <c r="AG7" s="83" t="n">
        <v>1.3</v>
      </c>
      <c r="AH7" s="533"/>
      <c r="AI7" s="413"/>
      <c r="AJ7" s="413"/>
      <c r="AK7" s="333"/>
      <c r="AL7" s="333"/>
      <c r="AM7" s="333"/>
      <c r="AN7" s="463"/>
      <c r="AO7" s="64" t="s">
        <v>42</v>
      </c>
      <c r="AP7" s="70" t="s">
        <v>86</v>
      </c>
      <c r="AQ7" s="70" t="s">
        <v>87</v>
      </c>
      <c r="AR7" s="65" t="s">
        <v>88</v>
      </c>
      <c r="AS7" s="71" t="s">
        <v>89</v>
      </c>
      <c r="AT7" s="414" t="s">
        <v>90</v>
      </c>
      <c r="AU7" s="219" t="s">
        <v>81</v>
      </c>
      <c r="AV7" s="423"/>
      <c r="AW7" s="418"/>
      <c r="AX7" s="418"/>
      <c r="AY7" s="265"/>
      <c r="AZ7" s="305" t="s">
        <v>92</v>
      </c>
      <c r="BA7" s="8"/>
      <c r="BB7" s="85"/>
    </row>
    <row r="8" customFormat="false" ht="12.95" hidden="false" customHeight="true" outlineLevel="0" collapsed="false">
      <c r="A8" s="333"/>
      <c r="B8" s="412"/>
      <c r="C8" s="413"/>
      <c r="D8" s="333"/>
      <c r="E8" s="413"/>
      <c r="F8" s="333"/>
      <c r="G8" s="412"/>
      <c r="H8" s="414"/>
      <c r="I8" s="333"/>
      <c r="J8" s="333"/>
      <c r="K8" s="333"/>
      <c r="L8" s="333"/>
      <c r="M8" s="421"/>
      <c r="N8" s="72"/>
      <c r="O8" s="413" t="n">
        <v>25612</v>
      </c>
      <c r="P8" s="72"/>
      <c r="Q8" s="61" t="s">
        <v>62</v>
      </c>
      <c r="R8" s="61" t="s">
        <v>62</v>
      </c>
      <c r="S8" s="61"/>
      <c r="T8" s="61"/>
      <c r="U8" s="422"/>
      <c r="V8" s="333"/>
      <c r="W8" s="333"/>
      <c r="X8" s="68" t="s">
        <v>93</v>
      </c>
      <c r="Y8" s="60" t="s">
        <v>81</v>
      </c>
      <c r="Z8" s="64"/>
      <c r="AA8" s="60" t="s">
        <v>94</v>
      </c>
      <c r="AB8" s="64" t="s">
        <v>95</v>
      </c>
      <c r="AC8" s="413"/>
      <c r="AD8" s="413"/>
      <c r="AE8" s="582" t="n">
        <f aca="false">55819-875</f>
        <v>54944</v>
      </c>
      <c r="AF8" s="200"/>
      <c r="AG8" s="200"/>
      <c r="AH8" s="533"/>
      <c r="AI8" s="413"/>
      <c r="AJ8" s="413"/>
      <c r="AK8" s="333"/>
      <c r="AL8" s="333"/>
      <c r="AM8" s="333"/>
      <c r="AN8" s="463"/>
      <c r="AO8" s="64"/>
      <c r="AP8" s="70"/>
      <c r="AQ8" s="70"/>
      <c r="AR8" s="65"/>
      <c r="AS8" s="184" t="n">
        <v>1532.4</v>
      </c>
      <c r="AT8" s="201" t="n">
        <f aca="false">(716-25)/2</f>
        <v>345.5</v>
      </c>
      <c r="AU8" s="219"/>
      <c r="AV8" s="423"/>
      <c r="AW8" s="418"/>
      <c r="AX8" s="418"/>
      <c r="AY8" s="265"/>
      <c r="AZ8" s="305"/>
      <c r="BA8" s="8"/>
      <c r="BB8" s="85"/>
    </row>
    <row r="9" customFormat="false" ht="12.95" hidden="false" customHeight="true" outlineLevel="0" collapsed="false">
      <c r="A9" s="333"/>
      <c r="B9" s="412"/>
      <c r="C9" s="413"/>
      <c r="D9" s="333"/>
      <c r="E9" s="413"/>
      <c r="F9" s="333"/>
      <c r="G9" s="412"/>
      <c r="H9" s="414"/>
      <c r="I9" s="333"/>
      <c r="J9" s="333"/>
      <c r="K9" s="333"/>
      <c r="L9" s="333"/>
      <c r="M9" s="421"/>
      <c r="N9" s="72"/>
      <c r="O9" s="413"/>
      <c r="P9" s="72"/>
      <c r="Q9" s="61"/>
      <c r="R9" s="86" t="n">
        <v>4.2</v>
      </c>
      <c r="S9" s="61"/>
      <c r="T9" s="61"/>
      <c r="U9" s="422"/>
      <c r="V9" s="333"/>
      <c r="W9" s="333"/>
      <c r="X9" s="68"/>
      <c r="Y9" s="60" t="s">
        <v>93</v>
      </c>
      <c r="Z9" s="64"/>
      <c r="AA9" s="60" t="s">
        <v>93</v>
      </c>
      <c r="AB9" s="64" t="s">
        <v>96</v>
      </c>
      <c r="AC9" s="413"/>
      <c r="AD9" s="413"/>
      <c r="AE9" s="333"/>
      <c r="AF9" s="425"/>
      <c r="AG9" s="426"/>
      <c r="AH9" s="418"/>
      <c r="AI9" s="413"/>
      <c r="AJ9" s="413"/>
      <c r="AK9" s="333"/>
      <c r="AL9" s="333"/>
      <c r="AM9" s="333"/>
      <c r="AN9" s="463"/>
      <c r="AO9" s="64"/>
      <c r="AP9" s="70"/>
      <c r="AQ9" s="70"/>
      <c r="AR9" s="65"/>
      <c r="AS9" s="71"/>
      <c r="AT9" s="201" t="n">
        <f aca="false">AT8/D2</f>
        <v>174.187043105621</v>
      </c>
      <c r="AU9" s="219"/>
      <c r="AV9" s="423"/>
      <c r="AW9" s="418"/>
      <c r="AX9" s="418"/>
      <c r="AY9" s="265"/>
      <c r="AZ9" s="305"/>
      <c r="BA9" s="8"/>
      <c r="BB9" s="76" t="s">
        <v>97</v>
      </c>
    </row>
    <row r="10" customFormat="false" ht="12.95" hidden="false" customHeight="true" outlineLevel="0" collapsed="false">
      <c r="A10" s="333"/>
      <c r="B10" s="412"/>
      <c r="C10" s="413" t="s">
        <v>10</v>
      </c>
      <c r="D10" s="333"/>
      <c r="E10" s="413" t="s">
        <v>99</v>
      </c>
      <c r="F10" s="333"/>
      <c r="G10" s="412" t="s">
        <v>42</v>
      </c>
      <c r="H10" s="414" t="s">
        <v>42</v>
      </c>
      <c r="I10" s="414" t="s">
        <v>42</v>
      </c>
      <c r="J10" s="414" t="s">
        <v>42</v>
      </c>
      <c r="K10" s="414" t="s">
        <v>42</v>
      </c>
      <c r="L10" s="414" t="s">
        <v>42</v>
      </c>
      <c r="M10" s="428"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4" t="s">
        <v>42</v>
      </c>
      <c r="AE10" s="414" t="s">
        <v>42</v>
      </c>
      <c r="AF10" s="428" t="s">
        <v>42</v>
      </c>
      <c r="AG10" s="427" t="s">
        <v>42</v>
      </c>
      <c r="AH10" s="414" t="s">
        <v>42</v>
      </c>
      <c r="AI10" s="414" t="s">
        <v>42</v>
      </c>
      <c r="AJ10" s="414" t="s">
        <v>42</v>
      </c>
      <c r="AK10" s="414" t="s">
        <v>42</v>
      </c>
      <c r="AL10" s="414" t="s">
        <v>42</v>
      </c>
      <c r="AM10" s="414" t="s">
        <v>42</v>
      </c>
      <c r="AN10" s="463" t="s">
        <v>42</v>
      </c>
      <c r="AO10" s="64" t="s">
        <v>42</v>
      </c>
      <c r="AP10" s="64" t="s">
        <v>42</v>
      </c>
      <c r="AQ10" s="70" t="s">
        <v>100</v>
      </c>
      <c r="AR10" s="65" t="s">
        <v>42</v>
      </c>
      <c r="AS10" s="64" t="s">
        <v>42</v>
      </c>
      <c r="AT10" s="64" t="s">
        <v>42</v>
      </c>
      <c r="AU10" s="64" t="s">
        <v>42</v>
      </c>
      <c r="AV10" s="423"/>
      <c r="AW10" s="418"/>
      <c r="AX10" s="418"/>
      <c r="AY10" s="265"/>
      <c r="AZ10" s="305" t="s">
        <v>101</v>
      </c>
      <c r="BA10" s="72" t="s">
        <v>42</v>
      </c>
      <c r="BB10" s="76" t="s">
        <v>99</v>
      </c>
    </row>
    <row r="11" customFormat="false" ht="12.95" hidden="false" customHeight="true" outlineLevel="0" collapsed="false">
      <c r="A11" s="333"/>
      <c r="B11" s="412"/>
      <c r="C11" s="413"/>
      <c r="D11" s="333"/>
      <c r="E11" s="413"/>
      <c r="F11" s="333"/>
      <c r="G11" s="412"/>
      <c r="H11" s="414"/>
      <c r="I11" s="333"/>
      <c r="J11" s="333"/>
      <c r="K11" s="333"/>
      <c r="L11" s="333"/>
      <c r="M11" s="421"/>
      <c r="N11" s="72" t="n">
        <v>1.03</v>
      </c>
      <c r="O11" s="430" t="n">
        <v>1.05</v>
      </c>
      <c r="P11" s="72" t="n">
        <v>1.02</v>
      </c>
      <c r="Q11" s="87" t="n">
        <v>1.02</v>
      </c>
      <c r="R11" s="88" t="n">
        <v>1.04</v>
      </c>
      <c r="S11" s="61"/>
      <c r="T11" s="87" t="n">
        <v>1.04</v>
      </c>
      <c r="U11" s="422"/>
      <c r="V11" s="333"/>
      <c r="W11" s="333"/>
      <c r="X11" s="61" t="s">
        <v>42</v>
      </c>
      <c r="Y11" s="61" t="s">
        <v>42</v>
      </c>
      <c r="Z11" s="61" t="s">
        <v>42</v>
      </c>
      <c r="AA11" s="60" t="s">
        <v>42</v>
      </c>
      <c r="AB11" s="89" t="s">
        <v>102</v>
      </c>
      <c r="AC11" s="413"/>
      <c r="AD11" s="413"/>
      <c r="AE11" s="333"/>
      <c r="AF11" s="425"/>
      <c r="AG11" s="426"/>
      <c r="AH11" s="418"/>
      <c r="AI11" s="413"/>
      <c r="AJ11" s="413"/>
      <c r="AK11" s="333"/>
      <c r="AL11" s="333"/>
      <c r="AM11" s="333"/>
      <c r="AN11" s="463"/>
      <c r="AO11" s="64"/>
      <c r="AP11" s="70"/>
      <c r="AQ11" s="70"/>
      <c r="AR11" s="65"/>
      <c r="AS11" s="92"/>
      <c r="AT11" s="335"/>
      <c r="AU11" s="189"/>
      <c r="AV11" s="423"/>
      <c r="AW11" s="418"/>
      <c r="AX11" s="418"/>
      <c r="AY11" s="265"/>
      <c r="AZ11" s="305" t="s">
        <v>42</v>
      </c>
      <c r="BA11" s="8"/>
      <c r="BB11" s="85"/>
    </row>
    <row r="12" customFormat="false" ht="12.95" hidden="false" customHeight="true" outlineLevel="0" collapsed="false">
      <c r="A12" s="197" t="s">
        <v>103</v>
      </c>
      <c r="B12" s="224"/>
      <c r="C12" s="583"/>
      <c r="D12" s="113"/>
      <c r="E12" s="113"/>
      <c r="F12" s="225" t="n">
        <f aca="false">AUG!F50</f>
        <v>4306.02470380641</v>
      </c>
      <c r="G12" s="113" t="n">
        <f aca="false">AUG!G50</f>
        <v>93702</v>
      </c>
      <c r="H12" s="113" t="n">
        <f aca="false">AUG!H50</f>
        <v>608.545</v>
      </c>
      <c r="I12" s="113" t="n">
        <f aca="false">AUG!I50</f>
        <v>94310.545</v>
      </c>
      <c r="J12" s="113" t="n">
        <f aca="false">AUG!J50</f>
        <v>2260.67936173431</v>
      </c>
      <c r="K12" s="113" t="n">
        <f aca="false">AUG!K50</f>
        <v>96571.2143617343</v>
      </c>
      <c r="L12" s="113" t="n">
        <f aca="false">AUG!L50</f>
        <v>-4718.2202961936</v>
      </c>
      <c r="M12" s="227" t="n">
        <f aca="false">AUG!M50</f>
        <v>35318.3</v>
      </c>
      <c r="N12" s="113" t="n">
        <f aca="false">AUG!N50</f>
        <v>37.3884547517015</v>
      </c>
      <c r="O12" s="113" t="n">
        <f aca="false">AUG!O50</f>
        <v>11612.391</v>
      </c>
      <c r="P12" s="171" t="n">
        <f aca="false">AUG!P50</f>
        <v>7</v>
      </c>
      <c r="Q12" s="171"/>
      <c r="R12" s="171"/>
      <c r="S12" s="171"/>
      <c r="T12" s="171"/>
      <c r="U12" s="228"/>
      <c r="V12" s="113" t="n">
        <f aca="false">AUG!V50</f>
        <v>13185.78</v>
      </c>
      <c r="W12" s="113" t="n">
        <f aca="false">AUG!W50</f>
        <v>8125.89</v>
      </c>
      <c r="X12" s="113" t="n">
        <f aca="false">AUG!X50</f>
        <v>46375.7355226514</v>
      </c>
      <c r="Y12" s="161" t="n">
        <f aca="false">AUG!Y50</f>
        <v>46219.8990674949</v>
      </c>
      <c r="Z12" s="113" t="n">
        <f aca="false">AUG!Z45</f>
        <v>2141.04816786228</v>
      </c>
      <c r="AA12" s="161"/>
      <c r="AB12" s="161"/>
      <c r="AC12" s="113" t="n">
        <f aca="false">AUG!AC45</f>
        <v>1307.16000380236</v>
      </c>
      <c r="AD12" s="113" t="n">
        <f aca="false">AUG!AD45</f>
        <v>4858.65512901258</v>
      </c>
      <c r="AE12" s="113" t="n">
        <f aca="false">AUG!AE50</f>
        <v>21004.13</v>
      </c>
      <c r="AF12" s="227" t="n">
        <f aca="false">AUG!AF50</f>
        <v>260.1</v>
      </c>
      <c r="AG12" s="229" t="n">
        <f aca="false">AUG!AG50</f>
        <v>198.9</v>
      </c>
      <c r="AH12" s="113"/>
      <c r="AI12" s="113"/>
      <c r="AJ12" s="113"/>
      <c r="AK12" s="113" t="n">
        <f aca="false">AUG!AK50</f>
        <v>85286.29</v>
      </c>
      <c r="AL12" s="113" t="n">
        <f aca="false">AUG!AL50</f>
        <v>6978.89965792791</v>
      </c>
      <c r="AM12" s="113" t="n">
        <f aca="false">AUG!AM50</f>
        <v>92265.1896579279</v>
      </c>
      <c r="AN12" s="231"/>
      <c r="AO12" s="226"/>
      <c r="AP12" s="143"/>
      <c r="AQ12" s="143" t="n">
        <f aca="false">AUG!AQ51</f>
        <v>1940.15570581878</v>
      </c>
      <c r="AR12" s="143" t="n">
        <f aca="false">AUG!AR50</f>
        <v>2706.82953023959</v>
      </c>
      <c r="AS12" s="226" t="n">
        <f aca="false">AUG!AS50</f>
        <v>568.13</v>
      </c>
      <c r="AT12" s="226" t="n">
        <f aca="false">AUG!AT50</f>
        <v>126.11</v>
      </c>
      <c r="AU12" s="143" t="n">
        <f aca="false">AUG!AU50</f>
        <v>716.565</v>
      </c>
      <c r="AV12" s="233"/>
      <c r="AW12" s="226"/>
      <c r="AX12" s="226"/>
      <c r="AY12" s="265"/>
      <c r="AZ12" s="432" t="n">
        <f aca="false">AUG!AZ50</f>
        <v>1259.77979168194</v>
      </c>
      <c r="BA12" s="110" t="n">
        <f aca="false">AUG!BA50</f>
        <v>1238.44</v>
      </c>
      <c r="BB12" s="85"/>
    </row>
    <row r="13" s="244" customFormat="true" ht="12.95" hidden="false" customHeight="true" outlineLevel="0" collapsed="false">
      <c r="A13" s="238" t="s">
        <v>104</v>
      </c>
      <c r="B13" s="437" t="n">
        <f aca="false">AUG!B45</f>
        <v>6875.15</v>
      </c>
      <c r="C13" s="113" t="n">
        <f aca="false">AUG!C45</f>
        <v>201989</v>
      </c>
      <c r="D13" s="113" t="n">
        <f aca="false">AUG!D54</f>
        <v>28267</v>
      </c>
      <c r="E13" s="113" t="n">
        <f aca="false">AUG!E54</f>
        <v>49989</v>
      </c>
      <c r="F13" s="225" t="n">
        <f aca="false">AUG!F53</f>
        <v>14251.071338543</v>
      </c>
      <c r="G13" s="113" t="n">
        <f aca="false">AUG!G53</f>
        <v>106219</v>
      </c>
      <c r="H13" s="113" t="n">
        <f aca="false">AUG!H53</f>
        <v>638.65</v>
      </c>
      <c r="I13" s="113" t="n">
        <f aca="false">AUG!I53</f>
        <v>106857.03</v>
      </c>
      <c r="J13" s="113" t="n">
        <f aca="false">AUG!J53</f>
        <v>4176.39629442904</v>
      </c>
      <c r="K13" s="113" t="n">
        <f aca="false">AUG!K53</f>
        <v>111033.416294429</v>
      </c>
      <c r="L13" s="113" t="n">
        <f aca="false">AUG!L53</f>
        <v>-3678.91866145702</v>
      </c>
      <c r="M13" s="227" t="n">
        <f aca="false">AUG!M53</f>
        <v>35955.34</v>
      </c>
      <c r="N13" s="113" t="n">
        <f aca="false">AUG!N53</f>
        <v>37.3884547517015</v>
      </c>
      <c r="O13" s="113" t="n">
        <f aca="false">AUG!O53</f>
        <v>11612.391</v>
      </c>
      <c r="P13" s="171"/>
      <c r="Q13" s="226" t="n">
        <f aca="false">AUG!Q53</f>
        <v>605.034638288196</v>
      </c>
      <c r="R13" s="226" t="n">
        <f aca="false">AUG!R53</f>
        <v>792.088287674581</v>
      </c>
      <c r="S13" s="226" t="n">
        <f aca="false">AUG!S53</f>
        <v>131.83308832</v>
      </c>
      <c r="T13" s="226" t="n">
        <f aca="false">AUG!T53</f>
        <v>228.75384272</v>
      </c>
      <c r="U13" s="327" t="n">
        <f aca="false">AUG!U53</f>
        <v>-65.0339372790604</v>
      </c>
      <c r="V13" s="113" t="n">
        <f aca="false">AUG!V53</f>
        <v>13185.78</v>
      </c>
      <c r="W13" s="113" t="n">
        <f aca="false">AUG!W53</f>
        <v>8125.89</v>
      </c>
      <c r="X13" s="113" t="n">
        <f aca="false">AUG!X53</f>
        <v>46483.2339557642</v>
      </c>
      <c r="Y13" s="161" t="n">
        <f aca="false">AUG!Y53</f>
        <v>46327.3975006077</v>
      </c>
      <c r="Z13" s="113"/>
      <c r="AA13" s="161"/>
      <c r="AB13" s="113"/>
      <c r="AC13" s="113"/>
      <c r="AD13" s="113"/>
      <c r="AE13" s="113" t="n">
        <f aca="false">AUG!AE51</f>
        <v>41661.691855</v>
      </c>
      <c r="AF13" s="103" t="n">
        <f aca="false">AF12</f>
        <v>260.1</v>
      </c>
      <c r="AG13" s="104" t="n">
        <f aca="false">AG12</f>
        <v>198.9</v>
      </c>
      <c r="AH13" s="113" t="n">
        <f aca="false">AUG!AH53</f>
        <v>10782</v>
      </c>
      <c r="AI13" s="113" t="n">
        <f aca="false">AUG!AI53</f>
        <v>6845.84923115706</v>
      </c>
      <c r="AJ13" s="113" t="n">
        <f aca="false">AUG!AJ53</f>
        <v>0</v>
      </c>
      <c r="AK13" s="113" t="n">
        <f aca="false">AUG!AK53</f>
        <v>88927.03</v>
      </c>
      <c r="AL13" s="113" t="n">
        <f aca="false">AUG!AL53</f>
        <v>7855.31495588606</v>
      </c>
      <c r="AM13" s="113" t="n">
        <f aca="false">AUG!AM53</f>
        <v>96782.3449558861</v>
      </c>
      <c r="AN13" s="231" t="n">
        <f aca="false">AUG!AN53</f>
        <v>2927.4</v>
      </c>
      <c r="AO13" s="226" t="n">
        <f aca="false">AUG!AO53</f>
        <v>235.836455156528</v>
      </c>
      <c r="AP13" s="143"/>
      <c r="AQ13" s="143" t="n">
        <f aca="false">AUG!AQ54</f>
        <v>1940.15570581878</v>
      </c>
      <c r="AR13" s="171"/>
      <c r="AS13" s="226" t="n">
        <f aca="false">AUG!AS53</f>
        <v>568.13</v>
      </c>
      <c r="AT13" s="226" t="n">
        <f aca="false">AUG!AT53</f>
        <v>126.11</v>
      </c>
      <c r="AU13" s="143"/>
      <c r="AV13" s="233" t="n">
        <f aca="false">AUG!AV53</f>
        <v>10.78</v>
      </c>
      <c r="AW13" s="226"/>
      <c r="AX13" s="226"/>
      <c r="AY13" s="312"/>
      <c r="AZ13" s="348" t="n">
        <f aca="false">AUG!AZ53</f>
        <v>1737.58365856919</v>
      </c>
      <c r="BA13" s="110" t="n">
        <f aca="false">AUG!BA53</f>
        <v>1238.44</v>
      </c>
      <c r="BB13" s="114"/>
    </row>
    <row r="14" customFormat="false" ht="3" hidden="false" customHeight="true" outlineLevel="0" collapsed="false">
      <c r="A14" s="245"/>
      <c r="B14" s="246"/>
      <c r="C14" s="247"/>
      <c r="D14" s="248"/>
      <c r="E14" s="247"/>
      <c r="F14" s="249"/>
      <c r="G14" s="248"/>
      <c r="H14" s="250"/>
      <c r="I14" s="248"/>
      <c r="J14" s="248"/>
      <c r="K14" s="248"/>
      <c r="L14" s="248"/>
      <c r="M14" s="251"/>
      <c r="N14" s="248"/>
      <c r="O14" s="248"/>
      <c r="P14" s="252"/>
      <c r="Q14" s="252"/>
      <c r="R14" s="252"/>
      <c r="S14" s="252"/>
      <c r="T14" s="252"/>
      <c r="U14" s="253"/>
      <c r="V14" s="248"/>
      <c r="W14" s="248"/>
      <c r="X14" s="248"/>
      <c r="Y14" s="248"/>
      <c r="Z14" s="247"/>
      <c r="AA14" s="248"/>
      <c r="AB14" s="247"/>
      <c r="AC14" s="247"/>
      <c r="AD14" s="247"/>
      <c r="AE14" s="248"/>
      <c r="AF14" s="127"/>
      <c r="AG14" s="128"/>
      <c r="AH14" s="248"/>
      <c r="AI14" s="247"/>
      <c r="AJ14" s="247"/>
      <c r="AK14" s="248"/>
      <c r="AL14" s="248"/>
      <c r="AM14" s="248"/>
      <c r="AN14" s="256"/>
      <c r="AO14" s="257"/>
      <c r="AP14" s="254"/>
      <c r="AQ14" s="252" t="s">
        <v>149</v>
      </c>
      <c r="AR14" s="252"/>
      <c r="AS14" s="252" t="s">
        <v>149</v>
      </c>
      <c r="AT14" s="252" t="s">
        <v>149</v>
      </c>
      <c r="AU14" s="254" t="s">
        <v>149</v>
      </c>
      <c r="AV14" s="259"/>
      <c r="AW14" s="257" t="n">
        <v>0</v>
      </c>
      <c r="AX14" s="257"/>
      <c r="AY14" s="257"/>
      <c r="AZ14" s="257"/>
      <c r="BA14" s="257"/>
      <c r="BB14" s="257"/>
    </row>
    <row r="15" customFormat="false" ht="12.95" hidden="false" customHeight="true" outlineLevel="0" collapsed="false">
      <c r="A15" s="192" t="n">
        <v>1</v>
      </c>
      <c r="B15" s="112" t="n">
        <v>6874.77</v>
      </c>
      <c r="C15" s="113" t="n">
        <v>200912</v>
      </c>
      <c r="D15" s="226" t="n">
        <f aca="false">C15-C13</f>
        <v>-1077</v>
      </c>
      <c r="E15" s="113" t="n">
        <f aca="false">C15-152000</f>
        <v>48912</v>
      </c>
      <c r="F15" s="260" t="n">
        <f aca="false">D15/$D$2</f>
        <v>-542.979581547769</v>
      </c>
      <c r="G15" s="347" t="n">
        <v>101</v>
      </c>
      <c r="H15" s="584" t="n">
        <v>0</v>
      </c>
      <c r="I15" s="347" t="n">
        <f aca="false">G15+H15</f>
        <v>101</v>
      </c>
      <c r="J15" s="143" t="n">
        <f aca="false">IF(L15&gt;0,L15,0)</f>
        <v>0</v>
      </c>
      <c r="K15" s="142" t="n">
        <f aca="false">I15+J15</f>
        <v>101</v>
      </c>
      <c r="L15" s="142" t="n">
        <f aca="false">F15-(I15-AK15)</f>
        <v>-42.129581547769</v>
      </c>
      <c r="M15" s="262" t="n">
        <v>224</v>
      </c>
      <c r="N15" s="171" t="n">
        <f aca="false">1/$D$2*1.03</f>
        <v>0.519284093773632</v>
      </c>
      <c r="O15" s="142" t="n">
        <f aca="false">71.8*1.05</f>
        <v>75.39</v>
      </c>
      <c r="P15" s="171" t="n">
        <v>0</v>
      </c>
      <c r="Q15" s="346" t="n">
        <f aca="false">1750100/325851/1.9835*1.02</f>
        <v>2.76192431618412</v>
      </c>
      <c r="R15" s="138" t="n">
        <f aca="false">(4.6*1.04)-T15</f>
        <v>3.53354768</v>
      </c>
      <c r="S15" s="138" t="n">
        <v>0</v>
      </c>
      <c r="T15" s="138" t="n">
        <f aca="false">(1.1343*1.06)*1.04</f>
        <v>1.25045232</v>
      </c>
      <c r="U15" s="365" t="n">
        <v>0</v>
      </c>
      <c r="V15" s="142" t="n">
        <v>86.3</v>
      </c>
      <c r="W15" s="142" t="n">
        <v>58.6</v>
      </c>
      <c r="X15" s="347" t="n">
        <f aca="false">M15-N15-O15-P15-Q15-R15-S15-T15-U15+V15+W15-AT15+AR15</f>
        <v>283.394791590042</v>
      </c>
      <c r="Y15" s="347" t="n">
        <f aca="false">X15-AO15</f>
        <v>283.394791590042</v>
      </c>
      <c r="Z15" s="113" t="n">
        <f aca="false">Z12+AP15</f>
        <v>1950.65790427605</v>
      </c>
      <c r="AA15" s="142" t="n">
        <f aca="false">(-AP15)</f>
        <v>190.390263586226</v>
      </c>
      <c r="AB15" s="441"/>
      <c r="AC15" s="441" t="n">
        <f aca="false">AC12-(AUG!AQ45/1.9835)+AS15</f>
        <v>1313.2824296351</v>
      </c>
      <c r="AD15" s="449" t="n">
        <f aca="false">AD12</f>
        <v>4858.65512901258</v>
      </c>
      <c r="AE15" s="347" t="n">
        <v>164</v>
      </c>
      <c r="AF15" s="144" t="n">
        <v>1.7</v>
      </c>
      <c r="AG15" s="145" t="n">
        <v>1.3</v>
      </c>
      <c r="AH15" s="142" t="n">
        <v>71</v>
      </c>
      <c r="AI15" s="113" t="n">
        <f aca="false">AI13-AH15</f>
        <v>6774.84923115706</v>
      </c>
      <c r="AJ15" s="113"/>
      <c r="AK15" s="141" t="n">
        <f aca="false">N15+O15+P15+Q15+R15+S15+T15+U15+X15+AE15+AH15-AR15</f>
        <v>601.85</v>
      </c>
      <c r="AL15" s="142" t="n">
        <f aca="false">IF(L15&lt;0,L15*-1,0)</f>
        <v>42.129581547769</v>
      </c>
      <c r="AM15" s="142" t="n">
        <f aca="false">AK15+AL15</f>
        <v>643.979581547769</v>
      </c>
      <c r="AN15" s="231"/>
      <c r="AO15" s="226"/>
      <c r="AP15" s="585" t="n">
        <f aca="false">I15-Q15-R15-X15-AF15</f>
        <v>-190.390263586226</v>
      </c>
      <c r="AQ15" s="556" t="n">
        <f aca="false">32.282*(Z15*1.9835+AC15*1.9835)/E15</f>
        <v>4.27286751938095</v>
      </c>
      <c r="AR15" s="171"/>
      <c r="AS15" s="142" t="n">
        <f aca="false">BA15</f>
        <v>9.16</v>
      </c>
      <c r="AT15" s="56" t="n">
        <v>2.05</v>
      </c>
      <c r="AU15" s="110" t="n">
        <f aca="false">O15</f>
        <v>75.39</v>
      </c>
      <c r="AV15" s="233" t="n">
        <v>0</v>
      </c>
      <c r="AW15" s="226" t="n">
        <v>86</v>
      </c>
      <c r="AX15" s="226" t="n">
        <v>50</v>
      </c>
      <c r="AY15" s="265"/>
      <c r="AZ15" s="264" t="n">
        <f aca="false">SUM(N15,P15:U15)</f>
        <v>8.06520840995775</v>
      </c>
      <c r="BA15" s="56" t="n">
        <v>9.16</v>
      </c>
      <c r="BB15" s="85" t="n">
        <v>14654</v>
      </c>
    </row>
    <row r="16" customFormat="false" ht="12.95" hidden="false" customHeight="true" outlineLevel="0" collapsed="false">
      <c r="A16" s="192" t="n">
        <v>2</v>
      </c>
      <c r="B16" s="112" t="n">
        <v>6874.36</v>
      </c>
      <c r="C16" s="113" t="n">
        <v>199755</v>
      </c>
      <c r="D16" s="226" t="n">
        <f aca="false">C16-C15</f>
        <v>-1157</v>
      </c>
      <c r="E16" s="113" t="n">
        <f aca="false">C16-152000</f>
        <v>47755</v>
      </c>
      <c r="F16" s="260" t="n">
        <f aca="false">D16/$D$2</f>
        <v>-583.312326695236</v>
      </c>
      <c r="G16" s="347" t="n">
        <v>94</v>
      </c>
      <c r="H16" s="584" t="n">
        <v>0</v>
      </c>
      <c r="I16" s="347" t="n">
        <f aca="false">G16+H16</f>
        <v>94</v>
      </c>
      <c r="J16" s="143" t="n">
        <f aca="false">IF(L16&gt;0,L16,0)</f>
        <v>0</v>
      </c>
      <c r="K16" s="142" t="n">
        <f aca="false">I16+J16</f>
        <v>94</v>
      </c>
      <c r="L16" s="142" t="n">
        <f aca="false">F16-(I16-AK16)</f>
        <v>-25.9023266952357</v>
      </c>
      <c r="M16" s="262" t="n">
        <v>235</v>
      </c>
      <c r="N16" s="171" t="n">
        <f aca="false">1/$D$2*1.03</f>
        <v>0.519284093773632</v>
      </c>
      <c r="O16" s="142" t="n">
        <f aca="false">63.2*1.05</f>
        <v>66.36</v>
      </c>
      <c r="P16" s="171" t="n">
        <v>0</v>
      </c>
      <c r="Q16" s="346" t="n">
        <f aca="false">1598600/325851/1.9835*1.02</f>
        <v>2.52283424481569</v>
      </c>
      <c r="R16" s="138" t="n">
        <f aca="false">(4.5*1.04)-T16</f>
        <v>3.42954768</v>
      </c>
      <c r="S16" s="138" t="n">
        <v>0</v>
      </c>
      <c r="T16" s="138" t="n">
        <f aca="false">(1.1343*1.06)*1.04</f>
        <v>1.25045232</v>
      </c>
      <c r="U16" s="365" t="n">
        <v>0</v>
      </c>
      <c r="V16" s="142" t="n">
        <v>95.3</v>
      </c>
      <c r="W16" s="142" t="n">
        <v>58.7</v>
      </c>
      <c r="X16" s="347" t="n">
        <f aca="false">M16-N16-O16-P16-Q16-R16-S16-T16-U16+V16+W16-AT16+AR16</f>
        <v>312.327881661411</v>
      </c>
      <c r="Y16" s="347" t="n">
        <f aca="false">X16-AO16</f>
        <v>312.327881661411</v>
      </c>
      <c r="Z16" s="113" t="n">
        <f aca="false">Z15+AP16</f>
        <v>1724.67764068983</v>
      </c>
      <c r="AA16" s="142" t="n">
        <f aca="false">(-AP16)</f>
        <v>225.980263586226</v>
      </c>
      <c r="AB16" s="441"/>
      <c r="AC16" s="441" t="n">
        <f aca="false">AC15-(AQ15/1.9835)+AS16</f>
        <v>1320.30822367625</v>
      </c>
      <c r="AD16" s="449" t="n">
        <f aca="false">AD15</f>
        <v>4858.65512901258</v>
      </c>
      <c r="AE16" s="347" t="n">
        <v>194</v>
      </c>
      <c r="AF16" s="144" t="n">
        <v>1.7</v>
      </c>
      <c r="AG16" s="145" t="n">
        <v>1.3</v>
      </c>
      <c r="AH16" s="142" t="n">
        <v>71</v>
      </c>
      <c r="AI16" s="113" t="n">
        <f aca="false">AI15-AH16</f>
        <v>6703.84923115706</v>
      </c>
      <c r="AJ16" s="113"/>
      <c r="AK16" s="141" t="n">
        <f aca="false">N16+O16+P16+Q16+R16+S16+T16+U16+X16+AE16+AH16-AR16</f>
        <v>651.41</v>
      </c>
      <c r="AL16" s="142" t="n">
        <f aca="false">IF(L16&lt;0,L16*-1,0)</f>
        <v>25.9023266952357</v>
      </c>
      <c r="AM16" s="142" t="n">
        <f aca="false">AK16+AL16</f>
        <v>677.312326695236</v>
      </c>
      <c r="AN16" s="231"/>
      <c r="AO16" s="226"/>
      <c r="AP16" s="585" t="n">
        <f aca="false">I16-Q16-R16-X16-AF16</f>
        <v>-225.980263586226</v>
      </c>
      <c r="AQ16" s="556" t="n">
        <f aca="false">45.144*(Z16*1.9835+AC16*1.9835)/E16</f>
        <v>5.70950783857562</v>
      </c>
      <c r="AR16" s="171"/>
      <c r="AS16" s="142" t="n">
        <f aca="false">BA16</f>
        <v>9.18</v>
      </c>
      <c r="AT16" s="56" t="n">
        <v>2.59</v>
      </c>
      <c r="AU16" s="110" t="n">
        <f aca="false">O16</f>
        <v>66.36</v>
      </c>
      <c r="AV16" s="233" t="n">
        <v>0</v>
      </c>
      <c r="AW16" s="226" t="n">
        <v>89</v>
      </c>
      <c r="AX16" s="226" t="n">
        <v>52</v>
      </c>
      <c r="AY16" s="265"/>
      <c r="AZ16" s="264" t="n">
        <f aca="false">SUM(N16,P16:U16)</f>
        <v>7.72211833858932</v>
      </c>
      <c r="BA16" s="56" t="n">
        <v>9.18</v>
      </c>
      <c r="BB16" s="85" t="n">
        <v>14607</v>
      </c>
    </row>
    <row r="17" customFormat="false" ht="12.95" hidden="false" customHeight="true" outlineLevel="0" collapsed="false">
      <c r="A17" s="192" t="n">
        <v>3</v>
      </c>
      <c r="B17" s="112" t="n">
        <v>6873.93</v>
      </c>
      <c r="C17" s="113" t="n">
        <v>198544</v>
      </c>
      <c r="D17" s="226" t="n">
        <f aca="false">C17-C16</f>
        <v>-1211</v>
      </c>
      <c r="E17" s="113" t="n">
        <f aca="false">C17-152000</f>
        <v>46544</v>
      </c>
      <c r="F17" s="260" t="n">
        <f aca="false">D17/$D$2</f>
        <v>-610.536929669776</v>
      </c>
      <c r="G17" s="347" t="n">
        <v>88</v>
      </c>
      <c r="H17" s="584" t="n">
        <v>0</v>
      </c>
      <c r="I17" s="347" t="n">
        <f aca="false">G17+H17</f>
        <v>88</v>
      </c>
      <c r="J17" s="143" t="n">
        <f aca="false">IF(L17&gt;0,L17,0)</f>
        <v>0</v>
      </c>
      <c r="K17" s="142" t="n">
        <f aca="false">I17+J17</f>
        <v>88</v>
      </c>
      <c r="L17" s="142" t="n">
        <f aca="false">F17-(I17-AK17)</f>
        <v>-49.2569296697756</v>
      </c>
      <c r="M17" s="262" t="n">
        <v>229</v>
      </c>
      <c r="N17" s="171" t="n">
        <f aca="false">1/$D$2*1.03</f>
        <v>0.519284093773632</v>
      </c>
      <c r="O17" s="142" t="n">
        <f aca="false">53.1*1.05</f>
        <v>55.755</v>
      </c>
      <c r="P17" s="171" t="n">
        <v>0</v>
      </c>
      <c r="Q17" s="346" t="n">
        <f aca="false">1685700/325851/1.9835*1.02</f>
        <v>2.66029130894896</v>
      </c>
      <c r="R17" s="138" t="n">
        <f aca="false">(4.4*1.04)-T17</f>
        <v>3.32554768</v>
      </c>
      <c r="S17" s="138" t="n">
        <v>0</v>
      </c>
      <c r="T17" s="138" t="n">
        <f aca="false">(1.1343*1.06)*1.04</f>
        <v>1.25045232</v>
      </c>
      <c r="U17" s="365" t="n">
        <v>0</v>
      </c>
      <c r="V17" s="142" t="n">
        <v>102</v>
      </c>
      <c r="W17" s="142" t="n">
        <v>58.1</v>
      </c>
      <c r="X17" s="347" t="n">
        <f aca="false">M17-N17-O17-P17-Q17-R17-S17-T17-U17+V17+W17-AT17+AR17</f>
        <v>323.169424597277</v>
      </c>
      <c r="Y17" s="347" t="n">
        <f aca="false">X17-AO17</f>
        <v>323.169424597277</v>
      </c>
      <c r="Z17" s="113" t="n">
        <f aca="false">Z16+AP17</f>
        <v>1481.8223771036</v>
      </c>
      <c r="AA17" s="142" t="n">
        <f aca="false">(-AP17)</f>
        <v>242.855263586226</v>
      </c>
      <c r="AB17" s="441"/>
      <c r="AC17" s="441" t="n">
        <f aca="false">AC16-(AQ16/1.9835)+AS17</f>
        <v>1326.57972211911</v>
      </c>
      <c r="AD17" s="449" t="n">
        <f aca="false">AD16</f>
        <v>4858.65512901258</v>
      </c>
      <c r="AE17" s="347" t="n">
        <v>197</v>
      </c>
      <c r="AF17" s="144" t="n">
        <v>1.7</v>
      </c>
      <c r="AG17" s="145" t="n">
        <v>1.3</v>
      </c>
      <c r="AH17" s="142" t="n">
        <v>65.6</v>
      </c>
      <c r="AI17" s="113" t="n">
        <f aca="false">AI16-AH17</f>
        <v>6638.24923115706</v>
      </c>
      <c r="AJ17" s="113"/>
      <c r="AK17" s="141" t="n">
        <f aca="false">N17+O17+P17+Q17+R17+S17+T17+U17+X17+AE17+AH17-AR17</f>
        <v>649.28</v>
      </c>
      <c r="AL17" s="142" t="n">
        <f aca="false">IF(L17&lt;0,L17*-1,0)</f>
        <v>49.2569296697756</v>
      </c>
      <c r="AM17" s="142" t="n">
        <f aca="false">AK17+AL17</f>
        <v>698.536929669776</v>
      </c>
      <c r="AN17" s="231"/>
      <c r="AO17" s="226"/>
      <c r="AP17" s="585" t="n">
        <f aca="false">I17-Q17-R17-X17-AF17</f>
        <v>-242.855263586226</v>
      </c>
      <c r="AQ17" s="556" t="n">
        <f aca="false">44.327*(Z17*1.9835+AC17*1.9835)/E17</f>
        <v>5.30513121018667</v>
      </c>
      <c r="AR17" s="171"/>
      <c r="AS17" s="142" t="n">
        <f aca="false">BA17</f>
        <v>9.15</v>
      </c>
      <c r="AT17" s="56" t="n">
        <v>2.42</v>
      </c>
      <c r="AU17" s="110" t="n">
        <f aca="false">O17</f>
        <v>55.755</v>
      </c>
      <c r="AV17" s="233" t="n">
        <v>0</v>
      </c>
      <c r="AW17" s="226" t="n">
        <v>88</v>
      </c>
      <c r="AX17" s="226" t="n">
        <v>51</v>
      </c>
      <c r="AY17" s="265"/>
      <c r="AZ17" s="264" t="n">
        <f aca="false">SUM(N17,P17:U17)</f>
        <v>7.75557540272259</v>
      </c>
      <c r="BA17" s="56" t="n">
        <v>9.15</v>
      </c>
      <c r="BB17" s="85" t="n">
        <v>14575</v>
      </c>
    </row>
    <row r="18" customFormat="false" ht="12.95" hidden="false" customHeight="true" outlineLevel="0" collapsed="false">
      <c r="A18" s="192" t="n">
        <v>4</v>
      </c>
      <c r="B18" s="112" t="n">
        <v>6873.5</v>
      </c>
      <c r="C18" s="113" t="n">
        <v>197346</v>
      </c>
      <c r="D18" s="226" t="n">
        <f aca="false">C18-C17</f>
        <v>-1198</v>
      </c>
      <c r="E18" s="113" t="n">
        <f aca="false">C18-152000</f>
        <v>45346</v>
      </c>
      <c r="F18" s="260" t="n">
        <f aca="false">D18/$D$2</f>
        <v>-603.982858583312</v>
      </c>
      <c r="G18" s="347" t="n">
        <v>83</v>
      </c>
      <c r="H18" s="584" t="n">
        <v>0</v>
      </c>
      <c r="I18" s="347" t="n">
        <f aca="false">G18+H18</f>
        <v>83</v>
      </c>
      <c r="J18" s="143" t="n">
        <f aca="false">IF(L18&gt;0,L18,0)</f>
        <v>0</v>
      </c>
      <c r="K18" s="142" t="n">
        <f aca="false">I18+J18</f>
        <v>83</v>
      </c>
      <c r="L18" s="142" t="n">
        <f aca="false">F18-(I18-AK18)</f>
        <v>-11.4928585833123</v>
      </c>
      <c r="M18" s="262" t="n">
        <v>252</v>
      </c>
      <c r="N18" s="171" t="n">
        <f aca="false">1/$D$2*1.03</f>
        <v>0.519284093773632</v>
      </c>
      <c r="O18" s="142" t="n">
        <f aca="false">69.5*1.05</f>
        <v>72.975</v>
      </c>
      <c r="P18" s="171" t="n">
        <v>0</v>
      </c>
      <c r="Q18" s="346" t="n">
        <f aca="false">1218100/325851/1.9835*1.02</f>
        <v>1.92234729989365</v>
      </c>
      <c r="R18" s="138" t="n">
        <v>4.2</v>
      </c>
      <c r="S18" s="138" t="n">
        <f aca="false">((6*1.04)-T18)-4.2</f>
        <v>0.789547679999999</v>
      </c>
      <c r="T18" s="138" t="n">
        <f aca="false">(1.1343*1.06)*1.04</f>
        <v>1.25045232</v>
      </c>
      <c r="U18" s="365" t="n">
        <v>0</v>
      </c>
      <c r="V18" s="142" t="n">
        <v>103</v>
      </c>
      <c r="W18" s="142" t="n">
        <v>58.2</v>
      </c>
      <c r="X18" s="347" t="n">
        <f aca="false">M18-N18-O18-P18-Q18-R18-S18-T18-U18+V18+W18-AT18+AR18</f>
        <v>329.533368606333</v>
      </c>
      <c r="Y18" s="347" t="n">
        <f aca="false">X18-AO18</f>
        <v>329.533368606333</v>
      </c>
      <c r="Z18" s="113" t="n">
        <f aca="false">Z17+AP18</f>
        <v>1227.46666119737</v>
      </c>
      <c r="AA18" s="142" t="n">
        <f aca="false">(-AP18)</f>
        <v>254.355715906226</v>
      </c>
      <c r="AB18" s="441"/>
      <c r="AC18" s="441" t="n">
        <f aca="false">AC17-(AQ17/1.9835)+AS18</f>
        <v>1332.64509080569</v>
      </c>
      <c r="AD18" s="449" t="n">
        <f aca="false">AD17</f>
        <v>4858.65512901258</v>
      </c>
      <c r="AE18" s="347" t="n">
        <v>206</v>
      </c>
      <c r="AF18" s="144" t="n">
        <v>1.7</v>
      </c>
      <c r="AG18" s="145" t="n">
        <v>1.3</v>
      </c>
      <c r="AH18" s="142" t="n">
        <v>58.3</v>
      </c>
      <c r="AI18" s="113" t="n">
        <f aca="false">AI17-AH18</f>
        <v>6579.94923115706</v>
      </c>
      <c r="AJ18" s="113"/>
      <c r="AK18" s="141" t="n">
        <f aca="false">N18+O18+P18+Q18+R18+S18+T18+U18+X18+AE18+AH18-AR18</f>
        <v>675.49</v>
      </c>
      <c r="AL18" s="142" t="n">
        <f aca="false">IF(L18&lt;0,L18*-1,0)</f>
        <v>11.4928585833123</v>
      </c>
      <c r="AM18" s="142" t="n">
        <f aca="false">AK18+AL18</f>
        <v>686.982858583312</v>
      </c>
      <c r="AN18" s="231"/>
      <c r="AO18" s="226"/>
      <c r="AP18" s="585" t="n">
        <f aca="false">I18-Q18-R18-X18-AF18</f>
        <v>-254.355715906226</v>
      </c>
      <c r="AQ18" s="556" t="n">
        <f aca="false">0*(Z18*1.9835+AC18*1.9835)/E18</f>
        <v>0</v>
      </c>
      <c r="AR18" s="171"/>
      <c r="AS18" s="142" t="n">
        <f aca="false">BA18</f>
        <v>8.74</v>
      </c>
      <c r="AT18" s="56" t="n">
        <v>2.01</v>
      </c>
      <c r="AU18" s="110" t="n">
        <f aca="false">O18</f>
        <v>72.975</v>
      </c>
      <c r="AV18" s="233" t="n">
        <v>0.14</v>
      </c>
      <c r="AW18" s="226" t="n">
        <v>69</v>
      </c>
      <c r="AX18" s="226" t="n">
        <v>51</v>
      </c>
      <c r="AY18" s="265"/>
      <c r="AZ18" s="264" t="n">
        <f aca="false">SUM(N18,P18:U18)</f>
        <v>8.68163139366728</v>
      </c>
      <c r="BA18" s="56" t="n">
        <v>8.74</v>
      </c>
      <c r="BB18" s="85" t="n">
        <v>14555</v>
      </c>
    </row>
    <row r="19" customFormat="false" ht="12.95" hidden="false" customHeight="true" outlineLevel="0" collapsed="false">
      <c r="A19" s="192" t="n">
        <v>5</v>
      </c>
      <c r="B19" s="112" t="n">
        <v>6873.07</v>
      </c>
      <c r="C19" s="113" t="n">
        <v>196148</v>
      </c>
      <c r="D19" s="226" t="n">
        <f aca="false">C19-C18</f>
        <v>-1198</v>
      </c>
      <c r="E19" s="113" t="n">
        <f aca="false">C19-152000</f>
        <v>44148</v>
      </c>
      <c r="F19" s="260" t="n">
        <f aca="false">D19/$D$2</f>
        <v>-603.982858583312</v>
      </c>
      <c r="G19" s="347" t="n">
        <v>88</v>
      </c>
      <c r="H19" s="584" t="n">
        <v>0</v>
      </c>
      <c r="I19" s="347" t="n">
        <f aca="false">G19+H19</f>
        <v>88</v>
      </c>
      <c r="J19" s="143" t="n">
        <f aca="false">IF(L19&gt;0,L19,0)</f>
        <v>0</v>
      </c>
      <c r="K19" s="142" t="n">
        <f aca="false">I19+J19</f>
        <v>88</v>
      </c>
      <c r="L19" s="142" t="n">
        <f aca="false">F19-(I19-AK19)</f>
        <v>-26.8428585833122</v>
      </c>
      <c r="M19" s="262" t="n">
        <v>230</v>
      </c>
      <c r="N19" s="171" t="n">
        <f aca="false">1/$D$2*1.03</f>
        <v>0.519284093773632</v>
      </c>
      <c r="O19" s="142" t="n">
        <f aca="false">75.7*1.05</f>
        <v>79.485</v>
      </c>
      <c r="P19" s="171" t="n">
        <v>0</v>
      </c>
      <c r="Q19" s="346" t="n">
        <f aca="false">1298500/325851/1.9835*1.02</f>
        <v>2.04923074370898</v>
      </c>
      <c r="R19" s="138" t="n">
        <v>4.2</v>
      </c>
      <c r="S19" s="138" t="n">
        <f aca="false">((6*1.04)-T19)-4.2</f>
        <v>0.73012832</v>
      </c>
      <c r="T19" s="138" t="n">
        <f aca="false">(1.1882*1.06)*1.04</f>
        <v>1.30987168</v>
      </c>
      <c r="U19" s="365" t="n">
        <v>0</v>
      </c>
      <c r="V19" s="142" t="n">
        <v>105</v>
      </c>
      <c r="W19" s="142" t="n">
        <v>60.3</v>
      </c>
      <c r="X19" s="347" t="n">
        <f aca="false">M19-N19-O19-P19-Q19-R19-S19-T19-U19+V19+W19-AT19+AR19</f>
        <v>305.246485162517</v>
      </c>
      <c r="Y19" s="347" t="n">
        <f aca="false">X19-AO19</f>
        <v>305.246485162517</v>
      </c>
      <c r="Z19" s="113" t="n">
        <f aca="false">Z18+AP19</f>
        <v>1002.27094529115</v>
      </c>
      <c r="AA19" s="142" t="n">
        <f aca="false">(-AP19)</f>
        <v>225.195715906226</v>
      </c>
      <c r="AB19" s="441"/>
      <c r="AC19" s="441" t="n">
        <f aca="false">AC18-(AQ18/1.9835)+AS19</f>
        <v>1341.38509080569</v>
      </c>
      <c r="AD19" s="449" t="n">
        <f aca="false">AD18</f>
        <v>4858.65512901258</v>
      </c>
      <c r="AE19" s="347" t="n">
        <v>216</v>
      </c>
      <c r="AF19" s="144" t="n">
        <v>1.7</v>
      </c>
      <c r="AG19" s="145" t="n">
        <v>1.3</v>
      </c>
      <c r="AH19" s="142" t="n">
        <v>55.6</v>
      </c>
      <c r="AI19" s="113" t="n">
        <f aca="false">AI18-AH19</f>
        <v>6524.34923115706</v>
      </c>
      <c r="AJ19" s="113"/>
      <c r="AK19" s="141" t="n">
        <f aca="false">N19+O19+P19+Q19+R19+S19+T19+U19+X19+AE19+AH19-AR19</f>
        <v>665.14</v>
      </c>
      <c r="AL19" s="142" t="n">
        <f aca="false">IF(L19&lt;0,L19*-1,0)</f>
        <v>26.8428585833122</v>
      </c>
      <c r="AM19" s="142" t="n">
        <f aca="false">AK19+AL19</f>
        <v>691.982858583312</v>
      </c>
      <c r="AN19" s="231"/>
      <c r="AO19" s="226"/>
      <c r="AP19" s="585" t="n">
        <f aca="false">I19-Q19-R19-X19-AF19</f>
        <v>-225.195715906226</v>
      </c>
      <c r="AQ19" s="556" t="n">
        <f aca="false">20.514*(Z19*1.9835+AC19*1.9835)/E19</f>
        <v>2.16005791451995</v>
      </c>
      <c r="AR19" s="171"/>
      <c r="AS19" s="142" t="n">
        <f aca="false">BA19</f>
        <v>8.74</v>
      </c>
      <c r="AT19" s="56" t="n">
        <v>1.76</v>
      </c>
      <c r="AU19" s="110" t="n">
        <f aca="false">O19</f>
        <v>79.485</v>
      </c>
      <c r="AV19" s="586" t="n">
        <v>0</v>
      </c>
      <c r="AW19" s="226" t="n">
        <v>82</v>
      </c>
      <c r="AX19" s="226" t="n">
        <v>47</v>
      </c>
      <c r="AY19" s="265"/>
      <c r="AZ19" s="264" t="n">
        <f aca="false">SUM(N19,P19:U19)</f>
        <v>8.80851483748261</v>
      </c>
      <c r="BA19" s="56" t="n">
        <v>8.74</v>
      </c>
      <c r="BB19" s="85" t="n">
        <v>14514</v>
      </c>
    </row>
    <row r="20" customFormat="false" ht="12.95" hidden="false" customHeight="true" outlineLevel="0" collapsed="false">
      <c r="A20" s="192" t="n">
        <v>6</v>
      </c>
      <c r="B20" s="112" t="n">
        <v>6872.62</v>
      </c>
      <c r="C20" s="113" t="n">
        <v>194907</v>
      </c>
      <c r="D20" s="226" t="n">
        <f aca="false">C20-C19</f>
        <v>-1241</v>
      </c>
      <c r="E20" s="113" t="n">
        <f aca="false">C20-152000</f>
        <v>42907</v>
      </c>
      <c r="F20" s="260" t="n">
        <f aca="false">D20/$D$2</f>
        <v>-625.661709100076</v>
      </c>
      <c r="G20" s="347" t="n">
        <v>82</v>
      </c>
      <c r="H20" s="584" t="n">
        <v>0</v>
      </c>
      <c r="I20" s="347" t="n">
        <f aca="false">G20+H20</f>
        <v>82</v>
      </c>
      <c r="J20" s="143" t="n">
        <f aca="false">IF(L20&gt;0,L20,0)</f>
        <v>0</v>
      </c>
      <c r="K20" s="142" t="n">
        <f aca="false">I20+J20</f>
        <v>82</v>
      </c>
      <c r="L20" s="142" t="n">
        <f aca="false">F20-(I20-AK20)</f>
        <v>-34.4717091000755</v>
      </c>
      <c r="M20" s="262" t="n">
        <v>234</v>
      </c>
      <c r="N20" s="171" t="n">
        <f aca="false">1/$D$2*1.03</f>
        <v>0.519284093773632</v>
      </c>
      <c r="O20" s="142" t="n">
        <f aca="false">49.2*1.05</f>
        <v>51.66</v>
      </c>
      <c r="P20" s="171" t="n">
        <v>0</v>
      </c>
      <c r="Q20" s="346" t="n">
        <f aca="false">1596700/325851/1.9835*1.02</f>
        <v>2.51983575547179</v>
      </c>
      <c r="R20" s="138" t="n">
        <v>4.2</v>
      </c>
      <c r="S20" s="138" t="n">
        <f aca="false">((6.1*1.04)-T20)-4.2</f>
        <v>0.834128319999999</v>
      </c>
      <c r="T20" s="138" t="n">
        <f aca="false">(1.1882*1.06)*1.04</f>
        <v>1.30987168</v>
      </c>
      <c r="U20" s="365" t="n">
        <v>0</v>
      </c>
      <c r="V20" s="142" t="n">
        <v>106</v>
      </c>
      <c r="W20" s="142" t="n">
        <v>60.3</v>
      </c>
      <c r="X20" s="347" t="n">
        <f aca="false">M20-N20-O20-P20-Q20-R20-S20-T20-U20+V20+W20-AT20+AR20</f>
        <v>337.546880150755</v>
      </c>
      <c r="Y20" s="347" t="n">
        <f aca="false">X20-AO20</f>
        <v>337.546880150755</v>
      </c>
      <c r="Z20" s="113" t="n">
        <f aca="false">Z19+AP20</f>
        <v>738.304229384921</v>
      </c>
      <c r="AA20" s="142" t="n">
        <f aca="false">(-AP20)</f>
        <v>263.966715906226</v>
      </c>
      <c r="AB20" s="441"/>
      <c r="AC20" s="441" t="n">
        <f aca="false">AC19-(AQ19/1.9835)+AS20</f>
        <v>1349.03607748856</v>
      </c>
      <c r="AD20" s="449" t="n">
        <f aca="false">AD19</f>
        <v>4858.65512901258</v>
      </c>
      <c r="AE20" s="347" t="n">
        <v>219</v>
      </c>
      <c r="AF20" s="144" t="n">
        <v>1.7</v>
      </c>
      <c r="AG20" s="145" t="n">
        <v>1.3</v>
      </c>
      <c r="AH20" s="142" t="n">
        <v>55.6</v>
      </c>
      <c r="AI20" s="113" t="n">
        <f aca="false">AI19-AH20</f>
        <v>6468.74923115706</v>
      </c>
      <c r="AJ20" s="113"/>
      <c r="AK20" s="141" t="n">
        <f aca="false">N20+O20+P20+Q20+R20+S20+T20+U20+X20+AE20+AH20-AR20</f>
        <v>673.19</v>
      </c>
      <c r="AL20" s="142" t="n">
        <f aca="false">IF(L20&lt;0,L20*-1,0)</f>
        <v>34.4717091000755</v>
      </c>
      <c r="AM20" s="142" t="n">
        <f aca="false">AK20+AL20</f>
        <v>707.661709100076</v>
      </c>
      <c r="AN20" s="231"/>
      <c r="AO20" s="226"/>
      <c r="AP20" s="585" t="n">
        <f aca="false">I20-Q20-R20-X20-AF20</f>
        <v>-263.966715906226</v>
      </c>
      <c r="AQ20" s="556" t="n">
        <f aca="false">31.174*(Z20*1.9835+AC20*1.9835)/E20</f>
        <v>3.00808320628245</v>
      </c>
      <c r="AR20" s="171"/>
      <c r="AS20" s="142" t="n">
        <f aca="false">BA20</f>
        <v>8.74</v>
      </c>
      <c r="AT20" s="56" t="n">
        <v>1.71</v>
      </c>
      <c r="AU20" s="110" t="n">
        <f aca="false">O20</f>
        <v>51.66</v>
      </c>
      <c r="AV20" s="233" t="n">
        <v>0</v>
      </c>
      <c r="AW20" s="226" t="n">
        <v>85</v>
      </c>
      <c r="AX20" s="226" t="n">
        <v>50</v>
      </c>
      <c r="AY20" s="265"/>
      <c r="AZ20" s="264" t="n">
        <f aca="false">SUM(N20,P20:U20)</f>
        <v>9.38311984924542</v>
      </c>
      <c r="BA20" s="56" t="n">
        <v>8.74</v>
      </c>
      <c r="BB20" s="85" t="n">
        <v>14562</v>
      </c>
    </row>
    <row r="21" customFormat="false" ht="12.95" hidden="false" customHeight="true" outlineLevel="0" collapsed="false">
      <c r="A21" s="192" t="n">
        <v>7</v>
      </c>
      <c r="B21" s="112" t="n">
        <v>6872.22</v>
      </c>
      <c r="C21" s="113" t="n">
        <v>193806</v>
      </c>
      <c r="D21" s="226" t="n">
        <f aca="false">C21-C20</f>
        <v>-1101</v>
      </c>
      <c r="E21" s="113" t="n">
        <f aca="false">C21-152000</f>
        <v>41806</v>
      </c>
      <c r="F21" s="260" t="n">
        <f aca="false">D21/$D$2</f>
        <v>-555.079405092009</v>
      </c>
      <c r="G21" s="347" t="n">
        <v>78</v>
      </c>
      <c r="H21" s="584" t="n">
        <v>0</v>
      </c>
      <c r="I21" s="347" t="n">
        <f aca="false">G21+H21</f>
        <v>78</v>
      </c>
      <c r="J21" s="143" t="n">
        <f aca="false">IF(L21&gt;0,L21,0)</f>
        <v>0</v>
      </c>
      <c r="K21" s="142" t="n">
        <f aca="false">I21+J21</f>
        <v>78</v>
      </c>
      <c r="L21" s="142" t="n">
        <f aca="false">F21-(I21-AK21)</f>
        <v>-39.6894050920091</v>
      </c>
      <c r="M21" s="262" t="n">
        <v>207</v>
      </c>
      <c r="N21" s="171" t="n">
        <f aca="false">1/$D$2*1.03</f>
        <v>0.519284093773632</v>
      </c>
      <c r="O21" s="142" t="n">
        <f aca="false">48*1.05</f>
        <v>50.4</v>
      </c>
      <c r="P21" s="171" t="n">
        <v>0</v>
      </c>
      <c r="Q21" s="346" t="n">
        <f aca="false">1575200/325851/1.9835*1.02</f>
        <v>2.4859054813172</v>
      </c>
      <c r="R21" s="138" t="n">
        <v>4.2</v>
      </c>
      <c r="S21" s="138" t="n">
        <f aca="false">((6.1*1.04)-T21)-4.2</f>
        <v>0.834128319999999</v>
      </c>
      <c r="T21" s="138" t="n">
        <f aca="false">(1.1882*1.06)*1.04</f>
        <v>1.30987168</v>
      </c>
      <c r="U21" s="365" t="n">
        <v>0</v>
      </c>
      <c r="V21" s="142" t="n">
        <v>106</v>
      </c>
      <c r="W21" s="142" t="n">
        <v>59.9</v>
      </c>
      <c r="X21" s="347" t="n">
        <f aca="false">M21-N21-O21-P21-Q21-R21-S21-T21-U21+V21+W21-AT21+AR21</f>
        <v>311.040810424909</v>
      </c>
      <c r="Y21" s="347" t="n">
        <f aca="false">X21-AO21</f>
        <v>311.040810424909</v>
      </c>
      <c r="Z21" s="113" t="n">
        <f aca="false">Z20+AP21</f>
        <v>496.877513478695</v>
      </c>
      <c r="AA21" s="142" t="n">
        <f aca="false">(-AP21)</f>
        <v>241.426715906226</v>
      </c>
      <c r="AB21" s="441"/>
      <c r="AC21" s="441" t="n">
        <f aca="false">AC20-(AQ20/1.9835)+AS21</f>
        <v>1356.27952432179</v>
      </c>
      <c r="AD21" s="449" t="n">
        <f aca="false">AD20</f>
        <v>4858.65512901258</v>
      </c>
      <c r="AE21" s="347" t="n">
        <v>167</v>
      </c>
      <c r="AF21" s="144" t="n">
        <v>1.7</v>
      </c>
      <c r="AG21" s="145" t="n">
        <v>1.3</v>
      </c>
      <c r="AH21" s="142" t="n">
        <v>55.6</v>
      </c>
      <c r="AI21" s="113" t="n">
        <f aca="false">AI20-AH21</f>
        <v>6413.14923115706</v>
      </c>
      <c r="AJ21" s="113"/>
      <c r="AK21" s="141" t="n">
        <f aca="false">N21+O21+P21+Q21+R21+S21+T21+U21+X21+AE21+AH21-AR21</f>
        <v>593.39</v>
      </c>
      <c r="AL21" s="142" t="n">
        <f aca="false">IF(L21&lt;0,L21*-1,0)</f>
        <v>39.6894050920091</v>
      </c>
      <c r="AM21" s="142" t="n">
        <f aca="false">AK21+AL21</f>
        <v>633.079405092009</v>
      </c>
      <c r="AN21" s="231"/>
      <c r="AO21" s="226"/>
      <c r="AP21" s="585" t="n">
        <f aca="false">I21-Q21-R21-X21-AF21</f>
        <v>-241.426715906226</v>
      </c>
      <c r="AQ21" s="556" t="n">
        <f aca="false">19.138*(Z21*1.9835+AC21*1.9835)/E21</f>
        <v>1.68268321314945</v>
      </c>
      <c r="AR21" s="171"/>
      <c r="AS21" s="142" t="n">
        <f aca="false">BA21</f>
        <v>8.76</v>
      </c>
      <c r="AT21" s="56" t="n">
        <v>2.11</v>
      </c>
      <c r="AU21" s="110" t="n">
        <f aca="false">O21</f>
        <v>50.4</v>
      </c>
      <c r="AV21" s="233" t="n">
        <v>0.09</v>
      </c>
      <c r="AW21" s="226" t="n">
        <v>85</v>
      </c>
      <c r="AX21" s="226" t="n">
        <v>53</v>
      </c>
      <c r="AY21" s="265"/>
      <c r="AZ21" s="264" t="n">
        <f aca="false">SUM(N21,P21:U21)</f>
        <v>9.34918957509083</v>
      </c>
      <c r="BA21" s="56" t="n">
        <v>8.76</v>
      </c>
      <c r="BB21" s="85" t="n">
        <v>14574</v>
      </c>
    </row>
    <row r="22" customFormat="false" ht="12.95" hidden="false" customHeight="true" outlineLevel="0" collapsed="false">
      <c r="A22" s="192" t="n">
        <v>8</v>
      </c>
      <c r="B22" s="437" t="n">
        <v>6871.87</v>
      </c>
      <c r="C22" s="113" t="n">
        <v>192848</v>
      </c>
      <c r="D22" s="226" t="n">
        <f aca="false">C22-C21</f>
        <v>-958</v>
      </c>
      <c r="E22" s="113" t="n">
        <f aca="false">C22-152000</f>
        <v>40848</v>
      </c>
      <c r="F22" s="260" t="n">
        <f aca="false">D22/$D$2</f>
        <v>-482.984623140912</v>
      </c>
      <c r="G22" s="347" t="n">
        <v>89</v>
      </c>
      <c r="H22" s="584" t="n">
        <v>0</v>
      </c>
      <c r="I22" s="347" t="n">
        <f aca="false">G22+H22</f>
        <v>89</v>
      </c>
      <c r="J22" s="143" t="n">
        <f aca="false">IF(L22&gt;0,L22,0)</f>
        <v>26.2853768590876</v>
      </c>
      <c r="K22" s="142" t="n">
        <f aca="false">I22+J22</f>
        <v>115.285376859088</v>
      </c>
      <c r="L22" s="142" t="n">
        <f aca="false">F22-(I22-AK22)</f>
        <v>26.2853768590876</v>
      </c>
      <c r="M22" s="262" t="n">
        <v>211</v>
      </c>
      <c r="N22" s="171" t="n">
        <f aca="false">1/$D$2*1.03</f>
        <v>0.519284093773632</v>
      </c>
      <c r="O22" s="142" t="n">
        <f aca="false">40.2*1.05</f>
        <v>42.21</v>
      </c>
      <c r="P22" s="171" t="n">
        <v>0</v>
      </c>
      <c r="Q22" s="346" t="n">
        <f aca="false">1344100/325851/1.9835*1.02</f>
        <v>2.12119448796244</v>
      </c>
      <c r="R22" s="138" t="n">
        <v>4.2</v>
      </c>
      <c r="S22" s="138" t="n">
        <f aca="false">((6.4*1.04)-T22)-4.2</f>
        <v>1.14612832</v>
      </c>
      <c r="T22" s="138" t="n">
        <f aca="false">(1.1882*1.06)*1.04</f>
        <v>1.30987168</v>
      </c>
      <c r="U22" s="365" t="n">
        <v>0</v>
      </c>
      <c r="V22" s="142" t="n">
        <v>106</v>
      </c>
      <c r="W22" s="142" t="n">
        <v>60.2</v>
      </c>
      <c r="X22" s="347" t="n">
        <f aca="false">M22-N22-O22-P22-Q22-R22-S22-T22-U22+V22+W22-AT22+AR22</f>
        <v>323.863521418264</v>
      </c>
      <c r="Y22" s="347" t="n">
        <f aca="false">X22-AO22</f>
        <v>323.863521418264</v>
      </c>
      <c r="Z22" s="113" t="n">
        <f aca="false">Z21+AP22</f>
        <v>253.992797572469</v>
      </c>
      <c r="AA22" s="142" t="n">
        <f aca="false">(-AP22)</f>
        <v>242.884715906226</v>
      </c>
      <c r="AB22" s="441"/>
      <c r="AC22" s="441" t="n">
        <f aca="false">AC21-(AQ21/1.9835)+AS22</f>
        <v>1364.30118390679</v>
      </c>
      <c r="AD22" s="449" t="n">
        <f aca="false">AD21</f>
        <v>4858.65512901258</v>
      </c>
      <c r="AE22" s="347" t="n">
        <v>165</v>
      </c>
      <c r="AF22" s="144" t="n">
        <v>1.7</v>
      </c>
      <c r="AG22" s="145" t="n">
        <v>1.3</v>
      </c>
      <c r="AH22" s="142" t="n">
        <v>57.9</v>
      </c>
      <c r="AI22" s="113" t="n">
        <f aca="false">AI21-AH22</f>
        <v>6355.24923115706</v>
      </c>
      <c r="AJ22" s="113"/>
      <c r="AK22" s="141" t="n">
        <f aca="false">N22+O22+P22+Q22+R22+S22+T22+U22+X22+AE22+AH22-AR22</f>
        <v>598.27</v>
      </c>
      <c r="AL22" s="142" t="n">
        <f aca="false">IF(L22&lt;0,L22*-1,0)</f>
        <v>0</v>
      </c>
      <c r="AM22" s="142" t="n">
        <f aca="false">AK22+AL22</f>
        <v>598.27</v>
      </c>
      <c r="AN22" s="231"/>
      <c r="AO22" s="226"/>
      <c r="AP22" s="585" t="n">
        <f aca="false">I22-Q22-R22-X22-AF22</f>
        <v>-242.884715906226</v>
      </c>
      <c r="AQ22" s="556" t="n">
        <f aca="false">0*(Z22*1.9835+AC22*1.9835)/E22</f>
        <v>0</v>
      </c>
      <c r="AR22" s="171"/>
      <c r="AS22" s="142" t="n">
        <f aca="false">BA22</f>
        <v>8.87</v>
      </c>
      <c r="AT22" s="56" t="n">
        <v>1.83</v>
      </c>
      <c r="AU22" s="110" t="n">
        <f aca="false">O22</f>
        <v>42.21</v>
      </c>
      <c r="AV22" s="233" t="n">
        <v>0.17</v>
      </c>
      <c r="AW22" s="226" t="n">
        <v>70</v>
      </c>
      <c r="AX22" s="226" t="n">
        <v>55</v>
      </c>
      <c r="AY22" s="265"/>
      <c r="AZ22" s="264" t="n">
        <f aca="false">SUM(N22,P22:U22)</f>
        <v>9.29647858173608</v>
      </c>
      <c r="BA22" s="56" t="n">
        <v>8.87</v>
      </c>
      <c r="BB22" s="85" t="n">
        <v>14527</v>
      </c>
    </row>
    <row r="23" customFormat="false" ht="12.95" hidden="false" customHeight="true" outlineLevel="0" collapsed="false">
      <c r="A23" s="192" t="n">
        <v>9</v>
      </c>
      <c r="B23" s="112" t="n">
        <v>6871.86</v>
      </c>
      <c r="C23" s="113" t="n">
        <v>192820</v>
      </c>
      <c r="D23" s="226" t="n">
        <f aca="false">C23-C22</f>
        <v>-28</v>
      </c>
      <c r="E23" s="113" t="n">
        <f aca="false">C23-152000</f>
        <v>40820</v>
      </c>
      <c r="F23" s="260" t="n">
        <f aca="false">D23/$D$2</f>
        <v>-14.1164608016133</v>
      </c>
      <c r="G23" s="347" t="n">
        <v>432</v>
      </c>
      <c r="H23" s="584" t="n">
        <v>0</v>
      </c>
      <c r="I23" s="347" t="n">
        <f aca="false">G23+H23</f>
        <v>432</v>
      </c>
      <c r="J23" s="143" t="n">
        <f aca="false">IF(L23&gt;0,L23,0)</f>
        <v>24.9435391983867</v>
      </c>
      <c r="K23" s="142" t="n">
        <f aca="false">I23+J23</f>
        <v>456.943539198387</v>
      </c>
      <c r="L23" s="142" t="n">
        <f aca="false">F23-(I23-AK23)</f>
        <v>24.9435391983867</v>
      </c>
      <c r="M23" s="262" t="n">
        <v>161</v>
      </c>
      <c r="N23" s="171" t="n">
        <f aca="false">1/$D$2*1.03</f>
        <v>0.519284093773632</v>
      </c>
      <c r="O23" s="142" t="n">
        <f aca="false">50*1.05</f>
        <v>52.5</v>
      </c>
      <c r="P23" s="171" t="n">
        <v>0</v>
      </c>
      <c r="Q23" s="346" t="n">
        <f aca="false">1032900/325851/1.9835*1.02</f>
        <v>1.63007349647825</v>
      </c>
      <c r="R23" s="138" t="n">
        <f aca="false">(4.3*1.04)-T23</f>
        <v>3.16212832</v>
      </c>
      <c r="S23" s="138" t="n">
        <v>0</v>
      </c>
      <c r="T23" s="138" t="n">
        <f aca="false">(1.1882*1.06)*1.04</f>
        <v>1.30987168</v>
      </c>
      <c r="U23" s="365" t="n">
        <v>0</v>
      </c>
      <c r="V23" s="142" t="n">
        <v>99.5</v>
      </c>
      <c r="W23" s="142" t="n">
        <v>48.9</v>
      </c>
      <c r="X23" s="347" t="n">
        <f aca="false">M23-N23-O23-P23-Q23-R23-S23-T23-U23+V23+W23-AT23+AR23</f>
        <v>248.738642409748</v>
      </c>
      <c r="Y23" s="347" t="n">
        <f aca="false">X23-AO23</f>
        <v>248.738642409748</v>
      </c>
      <c r="Z23" s="113" t="n">
        <f aca="false">Z22+0</f>
        <v>253.992797572469</v>
      </c>
      <c r="AA23" s="142" t="n">
        <f aca="false">(-AP23)</f>
        <v>-176.769155773774</v>
      </c>
      <c r="AB23" s="441"/>
      <c r="AC23" s="441" t="n">
        <f aca="false">AC22-(AQ22/1.9835)+AS23</f>
        <v>1373.54118390679</v>
      </c>
      <c r="AD23" s="449" t="n">
        <f aca="false">AD22</f>
        <v>4858.65512901258</v>
      </c>
      <c r="AE23" s="347" t="n">
        <v>104</v>
      </c>
      <c r="AF23" s="144" t="n">
        <v>1.7</v>
      </c>
      <c r="AG23" s="145" t="n">
        <v>1.3</v>
      </c>
      <c r="AH23" s="142" t="n">
        <v>59.2</v>
      </c>
      <c r="AI23" s="113" t="n">
        <f aca="false">AI22-AH23</f>
        <v>6296.04923115706</v>
      </c>
      <c r="AJ23" s="113"/>
      <c r="AK23" s="141" t="n">
        <f aca="false">N23+O23+P23+Q23+R23+S23+T23+U23+X23+AE23+AH23-AR23</f>
        <v>471.06</v>
      </c>
      <c r="AL23" s="142" t="n">
        <f aca="false">IF(L23&lt;0,L23*-1,0)</f>
        <v>0</v>
      </c>
      <c r="AM23" s="142" t="n">
        <f aca="false">AK23+AL23</f>
        <v>471.06</v>
      </c>
      <c r="AN23" s="231"/>
      <c r="AO23" s="226"/>
      <c r="AP23" s="585" t="n">
        <f aca="false">I23-Q23-R23-X23-AF23</f>
        <v>176.769155773774</v>
      </c>
      <c r="AQ23" s="556" t="n">
        <f aca="false">0*(Z23*1.9835+AC23*1.9835)/E23</f>
        <v>0</v>
      </c>
      <c r="AR23" s="171"/>
      <c r="AS23" s="142" t="n">
        <f aca="false">BA23</f>
        <v>9.24</v>
      </c>
      <c r="AT23" s="56" t="n">
        <v>1.54</v>
      </c>
      <c r="AU23" s="110" t="n">
        <f aca="false">O23</f>
        <v>52.5</v>
      </c>
      <c r="AV23" s="233" t="n">
        <v>1.47</v>
      </c>
      <c r="AW23" s="226" t="n">
        <v>67</v>
      </c>
      <c r="AX23" s="226" t="n">
        <v>50</v>
      </c>
      <c r="AY23" s="265"/>
      <c r="AZ23" s="264" t="n">
        <f aca="false">SUM(N23,P23:U23)</f>
        <v>6.62135759025188</v>
      </c>
      <c r="BA23" s="56" t="n">
        <v>9.24</v>
      </c>
      <c r="BB23" s="85" t="n">
        <v>14572</v>
      </c>
    </row>
    <row r="24" customFormat="false" ht="12.95" hidden="false" customHeight="true" outlineLevel="0" collapsed="false">
      <c r="A24" s="192" t="n">
        <v>10</v>
      </c>
      <c r="B24" s="112" t="n">
        <v>6872.04</v>
      </c>
      <c r="C24" s="113" t="n">
        <v>193311</v>
      </c>
      <c r="D24" s="226" t="n">
        <f aca="false">C24-C23</f>
        <v>491</v>
      </c>
      <c r="E24" s="113" t="n">
        <f aca="false">C24-152000</f>
        <v>41311</v>
      </c>
      <c r="F24" s="260" t="n">
        <f aca="false">D24/$D$2</f>
        <v>247.542223342576</v>
      </c>
      <c r="G24" s="142" t="n">
        <v>742</v>
      </c>
      <c r="H24" s="261" t="n">
        <v>0</v>
      </c>
      <c r="I24" s="142" t="n">
        <f aca="false">G24+H24</f>
        <v>742</v>
      </c>
      <c r="J24" s="143" t="n">
        <f aca="false">IF(L24&gt;0,L24,0)</f>
        <v>0</v>
      </c>
      <c r="K24" s="142" t="n">
        <f aca="false">I24+J24</f>
        <v>742</v>
      </c>
      <c r="L24" s="142" t="n">
        <f aca="false">F24-(I24-AK24)</f>
        <v>-61.5877766574238</v>
      </c>
      <c r="M24" s="262" t="n">
        <v>120</v>
      </c>
      <c r="N24" s="171" t="n">
        <f aca="false">1/$D$2*1.03</f>
        <v>0.519284093773632</v>
      </c>
      <c r="O24" s="142" t="n">
        <f aca="false">24.5*1.05</f>
        <v>25.725</v>
      </c>
      <c r="P24" s="171" t="n">
        <v>0</v>
      </c>
      <c r="Q24" s="346" t="n">
        <f aca="false">1074300/325851/1.9835*1.02</f>
        <v>1.69540900112942</v>
      </c>
      <c r="R24" s="138" t="n">
        <f aca="false">(4.3*1.04)-T24</f>
        <v>3.16212832</v>
      </c>
      <c r="S24" s="138" t="n">
        <v>0</v>
      </c>
      <c r="T24" s="138" t="n">
        <f aca="false">(1.1882*1.06)*1.04</f>
        <v>1.30987168</v>
      </c>
      <c r="U24" s="365" t="n">
        <v>0</v>
      </c>
      <c r="V24" s="142" t="n">
        <v>97.5</v>
      </c>
      <c r="W24" s="142" t="n">
        <v>50.6</v>
      </c>
      <c r="X24" s="347" t="n">
        <f aca="false">M24-N24-O24-P24-Q24-R24-S24-T24-U24+V24+W24-AT24+AR24</f>
        <v>233.358306905097</v>
      </c>
      <c r="Y24" s="347" t="n">
        <f aca="false">X24-AO24</f>
        <v>233.358306905097</v>
      </c>
      <c r="Z24" s="113" t="n">
        <f aca="false">Z23+0</f>
        <v>253.992797572469</v>
      </c>
      <c r="AA24" s="142" t="n">
        <f aca="false">(-AP24)</f>
        <v>-502.084155773774</v>
      </c>
      <c r="AB24" s="441"/>
      <c r="AC24" s="441" t="n">
        <f aca="false">AC23+AS24</f>
        <v>1382.67118390679</v>
      </c>
      <c r="AD24" s="449" t="n">
        <f aca="false">AD23</f>
        <v>4858.65512901258</v>
      </c>
      <c r="AE24" s="347" t="n">
        <v>108</v>
      </c>
      <c r="AF24" s="144" t="n">
        <v>1.7</v>
      </c>
      <c r="AG24" s="145" t="n">
        <v>1.3</v>
      </c>
      <c r="AH24" s="142" t="n">
        <v>59.1</v>
      </c>
      <c r="AI24" s="113" t="n">
        <f aca="false">AI23-AH24</f>
        <v>6236.94923115706</v>
      </c>
      <c r="AJ24" s="113"/>
      <c r="AK24" s="141" t="n">
        <f aca="false">N24+O24+P24+Q24+R24+S24+T24+U24+X24+AE24+AH24-AR24</f>
        <v>432.87</v>
      </c>
      <c r="AL24" s="142" t="n">
        <f aca="false">IF(L24&lt;0,L24*-1,0)</f>
        <v>61.5877766574238</v>
      </c>
      <c r="AM24" s="142" t="n">
        <f aca="false">AK24+AL24</f>
        <v>494.457776657424</v>
      </c>
      <c r="AN24" s="231"/>
      <c r="AO24" s="226"/>
      <c r="AP24" s="585" t="n">
        <f aca="false">I24-Q24-R24-X24-AF24</f>
        <v>502.084155773774</v>
      </c>
      <c r="AQ24" s="556" t="n">
        <f aca="false">33.173*(Z24*1.9835+AC24*1.9835)/E24</f>
        <v>2.60681835636931</v>
      </c>
      <c r="AR24" s="171"/>
      <c r="AS24" s="142" t="n">
        <f aca="false">BA24</f>
        <v>9.13</v>
      </c>
      <c r="AT24" s="56" t="n">
        <v>2.33</v>
      </c>
      <c r="AU24" s="110" t="n">
        <f aca="false">O24</f>
        <v>25.725</v>
      </c>
      <c r="AV24" s="233" t="n">
        <v>0.01</v>
      </c>
      <c r="AW24" s="226" t="n">
        <v>75</v>
      </c>
      <c r="AX24" s="226" t="n">
        <v>45</v>
      </c>
      <c r="AY24" s="265"/>
      <c r="AZ24" s="264" t="n">
        <f aca="false">SUM(N24,P24:U24)</f>
        <v>6.68669309490305</v>
      </c>
      <c r="BA24" s="56" t="n">
        <v>9.13</v>
      </c>
      <c r="BB24" s="85" t="n">
        <v>14707</v>
      </c>
    </row>
    <row r="25" customFormat="false" ht="12.95" hidden="false" customHeight="true" outlineLevel="0" collapsed="false">
      <c r="A25" s="192" t="n">
        <v>11</v>
      </c>
      <c r="B25" s="112" t="n">
        <v>6871.95</v>
      </c>
      <c r="C25" s="113" t="n">
        <v>193065</v>
      </c>
      <c r="D25" s="226" t="n">
        <f aca="false">C25-C24</f>
        <v>-246</v>
      </c>
      <c r="E25" s="113" t="n">
        <f aca="false">C25-152000</f>
        <v>41065</v>
      </c>
      <c r="F25" s="260" t="n">
        <f aca="false">D25/$D$2</f>
        <v>-124.02319132846</v>
      </c>
      <c r="G25" s="142" t="n">
        <v>325</v>
      </c>
      <c r="H25" s="261" t="n">
        <v>0</v>
      </c>
      <c r="I25" s="142" t="n">
        <f aca="false">G25+H25</f>
        <v>325</v>
      </c>
      <c r="J25" s="143" t="n">
        <f aca="false">IF(L25&gt;0,L25,0)</f>
        <v>0</v>
      </c>
      <c r="K25" s="142" t="n">
        <f aca="false">I25+J25</f>
        <v>325</v>
      </c>
      <c r="L25" s="142" t="n">
        <f aca="false">F25-(I25-AK25)</f>
        <v>-21.2131913284598</v>
      </c>
      <c r="M25" s="262" t="n">
        <v>126</v>
      </c>
      <c r="N25" s="171" t="n">
        <f aca="false">1/$D$2*1.03</f>
        <v>0.519284093773632</v>
      </c>
      <c r="O25" s="142" t="n">
        <f aca="false">23.9*1.05</f>
        <v>25.095</v>
      </c>
      <c r="P25" s="171" t="n">
        <v>0</v>
      </c>
      <c r="Q25" s="346" t="n">
        <f aca="false">1136100/325851/1.9835*1.02</f>
        <v>1.79293881242031</v>
      </c>
      <c r="R25" s="138" t="n">
        <f aca="false">(4.5*1.04)-T25</f>
        <v>3.37012832</v>
      </c>
      <c r="S25" s="138" t="n">
        <v>0</v>
      </c>
      <c r="T25" s="138" t="n">
        <f aca="false">(1.1882*1.06)*1.04</f>
        <v>1.30987168</v>
      </c>
      <c r="U25" s="365" t="n">
        <v>0</v>
      </c>
      <c r="V25" s="142" t="n">
        <v>87.6</v>
      </c>
      <c r="W25" s="142" t="n">
        <v>52.7</v>
      </c>
      <c r="X25" s="347" t="n">
        <f aca="false">M25-N25-O25-P25-Q25-R25-S25-T25-U25+V25+W25-AT25+AR25</f>
        <v>230.122777093806</v>
      </c>
      <c r="Y25" s="142" t="n">
        <f aca="false">X25-AO25</f>
        <v>230.122777093806</v>
      </c>
      <c r="Z25" s="113" t="n">
        <f aca="false">Z24+0</f>
        <v>253.992797572469</v>
      </c>
      <c r="AA25" s="142" t="n">
        <f aca="false">(-AP25)</f>
        <v>-88.0141557737737</v>
      </c>
      <c r="AB25" s="113"/>
      <c r="AC25" s="441" t="n">
        <f aca="false">AC24+AS25</f>
        <v>1391.67118390679</v>
      </c>
      <c r="AD25" s="449" t="n">
        <f aca="false">AD24</f>
        <v>4858.65512901258</v>
      </c>
      <c r="AE25" s="142" t="n">
        <v>106</v>
      </c>
      <c r="AF25" s="144" t="n">
        <v>1.7</v>
      </c>
      <c r="AG25" s="145" t="n">
        <v>1.3</v>
      </c>
      <c r="AH25" s="142" t="n">
        <v>59.6</v>
      </c>
      <c r="AI25" s="113" t="n">
        <f aca="false">AI24-AH25</f>
        <v>6177.34923115706</v>
      </c>
      <c r="AJ25" s="113"/>
      <c r="AK25" s="141" t="n">
        <f aca="false">N25+O25+P25+Q25+R25+S25+T25+U25+X25+AE25+AH25-AR25</f>
        <v>427.81</v>
      </c>
      <c r="AL25" s="142" t="n">
        <f aca="false">IF(L25&lt;0,L25*-1,0)</f>
        <v>21.2131913284598</v>
      </c>
      <c r="AM25" s="142" t="n">
        <f aca="false">AK25+AL25</f>
        <v>449.02319132846</v>
      </c>
      <c r="AN25" s="231"/>
      <c r="AO25" s="226"/>
      <c r="AP25" s="585" t="n">
        <f aca="false">I25-Q25-R25-X25-AF25</f>
        <v>88.0141557737737</v>
      </c>
      <c r="AQ25" s="556" t="n">
        <f aca="false">29.823*(Z25*1.9835+AC25*1.9835)/E25</f>
        <v>2.37057046950293</v>
      </c>
      <c r="AR25" s="171"/>
      <c r="AS25" s="142" t="n">
        <f aca="false">BA25</f>
        <v>9</v>
      </c>
      <c r="AT25" s="56" t="n">
        <v>4.09</v>
      </c>
      <c r="AU25" s="110" t="n">
        <f aca="false">O25</f>
        <v>25.095</v>
      </c>
      <c r="AV25" s="233" t="n">
        <v>0</v>
      </c>
      <c r="AW25" s="226" t="n">
        <v>78</v>
      </c>
      <c r="AX25" s="226" t="n">
        <v>45</v>
      </c>
      <c r="AY25" s="265"/>
      <c r="AZ25" s="264" t="n">
        <f aca="false">SUM(N25,P25:U25)</f>
        <v>6.99222290619394</v>
      </c>
      <c r="BA25" s="56" t="n">
        <v>9</v>
      </c>
      <c r="BB25" s="85" t="n">
        <v>14726</v>
      </c>
    </row>
    <row r="26" customFormat="false" ht="12.95" hidden="false" customHeight="true" outlineLevel="0" collapsed="false">
      <c r="A26" s="192" t="n">
        <v>12</v>
      </c>
      <c r="B26" s="112" t="n">
        <v>6871.74</v>
      </c>
      <c r="C26" s="113" t="n">
        <v>192494</v>
      </c>
      <c r="D26" s="226" t="n">
        <f aca="false">C26-C25</f>
        <v>-571</v>
      </c>
      <c r="E26" s="113" t="n">
        <f aca="false">C26-152000</f>
        <v>40494</v>
      </c>
      <c r="F26" s="260" t="n">
        <f aca="false">D26/$D$2</f>
        <v>-287.874968490043</v>
      </c>
      <c r="G26" s="142" t="n">
        <v>231</v>
      </c>
      <c r="H26" s="261" t="n">
        <v>0</v>
      </c>
      <c r="I26" s="142" t="n">
        <f aca="false">G26+H26</f>
        <v>231</v>
      </c>
      <c r="J26" s="143" t="n">
        <f aca="false">IF(L26&gt;0,L26,0)</f>
        <v>0</v>
      </c>
      <c r="K26" s="142" t="n">
        <f aca="false">I26+J26</f>
        <v>231</v>
      </c>
      <c r="L26" s="142" t="n">
        <f aca="false">F26-(I26-AK26)</f>
        <v>-19.5549684900429</v>
      </c>
      <c r="M26" s="262" t="n">
        <v>138</v>
      </c>
      <c r="N26" s="171" t="n">
        <f aca="false">1/$D$2*1.03</f>
        <v>0.519284093773632</v>
      </c>
      <c r="O26" s="142" t="n">
        <f aca="false">25.8*1.05</f>
        <v>27.09</v>
      </c>
      <c r="P26" s="171" t="n">
        <v>0</v>
      </c>
      <c r="Q26" s="346" t="n">
        <f aca="false">1182400/325851/1.9835*1.02</f>
        <v>1.86600726327416</v>
      </c>
      <c r="R26" s="138" t="n">
        <f aca="false">(3.1*1.04)-T26</f>
        <v>2.27086496</v>
      </c>
      <c r="S26" s="138" t="n">
        <v>0</v>
      </c>
      <c r="T26" s="138" t="n">
        <f aca="false">(0.8646*1.06)*1.04</f>
        <v>0.95313504</v>
      </c>
      <c r="U26" s="365" t="n">
        <v>0</v>
      </c>
      <c r="V26" s="142" t="n">
        <v>90</v>
      </c>
      <c r="W26" s="142" t="n">
        <v>51.9</v>
      </c>
      <c r="X26" s="347" t="n">
        <f aca="false">M26-N26-O26-P26-Q26-R26-S26-T26-U26+V26+W26-AT26+AR26</f>
        <v>243.020708642952</v>
      </c>
      <c r="Y26" s="142" t="n">
        <f aca="false">X26-AO26</f>
        <v>243.020708642952</v>
      </c>
      <c r="Z26" s="113" t="n">
        <f aca="false">Z25+AP26</f>
        <v>236.135216706242</v>
      </c>
      <c r="AA26" s="142" t="n">
        <f aca="false">(-AP26)</f>
        <v>17.8575808662264</v>
      </c>
      <c r="AB26" s="113"/>
      <c r="AC26" s="441" t="n">
        <f aca="false">AC25+AS26</f>
        <v>1400.46118390679</v>
      </c>
      <c r="AD26" s="449" t="n">
        <f aca="false">AD25</f>
        <v>4858.65512901258</v>
      </c>
      <c r="AE26" s="142" t="n">
        <v>164</v>
      </c>
      <c r="AF26" s="144" t="n">
        <v>1.7</v>
      </c>
      <c r="AG26" s="145" t="n">
        <v>1.3</v>
      </c>
      <c r="AH26" s="142" t="n">
        <v>59.6</v>
      </c>
      <c r="AI26" s="113" t="n">
        <f aca="false">AI25-AH26</f>
        <v>6117.74923115706</v>
      </c>
      <c r="AJ26" s="113"/>
      <c r="AK26" s="141" t="n">
        <f aca="false">N26+O26+P26+Q26+R26+S26+T26+U26+X26+AE26+AH26-AR26</f>
        <v>499.32</v>
      </c>
      <c r="AL26" s="142" t="n">
        <f aca="false">IF(L26&lt;0,L26*-1,0)</f>
        <v>19.5549684900429</v>
      </c>
      <c r="AM26" s="142" t="n">
        <f aca="false">AK26+AL26</f>
        <v>518.874968490043</v>
      </c>
      <c r="AN26" s="231"/>
      <c r="AO26" s="226"/>
      <c r="AP26" s="585" t="n">
        <f aca="false">I26-Q26-R26-X26-AF26</f>
        <v>-17.8575808662264</v>
      </c>
      <c r="AQ26" s="171" t="n">
        <f aca="false">36.043*(Z26*1.9835+AC26*1.9835)/E26</f>
        <v>2.88937592501311</v>
      </c>
      <c r="AR26" s="171"/>
      <c r="AS26" s="142" t="n">
        <f aca="false">BA26</f>
        <v>8.79</v>
      </c>
      <c r="AT26" s="56" t="n">
        <v>4.18</v>
      </c>
      <c r="AU26" s="110" t="n">
        <f aca="false">O26</f>
        <v>27.09</v>
      </c>
      <c r="AV26" s="233" t="n">
        <v>0</v>
      </c>
      <c r="AW26" s="226" t="n">
        <v>80</v>
      </c>
      <c r="AX26" s="226" t="n">
        <v>47</v>
      </c>
      <c r="AY26" s="265"/>
      <c r="AZ26" s="264" t="n">
        <f aca="false">SUM(N26,P26:U26)</f>
        <v>5.60929135704779</v>
      </c>
      <c r="BA26" s="56" t="n">
        <v>8.79</v>
      </c>
      <c r="BB26" s="85" t="n">
        <v>14708</v>
      </c>
    </row>
    <row r="27" customFormat="false" ht="12.95" hidden="false" customHeight="true" outlineLevel="0" collapsed="false">
      <c r="A27" s="192" t="n">
        <v>13</v>
      </c>
      <c r="B27" s="112" t="n">
        <v>6871.5</v>
      </c>
      <c r="C27" s="113" t="n">
        <v>191842</v>
      </c>
      <c r="D27" s="226" t="n">
        <f aca="false">C27-C26</f>
        <v>-652</v>
      </c>
      <c r="E27" s="113" t="n">
        <f aca="false">C27-152000</f>
        <v>39842</v>
      </c>
      <c r="F27" s="260" t="n">
        <f aca="false">D27/$D$2</f>
        <v>-328.711872951853</v>
      </c>
      <c r="G27" s="142" t="n">
        <v>189</v>
      </c>
      <c r="H27" s="261" t="n">
        <v>0</v>
      </c>
      <c r="I27" s="142" t="n">
        <f aca="false">G27+H27</f>
        <v>189</v>
      </c>
      <c r="J27" s="143" t="n">
        <f aca="false">IF(L27&gt;0,L27,0)</f>
        <v>0</v>
      </c>
      <c r="K27" s="142" t="n">
        <f aca="false">I27+J27</f>
        <v>189</v>
      </c>
      <c r="L27" s="142" t="n">
        <f aca="false">F27-(I27-AK27)</f>
        <v>-34.6518729518528</v>
      </c>
      <c r="M27" s="262" t="n">
        <v>127</v>
      </c>
      <c r="N27" s="171" t="n">
        <f aca="false">1/$D$2*1.03</f>
        <v>0.519284093773632</v>
      </c>
      <c r="O27" s="142" t="n">
        <f aca="false">19.8*1.05</f>
        <v>20.79</v>
      </c>
      <c r="P27" s="171" t="n">
        <v>0</v>
      </c>
      <c r="Q27" s="346" t="n">
        <f aca="false">1235100/325851/1.9835*1.02</f>
        <v>1.94917588876007</v>
      </c>
      <c r="R27" s="138" t="n">
        <f aca="false">(3.2*1.04)-T27</f>
        <v>2.37486496</v>
      </c>
      <c r="S27" s="138" t="n">
        <v>0</v>
      </c>
      <c r="T27" s="138" t="n">
        <f aca="false">(0.8646*1.06)*1.04</f>
        <v>0.95313504</v>
      </c>
      <c r="U27" s="365" t="n">
        <v>0</v>
      </c>
      <c r="V27" s="142" t="n">
        <v>90.3</v>
      </c>
      <c r="W27" s="142" t="n">
        <v>51.3</v>
      </c>
      <c r="X27" s="347" t="n">
        <f aca="false">M27-N27-O27-P27-Q27-R27-S27-T27-U27+V27+W27-AT27+AR27</f>
        <v>237.873540017466</v>
      </c>
      <c r="Y27" s="142" t="n">
        <f aca="false">X27-AO27</f>
        <v>237.873540017466</v>
      </c>
      <c r="Z27" s="113" t="n">
        <f aca="false">Z26+AP27</f>
        <v>181.237635840016</v>
      </c>
      <c r="AA27" s="142" t="n">
        <f aca="false">(-AP27)</f>
        <v>54.8975808662263</v>
      </c>
      <c r="AB27" s="113"/>
      <c r="AC27" s="441" t="n">
        <f aca="false">AC26-(AQ26/1.9835)+AS27</f>
        <v>1407.73447812156</v>
      </c>
      <c r="AD27" s="449" t="n">
        <f aca="false">AD26</f>
        <v>4858.65512901258</v>
      </c>
      <c r="AE27" s="142" t="n">
        <v>159</v>
      </c>
      <c r="AF27" s="144" t="n">
        <v>1.7</v>
      </c>
      <c r="AG27" s="145" t="n">
        <v>1.3</v>
      </c>
      <c r="AH27" s="142" t="n">
        <v>59.6</v>
      </c>
      <c r="AI27" s="113" t="n">
        <f aca="false">AI26-AH27</f>
        <v>6058.14923115706</v>
      </c>
      <c r="AJ27" s="113"/>
      <c r="AK27" s="141" t="n">
        <f aca="false">N27+O27+P27+Q27+R27+S27+T27+U27+X27+AE27+AH27-AR27</f>
        <v>483.06</v>
      </c>
      <c r="AL27" s="142" t="n">
        <f aca="false">IF(L27&lt;0,L27*-1,0)</f>
        <v>34.6518729518528</v>
      </c>
      <c r="AM27" s="142" t="n">
        <f aca="false">AK27+AL27</f>
        <v>517.711872951853</v>
      </c>
      <c r="AN27" s="231"/>
      <c r="AO27" s="226"/>
      <c r="AP27" s="585" t="n">
        <f aca="false">I27-Q27-R27-X27-AF27</f>
        <v>-54.8975808662263</v>
      </c>
      <c r="AQ27" s="171" t="n">
        <f aca="false">19.776*(Z27*1.9835+AC27*1.9835)/E27</f>
        <v>1.56439277884479</v>
      </c>
      <c r="AR27" s="171"/>
      <c r="AS27" s="142" t="n">
        <f aca="false">BA27</f>
        <v>8.73</v>
      </c>
      <c r="AT27" s="56" t="n">
        <v>4.14</v>
      </c>
      <c r="AU27" s="110" t="n">
        <f aca="false">O27</f>
        <v>20.79</v>
      </c>
      <c r="AV27" s="233" t="n">
        <v>0</v>
      </c>
      <c r="AW27" s="226" t="n">
        <v>81</v>
      </c>
      <c r="AX27" s="226" t="n">
        <v>46</v>
      </c>
      <c r="AY27" s="265"/>
      <c r="AZ27" s="264" t="n">
        <f aca="false">SUM(N27,P27:U27)</f>
        <v>5.79645998253371</v>
      </c>
      <c r="BA27" s="56" t="n">
        <v>8.73</v>
      </c>
      <c r="BB27" s="85" t="n">
        <v>14695</v>
      </c>
    </row>
    <row r="28" customFormat="false" ht="12.95" hidden="false" customHeight="true" outlineLevel="0" collapsed="false">
      <c r="A28" s="192" t="n">
        <v>14</v>
      </c>
      <c r="B28" s="112" t="n">
        <v>6871.26</v>
      </c>
      <c r="C28" s="113" t="n">
        <v>191190</v>
      </c>
      <c r="D28" s="226" t="n">
        <f aca="false">C28-C27</f>
        <v>-652</v>
      </c>
      <c r="E28" s="113" t="n">
        <f aca="false">C28-152000</f>
        <v>39190</v>
      </c>
      <c r="F28" s="260" t="n">
        <f aca="false">D28/$D$2</f>
        <v>-328.711872951853</v>
      </c>
      <c r="G28" s="142" t="n">
        <v>163</v>
      </c>
      <c r="H28" s="261" t="n">
        <v>0</v>
      </c>
      <c r="I28" s="142" t="n">
        <f aca="false">G28+H28</f>
        <v>163</v>
      </c>
      <c r="J28" s="143" t="n">
        <f aca="false">IF(L28&gt;0,L28,0)</f>
        <v>0</v>
      </c>
      <c r="K28" s="142" t="n">
        <f aca="false">I28+J28</f>
        <v>163</v>
      </c>
      <c r="L28" s="142" t="n">
        <f aca="false">F28-(I28-AK28)</f>
        <v>-16.4418729518528</v>
      </c>
      <c r="M28" s="262" t="n">
        <v>146</v>
      </c>
      <c r="N28" s="171" t="n">
        <f aca="false">1/$D$2*1.03</f>
        <v>0.519284093773632</v>
      </c>
      <c r="O28" s="142" t="n">
        <f aca="false">20.9*1.05</f>
        <v>21.945</v>
      </c>
      <c r="P28" s="171" t="n">
        <v>0</v>
      </c>
      <c r="Q28" s="346" t="n">
        <f aca="false">1535200/325851/1.9835*1.02</f>
        <v>2.42277938986678</v>
      </c>
      <c r="R28" s="138" t="n">
        <f aca="false">(3.1*1.04)-T28</f>
        <v>2.27086496</v>
      </c>
      <c r="S28" s="138" t="n">
        <v>0</v>
      </c>
      <c r="T28" s="138" t="n">
        <f aca="false">(0.8646*1.06)*1.04</f>
        <v>0.95313504</v>
      </c>
      <c r="U28" s="365" t="n">
        <v>0</v>
      </c>
      <c r="V28" s="142" t="n">
        <v>85.2</v>
      </c>
      <c r="W28" s="142" t="n">
        <v>51.5</v>
      </c>
      <c r="X28" s="347" t="n">
        <f aca="false">M28-N28-O28-P28-Q28-R28-S28-T28-U28+V28+W28-AT28+AR28</f>
        <v>250.45893651636</v>
      </c>
      <c r="Y28" s="142" t="n">
        <f aca="false">X28-AO28</f>
        <v>250.45893651636</v>
      </c>
      <c r="Z28" s="113" t="n">
        <f aca="false">Z27+AP28</f>
        <v>87.3850549737896</v>
      </c>
      <c r="AA28" s="142" t="n">
        <f aca="false">(-AP28)</f>
        <v>93.8525808662264</v>
      </c>
      <c r="AB28" s="113"/>
      <c r="AC28" s="441" t="n">
        <f aca="false">AC27-(AQ27/1.9835)+AS28</f>
        <v>1415.68577493081</v>
      </c>
      <c r="AD28" s="449" t="n">
        <f aca="false">AD27</f>
        <v>4858.65512901258</v>
      </c>
      <c r="AE28" s="142" t="n">
        <v>148</v>
      </c>
      <c r="AF28" s="144" t="n">
        <v>1.7</v>
      </c>
      <c r="AG28" s="145" t="n">
        <v>1.3</v>
      </c>
      <c r="AH28" s="142" t="n">
        <v>48.7</v>
      </c>
      <c r="AI28" s="113" t="n">
        <f aca="false">AI27-AH28</f>
        <v>6009.44923115706</v>
      </c>
      <c r="AJ28" s="113"/>
      <c r="AK28" s="141" t="n">
        <f aca="false">N28+O28+P28+Q28+R28+S28+T28+U28+X28+AE28+AH28-AR28</f>
        <v>475.27</v>
      </c>
      <c r="AL28" s="142" t="n">
        <f aca="false">IF(L28&lt;0,L28*-1,0)</f>
        <v>16.4418729518528</v>
      </c>
      <c r="AM28" s="142" t="n">
        <f aca="false">AK28+AL28</f>
        <v>491.711872951853</v>
      </c>
      <c r="AN28" s="231"/>
      <c r="AO28" s="226"/>
      <c r="AP28" s="585" t="n">
        <f aca="false">I28-Q28-R28-X28-AF28</f>
        <v>-93.8525808662264</v>
      </c>
      <c r="AQ28" s="171" t="n">
        <f aca="false">26.45*(Z28*1.9835+AC28*1.9835)/E28</f>
        <v>2.01215792842593</v>
      </c>
      <c r="AR28" s="171"/>
      <c r="AS28" s="142" t="n">
        <f aca="false">BA28</f>
        <v>8.74</v>
      </c>
      <c r="AT28" s="56" t="n">
        <v>4.13</v>
      </c>
      <c r="AU28" s="110" t="n">
        <f aca="false">O28</f>
        <v>21.945</v>
      </c>
      <c r="AV28" s="233" t="n">
        <v>0</v>
      </c>
      <c r="AW28" s="226" t="n">
        <v>84</v>
      </c>
      <c r="AX28" s="226" t="n">
        <v>48</v>
      </c>
      <c r="AY28" s="265"/>
      <c r="AZ28" s="264" t="n">
        <f aca="false">SUM(N28,P28:U28)</f>
        <v>6.16606348364042</v>
      </c>
      <c r="BA28" s="56" t="n">
        <v>8.74</v>
      </c>
      <c r="BB28" s="85" t="n">
        <v>14708</v>
      </c>
    </row>
    <row r="29" customFormat="false" ht="12.95" hidden="false" customHeight="true" outlineLevel="0" collapsed="false">
      <c r="A29" s="192" t="n">
        <v>15</v>
      </c>
      <c r="B29" s="112" t="n">
        <v>6870.96</v>
      </c>
      <c r="C29" s="113" t="n">
        <v>190377</v>
      </c>
      <c r="D29" s="226" t="n">
        <f aca="false">C29-C28</f>
        <v>-813</v>
      </c>
      <c r="E29" s="113" t="n">
        <f aca="false">C29-152000</f>
        <v>38377</v>
      </c>
      <c r="F29" s="260" t="n">
        <f aca="false">D29/$D$2</f>
        <v>-409.881522561129</v>
      </c>
      <c r="G29" s="142" t="n">
        <v>147</v>
      </c>
      <c r="H29" s="261" t="n">
        <v>0</v>
      </c>
      <c r="I29" s="142" t="n">
        <f aca="false">G29+H29</f>
        <v>147</v>
      </c>
      <c r="J29" s="143" t="n">
        <f aca="false">IF(L29&gt;0,L29,0)</f>
        <v>0</v>
      </c>
      <c r="K29" s="142" t="n">
        <f aca="false">I29+J29</f>
        <v>147</v>
      </c>
      <c r="L29" s="142" t="n">
        <f aca="false">F29-(I29-AK29)</f>
        <v>-52.4315225611293</v>
      </c>
      <c r="M29" s="262" t="n">
        <v>149</v>
      </c>
      <c r="N29" s="171" t="n">
        <f aca="false">1/$D$2*1.03</f>
        <v>0.519284093773632</v>
      </c>
      <c r="O29" s="142" t="n">
        <f aca="false">21.5*1.05</f>
        <v>22.575</v>
      </c>
      <c r="P29" s="171" t="n">
        <v>0</v>
      </c>
      <c r="Q29" s="346" t="n">
        <f aca="false">1436000/325851/1.9835*1.02</f>
        <v>2.26622668306976</v>
      </c>
      <c r="R29" s="138" t="n">
        <f aca="false">(3.2*1.04)-T29</f>
        <v>2.37486496</v>
      </c>
      <c r="S29" s="138" t="n">
        <v>0</v>
      </c>
      <c r="T29" s="138" t="n">
        <f aca="false">(0.8646*1.06)*1.04</f>
        <v>0.95313504</v>
      </c>
      <c r="U29" s="365" t="n">
        <v>0</v>
      </c>
      <c r="V29" s="142" t="n">
        <v>92.8</v>
      </c>
      <c r="W29" s="142" t="n">
        <v>52.7</v>
      </c>
      <c r="X29" s="347" t="n">
        <f aca="false">M29-N29-O29-P29-Q29-R29-S29-T29-U29+V29+W29-AT29+AR29</f>
        <v>261.861489223157</v>
      </c>
      <c r="Y29" s="142" t="n">
        <f aca="false">X29-AO29</f>
        <v>261.861489223157</v>
      </c>
      <c r="Z29" s="113"/>
      <c r="AA29" s="142"/>
      <c r="AB29" s="113"/>
      <c r="AC29" s="441" t="n">
        <f aca="false">AC28-(AQ28/1.9835)+AS29+Z28+AP29</f>
        <v>1389.64380087683</v>
      </c>
      <c r="AD29" s="449" t="n">
        <f aca="false">AD28</f>
        <v>4858.65512901258</v>
      </c>
      <c r="AE29" s="142" t="n">
        <v>169</v>
      </c>
      <c r="AF29" s="144" t="n">
        <v>1.7</v>
      </c>
      <c r="AG29" s="145" t="n">
        <v>1.3</v>
      </c>
      <c r="AH29" s="142" t="n">
        <v>44.9</v>
      </c>
      <c r="AI29" s="113" t="n">
        <f aca="false">AI28-AH29</f>
        <v>5964.54923115706</v>
      </c>
      <c r="AJ29" s="113"/>
      <c r="AK29" s="141" t="n">
        <f aca="false">N29+O29+P29+Q29+R29+S29+T29+U29+X29+AE29+AH29-AR29</f>
        <v>504.45</v>
      </c>
      <c r="AL29" s="142" t="n">
        <f aca="false">IF(L29&lt;0,L29*-1,0)</f>
        <v>52.4315225611293</v>
      </c>
      <c r="AM29" s="142" t="n">
        <f aca="false">AK29+AL29</f>
        <v>556.881522561129</v>
      </c>
      <c r="AN29" s="231"/>
      <c r="AO29" s="226"/>
      <c r="AP29" s="585" t="n">
        <f aca="false">I29-Q29-R29-X29-AF29</f>
        <v>-121.202580866226</v>
      </c>
      <c r="AQ29" s="171" t="n">
        <f aca="false">33.85*(Z29*1.9835+AC29*1.9835)/E29</f>
        <v>2.43121490776967</v>
      </c>
      <c r="AR29" s="171"/>
      <c r="AS29" s="142" t="n">
        <f aca="false">BA29</f>
        <v>8.79</v>
      </c>
      <c r="AT29" s="56" t="n">
        <v>3.95</v>
      </c>
      <c r="AU29" s="110" t="n">
        <f aca="false">O29</f>
        <v>22.575</v>
      </c>
      <c r="AV29" s="233" t="n">
        <v>0</v>
      </c>
      <c r="AW29" s="226" t="n">
        <v>86</v>
      </c>
      <c r="AX29" s="226" t="n">
        <v>49</v>
      </c>
      <c r="AY29" s="265"/>
      <c r="AZ29" s="264" t="n">
        <f aca="false">SUM(N29,P29:U29)</f>
        <v>6.1135107768434</v>
      </c>
      <c r="BA29" s="56" t="n">
        <v>8.79</v>
      </c>
      <c r="BB29" s="85" t="n">
        <v>14694</v>
      </c>
    </row>
    <row r="30" customFormat="false" ht="12.95" hidden="false" customHeight="true" outlineLevel="0" collapsed="false">
      <c r="A30" s="192" t="n">
        <v>16</v>
      </c>
      <c r="B30" s="112" t="n">
        <v>6870.69</v>
      </c>
      <c r="C30" s="113" t="n">
        <v>189653</v>
      </c>
      <c r="D30" s="226" t="n">
        <f aca="false">C30-C29</f>
        <v>-724</v>
      </c>
      <c r="E30" s="113" t="n">
        <f aca="false">C30-152000</f>
        <v>37653</v>
      </c>
      <c r="F30" s="260" t="n">
        <f aca="false">D30/$D$2</f>
        <v>-365.011343584573</v>
      </c>
      <c r="G30" s="142" t="n">
        <v>134</v>
      </c>
      <c r="H30" s="261" t="n">
        <v>0</v>
      </c>
      <c r="I30" s="142" t="n">
        <f aca="false">G30+H30</f>
        <v>134</v>
      </c>
      <c r="J30" s="143" t="n">
        <f aca="false">IF(L30&gt;0,L30,0)</f>
        <v>44.1986564154273</v>
      </c>
      <c r="K30" s="142" t="n">
        <f aca="false">I30+J30</f>
        <v>178.198656415427</v>
      </c>
      <c r="L30" s="142" t="n">
        <f aca="false">F30-(I30-AK30)</f>
        <v>44.1986564154273</v>
      </c>
      <c r="M30" s="262" t="n">
        <v>192</v>
      </c>
      <c r="N30" s="171" t="n">
        <f aca="false">1/$D$2*1.03</f>
        <v>0.519284093773632</v>
      </c>
      <c r="O30" s="142" t="n">
        <f aca="false">43.3*1.05</f>
        <v>45.465</v>
      </c>
      <c r="P30" s="171" t="n">
        <v>0</v>
      </c>
      <c r="Q30" s="346" t="n">
        <f aca="false">1285200/325851/1.9835*1.02</f>
        <v>2.02824131830171</v>
      </c>
      <c r="R30" s="138" t="n">
        <v>4.2</v>
      </c>
      <c r="S30" s="138" t="n">
        <f aca="false">((5.9*1.04)-T30)-4.2</f>
        <v>0.982864960000001</v>
      </c>
      <c r="T30" s="138" t="n">
        <f aca="false">(0.8646*1.06)*1.04</f>
        <v>0.95313504</v>
      </c>
      <c r="U30" s="365" t="n">
        <v>0</v>
      </c>
      <c r="V30" s="142" t="n">
        <v>96.6</v>
      </c>
      <c r="W30" s="142" t="n">
        <v>55.1</v>
      </c>
      <c r="X30" s="347" t="n">
        <f aca="false">M30-N30-O30-P30-Q30-R30-S30-T30-U30+V30+W30-AT30+AR30</f>
        <v>285.561474587925</v>
      </c>
      <c r="Y30" s="142" t="n">
        <f aca="false">X30-AO30</f>
        <v>285.561474587925</v>
      </c>
      <c r="Z30" s="113"/>
      <c r="AA30" s="142"/>
      <c r="AB30" s="113"/>
      <c r="AC30" s="441" t="n">
        <f aca="false">AC29-(AQ29/1.9835)+AS30+AP30</f>
        <v>1237.70836532968</v>
      </c>
      <c r="AD30" s="449" t="n">
        <f aca="false">AD29</f>
        <v>4858.65512901258</v>
      </c>
      <c r="AE30" s="142" t="n">
        <v>164</v>
      </c>
      <c r="AF30" s="144" t="n">
        <v>1.7</v>
      </c>
      <c r="AG30" s="145" t="n">
        <v>1.3</v>
      </c>
      <c r="AH30" s="142" t="n">
        <v>39.5</v>
      </c>
      <c r="AI30" s="113" t="n">
        <f aca="false">AI29-AH30</f>
        <v>5925.04923115706</v>
      </c>
      <c r="AJ30" s="113"/>
      <c r="AK30" s="141" t="n">
        <f aca="false">N30+O30+P30+Q30+R30+S30+T30+U30+X30+AE30+AH30-AR30</f>
        <v>543.21</v>
      </c>
      <c r="AL30" s="142" t="n">
        <f aca="false">IF(L30&lt;0,L30*-1,0)</f>
        <v>0</v>
      </c>
      <c r="AM30" s="142" t="n">
        <f aca="false">AK30+AL30</f>
        <v>543.21</v>
      </c>
      <c r="AN30" s="231"/>
      <c r="AO30" s="226"/>
      <c r="AP30" s="585" t="n">
        <f aca="false">I30-Q30-R30-X30-AF30</f>
        <v>-159.489715906226</v>
      </c>
      <c r="AQ30" s="171" t="n">
        <f aca="false">13.068*(Z30*1.9835+AC30*1.9835)/E30</f>
        <v>0.852040174305034</v>
      </c>
      <c r="AR30" s="171"/>
      <c r="AS30" s="142" t="n">
        <f aca="false">BA30</f>
        <v>8.78</v>
      </c>
      <c r="AT30" s="56" t="n">
        <v>3.99</v>
      </c>
      <c r="AU30" s="110" t="n">
        <f aca="false">O30</f>
        <v>45.465</v>
      </c>
      <c r="AV30" s="233" t="n">
        <v>0.09</v>
      </c>
      <c r="AW30" s="226" t="n">
        <v>85</v>
      </c>
      <c r="AX30" s="226" t="n">
        <v>51</v>
      </c>
      <c r="AY30" s="265"/>
      <c r="AZ30" s="264" t="n">
        <f aca="false">SUM(N30,P30:U30)</f>
        <v>8.68352541207535</v>
      </c>
      <c r="BA30" s="56" t="n">
        <v>8.78</v>
      </c>
      <c r="BB30" s="85" t="n">
        <v>14683</v>
      </c>
    </row>
    <row r="31" customFormat="false" ht="12.95" hidden="false" customHeight="true" outlineLevel="0" collapsed="false">
      <c r="A31" s="192" t="n">
        <v>17</v>
      </c>
      <c r="B31" s="112" t="n">
        <v>6870.34</v>
      </c>
      <c r="C31" s="113" t="n">
        <v>188715</v>
      </c>
      <c r="D31" s="226" t="n">
        <f aca="false">C31-C30</f>
        <v>-938</v>
      </c>
      <c r="E31" s="113" t="n">
        <f aca="false">C31-152000</f>
        <v>36715</v>
      </c>
      <c r="F31" s="260" t="n">
        <f aca="false">D31/$D$2</f>
        <v>-472.901436854046</v>
      </c>
      <c r="G31" s="142" t="n">
        <v>131</v>
      </c>
      <c r="H31" s="261" t="n">
        <v>0</v>
      </c>
      <c r="I31" s="142" t="n">
        <f aca="false">G31+H31</f>
        <v>131</v>
      </c>
      <c r="J31" s="143" t="n">
        <f aca="false">IF(L31&gt;0,L31,0)</f>
        <v>0</v>
      </c>
      <c r="K31" s="142" t="n">
        <f aca="false">I31+J31</f>
        <v>131</v>
      </c>
      <c r="L31" s="142" t="n">
        <f aca="false">F31-(I31-AK31)</f>
        <v>-41.1514368540459</v>
      </c>
      <c r="M31" s="262" t="n">
        <v>202</v>
      </c>
      <c r="N31" s="171" t="n">
        <f aca="false">1/$D$2*1.03</f>
        <v>0.519284093773632</v>
      </c>
      <c r="O31" s="142" t="n">
        <f aca="false">67.3*1.05</f>
        <v>70.665</v>
      </c>
      <c r="P31" s="171" t="n">
        <v>0</v>
      </c>
      <c r="Q31" s="346" t="n">
        <f aca="false">1271100/325851/1.9835*1.02</f>
        <v>2.00598937106544</v>
      </c>
      <c r="R31" s="138" t="n">
        <v>4.2</v>
      </c>
      <c r="S31" s="138" t="n">
        <f aca="false">((5.8*1.04)-T31)-4.2</f>
        <v>0.87886496</v>
      </c>
      <c r="T31" s="138" t="n">
        <f aca="false">(0.8646*1.06)*1.04</f>
        <v>0.95313504</v>
      </c>
      <c r="U31" s="365" t="n">
        <v>0</v>
      </c>
      <c r="V31" s="142" t="n">
        <v>96.6</v>
      </c>
      <c r="W31" s="142" t="n">
        <v>56.6</v>
      </c>
      <c r="X31" s="347" t="n">
        <f aca="false">M31-N31-O31-P31-Q31-R31-S31-T31-U31+V31+W31-AT31+AR31</f>
        <v>272.027726535161</v>
      </c>
      <c r="Y31" s="142" t="n">
        <f aca="false">X31-AO31</f>
        <v>272.027726535161</v>
      </c>
      <c r="Z31" s="113"/>
      <c r="AA31" s="142"/>
      <c r="AB31" s="113"/>
      <c r="AC31" s="441" t="n">
        <f aca="false">AC30-(AQ30/1.9835)+AS31+AP31</f>
        <v>1097.20508543338</v>
      </c>
      <c r="AD31" s="449" t="n">
        <f aca="false">AD30</f>
        <v>4858.65512901258</v>
      </c>
      <c r="AE31" s="142" t="n">
        <v>172</v>
      </c>
      <c r="AF31" s="144" t="n">
        <v>1.7</v>
      </c>
      <c r="AG31" s="145" t="n">
        <v>1.3</v>
      </c>
      <c r="AH31" s="142" t="n">
        <v>39.5</v>
      </c>
      <c r="AI31" s="113" t="n">
        <f aca="false">AI30-AH31</f>
        <v>5885.54923115706</v>
      </c>
      <c r="AJ31" s="113"/>
      <c r="AK31" s="141" t="n">
        <f aca="false">N31+O31+P31+Q31+R31+S31+T31+U31+X31+AE31+AH31-AR31</f>
        <v>562.75</v>
      </c>
      <c r="AL31" s="142" t="n">
        <f aca="false">IF(L31&lt;0,L31*-1,0)</f>
        <v>41.1514368540459</v>
      </c>
      <c r="AM31" s="142" t="n">
        <f aca="false">AK31+AL31</f>
        <v>603.901436854046</v>
      </c>
      <c r="AN31" s="231"/>
      <c r="AO31" s="226"/>
      <c r="AP31" s="585" t="n">
        <f aca="false">I31-Q31-R31-X31-AF31</f>
        <v>-148.933715906226</v>
      </c>
      <c r="AQ31" s="171" t="n">
        <f aca="false">19.107*(Z31*1.9835+AC31*1.9835)/E31</f>
        <v>1.13258025942775</v>
      </c>
      <c r="AR31" s="171"/>
      <c r="AS31" s="142" t="n">
        <f aca="false">BA31</f>
        <v>8.86</v>
      </c>
      <c r="AT31" s="56" t="n">
        <v>3.95</v>
      </c>
      <c r="AU31" s="110" t="n">
        <f aca="false">O31</f>
        <v>70.665</v>
      </c>
      <c r="AV31" s="233" t="n">
        <v>0.01</v>
      </c>
      <c r="AW31" s="226" t="n">
        <v>80</v>
      </c>
      <c r="AX31" s="226" t="n">
        <v>51</v>
      </c>
      <c r="AY31" s="265"/>
      <c r="AZ31" s="264" t="n">
        <f aca="false">SUM(N31,P31:U31)</f>
        <v>8.55727346483908</v>
      </c>
      <c r="BA31" s="56" t="n">
        <v>8.86</v>
      </c>
      <c r="BB31" s="85" t="n">
        <v>14682</v>
      </c>
    </row>
    <row r="32" customFormat="false" ht="12.95" hidden="false" customHeight="true" outlineLevel="0" collapsed="false">
      <c r="A32" s="192" t="n">
        <v>18</v>
      </c>
      <c r="B32" s="112" t="n">
        <v>6870.05</v>
      </c>
      <c r="C32" s="113" t="n">
        <v>187937</v>
      </c>
      <c r="D32" s="226" t="n">
        <f aca="false">C32-C31</f>
        <v>-778</v>
      </c>
      <c r="E32" s="113" t="n">
        <f aca="false">C32-152000</f>
        <v>35937</v>
      </c>
      <c r="F32" s="260" t="n">
        <f aca="false">D32/$D$2</f>
        <v>-392.235946559113</v>
      </c>
      <c r="G32" s="142" t="n">
        <v>132</v>
      </c>
      <c r="H32" s="261" t="n">
        <v>0</v>
      </c>
      <c r="I32" s="142" t="n">
        <f aca="false">G32+H32</f>
        <v>132</v>
      </c>
      <c r="J32" s="143" t="n">
        <f aca="false">IF(L32&gt;0,L32,0)</f>
        <v>0</v>
      </c>
      <c r="K32" s="142" t="n">
        <f aca="false">I32+J32</f>
        <v>132</v>
      </c>
      <c r="L32" s="142" t="n">
        <f aca="false">F32-(I32-AK32)</f>
        <v>-4.01594655911265</v>
      </c>
      <c r="M32" s="262" t="n">
        <v>182</v>
      </c>
      <c r="N32" s="171" t="n">
        <f aca="false">1/$D$2*1.03</f>
        <v>0.519284093773632</v>
      </c>
      <c r="O32" s="142" t="n">
        <f aca="false">62.3*1.05</f>
        <v>65.415</v>
      </c>
      <c r="P32" s="171" t="n">
        <v>0</v>
      </c>
      <c r="Q32" s="346" t="n">
        <f aca="false">1264600/325851/1.9835*1.02</f>
        <v>1.99573138120475</v>
      </c>
      <c r="R32" s="138" t="n">
        <v>4.2</v>
      </c>
      <c r="S32" s="138" t="n">
        <f aca="false">((6.4*1.04)-T32)-4.2</f>
        <v>1.50286496</v>
      </c>
      <c r="T32" s="138" t="n">
        <f aca="false">(0.8646*1.06)*1.04</f>
        <v>0.95313504</v>
      </c>
      <c r="U32" s="365" t="n">
        <v>0</v>
      </c>
      <c r="V32" s="142" t="n">
        <v>95.6</v>
      </c>
      <c r="W32" s="142" t="n">
        <v>57.9</v>
      </c>
      <c r="X32" s="347" t="n">
        <f aca="false">M32-N32-O32-P32-Q32-R32-S32-T32-U32+V32+W32-AT32+AR32</f>
        <v>257.133984525022</v>
      </c>
      <c r="Y32" s="142" t="n">
        <f aca="false">X32-AO32</f>
        <v>257.133984525022</v>
      </c>
      <c r="Z32" s="113"/>
      <c r="AA32" s="142"/>
      <c r="AB32" s="113"/>
      <c r="AC32" s="441" t="n">
        <f aca="false">AC31-(AQ31/1.9835)+AS32+AP32</f>
        <v>972.414368640126</v>
      </c>
      <c r="AD32" s="449" t="n">
        <f aca="false">AD31</f>
        <v>4858.65512901258</v>
      </c>
      <c r="AE32" s="142" t="n">
        <v>149</v>
      </c>
      <c r="AF32" s="144" t="n">
        <v>1.7</v>
      </c>
      <c r="AG32" s="145" t="n">
        <v>1.3</v>
      </c>
      <c r="AH32" s="142" t="n">
        <v>39.5</v>
      </c>
      <c r="AI32" s="113" t="n">
        <f aca="false">AI31-AH32</f>
        <v>5846.04923115706</v>
      </c>
      <c r="AJ32" s="113"/>
      <c r="AK32" s="141" t="n">
        <f aca="false">N32+O32+P32+Q32+R32+S32+T32+U32+X32+AE32+AH32-AR32</f>
        <v>520.22</v>
      </c>
      <c r="AL32" s="142" t="n">
        <f aca="false">IF(L32&lt;0,L32*-1,0)</f>
        <v>4.01594655911265</v>
      </c>
      <c r="AM32" s="142" t="n">
        <f aca="false">AK32+AL32</f>
        <v>524.235946559113</v>
      </c>
      <c r="AN32" s="231"/>
      <c r="AO32" s="226"/>
      <c r="AP32" s="585" t="n">
        <f aca="false">I32-Q32-R32-X32-AF32</f>
        <v>-133.029715906226</v>
      </c>
      <c r="AQ32" s="171" t="n">
        <f aca="false">20.816*(Z32*1.9835+AC32*1.9835)/E32</f>
        <v>1.11722084944528</v>
      </c>
      <c r="AR32" s="171"/>
      <c r="AS32" s="142" t="n">
        <f aca="false">BA32</f>
        <v>8.81</v>
      </c>
      <c r="AT32" s="56" t="n">
        <v>3.78</v>
      </c>
      <c r="AU32" s="110" t="n">
        <f aca="false">O32</f>
        <v>65.415</v>
      </c>
      <c r="AV32" s="233" t="n">
        <v>0</v>
      </c>
      <c r="AW32" s="226" t="n">
        <v>84</v>
      </c>
      <c r="AX32" s="226" t="n">
        <v>48</v>
      </c>
      <c r="AY32" s="265"/>
      <c r="AZ32" s="264" t="n">
        <f aca="false">SUM(N32,P32:U32)</f>
        <v>9.17101547497839</v>
      </c>
      <c r="BA32" s="56" t="n">
        <v>8.81</v>
      </c>
      <c r="BB32" s="85" t="n">
        <v>14708</v>
      </c>
    </row>
    <row r="33" customFormat="false" ht="12.95" hidden="false" customHeight="true" outlineLevel="0" collapsed="false">
      <c r="A33" s="192" t="n">
        <v>19</v>
      </c>
      <c r="B33" s="112" t="n">
        <v>6869.72</v>
      </c>
      <c r="C33" s="113" t="n">
        <v>187063</v>
      </c>
      <c r="D33" s="226" t="n">
        <f aca="false">C33-C32</f>
        <v>-874</v>
      </c>
      <c r="E33" s="113" t="n">
        <f aca="false">C33-152000</f>
        <v>35063</v>
      </c>
      <c r="F33" s="260" t="n">
        <f aca="false">D33/$D$2</f>
        <v>-440.635240736073</v>
      </c>
      <c r="G33" s="142" t="n">
        <v>117</v>
      </c>
      <c r="H33" s="261" t="n">
        <v>0</v>
      </c>
      <c r="I33" s="142" t="n">
        <f aca="false">G33+H33</f>
        <v>117</v>
      </c>
      <c r="J33" s="143" t="n">
        <f aca="false">IF(L33&gt;0,L33,0)</f>
        <v>0</v>
      </c>
      <c r="K33" s="142" t="n">
        <f aca="false">I33+J33</f>
        <v>117</v>
      </c>
      <c r="L33" s="142" t="n">
        <f aca="false">F33-(I33-AK33)</f>
        <v>-25.0152407360725</v>
      </c>
      <c r="M33" s="262" t="n">
        <v>175</v>
      </c>
      <c r="N33" s="171" t="n">
        <f aca="false">1/$D$2*1.03</f>
        <v>0.519284093773632</v>
      </c>
      <c r="O33" s="142" t="n">
        <f aca="false">42.7*1.05</f>
        <v>44.835</v>
      </c>
      <c r="P33" s="171" t="n">
        <v>0</v>
      </c>
      <c r="Q33" s="346" t="n">
        <f aca="false">1287900/325851/1.9835*1.02</f>
        <v>2.03250232947462</v>
      </c>
      <c r="R33" s="138" t="n">
        <v>4.2</v>
      </c>
      <c r="S33" s="138" t="n">
        <f aca="false">((5.7*1.04)-T33)-4.2</f>
        <v>0.842993280000001</v>
      </c>
      <c r="T33" s="138" t="n">
        <f aca="false">(0.8028*1.06)*1.04</f>
        <v>0.88500672</v>
      </c>
      <c r="U33" s="365" t="n">
        <v>0</v>
      </c>
      <c r="V33" s="142" t="n">
        <v>91.7</v>
      </c>
      <c r="W33" s="142" t="n">
        <v>58.2</v>
      </c>
      <c r="X33" s="347" t="n">
        <f aca="false">M33-N33-O33-P33-Q33-R33-S33-T33-U33+V33+W33-AT33+AR33</f>
        <v>267.805213576752</v>
      </c>
      <c r="Y33" s="142" t="n">
        <f aca="false">X33-AO33</f>
        <v>267.805213576752</v>
      </c>
      <c r="Z33" s="113"/>
      <c r="AA33" s="142"/>
      <c r="AB33" s="113"/>
      <c r="AC33" s="441" t="n">
        <f aca="false">AC32-(AQ32/1.9835)+AS33+AP33</f>
        <v>821.883395436473</v>
      </c>
      <c r="AD33" s="449" t="n">
        <f aca="false">AD32</f>
        <v>4858.65512901258</v>
      </c>
      <c r="AE33" s="142" t="n">
        <v>172</v>
      </c>
      <c r="AF33" s="144" t="n">
        <v>1.7</v>
      </c>
      <c r="AG33" s="145" t="n">
        <v>1.3</v>
      </c>
      <c r="AH33" s="142" t="n">
        <v>39.5</v>
      </c>
      <c r="AI33" s="113" t="n">
        <f aca="false">AI32-AH33</f>
        <v>5806.54923115706</v>
      </c>
      <c r="AJ33" s="113"/>
      <c r="AK33" s="141" t="n">
        <f aca="false">N33+O33+P33+Q33+R33+S33+T33+U33+X33+AE33+AH33-AR33</f>
        <v>532.62</v>
      </c>
      <c r="AL33" s="142" t="n">
        <f aca="false">IF(L33&lt;0,L33*-1,0)</f>
        <v>25.0152407360725</v>
      </c>
      <c r="AM33" s="142" t="n">
        <f aca="false">AK33+AL33</f>
        <v>557.635240736073</v>
      </c>
      <c r="AN33" s="231"/>
      <c r="AO33" s="226"/>
      <c r="AP33" s="585" t="n">
        <f aca="false">I33-Q33-R33-X33-AF33</f>
        <v>-158.737715906226</v>
      </c>
      <c r="AQ33" s="171" t="n">
        <f aca="false">23.457*(Z33*1.9835+AC33*1.9835)/E33</f>
        <v>1.09060078867168</v>
      </c>
      <c r="AR33" s="171"/>
      <c r="AS33" s="142" t="n">
        <f aca="false">BA33</f>
        <v>8.77</v>
      </c>
      <c r="AT33" s="56" t="n">
        <v>3.78</v>
      </c>
      <c r="AU33" s="110" t="n">
        <f aca="false">O33</f>
        <v>44.835</v>
      </c>
      <c r="AV33" s="233" t="n">
        <v>0</v>
      </c>
      <c r="AW33" s="226" t="n">
        <v>84</v>
      </c>
      <c r="AX33" s="226" t="n">
        <v>49</v>
      </c>
      <c r="AY33" s="265"/>
      <c r="AZ33" s="264" t="n">
        <f aca="false">SUM(N33,P33:U33)</f>
        <v>8.47978642324825</v>
      </c>
      <c r="BA33" s="56" t="n">
        <v>8.77</v>
      </c>
      <c r="BB33" s="85" t="n">
        <v>14712</v>
      </c>
    </row>
    <row r="34" customFormat="false" ht="12.95" hidden="false" customHeight="true" outlineLevel="0" collapsed="false">
      <c r="A34" s="192" t="n">
        <v>20</v>
      </c>
      <c r="B34" s="112" t="n">
        <v>6869.42</v>
      </c>
      <c r="C34" s="113" t="n">
        <v>186269</v>
      </c>
      <c r="D34" s="226" t="n">
        <f aca="false">C34-C33</f>
        <v>-794</v>
      </c>
      <c r="E34" s="113" t="n">
        <f aca="false">C34-152000</f>
        <v>34269</v>
      </c>
      <c r="F34" s="260" t="n">
        <f aca="false">D34/$D$2</f>
        <v>-400.302495588606</v>
      </c>
      <c r="G34" s="142" t="n">
        <v>111</v>
      </c>
      <c r="H34" s="261" t="n">
        <v>0</v>
      </c>
      <c r="I34" s="142" t="n">
        <f aca="false">G34+H34</f>
        <v>111</v>
      </c>
      <c r="J34" s="143" t="n">
        <f aca="false">IF(L34&gt;0,L34,0)</f>
        <v>0</v>
      </c>
      <c r="K34" s="142" t="n">
        <f aca="false">I34+J34</f>
        <v>111</v>
      </c>
      <c r="L34" s="142" t="n">
        <f aca="false">F34-(I34-AK34)</f>
        <v>-27.612495588606</v>
      </c>
      <c r="M34" s="262" t="n">
        <v>151</v>
      </c>
      <c r="N34" s="171" t="n">
        <f aca="false">1/$D$2*1.03</f>
        <v>0.519284093773632</v>
      </c>
      <c r="O34" s="142" t="n">
        <f aca="false">27.4*1.05</f>
        <v>28.77</v>
      </c>
      <c r="P34" s="171" t="n">
        <v>0</v>
      </c>
      <c r="Q34" s="346" t="n">
        <f aca="false">1420400/325851/1.9835*1.02</f>
        <v>2.2416075074041</v>
      </c>
      <c r="R34" s="138" t="n">
        <v>4.2</v>
      </c>
      <c r="S34" s="138" t="n">
        <f aca="false">((6*1.04)-T34)-4.2</f>
        <v>1.15499328</v>
      </c>
      <c r="T34" s="138" t="n">
        <f aca="false">(0.8028*1.06)*1.04</f>
        <v>0.88500672</v>
      </c>
      <c r="U34" s="365" t="n">
        <v>0</v>
      </c>
      <c r="V34" s="142" t="n">
        <v>92.6</v>
      </c>
      <c r="W34" s="142" t="n">
        <v>58.3</v>
      </c>
      <c r="X34" s="347" t="n">
        <f aca="false">M34-N34-O34-P34-Q34-R34-S34-T34-U34+V34+W34-AT34+AR34</f>
        <v>260.419108398822</v>
      </c>
      <c r="Y34" s="142" t="n">
        <f aca="false">X34-AO34</f>
        <v>260.419108398822</v>
      </c>
      <c r="Z34" s="113"/>
      <c r="AA34" s="142"/>
      <c r="AB34" s="113"/>
      <c r="AC34" s="441" t="n">
        <f aca="false">AC33-(AQ33/1.9835)+AS34+AP34</f>
        <v>672.912842984408</v>
      </c>
      <c r="AD34" s="449" t="n">
        <f aca="false">AD33</f>
        <v>4858.65512901258</v>
      </c>
      <c r="AE34" s="142" t="n">
        <v>146</v>
      </c>
      <c r="AF34" s="144" t="n">
        <v>1.7</v>
      </c>
      <c r="AG34" s="145" t="n">
        <v>1.3</v>
      </c>
      <c r="AH34" s="142" t="n">
        <v>39.5</v>
      </c>
      <c r="AI34" s="113" t="n">
        <f aca="false">AI33-AH34</f>
        <v>5767.04923115706</v>
      </c>
      <c r="AJ34" s="113"/>
      <c r="AK34" s="141" t="n">
        <f aca="false">N34+O34+P34+Q34+R34+S34+T34+U34+X34+AE34+AH34-AR34</f>
        <v>483.69</v>
      </c>
      <c r="AL34" s="142" t="n">
        <f aca="false">IF(L34&lt;0,L34*-1,0)</f>
        <v>27.612495588606</v>
      </c>
      <c r="AM34" s="142" t="n">
        <f aca="false">AK34+AL34</f>
        <v>511.302495588606</v>
      </c>
      <c r="AN34" s="231"/>
      <c r="AO34" s="226"/>
      <c r="AP34" s="585" t="n">
        <f aca="false">I34-Q34-R34-X34-AF34</f>
        <v>-157.560715906226</v>
      </c>
      <c r="AQ34" s="171" t="n">
        <f aca="false">27.584*(Z34*1.9835+AC34*1.9835)/E34</f>
        <v>1.07435258869705</v>
      </c>
      <c r="AR34" s="171"/>
      <c r="AS34" s="142" t="n">
        <f aca="false">BA34</f>
        <v>9.14</v>
      </c>
      <c r="AT34" s="56" t="n">
        <v>3.71</v>
      </c>
      <c r="AU34" s="110" t="n">
        <f aca="false">O34</f>
        <v>28.77</v>
      </c>
      <c r="AV34" s="233" t="n">
        <v>0</v>
      </c>
      <c r="AW34" s="226" t="n">
        <v>88</v>
      </c>
      <c r="AX34" s="226" t="n">
        <v>53</v>
      </c>
      <c r="AY34" s="265"/>
      <c r="AZ34" s="264" t="n">
        <f aca="false">SUM(N34,P34:U34)</f>
        <v>9.00089160117774</v>
      </c>
      <c r="BA34" s="56" t="n">
        <v>9.14</v>
      </c>
      <c r="BB34" s="85" t="n">
        <v>14644</v>
      </c>
    </row>
    <row r="35" customFormat="false" ht="12.95" hidden="false" customHeight="true" outlineLevel="0" collapsed="false">
      <c r="A35" s="192" t="n">
        <v>21</v>
      </c>
      <c r="B35" s="112" t="n">
        <v>6869.27</v>
      </c>
      <c r="C35" s="113" t="n">
        <v>185872</v>
      </c>
      <c r="D35" s="226" t="n">
        <f aca="false">C35-C34</f>
        <v>-397</v>
      </c>
      <c r="E35" s="113" t="n">
        <f aca="false">C35-152000</f>
        <v>33872</v>
      </c>
      <c r="F35" s="260" t="n">
        <f aca="false">D35/$D$2</f>
        <v>-200.151247794303</v>
      </c>
      <c r="G35" s="142" t="n">
        <v>185</v>
      </c>
      <c r="H35" s="261" t="n">
        <v>0</v>
      </c>
      <c r="I35" s="142" t="n">
        <f aca="false">G35+H35</f>
        <v>185</v>
      </c>
      <c r="J35" s="143" t="n">
        <f aca="false">IF(L35&gt;0,L35,0)</f>
        <v>67.698752205697</v>
      </c>
      <c r="K35" s="142" t="n">
        <f aca="false">I35+J35</f>
        <v>252.698752205697</v>
      </c>
      <c r="L35" s="142" t="n">
        <f aca="false">F35-(I35-AK35)</f>
        <v>67.698752205697</v>
      </c>
      <c r="M35" s="262" t="n">
        <v>153</v>
      </c>
      <c r="N35" s="171" t="n">
        <f aca="false">1/$D$2*1.03</f>
        <v>0.519284093773632</v>
      </c>
      <c r="O35" s="142" t="n">
        <f aca="false">13.8*1.05</f>
        <v>14.49</v>
      </c>
      <c r="P35" s="171" t="n">
        <v>0</v>
      </c>
      <c r="Q35" s="346" t="n">
        <f aca="false">1265700/325851/1.9835*1.02</f>
        <v>1.99746734871964</v>
      </c>
      <c r="R35" s="138" t="n">
        <v>4.2</v>
      </c>
      <c r="S35" s="138" t="n">
        <f aca="false">((6*1.04)-T35)-4.2</f>
        <v>1.15499328</v>
      </c>
      <c r="T35" s="138" t="n">
        <f aca="false">(0.8028*1.06)*1.04</f>
        <v>0.88500672</v>
      </c>
      <c r="U35" s="365" t="n">
        <v>0</v>
      </c>
      <c r="V35" s="142" t="n">
        <v>93.6</v>
      </c>
      <c r="W35" s="142" t="n">
        <v>58.4</v>
      </c>
      <c r="X35" s="347" t="n">
        <f aca="false">M35-N35-O35-P35-Q35-R35-S35-T35-U35+V35+W35-AT35+AR35</f>
        <v>277.903248557507</v>
      </c>
      <c r="Y35" s="142" t="n">
        <f aca="false">X35-AO35</f>
        <v>277.903248557507</v>
      </c>
      <c r="Z35" s="113"/>
      <c r="AA35" s="142"/>
      <c r="AB35" s="113"/>
      <c r="AC35" s="441" t="n">
        <f aca="false">AC34-(AQ34/1.9835)+AS35+AP35</f>
        <v>581.160482213701</v>
      </c>
      <c r="AD35" s="449" t="n">
        <f aca="false">AD34</f>
        <v>4858.65512901258</v>
      </c>
      <c r="AE35" s="142" t="n">
        <v>112</v>
      </c>
      <c r="AF35" s="144" t="n">
        <v>1.7</v>
      </c>
      <c r="AG35" s="145" t="n">
        <v>1.3</v>
      </c>
      <c r="AH35" s="142" t="n">
        <v>39.7</v>
      </c>
      <c r="AI35" s="113" t="n">
        <f aca="false">AI34-AH35</f>
        <v>5727.34923115706</v>
      </c>
      <c r="AJ35" s="113"/>
      <c r="AK35" s="141" t="n">
        <f aca="false">N35+O35+P35+Q35+R35+S35+T35+U35+X35+AE35+AH35-AR35</f>
        <v>452.85</v>
      </c>
      <c r="AL35" s="142" t="n">
        <f aca="false">IF(L35&lt;0,L35*-1,0)</f>
        <v>0</v>
      </c>
      <c r="AM35" s="142" t="n">
        <f aca="false">AK35+AL35</f>
        <v>452.85</v>
      </c>
      <c r="AN35" s="231"/>
      <c r="AO35" s="226"/>
      <c r="AP35" s="585" t="n">
        <f aca="false">I35-Q35-R35-X35-AF35</f>
        <v>-100.800715906226</v>
      </c>
      <c r="AQ35" s="171" t="n">
        <f aca="false">0*(Z35*1.9835+AC35*1.9835)/E35</f>
        <v>0</v>
      </c>
      <c r="AR35" s="171"/>
      <c r="AS35" s="142" t="n">
        <f aca="false">BA35</f>
        <v>9.59</v>
      </c>
      <c r="AT35" s="56" t="n">
        <v>3.85</v>
      </c>
      <c r="AU35" s="110" t="n">
        <f aca="false">O35</f>
        <v>14.49</v>
      </c>
      <c r="AV35" s="233" t="n">
        <v>0.58</v>
      </c>
      <c r="AW35" s="226" t="n">
        <v>80</v>
      </c>
      <c r="AX35" s="226" t="n">
        <v>56</v>
      </c>
      <c r="AY35" s="265"/>
      <c r="AZ35" s="264" t="n">
        <f aca="false">SUM(N35,P35:U35)</f>
        <v>8.75675144249327</v>
      </c>
      <c r="BA35" s="56" t="n">
        <v>9.59</v>
      </c>
      <c r="BB35" s="85" t="n">
        <v>14662</v>
      </c>
    </row>
    <row r="36" customFormat="false" ht="12.95" hidden="false" customHeight="true" outlineLevel="0" collapsed="false">
      <c r="A36" s="192" t="n">
        <v>22</v>
      </c>
      <c r="B36" s="112" t="n">
        <v>6869.26</v>
      </c>
      <c r="C36" s="113" t="n">
        <v>185846</v>
      </c>
      <c r="D36" s="226" t="n">
        <f aca="false">C36-C35</f>
        <v>-26</v>
      </c>
      <c r="E36" s="113" t="n">
        <f aca="false">C36-152000</f>
        <v>33846</v>
      </c>
      <c r="F36" s="260" t="n">
        <f aca="false">D36/$D$2</f>
        <v>-13.1081421729266</v>
      </c>
      <c r="G36" s="142" t="n">
        <v>457</v>
      </c>
      <c r="H36" s="261" t="n">
        <v>0</v>
      </c>
      <c r="I36" s="142" t="n">
        <f aca="false">G36+H36</f>
        <v>457</v>
      </c>
      <c r="J36" s="143" t="n">
        <f aca="false">IF(L36&gt;0,L36,0)</f>
        <v>0</v>
      </c>
      <c r="K36" s="142" t="n">
        <f aca="false">I36+J36</f>
        <v>457</v>
      </c>
      <c r="L36" s="142" t="n">
        <f aca="false">F36-(I36-AK36)</f>
        <v>-51.9781421729267</v>
      </c>
      <c r="M36" s="262" t="n">
        <v>113</v>
      </c>
      <c r="N36" s="171" t="n">
        <f aca="false">1/$D$2*1.03</f>
        <v>0.519284093773632</v>
      </c>
      <c r="O36" s="142" t="n">
        <f aca="false">8.8*1.05</f>
        <v>9.24</v>
      </c>
      <c r="P36" s="171" t="n">
        <v>0</v>
      </c>
      <c r="Q36" s="346" t="n">
        <f aca="false">1174200/325851/1.9835*1.02</f>
        <v>1.85306641452682</v>
      </c>
      <c r="R36" s="138" t="n">
        <f aca="false">(4.6*1.04)-T36</f>
        <v>3.89899328</v>
      </c>
      <c r="S36" s="138" t="n">
        <v>0</v>
      </c>
      <c r="T36" s="138" t="n">
        <f aca="false">(0.8028*1.06)*1.04</f>
        <v>0.88500672</v>
      </c>
      <c r="U36" s="365" t="n">
        <v>0</v>
      </c>
      <c r="V36" s="142" t="n">
        <v>93.4</v>
      </c>
      <c r="W36" s="142" t="n">
        <v>60.3</v>
      </c>
      <c r="X36" s="347" t="n">
        <f aca="false">M36-N36-O36-P36-Q36-R36-S36-T36-U36+V36+W36-AT36+AR36</f>
        <v>246.2336494917</v>
      </c>
      <c r="Y36" s="142" t="n">
        <f aca="false">X36-AO36</f>
        <v>246.2336494917</v>
      </c>
      <c r="Z36" s="113"/>
      <c r="AA36" s="142"/>
      <c r="AB36" s="113"/>
      <c r="AC36" s="441" t="n">
        <f aca="false">AC35-(AQ35/1.9835)+AS36+0</f>
        <v>590.440482213701</v>
      </c>
      <c r="AD36" s="449" t="n">
        <f aca="false">AD35</f>
        <v>4858.65512901258</v>
      </c>
      <c r="AE36" s="142" t="n">
        <v>116</v>
      </c>
      <c r="AF36" s="144" t="n">
        <v>1.7</v>
      </c>
      <c r="AG36" s="145" t="n">
        <v>1.3</v>
      </c>
      <c r="AH36" s="142" t="n">
        <v>39.5</v>
      </c>
      <c r="AI36" s="113" t="n">
        <f aca="false">AI35-AH36</f>
        <v>5687.84923115706</v>
      </c>
      <c r="AJ36" s="113"/>
      <c r="AK36" s="141" t="n">
        <f aca="false">N36+O36+P36+Q36+R36+S36+T36+U36+X36+AE36+AH36-AR36</f>
        <v>418.13</v>
      </c>
      <c r="AL36" s="142" t="n">
        <f aca="false">IF(L36&lt;0,L36*-1,0)</f>
        <v>51.9781421729267</v>
      </c>
      <c r="AM36" s="142" t="n">
        <f aca="false">AK36+AL36</f>
        <v>470.108142172927</v>
      </c>
      <c r="AN36" s="231"/>
      <c r="AO36" s="226"/>
      <c r="AP36" s="585" t="n">
        <f aca="false">I36-Q36-R36-X36-AF36</f>
        <v>203.314290813774</v>
      </c>
      <c r="AQ36" s="171" t="n">
        <f aca="false">39.077*(Z36*1.9835+AC36*1.9835)/E36</f>
        <v>1.35214166643008</v>
      </c>
      <c r="AR36" s="171"/>
      <c r="AS36" s="142" t="n">
        <f aca="false">BA36</f>
        <v>9.28</v>
      </c>
      <c r="AT36" s="56" t="n">
        <v>4.07</v>
      </c>
      <c r="AU36" s="110" t="n">
        <f aca="false">O36</f>
        <v>9.24</v>
      </c>
      <c r="AV36" s="233" t="n">
        <v>0.1</v>
      </c>
      <c r="AW36" s="226" t="n">
        <v>77</v>
      </c>
      <c r="AX36" s="226" t="n">
        <v>52</v>
      </c>
      <c r="AY36" s="265"/>
      <c r="AZ36" s="264" t="n">
        <f aca="false">SUM(N36,P36:U36)</f>
        <v>7.15635050830046</v>
      </c>
      <c r="BA36" s="56" t="n">
        <v>9.28</v>
      </c>
      <c r="BB36" s="85" t="n">
        <v>14767</v>
      </c>
    </row>
    <row r="37" customFormat="false" ht="12.95" hidden="false" customHeight="true" outlineLevel="0" collapsed="false">
      <c r="A37" s="192" t="n">
        <v>23</v>
      </c>
      <c r="B37" s="112" t="n">
        <v>6869.22</v>
      </c>
      <c r="C37" s="113" t="n">
        <v>185740</v>
      </c>
      <c r="D37" s="226" t="n">
        <f aca="false">C37-C36</f>
        <v>-106</v>
      </c>
      <c r="E37" s="113" t="n">
        <f aca="false">C37-152000</f>
        <v>33740</v>
      </c>
      <c r="F37" s="260" t="n">
        <f aca="false">D37/$D$2</f>
        <v>-53.4408873203932</v>
      </c>
      <c r="G37" s="142" t="n">
        <v>405</v>
      </c>
      <c r="H37" s="261" t="n">
        <v>0</v>
      </c>
      <c r="I37" s="142" t="n">
        <f aca="false">G37+H37</f>
        <v>405</v>
      </c>
      <c r="J37" s="143" t="n">
        <f aca="false">IF(L37&gt;0,L37,0)</f>
        <v>0</v>
      </c>
      <c r="K37" s="142" t="n">
        <f aca="false">I37+J37</f>
        <v>405</v>
      </c>
      <c r="L37" s="142" t="n">
        <f aca="false">F37-(I37-AK37)</f>
        <v>-20.9908873203933</v>
      </c>
      <c r="M37" s="262" t="n">
        <v>111</v>
      </c>
      <c r="N37" s="171" t="n">
        <f aca="false">1/$D$2*1.03</f>
        <v>0.519284093773632</v>
      </c>
      <c r="O37" s="142" t="n">
        <f aca="false">6.14*1.05</f>
        <v>6.447</v>
      </c>
      <c r="P37" s="171" t="n">
        <v>0</v>
      </c>
      <c r="Q37" s="346" t="n">
        <f aca="false">1138600/325851/1.9835*1.02</f>
        <v>1.79688419313596</v>
      </c>
      <c r="R37" s="138" t="n">
        <f aca="false">(4.5*1.04)-T37</f>
        <v>3.79499328</v>
      </c>
      <c r="S37" s="138" t="n">
        <v>0</v>
      </c>
      <c r="T37" s="138" t="n">
        <f aca="false">(0.8028*1.06)*1.04</f>
        <v>0.88500672</v>
      </c>
      <c r="U37" s="365" t="n">
        <v>0</v>
      </c>
      <c r="V37" s="142" t="n">
        <v>91.6</v>
      </c>
      <c r="W37" s="142" t="n">
        <v>62.4</v>
      </c>
      <c r="X37" s="347" t="n">
        <f aca="false">M37-N37-O37-P37-Q37-R37-S37-T37-U37+V37+W37-AT37+AR37</f>
        <v>247.50683171309</v>
      </c>
      <c r="Y37" s="142" t="n">
        <f aca="false">X37-AO37</f>
        <v>247.50683171309</v>
      </c>
      <c r="Z37" s="113"/>
      <c r="AA37" s="142"/>
      <c r="AB37" s="113"/>
      <c r="AC37" s="441" t="n">
        <f aca="false">AC36+AS37+0</f>
        <v>597.890482213701</v>
      </c>
      <c r="AD37" s="449" t="n">
        <f aca="false">AD36</f>
        <v>4858.65512901258</v>
      </c>
      <c r="AE37" s="142" t="n">
        <v>137</v>
      </c>
      <c r="AF37" s="144" t="n">
        <v>1.7</v>
      </c>
      <c r="AG37" s="145" t="n">
        <v>1.3</v>
      </c>
      <c r="AH37" s="142" t="n">
        <v>39.5</v>
      </c>
      <c r="AI37" s="113" t="n">
        <f aca="false">AI36-AH37</f>
        <v>5648.34923115706</v>
      </c>
      <c r="AJ37" s="113"/>
      <c r="AK37" s="141" t="n">
        <f aca="false">N37+O37+P37+Q37+R37+S37+T37+U37+X37+AE37+AH37-AR37</f>
        <v>437.45</v>
      </c>
      <c r="AL37" s="142" t="n">
        <f aca="false">IF(L37&lt;0,L37*-1,0)</f>
        <v>20.9908873203933</v>
      </c>
      <c r="AM37" s="142" t="n">
        <f aca="false">AK37+AL37</f>
        <v>458.440887320393</v>
      </c>
      <c r="AN37" s="231"/>
      <c r="AO37" s="226"/>
      <c r="AP37" s="585" t="n">
        <f aca="false">I37-Q37-R37-X37-AF37</f>
        <v>150.201290813774</v>
      </c>
      <c r="AQ37" s="171" t="n">
        <f aca="false">24.519*(Z37*1.9835+AC37*1.9835)/E37</f>
        <v>0.861809982237534</v>
      </c>
      <c r="AR37" s="171"/>
      <c r="AS37" s="142" t="n">
        <v>7.45</v>
      </c>
      <c r="AT37" s="56" t="n">
        <v>4.05</v>
      </c>
      <c r="AU37" s="110" t="n">
        <f aca="false">O37</f>
        <v>6.447</v>
      </c>
      <c r="AV37" s="233" t="n">
        <v>0</v>
      </c>
      <c r="AW37" s="226" t="n">
        <v>79</v>
      </c>
      <c r="AX37" s="226" t="n">
        <v>47</v>
      </c>
      <c r="AY37" s="265"/>
      <c r="AZ37" s="264" t="n">
        <f aca="false">SUM(N37,P37:U37)</f>
        <v>6.99616828690959</v>
      </c>
      <c r="BA37" s="56" t="n">
        <v>10.6</v>
      </c>
      <c r="BB37" s="85" t="n">
        <v>14741</v>
      </c>
    </row>
    <row r="38" customFormat="false" ht="12.75" hidden="false" customHeight="true" outlineLevel="0" collapsed="false">
      <c r="A38" s="192" t="n">
        <v>24</v>
      </c>
      <c r="B38" s="112" t="n">
        <v>6869.07</v>
      </c>
      <c r="C38" s="113" t="n">
        <v>185343</v>
      </c>
      <c r="D38" s="226" t="n">
        <f aca="false">C38-C37</f>
        <v>-397</v>
      </c>
      <c r="E38" s="113" t="n">
        <f aca="false">C38-152000</f>
        <v>33343</v>
      </c>
      <c r="F38" s="260" t="n">
        <f aca="false">D38/$D$2</f>
        <v>-200.151247794303</v>
      </c>
      <c r="G38" s="142" t="n">
        <v>265</v>
      </c>
      <c r="H38" s="261" t="n">
        <v>0</v>
      </c>
      <c r="I38" s="142" t="n">
        <f aca="false">G38+H38</f>
        <v>265</v>
      </c>
      <c r="J38" s="143" t="n">
        <f aca="false">IF(L38&gt;0,L38,0)</f>
        <v>0</v>
      </c>
      <c r="K38" s="142" t="n">
        <f aca="false">I38+J38</f>
        <v>265</v>
      </c>
      <c r="L38" s="142" t="n">
        <f aca="false">F38-(I38-AK38)</f>
        <v>-36.611247794303</v>
      </c>
      <c r="M38" s="262" t="n">
        <v>143</v>
      </c>
      <c r="N38" s="171" t="n">
        <f aca="false">1/$D$2*1.03</f>
        <v>0.519284093773632</v>
      </c>
      <c r="O38" s="142" t="n">
        <f aca="false">12.3*1.05</f>
        <v>12.915</v>
      </c>
      <c r="P38" s="171" t="n">
        <v>0</v>
      </c>
      <c r="Q38" s="346" t="n">
        <f aca="false">1375200/325851/1.9835*1.02</f>
        <v>2.17027502406514</v>
      </c>
      <c r="R38" s="138" t="n">
        <f aca="false">(4.6*1.04)-T38</f>
        <v>3.89899328</v>
      </c>
      <c r="S38" s="138" t="n">
        <v>0</v>
      </c>
      <c r="T38" s="138" t="n">
        <f aca="false">(0.8028*1.06)*1.04</f>
        <v>0.88500672</v>
      </c>
      <c r="U38" s="365" t="n">
        <v>0</v>
      </c>
      <c r="V38" s="142" t="n">
        <v>88.6</v>
      </c>
      <c r="W38" s="142" t="n">
        <v>61.2</v>
      </c>
      <c r="X38" s="347" t="n">
        <f aca="false">M38-N38-O38-P38-Q38-R38-S38-T38-U38+V38+W38-AT38+AR38</f>
        <v>268.651440882161</v>
      </c>
      <c r="Y38" s="142" t="n">
        <f aca="false">X38-AO38</f>
        <v>268.651440882161</v>
      </c>
      <c r="Z38" s="113"/>
      <c r="AA38" s="142"/>
      <c r="AB38" s="113"/>
      <c r="AC38" s="441" t="n">
        <f aca="false">AC37+AS38+AP38</f>
        <v>586.469773027475</v>
      </c>
      <c r="AD38" s="449" t="n">
        <f aca="false">AD37</f>
        <v>4858.65512901258</v>
      </c>
      <c r="AE38" s="142" t="n">
        <v>100</v>
      </c>
      <c r="AF38" s="144" t="n">
        <v>1.7</v>
      </c>
      <c r="AG38" s="145" t="n">
        <v>1.3</v>
      </c>
      <c r="AH38" s="142" t="n">
        <v>39.5</v>
      </c>
      <c r="AI38" s="113" t="n">
        <f aca="false">AI37-AH38</f>
        <v>5608.84923115706</v>
      </c>
      <c r="AJ38" s="113"/>
      <c r="AK38" s="141" t="n">
        <f aca="false">N38+O38+P38+Q38+R38+S38+T38+U38+X38+AE38+AH38-AR38</f>
        <v>428.54</v>
      </c>
      <c r="AL38" s="142" t="n">
        <f aca="false">IF(L38&lt;0,L38*-1,0)</f>
        <v>36.611247794303</v>
      </c>
      <c r="AM38" s="142" t="n">
        <f aca="false">AK38+AL38</f>
        <v>465.151247794303</v>
      </c>
      <c r="AN38" s="231"/>
      <c r="AO38" s="226"/>
      <c r="AP38" s="585" t="n">
        <f aca="false">I38-Q38-R38-X38-AF38</f>
        <v>-11.4207091862264</v>
      </c>
      <c r="AQ38" s="171" t="n">
        <f aca="false">24.059*(Z38*1.9835+AC38*1.9835)/E38</f>
        <v>0.839364771619024</v>
      </c>
      <c r="AR38" s="171"/>
      <c r="AS38" s="142"/>
      <c r="AT38" s="56" t="n">
        <v>3.76</v>
      </c>
      <c r="AU38" s="110" t="n">
        <f aca="false">O38</f>
        <v>12.915</v>
      </c>
      <c r="AV38" s="233" t="n">
        <v>0</v>
      </c>
      <c r="AW38" s="226" t="n">
        <v>83</v>
      </c>
      <c r="AX38" s="226" t="n">
        <v>49</v>
      </c>
      <c r="AY38" s="265"/>
      <c r="AZ38" s="264" t="n">
        <f aca="false">SUM(N38,P38:U38)</f>
        <v>7.47355911783877</v>
      </c>
      <c r="BA38" s="56" t="n">
        <v>11</v>
      </c>
      <c r="BB38" s="85" t="n">
        <v>14675</v>
      </c>
    </row>
    <row r="39" customFormat="false" ht="12.95" hidden="false" customHeight="true" outlineLevel="0" collapsed="false">
      <c r="A39" s="192" t="n">
        <v>25</v>
      </c>
      <c r="B39" s="112" t="n">
        <v>6868.89</v>
      </c>
      <c r="C39" s="113" t="n">
        <v>184871</v>
      </c>
      <c r="D39" s="226" t="n">
        <f aca="false">C39-C38</f>
        <v>-472</v>
      </c>
      <c r="E39" s="113" t="n">
        <f aca="false">C39-152000</f>
        <v>32871</v>
      </c>
      <c r="F39" s="260" t="n">
        <f aca="false">D39/$D$2</f>
        <v>-237.963196370053</v>
      </c>
      <c r="G39" s="142" t="n">
        <v>217</v>
      </c>
      <c r="H39" s="261" t="n">
        <v>0</v>
      </c>
      <c r="I39" s="142" t="n">
        <f aca="false">G39+H39</f>
        <v>217</v>
      </c>
      <c r="J39" s="143" t="n">
        <f aca="false">IF(L39&gt;0,L39,0)</f>
        <v>0</v>
      </c>
      <c r="K39" s="142" t="n">
        <f aca="false">I39+J39</f>
        <v>217</v>
      </c>
      <c r="L39" s="142" t="n">
        <f aca="false">F39-(I39-AK39)</f>
        <v>-1.25319637005296</v>
      </c>
      <c r="M39" s="262" t="n">
        <v>170</v>
      </c>
      <c r="N39" s="171" t="n">
        <f aca="false">1/$D$2*1.03</f>
        <v>0.519284093773632</v>
      </c>
      <c r="O39" s="142" t="n">
        <f aca="false">37.1*1.05</f>
        <v>38.955</v>
      </c>
      <c r="P39" s="171" t="n">
        <v>0</v>
      </c>
      <c r="Q39" s="346" t="n">
        <f aca="false">1322900/325851/1.9835*1.02</f>
        <v>2.08773765949373</v>
      </c>
      <c r="R39" s="138" t="n">
        <f aca="false">(4.6*1.04)-T39</f>
        <v>3.89899328</v>
      </c>
      <c r="S39" s="138" t="n">
        <v>0</v>
      </c>
      <c r="T39" s="138" t="n">
        <f aca="false">(0.8028*1.06)*1.04</f>
        <v>0.88500672</v>
      </c>
      <c r="U39" s="365" t="n">
        <v>0</v>
      </c>
      <c r="V39" s="142" t="n">
        <v>84.8</v>
      </c>
      <c r="W39" s="142" t="n">
        <v>60.6</v>
      </c>
      <c r="X39" s="347" t="n">
        <f aca="false">M39-N39-O39-P39-Q39-R39-S39-T39-U39+V39+W39-AT39+AR39</f>
        <v>265.563978246733</v>
      </c>
      <c r="Y39" s="142" t="n">
        <f aca="false">X39-AO39</f>
        <v>265.563978246733</v>
      </c>
      <c r="Z39" s="113"/>
      <c r="AA39" s="142"/>
      <c r="AB39" s="113"/>
      <c r="AC39" s="441" t="n">
        <f aca="false">AC38-(AQ38/1.9835)+AS39+AP39</f>
        <v>529.795890273505</v>
      </c>
      <c r="AD39" s="449" t="n">
        <f aca="false">AD38</f>
        <v>4858.65512901258</v>
      </c>
      <c r="AE39" s="142" t="n">
        <v>102</v>
      </c>
      <c r="AF39" s="144" t="n">
        <v>1.7</v>
      </c>
      <c r="AG39" s="145" t="n">
        <v>1.3</v>
      </c>
      <c r="AH39" s="142" t="n">
        <v>39.8</v>
      </c>
      <c r="AI39" s="113" t="n">
        <f aca="false">AI38-AH39</f>
        <v>5569.04923115706</v>
      </c>
      <c r="AJ39" s="113"/>
      <c r="AK39" s="141" t="n">
        <f aca="false">N39+O39+P39+Q39+R39+S39+T39+U39+X39+AE39+AH39-AR39</f>
        <v>453.71</v>
      </c>
      <c r="AL39" s="142" t="n">
        <f aca="false">IF(L39&lt;0,L39*-1,0)</f>
        <v>1.25319637005296</v>
      </c>
      <c r="AM39" s="142" t="n">
        <f aca="false">AK39+AL39</f>
        <v>454.963196370053</v>
      </c>
      <c r="AN39" s="231"/>
      <c r="AO39" s="226"/>
      <c r="AP39" s="585" t="n">
        <f aca="false">I39-Q39-R39-X39-AF39</f>
        <v>-56.2507091862264</v>
      </c>
      <c r="AQ39" s="171" t="n">
        <f aca="false">20.075*(Z39*1.9835+AC39*1.9835)/E39</f>
        <v>0.641775934053626</v>
      </c>
      <c r="AR39" s="171"/>
      <c r="AS39" s="142"/>
      <c r="AT39" s="56" t="n">
        <v>3.49</v>
      </c>
      <c r="AU39" s="110" t="n">
        <f aca="false">O39</f>
        <v>38.955</v>
      </c>
      <c r="AV39" s="233" t="n">
        <v>0</v>
      </c>
      <c r="AW39" s="226" t="n">
        <v>84</v>
      </c>
      <c r="AX39" s="226" t="n">
        <v>52</v>
      </c>
      <c r="AY39" s="265"/>
      <c r="AZ39" s="264" t="n">
        <f aca="false">SUM(N39,P39:U39)</f>
        <v>7.39102175326736</v>
      </c>
      <c r="BA39" s="56" t="n">
        <v>5.1</v>
      </c>
      <c r="BB39" s="85" t="n">
        <v>14689</v>
      </c>
    </row>
    <row r="40" customFormat="false" ht="12.95" hidden="false" customHeight="true" outlineLevel="0" collapsed="false">
      <c r="A40" s="192" t="n">
        <v>26</v>
      </c>
      <c r="B40" s="112" t="n">
        <v>6868.72</v>
      </c>
      <c r="C40" s="113" t="n">
        <v>184428</v>
      </c>
      <c r="D40" s="226" t="n">
        <f aca="false">C40-C39</f>
        <v>-443</v>
      </c>
      <c r="E40" s="113" t="n">
        <f aca="false">C40-152000</f>
        <v>32428</v>
      </c>
      <c r="F40" s="260" t="n">
        <f aca="false">D40/$D$2</f>
        <v>-223.342576254096</v>
      </c>
      <c r="G40" s="142" t="n">
        <v>186</v>
      </c>
      <c r="H40" s="261" t="n">
        <v>0</v>
      </c>
      <c r="I40" s="142" t="n">
        <f aca="false">G40+H40</f>
        <v>186</v>
      </c>
      <c r="J40" s="143" t="n">
        <f aca="false">IF(L40&gt;0,L40,0)</f>
        <v>23.2774237459037</v>
      </c>
      <c r="K40" s="142" t="n">
        <f aca="false">I40+J40</f>
        <v>209.277423745904</v>
      </c>
      <c r="L40" s="142" t="n">
        <f aca="false">F40-(I40-AK40)</f>
        <v>23.2774237459037</v>
      </c>
      <c r="M40" s="262" t="n">
        <v>164</v>
      </c>
      <c r="N40" s="171" t="n">
        <f aca="false">1/$D$2*1.03</f>
        <v>0.519284093773632</v>
      </c>
      <c r="O40" s="142" t="n">
        <f aca="false">37.1*1.05</f>
        <v>38.955</v>
      </c>
      <c r="P40" s="171" t="n">
        <v>0</v>
      </c>
      <c r="Q40" s="346" t="n">
        <f aca="false">1325700/325851/1.9835*1.02</f>
        <v>2.09215648589526</v>
      </c>
      <c r="R40" s="138" t="n">
        <f aca="false">(5.1*1.04)-T40</f>
        <v>4.0130896</v>
      </c>
      <c r="S40" s="138" t="n">
        <v>0</v>
      </c>
      <c r="T40" s="138" t="n">
        <f aca="false">(1.171*1.06)*1.04</f>
        <v>1.2909104</v>
      </c>
      <c r="U40" s="365" t="n">
        <v>0</v>
      </c>
      <c r="V40" s="142" t="n">
        <v>79.6</v>
      </c>
      <c r="W40" s="142" t="n">
        <v>60.2</v>
      </c>
      <c r="X40" s="347" t="n">
        <f aca="false">M40-N40-O40-P40-Q40-R40-S40-T40-U40+V40+W40-AT40+AR40</f>
        <v>253.349559420331</v>
      </c>
      <c r="Y40" s="142" t="n">
        <f aca="false">X40-AO40</f>
        <v>253.349559420331</v>
      </c>
      <c r="Z40" s="113"/>
      <c r="AA40" s="142"/>
      <c r="AB40" s="113"/>
      <c r="AC40" s="441" t="n">
        <f aca="false">AC39-(AQ39/1.9835)+AS40+AP40</f>
        <v>454.317527452404</v>
      </c>
      <c r="AD40" s="449" t="n">
        <f aca="false">AD39</f>
        <v>4858.65512901258</v>
      </c>
      <c r="AE40" s="142" t="n">
        <v>92.4</v>
      </c>
      <c r="AF40" s="144" t="n">
        <v>1.7</v>
      </c>
      <c r="AG40" s="145" t="n">
        <v>1.3</v>
      </c>
      <c r="AH40" s="142" t="n">
        <v>40</v>
      </c>
      <c r="AI40" s="113" t="n">
        <f aca="false">AI39-AH40</f>
        <v>5529.04923115706</v>
      </c>
      <c r="AJ40" s="113"/>
      <c r="AK40" s="141" t="n">
        <f aca="false">N40+O40+P40+Q40+R40+S40+T40+U40+X40+AE40+AH40-AR40</f>
        <v>432.62</v>
      </c>
      <c r="AL40" s="142" t="n">
        <f aca="false">IF(L40&lt;0,L40*-1,0)</f>
        <v>0</v>
      </c>
      <c r="AM40" s="142" t="n">
        <f aca="false">AK40+AL40</f>
        <v>432.62</v>
      </c>
      <c r="AN40" s="231"/>
      <c r="AO40" s="226"/>
      <c r="AP40" s="585" t="n">
        <f aca="false">I40-Q40-R40-X40-AF40</f>
        <v>-75.1548055062263</v>
      </c>
      <c r="AQ40" s="171" t="n">
        <f aca="false">19.768*(Z40*1.9835+AC40*1.9835)/E40</f>
        <v>0.549331198618294</v>
      </c>
      <c r="AR40" s="171"/>
      <c r="AS40" s="142"/>
      <c r="AT40" s="56" t="n">
        <v>3.58</v>
      </c>
      <c r="AU40" s="110" t="n">
        <f aca="false">O40</f>
        <v>38.955</v>
      </c>
      <c r="AV40" s="233" t="n">
        <v>0</v>
      </c>
      <c r="AW40" s="226" t="n">
        <v>84</v>
      </c>
      <c r="AX40" s="226" t="n">
        <v>50</v>
      </c>
      <c r="AY40" s="265"/>
      <c r="AZ40" s="264" t="n">
        <f aca="false">SUM(N40,P40:U40)</f>
        <v>7.91544057966889</v>
      </c>
      <c r="BA40" s="56" t="n">
        <v>0.774</v>
      </c>
      <c r="BB40" s="85" t="n">
        <v>14682</v>
      </c>
    </row>
    <row r="41" customFormat="false" ht="12.95" hidden="false" customHeight="true" outlineLevel="0" collapsed="false">
      <c r="A41" s="192" t="n">
        <v>27</v>
      </c>
      <c r="B41" s="112" t="n">
        <v>6868.53</v>
      </c>
      <c r="C41" s="113" t="n">
        <v>183932</v>
      </c>
      <c r="D41" s="226" t="n">
        <f aca="false">C41-C40</f>
        <v>-496</v>
      </c>
      <c r="E41" s="113" t="n">
        <f aca="false">C41-152000</f>
        <v>31932</v>
      </c>
      <c r="F41" s="260" t="n">
        <f aca="false">D41/$D$2</f>
        <v>-250.063019914293</v>
      </c>
      <c r="G41" s="142" t="n">
        <v>168</v>
      </c>
      <c r="H41" s="261" t="n">
        <v>0</v>
      </c>
      <c r="I41" s="142" t="n">
        <f aca="false">G41+H41</f>
        <v>168</v>
      </c>
      <c r="J41" s="143" t="n">
        <f aca="false">IF(L41&gt;0,L41,0)</f>
        <v>0</v>
      </c>
      <c r="K41" s="142" t="n">
        <f aca="false">I41+J41</f>
        <v>168</v>
      </c>
      <c r="L41" s="142" t="n">
        <f aca="false">F41-(I41-AK41)</f>
        <v>-15.3630199142929</v>
      </c>
      <c r="M41" s="262" t="n">
        <v>156</v>
      </c>
      <c r="N41" s="171" t="n">
        <f aca="false">1/$D$2*1.03</f>
        <v>0.519284093773632</v>
      </c>
      <c r="O41" s="142" t="n">
        <f aca="false">27.6*1.05</f>
        <v>28.98</v>
      </c>
      <c r="P41" s="171" t="n">
        <v>0</v>
      </c>
      <c r="Q41" s="346" t="n">
        <f aca="false">1240300/325851/1.9835*1.02</f>
        <v>1.95738228064863</v>
      </c>
      <c r="R41" s="138" t="n">
        <f aca="false">(3.8*1.04)-T41</f>
        <v>2.6610896</v>
      </c>
      <c r="S41" s="138" t="n">
        <v>0</v>
      </c>
      <c r="T41" s="138" t="n">
        <f aca="false">(1.171*1.06)*1.04</f>
        <v>1.2909104</v>
      </c>
      <c r="U41" s="365" t="n">
        <v>0</v>
      </c>
      <c r="V41" s="142" t="n">
        <v>78.4</v>
      </c>
      <c r="W41" s="142" t="n">
        <v>58</v>
      </c>
      <c r="X41" s="347" t="n">
        <f aca="false">M41-N41-O41-P41-Q41-R41-S41-T41-U41+V41+W41-AT41+AR41</f>
        <v>253.391333625578</v>
      </c>
      <c r="Y41" s="142" t="n">
        <f aca="false">X41-AO41</f>
        <v>253.391333625578</v>
      </c>
      <c r="Z41" s="113"/>
      <c r="AA41" s="142"/>
      <c r="AB41" s="113"/>
      <c r="AC41" s="441" t="n">
        <f aca="false">AC40-(AQ40/1.9835)+AS41+AP41</f>
        <v>362.330771505735</v>
      </c>
      <c r="AD41" s="449" t="n">
        <f aca="false">AD40</f>
        <v>4858.65512901258</v>
      </c>
      <c r="AE41" s="142" t="n">
        <v>74</v>
      </c>
      <c r="AF41" s="144" t="n">
        <v>1.7</v>
      </c>
      <c r="AG41" s="145" t="n">
        <v>1.3</v>
      </c>
      <c r="AH41" s="142" t="n">
        <v>39.9</v>
      </c>
      <c r="AI41" s="113" t="n">
        <f aca="false">AI40-AH41</f>
        <v>5489.14923115706</v>
      </c>
      <c r="AJ41" s="113"/>
      <c r="AK41" s="141" t="n">
        <f aca="false">N41+O41+P41+Q41+R41+S41+T41+U41+X41+AE41+AH41-AR41</f>
        <v>402.7</v>
      </c>
      <c r="AL41" s="142" t="n">
        <f aca="false">IF(L41&lt;0,L41*-1,0)</f>
        <v>15.3630199142929</v>
      </c>
      <c r="AM41" s="142" t="n">
        <f aca="false">AK41+AL41</f>
        <v>418.063019914293</v>
      </c>
      <c r="AN41" s="231"/>
      <c r="AO41" s="226"/>
      <c r="AP41" s="585" t="n">
        <f aca="false">I41-Q41-R41-X41-AF41</f>
        <v>-91.7098055062264</v>
      </c>
      <c r="AQ41" s="171" t="n">
        <f aca="false">10.727*(Z41*1.9835+AC41*1.9835)/E41</f>
        <v>0.241429082294125</v>
      </c>
      <c r="AR41" s="171"/>
      <c r="AS41" s="142"/>
      <c r="AT41" s="56" t="n">
        <v>3.6</v>
      </c>
      <c r="AU41" s="110" t="n">
        <f aca="false">O41</f>
        <v>28.98</v>
      </c>
      <c r="AV41" s="233" t="n">
        <v>0.13</v>
      </c>
      <c r="AW41" s="226" t="n">
        <v>81</v>
      </c>
      <c r="AX41" s="226" t="n">
        <v>50</v>
      </c>
      <c r="AY41" s="265"/>
      <c r="AZ41" s="264" t="n">
        <f aca="false">SUM(N41,P41:U41)</f>
        <v>6.42866637442226</v>
      </c>
      <c r="BA41" s="56" t="n">
        <v>1.05</v>
      </c>
      <c r="BB41" s="85" t="n">
        <v>14696</v>
      </c>
    </row>
    <row r="42" customFormat="false" ht="12.95" hidden="false" customHeight="true" outlineLevel="0" collapsed="false">
      <c r="A42" s="192" t="n">
        <v>28</v>
      </c>
      <c r="B42" s="112" t="n">
        <v>6868.72</v>
      </c>
      <c r="C42" s="113" t="n">
        <v>184428</v>
      </c>
      <c r="D42" s="226" t="n">
        <f aca="false">C42-C41</f>
        <v>496</v>
      </c>
      <c r="E42" s="113" t="n">
        <f aca="false">C42-152000</f>
        <v>32428</v>
      </c>
      <c r="F42" s="260" t="n">
        <f aca="false">D42/$D$2</f>
        <v>250.063019914293</v>
      </c>
      <c r="G42" s="142" t="n">
        <v>385</v>
      </c>
      <c r="H42" s="261" t="n">
        <v>0</v>
      </c>
      <c r="I42" s="142" t="n">
        <f aca="false">G42+H42</f>
        <v>385</v>
      </c>
      <c r="J42" s="143" t="n">
        <f aca="false">IF(L42&gt;0,L42,0)</f>
        <v>113.063019914293</v>
      </c>
      <c r="K42" s="142" t="n">
        <f aca="false">I42+J42</f>
        <v>498.063019914293</v>
      </c>
      <c r="L42" s="142" t="n">
        <f aca="false">F42-(I42-AK42)</f>
        <v>113.063019914293</v>
      </c>
      <c r="M42" s="262" t="n">
        <v>69</v>
      </c>
      <c r="N42" s="171" t="n">
        <f aca="false">1/$D$2*1.03</f>
        <v>0.519284093773632</v>
      </c>
      <c r="O42" s="142" t="n">
        <f aca="false">16.3*1.05</f>
        <v>17.115</v>
      </c>
      <c r="P42" s="171" t="n">
        <v>0</v>
      </c>
      <c r="Q42" s="346" t="n">
        <f aca="false">1165500/325851/1.9835*1.02</f>
        <v>1.83933648963636</v>
      </c>
      <c r="R42" s="138" t="n">
        <f aca="false">(4.5*1.04)-T42</f>
        <v>3.3890896</v>
      </c>
      <c r="S42" s="138" t="n">
        <v>0</v>
      </c>
      <c r="T42" s="138" t="n">
        <f aca="false">(1.171*1.06)*1.04</f>
        <v>1.2909104</v>
      </c>
      <c r="U42" s="365" t="n">
        <v>0</v>
      </c>
      <c r="V42" s="142" t="n">
        <v>78.8</v>
      </c>
      <c r="W42" s="142" t="n">
        <v>44.2</v>
      </c>
      <c r="X42" s="347" t="n">
        <f aca="false">M42-N42-O42-P42-Q42-R42-S42-T42-U42+V42+W42-AT42+AR42</f>
        <v>163.84637941659</v>
      </c>
      <c r="Y42" s="142" t="n">
        <f aca="false">X42-AO42</f>
        <v>163.84637941659</v>
      </c>
      <c r="Z42" s="113"/>
      <c r="AA42" s="142"/>
      <c r="AB42" s="113"/>
      <c r="AC42" s="441" t="n">
        <f aca="false">AC41-(AQ41/1.9835)+AS42+0</f>
        <v>362.209052785143</v>
      </c>
      <c r="AD42" s="449" t="n">
        <f aca="false">AD41</f>
        <v>4858.65512901258</v>
      </c>
      <c r="AE42" s="142" t="n">
        <v>19.5</v>
      </c>
      <c r="AF42" s="144" t="n">
        <v>1.7</v>
      </c>
      <c r="AG42" s="145" t="n">
        <v>1.3</v>
      </c>
      <c r="AH42" s="142" t="n">
        <v>40.5</v>
      </c>
      <c r="AI42" s="113" t="n">
        <f aca="false">AI41-AH42</f>
        <v>5448.64923115706</v>
      </c>
      <c r="AJ42" s="113"/>
      <c r="AK42" s="141" t="n">
        <f aca="false">N42+O42+P42+Q42+R42+S42+T42+U42+X42+AE42+AH42-AR42</f>
        <v>248</v>
      </c>
      <c r="AL42" s="142" t="n">
        <f aca="false">IF(L42&lt;0,L42*-1,0)</f>
        <v>0</v>
      </c>
      <c r="AM42" s="142" t="n">
        <f aca="false">AK42+AL42</f>
        <v>248</v>
      </c>
      <c r="AN42" s="231"/>
      <c r="AO42" s="226"/>
      <c r="AP42" s="585" t="n">
        <f aca="false">I42-Q42-R42-X42-AF42</f>
        <v>214.225194493774</v>
      </c>
      <c r="AQ42" s="171" t="n">
        <f aca="false">0*(Z42*1.9835+AC42*1.9835)/E42</f>
        <v>0</v>
      </c>
      <c r="AR42" s="171"/>
      <c r="AS42" s="142"/>
      <c r="AT42" s="56" t="n">
        <v>4</v>
      </c>
      <c r="AU42" s="110" t="n">
        <f aca="false">O42</f>
        <v>17.115</v>
      </c>
      <c r="AV42" s="233" t="n">
        <v>1.05</v>
      </c>
      <c r="AW42" s="226" t="n">
        <v>65</v>
      </c>
      <c r="AX42" s="226" t="n">
        <v>49</v>
      </c>
      <c r="AY42" s="265"/>
      <c r="AZ42" s="264" t="n">
        <f aca="false">SUM(N42,P42:U42)</f>
        <v>7.03862058340999</v>
      </c>
      <c r="BA42" s="56" t="n">
        <v>1.14</v>
      </c>
      <c r="BB42" s="85" t="n">
        <v>14831</v>
      </c>
    </row>
    <row r="43" customFormat="false" ht="12.95" hidden="false" customHeight="true" outlineLevel="0" collapsed="false">
      <c r="A43" s="192" t="n">
        <v>29</v>
      </c>
      <c r="B43" s="112" t="n">
        <v>6869.17</v>
      </c>
      <c r="C43" s="113" t="n">
        <v>185608</v>
      </c>
      <c r="D43" s="226" t="n">
        <f aca="false">C43-C42</f>
        <v>1180</v>
      </c>
      <c r="E43" s="113" t="n">
        <f aca="false">C43-152000</f>
        <v>33608</v>
      </c>
      <c r="F43" s="260" t="n">
        <f aca="false">D43/$D$2</f>
        <v>594.907990925132</v>
      </c>
      <c r="G43" s="142" t="n">
        <v>875</v>
      </c>
      <c r="H43" s="261" t="n">
        <v>0</v>
      </c>
      <c r="I43" s="142" t="n">
        <f aca="false">G43+H43</f>
        <v>875</v>
      </c>
      <c r="J43" s="143" t="n">
        <f aca="false">IF(L43&gt;0,L43,0)</f>
        <v>0</v>
      </c>
      <c r="K43" s="142" t="n">
        <f aca="false">I43+J43</f>
        <v>875</v>
      </c>
      <c r="L43" s="142" t="n">
        <f aca="false">F43-(I43-AK43)</f>
        <v>-24.2520090748677</v>
      </c>
      <c r="M43" s="262" t="n">
        <v>52</v>
      </c>
      <c r="N43" s="171" t="n">
        <f aca="false">1/$D$2*1.03</f>
        <v>0.519284093773632</v>
      </c>
      <c r="O43" s="142" t="n">
        <f aca="false">2.95*1.05</f>
        <v>3.0975</v>
      </c>
      <c r="P43" s="171" t="n">
        <v>0</v>
      </c>
      <c r="Q43" s="346" t="n">
        <f aca="false">1064000/325851/1.9835*1.02</f>
        <v>1.67915403258094</v>
      </c>
      <c r="R43" s="138" t="n">
        <f aca="false">(4.6*1.04)-T43</f>
        <v>3.4930896</v>
      </c>
      <c r="S43" s="138" t="n">
        <v>0</v>
      </c>
      <c r="T43" s="138" t="n">
        <f aca="false">(1.171*1.06)*1.04</f>
        <v>1.2909104</v>
      </c>
      <c r="U43" s="365" t="n">
        <v>0</v>
      </c>
      <c r="V43" s="142" t="n">
        <v>78.9</v>
      </c>
      <c r="W43" s="142" t="n">
        <v>48.2</v>
      </c>
      <c r="X43" s="347" t="n">
        <f aca="false">M43-N43-O43-P43-Q43-R43-S43-T43-U43+V43+W43-AT43+AR43</f>
        <v>165.160061873645</v>
      </c>
      <c r="Y43" s="142" t="n">
        <f aca="false">X43-AO43</f>
        <v>165.160061873645</v>
      </c>
      <c r="Z43" s="113"/>
      <c r="AA43" s="142"/>
      <c r="AB43" s="113"/>
      <c r="AC43" s="441" t="n">
        <f aca="false">AC42+AS43+0</f>
        <v>362.209052785143</v>
      </c>
      <c r="AD43" s="449" t="n">
        <f aca="false">AD42</f>
        <v>4858.65512901258</v>
      </c>
      <c r="AE43" s="142" t="n">
        <v>40.5</v>
      </c>
      <c r="AF43" s="144" t="n">
        <v>1.7</v>
      </c>
      <c r="AG43" s="145" t="n">
        <v>1.3</v>
      </c>
      <c r="AH43" s="142" t="n">
        <v>40.1</v>
      </c>
      <c r="AI43" s="113" t="n">
        <f aca="false">AI42-AH43</f>
        <v>5408.54923115706</v>
      </c>
      <c r="AJ43" s="113"/>
      <c r="AK43" s="141" t="n">
        <f aca="false">N43+O43+P43+Q43+R43+S43+T43+U43+X43+AE43+AH43-AR43</f>
        <v>255.84</v>
      </c>
      <c r="AL43" s="142" t="n">
        <f aca="false">IF(L43&lt;0,L43*-1,0)</f>
        <v>24.2520090748677</v>
      </c>
      <c r="AM43" s="142" t="n">
        <f aca="false">AK43+AL43</f>
        <v>280.092009074868</v>
      </c>
      <c r="AN43" s="231"/>
      <c r="AO43" s="226"/>
      <c r="AP43" s="102" t="n">
        <f aca="false">795-X43</f>
        <v>629.839938126355</v>
      </c>
      <c r="AQ43" s="171" t="n">
        <f aca="false">23.599*(Z43*1.9835+AC43*1.9835)/E43</f>
        <v>0.50447823865294</v>
      </c>
      <c r="AR43" s="171"/>
      <c r="AS43" s="142"/>
      <c r="AT43" s="56" t="n">
        <v>3.86</v>
      </c>
      <c r="AU43" s="110" t="n">
        <f aca="false">O43</f>
        <v>3.0975</v>
      </c>
      <c r="AV43" s="233" t="n">
        <v>0.04</v>
      </c>
      <c r="AW43" s="226" t="n">
        <v>63</v>
      </c>
      <c r="AX43" s="226" t="n">
        <v>41</v>
      </c>
      <c r="AY43" s="265"/>
      <c r="AZ43" s="264" t="n">
        <f aca="false">SUM(N43,P43:U43)</f>
        <v>6.98243812635457</v>
      </c>
      <c r="BA43" s="56" t="n">
        <v>0.931</v>
      </c>
      <c r="BB43" s="85" t="n">
        <v>14953</v>
      </c>
    </row>
    <row r="44" customFormat="false" ht="12.95" hidden="false" customHeight="true" outlineLevel="0" collapsed="false">
      <c r="A44" s="192" t="n">
        <v>30</v>
      </c>
      <c r="B44" s="112" t="n">
        <v>6869.38</v>
      </c>
      <c r="C44" s="113" t="n">
        <v>186163</v>
      </c>
      <c r="D44" s="226" t="n">
        <f aca="false">C44-C43</f>
        <v>555</v>
      </c>
      <c r="E44" s="113" t="n">
        <f aca="false">C44-152000</f>
        <v>34163</v>
      </c>
      <c r="F44" s="260" t="n">
        <f aca="false">D44/$D$2</f>
        <v>279.80841946055</v>
      </c>
      <c r="G44" s="142" t="n">
        <v>578</v>
      </c>
      <c r="H44" s="261" t="n">
        <v>0</v>
      </c>
      <c r="I44" s="142" t="n">
        <f aca="false">G44+H44</f>
        <v>578</v>
      </c>
      <c r="J44" s="143" t="n">
        <f aca="false">IF(L44&gt;0,L44,0)</f>
        <v>0</v>
      </c>
      <c r="K44" s="142" t="n">
        <f aca="false">I44+J44</f>
        <v>578</v>
      </c>
      <c r="L44" s="142" t="n">
        <f aca="false">F44-(I44-AK44)</f>
        <v>-22.7615805394505</v>
      </c>
      <c r="M44" s="262" t="n">
        <v>63.3</v>
      </c>
      <c r="N44" s="171" t="n">
        <f aca="false">1/$D$2*1.03</f>
        <v>0.519284093773632</v>
      </c>
      <c r="O44" s="142" t="n">
        <f aca="false">0*1.05</f>
        <v>0</v>
      </c>
      <c r="P44" s="171" t="n">
        <v>0</v>
      </c>
      <c r="Q44" s="346" t="n">
        <f aca="false">1075900/325851/1.9835*1.02</f>
        <v>1.69793404478744</v>
      </c>
      <c r="R44" s="138" t="n">
        <f aca="false">(4.5*1.04)-T44</f>
        <v>3.3890896</v>
      </c>
      <c r="S44" s="138" t="n">
        <v>0</v>
      </c>
      <c r="T44" s="138" t="n">
        <f aca="false">(1.171*1.06)*1.04</f>
        <v>1.2909104</v>
      </c>
      <c r="U44" s="365" t="n">
        <v>0</v>
      </c>
      <c r="V44" s="142" t="n">
        <v>71.3</v>
      </c>
      <c r="W44" s="142" t="n">
        <v>50.1</v>
      </c>
      <c r="X44" s="347" t="n">
        <f aca="false">M44-N44-O44-P44-Q44-R44-S44-T44-U44+V44+W44-AT44+AR44</f>
        <v>175.032781861439</v>
      </c>
      <c r="Y44" s="142" t="n">
        <f aca="false">X44-AO44</f>
        <v>175.032781861439</v>
      </c>
      <c r="Z44" s="113"/>
      <c r="AA44" s="142"/>
      <c r="AB44" s="113"/>
      <c r="AC44" s="441" t="n">
        <f aca="false">AC43+AS44+0</f>
        <v>362.209052785143</v>
      </c>
      <c r="AD44" s="449" t="n">
        <f aca="false">AD43</f>
        <v>4858.65512901258</v>
      </c>
      <c r="AE44" s="142" t="n">
        <v>53.3</v>
      </c>
      <c r="AF44" s="144" t="n">
        <v>1.7</v>
      </c>
      <c r="AG44" s="145" t="n">
        <v>1.3</v>
      </c>
      <c r="AH44" s="142" t="n">
        <v>40.2</v>
      </c>
      <c r="AI44" s="113" t="n">
        <f aca="false">AI43-AH44</f>
        <v>5368.34923115706</v>
      </c>
      <c r="AJ44" s="113"/>
      <c r="AK44" s="141" t="n">
        <f aca="false">N44+O44+P44+Q44+R44+S44+T44+U44+X44+AE44+AH44-AR44</f>
        <v>275.43</v>
      </c>
      <c r="AL44" s="142" t="n">
        <f aca="false">IF(L44&lt;0,L44*-1,0)</f>
        <v>22.7615805394505</v>
      </c>
      <c r="AM44" s="142" t="n">
        <f aca="false">AK44+AL44</f>
        <v>298.19158053945</v>
      </c>
      <c r="AN44" s="231"/>
      <c r="AO44" s="226"/>
      <c r="AP44" s="585" t="n">
        <f aca="false">I44-Q44-R44-X44-AF44</f>
        <v>396.180194493774</v>
      </c>
      <c r="AQ44" s="171" t="n">
        <f aca="false">18.236*(Z44*1.9835+AC44*1.9835)/E44</f>
        <v>0.383499752435413</v>
      </c>
      <c r="AR44" s="171"/>
      <c r="AS44" s="142"/>
      <c r="AT44" s="56" t="n">
        <v>2.77</v>
      </c>
      <c r="AU44" s="110" t="n">
        <f aca="false">O44</f>
        <v>0</v>
      </c>
      <c r="AV44" s="233" t="n">
        <v>0</v>
      </c>
      <c r="AW44" s="516" t="n">
        <v>65</v>
      </c>
      <c r="AX44" s="226" t="n">
        <v>40</v>
      </c>
      <c r="AY44" s="265"/>
      <c r="AZ44" s="264" t="n">
        <f aca="false">SUM(N44,P44:U44)</f>
        <v>6.89721813856107</v>
      </c>
      <c r="BA44" s="56" t="n">
        <v>0.682</v>
      </c>
      <c r="BB44" s="85" t="n">
        <v>14935</v>
      </c>
    </row>
    <row r="45" customFormat="false" ht="3" hidden="false" customHeight="true" outlineLevel="0" collapsed="false">
      <c r="A45" s="245"/>
      <c r="B45" s="267"/>
      <c r="C45" s="247"/>
      <c r="D45" s="248"/>
      <c r="E45" s="247"/>
      <c r="F45" s="249"/>
      <c r="G45" s="248"/>
      <c r="H45" s="250"/>
      <c r="I45" s="248"/>
      <c r="J45" s="248"/>
      <c r="K45" s="248"/>
      <c r="L45" s="248"/>
      <c r="M45" s="251"/>
      <c r="N45" s="248"/>
      <c r="O45" s="248"/>
      <c r="P45" s="252"/>
      <c r="Q45" s="252"/>
      <c r="R45" s="252"/>
      <c r="S45" s="252"/>
      <c r="T45" s="252"/>
      <c r="U45" s="253"/>
      <c r="V45" s="248"/>
      <c r="W45" s="248"/>
      <c r="X45" s="248"/>
      <c r="Y45" s="248"/>
      <c r="Z45" s="247"/>
      <c r="AA45" s="248"/>
      <c r="AB45" s="247"/>
      <c r="AC45" s="247"/>
      <c r="AD45" s="247"/>
      <c r="AE45" s="248"/>
      <c r="AF45" s="127"/>
      <c r="AG45" s="128"/>
      <c r="AH45" s="248"/>
      <c r="AI45" s="248"/>
      <c r="AJ45" s="248"/>
      <c r="AK45" s="248"/>
      <c r="AL45" s="248"/>
      <c r="AM45" s="248"/>
      <c r="AN45" s="256"/>
      <c r="AO45" s="257"/>
      <c r="AP45" s="254"/>
      <c r="AQ45" s="252"/>
      <c r="AR45" s="252"/>
      <c r="AS45" s="252"/>
      <c r="AT45" s="252"/>
      <c r="AU45" s="254"/>
      <c r="AV45" s="259"/>
      <c r="AW45" s="257"/>
      <c r="AX45" s="257"/>
      <c r="AY45" s="257"/>
      <c r="AZ45" s="257"/>
      <c r="BA45" s="257"/>
      <c r="BB45" s="257"/>
    </row>
    <row r="46" customFormat="false" ht="12.95" hidden="false" customHeight="true" outlineLevel="0" collapsed="false">
      <c r="A46" s="194" t="s">
        <v>105</v>
      </c>
      <c r="B46" s="224"/>
      <c r="C46" s="113"/>
      <c r="D46" s="113"/>
      <c r="E46" s="113"/>
      <c r="F46" s="225" t="n">
        <f aca="false">SUM(F15:F44)</f>
        <v>-7978.82530879758</v>
      </c>
      <c r="G46" s="113" t="n">
        <f aca="false">SUM(G15:G44)</f>
        <v>7278</v>
      </c>
      <c r="H46" s="113" t="n">
        <f aca="false">SUM(H15:H44)</f>
        <v>0</v>
      </c>
      <c r="I46" s="113" t="n">
        <f aca="false">SUM(I15:I44)</f>
        <v>7278</v>
      </c>
      <c r="J46" s="113" t="n">
        <f aca="false">SUM(J15:J44)</f>
        <v>299.466768338795</v>
      </c>
      <c r="K46" s="113" t="n">
        <f aca="false">SUM(K15:K44)</f>
        <v>7577.4667683388</v>
      </c>
      <c r="L46" s="113" t="n">
        <f aca="false">SUM(L15:L44)</f>
        <v>-407.20530879758</v>
      </c>
      <c r="M46" s="227" t="n">
        <f aca="false">SUM(M15:M44)</f>
        <v>4885.3</v>
      </c>
      <c r="N46" s="113" t="n">
        <f aca="false">SUM(N15:N44)</f>
        <v>15.578522813209</v>
      </c>
      <c r="O46" s="113" t="n">
        <f aca="false">SUM(O15:O44)</f>
        <v>1115.2995</v>
      </c>
      <c r="P46" s="171" t="n">
        <f aca="false">SUM(P15:P44)</f>
        <v>0</v>
      </c>
      <c r="Q46" s="226" t="n">
        <f aca="false">SUM(Q15:Q44)</f>
        <v>62.1416400542421</v>
      </c>
      <c r="R46" s="226" t="n">
        <f aca="false">SUM(R15:R44)</f>
        <v>107.91190896</v>
      </c>
      <c r="S46" s="226" t="n">
        <f aca="false">SUM(S15:S44)</f>
        <v>10.85163568</v>
      </c>
      <c r="T46" s="226" t="n">
        <f aca="false">SUM(T15:T44)</f>
        <v>33.49245536</v>
      </c>
      <c r="U46" s="228" t="n">
        <f aca="false">SUM(U15:U44)</f>
        <v>0</v>
      </c>
      <c r="V46" s="113" t="n">
        <f aca="false">SUM(V15:V44)</f>
        <v>2764.6</v>
      </c>
      <c r="W46" s="113" t="n">
        <f aca="false">SUM(W15:W44)</f>
        <v>1683.6</v>
      </c>
      <c r="X46" s="113" t="n">
        <f aca="false">SUM(X15:X44)</f>
        <v>7891.14433713255</v>
      </c>
      <c r="Y46" s="113" t="n">
        <f aca="false">SUM(Y15:Y44)</f>
        <v>7891.14433713255</v>
      </c>
      <c r="Z46" s="113"/>
      <c r="AA46" s="113"/>
      <c r="AB46" s="113"/>
      <c r="AC46" s="113"/>
      <c r="AE46" s="113" t="n">
        <f aca="false">SUM(AE15:AE44)</f>
        <v>4135.7</v>
      </c>
      <c r="AF46" s="227" t="n">
        <f aca="false">SUM(AF15:AF44)</f>
        <v>51</v>
      </c>
      <c r="AG46" s="229" t="n">
        <f aca="false">SUM(AG15:AG44)</f>
        <v>39</v>
      </c>
      <c r="AH46" s="113" t="n">
        <f aca="false">SUM(AH15:AH44)</f>
        <v>1477.5</v>
      </c>
      <c r="AI46" s="113"/>
      <c r="AJ46" s="113" t="n">
        <f aca="false">SUM(AJ15:AJ44)</f>
        <v>0</v>
      </c>
      <c r="AK46" s="113" t="n">
        <f aca="false">SUM(AK15:AK44)</f>
        <v>14849.62</v>
      </c>
      <c r="AL46" s="113" t="n">
        <f aca="false">SUM(AL15:AL44)</f>
        <v>706.672077136375</v>
      </c>
      <c r="AM46" s="518" t="n">
        <f aca="false">SUM(AM15:AM44)</f>
        <v>15556.2920771364</v>
      </c>
      <c r="AN46" s="113" t="n">
        <f aca="false">SUM(AN15:AN44)</f>
        <v>0</v>
      </c>
      <c r="AO46" s="113" t="n">
        <f aca="false">SUM(AO15:AO44)</f>
        <v>0</v>
      </c>
      <c r="AP46" s="143"/>
      <c r="AQ46" s="171"/>
      <c r="AR46" s="171" t="n">
        <f aca="false">SUM(AR15:AR44)</f>
        <v>0</v>
      </c>
      <c r="AS46" s="226" t="n">
        <f aca="false">SUM(AS15:AS44)</f>
        <v>204.44</v>
      </c>
      <c r="AT46" s="226" t="n">
        <f aca="false">SUM(AT15:AT44)</f>
        <v>97.08</v>
      </c>
      <c r="AU46" s="226" t="n">
        <f aca="false">SUM(AU15:AU44)</f>
        <v>1115.2995</v>
      </c>
      <c r="AV46" s="233" t="n">
        <f aca="false">SUM(AV15:AV44)</f>
        <v>3.88</v>
      </c>
      <c r="AW46" s="226" t="n">
        <f aca="false">AVERAGE(AW15:AW44)</f>
        <v>79.5666666666667</v>
      </c>
      <c r="AX46" s="226" t="n">
        <f aca="false">AVERAGE(AX15:AX44)</f>
        <v>49.2333333333333</v>
      </c>
      <c r="AY46" s="234" t="s">
        <v>130</v>
      </c>
      <c r="AZ46" s="348" t="n">
        <f aca="false">SUM(AZ15:AZ44)</f>
        <v>229.976162867451</v>
      </c>
      <c r="BA46" s="161" t="n">
        <f aca="false">SUM(BA14:BA44)</f>
        <v>228.267</v>
      </c>
      <c r="BB46" s="85"/>
    </row>
    <row r="47" customFormat="false" ht="12.95" hidden="false" customHeight="true" outlineLevel="0" collapsed="false">
      <c r="A47" s="194" t="s">
        <v>107</v>
      </c>
      <c r="B47" s="224"/>
      <c r="C47" s="113"/>
      <c r="D47" s="113" t="n">
        <f aca="false">SUM(D15:D44)</f>
        <v>-15826</v>
      </c>
      <c r="E47" s="113"/>
      <c r="F47" s="225" t="n">
        <f aca="false">F46*$D$2</f>
        <v>-15826</v>
      </c>
      <c r="G47" s="113" t="n">
        <f aca="false">G46*$D$2</f>
        <v>14435.913</v>
      </c>
      <c r="H47" s="113" t="n">
        <f aca="false">H46*$D$2</f>
        <v>0</v>
      </c>
      <c r="I47" s="113" t="n">
        <f aca="false">I46*$D$2</f>
        <v>14435.913</v>
      </c>
      <c r="J47" s="113" t="n">
        <f aca="false">J46*$D$2</f>
        <v>593.992335</v>
      </c>
      <c r="K47" s="113" t="n">
        <f aca="false">K46*$D$2</f>
        <v>15029.905335</v>
      </c>
      <c r="L47" s="113" t="n">
        <f aca="false">L46*$D$2</f>
        <v>-807.691729999999</v>
      </c>
      <c r="M47" s="227" t="n">
        <f aca="false">M46*$D$2</f>
        <v>9689.99255</v>
      </c>
      <c r="N47" s="113" t="n">
        <f aca="false">N46*$D$2</f>
        <v>30.9</v>
      </c>
      <c r="O47" s="113" t="n">
        <f aca="false">O46*$D$2</f>
        <v>2212.19655825</v>
      </c>
      <c r="P47" s="171" t="n">
        <f aca="false">P46*$D$2</f>
        <v>0</v>
      </c>
      <c r="Q47" s="226" t="n">
        <f aca="false">Q46*$D$2</f>
        <v>123.257943047589</v>
      </c>
      <c r="R47" s="226" t="n">
        <f aca="false">R46*$D$2</f>
        <v>214.04327142216</v>
      </c>
      <c r="S47" s="226" t="n">
        <f aca="false">S46*$D$2</f>
        <v>21.52421937128</v>
      </c>
      <c r="T47" s="226" t="n">
        <f aca="false">T46*$D$2</f>
        <v>66.43228520656</v>
      </c>
      <c r="U47" s="228" t="n">
        <f aca="false">U46*$D$2</f>
        <v>0</v>
      </c>
      <c r="V47" s="113" t="n">
        <f aca="false">V46*$D$2</f>
        <v>5483.5841</v>
      </c>
      <c r="W47" s="113" t="n">
        <f aca="false">W46*$D$2</f>
        <v>3339.4206</v>
      </c>
      <c r="X47" s="113" t="n">
        <f aca="false">X46*$D$2</f>
        <v>15652.0847927024</v>
      </c>
      <c r="Y47" s="113" t="n">
        <f aca="false">Y46*$D$2</f>
        <v>15652.0847927024</v>
      </c>
      <c r="Z47" s="113"/>
      <c r="AA47" s="113"/>
      <c r="AB47" s="113"/>
      <c r="AC47" s="113"/>
      <c r="AE47" s="113" t="n">
        <f aca="false">AE46*$D$2</f>
        <v>8203.16095</v>
      </c>
      <c r="AF47" s="227" t="n">
        <f aca="false">AF46*$D$2</f>
        <v>101.1585</v>
      </c>
      <c r="AG47" s="229" t="n">
        <f aca="false">AG46*$D$2</f>
        <v>77.3565</v>
      </c>
      <c r="AH47" s="113" t="n">
        <f aca="false">AH46*$D$2</f>
        <v>2930.62125</v>
      </c>
      <c r="AI47" s="113"/>
      <c r="AJ47" s="113" t="n">
        <f aca="false">AJ46*$D$2</f>
        <v>0</v>
      </c>
      <c r="AK47" s="113" t="n">
        <f aca="false">AK46*$D$2</f>
        <v>29454.22127</v>
      </c>
      <c r="AL47" s="113" t="n">
        <f aca="false">AL46*$D$2</f>
        <v>1401.684065</v>
      </c>
      <c r="AM47" s="279" t="n">
        <f aca="false">AM46*$D$2</f>
        <v>30855.905335</v>
      </c>
      <c r="AN47" s="113" t="n">
        <f aca="false">AN46*$D$2</f>
        <v>0</v>
      </c>
      <c r="AO47" s="113" t="n">
        <f aca="false">AO46*$D$2</f>
        <v>0</v>
      </c>
      <c r="AP47" s="143"/>
      <c r="AQ47" s="171" t="n">
        <f aca="false">SUM(AQ15:AQ44)</f>
        <v>46.6534865549087</v>
      </c>
      <c r="AR47" s="143" t="n">
        <f aca="false">AR46*$D$2</f>
        <v>0</v>
      </c>
      <c r="AS47" s="226" t="n">
        <f aca="false">AS46*$D$2</f>
        <v>405.50674</v>
      </c>
      <c r="AT47" s="226" t="n">
        <f aca="false">AT46*$D$2</f>
        <v>192.55818</v>
      </c>
      <c r="AU47" s="226" t="n">
        <f aca="false">AU46*$D$2</f>
        <v>2212.19655825</v>
      </c>
      <c r="AV47" s="233"/>
      <c r="AW47" s="226" t="n">
        <f aca="false">MAX(AW15:AW44)</f>
        <v>89</v>
      </c>
      <c r="AX47" s="226" t="n">
        <f aca="false">MAX(AX15:AX44)</f>
        <v>56</v>
      </c>
      <c r="AY47" s="234" t="s">
        <v>108</v>
      </c>
      <c r="AZ47" s="348" t="n">
        <f aca="false">AZ46*$D$2</f>
        <v>456.157719047589</v>
      </c>
      <c r="BA47" s="161" t="n">
        <f aca="false">BA46*$D$2</f>
        <v>452.7675945</v>
      </c>
      <c r="BB47" s="85"/>
    </row>
    <row r="48" customFormat="false" ht="3" hidden="false" customHeight="true" outlineLevel="0" collapsed="false">
      <c r="A48" s="245"/>
      <c r="B48" s="267"/>
      <c r="C48" s="247"/>
      <c r="D48" s="247"/>
      <c r="E48" s="247"/>
      <c r="F48" s="270"/>
      <c r="G48" s="247"/>
      <c r="H48" s="247"/>
      <c r="I48" s="247"/>
      <c r="J48" s="247"/>
      <c r="K48" s="247"/>
      <c r="L48" s="247"/>
      <c r="M48" s="271"/>
      <c r="N48" s="247"/>
      <c r="O48" s="247"/>
      <c r="P48" s="252"/>
      <c r="Q48" s="257"/>
      <c r="R48" s="257"/>
      <c r="S48" s="257"/>
      <c r="T48" s="257"/>
      <c r="U48" s="253"/>
      <c r="V48" s="247"/>
      <c r="W48" s="247"/>
      <c r="X48" s="247"/>
      <c r="Y48" s="247"/>
      <c r="Z48" s="247"/>
      <c r="AA48" s="247"/>
      <c r="AB48" s="247"/>
      <c r="AC48" s="247"/>
      <c r="AD48" s="520"/>
      <c r="AE48" s="247"/>
      <c r="AF48" s="271"/>
      <c r="AG48" s="272"/>
      <c r="AH48" s="247"/>
      <c r="AI48" s="248"/>
      <c r="AJ48" s="247"/>
      <c r="AK48" s="247"/>
      <c r="AL48" s="247"/>
      <c r="AM48" s="247"/>
      <c r="AN48" s="274"/>
      <c r="AO48" s="247"/>
      <c r="AP48" s="254"/>
      <c r="AQ48" s="252"/>
      <c r="AR48" s="252"/>
      <c r="AS48" s="257"/>
      <c r="AT48" s="257"/>
      <c r="AU48" s="254"/>
      <c r="AV48" s="274"/>
      <c r="AW48" s="247"/>
      <c r="AX48" s="247"/>
      <c r="AY48" s="247"/>
      <c r="AZ48" s="247"/>
      <c r="BA48" s="247"/>
      <c r="BB48" s="247"/>
    </row>
    <row r="49" customFormat="false" ht="12.95" hidden="false" customHeight="true" outlineLevel="0" collapsed="false">
      <c r="A49" s="194" t="s">
        <v>109</v>
      </c>
      <c r="B49" s="224"/>
      <c r="C49" s="113"/>
      <c r="D49" s="113"/>
      <c r="E49" s="113"/>
      <c r="F49" s="225" t="n">
        <f aca="false">F12+F46</f>
        <v>-3672.80060499117</v>
      </c>
      <c r="G49" s="113" t="n">
        <f aca="false">G12+G46</f>
        <v>100980</v>
      </c>
      <c r="H49" s="113" t="n">
        <f aca="false">H12+H46</f>
        <v>608.545</v>
      </c>
      <c r="I49" s="113" t="n">
        <f aca="false">I12+I46</f>
        <v>101588.545</v>
      </c>
      <c r="J49" s="113" t="n">
        <f aca="false">J12+J46</f>
        <v>2560.1461300731</v>
      </c>
      <c r="K49" s="113" t="n">
        <f aca="false">K12+K46</f>
        <v>104148.681130073</v>
      </c>
      <c r="L49" s="113" t="n">
        <f aca="false">L12+L46</f>
        <v>-5125.42560499118</v>
      </c>
      <c r="M49" s="227" t="n">
        <f aca="false">M12+M46</f>
        <v>40203.6</v>
      </c>
      <c r="N49" s="113" t="n">
        <f aca="false">N12+N46</f>
        <v>52.9669775649105</v>
      </c>
      <c r="O49" s="113" t="n">
        <f aca="false">O12+O46</f>
        <v>12727.6905</v>
      </c>
      <c r="P49" s="171" t="n">
        <f aca="false">P12+P46</f>
        <v>7</v>
      </c>
      <c r="Q49" s="226"/>
      <c r="R49" s="226"/>
      <c r="S49" s="226"/>
      <c r="T49" s="226"/>
      <c r="U49" s="228"/>
      <c r="V49" s="113" t="n">
        <f aca="false">V12+V46</f>
        <v>15950.38</v>
      </c>
      <c r="W49" s="113" t="n">
        <f aca="false">W12+W46</f>
        <v>9809.49</v>
      </c>
      <c r="X49" s="113" t="n">
        <f aca="false">X12+X46</f>
        <v>54266.879859784</v>
      </c>
      <c r="Y49" s="113" t="n">
        <f aca="false">Y12+Y46</f>
        <v>54111.0434046275</v>
      </c>
      <c r="Z49" s="84"/>
      <c r="AA49" s="113"/>
      <c r="AB49" s="113"/>
      <c r="AC49" s="113"/>
      <c r="AE49" s="113" t="n">
        <f aca="false">AE12+AE46</f>
        <v>25139.83</v>
      </c>
      <c r="AF49" s="227" t="n">
        <f aca="false">AF12+AF46</f>
        <v>311.1</v>
      </c>
      <c r="AG49" s="229" t="n">
        <f aca="false">AG12+AG46</f>
        <v>237.9</v>
      </c>
      <c r="AH49" s="113"/>
      <c r="AI49" s="113"/>
      <c r="AJ49" s="113" t="n">
        <f aca="false">AJ12+AJ46</f>
        <v>0</v>
      </c>
      <c r="AK49" s="113" t="n">
        <f aca="false">AK12+AK46</f>
        <v>100135.91</v>
      </c>
      <c r="AL49" s="113" t="n">
        <f aca="false">AL12+AL46</f>
        <v>7685.57173506428</v>
      </c>
      <c r="AM49" s="113" t="n">
        <f aca="false">AM12+AM46</f>
        <v>107821.481735064</v>
      </c>
      <c r="AN49" s="231"/>
      <c r="AO49" s="226"/>
      <c r="AP49" s="143"/>
      <c r="AQ49" s="171"/>
      <c r="AR49" s="143" t="n">
        <f aca="false">AR12+AR46</f>
        <v>2706.82953023959</v>
      </c>
      <c r="AS49" s="226" t="n">
        <f aca="false">AS12+AS46</f>
        <v>772.57</v>
      </c>
      <c r="AT49" s="226" t="n">
        <f aca="false">AT12+AT46</f>
        <v>223.19</v>
      </c>
      <c r="AU49" s="226" t="n">
        <f aca="false">AU12+AU46</f>
        <v>1831.8645</v>
      </c>
      <c r="AV49" s="233" t="s">
        <v>135</v>
      </c>
      <c r="AW49" s="226" t="n">
        <f aca="false">MIN(AW15:AW44)</f>
        <v>63</v>
      </c>
      <c r="AX49" s="226" t="n">
        <f aca="false">MIN(AX15:AX44)</f>
        <v>40</v>
      </c>
      <c r="AY49" s="234" t="s">
        <v>110</v>
      </c>
      <c r="AZ49" s="348" t="n">
        <f aca="false">AZ12+AZ46</f>
        <v>1489.75595454939</v>
      </c>
      <c r="BA49" s="161" t="n">
        <f aca="false">BA12+BA46</f>
        <v>1466.707</v>
      </c>
      <c r="BB49" s="85"/>
    </row>
    <row r="50" customFormat="false" ht="12.95" hidden="false" customHeight="true" outlineLevel="0" collapsed="false">
      <c r="A50" s="194" t="s">
        <v>111</v>
      </c>
      <c r="B50" s="224"/>
      <c r="C50" s="113"/>
      <c r="D50" s="113"/>
      <c r="E50" s="113"/>
      <c r="F50" s="225" t="n">
        <f aca="false">F49*$D$2</f>
        <v>-7284.99999999999</v>
      </c>
      <c r="G50" s="113" t="n">
        <f aca="false">G49*$D$2</f>
        <v>200293.83</v>
      </c>
      <c r="H50" s="113" t="n">
        <f aca="false">H49*$D$2</f>
        <v>1207.0490075</v>
      </c>
      <c r="I50" s="113" t="n">
        <f aca="false">I49*$D$2</f>
        <v>201500.8790075</v>
      </c>
      <c r="J50" s="113" t="n">
        <f aca="false">J49*$D$2</f>
        <v>5078.049849</v>
      </c>
      <c r="K50" s="113" t="n">
        <f aca="false">K49*$D$2</f>
        <v>206578.9090215</v>
      </c>
      <c r="L50" s="113" t="n">
        <f aca="false">L49*$D$2</f>
        <v>-10166.2816875</v>
      </c>
      <c r="M50" s="227" t="n">
        <f aca="false">M49*$D$2</f>
        <v>79743.8406</v>
      </c>
      <c r="N50" s="113" t="n">
        <f aca="false">N49*$D$2</f>
        <v>105.06</v>
      </c>
      <c r="O50" s="113" t="n">
        <f aca="false">O49*$D$2</f>
        <v>25245.37410675</v>
      </c>
      <c r="P50" s="171" t="n">
        <f aca="false">P49*$D$2</f>
        <v>13.8845</v>
      </c>
      <c r="Q50" s="226"/>
      <c r="R50" s="226"/>
      <c r="S50" s="226"/>
      <c r="T50" s="226"/>
      <c r="U50" s="228"/>
      <c r="V50" s="113" t="n">
        <f aca="false">V49*$D$2</f>
        <v>31637.57873</v>
      </c>
      <c r="W50" s="113" t="n">
        <f aca="false">W49*$D$2</f>
        <v>19457.123415</v>
      </c>
      <c r="X50" s="113" t="n">
        <f aca="false">X49*$D$2</f>
        <v>107638.356201882</v>
      </c>
      <c r="Y50" s="113" t="n">
        <f aca="false">Y49*$D$2</f>
        <v>107329.254593079</v>
      </c>
      <c r="Z50" s="84"/>
      <c r="AA50" s="113"/>
      <c r="AB50" s="113"/>
      <c r="AC50" s="113"/>
      <c r="AE50" s="229" t="n">
        <f aca="false">AE49*$D$2</f>
        <v>49864.852805</v>
      </c>
      <c r="AF50" s="113" t="n">
        <f aca="false">AF49*$D$2</f>
        <v>617.06685</v>
      </c>
      <c r="AG50" s="229" t="n">
        <f aca="false">AG49*$D$2</f>
        <v>471.87465</v>
      </c>
      <c r="AH50" s="113"/>
      <c r="AI50" s="113"/>
      <c r="AJ50" s="113" t="n">
        <f aca="false">AJ49*$D$2</f>
        <v>0</v>
      </c>
      <c r="AK50" s="113" t="n">
        <f aca="false">AK49*$D$2</f>
        <v>198619.577485</v>
      </c>
      <c r="AL50" s="113" t="n">
        <f aca="false">AL49*$D$2</f>
        <v>15244.3315365</v>
      </c>
      <c r="AM50" s="113" t="n">
        <f aca="false">AM49*$D$2</f>
        <v>213863.9090215</v>
      </c>
      <c r="AN50" s="231"/>
      <c r="AO50" s="226"/>
      <c r="AP50" s="143"/>
      <c r="AQ50" s="171" t="n">
        <f aca="false">AQ12+AQ47</f>
        <v>1986.80919237369</v>
      </c>
      <c r="AR50" s="143" t="n">
        <f aca="false">AR49*$D$2</f>
        <v>5368.99637323023</v>
      </c>
      <c r="AS50" s="143" t="n">
        <f aca="false">AS49*$D$2</f>
        <v>1532.392595</v>
      </c>
      <c r="AT50" s="226" t="n">
        <f aca="false">AT49*$D$2</f>
        <v>442.697365</v>
      </c>
      <c r="AU50" s="226" t="n">
        <f aca="false">AU49*$D$2</f>
        <v>3633.50323575</v>
      </c>
      <c r="AV50" s="233" t="n">
        <f aca="false">AUG!AV51+AV46</f>
        <v>9.82</v>
      </c>
      <c r="AW50" s="226"/>
      <c r="AX50" s="226"/>
      <c r="AY50" s="265"/>
      <c r="AZ50" s="348" t="n">
        <f aca="false">AZ49*$D$2</f>
        <v>2954.93093584872</v>
      </c>
      <c r="BA50" s="161" t="n">
        <f aca="false">BA49*$D$2</f>
        <v>2909.2133345</v>
      </c>
      <c r="BB50" s="85"/>
    </row>
    <row r="51" customFormat="false" ht="3" hidden="false" customHeight="true" outlineLevel="0" collapsed="false">
      <c r="A51" s="245"/>
      <c r="B51" s="267"/>
      <c r="C51" s="247"/>
      <c r="D51" s="247"/>
      <c r="E51" s="247"/>
      <c r="F51" s="270"/>
      <c r="G51" s="247"/>
      <c r="H51" s="257"/>
      <c r="I51" s="247"/>
      <c r="J51" s="247"/>
      <c r="K51" s="247"/>
      <c r="L51" s="247"/>
      <c r="M51" s="271"/>
      <c r="N51" s="247"/>
      <c r="O51" s="247"/>
      <c r="P51" s="252"/>
      <c r="Q51" s="257"/>
      <c r="R51" s="257"/>
      <c r="S51" s="257"/>
      <c r="T51" s="257"/>
      <c r="U51" s="253"/>
      <c r="V51" s="247"/>
      <c r="W51" s="247"/>
      <c r="X51" s="247"/>
      <c r="Y51" s="247"/>
      <c r="Z51" s="247"/>
      <c r="AA51" s="247"/>
      <c r="AB51" s="247"/>
      <c r="AC51" s="247"/>
      <c r="AD51" s="247"/>
      <c r="AE51" s="272"/>
      <c r="AF51" s="126"/>
      <c r="AG51" s="168"/>
      <c r="AH51" s="247"/>
      <c r="AI51" s="247"/>
      <c r="AJ51" s="247"/>
      <c r="AK51" s="247"/>
      <c r="AL51" s="247"/>
      <c r="AM51" s="247"/>
      <c r="AN51" s="259"/>
      <c r="AO51" s="275"/>
      <c r="AP51" s="254"/>
      <c r="AQ51" s="252"/>
      <c r="AR51" s="252"/>
      <c r="AS51" s="257"/>
      <c r="AT51" s="257"/>
      <c r="AU51" s="254"/>
      <c r="AV51" s="259"/>
      <c r="AW51" s="275"/>
      <c r="AX51" s="275"/>
      <c r="AY51" s="275"/>
      <c r="AZ51" s="275"/>
      <c r="BA51" s="275"/>
      <c r="BB51" s="275"/>
    </row>
    <row r="52" customFormat="false" ht="12.95" hidden="false" customHeight="true" outlineLevel="0" collapsed="false">
      <c r="A52" s="194" t="s">
        <v>112</v>
      </c>
      <c r="B52" s="224"/>
      <c r="C52" s="113"/>
      <c r="D52" s="113"/>
      <c r="E52" s="113"/>
      <c r="F52" s="225" t="n">
        <f aca="false">F13+F46</f>
        <v>6272.24602974541</v>
      </c>
      <c r="G52" s="113" t="n">
        <f aca="false">G13+G46</f>
        <v>113497</v>
      </c>
      <c r="H52" s="226" t="n">
        <f aca="false">H13+H46</f>
        <v>638.65</v>
      </c>
      <c r="I52" s="113" t="n">
        <f aca="false">I13+I46</f>
        <v>114135.03</v>
      </c>
      <c r="J52" s="113" t="n">
        <f aca="false">J13+J46</f>
        <v>4475.86306276783</v>
      </c>
      <c r="K52" s="113" t="n">
        <f aca="false">K13+K46</f>
        <v>118610.883062768</v>
      </c>
      <c r="L52" s="113" t="n">
        <f aca="false">L13+L46</f>
        <v>-4086.1239702546</v>
      </c>
      <c r="M52" s="227" t="n">
        <f aca="false">M13+M46</f>
        <v>40840.64</v>
      </c>
      <c r="N52" s="113" t="n">
        <f aca="false">N13+N46</f>
        <v>52.9669775649105</v>
      </c>
      <c r="O52" s="113" t="n">
        <f aca="false">O13+O46</f>
        <v>12727.6905</v>
      </c>
      <c r="P52" s="171"/>
      <c r="Q52" s="226" t="n">
        <f aca="false">Q13+Q46</f>
        <v>667.176278342438</v>
      </c>
      <c r="R52" s="226" t="n">
        <f aca="false">R13+R46</f>
        <v>900.000196634581</v>
      </c>
      <c r="S52" s="226" t="n">
        <f aca="false">S13+S46</f>
        <v>142.684724</v>
      </c>
      <c r="T52" s="226" t="n">
        <f aca="false">T13+T46</f>
        <v>262.24629808</v>
      </c>
      <c r="U52" s="327" t="n">
        <f aca="false">U13+U46</f>
        <v>-65.0339372790604</v>
      </c>
      <c r="V52" s="113" t="n">
        <f aca="false">V13+V46</f>
        <v>15950.38</v>
      </c>
      <c r="W52" s="113" t="n">
        <f aca="false">W13+W46</f>
        <v>9809.49</v>
      </c>
      <c r="X52" s="113" t="n">
        <f aca="false">X13+X46</f>
        <v>54374.3782928967</v>
      </c>
      <c r="Y52" s="113" t="n">
        <f aca="false">Y13+Y46</f>
        <v>54218.5418377402</v>
      </c>
      <c r="Z52" s="113"/>
      <c r="AA52" s="113"/>
      <c r="AB52" s="113"/>
      <c r="AC52" s="113"/>
      <c r="AD52" s="113"/>
      <c r="AE52" s="229"/>
      <c r="AF52" s="113" t="n">
        <f aca="false">AF13+AF46</f>
        <v>311.1</v>
      </c>
      <c r="AG52" s="229" t="n">
        <f aca="false">AG13+AG46</f>
        <v>237.9</v>
      </c>
      <c r="AH52" s="113" t="n">
        <f aca="false">AH13+AH46</f>
        <v>12259.5</v>
      </c>
      <c r="AI52" s="113" t="n">
        <f aca="false">AI44</f>
        <v>5368.34923115706</v>
      </c>
      <c r="AJ52" s="113" t="n">
        <f aca="false">AJ13+AJ46</f>
        <v>0</v>
      </c>
      <c r="AK52" s="113" t="n">
        <f aca="false">AK13+AK46</f>
        <v>103776.65</v>
      </c>
      <c r="AL52" s="113" t="n">
        <f aca="false">AL13+AL46</f>
        <v>8561.98703302244</v>
      </c>
      <c r="AM52" s="518" t="n">
        <f aca="false">AM13+AM46</f>
        <v>112338.637033022</v>
      </c>
      <c r="AN52" s="113" t="n">
        <f aca="false">AN13+AN46</f>
        <v>2927.4</v>
      </c>
      <c r="AO52" s="113" t="n">
        <f aca="false">AO13+AO46</f>
        <v>235.836455156528</v>
      </c>
      <c r="AP52" s="143"/>
      <c r="AQ52" s="171"/>
      <c r="AR52" s="171"/>
      <c r="AS52" s="226"/>
      <c r="AT52" s="226"/>
      <c r="AV52" s="233" t="n">
        <f aca="false">AV13+AV46</f>
        <v>14.66</v>
      </c>
      <c r="AW52" s="226"/>
      <c r="AX52" s="226"/>
      <c r="AY52" s="265"/>
      <c r="AZ52" s="348" t="n">
        <f aca="false">AZ13+AZ46</f>
        <v>1967.55982143664</v>
      </c>
      <c r="BA52" s="161" t="n">
        <f aca="false">BA13+BA46</f>
        <v>1466.707</v>
      </c>
      <c r="BB52" s="85"/>
    </row>
    <row r="53" customFormat="false" ht="12.95" hidden="false" customHeight="true" outlineLevel="0" collapsed="false">
      <c r="A53" s="194" t="s">
        <v>113</v>
      </c>
      <c r="B53" s="224"/>
      <c r="C53" s="113"/>
      <c r="D53" s="113" t="n">
        <f aca="false">D13+D47</f>
        <v>12441</v>
      </c>
      <c r="E53" s="113" t="n">
        <f aca="false">E44</f>
        <v>34163</v>
      </c>
      <c r="F53" s="225" t="n">
        <f aca="false">F52*$D$2</f>
        <v>12441</v>
      </c>
      <c r="G53" s="113" t="n">
        <f aca="false">G52*$D$2</f>
        <v>225121.2995</v>
      </c>
      <c r="H53" s="226" t="n">
        <f aca="false">H52*$D$2</f>
        <v>1266.762275</v>
      </c>
      <c r="I53" s="113" t="n">
        <f aca="false">I52*$D$2</f>
        <v>226386.832005</v>
      </c>
      <c r="J53" s="113" t="n">
        <f aca="false">J52*$D$2</f>
        <v>8877.874385</v>
      </c>
      <c r="K53" s="113" t="n">
        <f aca="false">K52*$D$2</f>
        <v>235264.686555</v>
      </c>
      <c r="L53" s="113" t="n">
        <f aca="false">L52*$D$2</f>
        <v>-8104.826895</v>
      </c>
      <c r="M53" s="227" t="n">
        <f aca="false">M52*$D$2</f>
        <v>81007.40944</v>
      </c>
      <c r="N53" s="113" t="n">
        <f aca="false">N52*$D$2</f>
        <v>105.06</v>
      </c>
      <c r="O53" s="113" t="n">
        <f aca="false">O52*$D$2</f>
        <v>25245.37410675</v>
      </c>
      <c r="P53" s="171"/>
      <c r="Q53" s="226" t="n">
        <f aca="false">Q52*$D$2</f>
        <v>1323.34414809223</v>
      </c>
      <c r="R53" s="226" t="n">
        <f aca="false">R52*$D$2</f>
        <v>1785.15039002469</v>
      </c>
      <c r="S53" s="226" t="n">
        <f aca="false">S52*$D$2</f>
        <v>283.015150054</v>
      </c>
      <c r="T53" s="226" t="n">
        <f aca="false">T52*$D$2</f>
        <v>520.16553224168</v>
      </c>
      <c r="U53" s="327" t="n">
        <f aca="false">U52*$D$2</f>
        <v>-128.994814593016</v>
      </c>
      <c r="V53" s="113" t="n">
        <f aca="false">V52*$D$2</f>
        <v>31637.57873</v>
      </c>
      <c r="W53" s="113" t="n">
        <f aca="false">W52*$D$2</f>
        <v>19457.123415</v>
      </c>
      <c r="X53" s="113" t="n">
        <f aca="false">X52*$D$2</f>
        <v>107851.579343961</v>
      </c>
      <c r="Y53" s="113" t="n">
        <f aca="false">Y52*$D$2</f>
        <v>107542.477735158</v>
      </c>
      <c r="Z53" s="113"/>
      <c r="AA53" s="113"/>
      <c r="AB53" s="113"/>
      <c r="AC53" s="113"/>
      <c r="AD53" s="113"/>
      <c r="AE53" s="278"/>
      <c r="AF53" s="113" t="n">
        <f aca="false">AF52*$D$2</f>
        <v>617.06685</v>
      </c>
      <c r="AG53" s="278" t="n">
        <f aca="false">AG52*$D$2</f>
        <v>471.87465</v>
      </c>
      <c r="AH53" s="113" t="n">
        <f aca="false">AH52*$D$2</f>
        <v>24316.71825</v>
      </c>
      <c r="AI53" s="113" t="n">
        <f aca="false">AI52*$D$2</f>
        <v>10648.1207</v>
      </c>
      <c r="AJ53" s="113" t="n">
        <f aca="false">AJ52*$D$2</f>
        <v>0</v>
      </c>
      <c r="AK53" s="113" t="n">
        <f aca="false">AK52*$D$2</f>
        <v>205840.985275</v>
      </c>
      <c r="AL53" s="113" t="n">
        <f aca="false">AL52*$D$2</f>
        <v>16982.70128</v>
      </c>
      <c r="AM53" s="225" t="n">
        <f aca="false">AM52*$D$2</f>
        <v>222823.686555</v>
      </c>
      <c r="AN53" s="113" t="n">
        <f aca="false">AN52*$D$2</f>
        <v>5806.4979</v>
      </c>
      <c r="AO53" s="113" t="n">
        <f aca="false">AO52*$D$2</f>
        <v>467.781608802973</v>
      </c>
      <c r="AP53" s="143"/>
      <c r="AQ53" s="171" t="n">
        <f aca="false">AQ13+AQ47</f>
        <v>1986.80919237369</v>
      </c>
      <c r="AR53" s="171"/>
      <c r="AS53" s="226"/>
      <c r="AT53" s="226"/>
      <c r="AV53" s="233"/>
      <c r="AW53" s="226"/>
      <c r="AX53" s="226"/>
      <c r="AY53" s="265"/>
      <c r="AZ53" s="348" t="n">
        <f aca="false">AZ52*$D$2</f>
        <v>3902.65490581958</v>
      </c>
      <c r="BA53" s="161" t="n">
        <f aca="false">BA52*$D$2</f>
        <v>2909.2133345</v>
      </c>
      <c r="BB53" s="85"/>
    </row>
    <row r="54" customFormat="false" ht="3" hidden="false" customHeight="true" outlineLevel="0" collapsed="false">
      <c r="A54" s="245"/>
      <c r="B54" s="267"/>
      <c r="C54" s="247"/>
      <c r="D54" s="248"/>
      <c r="E54" s="247"/>
      <c r="F54" s="249"/>
      <c r="G54" s="248"/>
      <c r="H54" s="250"/>
      <c r="I54" s="248"/>
      <c r="J54" s="248"/>
      <c r="K54" s="248"/>
      <c r="L54" s="248"/>
      <c r="M54" s="251"/>
      <c r="N54" s="248"/>
      <c r="O54" s="248"/>
      <c r="P54" s="252"/>
      <c r="Q54" s="252"/>
      <c r="R54" s="252"/>
      <c r="S54" s="252"/>
      <c r="T54" s="252"/>
      <c r="U54" s="253"/>
      <c r="V54" s="248"/>
      <c r="W54" s="248"/>
      <c r="X54" s="248"/>
      <c r="Y54" s="248"/>
      <c r="Z54" s="247"/>
      <c r="AA54" s="248"/>
      <c r="AB54" s="247"/>
      <c r="AC54" s="247"/>
      <c r="AD54" s="247"/>
      <c r="AE54" s="248"/>
      <c r="AF54" s="121"/>
      <c r="AG54" s="178"/>
      <c r="AH54" s="248"/>
      <c r="AI54" s="247"/>
      <c r="AJ54" s="314"/>
      <c r="AK54" s="248"/>
      <c r="AL54" s="248"/>
      <c r="AM54" s="249"/>
      <c r="AN54" s="248"/>
      <c r="AO54" s="248"/>
      <c r="AP54" s="254"/>
      <c r="AQ54" s="252"/>
      <c r="AR54" s="252"/>
      <c r="AS54" s="252"/>
      <c r="AT54" s="252"/>
      <c r="AU54" s="254"/>
      <c r="AV54" s="267"/>
      <c r="AW54" s="248"/>
      <c r="AX54" s="248"/>
      <c r="AY54" s="248"/>
      <c r="AZ54" s="248"/>
      <c r="BA54" s="248"/>
      <c r="BB54" s="248"/>
    </row>
    <row r="55" customFormat="false" ht="11.1" hidden="false" customHeight="true" outlineLevel="0" collapsed="false">
      <c r="G55" s="195"/>
      <c r="I55" s="186"/>
      <c r="N55" s="2"/>
      <c r="W55" s="56"/>
      <c r="X55" s="1"/>
      <c r="Y55" s="1"/>
      <c r="Z55" s="161"/>
      <c r="AA55" s="1"/>
      <c r="AB55" s="161"/>
      <c r="AE55" s="110"/>
      <c r="AF55" s="110"/>
      <c r="AG55" s="110"/>
      <c r="AH55" s="161"/>
      <c r="AK55" s="56"/>
      <c r="AL55" s="56"/>
      <c r="AM55" s="8"/>
      <c r="AN55" s="189"/>
      <c r="AO55" s="189"/>
      <c r="AP55" s="335"/>
      <c r="AQ55" s="300"/>
      <c r="AR55" s="300"/>
      <c r="AV55" s="188"/>
      <c r="AW55" s="191"/>
      <c r="AX55" s="192"/>
    </row>
    <row r="56" customFormat="false" ht="11.1" hidden="false" customHeight="true" outlineLevel="0" collapsed="false">
      <c r="A56" s="194"/>
      <c r="B56" s="575"/>
      <c r="C56" s="2"/>
      <c r="D56" s="1"/>
      <c r="E56" s="390"/>
      <c r="F56" s="197"/>
      <c r="G56" s="1"/>
      <c r="H56" s="3"/>
      <c r="I56" s="12"/>
      <c r="J56" s="11"/>
      <c r="K56" s="186"/>
      <c r="L56" s="110"/>
      <c r="M56" s="11"/>
      <c r="N56" s="0"/>
      <c r="O56" s="2"/>
      <c r="P56" s="494"/>
      <c r="Q56" s="494"/>
      <c r="R56" s="98"/>
      <c r="S56" s="98"/>
      <c r="T56" s="98"/>
      <c r="U56" s="98"/>
      <c r="V56" s="26"/>
      <c r="W56" s="137"/>
      <c r="X56" s="95"/>
      <c r="Y56" s="95"/>
      <c r="Z56" s="161"/>
      <c r="AA56" s="95"/>
      <c r="AB56" s="161"/>
      <c r="AC56" s="89"/>
      <c r="AD56" s="89"/>
      <c r="AE56" s="2"/>
      <c r="AF56" s="2"/>
      <c r="AG56" s="2"/>
      <c r="AH56" s="11"/>
      <c r="AI56" s="2"/>
      <c r="AJ56" s="111"/>
      <c r="AK56" s="2"/>
      <c r="AL56" s="194"/>
      <c r="AM56" s="8"/>
      <c r="AN56" s="587"/>
      <c r="AO56" s="587"/>
      <c r="AP56" s="335"/>
      <c r="AQ56" s="392"/>
      <c r="AR56" s="392"/>
      <c r="AS56" s="201"/>
      <c r="AV56" s="191"/>
      <c r="AW56" s="191"/>
      <c r="AX56" s="191"/>
    </row>
    <row r="57" customFormat="false" ht="11.1" hidden="false" customHeight="true" outlineLevel="0" collapsed="false">
      <c r="B57" s="161"/>
      <c r="E57" s="390"/>
      <c r="F57" s="238"/>
      <c r="G57" s="1"/>
      <c r="H57" s="3"/>
      <c r="I57" s="1"/>
      <c r="J57" s="1"/>
      <c r="K57" s="391"/>
      <c r="L57" s="449"/>
      <c r="M57" s="4"/>
      <c r="N57" s="4"/>
      <c r="O57" s="95"/>
      <c r="R57" s="98"/>
      <c r="S57" s="98"/>
      <c r="T57" s="98"/>
      <c r="U57" s="98"/>
      <c r="V57" s="26"/>
      <c r="W57" s="26"/>
      <c r="X57" s="95"/>
      <c r="Y57" s="95"/>
      <c r="Z57" s="161"/>
      <c r="AA57" s="95"/>
      <c r="AB57" s="161"/>
      <c r="AE57" s="161"/>
      <c r="AF57" s="161"/>
      <c r="AG57" s="161"/>
      <c r="AH57" s="2"/>
      <c r="AI57" s="26"/>
      <c r="AJ57" s="495"/>
      <c r="AK57" s="26"/>
      <c r="AL57" s="56"/>
      <c r="AM57" s="8"/>
      <c r="AN57" s="189"/>
      <c r="AO57" s="189"/>
      <c r="AP57" s="335"/>
      <c r="AS57" s="201"/>
      <c r="AV57" s="191"/>
      <c r="AW57" s="191"/>
      <c r="AX57" s="192"/>
    </row>
    <row r="58" customFormat="false" ht="11.1" hidden="false" customHeight="true" outlineLevel="0" collapsed="false">
      <c r="D58" s="161"/>
      <c r="E58" s="390"/>
      <c r="F58" s="1"/>
      <c r="G58" s="1"/>
      <c r="H58" s="161"/>
      <c r="I58" s="1"/>
      <c r="J58" s="1"/>
      <c r="K58" s="391"/>
      <c r="L58" s="191"/>
      <c r="M58" s="4"/>
      <c r="N58" s="4"/>
      <c r="O58" s="191"/>
      <c r="W58" s="56"/>
      <c r="X58" s="1"/>
      <c r="Y58" s="1"/>
      <c r="Z58" s="191"/>
      <c r="AA58" s="1"/>
      <c r="AB58" s="191"/>
      <c r="AC58" s="191"/>
      <c r="AD58" s="191"/>
      <c r="AE58" s="161"/>
      <c r="AF58" s="161"/>
      <c r="AG58" s="161"/>
      <c r="AH58" s="2"/>
      <c r="AI58" s="161"/>
      <c r="AJ58" s="238"/>
      <c r="AK58" s="161"/>
      <c r="AL58" s="56"/>
      <c r="AM58" s="390"/>
      <c r="AN58" s="189"/>
      <c r="AO58" s="189"/>
      <c r="AP58" s="335"/>
      <c r="AS58" s="201"/>
      <c r="AV58" s="191"/>
      <c r="AW58" s="191"/>
      <c r="AX58" s="192"/>
    </row>
    <row r="59" customFormat="false" ht="11.1" hidden="false" customHeight="true" outlineLevel="0" collapsed="false">
      <c r="G59" s="283"/>
      <c r="O59" s="191"/>
      <c r="W59" s="56"/>
      <c r="X59" s="1"/>
      <c r="Y59" s="1"/>
      <c r="Z59" s="161"/>
      <c r="AA59" s="1"/>
      <c r="AB59" s="161"/>
      <c r="AH59" s="588"/>
      <c r="AK59" s="56"/>
      <c r="AL59" s="56"/>
      <c r="AM59" s="8"/>
      <c r="AN59" s="189"/>
      <c r="AO59" s="189"/>
      <c r="AP59" s="335"/>
      <c r="AS59" s="201"/>
      <c r="AV59" s="188"/>
      <c r="AW59" s="191"/>
      <c r="AX59" s="192"/>
    </row>
    <row r="60" customFormat="false" ht="11.1" hidden="false" customHeight="true" outlineLevel="0" collapsed="false">
      <c r="W60" s="56"/>
      <c r="X60" s="161"/>
      <c r="Y60" s="161"/>
      <c r="Z60" s="161"/>
      <c r="AA60" s="161"/>
      <c r="AB60" s="161"/>
      <c r="AH60" s="588"/>
      <c r="AK60" s="56"/>
      <c r="AL60" s="56"/>
      <c r="AM60" s="8"/>
      <c r="AN60" s="189"/>
      <c r="AO60" s="189"/>
      <c r="AS60" s="201"/>
      <c r="AV60" s="188"/>
      <c r="AW60" s="191"/>
      <c r="AX60" s="192"/>
    </row>
    <row r="61" customFormat="false" ht="11.1" hidden="false" customHeight="true" outlineLevel="0" collapsed="false">
      <c r="W61" s="56"/>
      <c r="X61" s="161"/>
      <c r="Y61" s="161"/>
      <c r="AA61" s="161"/>
      <c r="AC61" s="56"/>
      <c r="AD61" s="56"/>
      <c r="AH61" s="161"/>
      <c r="AK61" s="56"/>
      <c r="AL61" s="56"/>
      <c r="AM61" s="8"/>
      <c r="AQ61" s="300"/>
      <c r="AR61" s="300"/>
      <c r="AV61" s="188"/>
      <c r="AW61" s="191"/>
      <c r="AX61" s="192"/>
    </row>
  </sheetData>
  <mergeCells count="1">
    <mergeCell ref="M5:U5"/>
  </mergeCells>
  <printOptions headings="true" gridLines="true" gridLinesSet="true" horizontalCentered="false" verticalCentered="true"/>
  <pageMargins left="0.25" right="0.25" top="0.25" bottom="0" header="0.511811023622047" footer="0.511811023622047"/>
  <pageSetup paperSize="3" scale="84" fitToWidth="1" fitToHeight="1" pageOrder="downThenOver" orientation="landscape" blackAndWhite="false" draft="false" cellComments="atEnd"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C6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4" topLeftCell="B33" activePane="bottomRight" state="frozen"/>
      <selection pane="topLeft" activeCell="A1" activeCellId="0" sqref="A1"/>
      <selection pane="topRight" activeCell="B1" activeCellId="0" sqref="B1"/>
      <selection pane="bottomLeft" activeCell="A33" activeCellId="0" sqref="A33"/>
      <selection pane="bottomRight" activeCell="A15" activeCellId="0" sqref="A15"/>
    </sheetView>
  </sheetViews>
  <sheetFormatPr defaultColWidth="9.328125" defaultRowHeight="11.1" zeroHeight="false" outlineLevelRow="0" outlineLevelCol="0"/>
  <cols>
    <col collapsed="false" customWidth="true" hidden="false" outlineLevel="0" max="1" min="1" style="56" width="4.66"/>
    <col collapsed="false" customWidth="true" hidden="false" outlineLevel="0" max="2" min="2" style="56" width="6.99"/>
    <col collapsed="false" customWidth="true" hidden="false" outlineLevel="0" max="3" min="3" style="161" width="6.32"/>
    <col collapsed="false" customWidth="true" hidden="false" outlineLevel="0" max="4" min="4" style="56" width="6.32"/>
    <col collapsed="false" customWidth="true" hidden="false" outlineLevel="0" max="5" min="5" style="161" width="6.99"/>
    <col collapsed="false" customWidth="true" hidden="false" outlineLevel="0" max="6" min="6" style="56" width="7.32"/>
    <col collapsed="false" customWidth="true" hidden="false" outlineLevel="0" max="7" min="7" style="56" width="6.82"/>
    <col collapsed="false" customWidth="true" hidden="false" outlineLevel="0" max="8" min="8" style="589" width="5.66"/>
    <col collapsed="false" customWidth="true" hidden="false" outlineLevel="0" max="11" min="9" style="56" width="6.32"/>
    <col collapsed="false" customWidth="true" hidden="false" outlineLevel="0" max="12" min="12" style="56" width="6.82"/>
    <col collapsed="false" customWidth="true" hidden="false" outlineLevel="0" max="13" min="13" style="110" width="5.49"/>
    <col collapsed="false" customWidth="true" hidden="false" outlineLevel="0" max="14" min="14" style="110" width="4.49"/>
    <col collapsed="false" customWidth="true" hidden="false" outlineLevel="0" max="15" min="15" style="110" width="5.49"/>
    <col collapsed="false" customWidth="true" hidden="false" outlineLevel="0" max="16" min="16" style="8" width="4.82"/>
    <col collapsed="false" customWidth="true" hidden="false" outlineLevel="0" max="20" min="17" style="56" width="4.32"/>
    <col collapsed="false" customWidth="true" hidden="false" outlineLevel="0" max="21" min="21" style="8" width="5.16"/>
    <col collapsed="false" customWidth="true" hidden="false" outlineLevel="0" max="22" min="22" style="56" width="5.49"/>
    <col collapsed="false" customWidth="true" hidden="false" outlineLevel="0" max="23" min="23" style="161" width="5.49"/>
    <col collapsed="false" customWidth="true" hidden="false" outlineLevel="0" max="25" min="24" style="56" width="6.32"/>
    <col collapsed="false" customWidth="true" hidden="false" outlineLevel="0" max="26" min="26" style="56" width="5.49"/>
    <col collapsed="false" customWidth="true" hidden="false" outlineLevel="0" max="27" min="27" style="56" width="6.32"/>
    <col collapsed="false" customWidth="true" hidden="false" outlineLevel="0" max="28" min="28" style="56" width="5.49"/>
    <col collapsed="false" customWidth="true" hidden="false" outlineLevel="0" max="29" min="29" style="161" width="5.82"/>
    <col collapsed="false" customWidth="true" hidden="false" outlineLevel="0" max="30" min="30" style="161" width="5.49"/>
    <col collapsed="false" customWidth="true" hidden="false" outlineLevel="0" max="33" min="31" style="56" width="5.49"/>
    <col collapsed="false" customWidth="true" hidden="false" outlineLevel="0" max="34" min="34" style="56" width="6.32"/>
    <col collapsed="false" customWidth="true" hidden="false" outlineLevel="0" max="35" min="35" style="56" width="5.49"/>
    <col collapsed="false" customWidth="true" hidden="false" outlineLevel="0" max="36" min="36" style="189" width="6.32"/>
    <col collapsed="false" customWidth="true" hidden="false" outlineLevel="0" max="37" min="37" style="392" width="6.32"/>
    <col collapsed="false" customWidth="true" hidden="false" outlineLevel="0" max="39" min="38" style="296" width="6.82"/>
    <col collapsed="false" customWidth="true" hidden="false" outlineLevel="0" max="40" min="40" style="189" width="5.49"/>
    <col collapsed="false" customWidth="true" hidden="false" outlineLevel="0" max="41" min="41" style="335" width="5.49"/>
    <col collapsed="false" customWidth="true" hidden="false" outlineLevel="0" max="42" min="42" style="335" width="6.32"/>
    <col collapsed="false" customWidth="true" hidden="false" outlineLevel="0" max="43" min="43" style="392" width="6.32"/>
    <col collapsed="false" customWidth="true" hidden="false" outlineLevel="0" max="44" min="44" style="392" width="5.49"/>
    <col collapsed="false" customWidth="true" hidden="false" outlineLevel="0" max="45" min="45" style="392" width="4.32"/>
    <col collapsed="false" customWidth="true" hidden="false" outlineLevel="0" max="46" min="46" style="189" width="5.49"/>
    <col collapsed="false" customWidth="true" hidden="false" outlineLevel="0" max="47" min="47" style="189" width="5.82"/>
    <col collapsed="false" customWidth="true" hidden="false" outlineLevel="0" max="48" min="48" style="296" width="4.99"/>
    <col collapsed="false" customWidth="true" hidden="false" outlineLevel="0" max="49" min="49" style="418" width="5.32"/>
    <col collapsed="false" customWidth="true" hidden="false" outlineLevel="0" max="50" min="50" style="189" width="3.82"/>
    <col collapsed="false" customWidth="true" hidden="false" outlineLevel="0" max="51" min="51" style="392" width="3.82"/>
    <col collapsed="false" customWidth="true" hidden="false" outlineLevel="0" max="52" min="52" style="193" width="3.82"/>
    <col collapsed="false" customWidth="true" hidden="false" outlineLevel="0" max="53" min="53" style="193" width="5.49"/>
    <col collapsed="false" customWidth="false" hidden="false" outlineLevel="0" max="257" min="54" style="193" width="9.32"/>
  </cols>
  <sheetData>
    <row r="1" customFormat="false" ht="14.1" hidden="false" customHeight="true" outlineLevel="0" collapsed="false">
      <c r="A1" s="194"/>
      <c r="B1" s="194"/>
      <c r="D1" s="194"/>
      <c r="F1" s="194"/>
      <c r="G1" s="194"/>
      <c r="I1" s="194"/>
      <c r="J1" s="194"/>
      <c r="K1" s="196" t="s">
        <v>0</v>
      </c>
      <c r="L1" s="194"/>
      <c r="M1" s="194"/>
      <c r="N1" s="194"/>
      <c r="O1" s="194"/>
      <c r="Q1" s="194"/>
      <c r="R1" s="194"/>
      <c r="S1" s="194"/>
      <c r="T1" s="194"/>
      <c r="V1" s="194"/>
      <c r="W1" s="194"/>
      <c r="X1" s="161"/>
      <c r="Y1" s="161"/>
      <c r="Z1" s="194"/>
      <c r="AA1" s="161"/>
      <c r="AB1" s="194"/>
      <c r="AC1" s="194"/>
      <c r="AD1" s="194"/>
      <c r="AE1" s="194"/>
      <c r="AF1" s="194"/>
      <c r="AG1" s="194"/>
      <c r="AH1" s="161"/>
      <c r="AI1" s="194"/>
      <c r="AJ1" s="197"/>
      <c r="AK1" s="197"/>
      <c r="AL1" s="197"/>
      <c r="AM1" s="392"/>
      <c r="AN1" s="197"/>
      <c r="AW1" s="296"/>
      <c r="AX1" s="296"/>
      <c r="AY1" s="418"/>
    </row>
    <row r="2" customFormat="false" ht="14.1" hidden="false" customHeight="true" outlineLevel="0" collapsed="false">
      <c r="A2" s="197" t="s">
        <v>1</v>
      </c>
      <c r="B2" s="194"/>
      <c r="D2" s="198" t="n">
        <v>1.9835</v>
      </c>
      <c r="F2" s="194"/>
      <c r="G2" s="194"/>
      <c r="I2" s="194"/>
      <c r="J2" s="194"/>
      <c r="L2" s="299"/>
      <c r="M2" s="200"/>
      <c r="N2" s="200"/>
      <c r="O2" s="299" t="s">
        <v>150</v>
      </c>
      <c r="P2" s="300"/>
      <c r="Q2" s="200"/>
      <c r="R2" s="200"/>
      <c r="S2" s="200"/>
      <c r="T2" s="200"/>
      <c r="U2" s="300"/>
      <c r="V2" s="200"/>
      <c r="W2" s="200"/>
      <c r="X2" s="89"/>
      <c r="Y2" s="89"/>
      <c r="Z2" s="200"/>
      <c r="AA2" s="89"/>
      <c r="AB2" s="200"/>
      <c r="AC2" s="200"/>
      <c r="AD2" s="200"/>
      <c r="AE2" s="194"/>
      <c r="AF2" s="194"/>
      <c r="AG2" s="194"/>
      <c r="AH2" s="161"/>
      <c r="AI2" s="194"/>
      <c r="AJ2" s="197"/>
      <c r="AK2" s="197"/>
      <c r="AL2" s="197"/>
      <c r="AM2" s="392"/>
      <c r="AN2" s="197"/>
      <c r="AW2" s="296"/>
      <c r="AX2" s="296"/>
      <c r="AY2" s="418"/>
    </row>
    <row r="3" customFormat="false" ht="14.1" hidden="false" customHeight="true" outlineLevel="0" collapsed="false">
      <c r="A3" s="202"/>
      <c r="B3" s="202"/>
      <c r="C3" s="203"/>
      <c r="D3" s="204"/>
      <c r="E3" s="203"/>
      <c r="F3" s="202"/>
      <c r="G3" s="202"/>
      <c r="H3" s="590"/>
      <c r="I3" s="202"/>
      <c r="J3" s="202"/>
      <c r="K3" s="202"/>
      <c r="L3" s="202"/>
      <c r="M3" s="202"/>
      <c r="N3" s="202"/>
      <c r="O3" s="202"/>
      <c r="P3" s="206"/>
      <c r="Q3" s="202"/>
      <c r="R3" s="202"/>
      <c r="S3" s="202"/>
      <c r="T3" s="202"/>
      <c r="U3" s="206"/>
      <c r="V3" s="202"/>
      <c r="W3" s="202"/>
      <c r="X3" s="203"/>
      <c r="Y3" s="203"/>
      <c r="Z3" s="202"/>
      <c r="AA3" s="203"/>
      <c r="AB3" s="202"/>
      <c r="AC3" s="202"/>
      <c r="AD3" s="202"/>
      <c r="AE3" s="202"/>
      <c r="AF3" s="202"/>
      <c r="AG3" s="202"/>
      <c r="AH3" s="203"/>
      <c r="AI3" s="202"/>
      <c r="AJ3" s="208"/>
      <c r="AK3" s="208"/>
      <c r="AL3" s="208"/>
      <c r="AM3" s="528"/>
      <c r="AN3" s="208"/>
      <c r="AO3" s="337"/>
      <c r="AP3" s="337"/>
      <c r="AQ3" s="528"/>
      <c r="AW3" s="302"/>
      <c r="AX3" s="302"/>
      <c r="AY3" s="527"/>
      <c r="BB3" s="214"/>
    </row>
    <row r="4" s="56" customFormat="true" ht="14.1" hidden="false" customHeight="true" outlineLevel="0" collapsed="false">
      <c r="A4" s="194"/>
      <c r="B4" s="396"/>
      <c r="C4" s="397"/>
      <c r="D4" s="398" t="s">
        <v>3</v>
      </c>
      <c r="E4" s="397"/>
      <c r="F4" s="577"/>
      <c r="G4" s="194"/>
      <c r="H4" s="195"/>
      <c r="I4" s="574" t="s">
        <v>4</v>
      </c>
      <c r="J4" s="194"/>
      <c r="K4" s="194"/>
      <c r="L4" s="401"/>
      <c r="M4" s="194"/>
      <c r="N4" s="194"/>
      <c r="O4" s="194"/>
      <c r="P4" s="8"/>
      <c r="Q4" s="8"/>
      <c r="R4" s="8"/>
      <c r="S4" s="8"/>
      <c r="T4" s="8"/>
      <c r="U4" s="8"/>
      <c r="V4" s="406"/>
      <c r="W4" s="194"/>
      <c r="X4" s="406" t="s">
        <v>5</v>
      </c>
      <c r="Y4" s="161"/>
      <c r="Z4" s="194"/>
      <c r="AA4" s="161"/>
      <c r="AB4" s="194"/>
      <c r="AC4" s="194"/>
      <c r="AD4" s="194"/>
      <c r="AE4" s="194"/>
      <c r="AF4" s="194"/>
      <c r="AG4" s="194"/>
      <c r="AH4" s="161"/>
      <c r="AI4" s="194"/>
      <c r="AJ4" s="197"/>
      <c r="AK4" s="197"/>
      <c r="AL4" s="197"/>
      <c r="AM4" s="392"/>
      <c r="AN4" s="591"/>
      <c r="AO4" s="335"/>
      <c r="AP4" s="592" t="s">
        <v>6</v>
      </c>
      <c r="AQ4" s="592"/>
      <c r="AR4" s="593"/>
      <c r="AS4" s="593"/>
      <c r="AT4" s="594"/>
      <c r="AU4" s="595"/>
      <c r="AV4" s="596"/>
      <c r="AW4" s="597"/>
      <c r="AX4" s="598" t="s">
        <v>7</v>
      </c>
      <c r="AY4" s="599"/>
      <c r="AZ4" s="57"/>
      <c r="BA4" s="411"/>
      <c r="BC4" s="57"/>
    </row>
    <row r="5" customFormat="false" ht="12.95" hidden="false" customHeight="true" outlineLevel="0" collapsed="false">
      <c r="A5" s="333" t="s">
        <v>8</v>
      </c>
      <c r="B5" s="412" t="s">
        <v>9</v>
      </c>
      <c r="C5" s="413" t="s">
        <v>9</v>
      </c>
      <c r="D5" s="333" t="s">
        <v>10</v>
      </c>
      <c r="E5" s="413" t="s">
        <v>11</v>
      </c>
      <c r="F5" s="333" t="s">
        <v>12</v>
      </c>
      <c r="G5" s="412" t="s">
        <v>13</v>
      </c>
      <c r="H5" s="414" t="s">
        <v>14</v>
      </c>
      <c r="I5" s="333" t="s">
        <v>15</v>
      </c>
      <c r="J5" s="333" t="s">
        <v>16</v>
      </c>
      <c r="K5" s="333" t="s">
        <v>17</v>
      </c>
      <c r="L5" s="333" t="s">
        <v>16</v>
      </c>
      <c r="M5" s="415" t="s">
        <v>18</v>
      </c>
      <c r="N5" s="415"/>
      <c r="O5" s="415"/>
      <c r="P5" s="415"/>
      <c r="Q5" s="415"/>
      <c r="R5" s="415"/>
      <c r="S5" s="415"/>
      <c r="T5" s="415"/>
      <c r="U5" s="415"/>
      <c r="V5" s="333" t="s">
        <v>19</v>
      </c>
      <c r="W5" s="333" t="s">
        <v>20</v>
      </c>
      <c r="X5" s="58" t="s">
        <v>17</v>
      </c>
      <c r="Y5" s="58" t="s">
        <v>17</v>
      </c>
      <c r="Z5" s="64" t="s">
        <v>21</v>
      </c>
      <c r="AA5" s="58" t="s">
        <v>21</v>
      </c>
      <c r="AB5" s="64" t="s">
        <v>21</v>
      </c>
      <c r="AC5" s="413" t="s">
        <v>22</v>
      </c>
      <c r="AD5" s="413" t="s">
        <v>21</v>
      </c>
      <c r="AE5" s="333" t="s">
        <v>23</v>
      </c>
      <c r="AF5" s="416" t="s">
        <v>132</v>
      </c>
      <c r="AG5" s="417"/>
      <c r="AH5" s="418" t="s">
        <v>25</v>
      </c>
      <c r="AI5" s="413" t="s">
        <v>133</v>
      </c>
      <c r="AJ5" s="413" t="s">
        <v>27</v>
      </c>
      <c r="AK5" s="333" t="s">
        <v>15</v>
      </c>
      <c r="AL5" s="333" t="s">
        <v>16</v>
      </c>
      <c r="AM5" s="333" t="s">
        <v>17</v>
      </c>
      <c r="AN5" s="463" t="s">
        <v>28</v>
      </c>
      <c r="AO5" s="64" t="s">
        <v>21</v>
      </c>
      <c r="AP5" s="70" t="s">
        <v>29</v>
      </c>
      <c r="AQ5" s="70" t="s">
        <v>29</v>
      </c>
      <c r="AR5" s="65" t="s">
        <v>30</v>
      </c>
      <c r="AS5" s="65" t="s">
        <v>21</v>
      </c>
      <c r="AT5" s="71" t="s">
        <v>31</v>
      </c>
      <c r="AU5" s="414" t="s">
        <v>32</v>
      </c>
      <c r="AV5" s="219" t="s">
        <v>146</v>
      </c>
      <c r="AW5" s="419" t="s">
        <v>34</v>
      </c>
      <c r="AX5" s="418" t="s">
        <v>35</v>
      </c>
      <c r="AY5" s="418" t="s">
        <v>36</v>
      </c>
      <c r="AZ5" s="265"/>
      <c r="BA5" s="305" t="s">
        <v>17</v>
      </c>
      <c r="BB5" s="72" t="s">
        <v>37</v>
      </c>
      <c r="BC5" s="76" t="s">
        <v>37</v>
      </c>
    </row>
    <row r="6" customFormat="false" ht="12.95" hidden="false" customHeight="true" outlineLevel="0" collapsed="false">
      <c r="A6" s="420" t="s">
        <v>151</v>
      </c>
      <c r="B6" s="412" t="s">
        <v>39</v>
      </c>
      <c r="C6" s="413"/>
      <c r="D6" s="333" t="s">
        <v>40</v>
      </c>
      <c r="E6" s="413" t="s">
        <v>41</v>
      </c>
      <c r="F6" s="333" t="s">
        <v>42</v>
      </c>
      <c r="G6" s="412" t="s">
        <v>43</v>
      </c>
      <c r="H6" s="414" t="s">
        <v>44</v>
      </c>
      <c r="I6" s="333" t="s">
        <v>45</v>
      </c>
      <c r="J6" s="333" t="s">
        <v>45</v>
      </c>
      <c r="K6" s="333" t="s">
        <v>45</v>
      </c>
      <c r="L6" s="333" t="s">
        <v>46</v>
      </c>
      <c r="M6" s="421" t="s">
        <v>47</v>
      </c>
      <c r="N6" s="72" t="s">
        <v>48</v>
      </c>
      <c r="O6" s="333" t="s">
        <v>49</v>
      </c>
      <c r="P6" s="72" t="s">
        <v>50</v>
      </c>
      <c r="Q6" s="61" t="s">
        <v>51</v>
      </c>
      <c r="R6" s="61" t="s">
        <v>52</v>
      </c>
      <c r="S6" s="61"/>
      <c r="T6" s="61" t="s">
        <v>49</v>
      </c>
      <c r="U6" s="422" t="s">
        <v>53</v>
      </c>
      <c r="V6" s="333" t="s">
        <v>54</v>
      </c>
      <c r="W6" s="333" t="s">
        <v>55</v>
      </c>
      <c r="X6" s="58" t="s">
        <v>21</v>
      </c>
      <c r="Y6" s="58" t="s">
        <v>21</v>
      </c>
      <c r="Z6" s="64" t="s">
        <v>56</v>
      </c>
      <c r="AA6" s="58" t="s">
        <v>56</v>
      </c>
      <c r="AB6" s="64" t="s">
        <v>57</v>
      </c>
      <c r="AC6" s="413" t="s">
        <v>58</v>
      </c>
      <c r="AD6" s="413" t="s">
        <v>59</v>
      </c>
      <c r="AE6" s="424" t="s">
        <v>60</v>
      </c>
      <c r="AF6" s="61" t="s">
        <v>61</v>
      </c>
      <c r="AG6" s="61" t="s">
        <v>62</v>
      </c>
      <c r="AH6" s="533" t="s">
        <v>63</v>
      </c>
      <c r="AI6" s="413" t="s">
        <v>64</v>
      </c>
      <c r="AJ6" s="413"/>
      <c r="AK6" s="333" t="s">
        <v>65</v>
      </c>
      <c r="AL6" s="333" t="s">
        <v>65</v>
      </c>
      <c r="AM6" s="333" t="s">
        <v>65</v>
      </c>
      <c r="AN6" s="463" t="s">
        <v>66</v>
      </c>
      <c r="AO6" s="64" t="s">
        <v>67</v>
      </c>
      <c r="AP6" s="70" t="s">
        <v>68</v>
      </c>
      <c r="AQ6" s="70" t="s">
        <v>68</v>
      </c>
      <c r="AR6" s="65" t="s">
        <v>69</v>
      </c>
      <c r="AS6" s="600" t="n">
        <v>0.3</v>
      </c>
      <c r="AT6" s="71" t="s">
        <v>70</v>
      </c>
      <c r="AU6" s="414" t="s">
        <v>71</v>
      </c>
      <c r="AV6" s="219" t="s">
        <v>148</v>
      </c>
      <c r="AW6" s="423"/>
      <c r="AX6" s="418" t="s">
        <v>73</v>
      </c>
      <c r="AY6" s="418" t="s">
        <v>73</v>
      </c>
      <c r="AZ6" s="265"/>
      <c r="BA6" s="305" t="s">
        <v>74</v>
      </c>
      <c r="BB6" s="72" t="s">
        <v>75</v>
      </c>
      <c r="BC6" s="76" t="s">
        <v>76</v>
      </c>
    </row>
    <row r="7" customFormat="false" ht="12.95" hidden="false" customHeight="true" outlineLevel="0" collapsed="false">
      <c r="A7" s="333"/>
      <c r="B7" s="412"/>
      <c r="C7" s="413"/>
      <c r="D7" s="333"/>
      <c r="E7" s="413"/>
      <c r="F7" s="333"/>
      <c r="G7" s="412"/>
      <c r="H7" s="414"/>
      <c r="I7" s="333"/>
      <c r="J7" s="333"/>
      <c r="K7" s="333"/>
      <c r="L7" s="333"/>
      <c r="M7" s="421"/>
      <c r="N7" s="72" t="s">
        <v>77</v>
      </c>
      <c r="O7" s="333" t="s">
        <v>78</v>
      </c>
      <c r="P7" s="72"/>
      <c r="Q7" s="61" t="s">
        <v>79</v>
      </c>
      <c r="R7" s="61" t="s">
        <v>79</v>
      </c>
      <c r="S7" s="61" t="s">
        <v>62</v>
      </c>
      <c r="T7" s="61" t="s">
        <v>62</v>
      </c>
      <c r="U7" s="422" t="s">
        <v>80</v>
      </c>
      <c r="V7" s="333"/>
      <c r="W7" s="333"/>
      <c r="X7" s="68" t="s">
        <v>81</v>
      </c>
      <c r="Y7" s="60" t="s">
        <v>82</v>
      </c>
      <c r="Z7" s="64" t="s">
        <v>83</v>
      </c>
      <c r="AA7" s="58" t="s">
        <v>84</v>
      </c>
      <c r="AB7" s="64" t="s">
        <v>85</v>
      </c>
      <c r="AC7" s="413"/>
      <c r="AD7" s="413"/>
      <c r="AE7" s="424"/>
      <c r="AF7" s="83" t="n">
        <v>1.7</v>
      </c>
      <c r="AG7" s="83" t="n">
        <v>1.3</v>
      </c>
      <c r="AH7" s="533"/>
      <c r="AI7" s="413"/>
      <c r="AJ7" s="413"/>
      <c r="AK7" s="333"/>
      <c r="AL7" s="333"/>
      <c r="AM7" s="333"/>
      <c r="AN7" s="463"/>
      <c r="AO7" s="64" t="s">
        <v>42</v>
      </c>
      <c r="AP7" s="70" t="s">
        <v>86</v>
      </c>
      <c r="AQ7" s="70" t="s">
        <v>87</v>
      </c>
      <c r="AR7" s="65" t="s">
        <v>88</v>
      </c>
      <c r="AS7" s="65" t="s">
        <v>152</v>
      </c>
      <c r="AT7" s="71" t="s">
        <v>89</v>
      </c>
      <c r="AU7" s="414" t="s">
        <v>90</v>
      </c>
      <c r="AV7" s="219" t="s">
        <v>81</v>
      </c>
      <c r="AW7" s="423"/>
      <c r="AX7" s="418"/>
      <c r="AY7" s="418"/>
      <c r="AZ7" s="265"/>
      <c r="BA7" s="305" t="s">
        <v>92</v>
      </c>
      <c r="BB7" s="8"/>
      <c r="BC7" s="85"/>
    </row>
    <row r="8" customFormat="false" ht="12.95" hidden="false" customHeight="true" outlineLevel="0" collapsed="false">
      <c r="A8" s="333"/>
      <c r="B8" s="412"/>
      <c r="C8" s="413"/>
      <c r="D8" s="333"/>
      <c r="E8" s="413"/>
      <c r="F8" s="333"/>
      <c r="G8" s="412"/>
      <c r="H8" s="414"/>
      <c r="I8" s="333"/>
      <c r="J8" s="333"/>
      <c r="K8" s="333"/>
      <c r="L8" s="333"/>
      <c r="M8" s="421"/>
      <c r="N8" s="72"/>
      <c r="O8" s="413" t="n">
        <v>26222</v>
      </c>
      <c r="P8" s="72"/>
      <c r="Q8" s="61" t="s">
        <v>62</v>
      </c>
      <c r="R8" s="61" t="s">
        <v>62</v>
      </c>
      <c r="S8" s="61"/>
      <c r="T8" s="61"/>
      <c r="U8" s="422"/>
      <c r="V8" s="333"/>
      <c r="W8" s="333"/>
      <c r="X8" s="68" t="s">
        <v>93</v>
      </c>
      <c r="Y8" s="60" t="s">
        <v>81</v>
      </c>
      <c r="Z8" s="64"/>
      <c r="AA8" s="60" t="s">
        <v>94</v>
      </c>
      <c r="AB8" s="64" t="s">
        <v>95</v>
      </c>
      <c r="AC8" s="413"/>
      <c r="AD8" s="413"/>
      <c r="AE8" s="582" t="n">
        <v>56430</v>
      </c>
      <c r="AF8" s="200"/>
      <c r="AG8" s="200"/>
      <c r="AH8" s="533"/>
      <c r="AI8" s="413"/>
      <c r="AJ8" s="413"/>
      <c r="AK8" s="333"/>
      <c r="AL8" s="333"/>
      <c r="AM8" s="333"/>
      <c r="AN8" s="463"/>
      <c r="AO8" s="64"/>
      <c r="AP8" s="70"/>
      <c r="AQ8" s="70"/>
      <c r="AR8" s="65"/>
      <c r="AS8" s="65" t="s">
        <v>153</v>
      </c>
      <c r="AT8" s="184" t="n">
        <v>1532.4</v>
      </c>
      <c r="AU8" s="201" t="n">
        <v>724</v>
      </c>
      <c r="AV8" s="219"/>
      <c r="AW8" s="423"/>
      <c r="AX8" s="418"/>
      <c r="AY8" s="418"/>
      <c r="AZ8" s="265"/>
      <c r="BA8" s="305"/>
      <c r="BB8" s="8"/>
      <c r="BC8" s="85"/>
    </row>
    <row r="9" customFormat="false" ht="12.95" hidden="false" customHeight="true" outlineLevel="0" collapsed="false">
      <c r="A9" s="333"/>
      <c r="B9" s="412"/>
      <c r="C9" s="413"/>
      <c r="D9" s="333"/>
      <c r="E9" s="413"/>
      <c r="F9" s="333"/>
      <c r="G9" s="412"/>
      <c r="H9" s="414"/>
      <c r="I9" s="333"/>
      <c r="J9" s="333"/>
      <c r="K9" s="333"/>
      <c r="L9" s="333"/>
      <c r="M9" s="421"/>
      <c r="N9" s="72"/>
      <c r="O9" s="413"/>
      <c r="P9" s="72"/>
      <c r="Q9" s="61"/>
      <c r="R9" s="86" t="n">
        <v>4.2</v>
      </c>
      <c r="S9" s="61"/>
      <c r="T9" s="61"/>
      <c r="U9" s="422"/>
      <c r="V9" s="333"/>
      <c r="W9" s="333"/>
      <c r="X9" s="68"/>
      <c r="Y9" s="60" t="s">
        <v>93</v>
      </c>
      <c r="Z9" s="64"/>
      <c r="AA9" s="60" t="s">
        <v>93</v>
      </c>
      <c r="AB9" s="64" t="s">
        <v>96</v>
      </c>
      <c r="AC9" s="413"/>
      <c r="AD9" s="413"/>
      <c r="AE9" s="333"/>
      <c r="AF9" s="425"/>
      <c r="AG9" s="426"/>
      <c r="AH9" s="418"/>
      <c r="AI9" s="413"/>
      <c r="AJ9" s="413"/>
      <c r="AK9" s="333"/>
      <c r="AL9" s="333"/>
      <c r="AM9" s="333"/>
      <c r="AN9" s="463"/>
      <c r="AO9" s="64"/>
      <c r="AP9" s="70"/>
      <c r="AQ9" s="70"/>
      <c r="AR9" s="65"/>
      <c r="AS9" s="65"/>
      <c r="AT9" s="71"/>
      <c r="AU9" s="201" t="n">
        <f aca="false">AU8/D2</f>
        <v>365.011343584573</v>
      </c>
      <c r="AV9" s="219"/>
      <c r="AW9" s="423"/>
      <c r="AX9" s="418"/>
      <c r="AY9" s="418"/>
      <c r="AZ9" s="265"/>
      <c r="BA9" s="305"/>
      <c r="BB9" s="8"/>
      <c r="BC9" s="76" t="s">
        <v>97</v>
      </c>
    </row>
    <row r="10" customFormat="false" ht="12.95" hidden="false" customHeight="true" outlineLevel="0" collapsed="false">
      <c r="A10" s="333"/>
      <c r="B10" s="412"/>
      <c r="C10" s="413" t="s">
        <v>10</v>
      </c>
      <c r="D10" s="333"/>
      <c r="E10" s="413" t="s">
        <v>99</v>
      </c>
      <c r="F10" s="333"/>
      <c r="G10" s="412" t="s">
        <v>42</v>
      </c>
      <c r="H10" s="414" t="s">
        <v>42</v>
      </c>
      <c r="I10" s="414" t="s">
        <v>42</v>
      </c>
      <c r="J10" s="414" t="s">
        <v>42</v>
      </c>
      <c r="K10" s="414" t="s">
        <v>42</v>
      </c>
      <c r="L10" s="414" t="s">
        <v>42</v>
      </c>
      <c r="M10" s="428" t="s">
        <v>42</v>
      </c>
      <c r="N10" s="414" t="s">
        <v>42</v>
      </c>
      <c r="O10" s="414" t="s">
        <v>42</v>
      </c>
      <c r="P10" s="414" t="s">
        <v>42</v>
      </c>
      <c r="Q10" s="61" t="s">
        <v>42</v>
      </c>
      <c r="R10" s="61" t="s">
        <v>42</v>
      </c>
      <c r="S10" s="61" t="s">
        <v>42</v>
      </c>
      <c r="T10" s="61" t="s">
        <v>42</v>
      </c>
      <c r="U10" s="427" t="s">
        <v>42</v>
      </c>
      <c r="V10" s="414" t="s">
        <v>42</v>
      </c>
      <c r="W10" s="414" t="s">
        <v>42</v>
      </c>
      <c r="X10" s="60" t="n">
        <v>153400</v>
      </c>
      <c r="Y10" s="60" t="n">
        <v>150400</v>
      </c>
      <c r="Z10" s="61" t="s">
        <v>42</v>
      </c>
      <c r="AA10" s="60"/>
      <c r="AB10" s="60" t="n">
        <v>72000</v>
      </c>
      <c r="AC10" s="414" t="s">
        <v>42</v>
      </c>
      <c r="AD10" s="414" t="s">
        <v>42</v>
      </c>
      <c r="AE10" s="414" t="s">
        <v>42</v>
      </c>
      <c r="AF10" s="428" t="s">
        <v>42</v>
      </c>
      <c r="AG10" s="427" t="s">
        <v>42</v>
      </c>
      <c r="AH10" s="414" t="s">
        <v>42</v>
      </c>
      <c r="AI10" s="414" t="s">
        <v>42</v>
      </c>
      <c r="AJ10" s="414" t="s">
        <v>42</v>
      </c>
      <c r="AK10" s="414" t="s">
        <v>42</v>
      </c>
      <c r="AL10" s="414" t="s">
        <v>42</v>
      </c>
      <c r="AM10" s="414" t="s">
        <v>42</v>
      </c>
      <c r="AN10" s="463" t="s">
        <v>42</v>
      </c>
      <c r="AO10" s="64" t="s">
        <v>42</v>
      </c>
      <c r="AP10" s="64" t="s">
        <v>42</v>
      </c>
      <c r="AQ10" s="70" t="s">
        <v>100</v>
      </c>
      <c r="AR10" s="65" t="s">
        <v>42</v>
      </c>
      <c r="AS10" s="65" t="s">
        <v>42</v>
      </c>
      <c r="AT10" s="64" t="s">
        <v>42</v>
      </c>
      <c r="AU10" s="64" t="s">
        <v>42</v>
      </c>
      <c r="AV10" s="64" t="s">
        <v>42</v>
      </c>
      <c r="AW10" s="423"/>
      <c r="AX10" s="418"/>
      <c r="AY10" s="418"/>
      <c r="AZ10" s="265"/>
      <c r="BA10" s="305" t="s">
        <v>101</v>
      </c>
      <c r="BB10" s="72" t="s">
        <v>42</v>
      </c>
      <c r="BC10" s="76" t="s">
        <v>99</v>
      </c>
    </row>
    <row r="11" customFormat="false" ht="12.95" hidden="false" customHeight="true" outlineLevel="0" collapsed="false">
      <c r="A11" s="333"/>
      <c r="B11" s="412"/>
      <c r="C11" s="413"/>
      <c r="D11" s="333"/>
      <c r="E11" s="413"/>
      <c r="F11" s="333"/>
      <c r="G11" s="412"/>
      <c r="H11" s="414"/>
      <c r="I11" s="333"/>
      <c r="J11" s="333"/>
      <c r="K11" s="333"/>
      <c r="L11" s="333"/>
      <c r="M11" s="421"/>
      <c r="N11" s="72" t="n">
        <v>1.03</v>
      </c>
      <c r="O11" s="430" t="n">
        <v>1.05</v>
      </c>
      <c r="P11" s="72" t="n">
        <v>1.02</v>
      </c>
      <c r="Q11" s="87" t="n">
        <v>1.02</v>
      </c>
      <c r="R11" s="88" t="n">
        <v>1.04</v>
      </c>
      <c r="S11" s="61"/>
      <c r="T11" s="87" t="n">
        <v>1.04</v>
      </c>
      <c r="U11" s="422"/>
      <c r="V11" s="333"/>
      <c r="W11" s="333"/>
      <c r="X11" s="61" t="s">
        <v>42</v>
      </c>
      <c r="Y11" s="61" t="s">
        <v>42</v>
      </c>
      <c r="Z11" s="61" t="s">
        <v>42</v>
      </c>
      <c r="AA11" s="60" t="s">
        <v>42</v>
      </c>
      <c r="AB11" s="89" t="s">
        <v>102</v>
      </c>
      <c r="AC11" s="413"/>
      <c r="AD11" s="413"/>
      <c r="AE11" s="333"/>
      <c r="AF11" s="425"/>
      <c r="AG11" s="426"/>
      <c r="AH11" s="418"/>
      <c r="AI11" s="413"/>
      <c r="AJ11" s="413"/>
      <c r="AK11" s="333"/>
      <c r="AL11" s="333"/>
      <c r="AM11" s="333"/>
      <c r="AN11" s="463"/>
      <c r="AO11" s="64"/>
      <c r="AP11" s="70"/>
      <c r="AQ11" s="70"/>
      <c r="AR11" s="65"/>
      <c r="AS11" s="65"/>
      <c r="AT11" s="92"/>
      <c r="AU11" s="335"/>
      <c r="AV11" s="189"/>
      <c r="AW11" s="423"/>
      <c r="AX11" s="418"/>
      <c r="AY11" s="418"/>
      <c r="AZ11" s="265"/>
      <c r="BA11" s="305" t="s">
        <v>42</v>
      </c>
      <c r="BB11" s="8"/>
      <c r="BC11" s="85"/>
    </row>
    <row r="12" customFormat="false" ht="12.95" hidden="false" customHeight="true" outlineLevel="0" collapsed="false">
      <c r="A12" s="197" t="s">
        <v>103</v>
      </c>
      <c r="B12" s="224"/>
      <c r="C12" s="113"/>
      <c r="D12" s="113"/>
      <c r="E12" s="113"/>
      <c r="F12" s="225" t="n">
        <f aca="false">SEP!F49</f>
        <v>-3672.80060499117</v>
      </c>
      <c r="G12" s="113" t="n">
        <f aca="false">SEP!G49</f>
        <v>100980</v>
      </c>
      <c r="H12" s="601" t="n">
        <f aca="false">SEP!H49</f>
        <v>608.545</v>
      </c>
      <c r="I12" s="113" t="n">
        <f aca="false">SEP!I49</f>
        <v>101588.545</v>
      </c>
      <c r="J12" s="113" t="n">
        <f aca="false">SEP!J49</f>
        <v>2560.1461300731</v>
      </c>
      <c r="K12" s="113" t="n">
        <f aca="false">SEP!K49</f>
        <v>104148.681130073</v>
      </c>
      <c r="L12" s="113" t="n">
        <f aca="false">SEP!L49</f>
        <v>-5125.42560499118</v>
      </c>
      <c r="M12" s="227" t="n">
        <f aca="false">SEP!M49</f>
        <v>40203.6</v>
      </c>
      <c r="N12" s="113" t="n">
        <f aca="false">SEP!N49</f>
        <v>52.9669775649105</v>
      </c>
      <c r="O12" s="113" t="n">
        <f aca="false">SEP!O49</f>
        <v>12727.6905</v>
      </c>
      <c r="P12" s="171" t="n">
        <f aca="false">SEP!P49</f>
        <v>7</v>
      </c>
      <c r="Q12" s="113"/>
      <c r="R12" s="113"/>
      <c r="S12" s="113"/>
      <c r="T12" s="113"/>
      <c r="U12" s="228"/>
      <c r="V12" s="113" t="n">
        <f aca="false">SEP!V49</f>
        <v>15950.38</v>
      </c>
      <c r="W12" s="113" t="n">
        <f aca="false">SEP!W49</f>
        <v>9809.49</v>
      </c>
      <c r="X12" s="113" t="n">
        <f aca="false">SEP!X49</f>
        <v>54266.879859784</v>
      </c>
      <c r="Y12" s="113" t="n">
        <f aca="false">SEP!Y49</f>
        <v>54111.0434046275</v>
      </c>
      <c r="Z12" s="113" t="n">
        <f aca="false">SEP!Z44</f>
        <v>0</v>
      </c>
      <c r="AA12" s="113"/>
      <c r="AB12" s="113" t="n">
        <f aca="false">SEP!AB12</f>
        <v>0</v>
      </c>
      <c r="AC12" s="113" t="n">
        <f aca="false">SEP!AC44</f>
        <v>362.209052785143</v>
      </c>
      <c r="AD12" s="113" t="n">
        <f aca="false">SEP!AD44</f>
        <v>4858.65512901258</v>
      </c>
      <c r="AE12" s="113" t="n">
        <f aca="false">SEP!AE49</f>
        <v>25139.83</v>
      </c>
      <c r="AF12" s="227" t="n">
        <f aca="false">SEP!AF49</f>
        <v>311.1</v>
      </c>
      <c r="AG12" s="229" t="n">
        <f aca="false">SEP!AG49</f>
        <v>237.9</v>
      </c>
      <c r="AH12" s="113"/>
      <c r="AI12" s="113"/>
      <c r="AJ12" s="113"/>
      <c r="AK12" s="113" t="n">
        <f aca="false">SEP!AK49</f>
        <v>100135.91</v>
      </c>
      <c r="AL12" s="113" t="n">
        <f aca="false">SEP!AL49</f>
        <v>7685.57173506428</v>
      </c>
      <c r="AM12" s="113" t="n">
        <f aca="false">SEP!AM49</f>
        <v>107821.481735064</v>
      </c>
      <c r="AN12" s="231"/>
      <c r="AO12" s="143"/>
      <c r="AP12" s="143"/>
      <c r="AQ12" s="143" t="n">
        <f aca="false">SEP!AQ50</f>
        <v>1986.80919237369</v>
      </c>
      <c r="AR12" s="143" t="n">
        <f aca="false">SEP!AR49</f>
        <v>2706.82953023959</v>
      </c>
      <c r="AS12" s="143"/>
      <c r="AT12" s="226" t="n">
        <f aca="false">SEP!AS49</f>
        <v>772.57</v>
      </c>
      <c r="AU12" s="226" t="n">
        <f aca="false">SEP!AT49</f>
        <v>223.19</v>
      </c>
      <c r="AV12" s="226"/>
      <c r="AW12" s="330"/>
      <c r="AX12" s="226"/>
      <c r="AY12" s="226"/>
      <c r="AZ12" s="265"/>
      <c r="BA12" s="432" t="n">
        <f aca="false">SEP!AZ49</f>
        <v>1489.75595454939</v>
      </c>
      <c r="BB12" s="110" t="n">
        <f aca="false">SEP!BA49</f>
        <v>1466.707</v>
      </c>
      <c r="BC12" s="85"/>
    </row>
    <row r="13" s="244" customFormat="true" ht="12.95" hidden="false" customHeight="true" outlineLevel="0" collapsed="false">
      <c r="A13" s="161" t="s">
        <v>104</v>
      </c>
      <c r="B13" s="112" t="n">
        <f aca="false">SEP!B44</f>
        <v>6869.38</v>
      </c>
      <c r="C13" s="113" t="n">
        <f aca="false">SEP!C44</f>
        <v>186163</v>
      </c>
      <c r="D13" s="113" t="n">
        <f aca="false">SEP!D53</f>
        <v>12441</v>
      </c>
      <c r="E13" s="113" t="n">
        <f aca="false">SEP!E53</f>
        <v>34163</v>
      </c>
      <c r="F13" s="225" t="n">
        <f aca="false">SEP!F52</f>
        <v>6272.24602974541</v>
      </c>
      <c r="G13" s="113" t="n">
        <f aca="false">SEP!G52</f>
        <v>113497</v>
      </c>
      <c r="H13" s="601" t="n">
        <f aca="false">SEP!H52</f>
        <v>638.65</v>
      </c>
      <c r="I13" s="113" t="n">
        <f aca="false">SEP!I52</f>
        <v>114135.03</v>
      </c>
      <c r="J13" s="113" t="n">
        <f aca="false">SEP!J52</f>
        <v>4475.86306276783</v>
      </c>
      <c r="K13" s="113" t="n">
        <f aca="false">SEP!K52</f>
        <v>118610.883062768</v>
      </c>
      <c r="L13" s="113" t="n">
        <f aca="false">SEP!L52</f>
        <v>-4086.1239702546</v>
      </c>
      <c r="M13" s="227" t="n">
        <f aca="false">SEP!M52</f>
        <v>40840.64</v>
      </c>
      <c r="N13" s="113" t="n">
        <f aca="false">SEP!N52</f>
        <v>52.9669775649105</v>
      </c>
      <c r="O13" s="113" t="n">
        <f aca="false">SEP!O52</f>
        <v>12727.6905</v>
      </c>
      <c r="P13" s="171"/>
      <c r="Q13" s="113" t="n">
        <f aca="false">SEP!Q52</f>
        <v>667.176278342438</v>
      </c>
      <c r="R13" s="226" t="n">
        <f aca="false">SEP!R52</f>
        <v>900.000196634581</v>
      </c>
      <c r="S13" s="113" t="n">
        <f aca="false">SEP!S52</f>
        <v>142.684724</v>
      </c>
      <c r="T13" s="113" t="n">
        <f aca="false">SEP!T52</f>
        <v>262.24629808</v>
      </c>
      <c r="U13" s="327" t="n">
        <f aca="false">SEP!U52</f>
        <v>-65.0339372790604</v>
      </c>
      <c r="V13" s="113" t="n">
        <f aca="false">SEP!V52</f>
        <v>15950.38</v>
      </c>
      <c r="W13" s="113" t="n">
        <f aca="false">SEP!W52</f>
        <v>9809.49</v>
      </c>
      <c r="X13" s="113" t="n">
        <f aca="false">SEP!X52</f>
        <v>54374.3782928967</v>
      </c>
      <c r="Y13" s="113" t="n">
        <f aca="false">SEP!Y52</f>
        <v>54218.5418377402</v>
      </c>
      <c r="Z13" s="113"/>
      <c r="AA13" s="113"/>
      <c r="AB13" s="113"/>
      <c r="AC13" s="113" t="n">
        <f aca="false">SEP!AC52</f>
        <v>0</v>
      </c>
      <c r="AD13" s="113"/>
      <c r="AE13" s="113" t="n">
        <f aca="false">SEP!AE52</f>
        <v>0</v>
      </c>
      <c r="AF13" s="277" t="n">
        <f aca="false">AF12</f>
        <v>311.1</v>
      </c>
      <c r="AG13" s="278" t="n">
        <f aca="false">AG12</f>
        <v>237.9</v>
      </c>
      <c r="AH13" s="113" t="n">
        <f aca="false">SEP!AH52</f>
        <v>12259.5</v>
      </c>
      <c r="AI13" s="113" t="n">
        <f aca="false">SEP!AI52</f>
        <v>5368.34923115706</v>
      </c>
      <c r="AJ13" s="113" t="n">
        <f aca="false">SEP!AJ52</f>
        <v>0</v>
      </c>
      <c r="AK13" s="113" t="n">
        <f aca="false">SEP!AK52</f>
        <v>103776.65</v>
      </c>
      <c r="AL13" s="113" t="n">
        <f aca="false">SEP!AL52</f>
        <v>8561.98703302244</v>
      </c>
      <c r="AM13" s="113" t="n">
        <f aca="false">SEP!AM52</f>
        <v>112338.637033022</v>
      </c>
      <c r="AN13" s="231" t="n">
        <f aca="false">SEP!AN52</f>
        <v>2927.4</v>
      </c>
      <c r="AO13" s="143" t="n">
        <f aca="false">SEP!AO52</f>
        <v>235.836455156528</v>
      </c>
      <c r="AP13" s="143"/>
      <c r="AQ13" s="143" t="n">
        <f aca="false">SEP!AQ53</f>
        <v>1986.80919237369</v>
      </c>
      <c r="AR13" s="171"/>
      <c r="AS13" s="171"/>
      <c r="AT13" s="226" t="n">
        <f aca="false">SEP!AS52</f>
        <v>0</v>
      </c>
      <c r="AU13" s="226" t="n">
        <f aca="false">SEP!AT52</f>
        <v>0</v>
      </c>
      <c r="AV13" s="226" t="n">
        <f aca="false">SEP!AU49</f>
        <v>1831.8645</v>
      </c>
      <c r="AW13" s="330" t="n">
        <f aca="false">SEP!AV52</f>
        <v>14.66</v>
      </c>
      <c r="AX13" s="226"/>
      <c r="AY13" s="226"/>
      <c r="AZ13" s="312"/>
      <c r="BA13" s="348" t="n">
        <f aca="false">SEP!AZ52</f>
        <v>1967.55982143664</v>
      </c>
      <c r="BB13" s="110" t="n">
        <f aca="false">SEP!BA52</f>
        <v>1466.707</v>
      </c>
      <c r="BC13" s="114"/>
    </row>
    <row r="14" customFormat="false" ht="3" hidden="false" customHeight="true" outlineLevel="0" collapsed="false">
      <c r="A14" s="245"/>
      <c r="B14" s="246"/>
      <c r="C14" s="247"/>
      <c r="D14" s="248"/>
      <c r="E14" s="247"/>
      <c r="F14" s="249"/>
      <c r="G14" s="248"/>
      <c r="H14" s="602"/>
      <c r="I14" s="248"/>
      <c r="J14" s="248"/>
      <c r="K14" s="248"/>
      <c r="L14" s="248"/>
      <c r="M14" s="251"/>
      <c r="N14" s="248"/>
      <c r="O14" s="248"/>
      <c r="P14" s="252"/>
      <c r="Q14" s="248"/>
      <c r="R14" s="248"/>
      <c r="S14" s="248"/>
      <c r="T14" s="248"/>
      <c r="U14" s="253"/>
      <c r="V14" s="248"/>
      <c r="W14" s="248"/>
      <c r="X14" s="248"/>
      <c r="Y14" s="248"/>
      <c r="Z14" s="247"/>
      <c r="AA14" s="248"/>
      <c r="AB14" s="247"/>
      <c r="AC14" s="247"/>
      <c r="AD14" s="247"/>
      <c r="AE14" s="248"/>
      <c r="AF14" s="251"/>
      <c r="AG14" s="255"/>
      <c r="AH14" s="248"/>
      <c r="AI14" s="247"/>
      <c r="AJ14" s="247"/>
      <c r="AK14" s="248"/>
      <c r="AL14" s="248"/>
      <c r="AM14" s="248"/>
      <c r="AN14" s="256"/>
      <c r="AO14" s="254"/>
      <c r="AP14" s="254"/>
      <c r="AQ14" s="252"/>
      <c r="AR14" s="252"/>
      <c r="AS14" s="252"/>
      <c r="AT14" s="252"/>
      <c r="AU14" s="252"/>
      <c r="AV14" s="257" t="s">
        <v>149</v>
      </c>
      <c r="AW14" s="515"/>
      <c r="AX14" s="257"/>
      <c r="AY14" s="257"/>
      <c r="AZ14" s="257"/>
      <c r="BA14" s="257"/>
      <c r="BB14" s="257"/>
      <c r="BC14" s="257"/>
    </row>
    <row r="15" customFormat="false" ht="12.95" hidden="false" customHeight="true" outlineLevel="0" collapsed="false">
      <c r="A15" s="192" t="n">
        <v>1</v>
      </c>
      <c r="B15" s="112" t="n">
        <v>6869.5</v>
      </c>
      <c r="C15" s="113" t="n">
        <v>186481</v>
      </c>
      <c r="D15" s="226" t="n">
        <f aca="false">C15-C13</f>
        <v>318</v>
      </c>
      <c r="E15" s="113" t="n">
        <f aca="false">C15-152000</f>
        <v>34481</v>
      </c>
      <c r="F15" s="260" t="n">
        <f aca="false">D15/$D$2</f>
        <v>160.32266196118</v>
      </c>
      <c r="G15" s="142" t="n">
        <v>448</v>
      </c>
      <c r="H15" s="603" t="n">
        <v>0</v>
      </c>
      <c r="I15" s="142" t="n">
        <f aca="false">G15+H15</f>
        <v>448</v>
      </c>
      <c r="J15" s="143" t="n">
        <f aca="false">IF(L15&gt;0,L15,0)</f>
        <v>0</v>
      </c>
      <c r="K15" s="142" t="n">
        <f aca="false">I15+J15</f>
        <v>448</v>
      </c>
      <c r="L15" s="142" t="n">
        <f aca="false">F15-(I15-AK15)</f>
        <v>-21.4773380388203</v>
      </c>
      <c r="M15" s="262" t="n">
        <v>77.2</v>
      </c>
      <c r="N15" s="171" t="n">
        <f aca="false">1/$D$2*1.03</f>
        <v>0.519284093773632</v>
      </c>
      <c r="O15" s="142" t="n">
        <f aca="false">0*1.05</f>
        <v>0</v>
      </c>
      <c r="P15" s="171" t="n">
        <v>0</v>
      </c>
      <c r="Q15" s="346" t="n">
        <f aca="false">1230400/325851/1.9835*1.02</f>
        <v>1.94175857301465</v>
      </c>
      <c r="R15" s="138" t="n">
        <f aca="false">(3.3*1.04)-T15</f>
        <v>2.60762528</v>
      </c>
      <c r="S15" s="138" t="n">
        <v>0</v>
      </c>
      <c r="T15" s="138" t="n">
        <f aca="false">(0.7478*1.06)*1.04</f>
        <v>0.82437472</v>
      </c>
      <c r="U15" s="365" t="n">
        <v>0</v>
      </c>
      <c r="V15" s="142" t="n">
        <v>66.9</v>
      </c>
      <c r="W15" s="142" t="n">
        <v>46.7</v>
      </c>
      <c r="X15" s="142" t="n">
        <f aca="false">M15-N15-O15-P15-Q15-R15-S15-T15-U15+V15+W15-AU15+AR15</f>
        <v>184.906957333212</v>
      </c>
      <c r="Y15" s="142" t="n">
        <f aca="false">X15-AO15</f>
        <v>184.906957333212</v>
      </c>
      <c r="Z15" s="113"/>
      <c r="AA15" s="142"/>
      <c r="AB15" s="113"/>
      <c r="AC15" s="441" t="n">
        <f aca="false">AC12+0</f>
        <v>362.209052785143</v>
      </c>
      <c r="AD15" s="516" t="n">
        <f aca="false">AD12</f>
        <v>4858.65512901258</v>
      </c>
      <c r="AE15" s="142" t="n">
        <v>35.2</v>
      </c>
      <c r="AF15" s="144" t="n">
        <v>1.7</v>
      </c>
      <c r="AG15" s="145" t="n">
        <v>1.3</v>
      </c>
      <c r="AH15" s="142" t="n">
        <v>40.2</v>
      </c>
      <c r="AI15" s="113" t="n">
        <f aca="false">AI13-AH15</f>
        <v>5328.14923115706</v>
      </c>
      <c r="AJ15" s="113"/>
      <c r="AK15" s="141" t="n">
        <f aca="false">N15+O15+P15+Q15+R15+S15+T15+U15+X15+AE15+AH15</f>
        <v>266.2</v>
      </c>
      <c r="AL15" s="142" t="n">
        <f aca="false">IF(L15&lt;0,L15*-1,0)</f>
        <v>21.4773380388203</v>
      </c>
      <c r="AM15" s="142" t="n">
        <f aca="false">AK15+AL15</f>
        <v>287.67733803882</v>
      </c>
      <c r="AN15" s="146"/>
      <c r="AO15" s="143"/>
      <c r="AP15" s="585" t="n">
        <f aca="false">I15-Q15-R15-X15-AF15</f>
        <v>256.843658813774</v>
      </c>
      <c r="AQ15" s="171" t="n">
        <f aca="false">8.544*(Z15*1.9835+AC15*1.9835)/E15</f>
        <v>0.17802167891207</v>
      </c>
      <c r="AR15" s="171"/>
      <c r="AS15" s="171"/>
      <c r="AT15" s="113"/>
      <c r="AU15" s="56"/>
      <c r="AV15" s="110" t="n">
        <f aca="false">O15</f>
        <v>0</v>
      </c>
      <c r="AW15" s="330" t="n">
        <v>0.06</v>
      </c>
      <c r="AX15" s="226" t="n">
        <v>62</v>
      </c>
      <c r="AY15" s="226" t="n">
        <v>42</v>
      </c>
      <c r="AZ15" s="265"/>
      <c r="BA15" s="264" t="n">
        <f aca="false">SUM(N15,P15:U15)</f>
        <v>5.89304266678828</v>
      </c>
      <c r="BB15" s="193" t="n">
        <v>0.2</v>
      </c>
      <c r="BC15" s="265" t="n">
        <v>15001</v>
      </c>
    </row>
    <row r="16" customFormat="false" ht="12.95" hidden="false" customHeight="true" outlineLevel="0" collapsed="false">
      <c r="A16" s="192" t="n">
        <f aca="false">A15+1</f>
        <v>2</v>
      </c>
      <c r="B16" s="112" t="n">
        <v>6869.62</v>
      </c>
      <c r="C16" s="113" t="n">
        <v>186798</v>
      </c>
      <c r="D16" s="226" t="n">
        <f aca="false">C16-C15</f>
        <v>317</v>
      </c>
      <c r="E16" s="113" t="n">
        <f aca="false">C16-152000</f>
        <v>34798</v>
      </c>
      <c r="F16" s="260" t="n">
        <f aca="false">D16/$D$2</f>
        <v>159.818502646836</v>
      </c>
      <c r="G16" s="142" t="n">
        <v>402</v>
      </c>
      <c r="H16" s="603" t="n">
        <v>0</v>
      </c>
      <c r="I16" s="142" t="n">
        <f aca="false">G16+H16</f>
        <v>402</v>
      </c>
      <c r="J16" s="143" t="n">
        <f aca="false">IF(L16&gt;0,L16,0)</f>
        <v>0</v>
      </c>
      <c r="K16" s="142" t="n">
        <f aca="false">I16+J16</f>
        <v>402</v>
      </c>
      <c r="L16" s="142" t="n">
        <f aca="false">F16-(I16-AK16)</f>
        <v>-9.9814973531636</v>
      </c>
      <c r="M16" s="262" t="n">
        <v>66.7</v>
      </c>
      <c r="N16" s="171" t="n">
        <f aca="false">1/$D$2*1.03</f>
        <v>0.519284093773632</v>
      </c>
      <c r="O16" s="142" t="n">
        <f aca="false">0*1.05</f>
        <v>0</v>
      </c>
      <c r="P16" s="171" t="n">
        <v>0</v>
      </c>
      <c r="Q16" s="346" t="n">
        <f aca="false">933500/325851/1.9835*1.02</f>
        <v>1.47320515922397</v>
      </c>
      <c r="R16" s="138" t="n">
        <f aca="false">(3.3*1.04)-T16</f>
        <v>2.60762528</v>
      </c>
      <c r="S16" s="138" t="n">
        <v>0</v>
      </c>
      <c r="T16" s="138" t="n">
        <f aca="false">(0.7478*1.06)*1.04</f>
        <v>0.82437472</v>
      </c>
      <c r="U16" s="365" t="n">
        <v>0</v>
      </c>
      <c r="V16" s="142" t="n">
        <v>59.5</v>
      </c>
      <c r="W16" s="142" t="n">
        <v>43.6</v>
      </c>
      <c r="X16" s="142" t="n">
        <f aca="false">M16-N16-O16-P16-Q16-R16-S16-T16-U16+V16+W16-AU16+AR16</f>
        <v>164.375510747002</v>
      </c>
      <c r="Y16" s="142" t="n">
        <f aca="false">X16-AO16</f>
        <v>164.375510747002</v>
      </c>
      <c r="Z16" s="113"/>
      <c r="AA16" s="142"/>
      <c r="AB16" s="113"/>
      <c r="AC16" s="441" t="n">
        <f aca="false">AC15+0</f>
        <v>362.209052785143</v>
      </c>
      <c r="AD16" s="516" t="n">
        <f aca="false">AD15</f>
        <v>4858.65512901258</v>
      </c>
      <c r="AE16" s="142" t="n">
        <v>22.8</v>
      </c>
      <c r="AF16" s="144" t="n">
        <v>1.7</v>
      </c>
      <c r="AG16" s="145" t="n">
        <v>1.3</v>
      </c>
      <c r="AH16" s="142" t="n">
        <v>39.6</v>
      </c>
      <c r="AI16" s="113" t="n">
        <f aca="false">AI15-AH16</f>
        <v>5288.54923115706</v>
      </c>
      <c r="AJ16" s="113"/>
      <c r="AK16" s="141" t="n">
        <f aca="false">N16+O16+P16+Q16+R16+S16+T16+U16+X16+AE16+AH16</f>
        <v>232.2</v>
      </c>
      <c r="AL16" s="142" t="n">
        <f aca="false">IF(L16&lt;0,L16*-1,0)</f>
        <v>9.9814973531636</v>
      </c>
      <c r="AM16" s="142" t="n">
        <f aca="false">AK16+AL16</f>
        <v>242.181497353164</v>
      </c>
      <c r="AN16" s="146"/>
      <c r="AO16" s="143"/>
      <c r="AP16" s="585" t="n">
        <f aca="false">I16-Q16-R16-X16-AF16</f>
        <v>231.843658813774</v>
      </c>
      <c r="AQ16" s="171" t="n">
        <f aca="false">22.525*(Z16*1.9835+AC16*1.9835)/E16</f>
        <v>0.465052540545144</v>
      </c>
      <c r="AR16" s="171"/>
      <c r="AS16" s="171"/>
      <c r="AT16" s="113"/>
      <c r="AU16" s="56"/>
      <c r="AV16" s="110" t="n">
        <f aca="false">O16</f>
        <v>0</v>
      </c>
      <c r="AW16" s="330" t="n">
        <v>0</v>
      </c>
      <c r="AX16" s="226" t="n">
        <v>62</v>
      </c>
      <c r="AY16" s="226" t="n">
        <v>31</v>
      </c>
      <c r="AZ16" s="265"/>
      <c r="BA16" s="264" t="n">
        <f aca="false">SUM(N16,P16:U16)</f>
        <v>5.42448925299761</v>
      </c>
      <c r="BB16" s="193" t="n">
        <v>0.2</v>
      </c>
      <c r="BC16" s="265" t="n">
        <v>15007</v>
      </c>
    </row>
    <row r="17" customFormat="false" ht="12.95" hidden="false" customHeight="true" outlineLevel="0" collapsed="false">
      <c r="A17" s="192" t="n">
        <f aca="false">A16+1</f>
        <v>3</v>
      </c>
      <c r="B17" s="112" t="n">
        <v>6869.7</v>
      </c>
      <c r="C17" s="113" t="n">
        <v>187010</v>
      </c>
      <c r="D17" s="226" t="n">
        <f aca="false">C17-C16</f>
        <v>212</v>
      </c>
      <c r="E17" s="113" t="n">
        <f aca="false">C17-152000</f>
        <v>35010</v>
      </c>
      <c r="F17" s="260" t="n">
        <f aca="false">D17/$D$2</f>
        <v>106.881774640787</v>
      </c>
      <c r="G17" s="142" t="n">
        <v>333</v>
      </c>
      <c r="H17" s="603" t="n">
        <v>0</v>
      </c>
      <c r="I17" s="142" t="n">
        <f aca="false">G17+H17</f>
        <v>333</v>
      </c>
      <c r="J17" s="143" t="n">
        <f aca="false">IF(L17&gt;0,L17,0)</f>
        <v>0</v>
      </c>
      <c r="K17" s="142" t="n">
        <f aca="false">I17+J17</f>
        <v>333</v>
      </c>
      <c r="L17" s="142" t="n">
        <f aca="false">F17-(I17-AK17)</f>
        <v>-13.4182253592135</v>
      </c>
      <c r="M17" s="262" t="n">
        <v>60.7</v>
      </c>
      <c r="N17" s="171" t="n">
        <f aca="false">1/$D$2*1.03</f>
        <v>0.519284093773632</v>
      </c>
      <c r="O17" s="142" t="n">
        <f aca="false">0*1.05</f>
        <v>0</v>
      </c>
      <c r="P17" s="171" t="n">
        <v>0</v>
      </c>
      <c r="Q17" s="346" t="n">
        <f aca="false">1048500/325851/1.9835*1.02</f>
        <v>1.65469267214391</v>
      </c>
      <c r="R17" s="138" t="n">
        <f aca="false">(3.2*1.04)-T17</f>
        <v>2.56447776</v>
      </c>
      <c r="S17" s="138" t="n">
        <v>0</v>
      </c>
      <c r="T17" s="138" t="n">
        <f aca="false">(0.6926*1.06)*1.04</f>
        <v>0.76352224</v>
      </c>
      <c r="U17" s="365" t="n">
        <v>0</v>
      </c>
      <c r="V17" s="142" t="n">
        <v>55</v>
      </c>
      <c r="W17" s="142" t="n">
        <v>41.5</v>
      </c>
      <c r="X17" s="142" t="n">
        <f aca="false">M17-N17-O17-P17-Q17-R17-S17-T17-U17+V17+W17-AU17+AR17</f>
        <v>151.698023234082</v>
      </c>
      <c r="Y17" s="142" t="n">
        <f aca="false">X17-AO17</f>
        <v>151.698023234082</v>
      </c>
      <c r="Z17" s="113"/>
      <c r="AA17" s="142"/>
      <c r="AB17" s="113"/>
      <c r="AC17" s="441" t="n">
        <f aca="false">AC16+0</f>
        <v>362.209052785143</v>
      </c>
      <c r="AD17" s="516" t="n">
        <f aca="false">AD16</f>
        <v>4858.65512901258</v>
      </c>
      <c r="AE17" s="142" t="n">
        <v>16.7</v>
      </c>
      <c r="AF17" s="144" t="n">
        <v>1.7</v>
      </c>
      <c r="AG17" s="145" t="n">
        <v>1.3</v>
      </c>
      <c r="AH17" s="142" t="n">
        <v>38.8</v>
      </c>
      <c r="AI17" s="113" t="n">
        <f aca="false">AI16-AH17</f>
        <v>5249.74923115706</v>
      </c>
      <c r="AJ17" s="113"/>
      <c r="AK17" s="141" t="n">
        <f aca="false">N17+O17+P17+Q17+R17+S17+T17+U17+X17+AE17+AH17</f>
        <v>212.7</v>
      </c>
      <c r="AL17" s="142" t="n">
        <f aca="false">IF(L17&lt;0,L17*-1,0)</f>
        <v>13.4182253592135</v>
      </c>
      <c r="AM17" s="142" t="n">
        <f aca="false">AK17+AL17</f>
        <v>226.118225359213</v>
      </c>
      <c r="AN17" s="146"/>
      <c r="AO17" s="143"/>
      <c r="AP17" s="585" t="n">
        <f aca="false">I17-Q17-R17-X17-AF17</f>
        <v>175.382806333774</v>
      </c>
      <c r="AQ17" s="171" t="n">
        <f aca="false">19.573*(Z17*1.9835+AC17*1.9835)/E17</f>
        <v>0.401658341524979</v>
      </c>
      <c r="AR17" s="171"/>
      <c r="AS17" s="171"/>
      <c r="AT17" s="113"/>
      <c r="AU17" s="56"/>
      <c r="AV17" s="110" t="n">
        <f aca="false">O17</f>
        <v>0</v>
      </c>
      <c r="AW17" s="330" t="n">
        <v>0</v>
      </c>
      <c r="AX17" s="226" t="n">
        <v>70</v>
      </c>
      <c r="AY17" s="226" t="n">
        <v>35</v>
      </c>
      <c r="AZ17" s="265"/>
      <c r="BA17" s="264" t="n">
        <f aca="false">SUM(N17,P17:U17)</f>
        <v>5.50197676591754</v>
      </c>
      <c r="BB17" s="193" t="n">
        <v>0.2</v>
      </c>
      <c r="BC17" s="265" t="n">
        <v>15045</v>
      </c>
    </row>
    <row r="18" customFormat="false" ht="12.95" hidden="false" customHeight="true" outlineLevel="0" collapsed="false">
      <c r="A18" s="192" t="n">
        <f aca="false">A17+1</f>
        <v>4</v>
      </c>
      <c r="B18" s="112" t="n">
        <v>6869.73</v>
      </c>
      <c r="C18" s="113" t="n">
        <v>187089</v>
      </c>
      <c r="D18" s="226" t="n">
        <f aca="false">C18-C17</f>
        <v>79</v>
      </c>
      <c r="E18" s="113" t="n">
        <f aca="false">C18-152000</f>
        <v>35089</v>
      </c>
      <c r="F18" s="260" t="n">
        <f aca="false">D18/$D$2</f>
        <v>39.8285858331233</v>
      </c>
      <c r="G18" s="142" t="n">
        <v>291</v>
      </c>
      <c r="H18" s="603" t="n">
        <v>0</v>
      </c>
      <c r="I18" s="142" t="n">
        <f aca="false">G18+H18</f>
        <v>291</v>
      </c>
      <c r="J18" s="143" t="n">
        <f aca="false">IF(L18&gt;0,L18,0)</f>
        <v>0</v>
      </c>
      <c r="K18" s="142" t="n">
        <f aca="false">I18+J18</f>
        <v>291</v>
      </c>
      <c r="L18" s="142" t="n">
        <f aca="false">F18-(I18-AK18)</f>
        <v>-25.7714141668768</v>
      </c>
      <c r="M18" s="262" t="n">
        <v>73.2</v>
      </c>
      <c r="N18" s="171" t="n">
        <f aca="false">1/$D$2*1.03</f>
        <v>0.519284093773632</v>
      </c>
      <c r="O18" s="142" t="n">
        <f aca="false">0.271*1.05</f>
        <v>0.28455</v>
      </c>
      <c r="P18" s="171" t="n">
        <v>0</v>
      </c>
      <c r="Q18" s="346" t="n">
        <f aca="false">1104600/325851/1.9835*1.02</f>
        <v>1.74322701540311</v>
      </c>
      <c r="R18" s="138" t="n">
        <f aca="false">(3.3*1.04)-T18</f>
        <v>2.66847776</v>
      </c>
      <c r="S18" s="138" t="n">
        <v>0</v>
      </c>
      <c r="T18" s="138" t="n">
        <f aca="false">(0.6926*1.06)*1.04</f>
        <v>0.76352224</v>
      </c>
      <c r="U18" s="365" t="n">
        <v>0</v>
      </c>
      <c r="V18" s="142" t="n">
        <v>51.2</v>
      </c>
      <c r="W18" s="142" t="n">
        <v>40</v>
      </c>
      <c r="X18" s="142" t="n">
        <f aca="false">M18-N18-O18-P18-Q18-R18-S18-T18-U18+V18+W18-AU18+AR18</f>
        <v>158.420938890823</v>
      </c>
      <c r="Y18" s="142" t="n">
        <f aca="false">X18-AO18</f>
        <v>158.420938890823</v>
      </c>
      <c r="Z18" s="113"/>
      <c r="AA18" s="142"/>
      <c r="AB18" s="113"/>
      <c r="AC18" s="441" t="n">
        <f aca="false">AC17+0</f>
        <v>362.209052785143</v>
      </c>
      <c r="AD18" s="516" t="n">
        <f aca="false">AD17</f>
        <v>4858.65512901258</v>
      </c>
      <c r="AE18" s="142" t="n">
        <v>22.2</v>
      </c>
      <c r="AF18" s="144" t="n">
        <v>1.7</v>
      </c>
      <c r="AG18" s="145" t="n">
        <v>1.3</v>
      </c>
      <c r="AH18" s="142" t="n">
        <v>38.8</v>
      </c>
      <c r="AI18" s="113" t="n">
        <f aca="false">AI17-AH18</f>
        <v>5210.94923115706</v>
      </c>
      <c r="AJ18" s="113"/>
      <c r="AK18" s="141" t="n">
        <f aca="false">N18+O18+P18+Q18+R18+S18+T18+U18+X18+AE18+AH18</f>
        <v>225.4</v>
      </c>
      <c r="AL18" s="142" t="n">
        <f aca="false">IF(L18&lt;0,L18*-1,0)</f>
        <v>25.7714141668768</v>
      </c>
      <c r="AM18" s="142" t="n">
        <f aca="false">AK18+AL18</f>
        <v>251.171414166877</v>
      </c>
      <c r="AN18" s="146"/>
      <c r="AO18" s="143"/>
      <c r="AP18" s="585" t="n">
        <f aca="false">I18-Q18-R18-X18-AF18</f>
        <v>126.467356333774</v>
      </c>
      <c r="AQ18" s="171" t="n">
        <f aca="false">22.369*(Z18*1.9835+AC18*1.9835)/E18</f>
        <v>0.458001693052604</v>
      </c>
      <c r="AR18" s="171"/>
      <c r="AS18" s="171"/>
      <c r="AT18" s="113"/>
      <c r="AU18" s="56"/>
      <c r="AV18" s="110" t="n">
        <f aca="false">O18</f>
        <v>0.28455</v>
      </c>
      <c r="AW18" s="330" t="n">
        <v>0</v>
      </c>
      <c r="AX18" s="226" t="n">
        <v>73</v>
      </c>
      <c r="AY18" s="226" t="n">
        <v>40</v>
      </c>
      <c r="AZ18" s="265"/>
      <c r="BA18" s="264" t="n">
        <f aca="false">SUM(N18,P18:U18)</f>
        <v>5.69451110917674</v>
      </c>
      <c r="BB18" s="193" t="n">
        <v>0.2</v>
      </c>
      <c r="BC18" s="265" t="n">
        <v>15075</v>
      </c>
    </row>
    <row r="19" customFormat="false" ht="12.95" hidden="false" customHeight="true" outlineLevel="0" collapsed="false">
      <c r="A19" s="192" t="n">
        <f aca="false">A18+1</f>
        <v>5</v>
      </c>
      <c r="B19" s="112" t="n">
        <v>6869.74</v>
      </c>
      <c r="C19" s="113" t="n">
        <v>187115</v>
      </c>
      <c r="D19" s="226" t="n">
        <f aca="false">C19-C18</f>
        <v>26</v>
      </c>
      <c r="E19" s="113" t="n">
        <f aca="false">C19-152000</f>
        <v>35115</v>
      </c>
      <c r="F19" s="260" t="n">
        <f aca="false">D19/$D$2</f>
        <v>13.1081421729266</v>
      </c>
      <c r="G19" s="142" t="n">
        <v>259</v>
      </c>
      <c r="H19" s="603" t="n">
        <v>0</v>
      </c>
      <c r="I19" s="142" t="n">
        <f aca="false">G19+H19</f>
        <v>259</v>
      </c>
      <c r="J19" s="143" t="n">
        <f aca="false">IF(L19&gt;0,L19,0)</f>
        <v>0</v>
      </c>
      <c r="K19" s="142" t="n">
        <f aca="false">I19+J19</f>
        <v>259</v>
      </c>
      <c r="L19" s="142" t="n">
        <f aca="false">F19-(I19-AK19)</f>
        <v>-13.2918578270734</v>
      </c>
      <c r="M19" s="262" t="n">
        <v>91.7</v>
      </c>
      <c r="N19" s="171" t="n">
        <f aca="false">1/$D$2*1.03</f>
        <v>0.519284093773632</v>
      </c>
      <c r="O19" s="142" t="n">
        <f aca="false">0*1.05</f>
        <v>0</v>
      </c>
      <c r="P19" s="171" t="n">
        <v>0</v>
      </c>
      <c r="Q19" s="346" t="n">
        <f aca="false">1260500/325851/1.9835*1.02</f>
        <v>1.98926095683109</v>
      </c>
      <c r="R19" s="138" t="n">
        <f aca="false">(3.2*1.04)-T19</f>
        <v>2.56447776</v>
      </c>
      <c r="S19" s="138" t="n">
        <v>0</v>
      </c>
      <c r="T19" s="138" t="n">
        <f aca="false">(0.6926*1.06)*1.04</f>
        <v>0.76352224</v>
      </c>
      <c r="U19" s="365" t="n">
        <v>0</v>
      </c>
      <c r="V19" s="142" t="n">
        <v>49.6</v>
      </c>
      <c r="W19" s="142" t="n">
        <v>39.6</v>
      </c>
      <c r="X19" s="142" t="n">
        <f aca="false">M19-N19-O19-P19-Q19-R19-S19-T19-U19+V19+W19-AU19+AR19</f>
        <v>175.063454949395</v>
      </c>
      <c r="Y19" s="142" t="n">
        <f aca="false">X19-AO19</f>
        <v>175.063454949395</v>
      </c>
      <c r="Z19" s="113"/>
      <c r="AA19" s="142"/>
      <c r="AB19" s="113"/>
      <c r="AC19" s="441" t="n">
        <f aca="false">AC18+0</f>
        <v>362.209052785143</v>
      </c>
      <c r="AD19" s="516" t="n">
        <f aca="false">AD18</f>
        <v>4858.65512901258</v>
      </c>
      <c r="AE19" s="142" t="n">
        <v>12.9</v>
      </c>
      <c r="AF19" s="144" t="n">
        <v>1.7</v>
      </c>
      <c r="AG19" s="145" t="n">
        <v>1.3</v>
      </c>
      <c r="AH19" s="142" t="n">
        <v>38.8</v>
      </c>
      <c r="AI19" s="113" t="n">
        <f aca="false">AI18-AH19</f>
        <v>5172.14923115706</v>
      </c>
      <c r="AJ19" s="113"/>
      <c r="AK19" s="141" t="n">
        <f aca="false">N19+O19+P19+Q19+R19+S19+T19+U19+X19+AE19+AH19</f>
        <v>232.6</v>
      </c>
      <c r="AL19" s="142" t="n">
        <f aca="false">IF(L19&lt;0,L19*-1,0)</f>
        <v>13.2918578270734</v>
      </c>
      <c r="AM19" s="142" t="n">
        <f aca="false">AK19+AL19</f>
        <v>245.891857827073</v>
      </c>
      <c r="AN19" s="146"/>
      <c r="AO19" s="143"/>
      <c r="AP19" s="585" t="n">
        <f aca="false">I19-Q19-R19-X19-AF19</f>
        <v>77.6828063337737</v>
      </c>
      <c r="AQ19" s="171" t="n">
        <f aca="false">17.864*(Z19*1.9835+AC19*1.9835)/E19</f>
        <v>0.36549171995856</v>
      </c>
      <c r="AR19" s="171"/>
      <c r="AS19" s="171"/>
      <c r="AT19" s="113"/>
      <c r="AU19" s="56"/>
      <c r="AV19" s="110" t="n">
        <f aca="false">O19</f>
        <v>0</v>
      </c>
      <c r="AW19" s="330" t="n">
        <v>0</v>
      </c>
      <c r="AX19" s="226" t="n">
        <v>73</v>
      </c>
      <c r="AY19" s="226" t="n">
        <v>38</v>
      </c>
      <c r="AZ19" s="265"/>
      <c r="BA19" s="264" t="n">
        <f aca="false">SUM(N19,P19:U19)</f>
        <v>5.83654505060472</v>
      </c>
      <c r="BB19" s="193" t="n">
        <v>0.2</v>
      </c>
      <c r="BC19" s="265" t="n">
        <v>15091</v>
      </c>
    </row>
    <row r="20" customFormat="false" ht="12.95" hidden="false" customHeight="true" outlineLevel="0" collapsed="false">
      <c r="A20" s="192" t="n">
        <f aca="false">A19+1</f>
        <v>6</v>
      </c>
      <c r="B20" s="112" t="n">
        <v>6869.74</v>
      </c>
      <c r="C20" s="113" t="n">
        <v>187115</v>
      </c>
      <c r="D20" s="226" t="n">
        <f aca="false">C20-C19</f>
        <v>0</v>
      </c>
      <c r="E20" s="113" t="n">
        <f aca="false">C20-152000</f>
        <v>35115</v>
      </c>
      <c r="F20" s="260" t="n">
        <f aca="false">D20/$D$2</f>
        <v>0</v>
      </c>
      <c r="G20" s="142" t="n">
        <v>235</v>
      </c>
      <c r="H20" s="603" t="n">
        <v>0</v>
      </c>
      <c r="I20" s="142" t="n">
        <f aca="false">G20+H20</f>
        <v>235</v>
      </c>
      <c r="J20" s="143" t="n">
        <f aca="false">IF(L20&gt;0,L20,0)</f>
        <v>0</v>
      </c>
      <c r="K20" s="142" t="n">
        <f aca="false">I20+J20</f>
        <v>235</v>
      </c>
      <c r="L20" s="142" t="n">
        <f aca="false">F20-(I20-AK20)</f>
        <v>-19.835</v>
      </c>
      <c r="M20" s="262" t="n">
        <v>83</v>
      </c>
      <c r="N20" s="171" t="n">
        <f aca="false">1/$D$2*1.03</f>
        <v>0.519284093773632</v>
      </c>
      <c r="O20" s="142" t="n">
        <f aca="false">3.61*1.05</f>
        <v>3.7905</v>
      </c>
      <c r="P20" s="171" t="n">
        <v>0</v>
      </c>
      <c r="Q20" s="346" t="n">
        <f aca="false">1169700/325851/1.9835*1.02</f>
        <v>1.84596472923865</v>
      </c>
      <c r="R20" s="138" t="n">
        <f aca="false">(3.3*1.04)-T20</f>
        <v>2.66847776</v>
      </c>
      <c r="S20" s="138" t="n">
        <v>0</v>
      </c>
      <c r="T20" s="138" t="n">
        <f aca="false">(0.6926*1.06)*1.04</f>
        <v>0.76352224</v>
      </c>
      <c r="U20" s="365" t="n">
        <v>0</v>
      </c>
      <c r="V20" s="142" t="n">
        <v>53.3</v>
      </c>
      <c r="W20" s="142" t="n">
        <v>38.8</v>
      </c>
      <c r="X20" s="142" t="n">
        <f aca="false">M20-N20-O20-P20-Q20-R20-S20-T20-U20+V20+W20-AU20+AR20</f>
        <v>165.512251176988</v>
      </c>
      <c r="Y20" s="142" t="n">
        <f aca="false">X20-AO20</f>
        <v>165.512251176988</v>
      </c>
      <c r="Z20" s="113"/>
      <c r="AA20" s="142"/>
      <c r="AB20" s="113"/>
      <c r="AC20" s="441" t="n">
        <f aca="false">AC19+0</f>
        <v>362.209052785143</v>
      </c>
      <c r="AD20" s="516" t="n">
        <f aca="false">AD19</f>
        <v>4858.65512901258</v>
      </c>
      <c r="AE20" s="142" t="n">
        <v>0.365</v>
      </c>
      <c r="AF20" s="144" t="n">
        <v>1.7</v>
      </c>
      <c r="AG20" s="145" t="n">
        <v>1.3</v>
      </c>
      <c r="AH20" s="142" t="n">
        <v>39.7</v>
      </c>
      <c r="AI20" s="113" t="n">
        <f aca="false">AI19-AH20</f>
        <v>5132.44923115706</v>
      </c>
      <c r="AJ20" s="113"/>
      <c r="AK20" s="141" t="n">
        <f aca="false">N20+O20+P20+Q20+R20+S20+T20+U20+X20+AE20+AH20</f>
        <v>215.165</v>
      </c>
      <c r="AL20" s="142" t="n">
        <f aca="false">IF(L20&lt;0,L20*-1,0)</f>
        <v>19.835</v>
      </c>
      <c r="AM20" s="142" t="n">
        <f aca="false">AK20+AL20</f>
        <v>235</v>
      </c>
      <c r="AN20" s="146"/>
      <c r="AO20" s="143"/>
      <c r="AP20" s="585" t="n">
        <f aca="false">I20-Q20-R20-X20-AF20</f>
        <v>63.2733063337736</v>
      </c>
      <c r="AQ20" s="171" t="n">
        <f aca="false">33.554*(Z20*1.9835+AC20*1.9835)/E20</f>
        <v>0.686504096030538</v>
      </c>
      <c r="AR20" s="171"/>
      <c r="AS20" s="171"/>
      <c r="AT20" s="113"/>
      <c r="AU20" s="56"/>
      <c r="AV20" s="110" t="n">
        <f aca="false">O20</f>
        <v>3.7905</v>
      </c>
      <c r="AW20" s="330" t="n">
        <v>0</v>
      </c>
      <c r="AX20" s="226" t="n">
        <v>76</v>
      </c>
      <c r="AY20" s="226" t="n">
        <v>38</v>
      </c>
      <c r="AZ20" s="265"/>
      <c r="BA20" s="264" t="n">
        <f aca="false">SUM(N20,P20:U20)</f>
        <v>5.79724882301229</v>
      </c>
      <c r="BB20" s="193" t="n">
        <v>0.2</v>
      </c>
      <c r="BC20" s="265" t="n">
        <v>15108</v>
      </c>
    </row>
    <row r="21" customFormat="false" ht="12.95" hidden="false" customHeight="true" outlineLevel="0" collapsed="false">
      <c r="A21" s="192" t="n">
        <f aca="false">A20+1</f>
        <v>7</v>
      </c>
      <c r="B21" s="112" t="n">
        <v>6869.73</v>
      </c>
      <c r="C21" s="113" t="n">
        <v>187089</v>
      </c>
      <c r="D21" s="226" t="n">
        <f aca="false">C21-C20</f>
        <v>-26</v>
      </c>
      <c r="E21" s="113" t="n">
        <f aca="false">C21-152000</f>
        <v>35089</v>
      </c>
      <c r="F21" s="260" t="n">
        <f aca="false">D21/$D$2</f>
        <v>-13.1081421729266</v>
      </c>
      <c r="G21" s="142" t="n">
        <v>217</v>
      </c>
      <c r="H21" s="603" t="n">
        <v>0</v>
      </c>
      <c r="I21" s="142" t="n">
        <f aca="false">G21+H21</f>
        <v>217</v>
      </c>
      <c r="J21" s="143" t="n">
        <f aca="false">IF(L21&gt;0,L21,0)</f>
        <v>7.19185782707337</v>
      </c>
      <c r="K21" s="142" t="n">
        <f aca="false">I21+J21</f>
        <v>224.191857827073</v>
      </c>
      <c r="L21" s="142" t="n">
        <f aca="false">F21-(I21-AK21)</f>
        <v>7.19185782707337</v>
      </c>
      <c r="M21" s="262" t="n">
        <v>102</v>
      </c>
      <c r="N21" s="171" t="n">
        <f aca="false">1/$D$2*1.03</f>
        <v>0.519284093773632</v>
      </c>
      <c r="O21" s="142" t="n">
        <f aca="false">4.15*1.05</f>
        <v>4.3575</v>
      </c>
      <c r="P21" s="171" t="n">
        <v>0</v>
      </c>
      <c r="Q21" s="346" t="n">
        <f aca="false">1130200/325851/1.9835*1.02</f>
        <v>1.78362771393137</v>
      </c>
      <c r="R21" s="138" t="n">
        <f aca="false">(3.2*1.04)-T21</f>
        <v>2.56447776</v>
      </c>
      <c r="S21" s="138" t="n">
        <v>0</v>
      </c>
      <c r="T21" s="138" t="n">
        <f aca="false">(0.6926*1.06)*1.04</f>
        <v>0.76352224</v>
      </c>
      <c r="U21" s="365" t="n">
        <v>0</v>
      </c>
      <c r="V21" s="604" t="n">
        <v>56.7</v>
      </c>
      <c r="W21" s="142" t="n">
        <v>38.4</v>
      </c>
      <c r="X21" s="142" t="n">
        <f aca="false">M21-N21-O21-P21-Q21-R21-S21-T21-U21+V21+W21-AU21+AR21</f>
        <v>187.111588192295</v>
      </c>
      <c r="Y21" s="142" t="n">
        <f aca="false">X21-AO21</f>
        <v>187.111588192295</v>
      </c>
      <c r="Z21" s="113"/>
      <c r="AA21" s="142"/>
      <c r="AB21" s="113"/>
      <c r="AC21" s="441" t="n">
        <f aca="false">AC20+0</f>
        <v>362.209052785143</v>
      </c>
      <c r="AD21" s="516" t="n">
        <f aca="false">AD20</f>
        <v>4858.65512901258</v>
      </c>
      <c r="AE21" s="142" t="n">
        <v>0</v>
      </c>
      <c r="AF21" s="144" t="n">
        <v>1.7</v>
      </c>
      <c r="AG21" s="145" t="n">
        <v>1.3</v>
      </c>
      <c r="AH21" s="142" t="n">
        <v>40.2</v>
      </c>
      <c r="AI21" s="113" t="n">
        <f aca="false">AI20-AH21</f>
        <v>5092.24923115706</v>
      </c>
      <c r="AJ21" s="113"/>
      <c r="AK21" s="141" t="n">
        <f aca="false">N21+O21+P21+Q21+R21+S21+T21+U21+X21+AE21+AH21</f>
        <v>237.3</v>
      </c>
      <c r="AL21" s="142" t="n">
        <f aca="false">IF(L21&lt;0,L21*-1,0)</f>
        <v>0</v>
      </c>
      <c r="AM21" s="142" t="n">
        <f aca="false">AK21+AL21</f>
        <v>237.3</v>
      </c>
      <c r="AN21" s="146"/>
      <c r="AO21" s="143"/>
      <c r="AP21" s="585" t="n">
        <f aca="false">I21-Q21-R21-X21-AF21</f>
        <v>23.8403063337737</v>
      </c>
      <c r="AQ21" s="171" t="n">
        <f aca="false">16.311*(Z21*1.9835+AC21*1.9835)/E21</f>
        <v>0.333965113119989</v>
      </c>
      <c r="AR21" s="171"/>
      <c r="AS21" s="171"/>
      <c r="AT21" s="113"/>
      <c r="AU21" s="56"/>
      <c r="AV21" s="110" t="n">
        <f aca="false">O21</f>
        <v>4.3575</v>
      </c>
      <c r="AW21" s="330" t="n">
        <v>0</v>
      </c>
      <c r="AX21" s="226" t="n">
        <v>74</v>
      </c>
      <c r="AY21" s="226" t="n">
        <v>41</v>
      </c>
      <c r="AZ21" s="265"/>
      <c r="BA21" s="264" t="n">
        <f aca="false">SUM(N21,P21:U21)</f>
        <v>5.630911807705</v>
      </c>
      <c r="BB21" s="193" t="n">
        <v>0.2</v>
      </c>
      <c r="BC21" s="265" t="n">
        <v>15105</v>
      </c>
    </row>
    <row r="22" customFormat="false" ht="12.95" hidden="false" customHeight="true" outlineLevel="0" collapsed="false">
      <c r="A22" s="192" t="n">
        <f aca="false">A21+1</f>
        <v>8</v>
      </c>
      <c r="B22" s="112" t="n">
        <v>6869.69</v>
      </c>
      <c r="C22" s="113" t="n">
        <v>186983</v>
      </c>
      <c r="D22" s="226" t="n">
        <f aca="false">C22-C21</f>
        <v>-106</v>
      </c>
      <c r="E22" s="113" t="n">
        <f aca="false">C22-152000</f>
        <v>34983</v>
      </c>
      <c r="F22" s="260" t="n">
        <f aca="false">D22/$D$2</f>
        <v>-53.4408873203932</v>
      </c>
      <c r="G22" s="142" t="n">
        <v>203</v>
      </c>
      <c r="H22" s="603" t="n">
        <v>0</v>
      </c>
      <c r="I22" s="142" t="n">
        <f aca="false">G22+H22</f>
        <v>203</v>
      </c>
      <c r="J22" s="143" t="n">
        <f aca="false">IF(L22&gt;0,L22,0)</f>
        <v>0</v>
      </c>
      <c r="K22" s="142" t="n">
        <f aca="false">I22+J22</f>
        <v>203</v>
      </c>
      <c r="L22" s="142" t="n">
        <f aca="false">F22-(I22-AK22)</f>
        <v>-16.9408873203932</v>
      </c>
      <c r="M22" s="262" t="n">
        <v>103</v>
      </c>
      <c r="N22" s="171" t="n">
        <f aca="false">1/$D$2*1.03</f>
        <v>0.519284093773632</v>
      </c>
      <c r="O22" s="142" t="n">
        <f aca="false">8.85*1.05</f>
        <v>9.2925</v>
      </c>
      <c r="P22" s="171" t="n">
        <v>0</v>
      </c>
      <c r="Q22" s="346" t="n">
        <f aca="false">1114400/325851/1.9835*1.02</f>
        <v>1.75869290780846</v>
      </c>
      <c r="R22" s="138" t="n">
        <f aca="false">(3.2*1.04)-T22</f>
        <v>2.56447776</v>
      </c>
      <c r="S22" s="138" t="n">
        <v>0</v>
      </c>
      <c r="T22" s="138" t="n">
        <f aca="false">(0.6926*1.06)*1.04</f>
        <v>0.76352224</v>
      </c>
      <c r="U22" s="365" t="n">
        <v>0</v>
      </c>
      <c r="V22" s="142" t="n">
        <v>57.5</v>
      </c>
      <c r="W22" s="142" t="n">
        <v>38.9</v>
      </c>
      <c r="X22" s="142" t="n">
        <f aca="false">M22-N22-O22-P22-Q22-R22-S22-T22-U22+V22+W22-AU22+AR22</f>
        <v>184.501522998418</v>
      </c>
      <c r="Y22" s="142" t="n">
        <f aca="false">X22-AO22</f>
        <v>184.501522998418</v>
      </c>
      <c r="Z22" s="113"/>
      <c r="AA22" s="142"/>
      <c r="AB22" s="113"/>
      <c r="AC22" s="441" t="n">
        <f aca="false">AC21+0</f>
        <v>362.209052785143</v>
      </c>
      <c r="AD22" s="516" t="n">
        <f aca="false">AD21</f>
        <v>4858.65512901258</v>
      </c>
      <c r="AE22" s="142" t="n">
        <v>0</v>
      </c>
      <c r="AF22" s="144" t="n">
        <v>1.7</v>
      </c>
      <c r="AG22" s="145" t="n">
        <v>1.3</v>
      </c>
      <c r="AH22" s="142" t="n">
        <v>40.1</v>
      </c>
      <c r="AI22" s="113" t="n">
        <f aca="false">AI21-AH22</f>
        <v>5052.14923115706</v>
      </c>
      <c r="AJ22" s="113"/>
      <c r="AK22" s="141" t="n">
        <f aca="false">N22+O22+P22+Q22+R22+S22+T22+U22+X22+AE22+AH22</f>
        <v>239.5</v>
      </c>
      <c r="AL22" s="142" t="n">
        <f aca="false">IF(L22&lt;0,L22*-1,0)</f>
        <v>16.9408873203932</v>
      </c>
      <c r="AM22" s="142" t="n">
        <f aca="false">AK22+AL22</f>
        <v>256.440887320393</v>
      </c>
      <c r="AN22" s="146"/>
      <c r="AO22" s="143"/>
      <c r="AP22" s="585" t="n">
        <f aca="false">I22-Q22-R22-X22-AF22</f>
        <v>12.4753063337736</v>
      </c>
      <c r="AQ22" s="171" t="n">
        <f aca="false">15.69*(Z22*1.9835+AC22*1.9835)/E22</f>
        <v>0.3222236396469</v>
      </c>
      <c r="AR22" s="171"/>
      <c r="AS22" s="171"/>
      <c r="AT22" s="113"/>
      <c r="AU22" s="56"/>
      <c r="AV22" s="110" t="n">
        <f aca="false">O22</f>
        <v>9.2925</v>
      </c>
      <c r="AW22" s="330" t="n">
        <v>0</v>
      </c>
      <c r="AX22" s="226" t="n">
        <v>75</v>
      </c>
      <c r="AY22" s="226" t="n">
        <v>47</v>
      </c>
      <c r="AZ22" s="265"/>
      <c r="BA22" s="264" t="n">
        <f aca="false">SUM(N22,P22:U22)</f>
        <v>5.60597700158209</v>
      </c>
      <c r="BB22" s="193" t="n">
        <v>0.2</v>
      </c>
      <c r="BC22" s="265" t="n">
        <v>15130</v>
      </c>
    </row>
    <row r="23" customFormat="false" ht="12.95" hidden="false" customHeight="true" outlineLevel="0" collapsed="false">
      <c r="A23" s="192" t="n">
        <f aca="false">A22+1</f>
        <v>9</v>
      </c>
      <c r="B23" s="112" t="n">
        <v>6869.65</v>
      </c>
      <c r="C23" s="113" t="n">
        <v>186877</v>
      </c>
      <c r="D23" s="226" t="n">
        <f aca="false">C23-C22</f>
        <v>-106</v>
      </c>
      <c r="E23" s="113" t="n">
        <f aca="false">C23-152000</f>
        <v>34877</v>
      </c>
      <c r="F23" s="260" t="n">
        <f aca="false">D23/$D$2</f>
        <v>-53.4408873203932</v>
      </c>
      <c r="G23" s="142" t="n">
        <v>197</v>
      </c>
      <c r="H23" s="603" t="n">
        <v>0</v>
      </c>
      <c r="I23" s="142" t="n">
        <f aca="false">G23+H23</f>
        <v>197</v>
      </c>
      <c r="J23" s="143" t="n">
        <f aca="false">IF(L23&gt;0,L23,0)</f>
        <v>0</v>
      </c>
      <c r="K23" s="142" t="n">
        <f aca="false">I23+J23</f>
        <v>197</v>
      </c>
      <c r="L23" s="142" t="n">
        <f aca="false">F23-(I23-AK23)</f>
        <v>-35.7408873203933</v>
      </c>
      <c r="M23" s="262" t="n">
        <v>82.6</v>
      </c>
      <c r="N23" s="171" t="n">
        <f aca="false">1/$D$2*1.03</f>
        <v>0.519284093773632</v>
      </c>
      <c r="O23" s="142" t="n">
        <f aca="false">9.37*1.05</f>
        <v>9.8385</v>
      </c>
      <c r="P23" s="171" t="n">
        <v>0</v>
      </c>
      <c r="Q23" s="346" t="n">
        <f aca="false">981700/325851/1.9835*1.02</f>
        <v>1.54927209942172</v>
      </c>
      <c r="R23" s="138" t="n">
        <f aca="false">(3.3*1.04)-T23</f>
        <v>2.66847776</v>
      </c>
      <c r="S23" s="138" t="n">
        <v>0</v>
      </c>
      <c r="T23" s="138" t="n">
        <f aca="false">(0.6926*1.06)*1.04</f>
        <v>0.76352224</v>
      </c>
      <c r="U23" s="365" t="n">
        <v>0</v>
      </c>
      <c r="V23" s="142" t="n">
        <v>51.4</v>
      </c>
      <c r="W23" s="142" t="n">
        <v>40.5</v>
      </c>
      <c r="X23" s="142" t="n">
        <f aca="false">M23-N23-O23-P23-Q23-R23-S23-T23-U23+V23+W23-AU23+AR23</f>
        <v>159.160943806805</v>
      </c>
      <c r="Y23" s="142" t="n">
        <f aca="false">X23-AO23</f>
        <v>159.160943806805</v>
      </c>
      <c r="Z23" s="113"/>
      <c r="AA23" s="142"/>
      <c r="AB23" s="113"/>
      <c r="AC23" s="441" t="n">
        <f aca="false">AC22+0</f>
        <v>362.209052785143</v>
      </c>
      <c r="AD23" s="516" t="n">
        <f aca="false">AD22</f>
        <v>4858.65512901258</v>
      </c>
      <c r="AE23" s="142" t="n">
        <v>0</v>
      </c>
      <c r="AF23" s="144" t="n">
        <v>1.7</v>
      </c>
      <c r="AG23" s="145" t="n">
        <v>1.3</v>
      </c>
      <c r="AH23" s="142" t="n">
        <v>40.2</v>
      </c>
      <c r="AI23" s="113" t="n">
        <f aca="false">AI22-AH23</f>
        <v>5011.94923115706</v>
      </c>
      <c r="AJ23" s="113"/>
      <c r="AK23" s="141" t="n">
        <f aca="false">N23+O23+P23+Q23+R23+S23+T23+U23+X23+AE23+AH23</f>
        <v>214.7</v>
      </c>
      <c r="AL23" s="142" t="n">
        <f aca="false">IF(L23&lt;0,L23*-1,0)</f>
        <v>35.7408873203933</v>
      </c>
      <c r="AM23" s="142" t="n">
        <f aca="false">AK23+AL23</f>
        <v>250.440887320393</v>
      </c>
      <c r="AN23" s="146"/>
      <c r="AO23" s="143"/>
      <c r="AP23" s="585" t="n">
        <f aca="false">I23-Q23-R23-X23-AF23</f>
        <v>31.9213063337736</v>
      </c>
      <c r="AQ23" s="171" t="n">
        <f aca="false">0*(Z23*1.9835+AC23*1.9835)/E23</f>
        <v>0</v>
      </c>
      <c r="AR23" s="171"/>
      <c r="AS23" s="171"/>
      <c r="AT23" s="113"/>
      <c r="AU23" s="56"/>
      <c r="AV23" s="110" t="n">
        <f aca="false">O23</f>
        <v>9.8385</v>
      </c>
      <c r="AW23" s="330" t="n">
        <v>0.06</v>
      </c>
      <c r="AX23" s="232" t="n">
        <v>59</v>
      </c>
      <c r="AY23" s="226" t="n">
        <v>44</v>
      </c>
      <c r="AZ23" s="265"/>
      <c r="BA23" s="264" t="n">
        <f aca="false">SUM(N23,P23:U23)</f>
        <v>5.50055619319535</v>
      </c>
      <c r="BB23" s="193" t="n">
        <v>0.2</v>
      </c>
      <c r="BC23" s="265" t="n">
        <v>15187</v>
      </c>
    </row>
    <row r="24" customFormat="false" ht="12.95" hidden="false" customHeight="true" outlineLevel="0" collapsed="false">
      <c r="A24" s="192" t="n">
        <f aca="false">A23+1</f>
        <v>10</v>
      </c>
      <c r="B24" s="112" t="n">
        <v>6869.67</v>
      </c>
      <c r="C24" s="113" t="n">
        <v>186930</v>
      </c>
      <c r="D24" s="226" t="n">
        <f aca="false">C24-C23</f>
        <v>53</v>
      </c>
      <c r="E24" s="113" t="n">
        <f aca="false">C24-152000</f>
        <v>34930</v>
      </c>
      <c r="F24" s="260" t="n">
        <f aca="false">D24/$D$2</f>
        <v>26.7204436601966</v>
      </c>
      <c r="G24" s="142" t="n">
        <v>267</v>
      </c>
      <c r="H24" s="603" t="n">
        <v>0</v>
      </c>
      <c r="I24" s="142" t="n">
        <f aca="false">G24+H24</f>
        <v>267</v>
      </c>
      <c r="J24" s="143" t="n">
        <f aca="false">IF(L24&gt;0,L24,0)</f>
        <v>0</v>
      </c>
      <c r="K24" s="142" t="n">
        <f aca="false">I24+J24</f>
        <v>267</v>
      </c>
      <c r="L24" s="142" t="n">
        <f aca="false">F24-(I24-AK24)</f>
        <v>-32.0795563398034</v>
      </c>
      <c r="M24" s="262" t="n">
        <v>80.4</v>
      </c>
      <c r="N24" s="171" t="n">
        <f aca="false">1/$D$2*1.03</f>
        <v>0.519284093773632</v>
      </c>
      <c r="O24" s="142" t="n">
        <f aca="false">1.36*1.05</f>
        <v>1.428</v>
      </c>
      <c r="P24" s="171" t="n">
        <v>0</v>
      </c>
      <c r="Q24" s="346" t="n">
        <f aca="false">893400/325851/1.9835*1.02</f>
        <v>1.40992125254494</v>
      </c>
      <c r="R24" s="138" t="n">
        <f aca="false">(3.3*1.04)-T24</f>
        <v>2.74443312</v>
      </c>
      <c r="S24" s="138" t="n">
        <v>0</v>
      </c>
      <c r="T24" s="138" t="n">
        <f aca="false">(0.6237*1.06)*1.04</f>
        <v>0.68756688</v>
      </c>
      <c r="U24" s="365" t="n">
        <v>0</v>
      </c>
      <c r="V24" s="142" t="n">
        <v>48.6</v>
      </c>
      <c r="W24" s="142" t="n">
        <v>39.1</v>
      </c>
      <c r="X24" s="142" t="n">
        <f aca="false">M24-N24-O24-P24-Q24-R24-S24-T24-U24+V24+W24-AU24+AR24</f>
        <v>161.310794653681</v>
      </c>
      <c r="Y24" s="142" t="n">
        <f aca="false">X24-AO24</f>
        <v>161.310794653681</v>
      </c>
      <c r="Z24" s="113"/>
      <c r="AA24" s="142"/>
      <c r="AB24" s="113"/>
      <c r="AC24" s="441" t="n">
        <f aca="false">AC23+0</f>
        <v>362.209052785143</v>
      </c>
      <c r="AD24" s="516" t="n">
        <f aca="false">AD23</f>
        <v>4858.65512901258</v>
      </c>
      <c r="AE24" s="142" t="n">
        <v>0</v>
      </c>
      <c r="AF24" s="144" t="n">
        <v>1.7</v>
      </c>
      <c r="AG24" s="145" t="n">
        <v>1.3</v>
      </c>
      <c r="AH24" s="142" t="n">
        <v>40.1</v>
      </c>
      <c r="AI24" s="113" t="n">
        <f aca="false">AI23-AH24</f>
        <v>4971.84923115706</v>
      </c>
      <c r="AJ24" s="113"/>
      <c r="AK24" s="141" t="n">
        <f aca="false">N24+O24+P24+Q24+R24+S24+T24+U24+X24+AE24+AH24</f>
        <v>208.2</v>
      </c>
      <c r="AL24" s="142" t="n">
        <f aca="false">IF(L24&lt;0,L24*-1,0)</f>
        <v>32.0795563398034</v>
      </c>
      <c r="AM24" s="142" t="n">
        <f aca="false">AK24+AL24</f>
        <v>240.279556339803</v>
      </c>
      <c r="AN24" s="146"/>
      <c r="AO24" s="143"/>
      <c r="AP24" s="585" t="n">
        <f aca="false">I24-Q24-R24-X24-AF24</f>
        <v>99.8348509737736</v>
      </c>
      <c r="AQ24" s="171" t="n">
        <f aca="false">12.738*(Z24*1.9835+AC24*1.9835)/E24</f>
        <v>0.261995700448528</v>
      </c>
      <c r="AR24" s="171"/>
      <c r="AS24" s="171"/>
      <c r="AT24" s="113"/>
      <c r="AU24" s="56"/>
      <c r="AV24" s="110" t="n">
        <f aca="false">O24</f>
        <v>1.428</v>
      </c>
      <c r="AW24" s="330" t="n">
        <v>0</v>
      </c>
      <c r="AX24" s="226" t="n">
        <v>69</v>
      </c>
      <c r="AY24" s="226" t="n">
        <v>43</v>
      </c>
      <c r="AZ24" s="265"/>
      <c r="BA24" s="264" t="n">
        <f aca="false">SUM(N24,P24:U24)</f>
        <v>5.36120534631857</v>
      </c>
      <c r="BB24" s="193" t="n">
        <v>0.2</v>
      </c>
      <c r="BC24" s="265" t="n">
        <v>15327</v>
      </c>
    </row>
    <row r="25" customFormat="false" ht="12.95" hidden="false" customHeight="true" outlineLevel="0" collapsed="false">
      <c r="A25" s="192" t="n">
        <f aca="false">A24+1</f>
        <v>11</v>
      </c>
      <c r="B25" s="112" t="n">
        <v>6869.71</v>
      </c>
      <c r="C25" s="113" t="n">
        <v>187036</v>
      </c>
      <c r="D25" s="226" t="n">
        <f aca="false">C25-C24</f>
        <v>106</v>
      </c>
      <c r="E25" s="113" t="n">
        <f aca="false">C25-152000</f>
        <v>35036</v>
      </c>
      <c r="F25" s="260" t="n">
        <f aca="false">D25/$D$2</f>
        <v>53.4408873203932</v>
      </c>
      <c r="G25" s="142" t="n">
        <v>251</v>
      </c>
      <c r="H25" s="603" t="n">
        <v>0</v>
      </c>
      <c r="I25" s="142" t="n">
        <f aca="false">G25+H25</f>
        <v>251</v>
      </c>
      <c r="J25" s="143" t="n">
        <f aca="false">IF(L25&gt;0,L25,0)</f>
        <v>23.5408873203932</v>
      </c>
      <c r="K25" s="142" t="n">
        <f aca="false">I25+J25</f>
        <v>274.540887320393</v>
      </c>
      <c r="L25" s="142" t="n">
        <f aca="false">F25-(I25-AK25)</f>
        <v>23.5408873203932</v>
      </c>
      <c r="M25" s="262" t="n">
        <v>93.5</v>
      </c>
      <c r="N25" s="171" t="n">
        <f aca="false">1/$D$2*1.03</f>
        <v>0.519284093773632</v>
      </c>
      <c r="O25" s="142" t="n">
        <f aca="false">0*1.05</f>
        <v>0</v>
      </c>
      <c r="P25" s="171" t="n">
        <v>0</v>
      </c>
      <c r="Q25" s="346" t="n">
        <f aca="false">1213700/325851/1.9835*1.02</f>
        <v>1.9154034298341</v>
      </c>
      <c r="R25" s="138" t="n">
        <f aca="false">(3.3*1.04)-T25</f>
        <v>2.74443312</v>
      </c>
      <c r="S25" s="138" t="n">
        <v>0</v>
      </c>
      <c r="T25" s="138" t="n">
        <f aca="false">(0.6237*1.06)*1.04</f>
        <v>0.68756688</v>
      </c>
      <c r="U25" s="365" t="n">
        <v>0</v>
      </c>
      <c r="V25" s="142" t="n">
        <v>48.6</v>
      </c>
      <c r="W25" s="142" t="n">
        <v>38.9</v>
      </c>
      <c r="X25" s="142" t="n">
        <f aca="false">M25-N25-O25-P25-Q25-R25-S25-T25-U25+V25+W25-AU25+AR25</f>
        <v>175.133312476392</v>
      </c>
      <c r="Y25" s="142" t="n">
        <f aca="false">X25-AO25</f>
        <v>175.133312476392</v>
      </c>
      <c r="Z25" s="113"/>
      <c r="AA25" s="142"/>
      <c r="AB25" s="113"/>
      <c r="AC25" s="441" t="n">
        <f aca="false">AC24+0</f>
        <v>362.209052785143</v>
      </c>
      <c r="AD25" s="516" t="n">
        <f aca="false">AD24</f>
        <v>4858.65512901258</v>
      </c>
      <c r="AE25" s="142" t="n">
        <v>0</v>
      </c>
      <c r="AF25" s="144" t="n">
        <v>1.7</v>
      </c>
      <c r="AG25" s="145" t="n">
        <v>1.3</v>
      </c>
      <c r="AH25" s="142" t="n">
        <v>40.1</v>
      </c>
      <c r="AI25" s="113" t="n">
        <f aca="false">AI24-AH25</f>
        <v>4931.74923115706</v>
      </c>
      <c r="AJ25" s="113"/>
      <c r="AK25" s="141" t="n">
        <f aca="false">N25+O25+P25+Q25+R25+S25+T25+U25+X25+AE25+AH25</f>
        <v>221.1</v>
      </c>
      <c r="AL25" s="142" t="n">
        <f aca="false">IF(L25&lt;0,L25*-1,0)</f>
        <v>0</v>
      </c>
      <c r="AM25" s="142" t="n">
        <f aca="false">AK25+AL25</f>
        <v>221.1</v>
      </c>
      <c r="AN25" s="146"/>
      <c r="AO25" s="143"/>
      <c r="AP25" s="585" t="n">
        <f aca="false">I25-Q25-R25-X25-AF25</f>
        <v>69.5068509737736</v>
      </c>
      <c r="AQ25" s="171" t="n">
        <f aca="false">11.651*(Z25*1.9835+AC25*1.9835)/E25</f>
        <v>0.238913224579815</v>
      </c>
      <c r="AR25" s="171"/>
      <c r="AS25" s="171"/>
      <c r="AT25" s="113"/>
      <c r="AU25" s="56"/>
      <c r="AV25" s="110" t="n">
        <f aca="false">O25</f>
        <v>0</v>
      </c>
      <c r="AW25" s="330" t="n">
        <v>0</v>
      </c>
      <c r="AX25" s="226" t="n">
        <v>71</v>
      </c>
      <c r="AY25" s="226" t="n">
        <v>41</v>
      </c>
      <c r="AZ25" s="265"/>
      <c r="BA25" s="264" t="n">
        <f aca="false">SUM(N25,P25:U25)</f>
        <v>5.86668752360774</v>
      </c>
      <c r="BB25" s="193" t="n">
        <v>0.2</v>
      </c>
      <c r="BC25" s="265" t="n">
        <v>15378</v>
      </c>
    </row>
    <row r="26" customFormat="false" ht="12.95" hidden="false" customHeight="true" outlineLevel="0" collapsed="false">
      <c r="A26" s="192" t="n">
        <f aca="false">A25+1</f>
        <v>12</v>
      </c>
      <c r="B26" s="112" t="n">
        <v>6869.69</v>
      </c>
      <c r="C26" s="113" t="n">
        <v>186983</v>
      </c>
      <c r="D26" s="226" t="n">
        <f aca="false">C26-C25</f>
        <v>-53</v>
      </c>
      <c r="E26" s="113" t="n">
        <f aca="false">C26-152000</f>
        <v>34983</v>
      </c>
      <c r="F26" s="260" t="n">
        <f aca="false">D26/$D$2</f>
        <v>-26.7204436601966</v>
      </c>
      <c r="G26" s="142" t="n">
        <v>223</v>
      </c>
      <c r="H26" s="603" t="n">
        <v>0</v>
      </c>
      <c r="I26" s="142" t="n">
        <f aca="false">G26+H26</f>
        <v>223</v>
      </c>
      <c r="J26" s="143" t="n">
        <f aca="false">IF(L26&gt;0,L26,0)</f>
        <v>0</v>
      </c>
      <c r="K26" s="142" t="n">
        <f aca="false">I26+J26</f>
        <v>223</v>
      </c>
      <c r="L26" s="142" t="n">
        <f aca="false">F26-(I26-AK26)</f>
        <v>-30.9204436601966</v>
      </c>
      <c r="M26" s="262" t="n">
        <v>87.7</v>
      </c>
      <c r="N26" s="171" t="n">
        <f aca="false">1/$D$2*1.03</f>
        <v>0.519284093773632</v>
      </c>
      <c r="O26" s="142" t="n">
        <f aca="false">0*1.05</f>
        <v>0</v>
      </c>
      <c r="P26" s="171" t="n">
        <v>0</v>
      </c>
      <c r="Q26" s="346" t="n">
        <f aca="false">1170500/325851/1.9835*1.02</f>
        <v>1.84722725106766</v>
      </c>
      <c r="R26" s="138" t="n">
        <f aca="false">(3*1.04)-T26</f>
        <v>2.43243312</v>
      </c>
      <c r="S26" s="138" t="n">
        <v>0</v>
      </c>
      <c r="T26" s="138" t="n">
        <f aca="false">(0.6237*1.06)*1.04</f>
        <v>0.68756688</v>
      </c>
      <c r="U26" s="365" t="n">
        <v>0</v>
      </c>
      <c r="V26" s="142" t="n">
        <v>51.5</v>
      </c>
      <c r="W26" s="142" t="n">
        <v>39.5</v>
      </c>
      <c r="X26" s="142" t="n">
        <f aca="false">M26-N26-O26-P26-Q26-R26-S26-T26-U26+V26+W26-AU26+AR26</f>
        <v>173.213488655159</v>
      </c>
      <c r="Y26" s="142" t="n">
        <f aca="false">X26-AO26</f>
        <v>173.213488655159</v>
      </c>
      <c r="Z26" s="113"/>
      <c r="AA26" s="142"/>
      <c r="AB26" s="113"/>
      <c r="AC26" s="441" t="n">
        <f aca="false">AC25+0</f>
        <v>362.209052785143</v>
      </c>
      <c r="AD26" s="516" t="n">
        <f aca="false">AD25</f>
        <v>4858.65512901258</v>
      </c>
      <c r="AE26" s="142" t="n">
        <v>0</v>
      </c>
      <c r="AF26" s="144" t="n">
        <v>1.7</v>
      </c>
      <c r="AG26" s="145" t="n">
        <v>1.3</v>
      </c>
      <c r="AH26" s="142" t="n">
        <v>40.1</v>
      </c>
      <c r="AI26" s="113" t="n">
        <f aca="false">AI25-AH26</f>
        <v>4891.64923115706</v>
      </c>
      <c r="AJ26" s="113"/>
      <c r="AK26" s="141" t="n">
        <f aca="false">N26+O26+P26+Q26+R26+S26+T26+U26+X26+AE26+AH26</f>
        <v>218.8</v>
      </c>
      <c r="AL26" s="142" t="n">
        <f aca="false">IF(L26&lt;0,L26*-1,0)</f>
        <v>30.9204436601966</v>
      </c>
      <c r="AM26" s="142" t="n">
        <f aca="false">AK26+AL26</f>
        <v>249.720443660197</v>
      </c>
      <c r="AN26" s="146"/>
      <c r="AO26" s="143"/>
      <c r="AP26" s="585" t="n">
        <f aca="false">I26-Q26-R26-X26-AF26</f>
        <v>43.8068509737736</v>
      </c>
      <c r="AQ26" s="171" t="n">
        <f aca="false">21.903*(Z26*1.9835+AC26*1.9835)/E26</f>
        <v>0.449819272095988</v>
      </c>
      <c r="AR26" s="171"/>
      <c r="AS26" s="171"/>
      <c r="AT26" s="113"/>
      <c r="AU26" s="56"/>
      <c r="AV26" s="110" t="n">
        <f aca="false">O26</f>
        <v>0</v>
      </c>
      <c r="AW26" s="330" t="n">
        <v>0</v>
      </c>
      <c r="AX26" s="226" t="n">
        <v>61</v>
      </c>
      <c r="AY26" s="226" t="n">
        <v>39</v>
      </c>
      <c r="AZ26" s="265"/>
      <c r="BA26" s="264" t="n">
        <f aca="false">SUM(N26,P26:U26)</f>
        <v>5.48651134484129</v>
      </c>
      <c r="BB26" s="193" t="n">
        <v>0.2</v>
      </c>
      <c r="BC26" s="265" t="n">
        <v>15379</v>
      </c>
    </row>
    <row r="27" customFormat="false" ht="12.95" hidden="false" customHeight="true" outlineLevel="0" collapsed="false">
      <c r="A27" s="192" t="n">
        <f aca="false">A26+1</f>
        <v>13</v>
      </c>
      <c r="B27" s="112" t="n">
        <v>6869.67</v>
      </c>
      <c r="C27" s="113" t="n">
        <v>186930</v>
      </c>
      <c r="D27" s="226" t="n">
        <f aca="false">C27-C26</f>
        <v>-53</v>
      </c>
      <c r="E27" s="113" t="n">
        <f aca="false">C27-152000</f>
        <v>34930</v>
      </c>
      <c r="F27" s="260" t="n">
        <f aca="false">D27/$D$2</f>
        <v>-26.7204436601966</v>
      </c>
      <c r="G27" s="142" t="n">
        <v>214</v>
      </c>
      <c r="H27" s="603" t="n">
        <v>0</v>
      </c>
      <c r="I27" s="142" t="n">
        <f aca="false">G27+H27</f>
        <v>214</v>
      </c>
      <c r="J27" s="143" t="n">
        <f aca="false">IF(L27&gt;0,L27,0)</f>
        <v>0</v>
      </c>
      <c r="K27" s="142" t="n">
        <f aca="false">I27+J27</f>
        <v>214</v>
      </c>
      <c r="L27" s="142" t="n">
        <f aca="false">F27-(I27-AK27)</f>
        <v>-15.6204436601966</v>
      </c>
      <c r="M27" s="262" t="n">
        <v>92.6</v>
      </c>
      <c r="N27" s="171" t="n">
        <f aca="false">1/$D$2*1.03</f>
        <v>0.519284093773632</v>
      </c>
      <c r="O27" s="142" t="n">
        <f aca="false">0*1.05</f>
        <v>0</v>
      </c>
      <c r="P27" s="171" t="n">
        <v>0</v>
      </c>
      <c r="Q27" s="346" t="n">
        <f aca="false">1096300/325851/1.9835*1.02</f>
        <v>1.73012835142715</v>
      </c>
      <c r="R27" s="138" t="n">
        <f aca="false">(3.4*1.04)-T27</f>
        <v>2.84843312</v>
      </c>
      <c r="S27" s="138" t="n">
        <v>0</v>
      </c>
      <c r="T27" s="138" t="n">
        <f aca="false">(0.6237*1.06)*1.04</f>
        <v>0.68756688</v>
      </c>
      <c r="U27" s="365" t="n">
        <v>0</v>
      </c>
      <c r="V27" s="142" t="n">
        <v>53.6</v>
      </c>
      <c r="W27" s="142" t="n">
        <v>38.8</v>
      </c>
      <c r="X27" s="142" t="n">
        <f aca="false">M27-N27-O27-P27-Q27-R27-S27-T27-U27+V27+W27-AU27+AR27</f>
        <v>179.214587554799</v>
      </c>
      <c r="Y27" s="142" t="n">
        <f aca="false">X27-AO27</f>
        <v>179.214587554799</v>
      </c>
      <c r="Z27" s="113"/>
      <c r="AA27" s="142"/>
      <c r="AB27" s="113"/>
      <c r="AC27" s="441" t="n">
        <f aca="false">AC26+0</f>
        <v>362.209052785143</v>
      </c>
      <c r="AD27" s="516" t="n">
        <f aca="false">AD26</f>
        <v>4858.65512901258</v>
      </c>
      <c r="AE27" s="142" t="n">
        <v>0</v>
      </c>
      <c r="AF27" s="144" t="n">
        <v>1.7</v>
      </c>
      <c r="AG27" s="145" t="n">
        <v>1.3</v>
      </c>
      <c r="AH27" s="142" t="n">
        <v>40.1</v>
      </c>
      <c r="AI27" s="113" t="n">
        <f aca="false">AI26-AH27</f>
        <v>4851.54923115706</v>
      </c>
      <c r="AJ27" s="113"/>
      <c r="AK27" s="141" t="n">
        <f aca="false">N27+O27+P27+Q27+R27+S27+T27+U27+X27+AE27+AH27</f>
        <v>225.1</v>
      </c>
      <c r="AL27" s="142" t="n">
        <f aca="false">IF(L27&lt;0,L27*-1,0)</f>
        <v>15.6204436601966</v>
      </c>
      <c r="AM27" s="142" t="n">
        <f aca="false">AK27+AL27</f>
        <v>240.720443660197</v>
      </c>
      <c r="AN27" s="146"/>
      <c r="AO27" s="143"/>
      <c r="AP27" s="585" t="n">
        <f aca="false">I27-Q27-R27-X27-AF27</f>
        <v>28.5068509737736</v>
      </c>
      <c r="AQ27" s="171" t="n">
        <f aca="false">29.204*(Z27*1.9835+AC27*1.9835)/E27</f>
        <v>0.600669056044812</v>
      </c>
      <c r="AR27" s="171"/>
      <c r="AS27" s="171"/>
      <c r="AT27" s="113"/>
      <c r="AU27" s="56"/>
      <c r="AV27" s="110" t="n">
        <f aca="false">O27</f>
        <v>0</v>
      </c>
      <c r="AW27" s="330" t="n">
        <v>0</v>
      </c>
      <c r="AX27" s="226" t="n">
        <v>61</v>
      </c>
      <c r="AY27" s="226" t="n">
        <v>32</v>
      </c>
      <c r="AZ27" s="265"/>
      <c r="BA27" s="264" t="n">
        <f aca="false">SUM(N27,P27:U27)</f>
        <v>5.78541244520078</v>
      </c>
      <c r="BB27" s="193" t="n">
        <v>0.2</v>
      </c>
      <c r="BC27" s="265" t="n">
        <v>15354</v>
      </c>
    </row>
    <row r="28" customFormat="false" ht="12.95" hidden="false" customHeight="true" outlineLevel="0" collapsed="false">
      <c r="A28" s="192" t="n">
        <f aca="false">A27+1</f>
        <v>14</v>
      </c>
      <c r="B28" s="112" t="n">
        <v>6869.6</v>
      </c>
      <c r="C28" s="113" t="n">
        <v>186745</v>
      </c>
      <c r="D28" s="226" t="n">
        <f aca="false">C28-C27</f>
        <v>-185</v>
      </c>
      <c r="E28" s="113" t="n">
        <f aca="false">C28-152000</f>
        <v>34745</v>
      </c>
      <c r="F28" s="260" t="n">
        <f aca="false">D28/$D$2</f>
        <v>-93.2694731535165</v>
      </c>
      <c r="G28" s="142" t="n">
        <v>201</v>
      </c>
      <c r="H28" s="603" t="n">
        <v>0</v>
      </c>
      <c r="I28" s="142" t="n">
        <f aca="false">G28+H28</f>
        <v>201</v>
      </c>
      <c r="J28" s="143" t="n">
        <f aca="false">IF(L28&gt;0,L28,0)</f>
        <v>0</v>
      </c>
      <c r="K28" s="142" t="n">
        <f aca="false">I28+J28</f>
        <v>201</v>
      </c>
      <c r="L28" s="142" t="n">
        <f aca="false">F28-(I28-AK28)</f>
        <v>-72.7694731535165</v>
      </c>
      <c r="M28" s="262" t="n">
        <v>89.6</v>
      </c>
      <c r="N28" s="171" t="n">
        <f aca="false">1/$D$2*1.03</f>
        <v>0.519284093773632</v>
      </c>
      <c r="O28" s="142" t="n">
        <f aca="false">6.86*1.05</f>
        <v>7.203</v>
      </c>
      <c r="P28" s="171" t="n">
        <v>0</v>
      </c>
      <c r="Q28" s="346" t="n">
        <f aca="false">1150100/325851/1.9835*1.02</f>
        <v>1.81503294442795</v>
      </c>
      <c r="R28" s="138" t="n">
        <f aca="false">(3.3*1.04)-T28</f>
        <v>2.74443312</v>
      </c>
      <c r="S28" s="138" t="n">
        <v>0</v>
      </c>
      <c r="T28" s="138" t="n">
        <f aca="false">(0.6237*1.06)*1.04</f>
        <v>0.68756688</v>
      </c>
      <c r="U28" s="365" t="n">
        <v>0</v>
      </c>
      <c r="V28" s="142" t="n">
        <v>53.4</v>
      </c>
      <c r="W28" s="142" t="n">
        <v>38.3</v>
      </c>
      <c r="X28" s="142" t="n">
        <f aca="false">M28-N28-O28-P28-Q28-R28-S28-T28-U28+V28+W28-AU28+AR28</f>
        <v>168.330682961798</v>
      </c>
      <c r="Y28" s="142" t="n">
        <f aca="false">X28-AO28</f>
        <v>168.330682961798</v>
      </c>
      <c r="Z28" s="113"/>
      <c r="AA28" s="142"/>
      <c r="AB28" s="113"/>
      <c r="AC28" s="441" t="n">
        <f aca="false">AC27+0</f>
        <v>362.209052785143</v>
      </c>
      <c r="AD28" s="516" t="n">
        <f aca="false">AD27</f>
        <v>4858.65512901258</v>
      </c>
      <c r="AE28" s="142" t="n">
        <v>0</v>
      </c>
      <c r="AF28" s="144" t="n">
        <v>1.7</v>
      </c>
      <c r="AG28" s="145" t="n">
        <v>1.3</v>
      </c>
      <c r="AH28" s="142" t="n">
        <v>40.2</v>
      </c>
      <c r="AI28" s="113" t="n">
        <f aca="false">AI27-AH28</f>
        <v>4811.34923115706</v>
      </c>
      <c r="AJ28" s="113"/>
      <c r="AK28" s="141" t="n">
        <f aca="false">N28+O28+P28+Q28+R28+S28+T28+U28+X28+AE28+AH28</f>
        <v>221.5</v>
      </c>
      <c r="AL28" s="142" t="n">
        <f aca="false">IF(L28&lt;0,L28*-1,0)</f>
        <v>72.7694731535165</v>
      </c>
      <c r="AM28" s="142" t="n">
        <f aca="false">AK28+AL28</f>
        <v>294.269473153517</v>
      </c>
      <c r="AN28" s="146"/>
      <c r="AO28" s="143"/>
      <c r="AP28" s="585" t="n">
        <f aca="false">I28-Q28-R28-X28-AF28</f>
        <v>26.4098509737737</v>
      </c>
      <c r="AQ28" s="171" t="n">
        <f aca="false">10.874*(Z28*1.9835+AC28*1.9835)/E28</f>
        <v>0.224847735487452</v>
      </c>
      <c r="AR28" s="171"/>
      <c r="AS28" s="171"/>
      <c r="AT28" s="113"/>
      <c r="AU28" s="56"/>
      <c r="AV28" s="110" t="n">
        <f aca="false">O28</f>
        <v>7.203</v>
      </c>
      <c r="AW28" s="330" t="n">
        <v>0</v>
      </c>
      <c r="AX28" s="232" t="n">
        <v>70</v>
      </c>
      <c r="AY28" s="226" t="n">
        <v>34</v>
      </c>
      <c r="AZ28" s="265"/>
      <c r="BA28" s="264" t="n">
        <f aca="false">SUM(N28,P28:U28)</f>
        <v>5.76631703820158</v>
      </c>
      <c r="BB28" s="193" t="n">
        <v>0.2</v>
      </c>
      <c r="BC28" s="265" t="n">
        <v>15383</v>
      </c>
    </row>
    <row r="29" customFormat="false" ht="12.95" hidden="false" customHeight="true" outlineLevel="0" collapsed="false">
      <c r="A29" s="192" t="n">
        <f aca="false">A28+1</f>
        <v>15</v>
      </c>
      <c r="B29" s="112" t="n">
        <v>6869.59</v>
      </c>
      <c r="C29" s="113" t="n">
        <v>186719</v>
      </c>
      <c r="D29" s="226" t="n">
        <f aca="false">C29-C28</f>
        <v>-26</v>
      </c>
      <c r="E29" s="113" t="n">
        <f aca="false">C29-152000</f>
        <v>34719</v>
      </c>
      <c r="F29" s="260" t="n">
        <f aca="false">D29/$D$2</f>
        <v>-13.1081421729266</v>
      </c>
      <c r="G29" s="142" t="n">
        <v>190</v>
      </c>
      <c r="H29" s="603" t="n">
        <v>0</v>
      </c>
      <c r="I29" s="142" t="n">
        <f aca="false">G29+H29</f>
        <v>190</v>
      </c>
      <c r="J29" s="143" t="n">
        <f aca="false">IF(L29&gt;0,L29,0)</f>
        <v>25.0918578270733</v>
      </c>
      <c r="K29" s="142" t="n">
        <f aca="false">I29+J29</f>
        <v>215.091857827073</v>
      </c>
      <c r="L29" s="142" t="n">
        <f aca="false">F29-(I29-AK29)</f>
        <v>25.0918578270733</v>
      </c>
      <c r="M29" s="262" t="n">
        <v>97.7</v>
      </c>
      <c r="N29" s="171" t="n">
        <f aca="false">1/$D$2*1.03</f>
        <v>0.519284093773632</v>
      </c>
      <c r="O29" s="142" t="n">
        <f aca="false">13.1*1.05</f>
        <v>13.755</v>
      </c>
      <c r="P29" s="171" t="n">
        <v>0</v>
      </c>
      <c r="Q29" s="346" t="n">
        <f aca="false">1139100/325851/1.9835*1.02</f>
        <v>1.79767326927909</v>
      </c>
      <c r="R29" s="138" t="n">
        <f aca="false">(2.9*1.04)-T29</f>
        <v>2.32843312</v>
      </c>
      <c r="S29" s="138" t="n">
        <v>0</v>
      </c>
      <c r="T29" s="138" t="n">
        <f aca="false">(0.6237*1.06)*1.04</f>
        <v>0.68756688</v>
      </c>
      <c r="U29" s="365" t="n">
        <v>0</v>
      </c>
      <c r="V29" s="142" t="n">
        <v>52.3</v>
      </c>
      <c r="W29" s="142" t="n">
        <v>38</v>
      </c>
      <c r="X29" s="142" t="n">
        <f aca="false">M29-N29-O29-P29-Q29-R29-S29-T29-U29+V29+W29-AU29+AR29</f>
        <v>168.912042636947</v>
      </c>
      <c r="Y29" s="142" t="n">
        <f aca="false">X29-AO29</f>
        <v>168.912042636947</v>
      </c>
      <c r="Z29" s="113"/>
      <c r="AA29" s="142"/>
      <c r="AB29" s="113"/>
      <c r="AC29" s="441" t="n">
        <f aca="false">AC28+0</f>
        <v>362.209052785143</v>
      </c>
      <c r="AD29" s="516" t="n">
        <f aca="false">AD28</f>
        <v>4858.65512901258</v>
      </c>
      <c r="AE29" s="142" t="n">
        <v>0</v>
      </c>
      <c r="AF29" s="144" t="n">
        <v>1.7</v>
      </c>
      <c r="AG29" s="145" t="n">
        <v>1.3</v>
      </c>
      <c r="AH29" s="142" t="n">
        <v>40.2</v>
      </c>
      <c r="AI29" s="113" t="n">
        <f aca="false">AI28-AH29</f>
        <v>4771.14923115706</v>
      </c>
      <c r="AJ29" s="113"/>
      <c r="AK29" s="141" t="n">
        <f aca="false">N29+O29+P29+Q29+R29+S29+T29+U29+X29+AE29+AH29</f>
        <v>228.2</v>
      </c>
      <c r="AL29" s="142" t="n">
        <f aca="false">IF(L29&lt;0,L29*-1,0)</f>
        <v>0</v>
      </c>
      <c r="AM29" s="142" t="n">
        <f aca="false">AK29+AL29</f>
        <v>228.2</v>
      </c>
      <c r="AN29" s="146"/>
      <c r="AO29" s="143"/>
      <c r="AP29" s="585" t="n">
        <f aca="false">I29-Q29-R29-X29-AF29</f>
        <v>15.2618509737737</v>
      </c>
      <c r="AQ29" s="171" t="n">
        <f aca="false">20.35*(Z29*1.9835+AC29*1.9835)/E29</f>
        <v>0.421103364257507</v>
      </c>
      <c r="AR29" s="171"/>
      <c r="AS29" s="171"/>
      <c r="AT29" s="113"/>
      <c r="AU29" s="56"/>
      <c r="AV29" s="110" t="n">
        <f aca="false">O29</f>
        <v>13.755</v>
      </c>
      <c r="AW29" s="330" t="n">
        <v>0</v>
      </c>
      <c r="AX29" s="232" t="n">
        <v>75</v>
      </c>
      <c r="AY29" s="226" t="n">
        <v>38</v>
      </c>
      <c r="AZ29" s="265"/>
      <c r="BA29" s="264" t="n">
        <f aca="false">SUM(N29,P29:U29)</f>
        <v>5.33295736305272</v>
      </c>
      <c r="BB29" s="193" t="n">
        <v>0.2</v>
      </c>
      <c r="BC29" s="265" t="n">
        <v>15383</v>
      </c>
    </row>
    <row r="30" customFormat="false" ht="12.95" hidden="false" customHeight="true" outlineLevel="0" collapsed="false">
      <c r="A30" s="192" t="n">
        <f aca="false">A29+1</f>
        <v>16</v>
      </c>
      <c r="B30" s="112" t="n">
        <v>6869.62</v>
      </c>
      <c r="C30" s="113" t="n">
        <v>186798</v>
      </c>
      <c r="D30" s="226" t="n">
        <f aca="false">C30-C29</f>
        <v>79</v>
      </c>
      <c r="E30" s="113" t="n">
        <f aca="false">C30-152000</f>
        <v>34798</v>
      </c>
      <c r="F30" s="260" t="n">
        <f aca="false">D30/$D$2</f>
        <v>39.8285858331233</v>
      </c>
      <c r="G30" s="142" t="n">
        <v>179</v>
      </c>
      <c r="H30" s="603" t="n">
        <v>0</v>
      </c>
      <c r="I30" s="142" t="n">
        <f aca="false">G30+H30</f>
        <v>179</v>
      </c>
      <c r="J30" s="143" t="n">
        <f aca="false">IF(L30&gt;0,L30,0)</f>
        <v>2.92558583312327</v>
      </c>
      <c r="K30" s="142" t="n">
        <f aca="false">I30+J30</f>
        <v>181.925585833123</v>
      </c>
      <c r="L30" s="142" t="n">
        <f aca="false">F30-(I30-AK30)</f>
        <v>2.92558583312327</v>
      </c>
      <c r="M30" s="262" t="n">
        <v>15.4</v>
      </c>
      <c r="N30" s="171" t="n">
        <f aca="false">1/$D$2*1.03</f>
        <v>0.519284093773632</v>
      </c>
      <c r="O30" s="142" t="n">
        <f aca="false">8.71*1.05</f>
        <v>9.1455</v>
      </c>
      <c r="P30" s="171" t="n">
        <v>0</v>
      </c>
      <c r="Q30" s="346" t="n">
        <f aca="false">1007600/325851/1.9835*1.02</f>
        <v>1.59014624363586</v>
      </c>
      <c r="R30" s="138" t="n">
        <f aca="false">(3*1.04)-T30</f>
        <v>2.43243312</v>
      </c>
      <c r="S30" s="138" t="n">
        <v>0</v>
      </c>
      <c r="T30" s="138" t="n">
        <f aca="false">(0.6237*1.06)*1.04</f>
        <v>0.68756688</v>
      </c>
      <c r="U30" s="365" t="n">
        <v>0</v>
      </c>
      <c r="V30" s="142" t="n">
        <v>86.1</v>
      </c>
      <c r="W30" s="142" t="n">
        <v>0.397</v>
      </c>
      <c r="X30" s="142" t="n">
        <f aca="false">M30-N30-O30-P30-Q30-R30-S30-T30-U30+V30+W30-AU30+AR30</f>
        <v>87.5220696625905</v>
      </c>
      <c r="Y30" s="142" t="n">
        <f aca="false">X30-AO30</f>
        <v>87.5220696625905</v>
      </c>
      <c r="Z30" s="113"/>
      <c r="AA30" s="142"/>
      <c r="AB30" s="113"/>
      <c r="AC30" s="441" t="n">
        <f aca="false">AC29+0</f>
        <v>362.209052785143</v>
      </c>
      <c r="AD30" s="516" t="n">
        <f aca="false">AD29</f>
        <v>4858.65512901258</v>
      </c>
      <c r="AE30" s="142" t="n">
        <v>0</v>
      </c>
      <c r="AF30" s="144" t="n">
        <v>1.7</v>
      </c>
      <c r="AG30" s="145" t="n">
        <v>1.3</v>
      </c>
      <c r="AH30" s="142" t="n">
        <v>40.2</v>
      </c>
      <c r="AI30" s="113" t="n">
        <f aca="false">AI29-AH30</f>
        <v>4730.94923115706</v>
      </c>
      <c r="AJ30" s="113"/>
      <c r="AK30" s="141" t="n">
        <f aca="false">N30+O30+P30+Q30+R30+S30+T30+U30+X30+AE30+AH30</f>
        <v>142.097</v>
      </c>
      <c r="AL30" s="142" t="n">
        <f aca="false">IF(L30&lt;0,L30*-1,0)</f>
        <v>0</v>
      </c>
      <c r="AM30" s="142" t="n">
        <f aca="false">AK30+AL30</f>
        <v>142.097</v>
      </c>
      <c r="AN30" s="146" t="n">
        <f aca="false">150*(1.75/24)</f>
        <v>10.9375</v>
      </c>
      <c r="AO30" s="143"/>
      <c r="AP30" s="585" t="n">
        <f aca="false">I30-Q30-R30-X30-AF30</f>
        <v>85.7553509737736</v>
      </c>
      <c r="AQ30" s="171" t="n">
        <f aca="false">15.845*(Z30*1.9835+AC30*1.9835)/E30</f>
        <v>0.327136848165941</v>
      </c>
      <c r="AR30" s="171"/>
      <c r="AS30" s="143"/>
      <c r="AT30" s="113"/>
      <c r="AU30" s="56"/>
      <c r="AV30" s="110" t="n">
        <f aca="false">O30</f>
        <v>9.1455</v>
      </c>
      <c r="AW30" s="330" t="n">
        <v>0</v>
      </c>
      <c r="AX30" s="232" t="n">
        <v>73</v>
      </c>
      <c r="AY30" s="226" t="n">
        <v>39</v>
      </c>
      <c r="AZ30" s="265"/>
      <c r="BA30" s="264" t="n">
        <f aca="false">SUM(N30,P30:U30)</f>
        <v>5.22943033740949</v>
      </c>
      <c r="BB30" s="193" t="n">
        <v>0.2</v>
      </c>
      <c r="BC30" s="265" t="n">
        <v>15377</v>
      </c>
    </row>
    <row r="31" customFormat="false" ht="12.95" hidden="false" customHeight="true" outlineLevel="0" collapsed="false">
      <c r="A31" s="192" t="n">
        <f aca="false">A30+1</f>
        <v>17</v>
      </c>
      <c r="B31" s="112" t="n">
        <v>6869.58</v>
      </c>
      <c r="C31" s="113" t="n">
        <v>186692</v>
      </c>
      <c r="D31" s="226" t="n">
        <f aca="false">C31-C30</f>
        <v>-106</v>
      </c>
      <c r="E31" s="113" t="n">
        <f aca="false">C31-152000</f>
        <v>34692</v>
      </c>
      <c r="F31" s="260" t="n">
        <f aca="false">D31/$D$2</f>
        <v>-53.4408873203932</v>
      </c>
      <c r="G31" s="142" t="n">
        <v>169</v>
      </c>
      <c r="H31" s="603" t="n">
        <v>0</v>
      </c>
      <c r="I31" s="142" t="n">
        <f aca="false">G31+H31</f>
        <v>169</v>
      </c>
      <c r="J31" s="143" t="n">
        <f aca="false">IF(L31&gt;0,L31,0)</f>
        <v>0</v>
      </c>
      <c r="K31" s="142" t="n">
        <f aca="false">I31+J31</f>
        <v>169</v>
      </c>
      <c r="L31" s="142" t="n">
        <f aca="false">F31-(I31-AK31)</f>
        <v>-25.1808873203933</v>
      </c>
      <c r="M31" s="262" t="n">
        <v>7.06</v>
      </c>
      <c r="N31" s="171" t="n">
        <f aca="false">1/$D$2*1.03</f>
        <v>0.519284093773632</v>
      </c>
      <c r="O31" s="142" t="n">
        <f aca="false">4.49*1.05</f>
        <v>4.7145</v>
      </c>
      <c r="P31" s="171" t="n">
        <v>0</v>
      </c>
      <c r="Q31" s="346" t="n">
        <f aca="false">1149000/325851/1.9835*1.02</f>
        <v>1.81329697691306</v>
      </c>
      <c r="R31" s="138" t="n">
        <f aca="false">(3*1.04)-T31</f>
        <v>2.40906224</v>
      </c>
      <c r="S31" s="138" t="n">
        <v>0</v>
      </c>
      <c r="T31" s="138" t="n">
        <f aca="false">(0.6449*1.06)*1.04</f>
        <v>0.71093776</v>
      </c>
      <c r="U31" s="365" t="n">
        <v>0</v>
      </c>
      <c r="V31" s="142" t="n">
        <v>150</v>
      </c>
      <c r="W31" s="142" t="n">
        <v>0</v>
      </c>
      <c r="X31" s="142" t="n">
        <f aca="false">M31-N31-O31-P31-Q31-R31-S31-T31-U31+V31+W31-AU31+AR31</f>
        <v>146.892918929313</v>
      </c>
      <c r="Y31" s="142" t="n">
        <f aca="false">X31-AO31</f>
        <v>146.892918929313</v>
      </c>
      <c r="Z31" s="113"/>
      <c r="AA31" s="142"/>
      <c r="AB31" s="113"/>
      <c r="AC31" s="441" t="n">
        <f aca="false">AC30+0</f>
        <v>362.209052785143</v>
      </c>
      <c r="AD31" s="516" t="n">
        <f aca="false">AD30</f>
        <v>4858.65512901258</v>
      </c>
      <c r="AE31" s="142" t="n">
        <v>0</v>
      </c>
      <c r="AF31" s="144" t="n">
        <v>1.7</v>
      </c>
      <c r="AG31" s="145" t="n">
        <v>1.3</v>
      </c>
      <c r="AH31" s="142" t="n">
        <v>40.2</v>
      </c>
      <c r="AI31" s="113" t="n">
        <f aca="false">AI30-AH31</f>
        <v>4690.74923115706</v>
      </c>
      <c r="AJ31" s="113"/>
      <c r="AK31" s="141" t="n">
        <f aca="false">N31+O31+P31+Q31+R31+S31+T31+U31+X31+AE31+AH31</f>
        <v>197.26</v>
      </c>
      <c r="AL31" s="142" t="n">
        <f aca="false">IF(L31&lt;0,L31*-1,0)</f>
        <v>25.1808873203933</v>
      </c>
      <c r="AM31" s="142" t="n">
        <f aca="false">AK31+AL31</f>
        <v>222.440887320393</v>
      </c>
      <c r="AN31" s="146" t="n">
        <f aca="false">V31</f>
        <v>150</v>
      </c>
      <c r="AO31" s="143"/>
      <c r="AP31" s="585" t="n">
        <f aca="false">I31-Q31-R31-X31-AF31</f>
        <v>16.1847218537736</v>
      </c>
      <c r="AQ31" s="171" t="n">
        <f aca="false">15.379*(Z31*1.9835+AC31*1.9835)/E31</f>
        <v>0.318485940006039</v>
      </c>
      <c r="AR31" s="171"/>
      <c r="AS31" s="143"/>
      <c r="AT31" s="113"/>
      <c r="AU31" s="56"/>
      <c r="AV31" s="110" t="n">
        <f aca="false">O31</f>
        <v>4.7145</v>
      </c>
      <c r="AW31" s="330" t="n">
        <v>0</v>
      </c>
      <c r="AX31" s="232" t="n">
        <v>72</v>
      </c>
      <c r="AY31" s="226" t="n">
        <v>40</v>
      </c>
      <c r="AZ31" s="265"/>
      <c r="BA31" s="264" t="n">
        <f aca="false">SUM(N31,P31:U31)</f>
        <v>5.4525810706867</v>
      </c>
      <c r="BB31" s="193" t="n">
        <v>0.2</v>
      </c>
      <c r="BC31" s="265" t="n">
        <v>15366</v>
      </c>
    </row>
    <row r="32" customFormat="false" ht="12.95" hidden="false" customHeight="true" outlineLevel="0" collapsed="false">
      <c r="A32" s="192" t="n">
        <f aca="false">A31+1</f>
        <v>18</v>
      </c>
      <c r="B32" s="112" t="n">
        <v>6869.54</v>
      </c>
      <c r="C32" s="113" t="n">
        <v>186586</v>
      </c>
      <c r="D32" s="226" t="n">
        <f aca="false">C32-C31</f>
        <v>-106</v>
      </c>
      <c r="E32" s="113" t="n">
        <f aca="false">C32-152000</f>
        <v>34586</v>
      </c>
      <c r="F32" s="260" t="n">
        <f aca="false">D32/$D$2</f>
        <v>-53.4408873203932</v>
      </c>
      <c r="G32" s="142" t="n">
        <v>161</v>
      </c>
      <c r="H32" s="603" t="n">
        <v>0</v>
      </c>
      <c r="I32" s="142" t="n">
        <f aca="false">G32+H32</f>
        <v>161</v>
      </c>
      <c r="J32" s="143" t="n">
        <f aca="false">IF(L32&gt;0,L32,0)</f>
        <v>0</v>
      </c>
      <c r="K32" s="142" t="n">
        <f aca="false">I32+J32</f>
        <v>161</v>
      </c>
      <c r="L32" s="142" t="n">
        <f aca="false">F32-(I32-AK32)</f>
        <v>-16.7628873203932</v>
      </c>
      <c r="M32" s="262" t="n">
        <v>7.45</v>
      </c>
      <c r="N32" s="171" t="n">
        <f aca="false">1/$D$2*1.03</f>
        <v>0.519284093773632</v>
      </c>
      <c r="O32" s="142" t="n">
        <f aca="false">6.76*1.05</f>
        <v>7.098</v>
      </c>
      <c r="P32" s="171" t="n">
        <v>0</v>
      </c>
      <c r="Q32" s="346" t="n">
        <f aca="false">1093900/325851/1.9835*1.02</f>
        <v>1.72634078594012</v>
      </c>
      <c r="R32" s="138" t="n">
        <f aca="false">(3*1.04)-T32</f>
        <v>2.40906224</v>
      </c>
      <c r="S32" s="138" t="n">
        <v>0</v>
      </c>
      <c r="T32" s="138" t="n">
        <f aca="false">(0.6449*1.06)*1.04</f>
        <v>0.71093776</v>
      </c>
      <c r="U32" s="365" t="n">
        <v>0</v>
      </c>
      <c r="V32" s="142" t="n">
        <v>150</v>
      </c>
      <c r="W32" s="142" t="n">
        <v>0.028</v>
      </c>
      <c r="X32" s="142" t="n">
        <f aca="false">M32-N32-O32-P32-Q32-R32-S32-T32-U32+V32+W32-AU32+AR32</f>
        <v>145.014375120286</v>
      </c>
      <c r="Y32" s="142" t="n">
        <f aca="false">X32-AO32</f>
        <v>145.014375120286</v>
      </c>
      <c r="Z32" s="113"/>
      <c r="AA32" s="142"/>
      <c r="AB32" s="113"/>
      <c r="AC32" s="441" t="n">
        <f aca="false">AC31+0</f>
        <v>362.209052785143</v>
      </c>
      <c r="AD32" s="516" t="n">
        <f aca="false">AD31</f>
        <v>4858.65512901258</v>
      </c>
      <c r="AE32" s="142" t="n">
        <v>0</v>
      </c>
      <c r="AF32" s="144" t="n">
        <v>1.7</v>
      </c>
      <c r="AG32" s="145" t="n">
        <v>1.3</v>
      </c>
      <c r="AH32" s="142" t="n">
        <v>40.2</v>
      </c>
      <c r="AI32" s="113" t="n">
        <f aca="false">AI31-AH32</f>
        <v>4650.54923115706</v>
      </c>
      <c r="AJ32" s="113"/>
      <c r="AK32" s="141" t="n">
        <f aca="false">N32+O32+P32+Q32+R32+S32+T32+U32+X32+AE32+AH32</f>
        <v>197.678</v>
      </c>
      <c r="AL32" s="142" t="n">
        <f aca="false">IF(L32&lt;0,L32*-1,0)</f>
        <v>16.7628873203932</v>
      </c>
      <c r="AM32" s="142" t="n">
        <f aca="false">AK32+AL32</f>
        <v>214.440887320393</v>
      </c>
      <c r="AN32" s="146" t="n">
        <f aca="false">V32</f>
        <v>150</v>
      </c>
      <c r="AO32" s="143"/>
      <c r="AP32" s="585" t="n">
        <f aca="false">I32-Q32-R32-X32-AF32</f>
        <v>10.1502218537736</v>
      </c>
      <c r="AQ32" s="171" t="n">
        <f aca="false">9.942*(Z32*1.9835+AC32*1.9835)/E32</f>
        <v>0.206521336550447</v>
      </c>
      <c r="AR32" s="171"/>
      <c r="AS32" s="143"/>
      <c r="AT32" s="113"/>
      <c r="AU32" s="56"/>
      <c r="AV32" s="110" t="n">
        <f aca="false">O32</f>
        <v>7.098</v>
      </c>
      <c r="AW32" s="330" t="n">
        <v>0</v>
      </c>
      <c r="AX32" s="232" t="n">
        <v>70</v>
      </c>
      <c r="AY32" s="226" t="n">
        <v>44</v>
      </c>
      <c r="AZ32" s="265"/>
      <c r="BA32" s="264" t="n">
        <f aca="false">SUM(N32,P32:U32)</f>
        <v>5.36562487971376</v>
      </c>
      <c r="BB32" s="193" t="n">
        <v>0.2</v>
      </c>
      <c r="BC32" s="265" t="n">
        <v>15384</v>
      </c>
    </row>
    <row r="33" customFormat="false" ht="12.95" hidden="false" customHeight="true" outlineLevel="0" collapsed="false">
      <c r="A33" s="192" t="n">
        <f aca="false">A32+1</f>
        <v>19</v>
      </c>
      <c r="B33" s="112" t="n">
        <v>6869.5</v>
      </c>
      <c r="C33" s="113" t="n">
        <v>186481</v>
      </c>
      <c r="D33" s="226" t="n">
        <f aca="false">C33-C32</f>
        <v>-105</v>
      </c>
      <c r="E33" s="113" t="n">
        <f aca="false">C33-152000</f>
        <v>34481</v>
      </c>
      <c r="F33" s="260" t="n">
        <f aca="false">D33/$D$2</f>
        <v>-52.9367280060499</v>
      </c>
      <c r="G33" s="142" t="n">
        <v>158</v>
      </c>
      <c r="H33" s="603" t="n">
        <v>0</v>
      </c>
      <c r="I33" s="142" t="n">
        <f aca="false">G33+H33</f>
        <v>158</v>
      </c>
      <c r="J33" s="143" t="n">
        <f aca="false">IF(L33&gt;0,L33,0)</f>
        <v>0</v>
      </c>
      <c r="K33" s="142" t="n">
        <f aca="false">I33+J33</f>
        <v>158</v>
      </c>
      <c r="L33" s="142" t="n">
        <f aca="false">F33-(I33-AK33)</f>
        <v>-14.7367280060499</v>
      </c>
      <c r="M33" s="262" t="n">
        <v>7</v>
      </c>
      <c r="N33" s="171" t="n">
        <f aca="false">1/$D$2*1.03</f>
        <v>0.519284093773632</v>
      </c>
      <c r="O33" s="142" t="n">
        <f aca="false">8.22*1.05</f>
        <v>8.631</v>
      </c>
      <c r="P33" s="171" t="n">
        <v>0</v>
      </c>
      <c r="Q33" s="346" t="n">
        <f aca="false">1162600/325851/1.9835*1.02</f>
        <v>1.8347598480062</v>
      </c>
      <c r="R33" s="138" t="n">
        <f aca="false">(3.4*1.04)-T33</f>
        <v>2.82506224</v>
      </c>
      <c r="S33" s="138" t="n">
        <v>0</v>
      </c>
      <c r="T33" s="138" t="n">
        <f aca="false">(0.6449*1.06)*1.04</f>
        <v>0.71093776</v>
      </c>
      <c r="U33" s="365" t="n">
        <v>0</v>
      </c>
      <c r="V33" s="142" t="n">
        <v>149</v>
      </c>
      <c r="W33" s="142" t="n">
        <v>0</v>
      </c>
      <c r="X33" s="142" t="n">
        <f aca="false">M33-N33-O33-P33-Q33-R33-S33-T33-U33+V33+W33-AU33+AR33</f>
        <v>141.47895605822</v>
      </c>
      <c r="Y33" s="142" t="n">
        <f aca="false">X33-AO33</f>
        <v>141.47895605822</v>
      </c>
      <c r="Z33" s="113"/>
      <c r="AA33" s="142"/>
      <c r="AB33" s="113"/>
      <c r="AC33" s="441" t="n">
        <f aca="false">AC32+0</f>
        <v>362.209052785143</v>
      </c>
      <c r="AD33" s="516" t="n">
        <f aca="false">AD32</f>
        <v>4858.65512901258</v>
      </c>
      <c r="AE33" s="142" t="n">
        <v>0</v>
      </c>
      <c r="AF33" s="144" t="n">
        <v>1.7</v>
      </c>
      <c r="AG33" s="145" t="n">
        <v>1.3</v>
      </c>
      <c r="AH33" s="142" t="n">
        <v>40.2</v>
      </c>
      <c r="AI33" s="113" t="n">
        <f aca="false">AI32-AH33</f>
        <v>4610.34923115706</v>
      </c>
      <c r="AJ33" s="113"/>
      <c r="AK33" s="141" t="n">
        <f aca="false">N33+O33+P33+Q33+R33+S33+T33+U33+X33+AE33+AH33</f>
        <v>196.2</v>
      </c>
      <c r="AL33" s="142" t="n">
        <f aca="false">IF(L33&lt;0,L33*-1,0)</f>
        <v>14.7367280060499</v>
      </c>
      <c r="AM33" s="142" t="n">
        <f aca="false">AK33+AL33</f>
        <v>210.93672800605</v>
      </c>
      <c r="AN33" s="146" t="n">
        <f aca="false">V33</f>
        <v>149</v>
      </c>
      <c r="AO33" s="143"/>
      <c r="AP33" s="585" t="n">
        <f aca="false">I33-Q33-R33-X33-AF33</f>
        <v>10.1612218537737</v>
      </c>
      <c r="AQ33" s="171" t="n">
        <f aca="false">6.99*(Z33*1.9835+AC33*1.9835)/E33</f>
        <v>0.145642735907698</v>
      </c>
      <c r="AR33" s="171"/>
      <c r="AS33" s="171"/>
      <c r="AT33" s="113"/>
      <c r="AU33" s="56"/>
      <c r="AV33" s="110" t="n">
        <f aca="false">O33</f>
        <v>8.631</v>
      </c>
      <c r="AW33" s="330" t="n">
        <v>0.06</v>
      </c>
      <c r="AX33" s="232" t="n">
        <v>73</v>
      </c>
      <c r="AY33" s="226" t="n">
        <v>42</v>
      </c>
      <c r="AZ33" s="265"/>
      <c r="BA33" s="264" t="n">
        <f aca="false">SUM(N33,P33:U33)</f>
        <v>5.89004394177984</v>
      </c>
      <c r="BB33" s="193" t="n">
        <v>0.2</v>
      </c>
      <c r="BC33" s="265" t="n">
        <v>15390</v>
      </c>
    </row>
    <row r="34" customFormat="false" ht="12.95" hidden="false" customHeight="true" outlineLevel="0" collapsed="false">
      <c r="A34" s="192" t="n">
        <f aca="false">A33+1</f>
        <v>20</v>
      </c>
      <c r="B34" s="112" t="n">
        <v>6869.45</v>
      </c>
      <c r="C34" s="113" t="n">
        <v>186348</v>
      </c>
      <c r="D34" s="226" t="n">
        <f aca="false">C34-C33</f>
        <v>-133</v>
      </c>
      <c r="E34" s="113" t="n">
        <f aca="false">C34-152000</f>
        <v>34348</v>
      </c>
      <c r="F34" s="260" t="n">
        <f aca="false">D34/$D$2</f>
        <v>-67.0531888076632</v>
      </c>
      <c r="G34" s="142" t="n">
        <v>157</v>
      </c>
      <c r="H34" s="603" t="n">
        <v>0</v>
      </c>
      <c r="I34" s="142" t="n">
        <f aca="false">G34+H34</f>
        <v>157</v>
      </c>
      <c r="J34" s="143" t="n">
        <f aca="false">IF(L34&gt;0,L34,0)</f>
        <v>0</v>
      </c>
      <c r="K34" s="142" t="n">
        <f aca="false">I34+J34</f>
        <v>157</v>
      </c>
      <c r="L34" s="142" t="n">
        <f aca="false">F34-(I34-AK34)</f>
        <v>-19.9531888076632</v>
      </c>
      <c r="M34" s="262" t="n">
        <v>13.9</v>
      </c>
      <c r="N34" s="171" t="n">
        <f aca="false">1/$D$2*1.03</f>
        <v>0.519284093773632</v>
      </c>
      <c r="O34" s="142" t="n">
        <f aca="false">8.86*1.05</f>
        <v>9.303</v>
      </c>
      <c r="P34" s="171" t="n">
        <v>0</v>
      </c>
      <c r="Q34" s="346" t="n">
        <f aca="false">1081900/325851/1.9835*1.02</f>
        <v>1.707402958505</v>
      </c>
      <c r="R34" s="138" t="n">
        <f aca="false">(2.7*1.04)-T34</f>
        <v>2.09706224</v>
      </c>
      <c r="S34" s="138" t="n">
        <v>0</v>
      </c>
      <c r="T34" s="138" t="n">
        <f aca="false">(0.6449*1.06)*1.04</f>
        <v>0.71093776</v>
      </c>
      <c r="U34" s="365" t="n">
        <v>0</v>
      </c>
      <c r="V34" s="142" t="n">
        <v>150</v>
      </c>
      <c r="W34" s="142" t="n">
        <v>0</v>
      </c>
      <c r="X34" s="142" t="n">
        <f aca="false">M34-N34-O34-P34-Q34-R34-S34-T34-U34+V34+W34-AU34+AR34</f>
        <v>149.562312947721</v>
      </c>
      <c r="Y34" s="142" t="n">
        <f aca="false">X34-AO34</f>
        <v>149.562312947721</v>
      </c>
      <c r="Z34" s="113"/>
      <c r="AA34" s="142"/>
      <c r="AB34" s="113"/>
      <c r="AC34" s="441" t="n">
        <f aca="false">AC33+0</f>
        <v>362.209052785143</v>
      </c>
      <c r="AD34" s="516" t="n">
        <f aca="false">AD33</f>
        <v>4858.65512901258</v>
      </c>
      <c r="AE34" s="142" t="n">
        <v>0</v>
      </c>
      <c r="AF34" s="144" t="n">
        <v>1.7</v>
      </c>
      <c r="AG34" s="145" t="n">
        <v>1.3</v>
      </c>
      <c r="AH34" s="142" t="n">
        <v>40.2</v>
      </c>
      <c r="AI34" s="113" t="n">
        <f aca="false">AI33-AH34</f>
        <v>4570.14923115706</v>
      </c>
      <c r="AJ34" s="113"/>
      <c r="AK34" s="141" t="n">
        <f aca="false">N34+O34+P34+Q34+R34+S34+T34+U34+X34+AE34+AH34</f>
        <v>204.1</v>
      </c>
      <c r="AL34" s="142" t="n">
        <f aca="false">IF(L34&lt;0,L34*-1,0)</f>
        <v>19.9531888076632</v>
      </c>
      <c r="AM34" s="142" t="n">
        <f aca="false">AK34+AL34</f>
        <v>224.053188807663</v>
      </c>
      <c r="AN34" s="146" t="n">
        <f aca="false">V34</f>
        <v>150</v>
      </c>
      <c r="AO34" s="143"/>
      <c r="AP34" s="585" t="n">
        <f aca="false">I34-Q34-R34-X34-AF34</f>
        <v>1.93322185377362</v>
      </c>
      <c r="AQ34" s="171" t="n">
        <f aca="false">23.906*(Z34*1.9835+AC34*1.9835)/E34</f>
        <v>0.500031042072354</v>
      </c>
      <c r="AR34" s="171"/>
      <c r="AS34" s="171"/>
      <c r="AT34" s="113"/>
      <c r="AU34" s="56"/>
      <c r="AV34" s="110" t="n">
        <f aca="false">O34</f>
        <v>9.303</v>
      </c>
      <c r="AW34" s="330" t="n">
        <v>0</v>
      </c>
      <c r="AX34" s="232" t="n">
        <v>72</v>
      </c>
      <c r="AY34" s="226" t="n">
        <v>41</v>
      </c>
      <c r="AZ34" s="265"/>
      <c r="BA34" s="264" t="n">
        <f aca="false">SUM(N34,P34:U34)</f>
        <v>5.03468705227863</v>
      </c>
      <c r="BB34" s="193" t="n">
        <v>0.2</v>
      </c>
      <c r="BC34" s="265" t="n">
        <v>15398</v>
      </c>
    </row>
    <row r="35" customFormat="false" ht="12.95" hidden="false" customHeight="true" outlineLevel="0" collapsed="false">
      <c r="A35" s="192" t="n">
        <f aca="false">A34+1</f>
        <v>21</v>
      </c>
      <c r="B35" s="112" t="n">
        <v>6869.39</v>
      </c>
      <c r="C35" s="113" t="n">
        <v>186190</v>
      </c>
      <c r="D35" s="226" t="n">
        <f aca="false">C35-C34</f>
        <v>-158</v>
      </c>
      <c r="E35" s="113" t="n">
        <f aca="false">C35-152000</f>
        <v>34190</v>
      </c>
      <c r="F35" s="260" t="n">
        <f aca="false">D35/$D$2</f>
        <v>-79.6571716662465</v>
      </c>
      <c r="G35" s="142" t="n">
        <v>150</v>
      </c>
      <c r="H35" s="603" t="n">
        <v>0</v>
      </c>
      <c r="I35" s="142" t="n">
        <f aca="false">G35+H35</f>
        <v>150</v>
      </c>
      <c r="J35" s="143" t="n">
        <f aca="false">IF(L35&gt;0,L35,0)</f>
        <v>0</v>
      </c>
      <c r="K35" s="142" t="n">
        <f aca="false">I35+J35</f>
        <v>150</v>
      </c>
      <c r="L35" s="142" t="n">
        <f aca="false">F35-(I35-AK35)</f>
        <v>-6.25717166624655</v>
      </c>
      <c r="M35" s="262" t="n">
        <v>33.2</v>
      </c>
      <c r="N35" s="171" t="n">
        <f aca="false">1/$D$2*1.03</f>
        <v>0.519284093773632</v>
      </c>
      <c r="O35" s="142" t="n">
        <f aca="false">12.7*1.05</f>
        <v>13.335</v>
      </c>
      <c r="P35" s="171" t="n">
        <v>0</v>
      </c>
      <c r="Q35" s="346" t="n">
        <f aca="false">1016100/325851/1.9835*1.02</f>
        <v>1.60356053806907</v>
      </c>
      <c r="R35" s="138" t="n">
        <f aca="false">(2.9*1.04)-T35</f>
        <v>2.30506224</v>
      </c>
      <c r="S35" s="138" t="n">
        <v>0</v>
      </c>
      <c r="T35" s="138" t="n">
        <f aca="false">(0.6449*1.06)*1.04</f>
        <v>0.71093776</v>
      </c>
      <c r="U35" s="365" t="n">
        <v>0</v>
      </c>
      <c r="V35" s="142" t="n">
        <v>150</v>
      </c>
      <c r="W35" s="142" t="n">
        <v>0</v>
      </c>
      <c r="X35" s="142" t="n">
        <f aca="false">M35-N35-O35-P35-Q35-R35-S35-T35-U35+V35+W35-AU35+AR35</f>
        <v>164.726155368157</v>
      </c>
      <c r="Y35" s="142" t="n">
        <f aca="false">X35-AO35</f>
        <v>164.726155368157</v>
      </c>
      <c r="Z35" s="113"/>
      <c r="AA35" s="142"/>
      <c r="AB35" s="113"/>
      <c r="AC35" s="441" t="n">
        <f aca="false">AC34+AP35</f>
        <v>341.874274638917</v>
      </c>
      <c r="AD35" s="516" t="n">
        <f aca="false">AD34</f>
        <v>4858.65512901258</v>
      </c>
      <c r="AE35" s="142" t="n">
        <v>0</v>
      </c>
      <c r="AF35" s="144" t="n">
        <v>1.7</v>
      </c>
      <c r="AG35" s="145" t="n">
        <v>1.3</v>
      </c>
      <c r="AH35" s="142" t="n">
        <v>40.2</v>
      </c>
      <c r="AI35" s="113" t="n">
        <f aca="false">AI34-AH35</f>
        <v>4529.94923115706</v>
      </c>
      <c r="AJ35" s="113"/>
      <c r="AK35" s="141" t="n">
        <f aca="false">N35+O35+P35+Q35+R35+S35+T35+U35+X35+AE35+AH35</f>
        <v>223.4</v>
      </c>
      <c r="AL35" s="142" t="n">
        <f aca="false">IF(L35&lt;0,L35*-1,0)</f>
        <v>6.25717166624655</v>
      </c>
      <c r="AM35" s="142" t="n">
        <f aca="false">AK35+AL35</f>
        <v>229.657171666247</v>
      </c>
      <c r="AN35" s="146" t="n">
        <f aca="false">V35</f>
        <v>150</v>
      </c>
      <c r="AO35" s="102"/>
      <c r="AP35" s="585" t="n">
        <f aca="false">I35-Q35-R35-X35-AF35</f>
        <v>-20.3347781462264</v>
      </c>
      <c r="AQ35" s="171" t="n">
        <f aca="false">13.179*(Z35*1.9835+AC35*1.9835)/E35</f>
        <v>0.261385796237273</v>
      </c>
      <c r="AR35" s="171"/>
      <c r="AS35" s="171"/>
      <c r="AT35" s="113"/>
      <c r="AU35" s="56"/>
      <c r="AV35" s="110" t="n">
        <f aca="false">O35</f>
        <v>13.335</v>
      </c>
      <c r="AW35" s="330" t="n">
        <v>0</v>
      </c>
      <c r="AX35" s="226" t="n">
        <v>68</v>
      </c>
      <c r="AY35" s="226" t="n">
        <v>45</v>
      </c>
      <c r="AZ35" s="265"/>
      <c r="BA35" s="264" t="n">
        <f aca="false">SUM(N35,P35:U35)</f>
        <v>5.13884463184271</v>
      </c>
      <c r="BB35" s="193" t="n">
        <v>0.2</v>
      </c>
      <c r="BC35" s="265" t="n">
        <v>15408</v>
      </c>
    </row>
    <row r="36" customFormat="false" ht="12.95" hidden="false" customHeight="true" outlineLevel="0" collapsed="false">
      <c r="A36" s="192" t="n">
        <f aca="false">A35+1</f>
        <v>22</v>
      </c>
      <c r="B36" s="112" t="n">
        <v>6869.35</v>
      </c>
      <c r="C36" s="113" t="n">
        <v>186084</v>
      </c>
      <c r="D36" s="226" t="n">
        <f aca="false">C36-C35</f>
        <v>-106</v>
      </c>
      <c r="E36" s="113" t="n">
        <f aca="false">C36-152000</f>
        <v>34084</v>
      </c>
      <c r="F36" s="260" t="n">
        <f aca="false">D36/$D$2</f>
        <v>-53.4408873203932</v>
      </c>
      <c r="G36" s="142" t="n">
        <v>153</v>
      </c>
      <c r="H36" s="603" t="n">
        <v>0</v>
      </c>
      <c r="I36" s="142" t="n">
        <f aca="false">G36+H36</f>
        <v>153</v>
      </c>
      <c r="J36" s="143" t="n">
        <f aca="false">IF(L36&gt;0,L36,0)</f>
        <v>10.6591126796068</v>
      </c>
      <c r="K36" s="142" t="n">
        <f aca="false">I36+J36</f>
        <v>163.659112679607</v>
      </c>
      <c r="L36" s="142" t="n">
        <f aca="false">F36-(I36-AK36)</f>
        <v>10.6591126796068</v>
      </c>
      <c r="M36" s="262" t="n">
        <v>27.2</v>
      </c>
      <c r="N36" s="171" t="n">
        <f aca="false">1/$D$2*1.03</f>
        <v>0.519284093773632</v>
      </c>
      <c r="O36" s="142" t="n">
        <f aca="false">15.3*1.05</f>
        <v>16.065</v>
      </c>
      <c r="P36" s="171" t="n">
        <v>0</v>
      </c>
      <c r="Q36" s="346" t="n">
        <f aca="false">1037300/325851/1.9835*1.02</f>
        <v>1.63701736653779</v>
      </c>
      <c r="R36" s="138" t="n">
        <f aca="false">(2.9*1.04)-T36</f>
        <v>2.30506224</v>
      </c>
      <c r="S36" s="138" t="n">
        <v>0</v>
      </c>
      <c r="T36" s="138" t="n">
        <f aca="false">(0.6449*1.06)*1.04</f>
        <v>0.71093776</v>
      </c>
      <c r="U36" s="365" t="n">
        <v>0</v>
      </c>
      <c r="V36" s="142" t="n">
        <v>150</v>
      </c>
      <c r="W36" s="142" t="n">
        <v>0</v>
      </c>
      <c r="X36" s="142" t="n">
        <f aca="false">M36-N36-O36-P36-Q36-R36-S36-T36-U36+V36+W36-AU36+AR36</f>
        <v>155.962698539689</v>
      </c>
      <c r="Y36" s="142" t="n">
        <f aca="false">X36-AO36</f>
        <v>155.962698539689</v>
      </c>
      <c r="Z36" s="113"/>
      <c r="AA36" s="142"/>
      <c r="AB36" s="113"/>
      <c r="AC36" s="441" t="n">
        <f aca="false">AC35-(AQ35/1.9835)+AP36</f>
        <v>333.13771640888</v>
      </c>
      <c r="AD36" s="516" t="n">
        <f aca="false">AD35</f>
        <v>4858.65512901258</v>
      </c>
      <c r="AE36" s="142" t="n">
        <v>0</v>
      </c>
      <c r="AF36" s="144" t="n">
        <v>1.7</v>
      </c>
      <c r="AG36" s="145" t="n">
        <v>1.3</v>
      </c>
      <c r="AH36" s="142" t="n">
        <v>39.9</v>
      </c>
      <c r="AI36" s="113" t="n">
        <f aca="false">AI35-AH36</f>
        <v>4490.04923115706</v>
      </c>
      <c r="AJ36" s="113"/>
      <c r="AK36" s="141" t="n">
        <f aca="false">N36+O36+P36+Q36+R36+S36+T36+U36+X36+AE36+AH36</f>
        <v>217.1</v>
      </c>
      <c r="AL36" s="142" t="n">
        <f aca="false">IF(L36&lt;0,L36*-1,0)</f>
        <v>0</v>
      </c>
      <c r="AM36" s="142" t="n">
        <f aca="false">AK36+AL36</f>
        <v>217.1</v>
      </c>
      <c r="AN36" s="146" t="n">
        <f aca="false">V36</f>
        <v>150</v>
      </c>
      <c r="AO36" s="102"/>
      <c r="AP36" s="585" t="n">
        <f aca="false">I36-Q36-R36-X36-AF36</f>
        <v>-8.60477814622639</v>
      </c>
      <c r="AQ36" s="171" t="n">
        <f aca="false">13.639*(Z36*1.9835+AC36*1.9835)/E36</f>
        <v>0.264416152755509</v>
      </c>
      <c r="AR36" s="171"/>
      <c r="AS36" s="171"/>
      <c r="AT36" s="113"/>
      <c r="AU36" s="56"/>
      <c r="AV36" s="110" t="n">
        <f aca="false">O36</f>
        <v>16.065</v>
      </c>
      <c r="AW36" s="330" t="n">
        <v>0</v>
      </c>
      <c r="AX36" s="226" t="n">
        <v>68</v>
      </c>
      <c r="AY36" s="226" t="n">
        <v>40</v>
      </c>
      <c r="AZ36" s="265"/>
      <c r="BA36" s="264" t="n">
        <f aca="false">SUM(N36,P36:U36)</f>
        <v>5.17230146031142</v>
      </c>
      <c r="BB36" s="193" t="n">
        <v>0.2</v>
      </c>
      <c r="BC36" s="265" t="n">
        <v>15415</v>
      </c>
    </row>
    <row r="37" customFormat="false" ht="12.95" hidden="false" customHeight="true" outlineLevel="0" collapsed="false">
      <c r="A37" s="192" t="n">
        <f aca="false">A36+1</f>
        <v>23</v>
      </c>
      <c r="B37" s="112" t="n">
        <v>6869.26</v>
      </c>
      <c r="C37" s="113" t="n">
        <v>185846</v>
      </c>
      <c r="D37" s="226" t="n">
        <f aca="false">C37-C36</f>
        <v>-238</v>
      </c>
      <c r="E37" s="113" t="n">
        <f aca="false">C37-152000</f>
        <v>33846</v>
      </c>
      <c r="F37" s="260" t="n">
        <f aca="false">D37/$D$2</f>
        <v>-119.989916813713</v>
      </c>
      <c r="G37" s="142" t="n">
        <v>144</v>
      </c>
      <c r="H37" s="603" t="n">
        <v>0</v>
      </c>
      <c r="I37" s="142" t="n">
        <f aca="false">G37+H37</f>
        <v>144</v>
      </c>
      <c r="J37" s="143" t="n">
        <f aca="false">IF(L37&gt;0,L37,0)</f>
        <v>0</v>
      </c>
      <c r="K37" s="142" t="n">
        <f aca="false">I37+J37</f>
        <v>144</v>
      </c>
      <c r="L37" s="142" t="n">
        <f aca="false">F37-(I37-AK37)</f>
        <v>-82.3899168137131</v>
      </c>
      <c r="M37" s="262" t="n">
        <v>13.1</v>
      </c>
      <c r="N37" s="171" t="n">
        <f aca="false">1/$D$2*1.03</f>
        <v>0.519284093773632</v>
      </c>
      <c r="O37" s="142" t="n">
        <f aca="false">11*1.05</f>
        <v>11.55</v>
      </c>
      <c r="P37" s="171" t="n">
        <v>0</v>
      </c>
      <c r="Q37" s="346" t="n">
        <f aca="false">1173000/325851/1.9835*1.02</f>
        <v>1.85117263178331</v>
      </c>
      <c r="R37" s="138" t="n">
        <f aca="false">(3*1.04)-T37</f>
        <v>2.40906224</v>
      </c>
      <c r="S37" s="138" t="n">
        <v>0</v>
      </c>
      <c r="T37" s="138" t="n">
        <f aca="false">(0.6449*1.06)*1.04</f>
        <v>0.71093776</v>
      </c>
      <c r="U37" s="365" t="n">
        <v>0</v>
      </c>
      <c r="V37" s="142" t="n">
        <v>129</v>
      </c>
      <c r="W37" s="142" t="n">
        <v>0</v>
      </c>
      <c r="X37" s="142" t="n">
        <f aca="false">M37-N37-O37-P37-Q37-R37-S37-T37-U37+V37+W37-AU37+AR37</f>
        <v>125.059543274443</v>
      </c>
      <c r="Y37" s="142" t="n">
        <f aca="false">X37-AO37</f>
        <v>125.059543274443</v>
      </c>
      <c r="Z37" s="113"/>
      <c r="AA37" s="142"/>
      <c r="AB37" s="113"/>
      <c r="AC37" s="441" t="n">
        <f aca="false">AC36-(AQ36/1.9835)+0</f>
        <v>333.004408542606</v>
      </c>
      <c r="AD37" s="516" t="n">
        <f aca="false">AD36</f>
        <v>4858.65512901258</v>
      </c>
      <c r="AE37" s="142" t="n">
        <v>0</v>
      </c>
      <c r="AF37" s="144" t="n">
        <v>1.7</v>
      </c>
      <c r="AG37" s="145" t="n">
        <v>1.3</v>
      </c>
      <c r="AH37" s="142" t="n">
        <v>39.5</v>
      </c>
      <c r="AI37" s="113" t="n">
        <f aca="false">AI36-AH37</f>
        <v>4450.54923115706</v>
      </c>
      <c r="AJ37" s="113"/>
      <c r="AK37" s="141" t="n">
        <f aca="false">N37+O37+P37+Q37+R37+S37+T37+U37+X37+AE37+AH37</f>
        <v>181.6</v>
      </c>
      <c r="AL37" s="142" t="n">
        <f aca="false">IF(L37&lt;0,L37*-1,0)</f>
        <v>82.3899168137131</v>
      </c>
      <c r="AM37" s="142" t="n">
        <f aca="false">AK37+AL37</f>
        <v>263.989916813713</v>
      </c>
      <c r="AN37" s="146" t="n">
        <f aca="false">V37</f>
        <v>129</v>
      </c>
      <c r="AO37" s="102"/>
      <c r="AP37" s="585" t="n">
        <f aca="false">I37-Q37-R37-X37-AF37</f>
        <v>12.9802218537736</v>
      </c>
      <c r="AQ37" s="171" t="n">
        <f aca="false">14.098*(Z37*1.9835+AC37*1.9835)/E37</f>
        <v>0.275126449706475</v>
      </c>
      <c r="AR37" s="171"/>
      <c r="AS37" s="171"/>
      <c r="AT37" s="113"/>
      <c r="AU37" s="56"/>
      <c r="AV37" s="110" t="n">
        <f aca="false">O37</f>
        <v>11.55</v>
      </c>
      <c r="AW37" s="330" t="n">
        <v>0</v>
      </c>
      <c r="AX37" s="226" t="n">
        <v>71</v>
      </c>
      <c r="AY37" s="232" t="n">
        <v>39</v>
      </c>
      <c r="AZ37" s="265"/>
      <c r="BA37" s="264" t="n">
        <f aca="false">SUM(N37,P37:U37)</f>
        <v>5.49045672555694</v>
      </c>
      <c r="BB37" s="193" t="n">
        <v>0.2</v>
      </c>
      <c r="BC37" s="265" t="n">
        <v>15420</v>
      </c>
    </row>
    <row r="38" customFormat="false" ht="12.95" hidden="false" customHeight="true" outlineLevel="0" collapsed="false">
      <c r="A38" s="192" t="n">
        <f aca="false">A37+1</f>
        <v>24</v>
      </c>
      <c r="B38" s="112" t="n">
        <v>6869.25</v>
      </c>
      <c r="C38" s="113" t="n">
        <v>185819</v>
      </c>
      <c r="D38" s="226" t="n">
        <f aca="false">C38-C37</f>
        <v>-27</v>
      </c>
      <c r="E38" s="113" t="n">
        <f aca="false">C38-152000</f>
        <v>33819</v>
      </c>
      <c r="F38" s="260" t="n">
        <f aca="false">D38/$D$2</f>
        <v>-13.61230148727</v>
      </c>
      <c r="G38" s="142" t="n">
        <v>134</v>
      </c>
      <c r="H38" s="603" t="n">
        <v>0</v>
      </c>
      <c r="I38" s="142" t="n">
        <f aca="false">G38+H38</f>
        <v>134</v>
      </c>
      <c r="J38" s="143" t="n">
        <f aca="false">IF(L38&gt;0,L38,0)</f>
        <v>19.87769851273</v>
      </c>
      <c r="K38" s="142" t="n">
        <f aca="false">I38+J38</f>
        <v>153.87769851273</v>
      </c>
      <c r="L38" s="142" t="n">
        <f aca="false">F38-(I38-AK38)</f>
        <v>19.87769851273</v>
      </c>
      <c r="M38" s="262" t="n">
        <v>8.99</v>
      </c>
      <c r="N38" s="171" t="n">
        <f aca="false">1/$D$2*1.03</f>
        <v>0.519284093773632</v>
      </c>
      <c r="O38" s="142" t="n">
        <f aca="false">6.5*1.05</f>
        <v>6.825</v>
      </c>
      <c r="P38" s="171" t="n">
        <v>0</v>
      </c>
      <c r="Q38" s="346" t="n">
        <f aca="false">999200/325851/1.9835*1.02</f>
        <v>1.57688976443127</v>
      </c>
      <c r="R38" s="138" t="n">
        <f aca="false">(3*1.04)-T38</f>
        <v>2.45381968</v>
      </c>
      <c r="S38" s="138" t="n">
        <v>0</v>
      </c>
      <c r="T38" s="138" t="n">
        <f aca="false">(0.6043*1.06)*1.04</f>
        <v>0.66618032</v>
      </c>
      <c r="U38" s="365" t="n">
        <v>0</v>
      </c>
      <c r="V38" s="142" t="n">
        <v>119</v>
      </c>
      <c r="W38" s="142" t="n">
        <v>0</v>
      </c>
      <c r="X38" s="142" t="n">
        <f aca="false">M38-N38-O38-P38-Q38-R38-S38-T38-U38+V38+W38-AU38+AR38</f>
        <v>115.948826141795</v>
      </c>
      <c r="Y38" s="142" t="n">
        <f aca="false">X38-AO38</f>
        <v>115.948826141795</v>
      </c>
      <c r="Z38" s="113"/>
      <c r="AA38" s="142"/>
      <c r="AB38" s="113"/>
      <c r="AC38" s="441" t="n">
        <f aca="false">AC37+0</f>
        <v>333.004408542606</v>
      </c>
      <c r="AD38" s="516" t="n">
        <f aca="false">AD37</f>
        <v>4858.65512901258</v>
      </c>
      <c r="AE38" s="142" t="n">
        <v>0</v>
      </c>
      <c r="AF38" s="144" t="n">
        <v>1.7</v>
      </c>
      <c r="AG38" s="145" t="n">
        <v>1.3</v>
      </c>
      <c r="AH38" s="142" t="n">
        <v>39.5</v>
      </c>
      <c r="AI38" s="113" t="n">
        <f aca="false">AI37-AH38</f>
        <v>4411.04923115706</v>
      </c>
      <c r="AJ38" s="113"/>
      <c r="AK38" s="141" t="n">
        <f aca="false">N38+O38+P38+Q38+R38+S38+T38+U38+X38+AE38+AH38</f>
        <v>167.49</v>
      </c>
      <c r="AL38" s="142" t="n">
        <f aca="false">IF(L38&lt;0,L38*-1,0)</f>
        <v>0</v>
      </c>
      <c r="AM38" s="142" t="n">
        <f aca="false">AK38+AL38</f>
        <v>167.49</v>
      </c>
      <c r="AN38" s="146" t="n">
        <f aca="false">V38</f>
        <v>119</v>
      </c>
      <c r="AO38" s="102"/>
      <c r="AP38" s="585" t="n">
        <f aca="false">I38-Q38-R38-X38-AF38</f>
        <v>12.3204644137736</v>
      </c>
      <c r="AQ38" s="171" t="n">
        <f aca="false">14.558*(Z38*1.9835+AC38*1.9835)/E38</f>
        <v>0.28433029862396</v>
      </c>
      <c r="AR38" s="171"/>
      <c r="AS38" s="171"/>
      <c r="AT38" s="113"/>
      <c r="AU38" s="56"/>
      <c r="AV38" s="110" t="n">
        <f aca="false">O38</f>
        <v>6.825</v>
      </c>
      <c r="AW38" s="330" t="n">
        <v>0</v>
      </c>
      <c r="AX38" s="226" t="n">
        <v>75</v>
      </c>
      <c r="AY38" s="232" t="n">
        <v>40</v>
      </c>
      <c r="AZ38" s="265"/>
      <c r="BA38" s="264" t="n">
        <f aca="false">SUM(N38,P38:U38)</f>
        <v>5.21617385820491</v>
      </c>
      <c r="BB38" s="193" t="n">
        <v>0.2</v>
      </c>
      <c r="BC38" s="265" t="n">
        <v>15406</v>
      </c>
    </row>
    <row r="39" customFormat="false" ht="12.95" hidden="false" customHeight="true" outlineLevel="0" collapsed="false">
      <c r="A39" s="192" t="n">
        <v>25</v>
      </c>
      <c r="B39" s="112" t="n">
        <v>6869.2</v>
      </c>
      <c r="C39" s="113" t="n">
        <v>185687</v>
      </c>
      <c r="D39" s="226" t="n">
        <f aca="false">C39-C38</f>
        <v>-132</v>
      </c>
      <c r="E39" s="113" t="n">
        <f aca="false">C39-152000</f>
        <v>33687</v>
      </c>
      <c r="F39" s="260" t="n">
        <f aca="false">D39/$D$2</f>
        <v>-66.5490294933199</v>
      </c>
      <c r="G39" s="142" t="n">
        <v>128</v>
      </c>
      <c r="H39" s="603" t="n">
        <v>0</v>
      </c>
      <c r="I39" s="142" t="n">
        <f aca="false">G39+H39</f>
        <v>128</v>
      </c>
      <c r="J39" s="143" t="n">
        <f aca="false">IF(L39&gt;0,L39,0)</f>
        <v>0</v>
      </c>
      <c r="K39" s="142" t="n">
        <f aca="false">I39+J39</f>
        <v>128</v>
      </c>
      <c r="L39" s="142" t="n">
        <f aca="false">F39-(I39-AK39)</f>
        <v>-29.2790294933199</v>
      </c>
      <c r="M39" s="262" t="n">
        <v>6.77</v>
      </c>
      <c r="N39" s="171" t="n">
        <f aca="false">1/$D$2*1.03</f>
        <v>0.519284093773632</v>
      </c>
      <c r="O39" s="142" t="n">
        <f aca="false">1.18*1.05</f>
        <v>1.239</v>
      </c>
      <c r="P39" s="171" t="n">
        <v>0</v>
      </c>
      <c r="Q39" s="346" t="n">
        <f aca="false">1115000/325851/1.9835*1.02</f>
        <v>1.75963979918021</v>
      </c>
      <c r="R39" s="138" t="n">
        <f aca="false">(3.1*1.04)-T39</f>
        <v>2.55781968</v>
      </c>
      <c r="S39" s="138" t="n">
        <v>0</v>
      </c>
      <c r="T39" s="138" t="n">
        <f aca="false">(0.6043*1.06)*1.04</f>
        <v>0.66618032</v>
      </c>
      <c r="U39" s="365" t="n">
        <v>0</v>
      </c>
      <c r="V39" s="142" t="n">
        <v>119</v>
      </c>
      <c r="W39" s="142" t="n">
        <v>0</v>
      </c>
      <c r="X39" s="142" t="n">
        <f aca="false">M39-N39-O39-P39-Q39-R39-S39-T39-U39+V39+W39-AU39+AR39</f>
        <v>119.028076107046</v>
      </c>
      <c r="Y39" s="142" t="n">
        <f aca="false">X39-AO39</f>
        <v>119.028076107046</v>
      </c>
      <c r="Z39" s="113"/>
      <c r="AA39" s="142"/>
      <c r="AB39" s="113"/>
      <c r="AC39" s="441" t="n">
        <f aca="false">AC38+0</f>
        <v>333.004408542606</v>
      </c>
      <c r="AD39" s="516" t="n">
        <f aca="false">AD38</f>
        <v>4858.65512901258</v>
      </c>
      <c r="AE39" s="142" t="n">
        <v>0</v>
      </c>
      <c r="AF39" s="144" t="n">
        <v>1.7</v>
      </c>
      <c r="AG39" s="145" t="n">
        <v>1.3</v>
      </c>
      <c r="AH39" s="142" t="n">
        <v>39.5</v>
      </c>
      <c r="AI39" s="113" t="n">
        <f aca="false">AI38-AH39</f>
        <v>4371.54923115706</v>
      </c>
      <c r="AJ39" s="113"/>
      <c r="AK39" s="141" t="n">
        <f aca="false">N39+O39+P39+Q39+R39+S39+T39+U39+X39+AE39+AH39</f>
        <v>165.27</v>
      </c>
      <c r="AL39" s="142" t="n">
        <f aca="false">IF(L39&lt;0,L39*-1,0)</f>
        <v>29.2790294933199</v>
      </c>
      <c r="AM39" s="142" t="n">
        <f aca="false">AK39+AL39</f>
        <v>194.54902949332</v>
      </c>
      <c r="AN39" s="146" t="n">
        <f aca="false">V39</f>
        <v>119</v>
      </c>
      <c r="AO39" s="143"/>
      <c r="AP39" s="585" t="n">
        <f aca="false">I39-Q39-R39-X39-AF39</f>
        <v>2.95446441377364</v>
      </c>
      <c r="AQ39" s="171" t="n">
        <f aca="false">16.09*(Z39*1.9835+AC39*1.9835)/E39</f>
        <v>0.315482951628198</v>
      </c>
      <c r="AR39" s="171"/>
      <c r="AS39" s="171"/>
      <c r="AT39" s="113"/>
      <c r="AU39" s="56"/>
      <c r="AV39" s="110" t="n">
        <f aca="false">O39</f>
        <v>1.239</v>
      </c>
      <c r="AW39" s="330" t="n">
        <v>0</v>
      </c>
      <c r="AX39" s="226" t="n">
        <v>76</v>
      </c>
      <c r="AY39" s="232" t="n">
        <v>41</v>
      </c>
      <c r="AZ39" s="265"/>
      <c r="BA39" s="264" t="n">
        <f aca="false">SUM(N39,P39:U39)</f>
        <v>5.50292389295385</v>
      </c>
      <c r="BB39" s="193" t="n">
        <v>0.2</v>
      </c>
      <c r="BC39" s="265" t="n">
        <v>15405</v>
      </c>
    </row>
    <row r="40" customFormat="false" ht="12.95" hidden="false" customHeight="true" outlineLevel="0" collapsed="false">
      <c r="A40" s="192" t="n">
        <v>26</v>
      </c>
      <c r="B40" s="112" t="n">
        <v>6869.14</v>
      </c>
      <c r="C40" s="113" t="n">
        <v>185528</v>
      </c>
      <c r="D40" s="226" t="n">
        <f aca="false">C40-C39</f>
        <v>-159</v>
      </c>
      <c r="E40" s="113" t="n">
        <f aca="false">C40-152000</f>
        <v>33528</v>
      </c>
      <c r="F40" s="260" t="n">
        <f aca="false">D40/$D$2</f>
        <v>-80.1613309805899</v>
      </c>
      <c r="G40" s="142" t="n">
        <v>123</v>
      </c>
      <c r="H40" s="603" t="n">
        <v>0</v>
      </c>
      <c r="I40" s="142" t="n">
        <f aca="false">G40+H40</f>
        <v>123</v>
      </c>
      <c r="J40" s="143" t="n">
        <f aca="false">IF(L40&gt;0,L40,0)</f>
        <v>0</v>
      </c>
      <c r="K40" s="142" t="n">
        <f aca="false">I40+J40</f>
        <v>123</v>
      </c>
      <c r="L40" s="142" t="n">
        <f aca="false">F40-(I40-AK40)</f>
        <v>-36.3813309805899</v>
      </c>
      <c r="M40" s="262" t="n">
        <v>7.28</v>
      </c>
      <c r="N40" s="171" t="n">
        <f aca="false">1/$D$2*1.03</f>
        <v>0.519284093773632</v>
      </c>
      <c r="O40" s="142" t="n">
        <f aca="false">0.718*1.05</f>
        <v>0.7539</v>
      </c>
      <c r="P40" s="171" t="n">
        <v>0</v>
      </c>
      <c r="Q40" s="346" t="n">
        <f aca="false">1118800/325851/1.9835*1.02</f>
        <v>1.765636777868</v>
      </c>
      <c r="R40" s="138" t="n">
        <f aca="false">(3*1.04)-T40</f>
        <v>2.45381968</v>
      </c>
      <c r="S40" s="138" t="n">
        <v>0</v>
      </c>
      <c r="T40" s="138" t="n">
        <f aca="false">(0.6043*1.06)*1.04</f>
        <v>0.66618032</v>
      </c>
      <c r="U40" s="365" t="n">
        <v>0</v>
      </c>
      <c r="V40" s="142" t="n">
        <v>120</v>
      </c>
      <c r="W40" s="142" t="n">
        <v>0</v>
      </c>
      <c r="X40" s="142" t="n">
        <f aca="false">M40-N40-O40-P40-Q40-R40-S40-T40-U40+V40+W40-AU40+AR40</f>
        <v>121.121179128358</v>
      </c>
      <c r="Y40" s="142" t="n">
        <f aca="false">X40-AO40</f>
        <v>121.121179128358</v>
      </c>
      <c r="Z40" s="113"/>
      <c r="AA40" s="142"/>
      <c r="AB40" s="113"/>
      <c r="AC40" s="441" t="n">
        <f aca="false">AC39+AP40</f>
        <v>328.963772956379</v>
      </c>
      <c r="AD40" s="516" t="n">
        <f aca="false">AD39</f>
        <v>4858.65512901258</v>
      </c>
      <c r="AE40" s="142" t="n">
        <v>0</v>
      </c>
      <c r="AF40" s="144" t="n">
        <v>1.7</v>
      </c>
      <c r="AG40" s="145" t="n">
        <v>1.3</v>
      </c>
      <c r="AH40" s="142" t="n">
        <v>39.5</v>
      </c>
      <c r="AI40" s="113" t="n">
        <f aca="false">AI39-AH40</f>
        <v>4332.04923115706</v>
      </c>
      <c r="AJ40" s="113"/>
      <c r="AK40" s="141" t="n">
        <f aca="false">N40+O40+P40+Q40+R40+S40+T40+U40+X40+AE40+AH40</f>
        <v>166.78</v>
      </c>
      <c r="AL40" s="142" t="n">
        <f aca="false">IF(L40&lt;0,L40*-1,0)</f>
        <v>36.3813309805899</v>
      </c>
      <c r="AM40" s="142" t="n">
        <f aca="false">AK40+AL40</f>
        <v>203.16133098059</v>
      </c>
      <c r="AN40" s="146" t="n">
        <f aca="false">V40</f>
        <v>120</v>
      </c>
      <c r="AO40" s="143"/>
      <c r="AP40" s="585" t="n">
        <f aca="false">I40-Q40-R40-X40-AF40</f>
        <v>-4.04063558622636</v>
      </c>
      <c r="AQ40" s="171" t="n">
        <f aca="false">15.784*(Z40*1.9835+AC40*1.9835)/E40</f>
        <v>0.307177713419032</v>
      </c>
      <c r="AR40" s="171"/>
      <c r="AS40" s="171"/>
      <c r="AT40" s="113"/>
      <c r="AU40" s="56"/>
      <c r="AV40" s="110" t="n">
        <f aca="false">O40</f>
        <v>0.7539</v>
      </c>
      <c r="AW40" s="330" t="n">
        <v>0</v>
      </c>
      <c r="AX40" s="226" t="n">
        <v>71</v>
      </c>
      <c r="AY40" s="232" t="n">
        <v>41</v>
      </c>
      <c r="AZ40" s="265"/>
      <c r="BA40" s="264" t="n">
        <f aca="false">SUM(N40,P40:U40)</f>
        <v>5.40492087164164</v>
      </c>
      <c r="BB40" s="193" t="n">
        <v>0.2</v>
      </c>
      <c r="BC40" s="265" t="n">
        <v>15415</v>
      </c>
    </row>
    <row r="41" customFormat="false" ht="12.95" hidden="false" customHeight="true" outlineLevel="0" collapsed="false">
      <c r="A41" s="192" t="n">
        <v>27</v>
      </c>
      <c r="B41" s="112" t="n">
        <v>6869.14</v>
      </c>
      <c r="C41" s="113" t="n">
        <v>185528</v>
      </c>
      <c r="D41" s="226" t="n">
        <f aca="false">C41-C40</f>
        <v>0</v>
      </c>
      <c r="E41" s="113" t="n">
        <f aca="false">C41-152000</f>
        <v>33528</v>
      </c>
      <c r="F41" s="260" t="n">
        <f aca="false">D41/$D$2</f>
        <v>0</v>
      </c>
      <c r="G41" s="142" t="n">
        <v>119</v>
      </c>
      <c r="H41" s="603" t="n">
        <v>0</v>
      </c>
      <c r="I41" s="142" t="n">
        <f aca="false">G41+H41</f>
        <v>119</v>
      </c>
      <c r="J41" s="143" t="n">
        <f aca="false">IF(L41&gt;0,L41,0)</f>
        <v>0</v>
      </c>
      <c r="K41" s="142" t="n">
        <f aca="false">I41+J41</f>
        <v>119</v>
      </c>
      <c r="L41" s="142" t="n">
        <f aca="false">F41-(I41-AK41)</f>
        <v>-29.19</v>
      </c>
      <c r="M41" s="262" t="n">
        <v>5.01</v>
      </c>
      <c r="N41" s="171" t="n">
        <f aca="false">1/$D$2*1.03</f>
        <v>0.519284093773632</v>
      </c>
      <c r="O41" s="142" t="n">
        <f aca="false">0.19*1.05</f>
        <v>0.1995</v>
      </c>
      <c r="P41" s="171" t="n">
        <v>0</v>
      </c>
      <c r="Q41" s="346" t="n">
        <f aca="false">1100400/325851/1.9835*1.02</f>
        <v>1.73659877580081</v>
      </c>
      <c r="R41" s="138" t="n">
        <f aca="false">(3*1.04)-T41</f>
        <v>2.45381968</v>
      </c>
      <c r="S41" s="138" t="n">
        <v>0</v>
      </c>
      <c r="T41" s="138" t="n">
        <f aca="false">(0.6043*1.06)*1.04</f>
        <v>0.66618032</v>
      </c>
      <c r="U41" s="365" t="n">
        <v>0</v>
      </c>
      <c r="V41" s="142" t="n">
        <v>45.3</v>
      </c>
      <c r="W41" s="142" t="n">
        <v>0</v>
      </c>
      <c r="X41" s="142" t="n">
        <f aca="false">M41-N41-O41-P41-Q41-R41-S41-T41-U41+V41+W41-AU41+AR41</f>
        <v>44.7346171304256</v>
      </c>
      <c r="Y41" s="142" t="n">
        <f aca="false">X41-AO41</f>
        <v>44.7346171304256</v>
      </c>
      <c r="Z41" s="113"/>
      <c r="AA41" s="142"/>
      <c r="AB41" s="113"/>
      <c r="AC41" s="441" t="n">
        <f aca="false">AC40-(AQ40/1.9835)+0</f>
        <v>328.808906451</v>
      </c>
      <c r="AD41" s="516" t="n">
        <f aca="false">AD40</f>
        <v>4858.65512901258</v>
      </c>
      <c r="AE41" s="142" t="n">
        <v>0</v>
      </c>
      <c r="AF41" s="144" t="n">
        <v>1.7</v>
      </c>
      <c r="AG41" s="145" t="n">
        <v>1.3</v>
      </c>
      <c r="AH41" s="142" t="n">
        <v>39.5</v>
      </c>
      <c r="AI41" s="113" t="n">
        <f aca="false">AI40-AH41</f>
        <v>4292.54923115706</v>
      </c>
      <c r="AJ41" s="113"/>
      <c r="AK41" s="141" t="n">
        <f aca="false">N41+O41+P41+Q41+R41+S41+T41+U41+X41+AE41+AH41</f>
        <v>89.81</v>
      </c>
      <c r="AL41" s="142" t="n">
        <f aca="false">IF(L41&lt;0,L41*-1,0)</f>
        <v>29.19</v>
      </c>
      <c r="AM41" s="142" t="n">
        <f aca="false">AK41+AL41</f>
        <v>119</v>
      </c>
      <c r="AN41" s="146" t="n">
        <f aca="false">V41</f>
        <v>45.3</v>
      </c>
      <c r="AO41" s="143"/>
      <c r="AP41" s="585" t="n">
        <f aca="false">I41-Q41-R41-X41-AF41</f>
        <v>68.3749644137736</v>
      </c>
      <c r="AQ41" s="171" t="n">
        <f aca="false">13.332*(Z41*1.9835+AC41*1.9835)/E41</f>
        <v>0.259336374253943</v>
      </c>
      <c r="AR41" s="171"/>
      <c r="AS41" s="171"/>
      <c r="AT41" s="113"/>
      <c r="AU41" s="56"/>
      <c r="AV41" s="110" t="n">
        <f aca="false">O41</f>
        <v>0.1995</v>
      </c>
      <c r="AW41" s="330" t="n">
        <v>0</v>
      </c>
      <c r="AX41" s="226" t="n">
        <v>61</v>
      </c>
      <c r="AY41" s="232" t="n">
        <v>34</v>
      </c>
      <c r="AZ41" s="265"/>
      <c r="BA41" s="264" t="n">
        <f aca="false">SUM(N41,P41:U41)</f>
        <v>5.37588286957445</v>
      </c>
      <c r="BB41" s="193" t="n">
        <v>0.2</v>
      </c>
      <c r="BC41" s="265" t="n">
        <v>15445</v>
      </c>
    </row>
    <row r="42" customFormat="false" ht="12.95" hidden="false" customHeight="true" outlineLevel="0" collapsed="false">
      <c r="A42" s="192" t="n">
        <v>28</v>
      </c>
      <c r="B42" s="112" t="n">
        <v>6869.16</v>
      </c>
      <c r="C42" s="113" t="n">
        <v>185581</v>
      </c>
      <c r="D42" s="226" t="n">
        <f aca="false">C42-C41</f>
        <v>53</v>
      </c>
      <c r="E42" s="113" t="n">
        <f aca="false">C42-152000</f>
        <v>33581</v>
      </c>
      <c r="F42" s="260" t="n">
        <f aca="false">D42/$D$2</f>
        <v>26.7204436601966</v>
      </c>
      <c r="G42" s="142" t="n">
        <v>116</v>
      </c>
      <c r="H42" s="603" t="n">
        <v>0</v>
      </c>
      <c r="I42" s="142" t="n">
        <f aca="false">G42+H42</f>
        <v>116</v>
      </c>
      <c r="J42" s="143" t="n">
        <f aca="false">IF(L42&gt;0,L42,0)</f>
        <v>0</v>
      </c>
      <c r="K42" s="142" t="n">
        <f aca="false">I42+J42</f>
        <v>116</v>
      </c>
      <c r="L42" s="142" t="n">
        <f aca="false">F42-(I42-AK42)</f>
        <v>-45.7395563398034</v>
      </c>
      <c r="M42" s="262" t="n">
        <v>4.04</v>
      </c>
      <c r="N42" s="171" t="n">
        <f aca="false">1/$D$2*1.03</f>
        <v>0.519284093773632</v>
      </c>
      <c r="O42" s="142" t="n">
        <f aca="false">0*1.05</f>
        <v>0</v>
      </c>
      <c r="P42" s="171" t="n">
        <v>0</v>
      </c>
      <c r="Q42" s="346" t="n">
        <f aca="false">920300/325851/1.9835*1.02</f>
        <v>1.45237354904534</v>
      </c>
      <c r="R42" s="138" t="n">
        <f aca="false">(3*1.04)-T42</f>
        <v>2.45381968</v>
      </c>
      <c r="S42" s="138" t="n">
        <v>0</v>
      </c>
      <c r="T42" s="138" t="n">
        <f aca="false">(0.6043*1.06)*1.04</f>
        <v>0.66618032</v>
      </c>
      <c r="U42" s="365" t="n">
        <v>0</v>
      </c>
      <c r="V42" s="142" t="n">
        <v>0</v>
      </c>
      <c r="W42" s="142" t="n">
        <v>0</v>
      </c>
      <c r="X42" s="142" t="n">
        <f aca="false">M42-N42-O42-P42-Q42-R42-S42-T42-U42+V42+W42-AU42+AR42</f>
        <v>-1.05165764281897</v>
      </c>
      <c r="Y42" s="142" t="n">
        <f aca="false">X42-AO42</f>
        <v>-1.05165764281897</v>
      </c>
      <c r="Z42" s="113"/>
      <c r="AA42" s="142"/>
      <c r="AB42" s="113"/>
      <c r="AC42" s="441" t="n">
        <f aca="false">AC41+0</f>
        <v>328.808906451</v>
      </c>
      <c r="AD42" s="516" t="n">
        <f aca="false">AD41</f>
        <v>4858.65512901258</v>
      </c>
      <c r="AE42" s="142" t="n">
        <v>0</v>
      </c>
      <c r="AF42" s="144" t="n">
        <v>1.7</v>
      </c>
      <c r="AG42" s="145" t="n">
        <v>1.3</v>
      </c>
      <c r="AH42" s="142" t="n">
        <v>39.5</v>
      </c>
      <c r="AI42" s="113" t="n">
        <f aca="false">AI41-AH42</f>
        <v>4253.04923115706</v>
      </c>
      <c r="AJ42" s="113"/>
      <c r="AK42" s="141" t="n">
        <f aca="false">N42+O42+P42+Q42+R42+S42+T42+U42+X42+AE42+AH42</f>
        <v>43.54</v>
      </c>
      <c r="AL42" s="142" t="n">
        <f aca="false">IF(L42&lt;0,L42*-1,0)</f>
        <v>45.7395563398034</v>
      </c>
      <c r="AM42" s="142" t="n">
        <f aca="false">AK42+AL42</f>
        <v>89.2795563398034</v>
      </c>
      <c r="AN42" s="146" t="n">
        <f aca="false">V42</f>
        <v>0</v>
      </c>
      <c r="AO42" s="143"/>
      <c r="AP42" s="585" t="n">
        <f aca="false">I42-Q42-R42-X42-AF42</f>
        <v>111.445464413774</v>
      </c>
      <c r="AQ42" s="171" t="n">
        <f aca="false">11.953*(Z42*1.9835+AC42*1.9835)/E42</f>
        <v>0.232144860053223</v>
      </c>
      <c r="AR42" s="171"/>
      <c r="AS42" s="171"/>
      <c r="AT42" s="113"/>
      <c r="AU42" s="56"/>
      <c r="AV42" s="110" t="n">
        <f aca="false">O42</f>
        <v>0</v>
      </c>
      <c r="AW42" s="330" t="n">
        <v>0</v>
      </c>
      <c r="AX42" s="226" t="n">
        <v>64</v>
      </c>
      <c r="AY42" s="232" t="n">
        <v>30</v>
      </c>
      <c r="AZ42" s="265"/>
      <c r="BA42" s="264" t="n">
        <f aca="false">SUM(N42,P42:U42)</f>
        <v>5.09165764281897</v>
      </c>
      <c r="BB42" s="193" t="n">
        <v>0.2</v>
      </c>
      <c r="BC42" s="265" t="n">
        <v>15446</v>
      </c>
    </row>
    <row r="43" customFormat="false" ht="12.95" hidden="false" customHeight="true" outlineLevel="0" collapsed="false">
      <c r="A43" s="192" t="n">
        <v>29</v>
      </c>
      <c r="B43" s="112" t="n">
        <v>6869.21</v>
      </c>
      <c r="C43" s="113" t="n">
        <v>185714</v>
      </c>
      <c r="D43" s="226" t="n">
        <f aca="false">C43-C42</f>
        <v>133</v>
      </c>
      <c r="E43" s="113" t="n">
        <f aca="false">C43-152000</f>
        <v>33714</v>
      </c>
      <c r="F43" s="260" t="n">
        <f aca="false">D43/$D$2</f>
        <v>67.0531888076632</v>
      </c>
      <c r="G43" s="142" t="n">
        <v>108</v>
      </c>
      <c r="H43" s="603" t="n">
        <v>0</v>
      </c>
      <c r="I43" s="142" t="n">
        <f aca="false">G43+H43</f>
        <v>108</v>
      </c>
      <c r="J43" s="143" t="n">
        <f aca="false">IF(L43&gt;0,L43,0)</f>
        <v>2.80318880766322</v>
      </c>
      <c r="K43" s="142" t="n">
        <f aca="false">I43+J43</f>
        <v>110.803188807663</v>
      </c>
      <c r="L43" s="142" t="n">
        <f aca="false">F43-(I43-AK43)</f>
        <v>2.80318880766322</v>
      </c>
      <c r="M43" s="262" t="n">
        <v>4.25</v>
      </c>
      <c r="N43" s="171" t="n">
        <f aca="false">1/$D$2*1.03</f>
        <v>0.519284093773632</v>
      </c>
      <c r="O43" s="142" t="n">
        <f aca="false">0.621*1.05</f>
        <v>0.65205</v>
      </c>
      <c r="P43" s="171" t="n">
        <v>0</v>
      </c>
      <c r="Q43" s="346" t="n">
        <f aca="false">1069700/325851/1.9835*1.02</f>
        <v>1.68814950061262</v>
      </c>
      <c r="R43" s="138" t="n">
        <f aca="false">(2.9*1.04)-T43</f>
        <v>2.34981968</v>
      </c>
      <c r="S43" s="138" t="n">
        <v>0</v>
      </c>
      <c r="T43" s="138" t="n">
        <f aca="false">(0.6043*1.06)*1.04</f>
        <v>0.66618032</v>
      </c>
      <c r="U43" s="365" t="n">
        <v>0</v>
      </c>
      <c r="V43" s="142" t="n">
        <v>0</v>
      </c>
      <c r="W43" s="142" t="n">
        <v>0</v>
      </c>
      <c r="X43" s="142" t="n">
        <f aca="false">M43-N43-O43-P43-Q43-R43-S43-T43-U43+V43+W43-AU43+AR43</f>
        <v>-1.62548359438626</v>
      </c>
      <c r="Y43" s="142" t="n">
        <f aca="false">X43-AO43</f>
        <v>-1.62548359438626</v>
      </c>
      <c r="Z43" s="113"/>
      <c r="AA43" s="142"/>
      <c r="AB43" s="113"/>
      <c r="AC43" s="441" t="n">
        <f aca="false">AC42+0</f>
        <v>328.808906451</v>
      </c>
      <c r="AD43" s="516" t="n">
        <f aca="false">AD42</f>
        <v>4858.65512901258</v>
      </c>
      <c r="AE43" s="142" t="n">
        <v>0</v>
      </c>
      <c r="AF43" s="144" t="n">
        <v>1.7</v>
      </c>
      <c r="AG43" s="145" t="n">
        <v>1.3</v>
      </c>
      <c r="AH43" s="142" t="n">
        <v>39.5</v>
      </c>
      <c r="AI43" s="113" t="n">
        <f aca="false">AI42-AH43</f>
        <v>4213.54923115706</v>
      </c>
      <c r="AJ43" s="113"/>
      <c r="AK43" s="141" t="n">
        <f aca="false">N43+O43+P43+Q43+R43+S43+T43+U43+X43+AE43+AH43</f>
        <v>43.75</v>
      </c>
      <c r="AL43" s="142" t="n">
        <f aca="false">IF(L43&lt;0,L43*-1,0)</f>
        <v>0</v>
      </c>
      <c r="AM43" s="142" t="n">
        <f aca="false">AK43+AL43</f>
        <v>43.75</v>
      </c>
      <c r="AN43" s="146" t="n">
        <f aca="false">V43</f>
        <v>0</v>
      </c>
      <c r="AO43" s="143"/>
      <c r="AP43" s="585" t="n">
        <f aca="false">I43-Q43-R43-X43-AF43</f>
        <v>103.887514413774</v>
      </c>
      <c r="AQ43" s="171" t="n">
        <f aca="false">12.106*(Z43*1.9835+AC43*1.9835)/E43</f>
        <v>0.234188823418667</v>
      </c>
      <c r="AR43" s="171"/>
      <c r="AS43" s="171"/>
      <c r="AT43" s="113"/>
      <c r="AU43" s="56"/>
      <c r="AV43" s="110" t="n">
        <f aca="false">O43</f>
        <v>0.65205</v>
      </c>
      <c r="AW43" s="330" t="n">
        <v>0</v>
      </c>
      <c r="AX43" s="226" t="n">
        <v>68</v>
      </c>
      <c r="AY43" s="232" t="n">
        <v>32</v>
      </c>
      <c r="AZ43" s="265"/>
      <c r="BA43" s="264" t="n">
        <f aca="false">SUM(N43,P43:U43)</f>
        <v>5.22343359438626</v>
      </c>
      <c r="BB43" s="193" t="n">
        <v>0.2</v>
      </c>
      <c r="BC43" s="265" t="n">
        <v>15447</v>
      </c>
    </row>
    <row r="44" customFormat="false" ht="12.95" hidden="false" customHeight="true" outlineLevel="0" collapsed="false">
      <c r="A44" s="192" t="n">
        <v>30</v>
      </c>
      <c r="B44" s="112" t="n">
        <v>6869.25</v>
      </c>
      <c r="C44" s="113" t="n">
        <v>185819</v>
      </c>
      <c r="D44" s="226" t="n">
        <f aca="false">C44-C43</f>
        <v>105</v>
      </c>
      <c r="E44" s="113" t="n">
        <f aca="false">C44-152000</f>
        <v>33819</v>
      </c>
      <c r="F44" s="260" t="n">
        <f aca="false">D44/$D$2</f>
        <v>52.9367280060499</v>
      </c>
      <c r="G44" s="142" t="n">
        <v>104</v>
      </c>
      <c r="H44" s="603" t="n">
        <v>0</v>
      </c>
      <c r="I44" s="142" t="n">
        <f aca="false">G44+H44</f>
        <v>104</v>
      </c>
      <c r="J44" s="143" t="n">
        <f aca="false">IF(L44&gt;0,L44,0)</f>
        <v>0</v>
      </c>
      <c r="K44" s="142" t="n">
        <f aca="false">I44+J44</f>
        <v>104</v>
      </c>
      <c r="L44" s="142" t="n">
        <f aca="false">F44-(I44-AK44)</f>
        <v>-7.31327199395009</v>
      </c>
      <c r="M44" s="262" t="n">
        <v>4.25</v>
      </c>
      <c r="N44" s="171" t="n">
        <f aca="false">1/$D$2*1.03</f>
        <v>0.519284093773632</v>
      </c>
      <c r="O44" s="142" t="n">
        <f aca="false">0.144*1.05</f>
        <v>0.1512</v>
      </c>
      <c r="P44" s="171" t="n">
        <v>0</v>
      </c>
      <c r="Q44" s="346" t="n">
        <f aca="false">991400/325851/1.9835*1.02</f>
        <v>1.56458017659844</v>
      </c>
      <c r="R44" s="138" t="n">
        <f aca="false">(3*1.04)-T44</f>
        <v>2.45381968</v>
      </c>
      <c r="S44" s="138" t="n">
        <v>0</v>
      </c>
      <c r="T44" s="138" t="n">
        <f aca="false">(0.6043*1.06)*1.04</f>
        <v>0.66618032</v>
      </c>
      <c r="U44" s="365" t="n">
        <v>0</v>
      </c>
      <c r="V44" s="142" t="n">
        <v>0</v>
      </c>
      <c r="W44" s="142" t="n">
        <v>0</v>
      </c>
      <c r="X44" s="142" t="n">
        <f aca="false">M44-N44-O44-P44-Q44-R44-S44-T44-U44+V44+W44-AU44+AR44</f>
        <v>-1.10506427037208</v>
      </c>
      <c r="Y44" s="142" t="n">
        <f aca="false">X44-AO44</f>
        <v>-1.10506427037208</v>
      </c>
      <c r="Z44" s="113"/>
      <c r="AA44" s="142"/>
      <c r="AB44" s="113"/>
      <c r="AC44" s="441" t="n">
        <f aca="false">AC43+0</f>
        <v>328.808906451</v>
      </c>
      <c r="AD44" s="516" t="n">
        <f aca="false">AD43</f>
        <v>4858.65512901258</v>
      </c>
      <c r="AE44" s="142" t="n">
        <v>0</v>
      </c>
      <c r="AF44" s="144" t="n">
        <v>1.7</v>
      </c>
      <c r="AG44" s="145" t="n">
        <v>1.3</v>
      </c>
      <c r="AH44" s="142" t="n">
        <v>39.5</v>
      </c>
      <c r="AI44" s="113" t="n">
        <f aca="false">AI43-AH44</f>
        <v>4174.04923115706</v>
      </c>
      <c r="AJ44" s="113"/>
      <c r="AK44" s="141" t="n">
        <f aca="false">N44+O44+P44+Q44+R44+S44+T44+U44+X44+AE44+AH44</f>
        <v>43.75</v>
      </c>
      <c r="AL44" s="142" t="n">
        <f aca="false">IF(L44&lt;0,L44*-1,0)</f>
        <v>7.31327199395009</v>
      </c>
      <c r="AM44" s="142" t="n">
        <f aca="false">AK44+AL44</f>
        <v>51.0632719939501</v>
      </c>
      <c r="AN44" s="146" t="n">
        <f aca="false">V44</f>
        <v>0</v>
      </c>
      <c r="AO44" s="143"/>
      <c r="AP44" s="585" t="n">
        <f aca="false">I44-Q44-R44-X44-AF44</f>
        <v>99.3866644137736</v>
      </c>
      <c r="AQ44" s="171" t="n">
        <f aca="false">9.195*(Z44*1.9835+AC44*1.9835)/E44</f>
        <v>0.177323685631433</v>
      </c>
      <c r="AR44" s="171"/>
      <c r="AS44" s="171"/>
      <c r="AT44" s="113"/>
      <c r="AU44" s="56"/>
      <c r="AV44" s="110" t="n">
        <f aca="false">O44</f>
        <v>0.1512</v>
      </c>
      <c r="AW44" s="330" t="n">
        <v>0</v>
      </c>
      <c r="AX44" s="226" t="n">
        <v>72</v>
      </c>
      <c r="AY44" s="232" t="n">
        <v>34</v>
      </c>
      <c r="AZ44" s="265"/>
      <c r="BA44" s="264" t="n">
        <f aca="false">SUM(N44,P44:U44)</f>
        <v>5.20386427037208</v>
      </c>
      <c r="BB44" s="193" t="n">
        <v>0.2</v>
      </c>
      <c r="BC44" s="265" t="n">
        <v>15445</v>
      </c>
    </row>
    <row r="45" customFormat="false" ht="12.95" hidden="false" customHeight="true" outlineLevel="0" collapsed="false">
      <c r="A45" s="192" t="n">
        <v>31</v>
      </c>
      <c r="B45" s="112" t="n">
        <v>6869.22</v>
      </c>
      <c r="C45" s="113" t="n">
        <v>185740</v>
      </c>
      <c r="D45" s="226" t="n">
        <f aca="false">C45-C44</f>
        <v>-79</v>
      </c>
      <c r="E45" s="113" t="n">
        <f aca="false">C45-152000</f>
        <v>33740</v>
      </c>
      <c r="F45" s="260" t="n">
        <f aca="false">D45/$D$2</f>
        <v>-39.8285858331233</v>
      </c>
      <c r="G45" s="142" t="n">
        <v>102</v>
      </c>
      <c r="H45" s="603" t="n">
        <v>0</v>
      </c>
      <c r="I45" s="142" t="n">
        <f aca="false">G45+H45</f>
        <v>102</v>
      </c>
      <c r="J45" s="143" t="n">
        <f aca="false">IF(L45&gt;0,L45,0)</f>
        <v>0</v>
      </c>
      <c r="K45" s="142" t="n">
        <f aca="false">I45+J45</f>
        <v>102</v>
      </c>
      <c r="L45" s="142" t="n">
        <f aca="false">F45-(I45-AK45)</f>
        <v>-28.2785858331233</v>
      </c>
      <c r="M45" s="262" t="n">
        <v>4.25</v>
      </c>
      <c r="N45" s="171" t="n">
        <f aca="false">1/$D$2*1.03</f>
        <v>0.519284093773632</v>
      </c>
      <c r="O45" s="142" t="n">
        <f aca="false">0*1.05</f>
        <v>0</v>
      </c>
      <c r="P45" s="171" t="n">
        <v>0</v>
      </c>
      <c r="Q45" s="346" t="n">
        <f aca="false">860400/325851/1.9835*1.02</f>
        <v>1.35784222709835</v>
      </c>
      <c r="R45" s="138" t="n">
        <f aca="false">(3*1.04)-T45</f>
        <v>2.45459136</v>
      </c>
      <c r="S45" s="138" t="n">
        <v>0</v>
      </c>
      <c r="T45" s="138" t="n">
        <f aca="false">(0.6036*1.06)*1.04</f>
        <v>0.66540864</v>
      </c>
      <c r="U45" s="365" t="n">
        <v>0</v>
      </c>
      <c r="V45" s="142" t="n">
        <v>69.8</v>
      </c>
      <c r="W45" s="142" t="n">
        <v>0</v>
      </c>
      <c r="X45" s="142" t="n">
        <f aca="false">M45-N45-O45-P45-Q45-R45-S45-T45-U45+V45+W45-AU45+AR45</f>
        <v>69.052873679128</v>
      </c>
      <c r="Y45" s="142" t="n">
        <f aca="false">X45-AO45</f>
        <v>69.052873679128</v>
      </c>
      <c r="Z45" s="113"/>
      <c r="AA45" s="142"/>
      <c r="AB45" s="113"/>
      <c r="AC45" s="441" t="n">
        <f aca="false">AC44+0</f>
        <v>328.808906451</v>
      </c>
      <c r="AD45" s="516" t="n">
        <f aca="false">AD44</f>
        <v>4858.65512901258</v>
      </c>
      <c r="AE45" s="142" t="n">
        <v>0</v>
      </c>
      <c r="AF45" s="144" t="n">
        <v>1.7</v>
      </c>
      <c r="AG45" s="145" t="n">
        <v>1.3</v>
      </c>
      <c r="AH45" s="142" t="n">
        <v>39.5</v>
      </c>
      <c r="AI45" s="113" t="n">
        <f aca="false">AI44-AH45</f>
        <v>4134.54923115706</v>
      </c>
      <c r="AJ45" s="113"/>
      <c r="AK45" s="141" t="n">
        <f aca="false">N45+O45+P45+Q45+R45+S45+T45+U45+X45+AE45+AH45</f>
        <v>113.55</v>
      </c>
      <c r="AL45" s="142" t="n">
        <f aca="false">IF(L45&lt;0,L45*-1,0)</f>
        <v>28.2785858331233</v>
      </c>
      <c r="AM45" s="260" t="n">
        <f aca="false">AK45+AL45</f>
        <v>141.828585833123</v>
      </c>
      <c r="AN45" s="146" t="n">
        <f aca="false">V45</f>
        <v>69.8</v>
      </c>
      <c r="AO45" s="143"/>
      <c r="AP45" s="585" t="n">
        <f aca="false">I45-Q45-R45-X45-AF45</f>
        <v>27.4346927337736</v>
      </c>
      <c r="AQ45" s="171" t="n">
        <f aca="false">19.921*(Z45*1.9835+AC45*1.9835)/E45</f>
        <v>0.385071906167797</v>
      </c>
      <c r="AR45" s="171"/>
      <c r="AS45" s="171"/>
      <c r="AT45" s="113"/>
      <c r="AU45" s="56"/>
      <c r="AV45" s="110" t="n">
        <f aca="false">O45</f>
        <v>0</v>
      </c>
      <c r="AW45" s="330" t="n">
        <v>0</v>
      </c>
      <c r="AX45" s="226" t="n">
        <v>69</v>
      </c>
      <c r="AY45" s="232" t="n">
        <v>38</v>
      </c>
      <c r="AZ45" s="265"/>
      <c r="BA45" s="264" t="n">
        <f aca="false">SUM(N45,P45:U45)</f>
        <v>4.99712632087198</v>
      </c>
      <c r="BB45" s="193" t="n">
        <v>0.2</v>
      </c>
      <c r="BC45" s="265" t="n">
        <v>15448</v>
      </c>
    </row>
    <row r="46" customFormat="false" ht="3" hidden="false" customHeight="true" outlineLevel="0" collapsed="false">
      <c r="A46" s="245"/>
      <c r="B46" s="267"/>
      <c r="C46" s="247"/>
      <c r="D46" s="248"/>
      <c r="E46" s="247"/>
      <c r="F46" s="249"/>
      <c r="G46" s="248"/>
      <c r="H46" s="602"/>
      <c r="I46" s="248"/>
      <c r="J46" s="248"/>
      <c r="K46" s="248"/>
      <c r="L46" s="248"/>
      <c r="M46" s="251" t="n">
        <v>0</v>
      </c>
      <c r="N46" s="248"/>
      <c r="O46" s="248"/>
      <c r="P46" s="252"/>
      <c r="Q46" s="248"/>
      <c r="R46" s="248"/>
      <c r="S46" s="248"/>
      <c r="T46" s="248"/>
      <c r="U46" s="253"/>
      <c r="V46" s="248"/>
      <c r="W46" s="248" t="n">
        <v>0</v>
      </c>
      <c r="X46" s="248"/>
      <c r="Y46" s="248"/>
      <c r="Z46" s="247"/>
      <c r="AA46" s="248"/>
      <c r="AB46" s="247"/>
      <c r="AC46" s="247"/>
      <c r="AD46" s="247"/>
      <c r="AE46" s="248"/>
      <c r="AF46" s="251"/>
      <c r="AG46" s="255"/>
      <c r="AH46" s="248"/>
      <c r="AI46" s="248"/>
      <c r="AJ46" s="248"/>
      <c r="AK46" s="248"/>
      <c r="AL46" s="248"/>
      <c r="AM46" s="249"/>
      <c r="AN46" s="257"/>
      <c r="AO46" s="254"/>
      <c r="AP46" s="254"/>
      <c r="AQ46" s="252"/>
      <c r="AR46" s="252"/>
      <c r="AS46" s="252"/>
      <c r="AT46" s="257"/>
      <c r="AU46" s="257"/>
      <c r="AV46" s="257"/>
      <c r="AW46" s="515"/>
      <c r="AX46" s="257"/>
      <c r="AY46" s="257"/>
      <c r="AZ46" s="257"/>
      <c r="BA46" s="257"/>
      <c r="BB46" s="257"/>
      <c r="BC46" s="257"/>
    </row>
    <row r="47" customFormat="false" ht="12.95" hidden="false" customHeight="true" outlineLevel="0" collapsed="false">
      <c r="A47" s="194" t="s">
        <v>105</v>
      </c>
      <c r="B47" s="224"/>
      <c r="C47" s="113"/>
      <c r="D47" s="113"/>
      <c r="E47" s="113"/>
      <c r="F47" s="225" t="n">
        <f aca="false">SUM(F15:F45)</f>
        <v>-213.25938996723</v>
      </c>
      <c r="G47" s="113" t="n">
        <f aca="false">SUM(G15:G45)</f>
        <v>6136</v>
      </c>
      <c r="H47" s="226" t="n">
        <f aca="false">SUM(H15:H45)</f>
        <v>0</v>
      </c>
      <c r="I47" s="113" t="n">
        <f aca="false">SUM(I15:I45)</f>
        <v>6136</v>
      </c>
      <c r="J47" s="113" t="n">
        <f aca="false">SUM(J15:J45)</f>
        <v>92.0901888076632</v>
      </c>
      <c r="K47" s="113" t="n">
        <f aca="false">SUM(K15:K45)</f>
        <v>6228.09018880766</v>
      </c>
      <c r="L47" s="113" t="n">
        <f aca="false">SUM(L15:L45)</f>
        <v>-557.21938996723</v>
      </c>
      <c r="M47" s="227" t="n">
        <f aca="false">SUM(M15:M45)</f>
        <v>1450.75</v>
      </c>
      <c r="N47" s="113" t="n">
        <f aca="false">SUM(N15:N45)</f>
        <v>16.0978069069826</v>
      </c>
      <c r="O47" s="113" t="n">
        <f aca="false">SUM(O15:O45)</f>
        <v>139.6122</v>
      </c>
      <c r="P47" s="171" t="n">
        <f aca="false">SUM(P15:P45)</f>
        <v>0</v>
      </c>
      <c r="Q47" s="113" t="n">
        <f aca="false">SUM(Q15:Q45)</f>
        <v>52.9204962456233</v>
      </c>
      <c r="R47" s="113" t="n">
        <f aca="false">SUM(R15:R45)</f>
        <v>78.14439152</v>
      </c>
      <c r="S47" s="113" t="n">
        <f aca="false">SUM(S15:S45)</f>
        <v>0</v>
      </c>
      <c r="T47" s="113" t="n">
        <f aca="false">SUM(T15:T45)</f>
        <v>22.11160848</v>
      </c>
      <c r="U47" s="228" t="n">
        <f aca="false">SUM(U15:U45)</f>
        <v>0</v>
      </c>
      <c r="V47" s="113" t="n">
        <f aca="false">SUM(V15:V45)</f>
        <v>2396.3</v>
      </c>
      <c r="W47" s="113" t="n">
        <f aca="false">SUM(W15:W45)</f>
        <v>601.025</v>
      </c>
      <c r="X47" s="113" t="n">
        <f aca="false">SUM(X15:X45)</f>
        <v>4139.18849684739</v>
      </c>
      <c r="Y47" s="113" t="n">
        <f aca="false">SUM(Y15:Y45)</f>
        <v>4139.18849684739</v>
      </c>
      <c r="Z47" s="113"/>
      <c r="AA47" s="113"/>
      <c r="AB47" s="113"/>
      <c r="AC47" s="113"/>
      <c r="AE47" s="113" t="n">
        <f aca="false">SUM(AE15:AE45)</f>
        <v>110.165</v>
      </c>
      <c r="AF47" s="227" t="n">
        <f aca="false">SUM(AF15:AF45)</f>
        <v>52.7</v>
      </c>
      <c r="AG47" s="229" t="n">
        <f aca="false">SUM(AG15:AG45)</f>
        <v>40.3</v>
      </c>
      <c r="AH47" s="113" t="n">
        <f aca="false">SUM(AH15:AH45)</f>
        <v>1233.8</v>
      </c>
      <c r="AI47" s="113"/>
      <c r="AJ47" s="113" t="n">
        <f aca="false">SUM(AJ15:AJ45)</f>
        <v>0</v>
      </c>
      <c r="AK47" s="113" t="n">
        <f aca="false">SUM(AK15:AK45)</f>
        <v>5792.04</v>
      </c>
      <c r="AL47" s="113" t="n">
        <f aca="false">SUM(AL15:AL45)</f>
        <v>649.309578774893</v>
      </c>
      <c r="AM47" s="225" t="n">
        <f aca="false">SUM(AM15:AM45)</f>
        <v>6441.34957877489</v>
      </c>
      <c r="AN47" s="226" t="n">
        <f aca="false">SUM(AN15:AN45)</f>
        <v>1512.0375</v>
      </c>
      <c r="AO47" s="143" t="n">
        <f aca="false">SUM(AO15:AO45)</f>
        <v>0</v>
      </c>
      <c r="AP47" s="143"/>
      <c r="AQ47" s="171"/>
      <c r="AR47" s="171"/>
      <c r="AS47" s="143" t="n">
        <f aca="false">SUM(AS15:AS45)</f>
        <v>0</v>
      </c>
      <c r="AT47" s="226" t="n">
        <f aca="false">SUM(AT15:AT45)</f>
        <v>0</v>
      </c>
      <c r="AU47" s="56"/>
      <c r="AV47" s="226" t="n">
        <f aca="false">SUM(AV15:AV45)</f>
        <v>139.6122</v>
      </c>
      <c r="AW47" s="330" t="n">
        <f aca="false">SUM(AW15:AW45)</f>
        <v>0.18</v>
      </c>
      <c r="AX47" s="226" t="n">
        <f aca="false">AVERAGE(AX15:AX45)</f>
        <v>69.4838709677419</v>
      </c>
      <c r="AY47" s="226" t="n">
        <f aca="false">AVERAGE(AY15:AY45)</f>
        <v>38.8064516129032</v>
      </c>
      <c r="AZ47" s="234" t="s">
        <v>130</v>
      </c>
      <c r="BA47" s="348" t="n">
        <f aca="false">SUM(BA15:BA45)</f>
        <v>169.274303152606</v>
      </c>
      <c r="BB47" s="161" t="n">
        <f aca="false">SUM(BB15:BB45)</f>
        <v>6.2</v>
      </c>
      <c r="BC47" s="265"/>
    </row>
    <row r="48" customFormat="false" ht="12.95" hidden="false" customHeight="true" outlineLevel="0" collapsed="false">
      <c r="A48" s="194" t="s">
        <v>107</v>
      </c>
      <c r="B48" s="224"/>
      <c r="C48" s="113"/>
      <c r="D48" s="113" t="n">
        <f aca="false">SUM(D15:D45)</f>
        <v>-423</v>
      </c>
      <c r="E48" s="113"/>
      <c r="F48" s="225" t="n">
        <f aca="false">F47*$D$2</f>
        <v>-423</v>
      </c>
      <c r="G48" s="113" t="n">
        <f aca="false">G47*$D$2</f>
        <v>12170.756</v>
      </c>
      <c r="H48" s="226" t="n">
        <f aca="false">H47*$D$2</f>
        <v>0</v>
      </c>
      <c r="I48" s="113" t="n">
        <f aca="false">I47*$D$2</f>
        <v>12170.756</v>
      </c>
      <c r="J48" s="113" t="n">
        <f aca="false">J47*$D$2</f>
        <v>182.6608895</v>
      </c>
      <c r="K48" s="113" t="n">
        <f aca="false">K47*$D$2</f>
        <v>12353.4168895</v>
      </c>
      <c r="L48" s="113" t="n">
        <f aca="false">L47*$D$2</f>
        <v>-1105.24466</v>
      </c>
      <c r="M48" s="227" t="n">
        <f aca="false">M47*$D$2</f>
        <v>2877.562625</v>
      </c>
      <c r="N48" s="113" t="n">
        <f aca="false">N47*$D$2</f>
        <v>31.93</v>
      </c>
      <c r="O48" s="113" t="n">
        <f aca="false">O47*$D$2</f>
        <v>276.9207987</v>
      </c>
      <c r="P48" s="171" t="n">
        <f aca="false">P47*$D$2</f>
        <v>0</v>
      </c>
      <c r="Q48" s="113" t="n">
        <f aca="false">Q47*$D$2</f>
        <v>104.967804303194</v>
      </c>
      <c r="R48" s="113" t="n">
        <f aca="false">R47*$D$2</f>
        <v>154.99940057992</v>
      </c>
      <c r="S48" s="113" t="n">
        <f aca="false">S47*$D$2</f>
        <v>0</v>
      </c>
      <c r="T48" s="113" t="n">
        <f aca="false">T47*$D$2</f>
        <v>43.85837542008</v>
      </c>
      <c r="U48" s="228" t="n">
        <f aca="false">U47*$D$2</f>
        <v>0</v>
      </c>
      <c r="V48" s="113" t="n">
        <f aca="false">V47*$D$2</f>
        <v>4753.06105</v>
      </c>
      <c r="W48" s="113" t="n">
        <f aca="false">W47*$D$2</f>
        <v>1192.1330875</v>
      </c>
      <c r="X48" s="113" t="n">
        <f aca="false">X47*$D$2</f>
        <v>8210.08038349681</v>
      </c>
      <c r="Y48" s="113" t="n">
        <f aca="false">Y47*$D$2</f>
        <v>8210.08038349681</v>
      </c>
      <c r="Z48" s="113"/>
      <c r="AA48" s="113"/>
      <c r="AB48" s="113"/>
      <c r="AC48" s="113"/>
      <c r="AE48" s="113" t="n">
        <f aca="false">AE47*$D$2</f>
        <v>218.5122775</v>
      </c>
      <c r="AF48" s="227" t="n">
        <f aca="false">AF47*$D$2</f>
        <v>104.53045</v>
      </c>
      <c r="AG48" s="229" t="n">
        <f aca="false">AG47*$D$2</f>
        <v>79.93505</v>
      </c>
      <c r="AH48" s="113" t="n">
        <f aca="false">AH47*$D$2</f>
        <v>2447.2423</v>
      </c>
      <c r="AI48" s="113"/>
      <c r="AJ48" s="113" t="n">
        <f aca="false">AJ47*$D$2</f>
        <v>0</v>
      </c>
      <c r="AK48" s="113" t="n">
        <f aca="false">AK47*$D$2</f>
        <v>11488.51134</v>
      </c>
      <c r="AL48" s="113" t="n">
        <f aca="false">AL47*$D$2</f>
        <v>1287.9055495</v>
      </c>
      <c r="AM48" s="225" t="n">
        <f aca="false">AM47*$D$2</f>
        <v>12776.4168895</v>
      </c>
      <c r="AN48" s="226" t="n">
        <f aca="false">AN47*$D$2</f>
        <v>2999.12638125</v>
      </c>
      <c r="AO48" s="113" t="n">
        <f aca="false">AO47*$D$2</f>
        <v>0</v>
      </c>
      <c r="AP48" s="143"/>
      <c r="AQ48" s="171" t="n">
        <f aca="false">SUM(AQ15:AQ45)</f>
        <v>9.90207009030288</v>
      </c>
      <c r="AR48" s="171"/>
      <c r="AS48" s="142" t="n">
        <f aca="false">AS47*$D$2</f>
        <v>0</v>
      </c>
      <c r="AT48" s="226" t="n">
        <f aca="false">AT47*$D$2</f>
        <v>0</v>
      </c>
      <c r="AU48" s="56"/>
      <c r="AV48" s="226" t="n">
        <f aca="false">AV47*$D$2</f>
        <v>276.9207987</v>
      </c>
      <c r="AW48" s="330"/>
      <c r="AX48" s="226" t="n">
        <f aca="false">MAX(AX15:AX45)</f>
        <v>76</v>
      </c>
      <c r="AY48" s="226" t="n">
        <f aca="false">MAX(AY15:AY45)</f>
        <v>47</v>
      </c>
      <c r="AZ48" s="234" t="s">
        <v>108</v>
      </c>
      <c r="BA48" s="348" t="n">
        <f aca="false">BA47*$D$2</f>
        <v>335.755580303194</v>
      </c>
      <c r="BB48" s="161" t="n">
        <f aca="false">BB47*$D$2</f>
        <v>12.2977</v>
      </c>
      <c r="BC48" s="265"/>
    </row>
    <row r="49" customFormat="false" ht="3" hidden="false" customHeight="true" outlineLevel="0" collapsed="false">
      <c r="A49" s="245"/>
      <c r="B49" s="267"/>
      <c r="C49" s="247"/>
      <c r="D49" s="247"/>
      <c r="E49" s="247"/>
      <c r="F49" s="270"/>
      <c r="G49" s="247"/>
      <c r="H49" s="257"/>
      <c r="I49" s="247"/>
      <c r="J49" s="247"/>
      <c r="K49" s="247"/>
      <c r="L49" s="247"/>
      <c r="M49" s="271"/>
      <c r="N49" s="247"/>
      <c r="O49" s="247"/>
      <c r="P49" s="252"/>
      <c r="Q49" s="247"/>
      <c r="R49" s="247"/>
      <c r="S49" s="247"/>
      <c r="T49" s="247"/>
      <c r="U49" s="253"/>
      <c r="V49" s="247"/>
      <c r="W49" s="247"/>
      <c r="X49" s="247"/>
      <c r="Y49" s="247"/>
      <c r="Z49" s="247"/>
      <c r="AA49" s="247"/>
      <c r="AB49" s="247"/>
      <c r="AC49" s="247"/>
      <c r="AD49" s="520"/>
      <c r="AE49" s="247"/>
      <c r="AF49" s="271"/>
      <c r="AG49" s="272"/>
      <c r="AH49" s="247"/>
      <c r="AI49" s="248"/>
      <c r="AJ49" s="247"/>
      <c r="AK49" s="247"/>
      <c r="AL49" s="247"/>
      <c r="AM49" s="270"/>
      <c r="AN49" s="247"/>
      <c r="AO49" s="254"/>
      <c r="AP49" s="254"/>
      <c r="AQ49" s="252"/>
      <c r="AR49" s="252"/>
      <c r="AS49" s="252"/>
      <c r="AT49" s="257"/>
      <c r="AU49" s="257"/>
      <c r="AV49" s="257"/>
      <c r="AW49" s="274"/>
      <c r="AX49" s="247"/>
      <c r="AY49" s="247"/>
      <c r="AZ49" s="247"/>
      <c r="BA49" s="247"/>
      <c r="BB49" s="247"/>
      <c r="BC49" s="247"/>
    </row>
    <row r="50" customFormat="false" ht="12.95" hidden="false" customHeight="true" outlineLevel="0" collapsed="false">
      <c r="A50" s="194" t="s">
        <v>109</v>
      </c>
      <c r="B50" s="224"/>
      <c r="C50" s="113"/>
      <c r="D50" s="113"/>
      <c r="E50" s="113"/>
      <c r="F50" s="225" t="n">
        <f aca="false">F12+F47</f>
        <v>-3886.0599949584</v>
      </c>
      <c r="G50" s="113" t="n">
        <f aca="false">G12+G47</f>
        <v>107116</v>
      </c>
      <c r="H50" s="226" t="n">
        <f aca="false">H12+H47</f>
        <v>608.545</v>
      </c>
      <c r="I50" s="113" t="n">
        <f aca="false">I12+I47</f>
        <v>107724.545</v>
      </c>
      <c r="J50" s="113" t="n">
        <f aca="false">J12+J47</f>
        <v>2652.23631888077</v>
      </c>
      <c r="K50" s="113" t="n">
        <f aca="false">K12+K47</f>
        <v>110376.771318881</v>
      </c>
      <c r="L50" s="113" t="n">
        <f aca="false">L12+L47</f>
        <v>-5682.64499495841</v>
      </c>
      <c r="M50" s="227" t="n">
        <f aca="false">M12+M47</f>
        <v>41654.35</v>
      </c>
      <c r="N50" s="113" t="n">
        <f aca="false">N12+N47</f>
        <v>69.0647844718931</v>
      </c>
      <c r="O50" s="113" t="n">
        <f aca="false">O12+O47</f>
        <v>12867.3027</v>
      </c>
      <c r="P50" s="171" t="n">
        <f aca="false">P12+P47</f>
        <v>7</v>
      </c>
      <c r="Q50" s="113"/>
      <c r="R50" s="113"/>
      <c r="S50" s="113"/>
      <c r="T50" s="113"/>
      <c r="U50" s="228"/>
      <c r="V50" s="113" t="n">
        <f aca="false">V12+V47</f>
        <v>18346.68</v>
      </c>
      <c r="W50" s="113" t="n">
        <f aca="false">W12+W47</f>
        <v>10410.515</v>
      </c>
      <c r="X50" s="113" t="n">
        <f aca="false">X12+X47</f>
        <v>58406.0683566314</v>
      </c>
      <c r="Y50" s="113" t="n">
        <f aca="false">Y12+Y47</f>
        <v>58250.2319014748</v>
      </c>
      <c r="Z50" s="84"/>
      <c r="AA50" s="113"/>
      <c r="AB50" s="113"/>
      <c r="AC50" s="113"/>
      <c r="AE50" s="113" t="n">
        <f aca="false">AE12+AE47</f>
        <v>25249.995</v>
      </c>
      <c r="AF50" s="227" t="n">
        <f aca="false">AF12+AF47</f>
        <v>363.8</v>
      </c>
      <c r="AG50" s="229" t="n">
        <f aca="false">AG12+AG47</f>
        <v>278.2</v>
      </c>
      <c r="AH50" s="113"/>
      <c r="AI50" s="113"/>
      <c r="AJ50" s="113" t="n">
        <f aca="false">AJ12+AJ47</f>
        <v>0</v>
      </c>
      <c r="AK50" s="113" t="n">
        <f aca="false">AK12+AK47</f>
        <v>105927.95</v>
      </c>
      <c r="AL50" s="113" t="n">
        <f aca="false">AL12+AL47</f>
        <v>8334.88131383917</v>
      </c>
      <c r="AM50" s="225" t="n">
        <f aca="false">AM12+AM47</f>
        <v>114262.831313839</v>
      </c>
      <c r="AN50" s="226"/>
      <c r="AO50" s="143"/>
      <c r="AP50" s="143"/>
      <c r="AQ50" s="171"/>
      <c r="AR50" s="226" t="n">
        <f aca="false">AR12+AR47</f>
        <v>2706.82953023959</v>
      </c>
      <c r="AS50" s="143" t="n">
        <f aca="false">AS47</f>
        <v>0</v>
      </c>
      <c r="AT50" s="226" t="n">
        <f aca="false">AT12+AT47</f>
        <v>772.57</v>
      </c>
      <c r="AU50" s="226" t="n">
        <f aca="false">AU12+AU47</f>
        <v>223.19</v>
      </c>
      <c r="AV50" s="226" t="n">
        <f aca="false">AV13+AV47</f>
        <v>1971.4767</v>
      </c>
      <c r="AW50" s="330"/>
      <c r="AX50" s="226" t="n">
        <f aca="false">MIN(AX15:AX45)</f>
        <v>59</v>
      </c>
      <c r="AY50" s="226" t="n">
        <f aca="false">MIN(AY15:AY45)</f>
        <v>30</v>
      </c>
      <c r="AZ50" s="234" t="s">
        <v>110</v>
      </c>
      <c r="BA50" s="348" t="n">
        <f aca="false">BA12+BA47</f>
        <v>1659.030257702</v>
      </c>
      <c r="BB50" s="161" t="n">
        <f aca="false">BB12+BB47</f>
        <v>1472.907</v>
      </c>
      <c r="BC50" s="265"/>
    </row>
    <row r="51" customFormat="false" ht="12.95" hidden="false" customHeight="true" outlineLevel="0" collapsed="false">
      <c r="A51" s="194" t="s">
        <v>111</v>
      </c>
      <c r="B51" s="224"/>
      <c r="C51" s="113"/>
      <c r="D51" s="113"/>
      <c r="E51" s="113"/>
      <c r="F51" s="225" t="n">
        <f aca="false">F50*$D$2</f>
        <v>-7707.99999999999</v>
      </c>
      <c r="G51" s="113" t="n">
        <f aca="false">G50*$D$2</f>
        <v>212464.586</v>
      </c>
      <c r="H51" s="226" t="n">
        <f aca="false">H50*$D$2</f>
        <v>1207.0490075</v>
      </c>
      <c r="I51" s="113" t="n">
        <f aca="false">I50*$D$2</f>
        <v>213671.6350075</v>
      </c>
      <c r="J51" s="113" t="n">
        <f aca="false">J50*$D$2</f>
        <v>5260.7107385</v>
      </c>
      <c r="K51" s="113" t="n">
        <f aca="false">K50*$D$2</f>
        <v>218932.325911</v>
      </c>
      <c r="L51" s="113" t="n">
        <f aca="false">L50*$D$2</f>
        <v>-11271.5263475</v>
      </c>
      <c r="M51" s="227" t="n">
        <f aca="false">M50*$D$2</f>
        <v>82621.403225</v>
      </c>
      <c r="N51" s="113" t="n">
        <f aca="false">N50*$D$2</f>
        <v>136.99</v>
      </c>
      <c r="O51" s="113" t="n">
        <f aca="false">O50*$D$2</f>
        <v>25522.29490545</v>
      </c>
      <c r="P51" s="171" t="n">
        <f aca="false">P50*$D$2</f>
        <v>13.8845</v>
      </c>
      <c r="Q51" s="113"/>
      <c r="R51" s="113"/>
      <c r="S51" s="113"/>
      <c r="T51" s="113"/>
      <c r="U51" s="228"/>
      <c r="V51" s="113" t="n">
        <f aca="false">V50*$D$2</f>
        <v>36390.63978</v>
      </c>
      <c r="W51" s="113" t="n">
        <f aca="false">W50*$D$2</f>
        <v>20649.2565025</v>
      </c>
      <c r="X51" s="113" t="n">
        <f aca="false">X50*$D$2</f>
        <v>115848.436585378</v>
      </c>
      <c r="Y51" s="113" t="n">
        <f aca="false">Y50*$D$2</f>
        <v>115539.334976575</v>
      </c>
      <c r="Z51" s="84"/>
      <c r="AA51" s="113"/>
      <c r="AB51" s="113"/>
      <c r="AC51" s="113"/>
      <c r="AE51" s="113" t="n">
        <f aca="false">AE50*$D$2</f>
        <v>50083.3650825</v>
      </c>
      <c r="AF51" s="227" t="n">
        <f aca="false">AF50*$D$2</f>
        <v>721.5973</v>
      </c>
      <c r="AG51" s="229" t="n">
        <f aca="false">AG50*$D$2</f>
        <v>551.8097</v>
      </c>
      <c r="AH51" s="113"/>
      <c r="AI51" s="113"/>
      <c r="AJ51" s="113" t="n">
        <f aca="false">AJ50*$D$2</f>
        <v>0</v>
      </c>
      <c r="AK51" s="113" t="n">
        <f aca="false">AK50*$D$2</f>
        <v>210108.088825</v>
      </c>
      <c r="AL51" s="113" t="n">
        <f aca="false">AL50*$D$2</f>
        <v>16532.237086</v>
      </c>
      <c r="AM51" s="113" t="n">
        <f aca="false">AM50*$D$2</f>
        <v>226640.325911</v>
      </c>
      <c r="AN51" s="231"/>
      <c r="AO51" s="143"/>
      <c r="AP51" s="143"/>
      <c r="AQ51" s="171" t="n">
        <f aca="false">AQ12+AQ48</f>
        <v>1996.71126246399</v>
      </c>
      <c r="AR51" s="226" t="n">
        <f aca="false">AR50*$D$2</f>
        <v>5368.99637323023</v>
      </c>
      <c r="AS51" s="143" t="n">
        <f aca="false">AS50*$D$2</f>
        <v>0</v>
      </c>
      <c r="AT51" s="226" t="n">
        <f aca="false">AT50*$D$2</f>
        <v>1532.392595</v>
      </c>
      <c r="AU51" s="226" t="n">
        <f aca="false">AU50*$D$2</f>
        <v>442.697365</v>
      </c>
      <c r="AV51" s="226" t="n">
        <f aca="false">AV50*$D$2</f>
        <v>3910.42403445</v>
      </c>
      <c r="AW51" s="330"/>
      <c r="AX51" s="226"/>
      <c r="AY51" s="226"/>
      <c r="AZ51" s="265"/>
      <c r="BA51" s="348" t="n">
        <f aca="false">BA50*$D$2</f>
        <v>3290.68651615192</v>
      </c>
      <c r="BB51" s="161" t="n">
        <f aca="false">BB50*$D$2</f>
        <v>2921.5110345</v>
      </c>
      <c r="BC51" s="265"/>
    </row>
    <row r="52" customFormat="false" ht="3" hidden="false" customHeight="true" outlineLevel="0" collapsed="false">
      <c r="A52" s="245"/>
      <c r="B52" s="267"/>
      <c r="C52" s="247"/>
      <c r="D52" s="247"/>
      <c r="E52" s="247"/>
      <c r="F52" s="270"/>
      <c r="G52" s="247"/>
      <c r="H52" s="257"/>
      <c r="I52" s="247"/>
      <c r="J52" s="247"/>
      <c r="K52" s="247"/>
      <c r="L52" s="247"/>
      <c r="M52" s="271"/>
      <c r="N52" s="247"/>
      <c r="O52" s="247"/>
      <c r="P52" s="252"/>
      <c r="Q52" s="247"/>
      <c r="R52" s="247"/>
      <c r="S52" s="247"/>
      <c r="T52" s="247"/>
      <c r="U52" s="253"/>
      <c r="V52" s="247"/>
      <c r="W52" s="247"/>
      <c r="X52" s="247"/>
      <c r="Y52" s="247"/>
      <c r="Z52" s="247"/>
      <c r="AA52" s="247"/>
      <c r="AB52" s="247"/>
      <c r="AC52" s="247"/>
      <c r="AD52" s="247"/>
      <c r="AE52" s="247"/>
      <c r="AF52" s="271"/>
      <c r="AG52" s="272"/>
      <c r="AH52" s="247"/>
      <c r="AI52" s="247"/>
      <c r="AJ52" s="247"/>
      <c r="AK52" s="247"/>
      <c r="AL52" s="247"/>
      <c r="AM52" s="247"/>
      <c r="AN52" s="515"/>
      <c r="AO52" s="254"/>
      <c r="AP52" s="254"/>
      <c r="AQ52" s="252"/>
      <c r="AR52" s="252"/>
      <c r="AS52" s="252"/>
      <c r="AT52" s="257"/>
      <c r="AU52" s="257"/>
      <c r="AV52" s="257"/>
      <c r="AW52" s="515"/>
      <c r="AX52" s="252"/>
      <c r="AY52" s="252"/>
      <c r="AZ52" s="252"/>
      <c r="BA52" s="252"/>
      <c r="BB52" s="275"/>
      <c r="BC52" s="252"/>
    </row>
    <row r="53" customFormat="false" ht="12.95" hidden="false" customHeight="true" outlineLevel="0" collapsed="false">
      <c r="A53" s="194" t="s">
        <v>112</v>
      </c>
      <c r="B53" s="224"/>
      <c r="C53" s="113"/>
      <c r="D53" s="113"/>
      <c r="E53" s="113"/>
      <c r="F53" s="225" t="n">
        <f aca="false">F13+F47</f>
        <v>6058.98663977818</v>
      </c>
      <c r="G53" s="113" t="n">
        <f aca="false">G13+G47</f>
        <v>119633</v>
      </c>
      <c r="H53" s="226" t="n">
        <f aca="false">H13+H47</f>
        <v>638.65</v>
      </c>
      <c r="I53" s="113" t="n">
        <f aca="false">I13+I47</f>
        <v>120271.03</v>
      </c>
      <c r="J53" s="113" t="n">
        <f aca="false">J13+J47</f>
        <v>4567.9532515755</v>
      </c>
      <c r="K53" s="113" t="n">
        <f aca="false">K13+K47</f>
        <v>124838.973251576</v>
      </c>
      <c r="L53" s="113" t="n">
        <f aca="false">L13+L47</f>
        <v>-4643.34336022183</v>
      </c>
      <c r="M53" s="227" t="n">
        <f aca="false">M13+M47</f>
        <v>42291.39</v>
      </c>
      <c r="N53" s="113" t="n">
        <f aca="false">N13+N47</f>
        <v>69.0647844718931</v>
      </c>
      <c r="O53" s="113" t="n">
        <f aca="false">O13+O47</f>
        <v>12867.3027</v>
      </c>
      <c r="P53" s="171"/>
      <c r="Q53" s="113" t="n">
        <f aca="false">Q13+Q47</f>
        <v>720.096774588062</v>
      </c>
      <c r="R53" s="226" t="n">
        <f aca="false">R13+R47</f>
        <v>978.144588154581</v>
      </c>
      <c r="S53" s="113" t="n">
        <f aca="false">S13+S47</f>
        <v>142.684724</v>
      </c>
      <c r="T53" s="113" t="n">
        <f aca="false">T13+T47</f>
        <v>284.35790656</v>
      </c>
      <c r="U53" s="327" t="n">
        <f aca="false">U13+U47</f>
        <v>-65.0339372790604</v>
      </c>
      <c r="V53" s="113" t="n">
        <f aca="false">V13+V47</f>
        <v>18346.68</v>
      </c>
      <c r="W53" s="113" t="n">
        <f aca="false">W13+W47</f>
        <v>10410.515</v>
      </c>
      <c r="X53" s="113" t="n">
        <f aca="false">X13+X47</f>
        <v>58513.5667897441</v>
      </c>
      <c r="Y53" s="113" t="n">
        <f aca="false">Y13+Y47</f>
        <v>58357.7303345876</v>
      </c>
      <c r="Z53" s="113"/>
      <c r="AA53" s="113"/>
      <c r="AB53" s="113"/>
      <c r="AC53" s="113"/>
      <c r="AD53" s="113"/>
      <c r="AE53" s="113"/>
      <c r="AF53" s="227" t="n">
        <f aca="false">AF13+AF47</f>
        <v>363.8</v>
      </c>
      <c r="AG53" s="229" t="n">
        <f aca="false">AG13+AG47</f>
        <v>278.2</v>
      </c>
      <c r="AH53" s="113" t="n">
        <f aca="false">AH13+AH47</f>
        <v>13493.3</v>
      </c>
      <c r="AI53" s="113" t="n">
        <f aca="false">AI45</f>
        <v>4134.54923115706</v>
      </c>
      <c r="AJ53" s="113" t="n">
        <f aca="false">AJ13+AJ47</f>
        <v>0</v>
      </c>
      <c r="AK53" s="113" t="n">
        <f aca="false">AK13+AK47</f>
        <v>109568.69</v>
      </c>
      <c r="AL53" s="113" t="n">
        <f aca="false">AL13+AL47</f>
        <v>9211.29661179733</v>
      </c>
      <c r="AM53" s="518" t="n">
        <f aca="false">AM13+AM47</f>
        <v>118779.986611797</v>
      </c>
      <c r="AN53" s="113" t="n">
        <f aca="false">AN13+AN47</f>
        <v>4439.4375</v>
      </c>
      <c r="AO53" s="143" t="n">
        <f aca="false">AO13+AO47</f>
        <v>235.836455156528</v>
      </c>
      <c r="AP53" s="143"/>
      <c r="AQ53" s="171"/>
      <c r="AR53" s="171"/>
      <c r="AS53" s="171"/>
      <c r="AT53" s="226"/>
      <c r="AU53" s="226"/>
      <c r="AV53" s="191"/>
      <c r="AW53" s="146" t="n">
        <f aca="false">AW13+AW47</f>
        <v>14.84</v>
      </c>
      <c r="AX53" s="226"/>
      <c r="AY53" s="226"/>
      <c r="AZ53" s="265"/>
      <c r="BA53" s="348" t="n">
        <f aca="false">BA13+BA47</f>
        <v>2136.83412458925</v>
      </c>
      <c r="BB53" s="161" t="n">
        <f aca="false">BB13+BB47</f>
        <v>1472.907</v>
      </c>
      <c r="BC53" s="265"/>
    </row>
    <row r="54" customFormat="false" ht="12.95" hidden="false" customHeight="true" outlineLevel="0" collapsed="false">
      <c r="A54" s="194" t="s">
        <v>113</v>
      </c>
      <c r="B54" s="224"/>
      <c r="C54" s="113"/>
      <c r="D54" s="113" t="n">
        <f aca="false">D13+D48</f>
        <v>12018</v>
      </c>
      <c r="E54" s="113" t="n">
        <f aca="false">E45</f>
        <v>33740</v>
      </c>
      <c r="F54" s="225" t="n">
        <f aca="false">F53*$D$2</f>
        <v>12018</v>
      </c>
      <c r="G54" s="113" t="n">
        <f aca="false">G53*$D$2</f>
        <v>237292.0555</v>
      </c>
      <c r="H54" s="226" t="n">
        <f aca="false">H53*$D$2</f>
        <v>1266.762275</v>
      </c>
      <c r="I54" s="113" t="n">
        <f aca="false">I53*$D$2</f>
        <v>238557.588005</v>
      </c>
      <c r="J54" s="113" t="n">
        <f aca="false">J53*$D$2</f>
        <v>9060.5352745</v>
      </c>
      <c r="K54" s="113" t="n">
        <f aca="false">K53*$D$2</f>
        <v>247618.1034445</v>
      </c>
      <c r="L54" s="113" t="n">
        <f aca="false">L53*$D$2</f>
        <v>-9210.071555</v>
      </c>
      <c r="M54" s="227" t="n">
        <f aca="false">M53*$D$2</f>
        <v>83884.972065</v>
      </c>
      <c r="N54" s="113" t="n">
        <f aca="false">N53*$D$2</f>
        <v>136.99</v>
      </c>
      <c r="O54" s="113" t="n">
        <f aca="false">O53*$D$2</f>
        <v>25522.29490545</v>
      </c>
      <c r="P54" s="171"/>
      <c r="Q54" s="226" t="n">
        <f aca="false">Q53*$D$2</f>
        <v>1428.31195239542</v>
      </c>
      <c r="R54" s="226" t="n">
        <f aca="false">R53*$D$2</f>
        <v>1940.14979060461</v>
      </c>
      <c r="S54" s="239" t="n">
        <f aca="false">S53*$D$2</f>
        <v>283.015150054</v>
      </c>
      <c r="T54" s="239" t="n">
        <f aca="false">T53*$D$2</f>
        <v>564.02390766176</v>
      </c>
      <c r="U54" s="433" t="n">
        <f aca="false">U53*$D$2</f>
        <v>-128.994814593016</v>
      </c>
      <c r="V54" s="113" t="n">
        <f aca="false">V53*$D$2</f>
        <v>36390.63978</v>
      </c>
      <c r="W54" s="113" t="n">
        <f aca="false">W53*$D$2</f>
        <v>20649.2565025</v>
      </c>
      <c r="X54" s="113" t="n">
        <f aca="false">X53*$D$2</f>
        <v>116061.659727457</v>
      </c>
      <c r="Y54" s="113" t="n">
        <f aca="false">Y53*$D$2</f>
        <v>115752.558118655</v>
      </c>
      <c r="Z54" s="113"/>
      <c r="AA54" s="113"/>
      <c r="AB54" s="113"/>
      <c r="AC54" s="113"/>
      <c r="AD54" s="113"/>
      <c r="AE54" s="113"/>
      <c r="AF54" s="277" t="n">
        <f aca="false">AF53*$D$2</f>
        <v>721.5973</v>
      </c>
      <c r="AG54" s="278" t="n">
        <f aca="false">AG53*$D$2</f>
        <v>551.8097</v>
      </c>
      <c r="AH54" s="113" t="n">
        <f aca="false">AH53*$D$2</f>
        <v>26763.96055</v>
      </c>
      <c r="AI54" s="113" t="n">
        <f aca="false">AI53*$D$2</f>
        <v>8200.87840000003</v>
      </c>
      <c r="AJ54" s="113" t="n">
        <f aca="false">AJ53*$D$2</f>
        <v>0</v>
      </c>
      <c r="AK54" s="113" t="n">
        <f aca="false">AK53*$D$2</f>
        <v>217329.496615</v>
      </c>
      <c r="AL54" s="113" t="n">
        <f aca="false">AL53*$D$2</f>
        <v>18270.6068295</v>
      </c>
      <c r="AM54" s="225" t="n">
        <f aca="false">AM53*$D$2</f>
        <v>235600.1034445</v>
      </c>
      <c r="AN54" s="113" t="n">
        <f aca="false">AN53*$D$2</f>
        <v>8805.62428125</v>
      </c>
      <c r="AO54" s="143" t="n">
        <f aca="false">AO53*$D$2</f>
        <v>467.781608802973</v>
      </c>
      <c r="AP54" s="143"/>
      <c r="AQ54" s="171" t="n">
        <f aca="false">AQ13+AQ48</f>
        <v>1996.71126246399</v>
      </c>
      <c r="AR54" s="171"/>
      <c r="AS54" s="171"/>
      <c r="AT54" s="226"/>
      <c r="AU54" s="226"/>
      <c r="AV54" s="191"/>
      <c r="AW54" s="330"/>
      <c r="AX54" s="226"/>
      <c r="AY54" s="226"/>
      <c r="AZ54" s="265"/>
      <c r="BA54" s="348" t="n">
        <f aca="false">BA53*$D$2</f>
        <v>4238.41048612278</v>
      </c>
      <c r="BB54" s="161" t="n">
        <f aca="false">BB53*$D$2</f>
        <v>2921.5110345</v>
      </c>
      <c r="BC54" s="265"/>
    </row>
    <row r="55" customFormat="false" ht="3" hidden="false" customHeight="true" outlineLevel="0" collapsed="false">
      <c r="A55" s="245"/>
      <c r="B55" s="519"/>
      <c r="C55" s="520"/>
      <c r="D55" s="245"/>
      <c r="E55" s="520"/>
      <c r="F55" s="521"/>
      <c r="G55" s="245"/>
      <c r="H55" s="605"/>
      <c r="I55" s="245"/>
      <c r="J55" s="245"/>
      <c r="K55" s="245"/>
      <c r="L55" s="245"/>
      <c r="M55" s="523"/>
      <c r="N55" s="245"/>
      <c r="O55" s="245"/>
      <c r="P55" s="524"/>
      <c r="Q55" s="245"/>
      <c r="R55" s="606"/>
      <c r="S55" s="245"/>
      <c r="T55" s="245"/>
      <c r="U55" s="525"/>
      <c r="V55" s="245"/>
      <c r="W55" s="245"/>
      <c r="X55" s="245"/>
      <c r="Y55" s="245"/>
      <c r="Z55" s="520"/>
      <c r="AA55" s="245"/>
      <c r="AB55" s="520"/>
      <c r="AC55" s="520"/>
      <c r="AD55" s="520"/>
      <c r="AE55" s="245"/>
      <c r="AF55" s="251"/>
      <c r="AG55" s="255"/>
      <c r="AH55" s="245"/>
      <c r="AI55" s="520"/>
      <c r="AJ55" s="520"/>
      <c r="AK55" s="245"/>
      <c r="AL55" s="245"/>
      <c r="AM55" s="521"/>
      <c r="AN55" s="245"/>
      <c r="AO55" s="522"/>
      <c r="AP55" s="522"/>
      <c r="AQ55" s="524"/>
      <c r="AR55" s="524"/>
      <c r="AS55" s="524"/>
      <c r="AT55" s="245"/>
      <c r="AU55" s="245"/>
      <c r="AV55" s="245"/>
      <c r="AW55" s="519"/>
      <c r="AX55" s="245"/>
      <c r="AY55" s="245"/>
      <c r="AZ55" s="245"/>
      <c r="BA55" s="245"/>
      <c r="BB55" s="245"/>
      <c r="BC55" s="245"/>
    </row>
    <row r="56" customFormat="false" ht="11.1" hidden="false" customHeight="true" outlineLevel="0" collapsed="false">
      <c r="G56" s="195"/>
      <c r="H56" s="607"/>
      <c r="I56" s="186"/>
      <c r="N56" s="2"/>
      <c r="Q56" s="110"/>
      <c r="W56" s="56"/>
      <c r="X56" s="1"/>
      <c r="Y56" s="1"/>
      <c r="Z56" s="161"/>
      <c r="AA56" s="1"/>
      <c r="AB56" s="161"/>
      <c r="AE56" s="110"/>
      <c r="AF56" s="110"/>
      <c r="AG56" s="110"/>
      <c r="AH56" s="161"/>
      <c r="AK56" s="189"/>
      <c r="AL56" s="189"/>
      <c r="AM56" s="392"/>
      <c r="AQ56" s="72"/>
      <c r="AR56" s="72"/>
      <c r="AS56" s="72"/>
      <c r="AW56" s="511"/>
      <c r="AX56" s="296"/>
      <c r="AY56" s="418"/>
    </row>
    <row r="57" customFormat="false" ht="11.1" hidden="false" customHeight="true" outlineLevel="0" collapsed="false">
      <c r="A57" s="194"/>
      <c r="B57" s="575"/>
      <c r="C57" s="2"/>
      <c r="D57" s="1"/>
      <c r="E57" s="390"/>
      <c r="F57" s="197"/>
      <c r="G57" s="1"/>
      <c r="H57" s="608"/>
      <c r="I57" s="12"/>
      <c r="J57" s="11"/>
      <c r="K57" s="186"/>
      <c r="L57" s="11"/>
      <c r="M57" s="11"/>
      <c r="N57" s="2"/>
      <c r="O57" s="2"/>
      <c r="P57" s="609"/>
      <c r="Q57" s="494"/>
      <c r="R57" s="98"/>
      <c r="S57" s="98"/>
      <c r="T57" s="98"/>
      <c r="U57" s="98"/>
      <c r="V57" s="26"/>
      <c r="W57" s="137"/>
      <c r="X57" s="491"/>
      <c r="Y57" s="491"/>
      <c r="Z57" s="161"/>
      <c r="AA57" s="491"/>
      <c r="AB57" s="161"/>
      <c r="AC57" s="89"/>
      <c r="AD57" s="89"/>
      <c r="AE57" s="2"/>
      <c r="AF57" s="2"/>
      <c r="AG57" s="2"/>
      <c r="AH57" s="11"/>
      <c r="AI57" s="2"/>
      <c r="AJ57" s="111"/>
      <c r="AK57" s="111"/>
      <c r="AL57" s="197"/>
      <c r="AM57" s="392"/>
      <c r="AN57" s="576"/>
      <c r="AO57" s="610"/>
      <c r="AT57" s="414"/>
      <c r="AW57" s="296"/>
      <c r="AX57" s="296"/>
      <c r="AY57" s="296"/>
    </row>
    <row r="58" customFormat="false" ht="11.1" hidden="false" customHeight="true" outlineLevel="0" collapsed="false">
      <c r="B58" s="161"/>
      <c r="E58" s="390"/>
      <c r="F58" s="238"/>
      <c r="G58" s="1"/>
      <c r="H58" s="608"/>
      <c r="I58" s="1"/>
      <c r="J58" s="1"/>
      <c r="K58" s="391"/>
      <c r="L58" s="4"/>
      <c r="M58" s="4"/>
      <c r="N58" s="4"/>
      <c r="O58" s="161"/>
      <c r="P58" s="392"/>
      <c r="Q58" s="8"/>
      <c r="R58" s="98"/>
      <c r="S58" s="98"/>
      <c r="T58" s="98"/>
      <c r="U58" s="98"/>
      <c r="V58" s="26"/>
      <c r="W58" s="137"/>
      <c r="X58" s="95"/>
      <c r="Y58" s="95"/>
      <c r="Z58" s="161"/>
      <c r="AA58" s="95"/>
      <c r="AB58" s="161"/>
      <c r="AE58" s="161"/>
      <c r="AF58" s="161"/>
      <c r="AG58" s="161"/>
      <c r="AH58" s="2"/>
      <c r="AI58" s="26"/>
      <c r="AJ58" s="495"/>
      <c r="AK58" s="495"/>
      <c r="AL58" s="189"/>
      <c r="AM58" s="392"/>
      <c r="AT58" s="414"/>
      <c r="AW58" s="296"/>
      <c r="AX58" s="296"/>
      <c r="AY58" s="418"/>
    </row>
    <row r="59" customFormat="false" ht="11.1" hidden="false" customHeight="true" outlineLevel="0" collapsed="false">
      <c r="D59" s="161"/>
      <c r="E59" s="390"/>
      <c r="F59" s="1"/>
      <c r="G59" s="1"/>
      <c r="H59" s="89"/>
      <c r="I59" s="1"/>
      <c r="J59" s="1"/>
      <c r="K59" s="391"/>
      <c r="L59" s="191"/>
      <c r="M59" s="4"/>
      <c r="N59" s="4"/>
      <c r="O59" s="191"/>
      <c r="P59" s="392"/>
      <c r="Q59" s="8"/>
      <c r="R59" s="98"/>
      <c r="S59" s="98"/>
      <c r="T59" s="98"/>
      <c r="U59" s="98"/>
      <c r="V59" s="26"/>
      <c r="W59" s="26"/>
      <c r="X59" s="95"/>
      <c r="Y59" s="95"/>
      <c r="Z59" s="191"/>
      <c r="AA59" s="95"/>
      <c r="AB59" s="191"/>
      <c r="AC59" s="191"/>
      <c r="AD59" s="191"/>
      <c r="AE59" s="161"/>
      <c r="AF59" s="161"/>
      <c r="AG59" s="161"/>
      <c r="AH59" s="2"/>
      <c r="AI59" s="161"/>
      <c r="AJ59" s="238"/>
      <c r="AK59" s="238"/>
      <c r="AL59" s="189"/>
      <c r="AM59" s="611"/>
      <c r="AT59" s="414"/>
      <c r="AW59" s="296"/>
      <c r="AX59" s="296"/>
      <c r="AY59" s="418"/>
    </row>
    <row r="60" customFormat="false" ht="11.1" hidden="false" customHeight="true" outlineLevel="0" collapsed="false">
      <c r="G60" s="283"/>
      <c r="H60" s="607"/>
      <c r="Q60" s="8"/>
      <c r="R60" s="8"/>
      <c r="S60" s="8"/>
      <c r="T60" s="8"/>
      <c r="W60" s="56"/>
      <c r="X60" s="1"/>
      <c r="Y60" s="1"/>
      <c r="Z60" s="161"/>
      <c r="AA60" s="1"/>
      <c r="AB60" s="161"/>
      <c r="AH60" s="161"/>
      <c r="AK60" s="189"/>
      <c r="AL60" s="189"/>
      <c r="AM60" s="392"/>
      <c r="AT60" s="414"/>
      <c r="AW60" s="511"/>
      <c r="AX60" s="296"/>
      <c r="AY60" s="418"/>
    </row>
    <row r="61" customFormat="false" ht="11.1" hidden="false" customHeight="true" outlineLevel="0" collapsed="false">
      <c r="H61" s="607"/>
      <c r="Q61" s="8"/>
      <c r="R61" s="8"/>
      <c r="S61" s="8"/>
      <c r="T61" s="8"/>
      <c r="W61" s="56"/>
      <c r="X61" s="161"/>
      <c r="Y61" s="161"/>
      <c r="Z61" s="161"/>
      <c r="AA61" s="161"/>
      <c r="AB61" s="161"/>
      <c r="AH61" s="161"/>
      <c r="AK61" s="189"/>
      <c r="AL61" s="189"/>
      <c r="AM61" s="392"/>
      <c r="AT61" s="414"/>
      <c r="AW61" s="511"/>
      <c r="AX61" s="296"/>
      <c r="AY61" s="418"/>
    </row>
    <row r="62" customFormat="false" ht="11.1" hidden="false" customHeight="true" outlineLevel="0" collapsed="false">
      <c r="H62" s="607"/>
      <c r="Q62" s="110"/>
      <c r="W62" s="56"/>
      <c r="X62" s="161"/>
      <c r="Y62" s="161"/>
      <c r="AA62" s="161"/>
      <c r="AC62" s="56"/>
      <c r="AD62" s="56"/>
      <c r="AH62" s="161"/>
      <c r="AK62" s="189"/>
      <c r="AL62" s="189"/>
      <c r="AM62" s="392"/>
      <c r="AQ62" s="72"/>
      <c r="AR62" s="72"/>
      <c r="AS62" s="72"/>
      <c r="AW62" s="511"/>
      <c r="AX62" s="296"/>
      <c r="AY62" s="418"/>
    </row>
  </sheetData>
  <mergeCells count="1">
    <mergeCell ref="M5:U5"/>
  </mergeCells>
  <printOptions headings="true" gridLines="true" gridLinesSet="true" horizontalCentered="true" verticalCentered="true"/>
  <pageMargins left="0.15" right="0.15" top="0.2" bottom="0" header="0.511811023622047" footer="0.511811023622047"/>
  <pageSetup paperSize="3" scale="89" fitToWidth="1" fitToHeight="1" pageOrder="downThenOver" orientation="landscape" blackAndWhite="false" draft="false" cellComments="atEnd" horizontalDpi="300" verticalDpi="300" copies="1"/>
  <headerFooter differentFirst="false" differentOddEven="false">
    <oddHeader/>
    <oddFooter/>
  </headerFooter>
  <rowBreaks count="1" manualBreakCount="1">
    <brk id="60" man="true" max="16383" min="0"/>
  </rowBreaks>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LibreOffice/7.3.7.2$Linux_AARCH64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1997-11-03T15:03:40Z</dcterms:created>
  <dc:creator>Vernon Lamb</dc:creator>
  <dc:description/>
  <dc:language>en-US</dc:language>
  <cp:lastModifiedBy>La Von Millard</cp:lastModifiedBy>
  <cp:lastPrinted>2014-10-09T06:31:28Z</cp:lastPrinted>
  <dcterms:modified xsi:type="dcterms:W3CDTF">2017-03-09T11:42:10Z</dcterms:modified>
  <cp:revision>0</cp:revision>
  <dc:subject>MCPHEE IN/OUT FLOW</dc:subject>
  <dc:title>RIVER</dc:title>
</cp:coreProperties>
</file>