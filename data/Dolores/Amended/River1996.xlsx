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APR!$A$1:$AC$54</definedName>
    <definedName function="false" hidden="false" localSheetId="9" name="_xlnm.Print_Area" vbProcedure="false">AUG!$A$1:$AC$57</definedName>
    <definedName function="false" hidden="false" localSheetId="1" name="_xlnm.Print_Area" vbProcedure="false">DEC!$A$1:$AC$55</definedName>
    <definedName function="false" hidden="false" localSheetId="3" name="_xlnm.Print_Area" vbProcedure="false">FEB!$A$1:$AC$53</definedName>
    <definedName function="false" hidden="false" localSheetId="2" name="_xlnm.Print_Area" vbProcedure="false">JAN!$A$1:$AC$55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JUN!$A$1:$AC$54</definedName>
    <definedName function="false" hidden="false" localSheetId="4" name="_xlnm.Print_Area" vbProcedure="false">MAR!$A$1:$AC$55</definedName>
    <definedName function="false" hidden="false" localSheetId="6" name="_xlnm.Print_Area" vbProcedure="false">MAY!$A$1:$AC$55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V6" authorId="0">
      <text>
        <r>
          <rPr>
            <sz val="8"/>
            <color rgb="FF000000"/>
            <rFont val="Tahoma"/>
            <family val="0"/>
          </rPr>
          <t xml:space="preserve">This is the first year that the water year for the downstream release is changed from Nov 1st to Apr 1st.  The components of the pool are as follows:  25,400 = DWCD repayment contract;  3,900 = senior water right pass through;  3,900 = mistake water as addressed in DWCD "grant agreement" &amp; 3,300 = BOR leased from Ute Tribe 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P22" authorId="0">
      <text>
        <r>
          <rPr>
            <sz val="8"/>
            <color rgb="FF000000"/>
            <rFont val="Tahoma"/>
            <family val="0"/>
          </rPr>
          <t xml:space="preserve">CELLS P-22 THRU Q24 ARE ESTIMATES.  sATELLITE QUIT.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4" authorId="0">
      <text>
        <r>
          <rPr>
            <sz val="8"/>
            <color rgb="FF000000"/>
            <rFont val="Tahoma"/>
            <family val="0"/>
          </rPr>
          <t xml:space="preserve">Groundhog turned off today</t>
        </r>
      </text>
    </comment>
  </commentList>
</comments>
</file>

<file path=xl/sharedStrings.xml><?xml version="1.0" encoding="utf-8"?>
<sst xmlns="http://schemas.openxmlformats.org/spreadsheetml/2006/main" count="852" uniqueCount="105">
  <si>
    <t xml:space="preserve">MC  PHEE  RESERVOIR  IN/OUT  FLOW  TABULATION</t>
  </si>
  <si>
    <t xml:space="preserve">AF/cfs  CONVERT FACTOR</t>
  </si>
  <si>
    <t xml:space="preserve">NOVEMBER  "95"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</si>
  <si>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</si>
  <si>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</si>
  <si>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</si>
  <si>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</si>
  <si>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</si>
  <si>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</si>
  <si>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</si>
  <si>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</si>
  <si>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</si>
  <si>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</si>
  <si>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</si>
  <si>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</si>
  <si>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</si>
  <si>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</si>
  <si>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</si>
  <si>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</si>
  <si>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</si>
  <si>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</si>
  <si>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</si>
  <si>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</si>
  <si>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</si>
  <si>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</si>
  <si>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</si>
  <si>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</si>
  <si>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</si>
  <si>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</si>
  <si>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</si>
  <si>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</si>
  <si>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</si>
  <si>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</si>
  <si>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UTE F&amp;R</t>
  </si>
  <si>
    <t xml:space="preserve">MVI,CTZ,MWC</t>
  </si>
  <si>
    <t xml:space="preserve">PINE</t>
  </si>
  <si>
    <t xml:space="preserve">LATERAL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</si>
  <si>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</si>
  <si>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</si>
  <si>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</si>
  <si>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</si>
  <si>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</si>
  <si>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</si>
  <si>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</si>
  <si>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</si>
  <si>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FROZE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</si>
  <si>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</si>
  <si>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</si>
  <si>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</si>
  <si>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</si>
  <si>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</si>
  <si>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</si>
  <si>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</si>
  <si>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</si>
  <si>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"95"</t>
  </si>
  <si>
    <t xml:space="preserve">"DEC"</t>
  </si>
  <si>
    <t xml:space="preserve">MVI,CTZ</t>
  </si>
  <si>
    <t xml:space="preserve">JANUARY  "96"</t>
  </si>
  <si>
    <t xml:space="preserve">"JAN"</t>
  </si>
  <si>
    <t xml:space="preserve">FEBRUARY  "96"</t>
  </si>
  <si>
    <t xml:space="preserve">FEB</t>
  </si>
  <si>
    <t xml:space="preserve">MARCH  "96"</t>
  </si>
  <si>
    <t xml:space="preserve">MAR</t>
  </si>
  <si>
    <t xml:space="preserve">APRIL  "96"</t>
  </si>
  <si>
    <t xml:space="preserve">"APR"</t>
  </si>
  <si>
    <t xml:space="preserve">MVI/CTZ/MWC</t>
  </si>
  <si>
    <t xml:space="preserve">DIVER</t>
  </si>
  <si>
    <t xml:space="preserve">MAY  "96"</t>
  </si>
  <si>
    <t xml:space="preserve">"MAY"</t>
  </si>
  <si>
    <t xml:space="preserve">Full Reservoir =</t>
  </si>
  <si>
    <t xml:space="preserve">May 1995 use</t>
  </si>
  <si>
    <t xml:space="preserve">Maximum Content =</t>
  </si>
  <si>
    <t xml:space="preserve">96 increase</t>
  </si>
  <si>
    <t xml:space="preserve">Total</t>
  </si>
  <si>
    <t xml:space="preserve">Unfilled content =</t>
  </si>
  <si>
    <t xml:space="preserve">JUNE  "96"</t>
  </si>
  <si>
    <t xml:space="preserve">"JUN"</t>
  </si>
  <si>
    <t xml:space="preserve">RUNOFF APR - JUN / 30 yr avg</t>
  </si>
  <si>
    <t xml:space="preserve">Non spill</t>
  </si>
  <si>
    <t xml:space="preserve">RUNOFF APR - JUN / percent</t>
  </si>
  <si>
    <t xml:space="preserve">Add to MVI call</t>
  </si>
  <si>
    <t xml:space="preserve">Ctz/MW</t>
  </si>
  <si>
    <t xml:space="preserve">Totten</t>
  </si>
  <si>
    <t xml:space="preserve">Grhog</t>
  </si>
  <si>
    <t xml:space="preserve">cfs</t>
  </si>
  <si>
    <t xml:space="preserve">JULY  "96"</t>
  </si>
  <si>
    <t xml:space="preserve">"JUL"</t>
  </si>
  <si>
    <t xml:space="preserve">30 yr average</t>
  </si>
  <si>
    <t xml:space="preserve">1996 Runoff  =</t>
  </si>
  <si>
    <t xml:space="preserve">AUGUST  "96"</t>
  </si>
  <si>
    <t xml:space="preserve">"AUG"</t>
  </si>
  <si>
    <t xml:space="preserve">FS limit</t>
  </si>
  <si>
    <t xml:space="preserve">AF left</t>
  </si>
  <si>
    <t xml:space="preserve">Res for underuse</t>
  </si>
  <si>
    <t xml:space="preserve">Bal for wtr bnk / AF</t>
  </si>
  <si>
    <t xml:space="preserve">Bal for wtr bnk / cfs</t>
  </si>
  <si>
    <t xml:space="preserve">Days left @</t>
  </si>
  <si>
    <t xml:space="preserve">SEPTEMBER  "96"</t>
  </si>
  <si>
    <t xml:space="preserve">"SEP"</t>
  </si>
  <si>
    <t xml:space="preserve">EDS</t>
  </si>
  <si>
    <t xml:space="preserve">OCTOBER  "96"</t>
  </si>
  <si>
    <t xml:space="preserve">"OCT"</t>
  </si>
  <si>
    <t xml:space="preserve">Ctz &amp; Ute Div</t>
  </si>
  <si>
    <t xml:space="preserve">MWC Div</t>
  </si>
  <si>
    <t xml:space="preserve">MVIC Div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</si>
</sst>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##0.0"/>
    <numFmt numFmtId="167" formatCode="0.0"/>
    <numFmt numFmtId="168" formatCode="0.00"/>
    <numFmt numFmtId="169" formatCode="0"/>
    <numFmt numFmtId="170" formatCode="#,##0.0"/>
    <numFmt numFmtId="171" formatCode="0.000"/>
    <numFmt numFmtId="172" formatCode="#,##0.00"/>
    <numFmt numFmtId="173" formatCode="[$-409]d\-mmm"/>
    <numFmt numFmtId="174" formatCode="0%"/>
    <numFmt numFmtId="175" formatCode="0.0000"/>
    <numFmt numFmtId="176" formatCode="[$-409]mmm\-yy"/>
    <numFmt numFmtId="177" formatCode="0.00%"/>
  </numFmts>
  <fonts count="16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4"/>
      <name val="Arial Narrow"/>
      <family val="2"/>
    </font>
    <font>
      <b val="true"/>
      <sz val="9"/>
      <name val="Arial Narrow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6"/>
      <name val="Arial Narrow"/>
      <family val="2"/>
    </font>
    <font>
      <sz val="8"/>
      <color rgb="FF000000"/>
      <name val="Tahoma"/>
      <family val="0"/>
    </font>
    <font>
      <b val="true"/>
      <sz val="8"/>
      <name val="Arial Narrow"/>
      <family val="0"/>
    </font>
  </fonts>
  <fills count="4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/>
      <right/>
      <top/>
      <bottom style="double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4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4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8" topLeftCell="B10" activePane="bottomRight" state="frozen"/>
      <selection pane="topLeft" activeCell="A2" activeCellId="0" sqref="A2"/>
      <selection pane="topRight" activeCell="B2" activeCellId="0" sqref="B2"/>
      <selection pane="bottomLeft" activeCell="A10" activeCellId="0" sqref="A10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5" min="13" style="3" width="7.49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7"/>
      <c r="R2" s="7"/>
      <c r="S2" s="8"/>
      <c r="T2" s="7"/>
      <c r="U2" s="7"/>
      <c r="V2" s="8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23" t="s">
        <v>34</v>
      </c>
      <c r="P5" s="16" t="s">
        <v>35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23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44</v>
      </c>
      <c r="B8" s="29" t="n">
        <v>6907.88</v>
      </c>
      <c r="C8" s="8" t="n">
        <v>313585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 t="n">
        <f aca="false">(25400+3900+285)/1.9835</f>
        <v>14915.5533148475</v>
      </c>
      <c r="W8" s="8"/>
      <c r="X8" s="8"/>
      <c r="Y8" s="8"/>
      <c r="Z8" s="30"/>
      <c r="AA8" s="12"/>
      <c r="AB8" s="12"/>
      <c r="AC8" s="13"/>
      <c r="AD8" s="31" t="n">
        <v>13149</v>
      </c>
      <c r="AE8" s="14" t="n">
        <v>17902</v>
      </c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6907.89</v>
      </c>
      <c r="C10" s="8" t="n">
        <v>313626</v>
      </c>
      <c r="D10" s="12" t="n">
        <f aca="false">C10-C8</f>
        <v>41</v>
      </c>
      <c r="E10" s="8" t="n">
        <f aca="false">C10-152000</f>
        <v>161626</v>
      </c>
      <c r="F10" s="7" t="n">
        <f aca="false">D10/$D$2</f>
        <v>20.6757438224912</v>
      </c>
      <c r="G10" s="7" t="n">
        <v>51.29</v>
      </c>
      <c r="H10" s="9" t="n">
        <v>0</v>
      </c>
      <c r="I10" s="7" t="n">
        <f aca="false">G10+H10</f>
        <v>51.29</v>
      </c>
      <c r="J10" s="30" t="n">
        <f aca="false">IF(L10&gt;0,L10,0)</f>
        <v>49.6657438224912</v>
      </c>
      <c r="K10" s="7" t="n">
        <f aca="false">I10+J10</f>
        <v>100.955743822491</v>
      </c>
      <c r="L10" s="7" t="n">
        <f aca="false">F10-(I10-W10)</f>
        <v>49.6657438224912</v>
      </c>
      <c r="M10" s="7" t="n">
        <v>30.92</v>
      </c>
      <c r="N10" s="7" t="n">
        <v>11</v>
      </c>
      <c r="O10" s="7" t="n">
        <f aca="false">M10-N10</f>
        <v>19.92</v>
      </c>
      <c r="P10" s="7"/>
      <c r="Q10" s="7"/>
      <c r="R10" s="7" t="n">
        <f aca="false">SUM(O10:Q10)</f>
        <v>19.92</v>
      </c>
      <c r="S10" s="8"/>
      <c r="T10" s="7"/>
      <c r="U10" s="7" t="n">
        <v>49.36</v>
      </c>
      <c r="V10" s="8" t="n">
        <f aca="false">V8-U10</f>
        <v>14866.1933148475</v>
      </c>
      <c r="W10" s="7" t="n">
        <f aca="false">N10+R10+T10+U10</f>
        <v>80.28</v>
      </c>
      <c r="X10" s="7" t="n">
        <f aca="false">IF(L10&lt;0,L10*-1,0)</f>
        <v>0</v>
      </c>
      <c r="Y10" s="7" t="n">
        <f aca="false">W10+X10</f>
        <v>80.28</v>
      </c>
      <c r="Z10" s="11" t="n">
        <v>0.03</v>
      </c>
      <c r="AA10" s="12" t="n">
        <v>51</v>
      </c>
      <c r="AB10" s="12" t="n">
        <v>41</v>
      </c>
      <c r="AC10" s="13" t="n">
        <v>1</v>
      </c>
      <c r="AD10" s="12" t="n">
        <v>13243</v>
      </c>
      <c r="AE10" s="12"/>
      <c r="AF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39" t="n">
        <v>6907.87</v>
      </c>
      <c r="C11" s="8" t="n">
        <v>313547</v>
      </c>
      <c r="D11" s="12" t="n">
        <f aca="false">C11-C10</f>
        <v>-79</v>
      </c>
      <c r="E11" s="8" t="n">
        <f aca="false">C11-152000</f>
        <v>161547</v>
      </c>
      <c r="F11" s="7" t="n">
        <f aca="false">D11/$D$2</f>
        <v>-39.8386283408976</v>
      </c>
      <c r="G11" s="7" t="n">
        <v>53.62</v>
      </c>
      <c r="H11" s="9" t="n">
        <v>0</v>
      </c>
      <c r="I11" s="7" t="n">
        <f aca="false">G11+H11</f>
        <v>53.62</v>
      </c>
      <c r="J11" s="30" t="n">
        <f aca="false">IF(L11&gt;0,L11,0)</f>
        <v>0</v>
      </c>
      <c r="K11" s="7" t="n">
        <f aca="false">I11+J11</f>
        <v>53.62</v>
      </c>
      <c r="L11" s="7" t="n">
        <f aca="false">F11-(I11-W11)</f>
        <v>-26.7686283408976</v>
      </c>
      <c r="M11" s="7" t="n">
        <v>27.09</v>
      </c>
      <c r="N11" s="7" t="n">
        <v>11</v>
      </c>
      <c r="O11" s="7" t="n">
        <f aca="false">M11-N11</f>
        <v>16.09</v>
      </c>
      <c r="P11" s="7"/>
      <c r="Q11" s="7"/>
      <c r="R11" s="7" t="n">
        <f aca="false">SUM(O11:Q11)</f>
        <v>16.09</v>
      </c>
      <c r="S11" s="8"/>
      <c r="T11" s="7"/>
      <c r="U11" s="7" t="n">
        <v>39.6</v>
      </c>
      <c r="V11" s="8" t="n">
        <f aca="false">V10-U11</f>
        <v>14826.5933148475</v>
      </c>
      <c r="W11" s="7" t="n">
        <f aca="false">N11+R11+T11+U11</f>
        <v>66.69</v>
      </c>
      <c r="X11" s="7" t="n">
        <f aca="false">IF(L11&lt;0,L11*-1,0)</f>
        <v>26.7686283408976</v>
      </c>
      <c r="Y11" s="7" t="n">
        <f aca="false">W11+X11</f>
        <v>93.4586283408976</v>
      </c>
      <c r="Z11" s="11" t="n">
        <v>0</v>
      </c>
      <c r="AA11" s="12" t="n">
        <v>44</v>
      </c>
      <c r="AB11" s="12" t="n">
        <v>29</v>
      </c>
      <c r="AC11" s="13" t="n">
        <f aca="false">AC10+1</f>
        <v>2</v>
      </c>
      <c r="AD11" s="12" t="n">
        <v>13333</v>
      </c>
      <c r="AE11" s="12" t="n">
        <v>62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6907.84</v>
      </c>
      <c r="C12" s="8" t="n">
        <v>313429</v>
      </c>
      <c r="D12" s="12" t="n">
        <f aca="false">C12-C11</f>
        <v>-118</v>
      </c>
      <c r="E12" s="8" t="n">
        <f aca="false">C12-152000</f>
        <v>161429</v>
      </c>
      <c r="F12" s="7" t="n">
        <f aca="false">D12/$D$2</f>
        <v>-59.505799293999</v>
      </c>
      <c r="G12" s="7" t="n">
        <v>61.66</v>
      </c>
      <c r="H12" s="9" t="n">
        <v>0</v>
      </c>
      <c r="I12" s="7" t="n">
        <f aca="false">G12+H12</f>
        <v>61.66</v>
      </c>
      <c r="J12" s="30" t="n">
        <f aca="false">IF(L12&gt;0,L12,0)</f>
        <v>0</v>
      </c>
      <c r="K12" s="7" t="n">
        <f aca="false">I12+J12</f>
        <v>61.66</v>
      </c>
      <c r="L12" s="7" t="n">
        <f aca="false">F12-(I12-W12)</f>
        <v>-57.195799293999</v>
      </c>
      <c r="M12" s="7" t="n">
        <v>24.37</v>
      </c>
      <c r="N12" s="7" t="n">
        <v>10</v>
      </c>
      <c r="O12" s="7" t="n">
        <f aca="false">M12-N12</f>
        <v>14.37</v>
      </c>
      <c r="P12" s="7"/>
      <c r="Q12" s="7"/>
      <c r="R12" s="7" t="n">
        <f aca="false">SUM(O12:Q12)</f>
        <v>14.37</v>
      </c>
      <c r="S12" s="8"/>
      <c r="T12" s="7"/>
      <c r="U12" s="7" t="n">
        <v>39.6</v>
      </c>
      <c r="V12" s="8" t="n">
        <f aca="false">V11-U12</f>
        <v>14786.9933148475</v>
      </c>
      <c r="W12" s="7" t="n">
        <f aca="false">N12+R12+T12+U12</f>
        <v>63.97</v>
      </c>
      <c r="X12" s="7" t="n">
        <f aca="false">IF(L12&lt;0,L12*-1,0)</f>
        <v>57.195799293999</v>
      </c>
      <c r="Y12" s="7" t="n">
        <f aca="false">W12+X12</f>
        <v>121.165799293999</v>
      </c>
      <c r="Z12" s="11" t="n">
        <v>0</v>
      </c>
      <c r="AA12" s="12" t="n">
        <v>48</v>
      </c>
      <c r="AB12" s="12" t="n">
        <v>22</v>
      </c>
      <c r="AC12" s="13" t="n">
        <f aca="false">AC11+1</f>
        <v>3</v>
      </c>
      <c r="AD12" s="12" t="n">
        <v>13456</v>
      </c>
      <c r="AE12" s="12" t="n">
        <v>159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6907.8</v>
      </c>
      <c r="C13" s="8" t="n">
        <v>313272</v>
      </c>
      <c r="D13" s="12" t="n">
        <f aca="false">C13-C12</f>
        <v>-157</v>
      </c>
      <c r="E13" s="8" t="n">
        <f aca="false">C13-152000</f>
        <v>161272</v>
      </c>
      <c r="F13" s="7" t="n">
        <f aca="false">D13/$D$2</f>
        <v>-79.1729702471004</v>
      </c>
      <c r="G13" s="7" t="n">
        <v>57.02</v>
      </c>
      <c r="H13" s="9" t="n">
        <v>0</v>
      </c>
      <c r="I13" s="7" t="n">
        <f aca="false">G13+H13</f>
        <v>57.02</v>
      </c>
      <c r="J13" s="30" t="n">
        <f aca="false">IF(L13&gt;0,L13,0)</f>
        <v>0</v>
      </c>
      <c r="K13" s="7" t="n">
        <f aca="false">I13+J13</f>
        <v>57.02</v>
      </c>
      <c r="L13" s="7" t="n">
        <f aca="false">F13-(I13-W13)</f>
        <v>-72.3729702471004</v>
      </c>
      <c r="M13" s="7" t="n">
        <v>24.22</v>
      </c>
      <c r="N13" s="7" t="n">
        <v>10</v>
      </c>
      <c r="O13" s="7" t="n">
        <f aca="false">M13-N13</f>
        <v>14.22</v>
      </c>
      <c r="P13" s="7"/>
      <c r="Q13" s="7"/>
      <c r="R13" s="7" t="n">
        <f aca="false">SUM(O13:Q13)</f>
        <v>14.22</v>
      </c>
      <c r="S13" s="8"/>
      <c r="T13" s="7"/>
      <c r="U13" s="7" t="n">
        <v>39.6</v>
      </c>
      <c r="V13" s="8" t="n">
        <f aca="false">V12-U13</f>
        <v>14747.3933148475</v>
      </c>
      <c r="W13" s="7" t="n">
        <f aca="false">N13+R13+T13+U13</f>
        <v>63.82</v>
      </c>
      <c r="X13" s="7" t="n">
        <f aca="false">IF(L13&lt;0,L13*-1,0)</f>
        <v>72.3729702471004</v>
      </c>
      <c r="Y13" s="7" t="n">
        <f aca="false">W13+X13</f>
        <v>136.1929702471</v>
      </c>
      <c r="Z13" s="11" t="n">
        <v>0</v>
      </c>
      <c r="AA13" s="12" t="n">
        <v>51</v>
      </c>
      <c r="AB13" s="12" t="n">
        <v>26</v>
      </c>
      <c r="AC13" s="13" t="n">
        <f aca="false">AC12+1</f>
        <v>4</v>
      </c>
      <c r="AD13" s="12" t="n">
        <v>13563</v>
      </c>
      <c r="AE13" s="12" t="n">
        <v>263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6907.78</v>
      </c>
      <c r="C14" s="8" t="n">
        <v>313193</v>
      </c>
      <c r="D14" s="12" t="n">
        <f aca="false">C14-C13</f>
        <v>-79</v>
      </c>
      <c r="E14" s="8" t="n">
        <f aca="false">C14-152000</f>
        <v>161193</v>
      </c>
      <c r="F14" s="7" t="n">
        <f aca="false">D14/$D$2</f>
        <v>-39.8386283408976</v>
      </c>
      <c r="G14" s="7" t="n">
        <v>48.21</v>
      </c>
      <c r="H14" s="9" t="n">
        <v>0</v>
      </c>
      <c r="I14" s="7" t="n">
        <f aca="false">G14+H14</f>
        <v>48.21</v>
      </c>
      <c r="J14" s="30" t="n">
        <f aca="false">IF(L14&gt;0,L14,0)</f>
        <v>0</v>
      </c>
      <c r="K14" s="7" t="n">
        <f aca="false">I14+J14</f>
        <v>48.21</v>
      </c>
      <c r="L14" s="7" t="n">
        <f aca="false">F14-(I14-W14)</f>
        <v>-24.2286283408976</v>
      </c>
      <c r="M14" s="7" t="n">
        <v>24.22</v>
      </c>
      <c r="N14" s="7" t="n">
        <v>10</v>
      </c>
      <c r="O14" s="7" t="n">
        <f aca="false">M14-N14</f>
        <v>14.22</v>
      </c>
      <c r="P14" s="7"/>
      <c r="Q14" s="7"/>
      <c r="R14" s="7" t="n">
        <f aca="false">SUM(O14:Q14)</f>
        <v>14.22</v>
      </c>
      <c r="S14" s="8"/>
      <c r="T14" s="7"/>
      <c r="U14" s="7" t="n">
        <v>39.6</v>
      </c>
      <c r="V14" s="8" t="n">
        <f aca="false">V13-U14</f>
        <v>14707.7933148475</v>
      </c>
      <c r="W14" s="7" t="n">
        <f aca="false">N14+R14+T14+U14</f>
        <v>63.82</v>
      </c>
      <c r="X14" s="7" t="n">
        <f aca="false">IF(L14&lt;0,L14*-1,0)</f>
        <v>24.2286283408976</v>
      </c>
      <c r="Y14" s="7" t="n">
        <f aca="false">W14+X14</f>
        <v>88.0486283408976</v>
      </c>
      <c r="Z14" s="11" t="n">
        <v>0</v>
      </c>
      <c r="AA14" s="12" t="n">
        <v>55</v>
      </c>
      <c r="AB14" s="12" t="n">
        <v>29</v>
      </c>
      <c r="AC14" s="13" t="n">
        <f aca="false">AC13+1</f>
        <v>5</v>
      </c>
      <c r="AD14" s="12" t="n">
        <v>13678</v>
      </c>
      <c r="AE14" s="12" t="n">
        <v>367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6907.8</v>
      </c>
      <c r="C15" s="8" t="n">
        <v>313272</v>
      </c>
      <c r="D15" s="12" t="n">
        <f aca="false">C15-C14</f>
        <v>79</v>
      </c>
      <c r="E15" s="8" t="n">
        <f aca="false">C15-152000</f>
        <v>161272</v>
      </c>
      <c r="F15" s="7" t="n">
        <f aca="false">D15/$D$2</f>
        <v>39.8386283408976</v>
      </c>
      <c r="G15" s="7" t="n">
        <v>60.63</v>
      </c>
      <c r="H15" s="9" t="n">
        <v>0</v>
      </c>
      <c r="I15" s="7" t="n">
        <f aca="false">G15+H15</f>
        <v>60.63</v>
      </c>
      <c r="J15" s="30" t="n">
        <f aca="false">IF(L15&gt;0,L15,0)</f>
        <v>41.9186283408976</v>
      </c>
      <c r="K15" s="7" t="n">
        <f aca="false">I15+J15</f>
        <v>102.548628340898</v>
      </c>
      <c r="L15" s="7" t="n">
        <f aca="false">F15-(I15-W15)</f>
        <v>41.9186283408976</v>
      </c>
      <c r="M15" s="7" t="n">
        <v>23.11</v>
      </c>
      <c r="N15" s="7" t="n">
        <v>10</v>
      </c>
      <c r="O15" s="7" t="n">
        <f aca="false">M15-N15</f>
        <v>13.11</v>
      </c>
      <c r="P15" s="7"/>
      <c r="Q15" s="7"/>
      <c r="R15" s="7" t="n">
        <f aca="false">SUM(O15:Q15)</f>
        <v>13.11</v>
      </c>
      <c r="S15" s="8"/>
      <c r="T15" s="7"/>
      <c r="U15" s="7" t="n">
        <v>39.6</v>
      </c>
      <c r="V15" s="8" t="n">
        <f aca="false">V14-U15</f>
        <v>14668.1933148475</v>
      </c>
      <c r="W15" s="7" t="n">
        <f aca="false">N15+R15+T15+U15</f>
        <v>62.71</v>
      </c>
      <c r="X15" s="7" t="n">
        <f aca="false">IF(L15&lt;0,L15*-1,0)</f>
        <v>0</v>
      </c>
      <c r="Y15" s="7" t="n">
        <f aca="false">W15+X15</f>
        <v>62.71</v>
      </c>
      <c r="Z15" s="11" t="n">
        <v>0</v>
      </c>
      <c r="AA15" s="12" t="n">
        <v>49</v>
      </c>
      <c r="AB15" s="12" t="n">
        <v>35</v>
      </c>
      <c r="AC15" s="13" t="n">
        <f aca="false">AC14+1</f>
        <v>6</v>
      </c>
      <c r="AD15" s="12" t="n">
        <v>13812</v>
      </c>
      <c r="AE15" s="12" t="n">
        <v>469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6907.8</v>
      </c>
      <c r="C16" s="8" t="n">
        <v>313272</v>
      </c>
      <c r="D16" s="12" t="n">
        <f aca="false">C16-C15</f>
        <v>0</v>
      </c>
      <c r="E16" s="8" t="n">
        <f aca="false">C16-152000</f>
        <v>161272</v>
      </c>
      <c r="F16" s="7" t="n">
        <f aca="false">D16/$D$2</f>
        <v>0</v>
      </c>
      <c r="G16" s="7" t="n">
        <v>60.25</v>
      </c>
      <c r="H16" s="9" t="n">
        <v>0</v>
      </c>
      <c r="I16" s="7" t="n">
        <f aca="false">G16+H16</f>
        <v>60.25</v>
      </c>
      <c r="J16" s="30" t="n">
        <f aca="false">IF(L16&gt;0,L16,0)</f>
        <v>1.71</v>
      </c>
      <c r="K16" s="7" t="n">
        <f aca="false">I16+J16</f>
        <v>61.96</v>
      </c>
      <c r="L16" s="7" t="n">
        <f aca="false">F16-(I16-W16)</f>
        <v>1.71</v>
      </c>
      <c r="M16" s="7" t="n">
        <v>22.36</v>
      </c>
      <c r="N16" s="7" t="n">
        <v>19</v>
      </c>
      <c r="O16" s="7" t="n">
        <f aca="false">M16-N16</f>
        <v>3.36</v>
      </c>
      <c r="P16" s="7"/>
      <c r="Q16" s="7"/>
      <c r="R16" s="7" t="n">
        <f aca="false">SUM(O16:Q16)</f>
        <v>3.36</v>
      </c>
      <c r="S16" s="8"/>
      <c r="T16" s="7"/>
      <c r="U16" s="7" t="n">
        <v>39.6</v>
      </c>
      <c r="V16" s="8" t="n">
        <f aca="false">V15-U16</f>
        <v>14628.5933148475</v>
      </c>
      <c r="W16" s="7" t="n">
        <f aca="false">N16+R16+T16+U16</f>
        <v>61.96</v>
      </c>
      <c r="X16" s="7" t="n">
        <f aca="false">IF(L16&lt;0,L16*-1,0)</f>
        <v>0</v>
      </c>
      <c r="Y16" s="7" t="n">
        <f aca="false">W16+X16</f>
        <v>61.96</v>
      </c>
      <c r="Z16" s="11" t="n">
        <v>0</v>
      </c>
      <c r="AA16" s="12" t="n">
        <v>55</v>
      </c>
      <c r="AB16" s="12" t="n">
        <v>25</v>
      </c>
      <c r="AC16" s="13" t="n">
        <f aca="false">AC15+1</f>
        <v>7</v>
      </c>
      <c r="AD16" s="12" t="n">
        <v>13968</v>
      </c>
      <c r="AE16" s="12" t="n">
        <v>587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6907.77</v>
      </c>
      <c r="C17" s="8" t="n">
        <v>313155</v>
      </c>
      <c r="D17" s="12" t="n">
        <f aca="false">C17-C16</f>
        <v>-117</v>
      </c>
      <c r="E17" s="8" t="n">
        <f aca="false">C17-152000</f>
        <v>161155</v>
      </c>
      <c r="F17" s="7" t="n">
        <f aca="false">D17/$D$2</f>
        <v>-59.0015128593041</v>
      </c>
      <c r="G17" s="7" t="n">
        <v>73</v>
      </c>
      <c r="H17" s="9" t="n">
        <v>0</v>
      </c>
      <c r="I17" s="7" t="n">
        <f aca="false">G17+H17</f>
        <v>73</v>
      </c>
      <c r="J17" s="30" t="n">
        <f aca="false">IF(L17&gt;0,L17,0)</f>
        <v>0</v>
      </c>
      <c r="K17" s="7" t="n">
        <f aca="false">I17+J17</f>
        <v>73</v>
      </c>
      <c r="L17" s="7" t="n">
        <f aca="false">F17-(I17-W17)</f>
        <v>-69.8915128593041</v>
      </c>
      <c r="M17" s="7" t="n">
        <v>22.51</v>
      </c>
      <c r="N17" s="7" t="n">
        <v>11</v>
      </c>
      <c r="O17" s="7" t="n">
        <f aca="false">M17-N17</f>
        <v>11.51</v>
      </c>
      <c r="P17" s="7"/>
      <c r="Q17" s="7"/>
      <c r="R17" s="7" t="n">
        <f aca="false">SUM(O17:Q17)</f>
        <v>11.51</v>
      </c>
      <c r="S17" s="8"/>
      <c r="T17" s="7"/>
      <c r="U17" s="7" t="n">
        <v>39.6</v>
      </c>
      <c r="V17" s="8" t="n">
        <f aca="false">V16-U17</f>
        <v>14588.9933148475</v>
      </c>
      <c r="W17" s="7" t="n">
        <f aca="false">N17+R17+T17+U17</f>
        <v>62.11</v>
      </c>
      <c r="X17" s="7" t="n">
        <f aca="false">IF(L17&lt;0,L17*-1,0)</f>
        <v>69.8915128593041</v>
      </c>
      <c r="Y17" s="7" t="n">
        <f aca="false">W17+X17</f>
        <v>132.001512859304</v>
      </c>
      <c r="Z17" s="11" t="n">
        <v>0</v>
      </c>
      <c r="AA17" s="12" t="n">
        <v>63</v>
      </c>
      <c r="AB17" s="12" t="n">
        <v>30</v>
      </c>
      <c r="AC17" s="13" t="n">
        <f aca="false">AC16+1</f>
        <v>8</v>
      </c>
      <c r="AD17" s="12" t="n">
        <v>14117</v>
      </c>
      <c r="AE17" s="12" t="n">
        <v>707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6907.77</v>
      </c>
      <c r="C18" s="8" t="n">
        <v>313155</v>
      </c>
      <c r="D18" s="12" t="n">
        <f aca="false">C18-C17</f>
        <v>0</v>
      </c>
      <c r="E18" s="8" t="n">
        <f aca="false">C18-152000</f>
        <v>161155</v>
      </c>
      <c r="F18" s="7" t="n">
        <f aca="false">D18/$D$2</f>
        <v>0</v>
      </c>
      <c r="G18" s="7" t="n">
        <v>70.58</v>
      </c>
      <c r="H18" s="9" t="n">
        <v>0</v>
      </c>
      <c r="I18" s="7" t="n">
        <f aca="false">G18+H18</f>
        <v>70.58</v>
      </c>
      <c r="J18" s="30" t="n">
        <f aca="false">IF(L18&gt;0,L18,0)</f>
        <v>0</v>
      </c>
      <c r="K18" s="7" t="n">
        <f aca="false">I18+J18</f>
        <v>70.58</v>
      </c>
      <c r="L18" s="7" t="n">
        <f aca="false">F18-(I18-W18)</f>
        <v>-9.38</v>
      </c>
      <c r="M18" s="7" t="n">
        <v>21.6</v>
      </c>
      <c r="N18" s="7" t="n">
        <v>6</v>
      </c>
      <c r="O18" s="7" t="n">
        <f aca="false">M18-N18</f>
        <v>15.6</v>
      </c>
      <c r="P18" s="7"/>
      <c r="Q18" s="7"/>
      <c r="R18" s="7" t="n">
        <f aca="false">SUM(O18:Q18)</f>
        <v>15.6</v>
      </c>
      <c r="S18" s="8"/>
      <c r="T18" s="7"/>
      <c r="U18" s="7" t="n">
        <v>39.6</v>
      </c>
      <c r="V18" s="8" t="n">
        <f aca="false">V17-U18</f>
        <v>14549.3933148475</v>
      </c>
      <c r="W18" s="7" t="n">
        <f aca="false">N18+R18+T18+U18</f>
        <v>61.2</v>
      </c>
      <c r="X18" s="7" t="n">
        <f aca="false">IF(L18&lt;0,L18*-1,0)</f>
        <v>9.38</v>
      </c>
      <c r="Y18" s="7" t="n">
        <f aca="false">W18+X18</f>
        <v>70.58</v>
      </c>
      <c r="Z18" s="11" t="n">
        <v>0</v>
      </c>
      <c r="AA18" s="40" t="n">
        <v>40</v>
      </c>
      <c r="AB18" s="12" t="n">
        <v>31</v>
      </c>
      <c r="AC18" s="13" t="n">
        <f aca="false">AC17+1</f>
        <v>9</v>
      </c>
      <c r="AD18" s="12" t="n">
        <v>14264</v>
      </c>
      <c r="AE18" s="12" t="n">
        <v>826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6907.79</v>
      </c>
      <c r="C19" s="8" t="n">
        <v>313233</v>
      </c>
      <c r="D19" s="12" t="n">
        <f aca="false">C19-C18</f>
        <v>78</v>
      </c>
      <c r="E19" s="8" t="n">
        <f aca="false">C19-152000</f>
        <v>161233</v>
      </c>
      <c r="F19" s="7" t="n">
        <f aca="false">D19/$D$2</f>
        <v>39.3343419062027</v>
      </c>
      <c r="G19" s="7" t="n">
        <v>60.61</v>
      </c>
      <c r="H19" s="9" t="n">
        <v>0</v>
      </c>
      <c r="I19" s="7" t="n">
        <f aca="false">G19+H19</f>
        <v>60.61</v>
      </c>
      <c r="J19" s="30" t="n">
        <f aca="false">IF(L19&gt;0,L19,0)</f>
        <v>40.2043419062027</v>
      </c>
      <c r="K19" s="7" t="n">
        <f aca="false">I19+J19</f>
        <v>100.814341906203</v>
      </c>
      <c r="L19" s="7" t="n">
        <f aca="false">F19-(I19-W19)</f>
        <v>40.2043419062027</v>
      </c>
      <c r="M19" s="7" t="n">
        <v>21.6</v>
      </c>
      <c r="N19" s="7" t="n">
        <v>6</v>
      </c>
      <c r="O19" s="7" t="n">
        <f aca="false">M19-N19</f>
        <v>15.6</v>
      </c>
      <c r="P19" s="7"/>
      <c r="Q19" s="7"/>
      <c r="R19" s="7" t="n">
        <f aca="false">SUM(O19:Q19)</f>
        <v>15.6</v>
      </c>
      <c r="S19" s="8"/>
      <c r="T19" s="7"/>
      <c r="U19" s="7" t="n">
        <v>39.88</v>
      </c>
      <c r="V19" s="8" t="n">
        <f aca="false">V18-U19</f>
        <v>14509.5133148475</v>
      </c>
      <c r="W19" s="7" t="n">
        <f aca="false">N19+R19+T19+U19</f>
        <v>61.48</v>
      </c>
      <c r="X19" s="7" t="n">
        <f aca="false">IF(L19&lt;0,L19*-1,0)</f>
        <v>0</v>
      </c>
      <c r="Y19" s="7" t="n">
        <f aca="false">W19+X19</f>
        <v>61.48</v>
      </c>
      <c r="Z19" s="11" t="n">
        <v>0.14</v>
      </c>
      <c r="AA19" s="12" t="n">
        <v>43</v>
      </c>
      <c r="AB19" s="12" t="n">
        <v>33</v>
      </c>
      <c r="AC19" s="13" t="n">
        <f aca="false">AC18+1</f>
        <v>10</v>
      </c>
      <c r="AD19" s="12" t="n">
        <v>14413</v>
      </c>
      <c r="AE19" s="12" t="n">
        <v>964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6907.75</v>
      </c>
      <c r="C20" s="8" t="n">
        <v>313077</v>
      </c>
      <c r="D20" s="12" t="n">
        <f aca="false">C20-C19</f>
        <v>-156</v>
      </c>
      <c r="E20" s="8" t="n">
        <f aca="false">C20-152000</f>
        <v>161077</v>
      </c>
      <c r="F20" s="7" t="n">
        <f aca="false">D20/$D$2</f>
        <v>-78.6686838124055</v>
      </c>
      <c r="G20" s="7" t="n">
        <v>62.74</v>
      </c>
      <c r="H20" s="9" t="n">
        <v>0</v>
      </c>
      <c r="I20" s="7" t="n">
        <f aca="false">G20+H20</f>
        <v>62.74</v>
      </c>
      <c r="J20" s="30" t="n">
        <f aca="false">IF(L20&gt;0,L20,0)</f>
        <v>0</v>
      </c>
      <c r="K20" s="7" t="n">
        <f aca="false">I20+J20</f>
        <v>62.74</v>
      </c>
      <c r="L20" s="7" t="n">
        <f aca="false">F20-(I20-W20)</f>
        <v>-80.2086838124054</v>
      </c>
      <c r="M20" s="7" t="n">
        <v>21.6</v>
      </c>
      <c r="N20" s="7" t="n">
        <v>14</v>
      </c>
      <c r="O20" s="7" t="n">
        <f aca="false">M20-N20</f>
        <v>7.6</v>
      </c>
      <c r="P20" s="7"/>
      <c r="Q20" s="7"/>
      <c r="R20" s="7" t="n">
        <f aca="false">SUM(O20:Q20)</f>
        <v>7.6</v>
      </c>
      <c r="S20" s="8"/>
      <c r="T20" s="7"/>
      <c r="U20" s="7" t="n">
        <v>39.6</v>
      </c>
      <c r="V20" s="8" t="n">
        <f aca="false">V19-U20</f>
        <v>14469.9133148475</v>
      </c>
      <c r="W20" s="7" t="n">
        <f aca="false">N20+R20+T20+U20</f>
        <v>61.2</v>
      </c>
      <c r="X20" s="7" t="n">
        <f aca="false">IF(L20&lt;0,L20*-1,0)</f>
        <v>80.2086838124054</v>
      </c>
      <c r="Y20" s="7" t="n">
        <f aca="false">W20+X20</f>
        <v>141.408683812405</v>
      </c>
      <c r="Z20" s="11" t="n">
        <v>0</v>
      </c>
      <c r="AA20" s="12" t="n">
        <v>58</v>
      </c>
      <c r="AB20" s="12" t="n">
        <v>21</v>
      </c>
      <c r="AC20" s="13" t="n">
        <f aca="false">AC19+1</f>
        <v>11</v>
      </c>
      <c r="AD20" s="12" t="n">
        <v>14571</v>
      </c>
      <c r="AE20" s="12" t="n">
        <v>1065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6907.79</v>
      </c>
      <c r="C21" s="8" t="n">
        <v>313233</v>
      </c>
      <c r="D21" s="12" t="n">
        <f aca="false">C21-C20</f>
        <v>156</v>
      </c>
      <c r="E21" s="8" t="n">
        <f aca="false">C21-152000</f>
        <v>161233</v>
      </c>
      <c r="F21" s="7" t="n">
        <f aca="false">D21/$D$2</f>
        <v>78.6686838124055</v>
      </c>
      <c r="G21" s="7" t="n">
        <v>89.9</v>
      </c>
      <c r="H21" s="9" t="n">
        <v>0</v>
      </c>
      <c r="I21" s="7" t="n">
        <f aca="false">G21+H21</f>
        <v>89.9</v>
      </c>
      <c r="J21" s="30" t="n">
        <f aca="false">IF(L21&gt;0,L21,0)</f>
        <v>50.0486838124054</v>
      </c>
      <c r="K21" s="7" t="n">
        <f aca="false">I21+J21</f>
        <v>139.948683812405</v>
      </c>
      <c r="L21" s="7" t="n">
        <f aca="false">F21-(I21-W21)</f>
        <v>50.0486838124054</v>
      </c>
      <c r="M21" s="7" t="n">
        <v>21.6</v>
      </c>
      <c r="N21" s="7" t="n">
        <v>5.5</v>
      </c>
      <c r="O21" s="7" t="n">
        <f aca="false">M21-N21</f>
        <v>16.1</v>
      </c>
      <c r="P21" s="7"/>
      <c r="Q21" s="7"/>
      <c r="R21" s="7" t="n">
        <f aca="false">SUM(O21:Q21)</f>
        <v>16.1</v>
      </c>
      <c r="S21" s="8"/>
      <c r="T21" s="7"/>
      <c r="U21" s="7" t="n">
        <v>39.68</v>
      </c>
      <c r="V21" s="8" t="n">
        <f aca="false">V20-U21</f>
        <v>14430.2333148475</v>
      </c>
      <c r="W21" s="7" t="n">
        <f aca="false">N21+R21+T21+U21</f>
        <v>61.28</v>
      </c>
      <c r="X21" s="7" t="n">
        <f aca="false">IF(L21&lt;0,L21*-1,0)</f>
        <v>0</v>
      </c>
      <c r="Y21" s="7" t="n">
        <f aca="false">W21+X21</f>
        <v>61.28</v>
      </c>
      <c r="Z21" s="11" t="n">
        <v>0</v>
      </c>
      <c r="AA21" s="12" t="n">
        <v>58</v>
      </c>
      <c r="AB21" s="12" t="n">
        <v>28</v>
      </c>
      <c r="AC21" s="13" t="n">
        <f aca="false">AC20+1</f>
        <v>12</v>
      </c>
      <c r="AD21" s="12" t="n">
        <v>14696</v>
      </c>
      <c r="AE21" s="12" t="n">
        <v>1185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6907.79</v>
      </c>
      <c r="C22" s="8" t="n">
        <v>313233</v>
      </c>
      <c r="D22" s="12" t="n">
        <f aca="false">C22-C21</f>
        <v>0</v>
      </c>
      <c r="E22" s="8" t="n">
        <f aca="false">C22-152000</f>
        <v>161233</v>
      </c>
      <c r="F22" s="7" t="n">
        <f aca="false">D22/$D$2</f>
        <v>0</v>
      </c>
      <c r="G22" s="7" t="n">
        <v>95.72</v>
      </c>
      <c r="H22" s="9" t="n">
        <v>0</v>
      </c>
      <c r="I22" s="7" t="n">
        <f aca="false">G22+H22</f>
        <v>95.72</v>
      </c>
      <c r="J22" s="30" t="n">
        <f aca="false">IF(L22&gt;0,L22,0)</f>
        <v>0</v>
      </c>
      <c r="K22" s="7" t="n">
        <f aca="false">I22+J22</f>
        <v>95.72</v>
      </c>
      <c r="L22" s="7" t="n">
        <f aca="false">F22-(I22-W22)</f>
        <v>-34.25</v>
      </c>
      <c r="M22" s="7" t="n">
        <v>21.87</v>
      </c>
      <c r="N22" s="7" t="n">
        <v>0.5</v>
      </c>
      <c r="O22" s="7" t="n">
        <f aca="false">M22-N22</f>
        <v>21.37</v>
      </c>
      <c r="P22" s="7"/>
      <c r="Q22" s="7"/>
      <c r="R22" s="7" t="n">
        <f aca="false">SUM(O22:Q22)</f>
        <v>21.37</v>
      </c>
      <c r="S22" s="8"/>
      <c r="T22" s="7"/>
      <c r="U22" s="7" t="n">
        <v>39.6</v>
      </c>
      <c r="V22" s="8" t="n">
        <f aca="false">V21-U22</f>
        <v>14390.6333148475</v>
      </c>
      <c r="W22" s="7" t="n">
        <f aca="false">N22+R22+T22+U22</f>
        <v>61.47</v>
      </c>
      <c r="X22" s="7" t="n">
        <f aca="false">IF(L22&lt;0,L22*-1,0)</f>
        <v>34.25</v>
      </c>
      <c r="Y22" s="7" t="n">
        <f aca="false">W22+X22</f>
        <v>95.72</v>
      </c>
      <c r="Z22" s="11" t="n">
        <v>0</v>
      </c>
      <c r="AA22" s="12" t="n">
        <v>60</v>
      </c>
      <c r="AB22" s="12" t="n">
        <v>34</v>
      </c>
      <c r="AC22" s="13" t="n">
        <f aca="false">AC21+1</f>
        <v>13</v>
      </c>
      <c r="AD22" s="12" t="n">
        <v>14771</v>
      </c>
      <c r="AE22" s="12" t="n">
        <v>1299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6907.76</v>
      </c>
      <c r="C23" s="8" t="n">
        <v>313115</v>
      </c>
      <c r="D23" s="12" t="n">
        <f aca="false">C23-C22</f>
        <v>-118</v>
      </c>
      <c r="E23" s="8" t="n">
        <f aca="false">C23-152000</f>
        <v>161115</v>
      </c>
      <c r="F23" s="7" t="n">
        <f aca="false">D23/$D$2</f>
        <v>-59.505799293999</v>
      </c>
      <c r="G23" s="7" t="n">
        <v>76.14</v>
      </c>
      <c r="H23" s="9" t="n">
        <v>0</v>
      </c>
      <c r="I23" s="7" t="n">
        <f aca="false">G23+H23</f>
        <v>76.14</v>
      </c>
      <c r="J23" s="30" t="n">
        <f aca="false">IF(L23&gt;0,L23,0)</f>
        <v>0</v>
      </c>
      <c r="K23" s="7" t="n">
        <f aca="false">I23+J23</f>
        <v>76.14</v>
      </c>
      <c r="L23" s="7" t="n">
        <f aca="false">F23-(I23-W23)</f>
        <v>-75.095799293999</v>
      </c>
      <c r="M23" s="7" t="n">
        <v>20.9</v>
      </c>
      <c r="N23" s="7"/>
      <c r="O23" s="7" t="n">
        <f aca="false">M23-N23</f>
        <v>20.9</v>
      </c>
      <c r="P23" s="7"/>
      <c r="Q23" s="7"/>
      <c r="R23" s="7" t="n">
        <f aca="false">SUM(O23:Q23)</f>
        <v>20.9</v>
      </c>
      <c r="S23" s="8"/>
      <c r="T23" s="7"/>
      <c r="U23" s="7" t="n">
        <v>39.65</v>
      </c>
      <c r="V23" s="8" t="n">
        <f aca="false">V22-U23</f>
        <v>14350.9833148475</v>
      </c>
      <c r="W23" s="7" t="n">
        <f aca="false">N23+R23+T23+U23</f>
        <v>60.55</v>
      </c>
      <c r="X23" s="7" t="n">
        <f aca="false">IF(L23&lt;0,L23*-1,0)</f>
        <v>75.095799293999</v>
      </c>
      <c r="Y23" s="7" t="n">
        <f aca="false">W23+X23</f>
        <v>135.645799293999</v>
      </c>
      <c r="Z23" s="11" t="n">
        <v>0</v>
      </c>
      <c r="AA23" s="40" t="n">
        <v>68</v>
      </c>
      <c r="AB23" s="12" t="n">
        <v>37</v>
      </c>
      <c r="AC23" s="13" t="n">
        <f aca="false">AC22+1</f>
        <v>14</v>
      </c>
      <c r="AD23" s="12" t="n">
        <v>14842</v>
      </c>
      <c r="AE23" s="12" t="n">
        <v>1407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6907.76</v>
      </c>
      <c r="C24" s="8" t="n">
        <v>313115</v>
      </c>
      <c r="D24" s="12" t="n">
        <f aca="false">C24-C23</f>
        <v>0</v>
      </c>
      <c r="E24" s="8" t="n">
        <f aca="false">C24-152000</f>
        <v>161115</v>
      </c>
      <c r="F24" s="7" t="n">
        <f aca="false">D24/$D$2</f>
        <v>0</v>
      </c>
      <c r="G24" s="7" t="n">
        <v>59.43</v>
      </c>
      <c r="H24" s="9" t="s">
        <v>45</v>
      </c>
      <c r="I24" s="7" t="n">
        <f aca="false">G24</f>
        <v>59.43</v>
      </c>
      <c r="J24" s="30" t="n">
        <f aca="false">IF(L24&gt;0,L24,0)</f>
        <v>0</v>
      </c>
      <c r="K24" s="7" t="n">
        <f aca="false">I24+J24</f>
        <v>59.43</v>
      </c>
      <c r="L24" s="7" t="n">
        <f aca="false">F24-(I24-W24)</f>
        <v>-1.16</v>
      </c>
      <c r="M24" s="7" t="n">
        <v>18.67</v>
      </c>
      <c r="N24" s="7"/>
      <c r="O24" s="7" t="n">
        <f aca="false">M24-N24</f>
        <v>18.67</v>
      </c>
      <c r="P24" s="7"/>
      <c r="Q24" s="7"/>
      <c r="R24" s="7" t="n">
        <f aca="false">SUM(O24:Q24)</f>
        <v>18.67</v>
      </c>
      <c r="S24" s="8"/>
      <c r="T24" s="7"/>
      <c r="U24" s="7" t="n">
        <v>39.6</v>
      </c>
      <c r="V24" s="8" t="n">
        <f aca="false">V23-U24</f>
        <v>14311.3833148475</v>
      </c>
      <c r="W24" s="7" t="n">
        <f aca="false">N24+R24+T24+U24</f>
        <v>58.27</v>
      </c>
      <c r="X24" s="7" t="n">
        <f aca="false">IF(L24&lt;0,L24*-1,0)</f>
        <v>1.16</v>
      </c>
      <c r="Y24" s="7" t="n">
        <f aca="false">W24+X24</f>
        <v>59.43</v>
      </c>
      <c r="Z24" s="11" t="n">
        <v>0</v>
      </c>
      <c r="AA24" s="40" t="n">
        <v>64</v>
      </c>
      <c r="AB24" s="12" t="n">
        <v>35</v>
      </c>
      <c r="AC24" s="13" t="n">
        <f aca="false">AC23+1</f>
        <v>15</v>
      </c>
      <c r="AD24" s="12" t="n">
        <v>14927</v>
      </c>
      <c r="AE24" s="12" t="n">
        <v>1516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6907.74</v>
      </c>
      <c r="C25" s="8" t="n">
        <v>313038</v>
      </c>
      <c r="D25" s="12" t="n">
        <f aca="false">C25-C24</f>
        <v>-77</v>
      </c>
      <c r="E25" s="8" t="n">
        <f aca="false">C25-152000</f>
        <v>161038</v>
      </c>
      <c r="F25" s="7" t="n">
        <f aca="false">D25/$D$2</f>
        <v>-38.8300554715078</v>
      </c>
      <c r="G25" s="7" t="n">
        <v>81.2</v>
      </c>
      <c r="H25" s="9" t="n">
        <v>0</v>
      </c>
      <c r="I25" s="7" t="n">
        <f aca="false">G25+H25</f>
        <v>81.2</v>
      </c>
      <c r="J25" s="30" t="n">
        <f aca="false">IF(L25&gt;0,L25,0)</f>
        <v>0</v>
      </c>
      <c r="K25" s="7" t="n">
        <f aca="false">I25+J25</f>
        <v>81.2</v>
      </c>
      <c r="L25" s="7" t="n">
        <f aca="false">F25-(I25-W25)</f>
        <v>-61.5800554715078</v>
      </c>
      <c r="M25" s="7" t="n">
        <v>18.85</v>
      </c>
      <c r="N25" s="7"/>
      <c r="O25" s="7" t="n">
        <f aca="false">M25-N25</f>
        <v>18.85</v>
      </c>
      <c r="P25" s="7"/>
      <c r="Q25" s="7"/>
      <c r="R25" s="7" t="n">
        <f aca="false">SUM(O25:Q25)</f>
        <v>18.85</v>
      </c>
      <c r="S25" s="8"/>
      <c r="T25" s="7"/>
      <c r="U25" s="7" t="n">
        <v>39.6</v>
      </c>
      <c r="V25" s="8" t="n">
        <f aca="false">V24-U25</f>
        <v>14271.7833148475</v>
      </c>
      <c r="W25" s="7" t="n">
        <f aca="false">N25+R25+T25+U25</f>
        <v>58.45</v>
      </c>
      <c r="X25" s="7" t="n">
        <f aca="false">IF(L25&lt;0,L25*-1,0)</f>
        <v>61.5800554715078</v>
      </c>
      <c r="Y25" s="7" t="n">
        <f aca="false">W25+X25</f>
        <v>120.030055471508</v>
      </c>
      <c r="Z25" s="11" t="n">
        <v>0</v>
      </c>
      <c r="AA25" s="40" t="n">
        <v>60</v>
      </c>
      <c r="AB25" s="12" t="n">
        <v>34</v>
      </c>
      <c r="AC25" s="13" t="n">
        <f aca="false">AC24+1</f>
        <v>16</v>
      </c>
      <c r="AD25" s="12" t="n">
        <v>15009</v>
      </c>
      <c r="AE25" s="12" t="n">
        <v>1615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6907.73</v>
      </c>
      <c r="C26" s="8" t="n">
        <v>312998</v>
      </c>
      <c r="D26" s="12" t="n">
        <f aca="false">C26-C25</f>
        <v>-40</v>
      </c>
      <c r="E26" s="8" t="n">
        <f aca="false">C26-152000</f>
        <v>160998</v>
      </c>
      <c r="F26" s="7" t="n">
        <f aca="false">D26/$D$2</f>
        <v>-20.1714573877963</v>
      </c>
      <c r="G26" s="7" t="n">
        <v>45.6</v>
      </c>
      <c r="H26" s="9" t="n">
        <v>0</v>
      </c>
      <c r="I26" s="7" t="n">
        <f aca="false">G26+H26</f>
        <v>45.6</v>
      </c>
      <c r="J26" s="30" t="n">
        <f aca="false">IF(L26&gt;0,L26,0)</f>
        <v>0</v>
      </c>
      <c r="K26" s="7" t="n">
        <f aca="false">I26+J26</f>
        <v>45.6</v>
      </c>
      <c r="L26" s="7" t="n">
        <f aca="false">F26-(I26-W26)</f>
        <v>-7.07145738779627</v>
      </c>
      <c r="M26" s="7" t="n">
        <v>19.1</v>
      </c>
      <c r="N26" s="7"/>
      <c r="O26" s="7" t="n">
        <f aca="false">M26-N26</f>
        <v>19.1</v>
      </c>
      <c r="P26" s="7"/>
      <c r="Q26" s="7"/>
      <c r="R26" s="7" t="n">
        <f aca="false">SUM(O26:Q26)</f>
        <v>19.1</v>
      </c>
      <c r="S26" s="8"/>
      <c r="T26" s="7"/>
      <c r="U26" s="7" t="n">
        <v>39.6</v>
      </c>
      <c r="V26" s="8" t="n">
        <f aca="false">V25-U26</f>
        <v>14232.1833148475</v>
      </c>
      <c r="W26" s="7" t="n">
        <f aca="false">N26+R26+T26+U26</f>
        <v>58.7</v>
      </c>
      <c r="X26" s="7" t="n">
        <f aca="false">IF(L26&lt;0,L26*-1,0)</f>
        <v>7.07145738779627</v>
      </c>
      <c r="Y26" s="7" t="n">
        <f aca="false">W26+X26</f>
        <v>65.7714573877963</v>
      </c>
      <c r="Z26" s="11" t="n">
        <v>0</v>
      </c>
      <c r="AA26" s="40" t="n">
        <v>62</v>
      </c>
      <c r="AB26" s="12" t="n">
        <v>32</v>
      </c>
      <c r="AC26" s="13" t="n">
        <f aca="false">AC25+1</f>
        <v>17</v>
      </c>
      <c r="AD26" s="12" t="n">
        <v>15112</v>
      </c>
      <c r="AE26" s="12" t="n">
        <v>1714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6907.73</v>
      </c>
      <c r="C27" s="8" t="n">
        <v>312998</v>
      </c>
      <c r="D27" s="12" t="n">
        <f aca="false">C27-C26</f>
        <v>0</v>
      </c>
      <c r="E27" s="8" t="n">
        <f aca="false">C27-152000</f>
        <v>160998</v>
      </c>
      <c r="F27" s="7" t="n">
        <f aca="false">D27/$D$2</f>
        <v>0</v>
      </c>
      <c r="G27" s="7" t="n">
        <v>98.9</v>
      </c>
      <c r="H27" s="9" t="n">
        <v>0</v>
      </c>
      <c r="I27" s="7" t="n">
        <f aca="false">G27+H27</f>
        <v>98.9</v>
      </c>
      <c r="J27" s="30" t="n">
        <f aca="false">IF(L27&gt;0,L27,0)</f>
        <v>0</v>
      </c>
      <c r="K27" s="7" t="n">
        <f aca="false">I27+J27</f>
        <v>98.9</v>
      </c>
      <c r="L27" s="7" t="n">
        <f aca="false">F27-(I27-W27)</f>
        <v>-40.12</v>
      </c>
      <c r="M27" s="7" t="n">
        <v>19.1</v>
      </c>
      <c r="N27" s="7"/>
      <c r="O27" s="7" t="n">
        <f aca="false">M27-N27</f>
        <v>19.1</v>
      </c>
      <c r="P27" s="7"/>
      <c r="Q27" s="7"/>
      <c r="R27" s="7" t="n">
        <f aca="false">SUM(O27:Q27)</f>
        <v>19.1</v>
      </c>
      <c r="S27" s="8"/>
      <c r="T27" s="7"/>
      <c r="U27" s="7" t="n">
        <v>39.68</v>
      </c>
      <c r="V27" s="8" t="n">
        <f aca="false">V26-U27</f>
        <v>14192.5033148475</v>
      </c>
      <c r="W27" s="7" t="n">
        <f aca="false">N27+R27+T27+U27</f>
        <v>58.78</v>
      </c>
      <c r="X27" s="7" t="n">
        <f aca="false">IF(L27&lt;0,L27*-1,0)</f>
        <v>40.12</v>
      </c>
      <c r="Y27" s="7" t="n">
        <f aca="false">W27+X27</f>
        <v>98.9</v>
      </c>
      <c r="Z27" s="11" t="n">
        <v>0</v>
      </c>
      <c r="AA27" s="40" t="n">
        <v>61</v>
      </c>
      <c r="AB27" s="12" t="n">
        <v>33</v>
      </c>
      <c r="AC27" s="13" t="n">
        <f aca="false">AC26+1</f>
        <v>18</v>
      </c>
      <c r="AD27" s="12" t="n">
        <v>15213</v>
      </c>
      <c r="AE27" s="12" t="n">
        <v>1812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6907.69</v>
      </c>
      <c r="C28" s="8" t="n">
        <v>312841</v>
      </c>
      <c r="D28" s="12" t="n">
        <f aca="false">C28-C27</f>
        <v>-157</v>
      </c>
      <c r="E28" s="8" t="n">
        <f aca="false">C28-152000</f>
        <v>160841</v>
      </c>
      <c r="F28" s="7" t="n">
        <f aca="false">D28/$D$2</f>
        <v>-79.1729702471004</v>
      </c>
      <c r="G28" s="7" t="n">
        <v>63.6</v>
      </c>
      <c r="H28" s="9" t="n">
        <v>0</v>
      </c>
      <c r="I28" s="7" t="n">
        <f aca="false">G28+H28</f>
        <v>63.6</v>
      </c>
      <c r="J28" s="30" t="n">
        <f aca="false">IF(L28&gt;0,L28,0)</f>
        <v>0</v>
      </c>
      <c r="K28" s="7" t="n">
        <f aca="false">I28+J28</f>
        <v>63.6</v>
      </c>
      <c r="L28" s="7" t="n">
        <f aca="false">F28-(I28-W28)</f>
        <v>-84.0329702471004</v>
      </c>
      <c r="M28" s="7" t="n">
        <v>19.1</v>
      </c>
      <c r="N28" s="7"/>
      <c r="O28" s="7" t="n">
        <f aca="false">M28-N28</f>
        <v>19.1</v>
      </c>
      <c r="P28" s="7"/>
      <c r="Q28" s="7"/>
      <c r="R28" s="7" t="n">
        <f aca="false">SUM(O28:Q28)</f>
        <v>19.1</v>
      </c>
      <c r="S28" s="8"/>
      <c r="T28" s="7"/>
      <c r="U28" s="7" t="n">
        <v>39.64</v>
      </c>
      <c r="V28" s="8" t="n">
        <f aca="false">V27-U28</f>
        <v>14152.8633148475</v>
      </c>
      <c r="W28" s="7" t="n">
        <f aca="false">N28+R28+T28+U28</f>
        <v>58.74</v>
      </c>
      <c r="X28" s="7" t="n">
        <f aca="false">IF(L28&lt;0,L28*-1,0)</f>
        <v>84.0329702471004</v>
      </c>
      <c r="Y28" s="7" t="n">
        <f aca="false">W28+X28</f>
        <v>142.7729702471</v>
      </c>
      <c r="Z28" s="11" t="n">
        <v>0</v>
      </c>
      <c r="AA28" s="40" t="n">
        <v>62</v>
      </c>
      <c r="AB28" s="12" t="n">
        <v>33</v>
      </c>
      <c r="AC28" s="13" t="n">
        <f aca="false">AC27+1</f>
        <v>19</v>
      </c>
      <c r="AD28" s="12" t="n">
        <v>15295</v>
      </c>
      <c r="AE28" s="12" t="n">
        <v>1909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6907.7</v>
      </c>
      <c r="C29" s="8" t="n">
        <v>312881</v>
      </c>
      <c r="D29" s="12" t="n">
        <f aca="false">C29-C28</f>
        <v>40</v>
      </c>
      <c r="E29" s="8" t="n">
        <f aca="false">C29-152000</f>
        <v>160881</v>
      </c>
      <c r="F29" s="7" t="n">
        <f aca="false">D29/$D$2</f>
        <v>20.1714573877963</v>
      </c>
      <c r="G29" s="7" t="n">
        <v>117.6</v>
      </c>
      <c r="H29" s="9" t="n">
        <v>0</v>
      </c>
      <c r="I29" s="7" t="n">
        <f aca="false">G29+H29</f>
        <v>117.6</v>
      </c>
      <c r="J29" s="30" t="n">
        <f aca="false">IF(L29&gt;0,L29,0)</f>
        <v>0</v>
      </c>
      <c r="K29" s="7" t="n">
        <f aca="false">I29+J29</f>
        <v>117.6</v>
      </c>
      <c r="L29" s="7" t="n">
        <f aca="false">F29-(I29-W29)</f>
        <v>-38.7285426122037</v>
      </c>
      <c r="M29" s="7" t="n">
        <v>19.1</v>
      </c>
      <c r="N29" s="7"/>
      <c r="O29" s="7" t="n">
        <f aca="false">M29-N29</f>
        <v>19.1</v>
      </c>
      <c r="P29" s="7"/>
      <c r="Q29" s="7"/>
      <c r="R29" s="7" t="n">
        <f aca="false">SUM(O29:Q29)</f>
        <v>19.1</v>
      </c>
      <c r="S29" s="8"/>
      <c r="T29" s="7"/>
      <c r="U29" s="7" t="n">
        <v>39.6</v>
      </c>
      <c r="V29" s="8" t="n">
        <f aca="false">V28-U29</f>
        <v>14113.2633148475</v>
      </c>
      <c r="W29" s="7" t="n">
        <f aca="false">N29+R29+T29+U29</f>
        <v>58.7</v>
      </c>
      <c r="X29" s="7" t="n">
        <f aca="false">IF(L29&lt;0,L29*-1,0)</f>
        <v>38.7285426122037</v>
      </c>
      <c r="Y29" s="7" t="n">
        <f aca="false">W29+X29</f>
        <v>97.4285426122037</v>
      </c>
      <c r="Z29" s="11" t="n">
        <v>0</v>
      </c>
      <c r="AA29" s="40" t="n">
        <v>61</v>
      </c>
      <c r="AB29" s="12" t="n">
        <v>31</v>
      </c>
      <c r="AC29" s="13" t="n">
        <f aca="false">AC28+1</f>
        <v>20</v>
      </c>
      <c r="AD29" s="12" t="n">
        <v>15367</v>
      </c>
      <c r="AE29" s="12" t="n">
        <v>2006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6907.72</v>
      </c>
      <c r="C30" s="8" t="n">
        <v>312960</v>
      </c>
      <c r="D30" s="12" t="n">
        <f aca="false">C30-C29</f>
        <v>79</v>
      </c>
      <c r="E30" s="8" t="n">
        <f aca="false">C30-152000</f>
        <v>160960</v>
      </c>
      <c r="F30" s="7" t="n">
        <f aca="false">D30/$D$2</f>
        <v>39.8386283408976</v>
      </c>
      <c r="G30" s="7" t="n">
        <v>62.2</v>
      </c>
      <c r="H30" s="9" t="n">
        <v>0</v>
      </c>
      <c r="I30" s="7" t="n">
        <f aca="false">G30+H30</f>
        <v>62.2</v>
      </c>
      <c r="J30" s="30" t="n">
        <f aca="false">IF(L30&gt;0,L30,0)</f>
        <v>31.5686283408976</v>
      </c>
      <c r="K30" s="7" t="n">
        <f aca="false">I30+J30</f>
        <v>93.7686283408976</v>
      </c>
      <c r="L30" s="7" t="n">
        <f aca="false">F30-(I30-W30)</f>
        <v>31.5686283408976</v>
      </c>
      <c r="M30" s="7" t="n">
        <v>14.25</v>
      </c>
      <c r="N30" s="7"/>
      <c r="O30" s="7" t="n">
        <f aca="false">M30-N30</f>
        <v>14.25</v>
      </c>
      <c r="P30" s="7"/>
      <c r="Q30" s="7"/>
      <c r="R30" s="7" t="n">
        <f aca="false">SUM(O30:Q30)</f>
        <v>14.25</v>
      </c>
      <c r="S30" s="8"/>
      <c r="T30" s="7"/>
      <c r="U30" s="7" t="n">
        <v>39.68</v>
      </c>
      <c r="V30" s="8" t="n">
        <f aca="false">V29-U30</f>
        <v>14073.5833148475</v>
      </c>
      <c r="W30" s="7" t="n">
        <f aca="false">N30+R30+T30+U30</f>
        <v>53.93</v>
      </c>
      <c r="X30" s="7" t="n">
        <f aca="false">IF(L30&lt;0,L30*-1,0)</f>
        <v>0</v>
      </c>
      <c r="Y30" s="7" t="n">
        <f aca="false">W30+X30</f>
        <v>53.93</v>
      </c>
      <c r="Z30" s="11" t="n">
        <v>0</v>
      </c>
      <c r="AA30" s="12" t="n">
        <v>61</v>
      </c>
      <c r="AB30" s="12" t="n">
        <v>29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6907.72</v>
      </c>
      <c r="C31" s="8" t="n">
        <v>312960</v>
      </c>
      <c r="D31" s="12" t="n">
        <f aca="false">C31-C30</f>
        <v>0</v>
      </c>
      <c r="E31" s="8" t="n">
        <f aca="false">C31-152000</f>
        <v>160960</v>
      </c>
      <c r="F31" s="7" t="n">
        <f aca="false">D31/$D$2</f>
        <v>0</v>
      </c>
      <c r="G31" s="7" t="n">
        <v>43.4</v>
      </c>
      <c r="H31" s="9" t="n">
        <v>0</v>
      </c>
      <c r="I31" s="7" t="n">
        <f aca="false">G31+H31</f>
        <v>43.4</v>
      </c>
      <c r="J31" s="30" t="n">
        <f aca="false">IF(L31&gt;0,L31,0)</f>
        <v>0.57</v>
      </c>
      <c r="K31" s="7" t="n">
        <f aca="false">I31+J31</f>
        <v>43.97</v>
      </c>
      <c r="L31" s="7" t="n">
        <f aca="false">F31-(I31-W31)</f>
        <v>0.57</v>
      </c>
      <c r="M31" s="7" t="n">
        <v>4.37</v>
      </c>
      <c r="N31" s="7"/>
      <c r="O31" s="7" t="n">
        <f aca="false">M31-N31</f>
        <v>4.37</v>
      </c>
      <c r="P31" s="7"/>
      <c r="Q31" s="7"/>
      <c r="R31" s="7" t="n">
        <f aca="false">SUM(O31:Q31)</f>
        <v>4.37</v>
      </c>
      <c r="S31" s="8"/>
      <c r="T31" s="7"/>
      <c r="U31" s="7" t="n">
        <v>39.6</v>
      </c>
      <c r="V31" s="8" t="n">
        <f aca="false">V30-U31</f>
        <v>14033.9833148475</v>
      </c>
      <c r="W31" s="7" t="n">
        <f aca="false">N31+R31+T31+U31</f>
        <v>43.97</v>
      </c>
      <c r="X31" s="7" t="n">
        <f aca="false">IF(L31&lt;0,L31*-1,0)</f>
        <v>0</v>
      </c>
      <c r="Y31" s="7" t="n">
        <f aca="false">W31+X31</f>
        <v>43.97</v>
      </c>
      <c r="Z31" s="11" t="n">
        <v>0</v>
      </c>
      <c r="AA31" s="12" t="n">
        <v>62</v>
      </c>
      <c r="AB31" s="12" t="n">
        <v>31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6907.71</v>
      </c>
      <c r="C32" s="8" t="n">
        <v>312920</v>
      </c>
      <c r="D32" s="12" t="n">
        <f aca="false">C32-C31</f>
        <v>-40</v>
      </c>
      <c r="E32" s="8" t="n">
        <f aca="false">C32-152000</f>
        <v>160920</v>
      </c>
      <c r="F32" s="7" t="n">
        <f aca="false">D32/$D$2</f>
        <v>-20.1714573877963</v>
      </c>
      <c r="G32" s="7" t="n">
        <v>45.2</v>
      </c>
      <c r="H32" s="9" t="n">
        <v>0</v>
      </c>
      <c r="I32" s="7" t="n">
        <v>45.1</v>
      </c>
      <c r="J32" s="30" t="n">
        <f aca="false">IF(L32&gt;0,L32,0)</f>
        <v>0</v>
      </c>
      <c r="K32" s="7" t="n">
        <f aca="false">I32+J32</f>
        <v>45.1</v>
      </c>
      <c r="L32" s="7" t="n">
        <f aca="false">F32-(I32-W32)</f>
        <v>-21.6114573877963</v>
      </c>
      <c r="M32" s="7" t="n">
        <v>4.06</v>
      </c>
      <c r="N32" s="7"/>
      <c r="O32" s="7" t="n">
        <f aca="false">M32-N32</f>
        <v>4.06</v>
      </c>
      <c r="P32" s="7"/>
      <c r="Q32" s="7"/>
      <c r="R32" s="7" t="n">
        <f aca="false">SUM(O32:Q32)</f>
        <v>4.06</v>
      </c>
      <c r="S32" s="8"/>
      <c r="T32" s="7"/>
      <c r="U32" s="7" t="n">
        <v>39.6</v>
      </c>
      <c r="V32" s="8" t="n">
        <f aca="false">V31-U32</f>
        <v>13994.3833148475</v>
      </c>
      <c r="W32" s="7" t="n">
        <f aca="false">N32+R32+T32+U32</f>
        <v>43.66</v>
      </c>
      <c r="X32" s="7" t="n">
        <f aca="false">IF(L32&lt;0,L32*-1,0)</f>
        <v>21.6114573877963</v>
      </c>
      <c r="Y32" s="7" t="n">
        <f aca="false">W32+X32</f>
        <v>65.2714573877963</v>
      </c>
      <c r="Z32" s="11" t="n">
        <v>0</v>
      </c>
      <c r="AA32" s="12" t="n">
        <v>52</v>
      </c>
      <c r="AB32" s="40" t="n">
        <v>32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6907.71</v>
      </c>
      <c r="C33" s="8" t="n">
        <v>312920</v>
      </c>
      <c r="D33" s="12" t="n">
        <f aca="false">C33-C32</f>
        <v>0</v>
      </c>
      <c r="E33" s="8" t="n">
        <f aca="false">C33-152000</f>
        <v>160920</v>
      </c>
      <c r="F33" s="7" t="n">
        <f aca="false">D33/$D$2</f>
        <v>0</v>
      </c>
      <c r="G33" s="7" t="n">
        <v>44.3</v>
      </c>
      <c r="H33" s="9" t="n">
        <v>0</v>
      </c>
      <c r="I33" s="7" t="n">
        <f aca="false">G33+H33</f>
        <v>44.3</v>
      </c>
      <c r="J33" s="30" t="n">
        <f aca="false">IF(L33&gt;0,L33,0)</f>
        <v>0</v>
      </c>
      <c r="K33" s="7" t="n">
        <f aca="false">I33+J33</f>
        <v>44.3</v>
      </c>
      <c r="L33" s="7" t="n">
        <f aca="false">F33-(I33-W33)</f>
        <v>-0.599999999999994</v>
      </c>
      <c r="M33" s="7" t="n">
        <v>4.06</v>
      </c>
      <c r="N33" s="7"/>
      <c r="O33" s="7" t="n">
        <f aca="false">M33-N33</f>
        <v>4.06</v>
      </c>
      <c r="P33" s="7"/>
      <c r="Q33" s="7"/>
      <c r="R33" s="7" t="n">
        <f aca="false">SUM(O33:Q33)</f>
        <v>4.06</v>
      </c>
      <c r="S33" s="8"/>
      <c r="T33" s="7"/>
      <c r="U33" s="7" t="n">
        <v>39.64</v>
      </c>
      <c r="V33" s="8" t="n">
        <f aca="false">V32-U33</f>
        <v>13954.7433148475</v>
      </c>
      <c r="W33" s="7" t="n">
        <f aca="false">N33+R33+T33+U33</f>
        <v>43.7</v>
      </c>
      <c r="X33" s="7" t="n">
        <f aca="false">IF(L33&lt;0,L33*-1,0)</f>
        <v>0.599999999999994</v>
      </c>
      <c r="Y33" s="7" t="n">
        <f aca="false">W33+X33</f>
        <v>44.3</v>
      </c>
      <c r="Z33" s="11" t="n">
        <v>0</v>
      </c>
      <c r="AA33" s="12" t="n">
        <v>58</v>
      </c>
      <c r="AB33" s="40" t="n">
        <v>21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6907.72</v>
      </c>
      <c r="C34" s="8" t="n">
        <v>312960</v>
      </c>
      <c r="D34" s="12" t="n">
        <f aca="false">C34-C33</f>
        <v>40</v>
      </c>
      <c r="E34" s="8" t="n">
        <f aca="false">C34-152000</f>
        <v>160960</v>
      </c>
      <c r="F34" s="7" t="n">
        <f aca="false">D34/$D$2</f>
        <v>20.1714573877963</v>
      </c>
      <c r="G34" s="7" t="n">
        <v>27.6</v>
      </c>
      <c r="H34" s="9" t="n">
        <v>0</v>
      </c>
      <c r="I34" s="7" t="n">
        <f aca="false">G34+H34</f>
        <v>27.6</v>
      </c>
      <c r="J34" s="30" t="n">
        <f aca="false">IF(L34&gt;0,L34,0)</f>
        <v>36.2314573877963</v>
      </c>
      <c r="K34" s="7" t="n">
        <f aca="false">I34+J34</f>
        <v>63.8314573877963</v>
      </c>
      <c r="L34" s="7" t="n">
        <f aca="false">F34-(I34-W34)</f>
        <v>36.2314573877963</v>
      </c>
      <c r="M34" s="7" t="n">
        <v>4.06</v>
      </c>
      <c r="N34" s="7"/>
      <c r="O34" s="7" t="n">
        <f aca="false">M34-N34</f>
        <v>4.06</v>
      </c>
      <c r="P34" s="7"/>
      <c r="Q34" s="7"/>
      <c r="R34" s="7" t="n">
        <f aca="false">SUM(O34:Q34)</f>
        <v>4.06</v>
      </c>
      <c r="S34" s="8"/>
      <c r="T34" s="7"/>
      <c r="U34" s="7" t="n">
        <v>39.6</v>
      </c>
      <c r="V34" s="8" t="n">
        <f aca="false">V33-U34</f>
        <v>13915.1433148475</v>
      </c>
      <c r="W34" s="7" t="n">
        <f aca="false">N34+R34+T34+U34</f>
        <v>43.66</v>
      </c>
      <c r="X34" s="7" t="n">
        <f aca="false">IF(L34&lt;0,L34*-1,0)</f>
        <v>0</v>
      </c>
      <c r="Y34" s="7" t="n">
        <f aca="false">W34+X34</f>
        <v>43.66</v>
      </c>
      <c r="Z34" s="11" t="n">
        <v>0</v>
      </c>
      <c r="AA34" s="12" t="n">
        <v>58</v>
      </c>
      <c r="AB34" s="40" t="n">
        <v>22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6907.72</v>
      </c>
      <c r="C35" s="8" t="n">
        <v>312960</v>
      </c>
      <c r="D35" s="12" t="n">
        <f aca="false">C35-C34</f>
        <v>0</v>
      </c>
      <c r="E35" s="8" t="n">
        <f aca="false">C35-152000</f>
        <v>160960</v>
      </c>
      <c r="F35" s="7" t="n">
        <f aca="false">D35/$D$2</f>
        <v>0</v>
      </c>
      <c r="G35" s="7" t="n">
        <v>44.5</v>
      </c>
      <c r="H35" s="9" t="n">
        <v>0</v>
      </c>
      <c r="I35" s="7" t="n">
        <f aca="false">G35+H35</f>
        <v>44.5</v>
      </c>
      <c r="J35" s="30" t="n">
        <f aca="false">IF(L35&gt;0,L35,0)</f>
        <v>0</v>
      </c>
      <c r="K35" s="7" t="n">
        <f aca="false">I35+J35</f>
        <v>44.5</v>
      </c>
      <c r="L35" s="7" t="n">
        <f aca="false">F35-(I35-W35)</f>
        <v>-0.839999999999996</v>
      </c>
      <c r="M35" s="7" t="n">
        <v>4.06</v>
      </c>
      <c r="N35" s="7"/>
      <c r="O35" s="7" t="n">
        <f aca="false">M35-N35</f>
        <v>4.06</v>
      </c>
      <c r="P35" s="7"/>
      <c r="Q35" s="7"/>
      <c r="R35" s="7" t="n">
        <f aca="false">SUM(O35:Q35)</f>
        <v>4.06</v>
      </c>
      <c r="S35" s="8"/>
      <c r="T35" s="7"/>
      <c r="U35" s="7" t="n">
        <v>39.6</v>
      </c>
      <c r="V35" s="8" t="n">
        <f aca="false">V34-U35</f>
        <v>13875.5433148475</v>
      </c>
      <c r="W35" s="7" t="n">
        <f aca="false">N35+R35+T35+U35</f>
        <v>43.66</v>
      </c>
      <c r="X35" s="7" t="n">
        <f aca="false">IF(L35&lt;0,L35*-1,0)</f>
        <v>0.839999999999996</v>
      </c>
      <c r="Y35" s="7" t="n">
        <f aca="false">W35+X35</f>
        <v>44.5</v>
      </c>
      <c r="Z35" s="11" t="n">
        <v>0</v>
      </c>
      <c r="AA35" s="12" t="n">
        <v>60</v>
      </c>
      <c r="AB35" s="12" t="n">
        <v>28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6907.71</v>
      </c>
      <c r="C36" s="8" t="n">
        <v>312920</v>
      </c>
      <c r="D36" s="12" t="n">
        <f aca="false">C36-C35</f>
        <v>-40</v>
      </c>
      <c r="E36" s="8" t="n">
        <f aca="false">C36-152000</f>
        <v>160920</v>
      </c>
      <c r="F36" s="7" t="n">
        <f aca="false">D36/$D$2</f>
        <v>-20.1714573877963</v>
      </c>
      <c r="G36" s="7" t="n">
        <v>61.7</v>
      </c>
      <c r="H36" s="9" t="n">
        <v>0</v>
      </c>
      <c r="I36" s="7" t="n">
        <f aca="false">G36+H36</f>
        <v>61.7</v>
      </c>
      <c r="J36" s="30" t="n">
        <f aca="false">IF(L36&gt;0,L36,0)</f>
        <v>0</v>
      </c>
      <c r="K36" s="7" t="n">
        <f aca="false">I36+J36</f>
        <v>61.7</v>
      </c>
      <c r="L36" s="7" t="n">
        <f aca="false">F36-(I36-W36)</f>
        <v>-38.1714573877963</v>
      </c>
      <c r="M36" s="7" t="n">
        <v>4.06</v>
      </c>
      <c r="N36" s="7"/>
      <c r="O36" s="7" t="n">
        <f aca="false">M36-N36</f>
        <v>4.06</v>
      </c>
      <c r="P36" s="7"/>
      <c r="Q36" s="7"/>
      <c r="R36" s="7" t="n">
        <f aca="false">SUM(O36:Q36)</f>
        <v>4.06</v>
      </c>
      <c r="S36" s="8"/>
      <c r="T36" s="7"/>
      <c r="U36" s="7" t="n">
        <v>39.64</v>
      </c>
      <c r="V36" s="8" t="n">
        <f aca="false">V35-U36</f>
        <v>13835.9033148475</v>
      </c>
      <c r="W36" s="7" t="n">
        <f aca="false">N36+R36+T36+U36</f>
        <v>43.7</v>
      </c>
      <c r="X36" s="7" t="n">
        <f aca="false">IF(L36&lt;0,L36*-1,0)</f>
        <v>38.1714573877963</v>
      </c>
      <c r="Y36" s="7" t="n">
        <f aca="false">W36+X36</f>
        <v>81.8714573877963</v>
      </c>
      <c r="Z36" s="11" t="n">
        <v>0</v>
      </c>
      <c r="AA36" s="12" t="n">
        <v>35</v>
      </c>
      <c r="AB36" s="12" t="n">
        <v>18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6907.69</v>
      </c>
      <c r="C37" s="8" t="n">
        <v>312841</v>
      </c>
      <c r="D37" s="12" t="n">
        <f aca="false">C37-C36</f>
        <v>-79</v>
      </c>
      <c r="E37" s="8" t="n">
        <f aca="false">C37-152000</f>
        <v>160841</v>
      </c>
      <c r="F37" s="7" t="n">
        <f aca="false">D37/$D$2</f>
        <v>-39.8386283408976</v>
      </c>
      <c r="G37" s="7" t="n">
        <v>27</v>
      </c>
      <c r="H37" s="9" t="n">
        <v>0</v>
      </c>
      <c r="I37" s="7" t="n">
        <f aca="false">G37+H37</f>
        <v>27</v>
      </c>
      <c r="J37" s="30" t="n">
        <f aca="false">IF(L37&gt;0,L37,0)</f>
        <v>0</v>
      </c>
      <c r="K37" s="7" t="n">
        <f aca="false">I37+J37</f>
        <v>27</v>
      </c>
      <c r="L37" s="7" t="n">
        <f aca="false">F37-(I37-W37)</f>
        <v>-23.1786283408976</v>
      </c>
      <c r="M37" s="7" t="n">
        <v>4.06</v>
      </c>
      <c r="N37" s="7"/>
      <c r="O37" s="7" t="n">
        <f aca="false">M37-N37</f>
        <v>4.06</v>
      </c>
      <c r="P37" s="7"/>
      <c r="Q37" s="7"/>
      <c r="R37" s="7" t="n">
        <f aca="false">SUM(O37:Q37)</f>
        <v>4.06</v>
      </c>
      <c r="S37" s="8"/>
      <c r="T37" s="7"/>
      <c r="U37" s="7" t="n">
        <v>39.6</v>
      </c>
      <c r="V37" s="8" t="n">
        <f aca="false">V36-U37</f>
        <v>13796.3033148475</v>
      </c>
      <c r="W37" s="7" t="n">
        <f aca="false">N37+R37+T37+U37</f>
        <v>43.66</v>
      </c>
      <c r="X37" s="7" t="n">
        <f aca="false">IF(L37&lt;0,L37*-1,0)</f>
        <v>23.1786283408976</v>
      </c>
      <c r="Y37" s="7" t="n">
        <f aca="false">W37+X37</f>
        <v>66.8386283408976</v>
      </c>
      <c r="Z37" s="11" t="n">
        <v>0</v>
      </c>
      <c r="AA37" s="12" t="n">
        <v>40</v>
      </c>
      <c r="AB37" s="12" t="n">
        <v>14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6707.69</v>
      </c>
      <c r="C38" s="8" t="n">
        <v>312841</v>
      </c>
      <c r="D38" s="12" t="n">
        <f aca="false">C38-C37</f>
        <v>0</v>
      </c>
      <c r="E38" s="8" t="n">
        <f aca="false">C38-152000</f>
        <v>160841</v>
      </c>
      <c r="F38" s="7" t="n">
        <f aca="false">D38/$D$2</f>
        <v>0</v>
      </c>
      <c r="G38" s="7" t="n">
        <v>7.1</v>
      </c>
      <c r="H38" s="9" t="n">
        <v>0</v>
      </c>
      <c r="I38" s="7" t="n">
        <f aca="false">G38+H38</f>
        <v>7.1</v>
      </c>
      <c r="J38" s="30" t="n">
        <f aca="false">IF(L38&gt;0,L38,0)</f>
        <v>36.41</v>
      </c>
      <c r="K38" s="7" t="n">
        <f aca="false">I38+J38</f>
        <v>43.51</v>
      </c>
      <c r="L38" s="7" t="n">
        <f aca="false">F38-(I38-W38)</f>
        <v>36.41</v>
      </c>
      <c r="M38" s="7" t="n">
        <v>3.91</v>
      </c>
      <c r="N38" s="7"/>
      <c r="O38" s="7" t="n">
        <f aca="false">M38-N38</f>
        <v>3.91</v>
      </c>
      <c r="P38" s="7"/>
      <c r="Q38" s="7"/>
      <c r="R38" s="7" t="n">
        <f aca="false">SUM(O38:Q38)</f>
        <v>3.91</v>
      </c>
      <c r="S38" s="8"/>
      <c r="T38" s="7"/>
      <c r="U38" s="7" t="n">
        <v>39.6</v>
      </c>
      <c r="V38" s="8" t="n">
        <f aca="false">V37-U38</f>
        <v>13756.7033148475</v>
      </c>
      <c r="W38" s="7" t="n">
        <f aca="false">N38+R38+T38+U38</f>
        <v>43.51</v>
      </c>
      <c r="X38" s="7" t="n">
        <f aca="false">IF(L38&lt;0,L38*-1,0)</f>
        <v>0</v>
      </c>
      <c r="Y38" s="7" t="n">
        <f aca="false">W38+X38</f>
        <v>43.51</v>
      </c>
      <c r="Z38" s="11" t="n">
        <v>0</v>
      </c>
      <c r="AA38" s="40" t="n">
        <v>52</v>
      </c>
      <c r="AB38" s="12" t="n">
        <v>23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</row>
    <row r="39" customFormat="false" ht="11.1" hidden="false" customHeight="true" outlineLevel="0" collapsed="false">
      <c r="A39" s="13" t="n">
        <v>30</v>
      </c>
      <c r="B39" s="29" t="n">
        <v>6907.7</v>
      </c>
      <c r="C39" s="8" t="n">
        <v>312881</v>
      </c>
      <c r="D39" s="12" t="n">
        <f aca="false">C39-C38</f>
        <v>40</v>
      </c>
      <c r="E39" s="8" t="n">
        <f aca="false">C39-152000</f>
        <v>160881</v>
      </c>
      <c r="F39" s="7" t="n">
        <f aca="false">D39/$D$2</f>
        <v>20.1714573877963</v>
      </c>
      <c r="G39" s="7" t="n">
        <v>44</v>
      </c>
      <c r="H39" s="9" t="n">
        <v>0</v>
      </c>
      <c r="I39" s="7" t="n">
        <f aca="false">G39+H39</f>
        <v>44</v>
      </c>
      <c r="J39" s="30" t="n">
        <f aca="false">IF(L39&gt;0,L39,0)</f>
        <v>19.4914573877963</v>
      </c>
      <c r="K39" s="7" t="n">
        <f aca="false">I39+J39</f>
        <v>63.4914573877963</v>
      </c>
      <c r="L39" s="7" t="n">
        <f aca="false">F39-(I39-W39)</f>
        <v>19.4914573877963</v>
      </c>
      <c r="M39" s="7" t="n">
        <v>3.72</v>
      </c>
      <c r="N39" s="7"/>
      <c r="O39" s="7" t="n">
        <f aca="false">M39-N39</f>
        <v>3.72</v>
      </c>
      <c r="P39" s="7"/>
      <c r="Q39" s="7"/>
      <c r="R39" s="7" t="n">
        <f aca="false">SUM(O39:Q39)</f>
        <v>3.72</v>
      </c>
      <c r="S39" s="8"/>
      <c r="T39" s="7"/>
      <c r="U39" s="7" t="n">
        <v>39.6</v>
      </c>
      <c r="V39" s="8" t="n">
        <f aca="false">V38-U39</f>
        <v>13717.1033148475</v>
      </c>
      <c r="W39" s="7" t="n">
        <f aca="false">N39+R39+T39+U39</f>
        <v>43.32</v>
      </c>
      <c r="X39" s="7" t="n">
        <f aca="false">IF(L39&lt;0,L39*-1,0)</f>
        <v>0</v>
      </c>
      <c r="Y39" s="7" t="n">
        <f aca="false">W39+X39</f>
        <v>43.32</v>
      </c>
      <c r="Z39" s="11" t="n">
        <v>0</v>
      </c>
      <c r="AA39" s="40" t="n">
        <v>56</v>
      </c>
      <c r="AB39" s="12" t="n">
        <v>27</v>
      </c>
      <c r="AC39" s="13" t="n">
        <v>30</v>
      </c>
      <c r="AD39" s="12" t="n">
        <v>927</v>
      </c>
      <c r="AE39" s="12" t="n">
        <v>2965</v>
      </c>
      <c r="AF39" s="0" t="n">
        <v>248.45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-355.017650025214</v>
      </c>
      <c r="G41" s="8" t="n">
        <f aca="false">SUM(G10:G39)</f>
        <v>1794.7</v>
      </c>
      <c r="H41" s="8" t="n">
        <f aca="false">SUM(H10:H39)</f>
        <v>0</v>
      </c>
      <c r="I41" s="8" t="n">
        <f aca="false">SUM(I10:I39)</f>
        <v>1794.6</v>
      </c>
      <c r="J41" s="8" t="n">
        <f aca="false">SUM(J10:J39)</f>
        <v>307.818940998487</v>
      </c>
      <c r="K41" s="8" t="n">
        <f aca="false">SUM(K10:K39)</f>
        <v>2102.41894099849</v>
      </c>
      <c r="L41" s="8" t="n">
        <f aca="false">SUM(L10:L39)</f>
        <v>-458.667650025214</v>
      </c>
      <c r="M41" s="8" t="n">
        <f aca="false">SUM(M10:M39)</f>
        <v>492.5</v>
      </c>
      <c r="N41" s="8" t="n">
        <f aca="false">SUM(N10:N39)</f>
        <v>124</v>
      </c>
      <c r="O41" s="8" t="n">
        <f aca="false">SUM(O10:O39)</f>
        <v>368.5</v>
      </c>
      <c r="P41" s="8" t="n">
        <f aca="false">SUM(P10:P39)</f>
        <v>0</v>
      </c>
      <c r="Q41" s="8" t="n">
        <f aca="false">SUM(Q10:Q39)</f>
        <v>0</v>
      </c>
      <c r="R41" s="8" t="n">
        <f aca="false">SUM(R10:R39)</f>
        <v>368.5</v>
      </c>
      <c r="S41" s="8"/>
      <c r="T41" s="8" t="n">
        <f aca="false">SUM(T10:T39)</f>
        <v>0</v>
      </c>
      <c r="U41" s="8" t="n">
        <f aca="false">SUM(U10:U39)</f>
        <v>1198.45</v>
      </c>
      <c r="V41" s="8"/>
      <c r="W41" s="8" t="n">
        <f aca="false">SUM(W10:W39)</f>
        <v>1690.95</v>
      </c>
      <c r="X41" s="8" t="n">
        <f aca="false">SUM(X10:X39)</f>
        <v>766.486591023701</v>
      </c>
      <c r="Y41" s="8" t="n">
        <f aca="false">SUM(Y10:Y39)</f>
        <v>2457.4365910237</v>
      </c>
      <c r="Z41" s="11" t="n">
        <f aca="false">SUM(Z10:Z39)</f>
        <v>0.17</v>
      </c>
      <c r="AA41" s="12" t="n">
        <f aca="false">AVERAGE(AA10:AA39)</f>
        <v>54.9</v>
      </c>
      <c r="AB41" s="12" t="n">
        <f aca="false">AVERAGE(AB10:AB39)</f>
        <v>28.8</v>
      </c>
      <c r="AC41" s="13"/>
      <c r="AD41" s="14"/>
      <c r="AE41" s="14"/>
    </row>
    <row r="42" customFormat="false" ht="11.1" hidden="false" customHeight="true" outlineLevel="0" collapsed="false">
      <c r="A42" s="7" t="s">
        <v>47</v>
      </c>
      <c r="B42" s="7"/>
      <c r="C42" s="8"/>
      <c r="D42" s="8" t="n">
        <f aca="false">SUM(D10:D39)</f>
        <v>-704</v>
      </c>
      <c r="E42" s="8"/>
      <c r="F42" s="8" t="n">
        <f aca="false">F41*$D$2</f>
        <v>-704</v>
      </c>
      <c r="G42" s="8" t="n">
        <f aca="false">G41*$D$2</f>
        <v>3558.8901</v>
      </c>
      <c r="H42" s="8" t="n">
        <f aca="false">H41*$D$2</f>
        <v>0</v>
      </c>
      <c r="I42" s="8" t="n">
        <f aca="false">I41*$D$2</f>
        <v>3558.6918</v>
      </c>
      <c r="J42" s="8" t="n">
        <f aca="false">J41*$D$2</f>
        <v>610.40496</v>
      </c>
      <c r="K42" s="8" t="n">
        <f aca="false">K41*$D$2</f>
        <v>4169.09676</v>
      </c>
      <c r="L42" s="8" t="n">
        <f aca="false">L41*$D$2</f>
        <v>-909.53795</v>
      </c>
      <c r="M42" s="8" t="n">
        <f aca="false">M41*$D$2</f>
        <v>976.6275</v>
      </c>
      <c r="N42" s="8" t="n">
        <f aca="false">N41*$D$2</f>
        <v>245.892</v>
      </c>
      <c r="O42" s="8" t="n">
        <f aca="false">O41*$D$2</f>
        <v>730.7355</v>
      </c>
      <c r="P42" s="8" t="n">
        <f aca="false">P41*$D$2</f>
        <v>0</v>
      </c>
      <c r="Q42" s="8" t="n">
        <f aca="false">Q41*$D$2</f>
        <v>0</v>
      </c>
      <c r="R42" s="8" t="n">
        <f aca="false">R41*$D$2</f>
        <v>730.7355</v>
      </c>
      <c r="S42" s="8"/>
      <c r="T42" s="8" t="n">
        <f aca="false">T41*$D$2</f>
        <v>0</v>
      </c>
      <c r="U42" s="8" t="n">
        <f aca="false">U41*$D$2</f>
        <v>2376.52635</v>
      </c>
      <c r="V42" s="8"/>
      <c r="W42" s="8" t="n">
        <f aca="false">W41*$D$2</f>
        <v>3353.15385</v>
      </c>
      <c r="X42" s="8" t="n">
        <f aca="false">X41*$D$2</f>
        <v>1519.94291</v>
      </c>
      <c r="Y42" s="8" t="n">
        <f aca="false">Y41*$D$2</f>
        <v>4873.09676</v>
      </c>
      <c r="Z42" s="11"/>
      <c r="AA42" s="12" t="n">
        <f aca="false">MAX(AA10:AA39)</f>
        <v>68</v>
      </c>
      <c r="AB42" s="12" t="n">
        <f aca="false">MAX(AB10:AB39)</f>
        <v>41</v>
      </c>
      <c r="AC42" s="13" t="s">
        <v>48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49</v>
      </c>
      <c r="B44" s="7"/>
      <c r="C44" s="8"/>
      <c r="D44" s="8"/>
      <c r="E44" s="8"/>
      <c r="F44" s="8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1"/>
      <c r="AA44" s="12" t="n">
        <f aca="false">MIN(AA10:AA39)</f>
        <v>35</v>
      </c>
      <c r="AB44" s="12" t="n">
        <f aca="false">MIN(AB10:AB39)</f>
        <v>14</v>
      </c>
      <c r="AC44" s="13" t="s">
        <v>50</v>
      </c>
      <c r="AD44" s="14"/>
      <c r="AE44" s="14"/>
    </row>
    <row r="45" customFormat="false" ht="11.1" hidden="false" customHeight="true" outlineLevel="0" collapsed="false">
      <c r="A45" s="7" t="s">
        <v>51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52</v>
      </c>
      <c r="B47" s="7"/>
      <c r="C47" s="8"/>
      <c r="D47" s="8"/>
      <c r="E47" s="8"/>
      <c r="F47" s="8" t="n">
        <f aca="false">F8+F41</f>
        <v>-355.017650025214</v>
      </c>
      <c r="G47" s="8" t="n">
        <f aca="false">G8+G41</f>
        <v>1794.7</v>
      </c>
      <c r="H47" s="12" t="n">
        <f aca="false">H8+H41</f>
        <v>0</v>
      </c>
      <c r="I47" s="8" t="n">
        <f aca="false">I8+I41</f>
        <v>1794.6</v>
      </c>
      <c r="J47" s="8" t="n">
        <f aca="false">J8+J41</f>
        <v>307.818940998487</v>
      </c>
      <c r="K47" s="8" t="n">
        <f aca="false">K8+K41</f>
        <v>2102.41894099849</v>
      </c>
      <c r="L47" s="8" t="n">
        <f aca="false">L8+L41</f>
        <v>-458.667650025214</v>
      </c>
      <c r="M47" s="8" t="n">
        <f aca="false">M8+M41</f>
        <v>492.5</v>
      </c>
      <c r="N47" s="8"/>
      <c r="O47" s="8"/>
      <c r="P47" s="8" t="n">
        <f aca="false">P8+P41</f>
        <v>0</v>
      </c>
      <c r="Q47" s="8" t="n">
        <f aca="false">Q8+Q41</f>
        <v>0</v>
      </c>
      <c r="R47" s="8" t="n">
        <f aca="false">R8+R41</f>
        <v>368.5</v>
      </c>
      <c r="S47" s="8"/>
      <c r="T47" s="8" t="n">
        <f aca="false">T8+T41</f>
        <v>0</v>
      </c>
      <c r="U47" s="8" t="n">
        <f aca="false">U8+U41</f>
        <v>1198.45</v>
      </c>
      <c r="V47" s="8" t="n">
        <f aca="false">V39</f>
        <v>13717.1033148475</v>
      </c>
      <c r="W47" s="8" t="n">
        <f aca="false">W8+W41</f>
        <v>1690.95</v>
      </c>
      <c r="X47" s="8" t="n">
        <f aca="false">X8+X41</f>
        <v>766.486591023701</v>
      </c>
      <c r="Y47" s="8" t="n">
        <f aca="false">Y8+Y41</f>
        <v>2457.4365910237</v>
      </c>
      <c r="Z47" s="30" t="n">
        <f aca="false">Z8+Z41</f>
        <v>0.17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53</v>
      </c>
      <c r="B48" s="7"/>
      <c r="C48" s="8"/>
      <c r="D48" s="8" t="n">
        <f aca="false">D8+D42</f>
        <v>-704</v>
      </c>
      <c r="E48" s="8" t="n">
        <f aca="false">E39</f>
        <v>160881</v>
      </c>
      <c r="F48" s="8" t="n">
        <f aca="false">F47*$D$2</f>
        <v>-704</v>
      </c>
      <c r="G48" s="8" t="n">
        <f aca="false">G47*$D$2</f>
        <v>3558.8901</v>
      </c>
      <c r="H48" s="12" t="n">
        <f aca="false">H47*$D$2</f>
        <v>0</v>
      </c>
      <c r="I48" s="8" t="n">
        <f aca="false">I47*$D$2</f>
        <v>3558.6918</v>
      </c>
      <c r="J48" s="8" t="n">
        <f aca="false">J47*$D$2</f>
        <v>610.40496</v>
      </c>
      <c r="K48" s="8" t="n">
        <f aca="false">K47*$D$2</f>
        <v>4169.09676</v>
      </c>
      <c r="L48" s="8" t="n">
        <f aca="false">L47*$D$2</f>
        <v>-909.53795</v>
      </c>
      <c r="M48" s="8" t="n">
        <f aca="false">M47*$D$2</f>
        <v>976.6275</v>
      </c>
      <c r="N48" s="8"/>
      <c r="O48" s="8"/>
      <c r="P48" s="8" t="n">
        <f aca="false">P47*$D$2</f>
        <v>0</v>
      </c>
      <c r="Q48" s="8" t="n">
        <f aca="false">Q47*$D$2</f>
        <v>0</v>
      </c>
      <c r="R48" s="8" t="n">
        <f aca="false">R47*$D$2</f>
        <v>730.7355</v>
      </c>
      <c r="S48" s="8" t="n">
        <f aca="false">S47*$D$2</f>
        <v>0</v>
      </c>
      <c r="T48" s="8" t="n">
        <f aca="false">T47*$D$2</f>
        <v>0</v>
      </c>
      <c r="U48" s="8" t="n">
        <f aca="false">U47*$D$2</f>
        <v>2376.52635</v>
      </c>
      <c r="V48" s="8" t="n">
        <f aca="false">V47*$D$2</f>
        <v>27201.0158733426</v>
      </c>
      <c r="W48" s="8" t="n">
        <f aca="false">W47*$D$2</f>
        <v>3353.15385</v>
      </c>
      <c r="X48" s="8" t="n">
        <f aca="false">X47*$D$2</f>
        <v>1519.94291</v>
      </c>
      <c r="Y48" s="8" t="n">
        <f aca="false">Y47*$D$2</f>
        <v>4873.09676</v>
      </c>
      <c r="Z48" s="11"/>
      <c r="AA48" s="12"/>
      <c r="AB48" s="12"/>
      <c r="AC48" s="13"/>
      <c r="AD48" s="14"/>
      <c r="AE48" s="14"/>
    </row>
    <row r="49" customFormat="false" ht="11.1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/>
      <c r="B50" s="42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/>
      <c r="C51" s="8"/>
      <c r="D51" s="40"/>
      <c r="E51" s="8"/>
      <c r="F51" s="7"/>
      <c r="G51" s="7"/>
      <c r="H51" s="40"/>
      <c r="I51" s="9"/>
      <c r="J51" s="7"/>
      <c r="K51" s="43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40"/>
      <c r="S52" s="8"/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/>
      <c r="C53" s="8"/>
      <c r="D53" s="8"/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/>
      <c r="S53" s="8"/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/>
      <c r="S54" s="8"/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</sheetData>
  <mergeCells count="1"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54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55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55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NOV!$B$39:$C$39</f>
        <v>6907.7</v>
      </c>
      <c r="C8" s="54" t="n">
        <v>312881</v>
      </c>
      <c r="D8" s="54" t="n">
        <f aca="false" t="array" ref="D8:E8">NOV!$D$48:$E$48</f>
        <v>-704</v>
      </c>
      <c r="E8" s="54" t="n">
        <v>160881</v>
      </c>
      <c r="F8" s="54" t="n">
        <f aca="false" t="array" ref="F8:Z8">NOV!$F$47:$Z$47</f>
        <v>-355.017650025214</v>
      </c>
      <c r="G8" s="54" t="n">
        <v>1794.7</v>
      </c>
      <c r="H8" s="58" t="n">
        <v>0</v>
      </c>
      <c r="I8" s="54" t="n">
        <v>1794.6</v>
      </c>
      <c r="J8" s="54" t="n">
        <v>307.818940998487</v>
      </c>
      <c r="K8" s="54" t="n">
        <v>2102.41894099849</v>
      </c>
      <c r="L8" s="54" t="n">
        <v>-458.667650025214</v>
      </c>
      <c r="M8" s="54" t="n">
        <v>492.5</v>
      </c>
      <c r="N8" s="54" t="n">
        <v>0</v>
      </c>
      <c r="O8" s="54" t="n">
        <v>0</v>
      </c>
      <c r="P8" s="54" t="n">
        <v>0</v>
      </c>
      <c r="Q8" s="54" t="n">
        <v>0</v>
      </c>
      <c r="R8" s="54" t="n">
        <v>368.5</v>
      </c>
      <c r="S8" s="54" t="n">
        <v>0</v>
      </c>
      <c r="T8" s="54" t="n">
        <v>0</v>
      </c>
      <c r="U8" s="54" t="n">
        <v>1198.45</v>
      </c>
      <c r="V8" s="54" t="n">
        <v>13717.1033148475</v>
      </c>
      <c r="W8" s="54" t="n">
        <v>1690.95</v>
      </c>
      <c r="X8" s="54" t="n">
        <v>766.486591023701</v>
      </c>
      <c r="Y8" s="54" t="n">
        <v>2457.4365910237</v>
      </c>
      <c r="Z8" s="77" t="n">
        <v>0.17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6907.7</v>
      </c>
      <c r="C10" s="54" t="n">
        <v>312881</v>
      </c>
      <c r="D10" s="58" t="n">
        <f aca="false">C10-C8</f>
        <v>0</v>
      </c>
      <c r="E10" s="54" t="n">
        <f aca="false">C10-152000</f>
        <v>160881</v>
      </c>
      <c r="F10" s="53" t="n">
        <f aca="false">D10/$D$2</f>
        <v>0</v>
      </c>
      <c r="G10" s="53" t="n">
        <v>130.442985375693</v>
      </c>
      <c r="H10" s="55" t="n">
        <v>0</v>
      </c>
      <c r="I10" s="53" t="n">
        <f aca="false">G10+H10</f>
        <v>130.442985375693</v>
      </c>
      <c r="J10" s="77" t="n">
        <f aca="false">IF(L10&gt;0,L10,0)</f>
        <v>0</v>
      </c>
      <c r="K10" s="53" t="n">
        <f aca="false">I10+J10</f>
        <v>130.442985375693</v>
      </c>
      <c r="L10" s="53" t="n">
        <f aca="false">F10-(I10-W10)</f>
        <v>-87.1229853756934</v>
      </c>
      <c r="M10" s="53" t="n">
        <v>3.72</v>
      </c>
      <c r="N10" s="53" t="n">
        <v>0</v>
      </c>
      <c r="O10" s="53" t="n">
        <f aca="false">M10-N10</f>
        <v>3.72</v>
      </c>
      <c r="P10" s="53" t="n">
        <v>0</v>
      </c>
      <c r="Q10" s="53" t="n">
        <v>0</v>
      </c>
      <c r="R10" s="53" t="n">
        <f aca="false">SUM(O10:Q10)</f>
        <v>3.72</v>
      </c>
      <c r="S10" s="54"/>
      <c r="T10" s="53" t="n">
        <v>0</v>
      </c>
      <c r="U10" s="53" t="n">
        <v>39.6</v>
      </c>
      <c r="V10" s="54" t="n">
        <f aca="false">V8-U10</f>
        <v>13677.5033148475</v>
      </c>
      <c r="W10" s="53" t="n">
        <f aca="false">R10+T10+N10+U10</f>
        <v>43.32</v>
      </c>
      <c r="X10" s="53" t="n">
        <f aca="false">IF(L10&lt;0,L10*-1,0)</f>
        <v>87.1229853756934</v>
      </c>
      <c r="Y10" s="53" t="n">
        <f aca="false">W10+X10</f>
        <v>130.442985375693</v>
      </c>
      <c r="Z10" s="57" t="n">
        <v>0</v>
      </c>
      <c r="AA10" s="58" t="n">
        <v>61</v>
      </c>
      <c r="AB10" s="58" t="n">
        <v>29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6907.7</v>
      </c>
      <c r="C11" s="54" t="n">
        <v>312881</v>
      </c>
      <c r="D11" s="58" t="n">
        <f aca="false">C11-C10</f>
        <v>0</v>
      </c>
      <c r="E11" s="54" t="n">
        <f aca="false">C11-152000</f>
        <v>160881</v>
      </c>
      <c r="F11" s="53" t="n">
        <f aca="false">D11/$D$2</f>
        <v>0</v>
      </c>
      <c r="G11" s="53" t="n">
        <v>39.47</v>
      </c>
      <c r="H11" s="55" t="n">
        <v>0</v>
      </c>
      <c r="I11" s="53" t="n">
        <f aca="false">G11+H11</f>
        <v>39.47</v>
      </c>
      <c r="J11" s="77" t="n">
        <f aca="false">IF(L11&gt;0,L11,0)</f>
        <v>3.85</v>
      </c>
      <c r="K11" s="53" t="n">
        <f aca="false">I11+J11</f>
        <v>43.32</v>
      </c>
      <c r="L11" s="53" t="n">
        <f aca="false">F11-(I11-W11)</f>
        <v>3.85</v>
      </c>
      <c r="M11" s="53" t="n">
        <v>3.72</v>
      </c>
      <c r="N11" s="53" t="n">
        <v>0</v>
      </c>
      <c r="O11" s="53" t="n">
        <f aca="false">M11-N11</f>
        <v>3.72</v>
      </c>
      <c r="P11" s="53" t="n">
        <v>0</v>
      </c>
      <c r="Q11" s="53" t="n">
        <v>0</v>
      </c>
      <c r="R11" s="53" t="n">
        <f aca="false">SUM(O11:Q11)</f>
        <v>3.72</v>
      </c>
      <c r="S11" s="54"/>
      <c r="T11" s="53" t="n">
        <v>0</v>
      </c>
      <c r="U11" s="53" t="n">
        <v>39.6</v>
      </c>
      <c r="V11" s="54" t="n">
        <f aca="false">V10-U11</f>
        <v>13637.9033148475</v>
      </c>
      <c r="W11" s="53" t="n">
        <f aca="false">R11+T11+N11+U11</f>
        <v>43.32</v>
      </c>
      <c r="X11" s="53" t="n">
        <f aca="false">IF(L11&lt;0,L11*-1,0)</f>
        <v>0</v>
      </c>
      <c r="Y11" s="53" t="n">
        <f aca="false">W11+X11</f>
        <v>43.32</v>
      </c>
      <c r="Z11" s="57" t="n">
        <v>0</v>
      </c>
      <c r="AA11" s="58" t="n">
        <v>60</v>
      </c>
      <c r="AB11" s="58" t="n">
        <v>28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6907.7</v>
      </c>
      <c r="C12" s="54" t="n">
        <v>312881</v>
      </c>
      <c r="D12" s="58" t="n">
        <f aca="false">C12-C11</f>
        <v>0</v>
      </c>
      <c r="E12" s="54" t="n">
        <f aca="false">C12-152000</f>
        <v>160881</v>
      </c>
      <c r="F12" s="53" t="n">
        <f aca="false">D12/$D$2</f>
        <v>0</v>
      </c>
      <c r="G12" s="53" t="n">
        <v>39.6</v>
      </c>
      <c r="H12" s="55" t="n">
        <v>0</v>
      </c>
      <c r="I12" s="53" t="n">
        <f aca="false">G12+H12</f>
        <v>39.6</v>
      </c>
      <c r="J12" s="77" t="n">
        <f aca="false">IF(L12&gt;0,L12,0)</f>
        <v>3.72</v>
      </c>
      <c r="K12" s="53" t="n">
        <f aca="false">I12+J12</f>
        <v>43.32</v>
      </c>
      <c r="L12" s="53" t="n">
        <f aca="false">F12-(I12-W12)</f>
        <v>3.72</v>
      </c>
      <c r="M12" s="53" t="n">
        <v>3.72</v>
      </c>
      <c r="N12" s="53" t="n">
        <v>0</v>
      </c>
      <c r="O12" s="53" t="n">
        <f aca="false">M12-N12</f>
        <v>3.72</v>
      </c>
      <c r="P12" s="53" t="n">
        <v>0</v>
      </c>
      <c r="Q12" s="53" t="n">
        <v>0</v>
      </c>
      <c r="R12" s="53" t="n">
        <f aca="false">SUM(O12:Q12)</f>
        <v>3.72</v>
      </c>
      <c r="S12" s="54"/>
      <c r="T12" s="53" t="n">
        <v>0</v>
      </c>
      <c r="U12" s="53" t="n">
        <v>39.6</v>
      </c>
      <c r="V12" s="54" t="n">
        <f aca="false">V11-U12</f>
        <v>13598.3033148475</v>
      </c>
      <c r="W12" s="53" t="n">
        <f aca="false">R12+T12+N12+U12</f>
        <v>43.32</v>
      </c>
      <c r="X12" s="53" t="n">
        <f aca="false">IF(L12&lt;0,L12*-1,0)</f>
        <v>0</v>
      </c>
      <c r="Y12" s="53" t="n">
        <f aca="false">W12+X12</f>
        <v>43.32</v>
      </c>
      <c r="Z12" s="57" t="n">
        <v>0</v>
      </c>
      <c r="AA12" s="58" t="n">
        <v>58</v>
      </c>
      <c r="AB12" s="58" t="n">
        <v>29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6907.71</v>
      </c>
      <c r="C13" s="54" t="n">
        <v>312920</v>
      </c>
      <c r="D13" s="58" t="n">
        <f aca="false">C13-C12</f>
        <v>39</v>
      </c>
      <c r="E13" s="54" t="n">
        <f aca="false">C13-152000</f>
        <v>160920</v>
      </c>
      <c r="F13" s="53" t="n">
        <f aca="false">D13/$D$2</f>
        <v>19.6671709531014</v>
      </c>
      <c r="G13" s="53" t="n">
        <v>75.4343368633384</v>
      </c>
      <c r="H13" s="55" t="n">
        <v>0</v>
      </c>
      <c r="I13" s="53" t="n">
        <f aca="false">G13+H13</f>
        <v>75.4343368633384</v>
      </c>
      <c r="J13" s="77" t="n">
        <f aca="false">IF(L13&gt;0,L13,0)</f>
        <v>0</v>
      </c>
      <c r="K13" s="53" t="n">
        <f aca="false">I13+J13</f>
        <v>75.4343368633384</v>
      </c>
      <c r="L13" s="53" t="n">
        <f aca="false">F13-(I13-W13)</f>
        <v>-11.527165910237</v>
      </c>
      <c r="M13" s="53" t="n">
        <v>4.64</v>
      </c>
      <c r="N13" s="53" t="n">
        <v>0</v>
      </c>
      <c r="O13" s="53" t="n">
        <f aca="false">M13-N13</f>
        <v>4.64</v>
      </c>
      <c r="P13" s="53" t="n">
        <v>0</v>
      </c>
      <c r="Q13" s="53" t="n">
        <v>0</v>
      </c>
      <c r="R13" s="53" t="n">
        <f aca="false">SUM(O13:Q13)</f>
        <v>4.64</v>
      </c>
      <c r="S13" s="54"/>
      <c r="T13" s="53" t="n">
        <v>0</v>
      </c>
      <c r="U13" s="53" t="n">
        <v>39.6</v>
      </c>
      <c r="V13" s="54" t="n">
        <f aca="false">V12-U13</f>
        <v>13558.7033148475</v>
      </c>
      <c r="W13" s="53" t="n">
        <f aca="false">R13+T13+N13+U13</f>
        <v>44.24</v>
      </c>
      <c r="X13" s="53" t="n">
        <f aca="false">IF(L13&lt;0,L13*-1,0)</f>
        <v>11.527165910237</v>
      </c>
      <c r="Y13" s="53" t="n">
        <f aca="false">W13+X13</f>
        <v>55.767165910237</v>
      </c>
      <c r="Z13" s="57" t="n">
        <v>0</v>
      </c>
      <c r="AA13" s="58" t="n">
        <v>54</v>
      </c>
      <c r="AB13" s="58" t="n">
        <v>32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6907.7</v>
      </c>
      <c r="C14" s="54" t="n">
        <v>312881</v>
      </c>
      <c r="D14" s="58" t="n">
        <f aca="false">C14-C13</f>
        <v>-39</v>
      </c>
      <c r="E14" s="54" t="n">
        <f aca="false">C14-152000</f>
        <v>160881</v>
      </c>
      <c r="F14" s="53" t="n">
        <f aca="false">D14/$D$2</f>
        <v>-19.6671709531014</v>
      </c>
      <c r="G14" s="53" t="n">
        <v>236.835995965709</v>
      </c>
      <c r="H14" s="55" t="n">
        <v>0</v>
      </c>
      <c r="I14" s="53" t="n">
        <f aca="false">G14+H14</f>
        <v>236.835995965709</v>
      </c>
      <c r="J14" s="77" t="n">
        <f aca="false">IF(L14&gt;0,L14,0)</f>
        <v>0</v>
      </c>
      <c r="K14" s="53" t="n">
        <f aca="false">I14+J14</f>
        <v>236.835995965709</v>
      </c>
      <c r="L14" s="53" t="n">
        <f aca="false">F14-(I14-W14)</f>
        <v>-211.55316691881</v>
      </c>
      <c r="M14" s="53" t="n">
        <v>5.35</v>
      </c>
      <c r="N14" s="53" t="n">
        <v>0</v>
      </c>
      <c r="O14" s="53" t="n">
        <f aca="false">M14-N14</f>
        <v>5.35</v>
      </c>
      <c r="P14" s="53" t="n">
        <v>0</v>
      </c>
      <c r="Q14" s="53" t="n">
        <v>0</v>
      </c>
      <c r="R14" s="53" t="n">
        <f aca="false">SUM(O14:Q14)</f>
        <v>5.35</v>
      </c>
      <c r="S14" s="54"/>
      <c r="T14" s="53" t="n">
        <v>0</v>
      </c>
      <c r="U14" s="53" t="n">
        <v>39.6</v>
      </c>
      <c r="V14" s="54" t="n">
        <f aca="false">V13-U14</f>
        <v>13519.1033148475</v>
      </c>
      <c r="W14" s="53" t="n">
        <f aca="false">R14+T14+N14+U14</f>
        <v>44.95</v>
      </c>
      <c r="X14" s="53" t="n">
        <f aca="false">IF(L14&lt;0,L14*-1,0)</f>
        <v>211.55316691881</v>
      </c>
      <c r="Y14" s="53" t="n">
        <f aca="false">W14+X14</f>
        <v>256.50316691881</v>
      </c>
      <c r="Z14" s="57" t="n">
        <v>0</v>
      </c>
      <c r="AA14" s="58" t="n">
        <v>58</v>
      </c>
      <c r="AB14" s="58" t="n">
        <v>31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6907.69</v>
      </c>
      <c r="C15" s="54" t="n">
        <v>312841</v>
      </c>
      <c r="D15" s="58" t="n">
        <f aca="false">C15-C14</f>
        <v>-40</v>
      </c>
      <c r="E15" s="54" t="n">
        <f aca="false">C15-152000</f>
        <v>160841</v>
      </c>
      <c r="F15" s="53" t="n">
        <f aca="false">D15/$D$2</f>
        <v>-20.1714573877963</v>
      </c>
      <c r="G15" s="53" t="n">
        <v>40.05</v>
      </c>
      <c r="H15" s="55" t="n">
        <v>0</v>
      </c>
      <c r="I15" s="53" t="n">
        <f aca="false">G15+H15</f>
        <v>40.05</v>
      </c>
      <c r="J15" s="77" t="n">
        <f aca="false">IF(L15&gt;0,L15,0)</f>
        <v>0</v>
      </c>
      <c r="K15" s="53" t="n">
        <f aca="false">I15+J15</f>
        <v>40.05</v>
      </c>
      <c r="L15" s="53" t="n">
        <f aca="false">F15-(I15-W15)</f>
        <v>-14.7314573877963</v>
      </c>
      <c r="M15" s="53" t="n">
        <v>5.89</v>
      </c>
      <c r="N15" s="53" t="n">
        <v>0</v>
      </c>
      <c r="O15" s="53" t="n">
        <f aca="false">M15-N15</f>
        <v>5.89</v>
      </c>
      <c r="P15" s="53" t="n">
        <v>0</v>
      </c>
      <c r="Q15" s="53" t="n">
        <v>0</v>
      </c>
      <c r="R15" s="53" t="n">
        <f aca="false">SUM(O15:Q15)</f>
        <v>5.89</v>
      </c>
      <c r="S15" s="54"/>
      <c r="T15" s="53" t="n">
        <v>0</v>
      </c>
      <c r="U15" s="53" t="n">
        <v>39.6</v>
      </c>
      <c r="V15" s="54" t="n">
        <f aca="false">V14-U15</f>
        <v>13479.5033148475</v>
      </c>
      <c r="W15" s="53" t="n">
        <f aca="false">R15+T15+N15+U15</f>
        <v>45.49</v>
      </c>
      <c r="X15" s="53" t="n">
        <f aca="false">IF(L15&lt;0,L15*-1,0)</f>
        <v>14.7314573877963</v>
      </c>
      <c r="Y15" s="53" t="n">
        <f aca="false">W15+X15</f>
        <v>60.2214573877963</v>
      </c>
      <c r="Z15" s="57" t="n">
        <v>0</v>
      </c>
      <c r="AA15" s="58" t="n">
        <v>54</v>
      </c>
      <c r="AB15" s="58" t="n">
        <v>32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6907.69</v>
      </c>
      <c r="C16" s="54" t="n">
        <v>312841</v>
      </c>
      <c r="D16" s="58" t="n">
        <f aca="false">C16-C15</f>
        <v>0</v>
      </c>
      <c r="E16" s="54" t="n">
        <f aca="false">C16-152000</f>
        <v>160841</v>
      </c>
      <c r="F16" s="53" t="n">
        <f aca="false">D16/$D$2</f>
        <v>0</v>
      </c>
      <c r="G16" s="53" t="n">
        <v>129.957271810388</v>
      </c>
      <c r="H16" s="55" t="n">
        <v>0</v>
      </c>
      <c r="I16" s="53" t="n">
        <f aca="false">G16+H16</f>
        <v>129.957271810388</v>
      </c>
      <c r="J16" s="77" t="n">
        <f aca="false">IF(L16&gt;0,L16,0)</f>
        <v>0</v>
      </c>
      <c r="K16" s="53" t="n">
        <f aca="false">I16+J16</f>
        <v>129.957271810388</v>
      </c>
      <c r="L16" s="53" t="n">
        <f aca="false">F16-(I16-W16)</f>
        <v>-85.1572718103883</v>
      </c>
      <c r="M16" s="53" t="n">
        <v>5.2</v>
      </c>
      <c r="N16" s="53" t="n">
        <v>0</v>
      </c>
      <c r="O16" s="53" t="n">
        <f aca="false">M16-N16</f>
        <v>5.2</v>
      </c>
      <c r="P16" s="53" t="n">
        <v>0</v>
      </c>
      <c r="Q16" s="53" t="n">
        <v>0</v>
      </c>
      <c r="R16" s="53" t="n">
        <f aca="false">SUM(O16:Q16)</f>
        <v>5.2</v>
      </c>
      <c r="S16" s="54"/>
      <c r="T16" s="53" t="n">
        <v>0</v>
      </c>
      <c r="U16" s="53" t="n">
        <v>39.6</v>
      </c>
      <c r="V16" s="54" t="n">
        <f aca="false">V15-U16</f>
        <v>13439.9033148475</v>
      </c>
      <c r="W16" s="53" t="n">
        <f aca="false">R16+T16+N16+U16</f>
        <v>44.8</v>
      </c>
      <c r="X16" s="53" t="n">
        <f aca="false">IF(L16&lt;0,L16*-1,0)</f>
        <v>85.1572718103883</v>
      </c>
      <c r="Y16" s="53" t="n">
        <f aca="false">W16+X16</f>
        <v>129.957271810388</v>
      </c>
      <c r="Z16" s="57" t="n">
        <v>0</v>
      </c>
      <c r="AA16" s="58" t="n">
        <v>53</v>
      </c>
      <c r="AB16" s="58" t="n">
        <v>31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6907.69</v>
      </c>
      <c r="C17" s="54" t="n">
        <v>312841</v>
      </c>
      <c r="D17" s="58" t="n">
        <f aca="false">C17-C16</f>
        <v>0</v>
      </c>
      <c r="E17" s="54" t="n">
        <f aca="false">C17-152000</f>
        <v>160841</v>
      </c>
      <c r="F17" s="53" t="n">
        <f aca="false">D17/$D$2</f>
        <v>0</v>
      </c>
      <c r="G17" s="53" t="n">
        <v>3.85566313666162</v>
      </c>
      <c r="H17" s="55" t="n">
        <v>0</v>
      </c>
      <c r="I17" s="53" t="n">
        <f aca="false">G17+H17</f>
        <v>3.85566313666162</v>
      </c>
      <c r="J17" s="77" t="n">
        <f aca="false">IF(L17&gt;0,L17,0)</f>
        <v>40.5043368633384</v>
      </c>
      <c r="K17" s="53" t="n">
        <f aca="false">I17+J17</f>
        <v>44.36</v>
      </c>
      <c r="L17" s="53" t="n">
        <f aca="false">F17-(I17-W17)</f>
        <v>40.5043368633384</v>
      </c>
      <c r="M17" s="53" t="n">
        <v>4.76</v>
      </c>
      <c r="N17" s="53" t="n">
        <v>0</v>
      </c>
      <c r="O17" s="53" t="n">
        <f aca="false">M17-N17</f>
        <v>4.76</v>
      </c>
      <c r="P17" s="53" t="n">
        <v>0</v>
      </c>
      <c r="Q17" s="53" t="n">
        <v>0</v>
      </c>
      <c r="R17" s="53" t="n">
        <f aca="false">SUM(O17:Q17)</f>
        <v>4.76</v>
      </c>
      <c r="S17" s="54"/>
      <c r="T17" s="53" t="n">
        <v>0</v>
      </c>
      <c r="U17" s="53" t="n">
        <v>39.6</v>
      </c>
      <c r="V17" s="54" t="n">
        <f aca="false">V16-U17</f>
        <v>13400.3033148475</v>
      </c>
      <c r="W17" s="53" t="n">
        <f aca="false">R17+T17+N17+U17</f>
        <v>44.36</v>
      </c>
      <c r="X17" s="53" t="n">
        <f aca="false">IF(L17&lt;0,L17*-1,0)</f>
        <v>0</v>
      </c>
      <c r="Y17" s="53" t="n">
        <f aca="false">W17+X17</f>
        <v>44.36</v>
      </c>
      <c r="Z17" s="57" t="n">
        <v>0</v>
      </c>
      <c r="AA17" s="58" t="n">
        <v>51</v>
      </c>
      <c r="AB17" s="58" t="n">
        <v>28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6907.69</v>
      </c>
      <c r="C18" s="54" t="n">
        <v>312841</v>
      </c>
      <c r="D18" s="58" t="n">
        <f aca="false">C18-C17</f>
        <v>0</v>
      </c>
      <c r="E18" s="54" t="n">
        <f aca="false">C18-152000</f>
        <v>160841</v>
      </c>
      <c r="F18" s="53" t="n">
        <f aca="false">D18/$D$2</f>
        <v>0</v>
      </c>
      <c r="G18" s="53" t="n">
        <v>21.0014019162884</v>
      </c>
      <c r="H18" s="55" t="n">
        <v>0</v>
      </c>
      <c r="I18" s="53" t="n">
        <f aca="false">G18+H18</f>
        <v>21.0014019162884</v>
      </c>
      <c r="J18" s="77" t="n">
        <f aca="false">IF(L18&gt;0,L18,0)</f>
        <v>23.3585980837115</v>
      </c>
      <c r="K18" s="53" t="n">
        <f aca="false">I18+J18</f>
        <v>44.36</v>
      </c>
      <c r="L18" s="53" t="n">
        <f aca="false">F18-(I18-W18)</f>
        <v>23.3585980837115</v>
      </c>
      <c r="M18" s="53" t="n">
        <v>4.76</v>
      </c>
      <c r="N18" s="53" t="n">
        <v>0</v>
      </c>
      <c r="O18" s="53" t="n">
        <f aca="false">M18-N18</f>
        <v>4.76</v>
      </c>
      <c r="P18" s="53" t="n">
        <v>0</v>
      </c>
      <c r="Q18" s="53" t="n">
        <v>0</v>
      </c>
      <c r="R18" s="53" t="n">
        <f aca="false">SUM(O18:Q18)</f>
        <v>4.76</v>
      </c>
      <c r="S18" s="54"/>
      <c r="T18" s="53" t="n">
        <v>0</v>
      </c>
      <c r="U18" s="53" t="n">
        <v>39.6</v>
      </c>
      <c r="V18" s="54" t="n">
        <f aca="false">V17-U18</f>
        <v>13360.7033148475</v>
      </c>
      <c r="W18" s="53" t="n">
        <f aca="false">R18+T18+N18+U18</f>
        <v>44.36</v>
      </c>
      <c r="X18" s="53" t="n">
        <f aca="false">IF(L18&lt;0,L18*-1,0)</f>
        <v>0</v>
      </c>
      <c r="Y18" s="53" t="n">
        <f aca="false">W18+X18</f>
        <v>44.36</v>
      </c>
      <c r="Z18" s="57" t="n">
        <v>0</v>
      </c>
      <c r="AA18" s="86" t="n">
        <v>53</v>
      </c>
      <c r="AB18" s="58" t="n">
        <v>23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6907.69</v>
      </c>
      <c r="C19" s="54" t="n">
        <v>312841</v>
      </c>
      <c r="D19" s="58" t="n">
        <f aca="false">C19-C18</f>
        <v>0</v>
      </c>
      <c r="E19" s="54" t="n">
        <f aca="false">C19-152000</f>
        <v>160841</v>
      </c>
      <c r="F19" s="53" t="n">
        <f aca="false">D19/$D$2</f>
        <v>0</v>
      </c>
      <c r="G19" s="53" t="n">
        <v>58.3185980837115</v>
      </c>
      <c r="H19" s="55" t="n">
        <v>0</v>
      </c>
      <c r="I19" s="53" t="n">
        <f aca="false">G19+H19</f>
        <v>58.3185980837115</v>
      </c>
      <c r="J19" s="77" t="n">
        <f aca="false">IF(L19&gt;0,L19,0)</f>
        <v>0</v>
      </c>
      <c r="K19" s="53" t="n">
        <f aca="false">I19+J19</f>
        <v>58.3185980837115</v>
      </c>
      <c r="L19" s="53" t="n">
        <f aca="false">F19-(I19-W19)</f>
        <v>-13.9585980837115</v>
      </c>
      <c r="M19" s="53" t="n">
        <v>4.76</v>
      </c>
      <c r="N19" s="53" t="n">
        <v>0</v>
      </c>
      <c r="O19" s="53" t="n">
        <f aca="false">M19-N19</f>
        <v>4.76</v>
      </c>
      <c r="P19" s="53" t="n">
        <v>0</v>
      </c>
      <c r="Q19" s="53" t="n">
        <v>0</v>
      </c>
      <c r="R19" s="53" t="n">
        <f aca="false">SUM(O19:Q19)</f>
        <v>4.76</v>
      </c>
      <c r="S19" s="54"/>
      <c r="T19" s="53" t="n">
        <v>0</v>
      </c>
      <c r="U19" s="53" t="n">
        <v>39.6</v>
      </c>
      <c r="V19" s="54" t="n">
        <f aca="false">V18-U19</f>
        <v>13321.1033148475</v>
      </c>
      <c r="W19" s="53" t="n">
        <f aca="false">R19+T19+N19+U19</f>
        <v>44.36</v>
      </c>
      <c r="X19" s="53" t="n">
        <f aca="false">IF(L19&lt;0,L19*-1,0)</f>
        <v>13.9585980837115</v>
      </c>
      <c r="Y19" s="53" t="n">
        <f aca="false">W19+X19</f>
        <v>58.3185980837115</v>
      </c>
      <c r="Z19" s="57" t="n">
        <v>0</v>
      </c>
      <c r="AA19" s="58" t="n">
        <v>55</v>
      </c>
      <c r="AB19" s="58" t="n">
        <v>24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6907.7</v>
      </c>
      <c r="C20" s="54" t="n">
        <v>312881</v>
      </c>
      <c r="D20" s="58" t="n">
        <f aca="false">C20-C19</f>
        <v>40</v>
      </c>
      <c r="E20" s="54" t="n">
        <f aca="false">C20-152000</f>
        <v>160881</v>
      </c>
      <c r="F20" s="53" t="n">
        <f aca="false">D20/$D$2</f>
        <v>20.1714573877963</v>
      </c>
      <c r="G20" s="53" t="n">
        <v>21.0014019162884</v>
      </c>
      <c r="H20" s="55" t="n">
        <v>0</v>
      </c>
      <c r="I20" s="53" t="n">
        <f aca="false">G20+H20</f>
        <v>21.0014019162884</v>
      </c>
      <c r="J20" s="77" t="n">
        <f aca="false">IF(L20&gt;0,L20,0)</f>
        <v>43.5300554715078</v>
      </c>
      <c r="K20" s="53" t="n">
        <f aca="false">I20+J20</f>
        <v>64.5314573877963</v>
      </c>
      <c r="L20" s="53" t="n">
        <f aca="false">F20-(I20-W20)</f>
        <v>43.5300554715078</v>
      </c>
      <c r="M20" s="53" t="n">
        <v>4.76</v>
      </c>
      <c r="N20" s="53" t="n">
        <v>0</v>
      </c>
      <c r="O20" s="53" t="n">
        <f aca="false">M20-N20</f>
        <v>4.76</v>
      </c>
      <c r="P20" s="53" t="n">
        <v>0</v>
      </c>
      <c r="Q20" s="53" t="n">
        <v>0</v>
      </c>
      <c r="R20" s="53" t="n">
        <f aca="false">SUM(O20:Q20)</f>
        <v>4.76</v>
      </c>
      <c r="S20" s="54"/>
      <c r="T20" s="53" t="n">
        <v>0</v>
      </c>
      <c r="U20" s="53" t="n">
        <v>39.6</v>
      </c>
      <c r="V20" s="54" t="n">
        <f aca="false">V19-U20</f>
        <v>13281.5033148475</v>
      </c>
      <c r="W20" s="53" t="n">
        <f aca="false">R20+T20+N20+U20</f>
        <v>44.36</v>
      </c>
      <c r="X20" s="53" t="n">
        <f aca="false">IF(L20&lt;0,L20*-1,0)</f>
        <v>0</v>
      </c>
      <c r="Y20" s="53" t="n">
        <f aca="false">W20+X20</f>
        <v>44.36</v>
      </c>
      <c r="Z20" s="57" t="n">
        <v>0</v>
      </c>
      <c r="AA20" s="58" t="n">
        <v>56</v>
      </c>
      <c r="AB20" s="58" t="n">
        <v>21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6907.7</v>
      </c>
      <c r="C21" s="54" t="n">
        <v>312881</v>
      </c>
      <c r="D21" s="58" t="n">
        <f aca="false">C21-C20</f>
        <v>0</v>
      </c>
      <c r="E21" s="54" t="n">
        <f aca="false">C21-152000</f>
        <v>160881</v>
      </c>
      <c r="F21" s="53" t="n">
        <f aca="false">D21/$D$2</f>
        <v>0</v>
      </c>
      <c r="G21" s="53" t="n">
        <v>94.1229349470499</v>
      </c>
      <c r="H21" s="55" t="n">
        <v>0</v>
      </c>
      <c r="I21" s="53" t="n">
        <f aca="false">G21+H21</f>
        <v>94.1229349470499</v>
      </c>
      <c r="J21" s="77" t="n">
        <f aca="false">IF(L21&gt;0,L21,0)</f>
        <v>0</v>
      </c>
      <c r="K21" s="53" t="n">
        <f aca="false">I21+J21</f>
        <v>94.1229349470499</v>
      </c>
      <c r="L21" s="53" t="n">
        <f aca="false">F21-(I21-W21)</f>
        <v>-49.9729349470499</v>
      </c>
      <c r="M21" s="53" t="n">
        <v>4.55</v>
      </c>
      <c r="N21" s="53" t="n">
        <v>0</v>
      </c>
      <c r="O21" s="53" t="n">
        <f aca="false">M21-N21</f>
        <v>4.55</v>
      </c>
      <c r="P21" s="53" t="n">
        <v>0</v>
      </c>
      <c r="Q21" s="53" t="n">
        <v>0</v>
      </c>
      <c r="R21" s="53" t="n">
        <f aca="false">SUM(O21:Q21)</f>
        <v>4.55</v>
      </c>
      <c r="S21" s="54"/>
      <c r="T21" s="53" t="n">
        <v>0</v>
      </c>
      <c r="U21" s="53" t="n">
        <v>39.6</v>
      </c>
      <c r="V21" s="54" t="n">
        <f aca="false">V20-U21</f>
        <v>13241.9033148475</v>
      </c>
      <c r="W21" s="53" t="n">
        <f aca="false">R21+T21+N21+U21</f>
        <v>44.15</v>
      </c>
      <c r="X21" s="53" t="n">
        <f aca="false">IF(L21&lt;0,L21*-1,0)</f>
        <v>49.9729349470499</v>
      </c>
      <c r="Y21" s="53" t="n">
        <f aca="false">W21+X21</f>
        <v>94.1229349470499</v>
      </c>
      <c r="Z21" s="57" t="n">
        <v>0</v>
      </c>
      <c r="AA21" s="58" t="n">
        <v>54</v>
      </c>
      <c r="AB21" s="58" t="n">
        <v>34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6907.74</v>
      </c>
      <c r="C22" s="54" t="n">
        <v>313038</v>
      </c>
      <c r="D22" s="58" t="n">
        <f aca="false">C22-C21</f>
        <v>157</v>
      </c>
      <c r="E22" s="54" t="n">
        <f aca="false">C22-152000</f>
        <v>161038</v>
      </c>
      <c r="F22" s="53" t="n">
        <f aca="false">D22/$D$2</f>
        <v>79.1729702471004</v>
      </c>
      <c r="G22" s="53" t="n">
        <v>75.4643368633384</v>
      </c>
      <c r="H22" s="55" t="n">
        <v>0</v>
      </c>
      <c r="I22" s="53" t="n">
        <f aca="false">G22+H22</f>
        <v>75.4643368633384</v>
      </c>
      <c r="J22" s="77" t="n">
        <f aca="false">IF(L22&gt;0,L22,0)</f>
        <v>47.708633383762</v>
      </c>
      <c r="K22" s="53" t="n">
        <f aca="false">I22+J22</f>
        <v>123.1729702471</v>
      </c>
      <c r="L22" s="53" t="n">
        <f aca="false">F22-(I22-W22)</f>
        <v>47.708633383762</v>
      </c>
      <c r="M22" s="53" t="n">
        <v>4.4</v>
      </c>
      <c r="N22" s="53" t="n">
        <v>0</v>
      </c>
      <c r="O22" s="53" t="n">
        <f aca="false">M22-N22</f>
        <v>4.4</v>
      </c>
      <c r="P22" s="53" t="n">
        <v>0</v>
      </c>
      <c r="Q22" s="53" t="n">
        <v>0</v>
      </c>
      <c r="R22" s="53" t="n">
        <f aca="false">SUM(O22:Q22)</f>
        <v>4.4</v>
      </c>
      <c r="S22" s="54"/>
      <c r="T22" s="53" t="n">
        <v>0</v>
      </c>
      <c r="U22" s="53" t="n">
        <v>39.6</v>
      </c>
      <c r="V22" s="54" t="n">
        <f aca="false">V21-U22</f>
        <v>13202.3033148475</v>
      </c>
      <c r="W22" s="53" t="n">
        <f aca="false">R22+T22+N22+U22</f>
        <v>44</v>
      </c>
      <c r="X22" s="53" t="n">
        <f aca="false">IF(L22&lt;0,L22*-1,0)</f>
        <v>0</v>
      </c>
      <c r="Y22" s="53" t="n">
        <f aca="false">W22+X22</f>
        <v>44</v>
      </c>
      <c r="Z22" s="57" t="n">
        <v>0</v>
      </c>
      <c r="AA22" s="58" t="n">
        <v>50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6907.74</v>
      </c>
      <c r="C23" s="54" t="n">
        <v>313038</v>
      </c>
      <c r="D23" s="58" t="n">
        <f aca="false">C23-C22</f>
        <v>0</v>
      </c>
      <c r="E23" s="54" t="n">
        <f aca="false">C23-152000</f>
        <v>161038</v>
      </c>
      <c r="F23" s="53" t="n">
        <f aca="false">D23/$D$2</f>
        <v>0</v>
      </c>
      <c r="G23" s="53" t="n">
        <v>39.66</v>
      </c>
      <c r="H23" s="55" t="n">
        <v>0</v>
      </c>
      <c r="I23" s="53" t="n">
        <f aca="false">G23+H23</f>
        <v>39.66</v>
      </c>
      <c r="J23" s="77" t="n">
        <f aca="false">IF(L23&gt;0,L23,0)</f>
        <v>4.31</v>
      </c>
      <c r="K23" s="53" t="n">
        <f aca="false">I23+J23</f>
        <v>43.97</v>
      </c>
      <c r="L23" s="53" t="n">
        <f aca="false">F23-(I23-W23)</f>
        <v>4.31</v>
      </c>
      <c r="M23" s="53" t="n">
        <v>4.4</v>
      </c>
      <c r="N23" s="53" t="n">
        <v>0</v>
      </c>
      <c r="O23" s="53" t="n">
        <f aca="false">M23-N23</f>
        <v>4.4</v>
      </c>
      <c r="P23" s="53" t="n">
        <v>0</v>
      </c>
      <c r="Q23" s="53" t="n">
        <v>0</v>
      </c>
      <c r="R23" s="53" t="n">
        <f aca="false">SUM(O23:Q23)</f>
        <v>4.4</v>
      </c>
      <c r="S23" s="54"/>
      <c r="T23" s="53" t="n">
        <v>0</v>
      </c>
      <c r="U23" s="53" t="n">
        <v>39.57</v>
      </c>
      <c r="V23" s="54" t="n">
        <f aca="false">V22-U23</f>
        <v>13162.7333148475</v>
      </c>
      <c r="W23" s="53" t="n">
        <f aca="false">R23+T23+N23+U23</f>
        <v>43.97</v>
      </c>
      <c r="X23" s="53" t="n">
        <f aca="false">IF(L23&lt;0,L23*-1,0)</f>
        <v>0</v>
      </c>
      <c r="Y23" s="53" t="n">
        <f aca="false">W23+X23</f>
        <v>43.97</v>
      </c>
      <c r="Z23" s="57" t="n">
        <v>0</v>
      </c>
      <c r="AA23" s="86" t="n">
        <v>42</v>
      </c>
      <c r="AB23" s="58" t="n">
        <v>31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6907.74</v>
      </c>
      <c r="C24" s="54" t="n">
        <v>313038</v>
      </c>
      <c r="D24" s="58" t="n">
        <f aca="false">C24-C23</f>
        <v>0</v>
      </c>
      <c r="E24" s="54" t="n">
        <f aca="false">C24-152000</f>
        <v>161038</v>
      </c>
      <c r="F24" s="53" t="n">
        <f aca="false">D24/$D$2</f>
        <v>0</v>
      </c>
      <c r="G24" s="53" t="n">
        <v>37.26</v>
      </c>
      <c r="H24" s="55" t="n">
        <v>0</v>
      </c>
      <c r="I24" s="53" t="n">
        <f aca="false">G24+H24</f>
        <v>37.26</v>
      </c>
      <c r="J24" s="77" t="n">
        <f aca="false">IF(L24&gt;0,L24,0)</f>
        <v>6.57</v>
      </c>
      <c r="K24" s="53" t="n">
        <f aca="false">I24+J24</f>
        <v>43.83</v>
      </c>
      <c r="L24" s="53" t="n">
        <f aca="false">F24-(I24-W24)</f>
        <v>6.57</v>
      </c>
      <c r="M24" s="53" t="n">
        <v>4.4</v>
      </c>
      <c r="N24" s="53" t="n">
        <v>0</v>
      </c>
      <c r="O24" s="53" t="n">
        <f aca="false">M24-N24</f>
        <v>4.4</v>
      </c>
      <c r="P24" s="53" t="n">
        <v>0</v>
      </c>
      <c r="Q24" s="53" t="n">
        <v>0</v>
      </c>
      <c r="R24" s="53" t="n">
        <f aca="false">SUM(O24:Q24)</f>
        <v>4.4</v>
      </c>
      <c r="S24" s="54"/>
      <c r="T24" s="53" t="n">
        <v>0</v>
      </c>
      <c r="U24" s="53" t="n">
        <v>39.43</v>
      </c>
      <c r="V24" s="54" t="n">
        <f aca="false">V23-U24</f>
        <v>13123.3033148475</v>
      </c>
      <c r="W24" s="53" t="n">
        <f aca="false">R24+T24+N24+U24</f>
        <v>43.83</v>
      </c>
      <c r="X24" s="53" t="n">
        <f aca="false">IF(L24&lt;0,L24*-1,0)</f>
        <v>0</v>
      </c>
      <c r="Y24" s="53" t="n">
        <f aca="false">W24+X24</f>
        <v>43.83</v>
      </c>
      <c r="Z24" s="57" t="n">
        <v>0</v>
      </c>
      <c r="AA24" s="86" t="n">
        <v>55</v>
      </c>
      <c r="AB24" s="58" t="n">
        <v>22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6907.74</v>
      </c>
      <c r="C25" s="54" t="n">
        <v>313038</v>
      </c>
      <c r="D25" s="58" t="n">
        <f aca="false">C25-C24</f>
        <v>0</v>
      </c>
      <c r="E25" s="54" t="n">
        <f aca="false">C25-152000</f>
        <v>161038</v>
      </c>
      <c r="F25" s="53" t="n">
        <f aca="false">D25/$D$2</f>
        <v>0</v>
      </c>
      <c r="G25" s="53" t="n">
        <v>34.46</v>
      </c>
      <c r="H25" s="55" t="n">
        <v>0</v>
      </c>
      <c r="I25" s="53" t="n">
        <f aca="false">G25+H25</f>
        <v>34.46</v>
      </c>
      <c r="J25" s="77" t="n">
        <f aca="false">IF(L25&gt;0,L25,0)</f>
        <v>8.84</v>
      </c>
      <c r="K25" s="53" t="n">
        <f aca="false">I25+J25</f>
        <v>43.3</v>
      </c>
      <c r="L25" s="53" t="n">
        <f aca="false">F25-(I25-W25)</f>
        <v>8.84</v>
      </c>
      <c r="M25" s="53" t="n">
        <v>4.4</v>
      </c>
      <c r="N25" s="53" t="n">
        <v>0</v>
      </c>
      <c r="O25" s="53" t="n">
        <f aca="false">M25-N25</f>
        <v>4.4</v>
      </c>
      <c r="P25" s="53" t="n">
        <v>0</v>
      </c>
      <c r="Q25" s="53" t="n">
        <v>0</v>
      </c>
      <c r="R25" s="53" t="n">
        <f aca="false">SUM(O25:Q25)</f>
        <v>4.4</v>
      </c>
      <c r="S25" s="54"/>
      <c r="T25" s="53" t="n">
        <v>0</v>
      </c>
      <c r="U25" s="53" t="n">
        <v>38.9</v>
      </c>
      <c r="V25" s="54" t="n">
        <f aca="false">V24-U25</f>
        <v>13084.4033148475</v>
      </c>
      <c r="W25" s="53" t="n">
        <f aca="false">R25+T25+N25+U25</f>
        <v>43.3</v>
      </c>
      <c r="X25" s="53" t="n">
        <f aca="false">IF(L25&lt;0,L25*-1,0)</f>
        <v>0</v>
      </c>
      <c r="Y25" s="53" t="n">
        <f aca="false">W25+X25</f>
        <v>43.3</v>
      </c>
      <c r="Z25" s="57" t="n">
        <v>0</v>
      </c>
      <c r="AA25" s="86" t="n">
        <v>50</v>
      </c>
      <c r="AB25" s="58" t="n">
        <v>27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6907.72</v>
      </c>
      <c r="C26" s="54" t="n">
        <v>312960</v>
      </c>
      <c r="D26" s="58" t="n">
        <f aca="false">C26-C25</f>
        <v>-78</v>
      </c>
      <c r="E26" s="54" t="n">
        <f aca="false">C26-152000</f>
        <v>160960</v>
      </c>
      <c r="F26" s="53" t="n">
        <f aca="false">D26/$D$2</f>
        <v>-39.3343419062027</v>
      </c>
      <c r="G26" s="53" t="n">
        <v>70.2643368633384</v>
      </c>
      <c r="H26" s="55" t="n">
        <v>0</v>
      </c>
      <c r="I26" s="53" t="n">
        <f aca="false">G26+H26</f>
        <v>70.2643368633384</v>
      </c>
      <c r="J26" s="77" t="n">
        <f aca="false">IF(L26&gt;0,L26,0)</f>
        <v>0</v>
      </c>
      <c r="K26" s="53" t="n">
        <f aca="false">I26+J26</f>
        <v>70.2643368633384</v>
      </c>
      <c r="L26" s="53" t="n">
        <f aca="false">F26-(I26-W26)</f>
        <v>-66.3686787695411</v>
      </c>
      <c r="M26" s="53" t="n">
        <v>4.4</v>
      </c>
      <c r="N26" s="53" t="n">
        <v>0</v>
      </c>
      <c r="O26" s="53" t="n">
        <f aca="false">M26-N26</f>
        <v>4.4</v>
      </c>
      <c r="P26" s="53" t="n">
        <v>0</v>
      </c>
      <c r="Q26" s="53" t="n">
        <v>0</v>
      </c>
      <c r="R26" s="53" t="n">
        <f aca="false">SUM(O26:Q26)</f>
        <v>4.4</v>
      </c>
      <c r="S26" s="54"/>
      <c r="T26" s="53" t="n">
        <v>0</v>
      </c>
      <c r="U26" s="53" t="n">
        <v>38.83</v>
      </c>
      <c r="V26" s="54" t="n">
        <f aca="false">V25-U26</f>
        <v>13045.5733148475</v>
      </c>
      <c r="W26" s="53" t="n">
        <f aca="false">R26+T26+N26+U26</f>
        <v>43.23</v>
      </c>
      <c r="X26" s="53" t="n">
        <f aca="false">IF(L26&lt;0,L26*-1,0)</f>
        <v>66.3686787695411</v>
      </c>
      <c r="Y26" s="53" t="n">
        <f aca="false">W26+X26</f>
        <v>109.598678769541</v>
      </c>
      <c r="Z26" s="57" t="n">
        <v>0</v>
      </c>
      <c r="AA26" s="86" t="n">
        <v>53</v>
      </c>
      <c r="AB26" s="58" t="n">
        <v>24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6907.7</v>
      </c>
      <c r="C27" s="54" t="n">
        <v>312881</v>
      </c>
      <c r="D27" s="58" t="n">
        <f aca="false">C27-C26</f>
        <v>-79</v>
      </c>
      <c r="E27" s="54" t="n">
        <f aca="false">C27-152000</f>
        <v>160881</v>
      </c>
      <c r="F27" s="53" t="n">
        <f aca="false">D27/$D$2</f>
        <v>-39.8386283408976</v>
      </c>
      <c r="G27" s="53" t="n">
        <v>87.9143620776601</v>
      </c>
      <c r="H27" s="55" t="n">
        <v>0</v>
      </c>
      <c r="I27" s="53" t="n">
        <f aca="false">G27+H27</f>
        <v>87.9143620776601</v>
      </c>
      <c r="J27" s="77" t="n">
        <f aca="false">IF(L27&gt;0,L27,0)</f>
        <v>0</v>
      </c>
      <c r="K27" s="53" t="n">
        <f aca="false">I27+J27</f>
        <v>87.9143620776601</v>
      </c>
      <c r="L27" s="53" t="n">
        <f aca="false">F27-(I27-W27)</f>
        <v>-87.5429904185577</v>
      </c>
      <c r="M27" s="53" t="n">
        <v>4.4</v>
      </c>
      <c r="N27" s="53" t="n">
        <v>0</v>
      </c>
      <c r="O27" s="53" t="n">
        <f aca="false">M27-N27</f>
        <v>4.4</v>
      </c>
      <c r="P27" s="53" t="n">
        <v>0</v>
      </c>
      <c r="Q27" s="53" t="n">
        <v>0</v>
      </c>
      <c r="R27" s="53" t="n">
        <f aca="false">SUM(O27:Q27)</f>
        <v>4.4</v>
      </c>
      <c r="S27" s="54"/>
      <c r="T27" s="53" t="n">
        <v>0</v>
      </c>
      <c r="U27" s="53" t="n">
        <v>35.81</v>
      </c>
      <c r="V27" s="54" t="n">
        <f aca="false">V26-U27</f>
        <v>13009.7633148475</v>
      </c>
      <c r="W27" s="53" t="n">
        <f aca="false">R27+T27+N27+U27</f>
        <v>40.21</v>
      </c>
      <c r="X27" s="53" t="n">
        <f aca="false">IF(L27&lt;0,L27*-1,0)</f>
        <v>87.5429904185577</v>
      </c>
      <c r="Y27" s="53" t="n">
        <f aca="false">W27+X27</f>
        <v>127.752990418558</v>
      </c>
      <c r="Z27" s="57" t="n">
        <v>0</v>
      </c>
      <c r="AA27" s="86" t="n">
        <v>40</v>
      </c>
      <c r="AB27" s="58" t="n">
        <v>28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6907.7</v>
      </c>
      <c r="C28" s="54" t="n">
        <v>312881</v>
      </c>
      <c r="D28" s="58" t="n">
        <f aca="false">C28-C27</f>
        <v>0</v>
      </c>
      <c r="E28" s="54" t="n">
        <f aca="false">C28-152000</f>
        <v>160881</v>
      </c>
      <c r="F28" s="53" t="n">
        <f aca="false">D28/$D$2</f>
        <v>0</v>
      </c>
      <c r="G28" s="53" t="n">
        <v>34.46</v>
      </c>
      <c r="H28" s="55" t="n">
        <v>0</v>
      </c>
      <c r="I28" s="53" t="n">
        <f aca="false">G28+H28</f>
        <v>34.46</v>
      </c>
      <c r="J28" s="77" t="n">
        <f aca="false">IF(L28&gt;0,L28,0)</f>
        <v>0.600000000000001</v>
      </c>
      <c r="K28" s="53" t="n">
        <f aca="false">I28+J28</f>
        <v>35.06</v>
      </c>
      <c r="L28" s="53" t="n">
        <f aca="false">F28-(I28-W28)</f>
        <v>0.600000000000001</v>
      </c>
      <c r="M28" s="53" t="n">
        <v>4.4</v>
      </c>
      <c r="N28" s="53" t="n">
        <v>0</v>
      </c>
      <c r="O28" s="53" t="n">
        <f aca="false">M28-N28</f>
        <v>4.4</v>
      </c>
      <c r="P28" s="53" t="n">
        <v>0</v>
      </c>
      <c r="Q28" s="53" t="n">
        <v>0</v>
      </c>
      <c r="R28" s="53" t="n">
        <f aca="false">SUM(O28:Q28)</f>
        <v>4.4</v>
      </c>
      <c r="S28" s="54"/>
      <c r="T28" s="53" t="n">
        <v>0</v>
      </c>
      <c r="U28" s="53" t="n">
        <v>30.66</v>
      </c>
      <c r="V28" s="54" t="n">
        <f aca="false">V27-U28</f>
        <v>12979.1033148475</v>
      </c>
      <c r="W28" s="53" t="n">
        <f aca="false">R28+T28+N28+U28</f>
        <v>35.06</v>
      </c>
      <c r="X28" s="53" t="n">
        <f aca="false">IF(L28&lt;0,L28*-1,0)</f>
        <v>0</v>
      </c>
      <c r="Y28" s="53" t="n">
        <f aca="false">W28+X28</f>
        <v>35.06</v>
      </c>
      <c r="Z28" s="57" t="n">
        <v>0</v>
      </c>
      <c r="AA28" s="86" t="n">
        <v>42</v>
      </c>
      <c r="AB28" s="58" t="n">
        <v>17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6907.7</v>
      </c>
      <c r="C29" s="54" t="n">
        <v>312881</v>
      </c>
      <c r="D29" s="58" t="n">
        <f aca="false">C29-C28</f>
        <v>0</v>
      </c>
      <c r="E29" s="54" t="n">
        <f aca="false">C29-152000</f>
        <v>160881</v>
      </c>
      <c r="F29" s="53" t="n">
        <f aca="false">D29/$D$2</f>
        <v>0</v>
      </c>
      <c r="G29" s="53" t="n">
        <v>0</v>
      </c>
      <c r="H29" s="55" t="n">
        <v>0</v>
      </c>
      <c r="I29" s="53" t="n">
        <f aca="false">G29+H29</f>
        <v>0</v>
      </c>
      <c r="J29" s="77" t="n">
        <f aca="false">IF(L29&gt;0,L29,0)</f>
        <v>34.23</v>
      </c>
      <c r="K29" s="53" t="n">
        <f aca="false">I29+J29</f>
        <v>34.23</v>
      </c>
      <c r="L29" s="53" t="n">
        <f aca="false">F29-(I29-W29)</f>
        <v>34.23</v>
      </c>
      <c r="M29" s="53" t="n">
        <v>5.23</v>
      </c>
      <c r="N29" s="53" t="n">
        <v>0</v>
      </c>
      <c r="O29" s="53" t="n">
        <f aca="false">M29-N29</f>
        <v>5.23</v>
      </c>
      <c r="P29" s="53" t="n">
        <v>0</v>
      </c>
      <c r="Q29" s="53" t="n">
        <v>0</v>
      </c>
      <c r="R29" s="53" t="n">
        <f aca="false">SUM(O29:Q29)</f>
        <v>5.23</v>
      </c>
      <c r="S29" s="54"/>
      <c r="T29" s="53" t="n">
        <v>0</v>
      </c>
      <c r="U29" s="53" t="n">
        <v>29</v>
      </c>
      <c r="V29" s="54" t="n">
        <f aca="false">V28-U29</f>
        <v>12950.1033148475</v>
      </c>
      <c r="W29" s="53" t="n">
        <f aca="false">R29+T29+N29+U29</f>
        <v>34.23</v>
      </c>
      <c r="X29" s="53" t="n">
        <f aca="false">IF(L29&lt;0,L29*-1,0)</f>
        <v>0</v>
      </c>
      <c r="Y29" s="53" t="n">
        <f aca="false">W29+X29</f>
        <v>34.23</v>
      </c>
      <c r="Z29" s="57" t="n">
        <v>0</v>
      </c>
      <c r="AA29" s="86" t="n">
        <v>36</v>
      </c>
      <c r="AB29" s="58" t="n">
        <v>20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6907.69</v>
      </c>
      <c r="C30" s="54" t="n">
        <v>312841</v>
      </c>
      <c r="D30" s="58" t="n">
        <f aca="false">C30-C29</f>
        <v>-40</v>
      </c>
      <c r="E30" s="54" t="n">
        <f aca="false">C30-152000</f>
        <v>160841</v>
      </c>
      <c r="F30" s="53" t="n">
        <f aca="false">D30/$D$2</f>
        <v>-20.1714573877963</v>
      </c>
      <c r="G30" s="53" t="n">
        <v>34.1</v>
      </c>
      <c r="H30" s="55" t="n">
        <v>0</v>
      </c>
      <c r="I30" s="53" t="n">
        <f aca="false">G30+H30</f>
        <v>34.1</v>
      </c>
      <c r="J30" s="77" t="n">
        <f aca="false">IF(L30&gt;0,L30,0)</f>
        <v>0</v>
      </c>
      <c r="K30" s="53" t="n">
        <f aca="false">I30+J30</f>
        <v>34.1</v>
      </c>
      <c r="L30" s="53" t="n">
        <f aca="false">F30-(I30-W30)</f>
        <v>-18.3014573877963</v>
      </c>
      <c r="M30" s="53" t="n">
        <v>6.97</v>
      </c>
      <c r="N30" s="53" t="n">
        <v>0</v>
      </c>
      <c r="O30" s="53" t="n">
        <f aca="false">M30-N30</f>
        <v>6.97</v>
      </c>
      <c r="P30" s="53" t="n">
        <v>0</v>
      </c>
      <c r="Q30" s="53" t="n">
        <v>0</v>
      </c>
      <c r="R30" s="53" t="n">
        <f aca="false">SUM(O30:Q30)</f>
        <v>6.97</v>
      </c>
      <c r="S30" s="54"/>
      <c r="T30" s="53" t="n">
        <v>0</v>
      </c>
      <c r="U30" s="53" t="n">
        <v>29</v>
      </c>
      <c r="V30" s="54" t="n">
        <f aca="false">V29-U30</f>
        <v>12921.1033148475</v>
      </c>
      <c r="W30" s="53" t="n">
        <f aca="false">R30+T30+N30+U30</f>
        <v>35.97</v>
      </c>
      <c r="X30" s="53" t="n">
        <f aca="false">IF(L30&lt;0,L30*-1,0)</f>
        <v>18.3014573877963</v>
      </c>
      <c r="Y30" s="53" t="n">
        <f aca="false">W30+X30</f>
        <v>54.2714573877963</v>
      </c>
      <c r="Z30" s="57" t="n">
        <v>0</v>
      </c>
      <c r="AA30" s="58" t="n">
        <v>38</v>
      </c>
      <c r="AB30" s="58" t="n">
        <v>13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6907.68</v>
      </c>
      <c r="C31" s="54" t="n">
        <v>312803</v>
      </c>
      <c r="D31" s="58" t="n">
        <f aca="false">C31-C30</f>
        <v>-38</v>
      </c>
      <c r="E31" s="54" t="n">
        <f aca="false">C31-152000</f>
        <v>160803</v>
      </c>
      <c r="F31" s="53" t="n">
        <f aca="false">D31/$D$2</f>
        <v>-19.1628845184065</v>
      </c>
      <c r="G31" s="53" t="n">
        <v>70.2843368633384</v>
      </c>
      <c r="H31" s="55" t="n">
        <v>0</v>
      </c>
      <c r="I31" s="53" t="n">
        <f aca="false">G31+H31</f>
        <v>70.2843368633384</v>
      </c>
      <c r="J31" s="77" t="n">
        <f aca="false">IF(L31&gt;0,L31,0)</f>
        <v>0</v>
      </c>
      <c r="K31" s="53" t="n">
        <f aca="false">I31+J31</f>
        <v>70.2843368633384</v>
      </c>
      <c r="L31" s="53" t="n">
        <f aca="false">F31-(I31-W31)</f>
        <v>-53.9572213817448</v>
      </c>
      <c r="M31" s="53" t="n">
        <v>6.52</v>
      </c>
      <c r="N31" s="53" t="n">
        <v>0</v>
      </c>
      <c r="O31" s="53" t="n">
        <f aca="false">M31-N31</f>
        <v>6.52</v>
      </c>
      <c r="P31" s="53" t="n">
        <v>0</v>
      </c>
      <c r="Q31" s="53" t="n">
        <v>0</v>
      </c>
      <c r="R31" s="53" t="n">
        <f aca="false">SUM(O31:Q31)</f>
        <v>6.52</v>
      </c>
      <c r="S31" s="54"/>
      <c r="T31" s="53" t="n">
        <v>0</v>
      </c>
      <c r="U31" s="53" t="n">
        <v>28.97</v>
      </c>
      <c r="V31" s="54" t="n">
        <f aca="false">V30-U31</f>
        <v>12892.1333148475</v>
      </c>
      <c r="W31" s="53" t="n">
        <f aca="false">R31+T31+N31+U31</f>
        <v>35.49</v>
      </c>
      <c r="X31" s="53" t="n">
        <f aca="false">IF(L31&lt;0,L31*-1,0)</f>
        <v>53.9572213817448</v>
      </c>
      <c r="Y31" s="53" t="n">
        <f aca="false">W31+X31</f>
        <v>89.4472213817448</v>
      </c>
      <c r="Z31" s="57" t="n">
        <v>0</v>
      </c>
      <c r="AA31" s="58" t="n">
        <v>38</v>
      </c>
      <c r="AB31" s="58" t="n">
        <v>7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6907.67</v>
      </c>
      <c r="C32" s="54" t="n">
        <v>312763</v>
      </c>
      <c r="D32" s="58" t="n">
        <f aca="false">C32-C31</f>
        <v>-40</v>
      </c>
      <c r="E32" s="54" t="n">
        <f aca="false">C32-152000</f>
        <v>160763</v>
      </c>
      <c r="F32" s="53" t="n">
        <f aca="false">D32/$D$2</f>
        <v>-20.1714573877963</v>
      </c>
      <c r="G32" s="53" t="n">
        <v>89.3429349470499</v>
      </c>
      <c r="H32" s="55" t="n">
        <v>0</v>
      </c>
      <c r="I32" s="53" t="n">
        <f aca="false">G32+H32</f>
        <v>89.3429349470499</v>
      </c>
      <c r="J32" s="77" t="n">
        <f aca="false">IF(L32&gt;0,L32,0)</f>
        <v>0</v>
      </c>
      <c r="K32" s="53" t="n">
        <f aca="false">I32+J32</f>
        <v>89.3429349470499</v>
      </c>
      <c r="L32" s="53" t="n">
        <f aca="false">F32-(I32-W32)</f>
        <v>-74.1843923348462</v>
      </c>
      <c r="M32" s="53" t="n">
        <v>6.36</v>
      </c>
      <c r="N32" s="53" t="n">
        <v>0</v>
      </c>
      <c r="O32" s="53" t="n">
        <f aca="false">M32-N32</f>
        <v>6.36</v>
      </c>
      <c r="P32" s="53" t="n">
        <v>0</v>
      </c>
      <c r="Q32" s="53" t="n">
        <v>0</v>
      </c>
      <c r="R32" s="53" t="n">
        <f aca="false">SUM(O32:Q32)</f>
        <v>6.36</v>
      </c>
      <c r="S32" s="54"/>
      <c r="T32" s="53" t="n">
        <v>0</v>
      </c>
      <c r="U32" s="53" t="n">
        <v>28.97</v>
      </c>
      <c r="V32" s="54" t="n">
        <f aca="false">V31-U32</f>
        <v>12863.1633148475</v>
      </c>
      <c r="W32" s="53" t="n">
        <f aca="false">R32+T32+N32+U32</f>
        <v>35.33</v>
      </c>
      <c r="X32" s="53" t="n">
        <f aca="false">IF(L32&lt;0,L32*-1,0)</f>
        <v>74.1843923348462</v>
      </c>
      <c r="Y32" s="53" t="n">
        <f aca="false">W32+X32</f>
        <v>109.514392334846</v>
      </c>
      <c r="Z32" s="57" t="n">
        <v>0</v>
      </c>
      <c r="AA32" s="58" t="n">
        <v>29</v>
      </c>
      <c r="AB32" s="86" t="n">
        <v>4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6907.67</v>
      </c>
      <c r="C33" s="54" t="n">
        <v>312763</v>
      </c>
      <c r="D33" s="58" t="n">
        <f aca="false">C33-C32</f>
        <v>0</v>
      </c>
      <c r="E33" s="54" t="n">
        <f aca="false">C33-152000</f>
        <v>160763</v>
      </c>
      <c r="F33" s="53" t="n">
        <f aca="false">D33/$D$2</f>
        <v>0</v>
      </c>
      <c r="G33" s="53" t="n">
        <v>70.6343368633384</v>
      </c>
      <c r="H33" s="55" t="n">
        <v>0</v>
      </c>
      <c r="I33" s="53" t="n">
        <f aca="false">G33+H33</f>
        <v>70.6343368633384</v>
      </c>
      <c r="J33" s="77" t="n">
        <f aca="false">IF(L33&gt;0,L33,0)</f>
        <v>0</v>
      </c>
      <c r="K33" s="53" t="n">
        <f aca="false">I33+J33</f>
        <v>70.6343368633384</v>
      </c>
      <c r="L33" s="53" t="n">
        <f aca="false">F33-(I33-W33)</f>
        <v>-34.9343368633384</v>
      </c>
      <c r="M33" s="53" t="n">
        <v>6.7</v>
      </c>
      <c r="N33" s="53" t="n">
        <v>0</v>
      </c>
      <c r="O33" s="53" t="n">
        <f aca="false">M33-N33</f>
        <v>6.7</v>
      </c>
      <c r="P33" s="53" t="n">
        <v>0</v>
      </c>
      <c r="Q33" s="53" t="n">
        <v>0</v>
      </c>
      <c r="R33" s="53" t="n">
        <f aca="false">SUM(O33:Q33)</f>
        <v>6.7</v>
      </c>
      <c r="S33" s="54"/>
      <c r="T33" s="53" t="n">
        <v>0</v>
      </c>
      <c r="U33" s="53" t="n">
        <v>29</v>
      </c>
      <c r="V33" s="54" t="n">
        <f aca="false">V32-U33</f>
        <v>12834.1633148475</v>
      </c>
      <c r="W33" s="53" t="n">
        <f aca="false">R33+T33+N33+U33</f>
        <v>35.7</v>
      </c>
      <c r="X33" s="53" t="n">
        <f aca="false">IF(L33&lt;0,L33*-1,0)</f>
        <v>34.9343368633384</v>
      </c>
      <c r="Y33" s="53" t="n">
        <f aca="false">W33+X33</f>
        <v>70.6343368633384</v>
      </c>
      <c r="Z33" s="57" t="n">
        <v>0</v>
      </c>
      <c r="AA33" s="58" t="n">
        <v>34</v>
      </c>
      <c r="AB33" s="86" t="n">
        <v>5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6907.66</v>
      </c>
      <c r="C34" s="54" t="n">
        <v>312725</v>
      </c>
      <c r="D34" s="58" t="n">
        <f aca="false">C34-C33</f>
        <v>-38</v>
      </c>
      <c r="E34" s="54" t="n">
        <f aca="false">C34-152000</f>
        <v>160725</v>
      </c>
      <c r="F34" s="53" t="n">
        <f aca="false">D34/$D$2</f>
        <v>-19.1628845184065</v>
      </c>
      <c r="G34" s="53" t="n">
        <v>71.1386232980333</v>
      </c>
      <c r="H34" s="55" t="n">
        <v>0</v>
      </c>
      <c r="I34" s="53" t="n">
        <f aca="false">G34+H34</f>
        <v>71.1386232980333</v>
      </c>
      <c r="J34" s="77" t="n">
        <f aca="false">IF(L34&gt;0,L34,0)</f>
        <v>0</v>
      </c>
      <c r="K34" s="53" t="n">
        <f aca="false">I34+J34</f>
        <v>71.1386232980333</v>
      </c>
      <c r="L34" s="53" t="n">
        <f aca="false">F34-(I34-W34)</f>
        <v>-54.6015078164397</v>
      </c>
      <c r="M34" s="53" t="n">
        <v>6.7</v>
      </c>
      <c r="N34" s="53" t="n">
        <v>0</v>
      </c>
      <c r="O34" s="53" t="n">
        <f aca="false">M34-N34</f>
        <v>6.7</v>
      </c>
      <c r="P34" s="53" t="n">
        <v>0</v>
      </c>
      <c r="Q34" s="53" t="n">
        <v>0</v>
      </c>
      <c r="R34" s="53" t="n">
        <f aca="false">SUM(O34:Q34)</f>
        <v>6.7</v>
      </c>
      <c r="S34" s="54"/>
      <c r="T34" s="53" t="n">
        <v>0</v>
      </c>
      <c r="U34" s="53" t="n">
        <v>29</v>
      </c>
      <c r="V34" s="54" t="n">
        <f aca="false">V33-U34</f>
        <v>12805.1633148475</v>
      </c>
      <c r="W34" s="53" t="n">
        <f aca="false">R34+T34+N34+U34</f>
        <v>35.7</v>
      </c>
      <c r="X34" s="53" t="n">
        <f aca="false">IF(L34&lt;0,L34*-1,0)</f>
        <v>54.6015078164397</v>
      </c>
      <c r="Y34" s="53" t="n">
        <f aca="false">W34+X34</f>
        <v>90.3015078164397</v>
      </c>
      <c r="Z34" s="57" t="n">
        <v>0</v>
      </c>
      <c r="AA34" s="58" t="n">
        <v>36</v>
      </c>
      <c r="AB34" s="86" t="n">
        <v>4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6907.65</v>
      </c>
      <c r="C35" s="54" t="n">
        <v>312684</v>
      </c>
      <c r="D35" s="58" t="n">
        <f aca="false">C35-C34</f>
        <v>-41</v>
      </c>
      <c r="E35" s="54" t="n">
        <f aca="false">C35-152000</f>
        <v>160684</v>
      </c>
      <c r="F35" s="53" t="n">
        <f aca="false">D35/$D$2</f>
        <v>-20.6757438224912</v>
      </c>
      <c r="G35" s="53" t="n">
        <v>34.83</v>
      </c>
      <c r="H35" s="55" t="n">
        <v>0</v>
      </c>
      <c r="I35" s="53" t="n">
        <f aca="false">G35+H35</f>
        <v>34.83</v>
      </c>
      <c r="J35" s="77" t="n">
        <f aca="false">IF(L35&gt;0,L35,0)</f>
        <v>0</v>
      </c>
      <c r="K35" s="53" t="n">
        <f aca="false">I35+J35</f>
        <v>34.83</v>
      </c>
      <c r="L35" s="53" t="n">
        <f aca="false">F35-(I35-W35)</f>
        <v>-19.8057438224912</v>
      </c>
      <c r="M35" s="53" t="n">
        <v>6.7</v>
      </c>
      <c r="N35" s="53" t="n">
        <v>0</v>
      </c>
      <c r="O35" s="53" t="n">
        <f aca="false">M35-N35</f>
        <v>6.7</v>
      </c>
      <c r="P35" s="53" t="n">
        <v>0</v>
      </c>
      <c r="Q35" s="53" t="n">
        <v>0</v>
      </c>
      <c r="R35" s="53" t="n">
        <f aca="false">SUM(O35:Q35)</f>
        <v>6.7</v>
      </c>
      <c r="S35" s="54"/>
      <c r="T35" s="53" t="n">
        <v>0</v>
      </c>
      <c r="U35" s="53" t="n">
        <v>29</v>
      </c>
      <c r="V35" s="54" t="n">
        <f aca="false">V34-U35</f>
        <v>12776.1633148475</v>
      </c>
      <c r="W35" s="53" t="n">
        <f aca="false">R35+T35+N35+U35</f>
        <v>35.7</v>
      </c>
      <c r="X35" s="53" t="n">
        <f aca="false">IF(L35&lt;0,L35*-1,0)</f>
        <v>19.8057438224912</v>
      </c>
      <c r="Y35" s="53" t="n">
        <f aca="false">W35+X35</f>
        <v>55.5057438224912</v>
      </c>
      <c r="Z35" s="57" t="n">
        <v>0</v>
      </c>
      <c r="AA35" s="58" t="n">
        <v>43</v>
      </c>
      <c r="AB35" s="58" t="n">
        <v>8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6907.64</v>
      </c>
      <c r="C36" s="54" t="n">
        <v>312646</v>
      </c>
      <c r="D36" s="58" t="n">
        <f aca="false">C36-C35</f>
        <v>-38</v>
      </c>
      <c r="E36" s="54" t="n">
        <f aca="false">C36-152000</f>
        <v>160646</v>
      </c>
      <c r="F36" s="53" t="n">
        <f aca="false">D36/$D$2</f>
        <v>-19.1628845184065</v>
      </c>
      <c r="G36" s="53" t="n">
        <v>88.1243620776601</v>
      </c>
      <c r="H36" s="55" t="n">
        <v>0</v>
      </c>
      <c r="I36" s="53" t="n">
        <f aca="false">G36+H36</f>
        <v>88.1243620776601</v>
      </c>
      <c r="J36" s="77" t="n">
        <f aca="false">IF(L36&gt;0,L36,0)</f>
        <v>0</v>
      </c>
      <c r="K36" s="53" t="n">
        <f aca="false">I36+J36</f>
        <v>88.1243620776601</v>
      </c>
      <c r="L36" s="53" t="n">
        <f aca="false">F36-(I36-W36)</f>
        <v>-71.5872465960666</v>
      </c>
      <c r="M36" s="53" t="n">
        <v>6.7</v>
      </c>
      <c r="N36" s="53" t="n">
        <v>0</v>
      </c>
      <c r="O36" s="53" t="n">
        <f aca="false">M36-N36</f>
        <v>6.7</v>
      </c>
      <c r="P36" s="53" t="n">
        <v>0</v>
      </c>
      <c r="Q36" s="53" t="n">
        <v>0</v>
      </c>
      <c r="R36" s="53" t="n">
        <f aca="false">SUM(O36:Q36)</f>
        <v>6.7</v>
      </c>
      <c r="S36" s="54"/>
      <c r="T36" s="53" t="n">
        <v>0</v>
      </c>
      <c r="U36" s="53" t="n">
        <v>29</v>
      </c>
      <c r="V36" s="54" t="n">
        <f aca="false">V35-U36</f>
        <v>12747.1633148475</v>
      </c>
      <c r="W36" s="53" t="n">
        <f aca="false">R36+T36+N36+U36</f>
        <v>35.7</v>
      </c>
      <c r="X36" s="53" t="n">
        <f aca="false">IF(L36&lt;0,L36*-1,0)</f>
        <v>71.5872465960666</v>
      </c>
      <c r="Y36" s="53" t="n">
        <f aca="false">W36+X36</f>
        <v>107.287246596067</v>
      </c>
      <c r="Z36" s="57" t="n">
        <v>0</v>
      </c>
      <c r="AA36" s="58" t="n">
        <v>46</v>
      </c>
      <c r="AB36" s="58" t="n">
        <v>13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6907.63</v>
      </c>
      <c r="C37" s="54" t="n">
        <v>312608</v>
      </c>
      <c r="D37" s="58" t="n">
        <f aca="false">C37-C36</f>
        <v>-38</v>
      </c>
      <c r="E37" s="54" t="n">
        <f aca="false">C37-152000</f>
        <v>160608</v>
      </c>
      <c r="F37" s="53" t="n">
        <f aca="false">D37/$D$2</f>
        <v>-19.1628845184065</v>
      </c>
      <c r="G37" s="53" t="n">
        <v>70.1943368633384</v>
      </c>
      <c r="H37" s="55" t="n">
        <v>0</v>
      </c>
      <c r="I37" s="53" t="n">
        <f aca="false">G37+H37</f>
        <v>70.1943368633384</v>
      </c>
      <c r="J37" s="77" t="n">
        <f aca="false">IF(L37&gt;0,L37,0)</f>
        <v>0</v>
      </c>
      <c r="K37" s="53" t="n">
        <f aca="false">I37+J37</f>
        <v>70.1943368633384</v>
      </c>
      <c r="L37" s="53" t="n">
        <f aca="false">F37-(I37-W37)</f>
        <v>-53.9172213817448</v>
      </c>
      <c r="M37" s="53" t="n">
        <v>6.41</v>
      </c>
      <c r="N37" s="53" t="n">
        <v>0</v>
      </c>
      <c r="O37" s="53" t="n">
        <f aca="false">M37-N37</f>
        <v>6.41</v>
      </c>
      <c r="P37" s="53" t="n">
        <v>0</v>
      </c>
      <c r="Q37" s="53" t="n">
        <v>0</v>
      </c>
      <c r="R37" s="53" t="n">
        <f aca="false">SUM(O37:Q37)</f>
        <v>6.41</v>
      </c>
      <c r="S37" s="54"/>
      <c r="T37" s="53" t="n">
        <v>0</v>
      </c>
      <c r="U37" s="53" t="n">
        <v>29.03</v>
      </c>
      <c r="V37" s="54" t="n">
        <f aca="false">V36-U37</f>
        <v>12718.1333148475</v>
      </c>
      <c r="W37" s="53" t="n">
        <f aca="false">R37+T37+N37+U37</f>
        <v>35.44</v>
      </c>
      <c r="X37" s="53" t="n">
        <f aca="false">IF(L37&lt;0,L37*-1,0)</f>
        <v>53.9172213817448</v>
      </c>
      <c r="Y37" s="53" t="n">
        <f aca="false">W37+X37</f>
        <v>89.3572213817448</v>
      </c>
      <c r="Z37" s="57" t="n">
        <v>0</v>
      </c>
      <c r="AA37" s="58" t="n">
        <v>40</v>
      </c>
      <c r="AB37" s="58" t="n">
        <v>16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6907.62</v>
      </c>
      <c r="C38" s="54" t="n">
        <v>312658</v>
      </c>
      <c r="D38" s="58" t="n">
        <f aca="false">C38-C37</f>
        <v>50</v>
      </c>
      <c r="E38" s="54" t="n">
        <f aca="false">C38-152000</f>
        <v>160658</v>
      </c>
      <c r="F38" s="53" t="n">
        <f aca="false">D38/$D$2</f>
        <v>25.2143217347453</v>
      </c>
      <c r="G38" s="53" t="n">
        <v>34.83</v>
      </c>
      <c r="H38" s="55" t="n">
        <v>0</v>
      </c>
      <c r="I38" s="53" t="n">
        <f aca="false">G38+H38</f>
        <v>34.83</v>
      </c>
      <c r="J38" s="77" t="n">
        <f aca="false">IF(L38&gt;0,L38,0)</f>
        <v>25.7043217347453</v>
      </c>
      <c r="K38" s="53" t="n">
        <f aca="false">I38+J38</f>
        <v>60.5343217347453</v>
      </c>
      <c r="L38" s="53" t="n">
        <f aca="false">F38-(I38-W38)</f>
        <v>25.7043217347453</v>
      </c>
      <c r="M38" s="53" t="n">
        <v>6.29</v>
      </c>
      <c r="N38" s="53" t="n">
        <v>0</v>
      </c>
      <c r="O38" s="53" t="n">
        <f aca="false">M38-N38</f>
        <v>6.29</v>
      </c>
      <c r="P38" s="53" t="n">
        <v>0</v>
      </c>
      <c r="Q38" s="53" t="n">
        <v>0</v>
      </c>
      <c r="R38" s="53" t="n">
        <f aca="false">SUM(O38:Q38)</f>
        <v>6.29</v>
      </c>
      <c r="S38" s="54"/>
      <c r="T38" s="53" t="n">
        <v>0</v>
      </c>
      <c r="U38" s="53" t="n">
        <v>29.03</v>
      </c>
      <c r="V38" s="54" t="n">
        <f aca="false">V37-U38</f>
        <v>12689.1033148475</v>
      </c>
      <c r="W38" s="53" t="n">
        <f aca="false">R38+T38+N38+U38</f>
        <v>35.32</v>
      </c>
      <c r="X38" s="53" t="n">
        <f aca="false">IF(L38&lt;0,L38*-1,0)</f>
        <v>0</v>
      </c>
      <c r="Y38" s="53" t="n">
        <f aca="false">W38+X38</f>
        <v>35.32</v>
      </c>
      <c r="Z38" s="57" t="n">
        <v>0.02</v>
      </c>
      <c r="AA38" s="86" t="n">
        <v>44</v>
      </c>
      <c r="AB38" s="58" t="n">
        <v>9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6907.61</v>
      </c>
      <c r="C39" s="54" t="n">
        <v>312527</v>
      </c>
      <c r="D39" s="58" t="n">
        <f aca="false">C39-C38</f>
        <v>-131</v>
      </c>
      <c r="E39" s="54" t="n">
        <f aca="false">C39-152000</f>
        <v>160527</v>
      </c>
      <c r="F39" s="53" t="n">
        <f aca="false">D39/$D$2</f>
        <v>-66.0615229450328</v>
      </c>
      <c r="G39" s="53" t="n">
        <v>0</v>
      </c>
      <c r="H39" s="55" t="n">
        <v>0</v>
      </c>
      <c r="I39" s="53" t="n">
        <f aca="false">G39+H39</f>
        <v>0</v>
      </c>
      <c r="J39" s="77" t="n">
        <f aca="false">IF(L39&gt;0,L39,0)</f>
        <v>0</v>
      </c>
      <c r="K39" s="53" t="n">
        <f aca="false">I39+J39</f>
        <v>0</v>
      </c>
      <c r="L39" s="53" t="n">
        <f aca="false">F39-(I39-W39)</f>
        <v>-30.7715229450328</v>
      </c>
      <c r="M39" s="53" t="n">
        <v>6.29</v>
      </c>
      <c r="N39" s="53" t="n">
        <v>0</v>
      </c>
      <c r="O39" s="53" t="n">
        <f aca="false">M39-N39</f>
        <v>6.29</v>
      </c>
      <c r="P39" s="53" t="n">
        <v>0</v>
      </c>
      <c r="Q39" s="53" t="n">
        <v>0</v>
      </c>
      <c r="R39" s="53" t="n">
        <f aca="false">SUM(O39:Q39)</f>
        <v>6.29</v>
      </c>
      <c r="S39" s="54"/>
      <c r="T39" s="53" t="n">
        <v>0</v>
      </c>
      <c r="U39" s="53" t="n">
        <v>29</v>
      </c>
      <c r="V39" s="54" t="n">
        <f aca="false">V38-U39</f>
        <v>12660.1033148475</v>
      </c>
      <c r="W39" s="53" t="n">
        <f aca="false">R39+T39+N39+U39</f>
        <v>35.29</v>
      </c>
      <c r="X39" s="53" t="n">
        <f aca="false">IF(L39&lt;0,L39*-1,0)</f>
        <v>30.7715229450328</v>
      </c>
      <c r="Y39" s="53" t="n">
        <f aca="false">W39+X39</f>
        <v>66.0615229450328</v>
      </c>
      <c r="Z39" s="57" t="n">
        <v>0.01</v>
      </c>
      <c r="AA39" s="86" t="n">
        <v>41</v>
      </c>
      <c r="AB39" s="58" t="n">
        <v>22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6907.62</v>
      </c>
      <c r="C40" s="54" t="n">
        <v>312568</v>
      </c>
      <c r="D40" s="58" t="n">
        <f aca="false">C40-C39</f>
        <v>41</v>
      </c>
      <c r="E40" s="54" t="n">
        <f aca="false">C40-152000</f>
        <v>160568</v>
      </c>
      <c r="F40" s="53" t="n">
        <f aca="false">D40/$D$2</f>
        <v>20.6757438224912</v>
      </c>
      <c r="G40" s="53" t="n">
        <v>88.6643620776601</v>
      </c>
      <c r="H40" s="55" t="n">
        <v>0</v>
      </c>
      <c r="I40" s="53" t="n">
        <f aca="false">G40+H40</f>
        <v>88.6643620776601</v>
      </c>
      <c r="J40" s="77" t="n">
        <f aca="false">IF(L40&gt;0,L40,0)</f>
        <v>0</v>
      </c>
      <c r="K40" s="53" t="n">
        <f aca="false">I40+J40</f>
        <v>88.6643620776601</v>
      </c>
      <c r="L40" s="53" t="n">
        <f aca="false">F40-(I40-W40)</f>
        <v>-32.8986182551689</v>
      </c>
      <c r="M40" s="53" t="n">
        <v>6.06</v>
      </c>
      <c r="N40" s="53" t="n">
        <v>0</v>
      </c>
      <c r="O40" s="53" t="n">
        <f aca="false">M40-N40</f>
        <v>6.06</v>
      </c>
      <c r="P40" s="53" t="n">
        <v>0</v>
      </c>
      <c r="Q40" s="53" t="n">
        <v>0</v>
      </c>
      <c r="R40" s="53" t="n">
        <f aca="false">SUM(O40:Q40)</f>
        <v>6.06</v>
      </c>
      <c r="S40" s="54"/>
      <c r="T40" s="53" t="n">
        <v>0</v>
      </c>
      <c r="U40" s="53" t="n">
        <v>29.03</v>
      </c>
      <c r="V40" s="54" t="n">
        <f aca="false">V39-U40</f>
        <v>12631.0733148475</v>
      </c>
      <c r="W40" s="53" t="n">
        <f aca="false">R40+T40+N40+U40</f>
        <v>35.09</v>
      </c>
      <c r="X40" s="53" t="n">
        <f aca="false">IF(L40&lt;0,L40*-1,0)</f>
        <v>32.8986182551689</v>
      </c>
      <c r="Y40" s="53" t="n">
        <f aca="false">W40+X40</f>
        <v>67.9886182551689</v>
      </c>
      <c r="Z40" s="57" t="n">
        <v>0.01</v>
      </c>
      <c r="AA40" s="86" t="n">
        <v>44</v>
      </c>
      <c r="AB40" s="58" t="n">
        <v>17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-157.841654059506</v>
      </c>
      <c r="G42" s="54" t="n">
        <f aca="false">SUM(G10:G40)</f>
        <v>1921.71691880988</v>
      </c>
      <c r="H42" s="54" t="n">
        <f aca="false">SUM(H10:H40)</f>
        <v>0</v>
      </c>
      <c r="I42" s="54" t="n">
        <f aca="false">SUM(I10:I40)</f>
        <v>1921.71691880988</v>
      </c>
      <c r="J42" s="54" t="n">
        <f aca="false">SUM(J10:J40)</f>
        <v>242.925945537065</v>
      </c>
      <c r="K42" s="54" t="n">
        <f aca="false">SUM(K10:K40)</f>
        <v>2164.64286434695</v>
      </c>
      <c r="L42" s="54" t="n">
        <f aca="false">SUM(L10:L40)</f>
        <v>-829.96857286939</v>
      </c>
      <c r="M42" s="54" t="n">
        <f aca="false">SUM(M10:M40)</f>
        <v>163.56</v>
      </c>
      <c r="N42" s="54" t="n">
        <f aca="false">SUM(N10:N40)</f>
        <v>0</v>
      </c>
      <c r="O42" s="54" t="n">
        <f aca="false">SUM(O10:O40)</f>
        <v>163.56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163.56</v>
      </c>
      <c r="S42" s="54"/>
      <c r="T42" s="54" t="n">
        <f aca="false">SUM(T10:T40)</f>
        <v>0</v>
      </c>
      <c r="U42" s="54" t="n">
        <f aca="false">SUM(U10:U40)</f>
        <v>1086.03</v>
      </c>
      <c r="V42" s="54" t="n">
        <f aca="false">V40</f>
        <v>12631.0733148475</v>
      </c>
      <c r="W42" s="54" t="n">
        <f aca="false">SUM(W10:W40)</f>
        <v>1249.59</v>
      </c>
      <c r="X42" s="54" t="n">
        <f aca="false">SUM(X10:X40)</f>
        <v>1072.89451840645</v>
      </c>
      <c r="Y42" s="54" t="n">
        <f aca="false">SUM(Y10:Y40)</f>
        <v>2322.48451840645</v>
      </c>
      <c r="Z42" s="57" t="n">
        <f aca="false">SUM(Z10:Z40)</f>
        <v>0.04</v>
      </c>
      <c r="AA42" s="58" t="n">
        <f aca="false">AVERAGE(AA10:AA40)</f>
        <v>47.3548387096774</v>
      </c>
      <c r="AB42" s="58" t="n">
        <f aca="false">AVERAGE(AB10:AB40)</f>
        <v>21.5161290322581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-313</v>
      </c>
      <c r="E43" s="54"/>
      <c r="F43" s="54" t="n">
        <f aca="false">F42*$D$2</f>
        <v>-313</v>
      </c>
      <c r="G43" s="54" t="n">
        <f aca="false">G42*$D$2</f>
        <v>3810.76465</v>
      </c>
      <c r="H43" s="54" t="n">
        <f aca="false">H42*$D$2</f>
        <v>0</v>
      </c>
      <c r="I43" s="54" t="n">
        <f aca="false">I42*$D$2</f>
        <v>3810.76465</v>
      </c>
      <c r="J43" s="54" t="n">
        <f aca="false">J42*$D$2</f>
        <v>481.72215</v>
      </c>
      <c r="K43" s="54" t="n">
        <f aca="false">K42*$D$2</f>
        <v>4292.4868</v>
      </c>
      <c r="L43" s="54" t="n">
        <f aca="false">L42*$D$2</f>
        <v>-1645.82768</v>
      </c>
      <c r="M43" s="54" t="n">
        <f aca="false">M42*$D$2</f>
        <v>324.33948</v>
      </c>
      <c r="N43" s="54" t="n">
        <f aca="false">N42*$D$2</f>
        <v>0</v>
      </c>
      <c r="O43" s="54" t="n">
        <f aca="false">O42*$D$2</f>
        <v>324.33948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324.33948</v>
      </c>
      <c r="S43" s="54"/>
      <c r="T43" s="54" t="n">
        <f aca="false">T42*$D$2</f>
        <v>0</v>
      </c>
      <c r="U43" s="54" t="n">
        <f aca="false">U42*$D$2</f>
        <v>2153.59749</v>
      </c>
      <c r="V43" s="54" t="n">
        <f aca="false">V42*$D$2</f>
        <v>25047.4183833426</v>
      </c>
      <c r="W43" s="54" t="n">
        <f aca="false">W42*$D$2</f>
        <v>2477.93697</v>
      </c>
      <c r="X43" s="54" t="n">
        <f aca="false">X42*$D$2</f>
        <v>2127.54983</v>
      </c>
      <c r="Y43" s="54" t="n">
        <f aca="false">Y42*$D$2</f>
        <v>4605.4868</v>
      </c>
      <c r="Z43" s="57"/>
      <c r="AA43" s="58" t="n">
        <f aca="false">MAX(AA10:AA40)</f>
        <v>61</v>
      </c>
      <c r="AB43" s="58" t="n">
        <f aca="false">MAX(AB10:AB40)</f>
        <v>38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29</v>
      </c>
      <c r="AB45" s="58" t="n">
        <f aca="false">MIN(AB10:AB40)</f>
        <v>4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-512.85930408472</v>
      </c>
      <c r="G48" s="54" t="n">
        <f aca="false">G8+G42</f>
        <v>3716.41691880988</v>
      </c>
      <c r="H48" s="58" t="n">
        <f aca="false">H8+H42</f>
        <v>0</v>
      </c>
      <c r="I48" s="54" t="n">
        <f aca="false">I8+I42</f>
        <v>3716.31691880988</v>
      </c>
      <c r="J48" s="54" t="n">
        <f aca="false">J8+J42</f>
        <v>550.744886535552</v>
      </c>
      <c r="K48" s="54" t="n">
        <f aca="false">K8+K42</f>
        <v>4267.06180534544</v>
      </c>
      <c r="L48" s="54" t="n">
        <f aca="false">L8+L42</f>
        <v>-1288.6362228946</v>
      </c>
      <c r="M48" s="54" t="n">
        <f aca="false">M8+M42</f>
        <v>656.06</v>
      </c>
      <c r="N48" s="54" t="n">
        <f aca="false">N8+N42</f>
        <v>0</v>
      </c>
      <c r="O48" s="54" t="n">
        <f aca="false">O8+O42</f>
        <v>163.56</v>
      </c>
      <c r="P48" s="54" t="n">
        <f aca="false">P8+P42</f>
        <v>0</v>
      </c>
      <c r="Q48" s="54" t="n">
        <f aca="false">Q8+Q42</f>
        <v>0</v>
      </c>
      <c r="R48" s="54" t="n">
        <f aca="false">R8+R42</f>
        <v>532.06</v>
      </c>
      <c r="S48" s="54"/>
      <c r="T48" s="54" t="n">
        <f aca="false">T8+T42</f>
        <v>0</v>
      </c>
      <c r="U48" s="54" t="n">
        <f aca="false">U8+U42</f>
        <v>2284.48</v>
      </c>
      <c r="V48" s="54" t="n">
        <f aca="false">V40</f>
        <v>12631.0733148475</v>
      </c>
      <c r="W48" s="54" t="n">
        <f aca="false">W8+W42</f>
        <v>2940.54</v>
      </c>
      <c r="X48" s="54" t="n">
        <f aca="false">X8+X42</f>
        <v>1839.38110943016</v>
      </c>
      <c r="Y48" s="54" t="n">
        <f aca="false">Y8+Y42</f>
        <v>4779.92110943016</v>
      </c>
      <c r="Z48" s="77" t="n">
        <f aca="false">Z8+Z42</f>
        <v>0.21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-1017</v>
      </c>
      <c r="E49" s="54" t="n">
        <f aca="false">E40</f>
        <v>160568</v>
      </c>
      <c r="F49" s="54" t="n">
        <f aca="false">F48*$D$2</f>
        <v>-1017</v>
      </c>
      <c r="G49" s="54" t="n">
        <f aca="false">G48*$D$2</f>
        <v>7369.65475</v>
      </c>
      <c r="H49" s="58" t="n">
        <f aca="false">H48*$D$2</f>
        <v>0</v>
      </c>
      <c r="I49" s="54" t="n">
        <f aca="false">I48*$D$2</f>
        <v>7369.45645</v>
      </c>
      <c r="J49" s="54" t="n">
        <f aca="false">J48*$D$2</f>
        <v>1092.12711</v>
      </c>
      <c r="K49" s="54" t="n">
        <f aca="false">K48*$D$2</f>
        <v>8461.58356</v>
      </c>
      <c r="L49" s="54" t="n">
        <f aca="false">L48*$D$2</f>
        <v>-2555.36563</v>
      </c>
      <c r="M49" s="54" t="n">
        <f aca="false">M48*$D$2</f>
        <v>1300.96698</v>
      </c>
      <c r="N49" s="54" t="n">
        <f aca="false">N48*$D$2</f>
        <v>0</v>
      </c>
      <c r="O49" s="54" t="n">
        <f aca="false">O48*$D$2</f>
        <v>324.33948</v>
      </c>
      <c r="P49" s="54" t="n">
        <f aca="false">P48*$D$2</f>
        <v>0</v>
      </c>
      <c r="Q49" s="54" t="n">
        <f aca="false">Q48*$D$2</f>
        <v>0</v>
      </c>
      <c r="R49" s="54" t="n">
        <f aca="false">R48*$D$2</f>
        <v>1055.07498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4530.12384</v>
      </c>
      <c r="V49" s="54" t="n">
        <f aca="false">V40*$D$2</f>
        <v>25047.4183833426</v>
      </c>
      <c r="W49" s="54" t="n">
        <f aca="false">W48*$D$2</f>
        <v>5831.09082</v>
      </c>
      <c r="X49" s="54" t="n">
        <f aca="false">X48*$D$2</f>
        <v>3647.49274</v>
      </c>
      <c r="Y49" s="54" t="n">
        <f aca="false">Y48*$D$2</f>
        <v>9478.58356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"JUN /9"</f>
        <v>JUN /9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6924.15</v>
      </c>
      <c r="C52" s="54" t="n">
        <v>381833</v>
      </c>
      <c r="D52" s="86"/>
      <c r="E52" s="54" t="n">
        <f aca="false">C52-152000</f>
        <v>229833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"5/12/94 thru 6/9/94"</f>
        <v>5/12/94 thru 6/9/94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B52-B21</f>
        <v>16.4499999999998</v>
      </c>
      <c r="C54" s="54"/>
      <c r="D54" s="54" t="n">
        <f aca="false">C52-C22</f>
        <v>68795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57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58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58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DEC!$B$40:$C$40</f>
        <v>6907.62</v>
      </c>
      <c r="C8" s="54" t="n">
        <v>312568</v>
      </c>
      <c r="D8" s="54" t="n">
        <f aca="false" t="array" ref="D8:E8">DEC!$D$49:$E$49</f>
        <v>-1017</v>
      </c>
      <c r="E8" s="54" t="n">
        <v>160568</v>
      </c>
      <c r="F8" s="54" t="n">
        <f aca="false" t="array" ref="F8:Z8">DEC!$F$48:$Z$48</f>
        <v>-512.85930408472</v>
      </c>
      <c r="G8" s="54" t="n">
        <v>3716.41691880988</v>
      </c>
      <c r="H8" s="58" t="n">
        <v>0</v>
      </c>
      <c r="I8" s="54" t="n">
        <v>3716.31691880988</v>
      </c>
      <c r="J8" s="54" t="n">
        <v>550.744886535552</v>
      </c>
      <c r="K8" s="54" t="n">
        <v>4267.06180534544</v>
      </c>
      <c r="L8" s="54" t="n">
        <v>-1288.6362228946</v>
      </c>
      <c r="M8" s="54" t="n">
        <v>656.06</v>
      </c>
      <c r="N8" s="54" t="n">
        <v>0</v>
      </c>
      <c r="O8" s="54" t="n">
        <v>163.56</v>
      </c>
      <c r="P8" s="54" t="n">
        <v>0</v>
      </c>
      <c r="Q8" s="54" t="n">
        <v>0</v>
      </c>
      <c r="R8" s="54" t="n">
        <v>532.06</v>
      </c>
      <c r="S8" s="54" t="n">
        <v>0</v>
      </c>
      <c r="T8" s="54" t="n">
        <v>0</v>
      </c>
      <c r="U8" s="54" t="n">
        <v>2284.48</v>
      </c>
      <c r="V8" s="54" t="n">
        <v>12631.0733148475</v>
      </c>
      <c r="W8" s="54" t="n">
        <v>2940.54</v>
      </c>
      <c r="X8" s="54" t="n">
        <v>1839.38110943016</v>
      </c>
      <c r="Y8" s="54" t="n">
        <v>4779.92110943016</v>
      </c>
      <c r="Z8" s="77" t="n">
        <v>0.21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6907.62</v>
      </c>
      <c r="C10" s="54" t="n">
        <v>312568</v>
      </c>
      <c r="D10" s="58" t="n">
        <f aca="false">C10-C8</f>
        <v>0</v>
      </c>
      <c r="E10" s="54" t="n">
        <f aca="false">C10-152000</f>
        <v>160568</v>
      </c>
      <c r="F10" s="53" t="n">
        <f aca="false">D10/$D$2</f>
        <v>0</v>
      </c>
      <c r="G10" s="53" t="n">
        <v>17.5599747856783</v>
      </c>
      <c r="H10" s="55" t="n">
        <v>0</v>
      </c>
      <c r="I10" s="53" t="n">
        <f aca="false">G10+H10</f>
        <v>17.5599747856783</v>
      </c>
      <c r="J10" s="77" t="n">
        <f aca="false">IF(L10&gt;0,L10,0)</f>
        <v>17.5200252143217</v>
      </c>
      <c r="K10" s="53" t="n">
        <f aca="false">I10+J10</f>
        <v>35.08</v>
      </c>
      <c r="L10" s="53" t="n">
        <f aca="false">F10-(I10-W10)</f>
        <v>17.5200252143217</v>
      </c>
      <c r="M10" s="53" t="n">
        <v>5.92</v>
      </c>
      <c r="N10" s="53" t="n">
        <v>0</v>
      </c>
      <c r="O10" s="53" t="n">
        <f aca="false">M10-N10</f>
        <v>5.92</v>
      </c>
      <c r="P10" s="53" t="n">
        <v>0</v>
      </c>
      <c r="Q10" s="53" t="n">
        <v>0</v>
      </c>
      <c r="R10" s="53" t="n">
        <f aca="false">SUM(O10:Q10)</f>
        <v>5.92</v>
      </c>
      <c r="S10" s="54"/>
      <c r="T10" s="53" t="n">
        <v>0</v>
      </c>
      <c r="U10" s="53" t="n">
        <v>29.16</v>
      </c>
      <c r="V10" s="54" t="n">
        <f aca="false">V8-U10</f>
        <v>12601.9133148475</v>
      </c>
      <c r="W10" s="53" t="n">
        <f aca="false">R10+T10+N10+U10</f>
        <v>35.08</v>
      </c>
      <c r="X10" s="53" t="n">
        <f aca="false">IF(L10&lt;0,L10*-1,0)</f>
        <v>0</v>
      </c>
      <c r="Y10" s="53" t="n">
        <f aca="false">W10+X10</f>
        <v>35.08</v>
      </c>
      <c r="Z10" s="57" t="n">
        <v>0</v>
      </c>
      <c r="AA10" s="58" t="n">
        <v>54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6907.62</v>
      </c>
      <c r="C11" s="54" t="n">
        <v>312568</v>
      </c>
      <c r="D11" s="58" t="n">
        <f aca="false">C11-C10</f>
        <v>0</v>
      </c>
      <c r="E11" s="54" t="n">
        <f aca="false">C11-152000</f>
        <v>160568</v>
      </c>
      <c r="F11" s="53" t="n">
        <f aca="false">D11/$D$2</f>
        <v>0</v>
      </c>
      <c r="G11" s="53" t="n">
        <v>35.21</v>
      </c>
      <c r="H11" s="55" t="n">
        <v>0</v>
      </c>
      <c r="I11" s="53" t="n">
        <f aca="false">G11+H11</f>
        <v>35.21</v>
      </c>
      <c r="J11" s="77" t="n">
        <f aca="false">IF(L11&gt;0,L11,0)</f>
        <v>0.199999999999996</v>
      </c>
      <c r="K11" s="53" t="n">
        <f aca="false">I11+J11</f>
        <v>35.41</v>
      </c>
      <c r="L11" s="53" t="n">
        <f aca="false">F11-(I11-W11)</f>
        <v>0.199999999999996</v>
      </c>
      <c r="M11" s="53" t="n">
        <v>6</v>
      </c>
      <c r="N11" s="53" t="n">
        <v>0</v>
      </c>
      <c r="O11" s="53" t="n">
        <f aca="false">M11-N11</f>
        <v>6</v>
      </c>
      <c r="P11" s="53" t="n">
        <v>0</v>
      </c>
      <c r="Q11" s="53" t="n">
        <v>0</v>
      </c>
      <c r="R11" s="53" t="n">
        <f aca="false">SUM(O11:Q11)</f>
        <v>6</v>
      </c>
      <c r="S11" s="54"/>
      <c r="T11" s="53" t="n">
        <v>0</v>
      </c>
      <c r="U11" s="53" t="n">
        <v>29.41</v>
      </c>
      <c r="V11" s="54" t="n">
        <f aca="false">V10-U11</f>
        <v>12572.5033148475</v>
      </c>
      <c r="W11" s="53" t="n">
        <f aca="false">R11+T11+N11+U11</f>
        <v>35.41</v>
      </c>
      <c r="X11" s="53" t="n">
        <f aca="false">IF(L11&lt;0,L11*-1,0)</f>
        <v>0</v>
      </c>
      <c r="Y11" s="53" t="n">
        <f aca="false">W11+X11</f>
        <v>35.41</v>
      </c>
      <c r="Z11" s="57" t="n">
        <v>0.01</v>
      </c>
      <c r="AA11" s="58" t="n">
        <v>61</v>
      </c>
      <c r="AB11" s="58" t="n">
        <v>36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6907.62</v>
      </c>
      <c r="C12" s="54" t="n">
        <v>312568</v>
      </c>
      <c r="D12" s="58" t="n">
        <f aca="false">C12-C11</f>
        <v>0</v>
      </c>
      <c r="E12" s="54" t="n">
        <f aca="false">C12-152000</f>
        <v>160568</v>
      </c>
      <c r="F12" s="53" t="n">
        <f aca="false">D12/$D$2</f>
        <v>0</v>
      </c>
      <c r="G12" s="53" t="n">
        <v>51.7200252143217</v>
      </c>
      <c r="H12" s="55" t="n">
        <v>0</v>
      </c>
      <c r="I12" s="53" t="n">
        <f aca="false">G12+H12</f>
        <v>51.7200252143217</v>
      </c>
      <c r="J12" s="77" t="n">
        <f aca="false">IF(L12&gt;0,L12,0)</f>
        <v>0</v>
      </c>
      <c r="K12" s="53" t="n">
        <f aca="false">I12+J12</f>
        <v>51.7200252143217</v>
      </c>
      <c r="L12" s="53" t="n">
        <f aca="false">F12-(I12-W12)</f>
        <v>-17.0600252143217</v>
      </c>
      <c r="M12" s="53" t="n">
        <v>4.96</v>
      </c>
      <c r="N12" s="53" t="n">
        <v>0</v>
      </c>
      <c r="O12" s="53" t="n">
        <f aca="false">M12-N12</f>
        <v>4.96</v>
      </c>
      <c r="P12" s="53" t="n">
        <v>0</v>
      </c>
      <c r="Q12" s="53" t="n">
        <v>0</v>
      </c>
      <c r="R12" s="53" t="n">
        <f aca="false">SUM(O12:Q12)</f>
        <v>4.96</v>
      </c>
      <c r="S12" s="54"/>
      <c r="T12" s="53" t="n">
        <v>0</v>
      </c>
      <c r="U12" s="53" t="n">
        <v>29.7</v>
      </c>
      <c r="V12" s="54" t="n">
        <f aca="false">V11-U12</f>
        <v>12542.8033148475</v>
      </c>
      <c r="W12" s="53" t="n">
        <f aca="false">R12+T12+N12+U12</f>
        <v>34.66</v>
      </c>
      <c r="X12" s="53" t="n">
        <f aca="false">IF(L12&lt;0,L12*-1,0)</f>
        <v>17.0600252143217</v>
      </c>
      <c r="Y12" s="53" t="n">
        <f aca="false">W12+X12</f>
        <v>51.7200252143217</v>
      </c>
      <c r="Z12" s="57" t="n">
        <v>0</v>
      </c>
      <c r="AA12" s="58" t="n">
        <v>62</v>
      </c>
      <c r="AB12" s="58" t="n">
        <v>38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6907.62</v>
      </c>
      <c r="C13" s="54" t="n">
        <v>312568</v>
      </c>
      <c r="D13" s="58" t="n">
        <f aca="false">C13-C12</f>
        <v>0</v>
      </c>
      <c r="E13" s="54" t="n">
        <f aca="false">C13-152000</f>
        <v>160568</v>
      </c>
      <c r="F13" s="53" t="n">
        <f aca="false">D13/$D$2</f>
        <v>0</v>
      </c>
      <c r="G13" s="53" t="n">
        <v>339.017579425113</v>
      </c>
      <c r="H13" s="55" t="n">
        <v>0</v>
      </c>
      <c r="I13" s="53" t="n">
        <f aca="false">G13+H13</f>
        <v>339.017579425113</v>
      </c>
      <c r="J13" s="77" t="n">
        <f aca="false">IF(L13&gt;0,L13,0)</f>
        <v>0</v>
      </c>
      <c r="K13" s="53" t="n">
        <f aca="false">I13+J13</f>
        <v>339.017579425113</v>
      </c>
      <c r="L13" s="53" t="n">
        <f aca="false">F13-(I13-W13)</f>
        <v>-305.437579425113</v>
      </c>
      <c r="M13" s="53" t="n">
        <v>3.88</v>
      </c>
      <c r="N13" s="53" t="n">
        <v>0</v>
      </c>
      <c r="O13" s="53" t="n">
        <f aca="false">M13-N13</f>
        <v>3.88</v>
      </c>
      <c r="P13" s="53" t="n">
        <v>0</v>
      </c>
      <c r="Q13" s="53" t="n">
        <v>0</v>
      </c>
      <c r="R13" s="53" t="n">
        <f aca="false">SUM(O13:Q13)</f>
        <v>3.88</v>
      </c>
      <c r="S13" s="54"/>
      <c r="T13" s="53" t="n">
        <v>0</v>
      </c>
      <c r="U13" s="53" t="n">
        <v>29.7</v>
      </c>
      <c r="V13" s="54" t="n">
        <f aca="false">V12-U13</f>
        <v>12513.1033148475</v>
      </c>
      <c r="W13" s="53" t="n">
        <f aca="false">R13+T13+N13+U13</f>
        <v>33.58</v>
      </c>
      <c r="X13" s="53" t="n">
        <f aca="false">IF(L13&lt;0,L13*-1,0)</f>
        <v>305.437579425113</v>
      </c>
      <c r="Y13" s="53" t="n">
        <f aca="false">W13+X13</f>
        <v>339.017579425113</v>
      </c>
      <c r="Z13" s="57" t="n">
        <v>0</v>
      </c>
      <c r="AA13" s="58" t="n">
        <v>70</v>
      </c>
      <c r="AB13" s="58" t="n">
        <v>39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6907.62</v>
      </c>
      <c r="C14" s="54" t="n">
        <v>312568</v>
      </c>
      <c r="D14" s="58" t="n">
        <f aca="false">C14-C13</f>
        <v>0</v>
      </c>
      <c r="E14" s="54" t="n">
        <f aca="false">C14-152000</f>
        <v>160568</v>
      </c>
      <c r="F14" s="53" t="n">
        <f aca="false">D14/$D$2</f>
        <v>0</v>
      </c>
      <c r="G14" s="53" t="n">
        <v>33.42</v>
      </c>
      <c r="H14" s="55" t="n">
        <v>0</v>
      </c>
      <c r="I14" s="53" t="n">
        <f aca="false">G14+H14</f>
        <v>33.42</v>
      </c>
      <c r="J14" s="77" t="n">
        <f aca="false">IF(L14&gt;0,L14,0)</f>
        <v>0</v>
      </c>
      <c r="K14" s="53" t="n">
        <f aca="false">I14+J14</f>
        <v>33.42</v>
      </c>
      <c r="L14" s="53" t="n">
        <f aca="false">F14-(I14-W14)</f>
        <v>-0.0900000000000034</v>
      </c>
      <c r="M14" s="53" t="n">
        <v>3.72</v>
      </c>
      <c r="N14" s="53" t="n">
        <v>0</v>
      </c>
      <c r="O14" s="53" t="n">
        <f aca="false">M14-N14</f>
        <v>3.72</v>
      </c>
      <c r="P14" s="53" t="n">
        <v>0</v>
      </c>
      <c r="Q14" s="53" t="n">
        <v>0</v>
      </c>
      <c r="R14" s="53" t="n">
        <f aca="false">SUM(O14:Q14)</f>
        <v>3.72</v>
      </c>
      <c r="S14" s="54"/>
      <c r="T14" s="53" t="n">
        <v>0</v>
      </c>
      <c r="U14" s="53" t="n">
        <v>29.61</v>
      </c>
      <c r="V14" s="54" t="n">
        <f aca="false">V13-U14</f>
        <v>12483.4933148475</v>
      </c>
      <c r="W14" s="53" t="n">
        <f aca="false">R14+T14+N14+U14</f>
        <v>33.33</v>
      </c>
      <c r="X14" s="53" t="n">
        <f aca="false">IF(L14&lt;0,L14*-1,0)</f>
        <v>0.0900000000000034</v>
      </c>
      <c r="Y14" s="53" t="n">
        <f aca="false">W14+X14</f>
        <v>33.42</v>
      </c>
      <c r="Z14" s="57" t="n">
        <v>0</v>
      </c>
      <c r="AA14" s="58" t="n">
        <v>76</v>
      </c>
      <c r="AB14" s="58" t="n">
        <v>43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6907.62</v>
      </c>
      <c r="C15" s="54" t="n">
        <v>312568</v>
      </c>
      <c r="D15" s="58" t="n">
        <f aca="false">C15-C14</f>
        <v>0</v>
      </c>
      <c r="E15" s="54" t="n">
        <f aca="false">C15-152000</f>
        <v>160568</v>
      </c>
      <c r="F15" s="53" t="n">
        <f aca="false">D15/$D$2</f>
        <v>0</v>
      </c>
      <c r="G15" s="53" t="n">
        <v>51.0700252143217</v>
      </c>
      <c r="H15" s="55" t="n">
        <v>0</v>
      </c>
      <c r="I15" s="53" t="n">
        <f aca="false">G15+H15</f>
        <v>51.0700252143217</v>
      </c>
      <c r="J15" s="77" t="n">
        <f aca="false">IF(L15&gt;0,L15,0)</f>
        <v>0</v>
      </c>
      <c r="K15" s="53" t="n">
        <f aca="false">I15+J15</f>
        <v>51.0700252143217</v>
      </c>
      <c r="L15" s="53" t="n">
        <f aca="false">F15-(I15-W15)</f>
        <v>-17.7400252143217</v>
      </c>
      <c r="M15" s="53" t="n">
        <v>3.72</v>
      </c>
      <c r="N15" s="53" t="n">
        <v>0</v>
      </c>
      <c r="O15" s="53" t="n">
        <f aca="false">M15-N15</f>
        <v>3.72</v>
      </c>
      <c r="P15" s="53" t="n">
        <v>0</v>
      </c>
      <c r="Q15" s="53" t="n">
        <v>0</v>
      </c>
      <c r="R15" s="53" t="n">
        <f aca="false">SUM(O15:Q15)</f>
        <v>3.72</v>
      </c>
      <c r="S15" s="54"/>
      <c r="T15" s="53" t="n">
        <v>0</v>
      </c>
      <c r="U15" s="53" t="n">
        <v>29.61</v>
      </c>
      <c r="V15" s="54" t="n">
        <f aca="false">V14-U15</f>
        <v>12453.8833148475</v>
      </c>
      <c r="W15" s="53" t="n">
        <f aca="false">R15+T15+N15+U15</f>
        <v>33.33</v>
      </c>
      <c r="X15" s="53" t="n">
        <f aca="false">IF(L15&lt;0,L15*-1,0)</f>
        <v>17.7400252143217</v>
      </c>
      <c r="Y15" s="53" t="n">
        <f aca="false">W15+X15</f>
        <v>51.0700252143217</v>
      </c>
      <c r="Z15" s="57" t="n">
        <v>0</v>
      </c>
      <c r="AA15" s="58" t="n">
        <v>73</v>
      </c>
      <c r="AB15" s="58" t="n">
        <v>39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6907.62</v>
      </c>
      <c r="C16" s="54" t="n">
        <v>312568</v>
      </c>
      <c r="D16" s="58" t="n">
        <f aca="false">C16-C15</f>
        <v>0</v>
      </c>
      <c r="E16" s="54" t="n">
        <f aca="false">C16-152000</f>
        <v>160568</v>
      </c>
      <c r="F16" s="53" t="n">
        <f aca="false">D16/$D$2</f>
        <v>0</v>
      </c>
      <c r="G16" s="53" t="n">
        <v>51.8343116490166</v>
      </c>
      <c r="H16" s="55" t="n">
        <v>0</v>
      </c>
      <c r="I16" s="53" t="n">
        <f aca="false">G16+H16</f>
        <v>51.8343116490166</v>
      </c>
      <c r="J16" s="77" t="n">
        <f aca="false">IF(L16&gt;0,L16,0)</f>
        <v>0</v>
      </c>
      <c r="K16" s="53" t="n">
        <f aca="false">I16+J16</f>
        <v>51.8343116490166</v>
      </c>
      <c r="L16" s="53" t="n">
        <f aca="false">F16-(I16-W16)</f>
        <v>-18.4143116490166</v>
      </c>
      <c r="M16" s="53" t="n">
        <v>3.72</v>
      </c>
      <c r="N16" s="53" t="n">
        <v>0</v>
      </c>
      <c r="O16" s="53" t="n">
        <f aca="false">M16-N16</f>
        <v>3.72</v>
      </c>
      <c r="P16" s="53" t="n">
        <v>0</v>
      </c>
      <c r="Q16" s="53" t="n">
        <v>0</v>
      </c>
      <c r="R16" s="53" t="n">
        <f aca="false">SUM(O16:Q16)</f>
        <v>3.72</v>
      </c>
      <c r="S16" s="54"/>
      <c r="T16" s="53" t="n">
        <v>0</v>
      </c>
      <c r="U16" s="53" t="n">
        <v>29.7</v>
      </c>
      <c r="V16" s="54" t="n">
        <f aca="false">V15-U16</f>
        <v>12424.1833148475</v>
      </c>
      <c r="W16" s="53" t="n">
        <f aca="false">R16+T16+N16+U16</f>
        <v>33.42</v>
      </c>
      <c r="X16" s="53" t="n">
        <f aca="false">IF(L16&lt;0,L16*-1,0)</f>
        <v>18.4143116490166</v>
      </c>
      <c r="Y16" s="53" t="n">
        <f aca="false">W16+X16</f>
        <v>51.8343116490166</v>
      </c>
      <c r="Z16" s="57" t="n">
        <v>0</v>
      </c>
      <c r="AA16" s="58" t="n">
        <v>74</v>
      </c>
      <c r="AB16" s="58" t="n">
        <v>37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6907.62</v>
      </c>
      <c r="C17" s="54" t="n">
        <v>312568</v>
      </c>
      <c r="D17" s="58" t="n">
        <f aca="false">C17-C16</f>
        <v>0</v>
      </c>
      <c r="E17" s="54" t="n">
        <f aca="false">C17-152000</f>
        <v>160568</v>
      </c>
      <c r="F17" s="53" t="n">
        <f aca="false">D17/$D$2</f>
        <v>0</v>
      </c>
      <c r="G17" s="53" t="n">
        <v>34.1</v>
      </c>
      <c r="H17" s="55" t="n">
        <v>0</v>
      </c>
      <c r="I17" s="53" t="n">
        <f aca="false">G17+H17</f>
        <v>34.1</v>
      </c>
      <c r="J17" s="77" t="n">
        <f aca="false">IF(L17&gt;0,L17,0)</f>
        <v>0</v>
      </c>
      <c r="K17" s="53" t="n">
        <f aca="false">I17+J17</f>
        <v>34.1</v>
      </c>
      <c r="L17" s="53" t="n">
        <f aca="false">F17-(I17-W17)</f>
        <v>-0.68</v>
      </c>
      <c r="M17" s="53" t="n">
        <v>3.72</v>
      </c>
      <c r="N17" s="53" t="n">
        <v>0</v>
      </c>
      <c r="O17" s="53" t="n">
        <f aca="false">M17-N17</f>
        <v>3.72</v>
      </c>
      <c r="P17" s="53" t="n">
        <v>0</v>
      </c>
      <c r="Q17" s="53" t="n">
        <v>0</v>
      </c>
      <c r="R17" s="53" t="n">
        <f aca="false">SUM(O17:Q17)</f>
        <v>3.72</v>
      </c>
      <c r="S17" s="54"/>
      <c r="T17" s="53" t="n">
        <v>0</v>
      </c>
      <c r="U17" s="53" t="n">
        <v>29.7</v>
      </c>
      <c r="V17" s="54" t="n">
        <f aca="false">V16-U17</f>
        <v>12394.4833148475</v>
      </c>
      <c r="W17" s="53" t="n">
        <f aca="false">R17+T17+N17+U17</f>
        <v>33.42</v>
      </c>
      <c r="X17" s="53" t="n">
        <f aca="false">IF(L17&lt;0,L17*-1,0)</f>
        <v>0.68</v>
      </c>
      <c r="Y17" s="53" t="n">
        <f aca="false">W17+X17</f>
        <v>34.1</v>
      </c>
      <c r="Z17" s="57" t="n">
        <v>0</v>
      </c>
      <c r="AA17" s="58" t="n">
        <v>69</v>
      </c>
      <c r="AB17" s="58" t="n">
        <v>34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6907.62</v>
      </c>
      <c r="C18" s="54" t="n">
        <v>312568</v>
      </c>
      <c r="D18" s="58" t="n">
        <f aca="false">C18-C17</f>
        <v>0</v>
      </c>
      <c r="E18" s="54" t="n">
        <f aca="false">C18-152000</f>
        <v>160568</v>
      </c>
      <c r="F18" s="53" t="n">
        <f aca="false">D18/$D$2</f>
        <v>0</v>
      </c>
      <c r="G18" s="53" t="n">
        <v>51.7500252143217</v>
      </c>
      <c r="H18" s="55" t="n">
        <v>0</v>
      </c>
      <c r="I18" s="53" t="n">
        <f aca="false">G18+H18</f>
        <v>51.7500252143217</v>
      </c>
      <c r="J18" s="77" t="n">
        <f aca="false">IF(L18&gt;0,L18,0)</f>
        <v>0</v>
      </c>
      <c r="K18" s="53" t="n">
        <f aca="false">I18+J18</f>
        <v>51.7500252143217</v>
      </c>
      <c r="L18" s="53" t="n">
        <f aca="false">F18-(I18-W18)</f>
        <v>-18.3300252143217</v>
      </c>
      <c r="M18" s="53" t="n">
        <v>3.72</v>
      </c>
      <c r="N18" s="53" t="n">
        <v>0</v>
      </c>
      <c r="O18" s="53" t="n">
        <f aca="false">M18-N18</f>
        <v>3.72</v>
      </c>
      <c r="P18" s="53" t="n">
        <v>0</v>
      </c>
      <c r="Q18" s="53" t="n">
        <v>0</v>
      </c>
      <c r="R18" s="53" t="n">
        <f aca="false">SUM(O18:Q18)</f>
        <v>3.72</v>
      </c>
      <c r="S18" s="54"/>
      <c r="T18" s="53" t="n">
        <v>0</v>
      </c>
      <c r="U18" s="53" t="n">
        <v>29.7</v>
      </c>
      <c r="V18" s="54" t="n">
        <f aca="false">V17-U18</f>
        <v>12364.7833148475</v>
      </c>
      <c r="W18" s="53" t="n">
        <f aca="false">R18+T18+N18+U18</f>
        <v>33.42</v>
      </c>
      <c r="X18" s="53" t="n">
        <f aca="false">IF(L18&lt;0,L18*-1,0)</f>
        <v>18.3300252143217</v>
      </c>
      <c r="Y18" s="53" t="n">
        <f aca="false">W18+X18</f>
        <v>51.7500252143217</v>
      </c>
      <c r="Z18" s="57" t="n">
        <v>0</v>
      </c>
      <c r="AA18" s="86" t="n">
        <v>66</v>
      </c>
      <c r="AB18" s="58" t="n">
        <v>44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6907.63</v>
      </c>
      <c r="C19" s="54" t="n">
        <v>312606</v>
      </c>
      <c r="D19" s="58" t="n">
        <f aca="false">C19-C18</f>
        <v>38</v>
      </c>
      <c r="E19" s="54" t="n">
        <f aca="false">C19-152000</f>
        <v>160606</v>
      </c>
      <c r="F19" s="53" t="n">
        <f aca="false">D19/$D$2</f>
        <v>19.1628845184065</v>
      </c>
      <c r="G19" s="53" t="n">
        <v>70.4086232980333</v>
      </c>
      <c r="H19" s="55" t="n">
        <v>0</v>
      </c>
      <c r="I19" s="53" t="n">
        <f aca="false">G19+H19</f>
        <v>70.4086232980333</v>
      </c>
      <c r="J19" s="77" t="n">
        <f aca="false">IF(L19&gt;0,L19,0)</f>
        <v>0</v>
      </c>
      <c r="K19" s="53" t="n">
        <f aca="false">I19+J19</f>
        <v>70.4086232980333</v>
      </c>
      <c r="L19" s="53" t="n">
        <f aca="false">F19-(I19-W19)</f>
        <v>-17.8257387796268</v>
      </c>
      <c r="M19" s="53" t="n">
        <v>3.72</v>
      </c>
      <c r="N19" s="53" t="n">
        <v>0</v>
      </c>
      <c r="O19" s="53" t="n">
        <f aca="false">M19-N19</f>
        <v>3.72</v>
      </c>
      <c r="P19" s="53" t="n">
        <v>0</v>
      </c>
      <c r="Q19" s="53" t="n">
        <v>0</v>
      </c>
      <c r="R19" s="53" t="n">
        <f aca="false">SUM(O19:Q19)</f>
        <v>3.72</v>
      </c>
      <c r="S19" s="54"/>
      <c r="T19" s="53" t="n">
        <v>0</v>
      </c>
      <c r="U19" s="53" t="n">
        <v>29.7</v>
      </c>
      <c r="V19" s="54" t="n">
        <f aca="false">V18-U19</f>
        <v>12335.0833148475</v>
      </c>
      <c r="W19" s="53" t="n">
        <f aca="false">R19+T19+N19+U19</f>
        <v>33.42</v>
      </c>
      <c r="X19" s="53" t="n">
        <f aca="false">IF(L19&lt;0,L19*-1,0)</f>
        <v>17.8257387796268</v>
      </c>
      <c r="Y19" s="53" t="n">
        <f aca="false">W19+X19</f>
        <v>51.2457387796268</v>
      </c>
      <c r="Z19" s="57" t="n">
        <v>0</v>
      </c>
      <c r="AA19" s="58" t="n">
        <v>66</v>
      </c>
      <c r="AB19" s="58" t="n">
        <v>36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6907.63</v>
      </c>
      <c r="C20" s="54" t="n">
        <v>312606</v>
      </c>
      <c r="D20" s="58" t="n">
        <f aca="false">C20-C19</f>
        <v>0</v>
      </c>
      <c r="E20" s="54" t="n">
        <f aca="false">C20-152000</f>
        <v>160606</v>
      </c>
      <c r="F20" s="53" t="n">
        <f aca="false">D20/$D$2</f>
        <v>0</v>
      </c>
      <c r="G20" s="53" t="n">
        <v>159.901608673727</v>
      </c>
      <c r="H20" s="55" t="n">
        <v>0</v>
      </c>
      <c r="I20" s="53" t="n">
        <f aca="false">G20+H20</f>
        <v>159.901608673727</v>
      </c>
      <c r="J20" s="77" t="n">
        <f aca="false">IF(L20&gt;0,L20,0)</f>
        <v>0</v>
      </c>
      <c r="K20" s="53" t="n">
        <f aca="false">I20+J20</f>
        <v>159.901608673727</v>
      </c>
      <c r="L20" s="53" t="n">
        <f aca="false">F20-(I20-W20)</f>
        <v>-126.481608673727</v>
      </c>
      <c r="M20" s="53" t="n">
        <v>3.72</v>
      </c>
      <c r="N20" s="53" t="n">
        <v>0</v>
      </c>
      <c r="O20" s="53" t="n">
        <f aca="false">M20-N20</f>
        <v>3.72</v>
      </c>
      <c r="P20" s="53" t="n">
        <v>0</v>
      </c>
      <c r="Q20" s="53" t="n">
        <v>0</v>
      </c>
      <c r="R20" s="53" t="n">
        <f aca="false">SUM(O20:Q20)</f>
        <v>3.72</v>
      </c>
      <c r="S20" s="54"/>
      <c r="T20" s="53" t="n">
        <v>0</v>
      </c>
      <c r="U20" s="53" t="n">
        <v>29.7</v>
      </c>
      <c r="V20" s="54" t="n">
        <f aca="false">V19-U20</f>
        <v>12305.3833148475</v>
      </c>
      <c r="W20" s="53" t="n">
        <f aca="false">R20+T20+N20+U20</f>
        <v>33.42</v>
      </c>
      <c r="X20" s="53" t="n">
        <f aca="false">IF(L20&lt;0,L20*-1,0)</f>
        <v>126.481608673727</v>
      </c>
      <c r="Y20" s="53" t="n">
        <f aca="false">W20+X20</f>
        <v>159.901608673727</v>
      </c>
      <c r="Z20" s="57" t="n">
        <v>0</v>
      </c>
      <c r="AA20" s="58" t="n">
        <v>68</v>
      </c>
      <c r="AB20" s="58" t="n">
        <v>40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6907.64</v>
      </c>
      <c r="C21" s="54" t="n">
        <v>312646</v>
      </c>
      <c r="D21" s="58" t="n">
        <f aca="false">C21-C20</f>
        <v>40</v>
      </c>
      <c r="E21" s="54" t="n">
        <f aca="false">C21-152000</f>
        <v>160646</v>
      </c>
      <c r="F21" s="53" t="n">
        <f aca="false">D21/$D$2</f>
        <v>20.1714573877963</v>
      </c>
      <c r="G21" s="53" t="n">
        <v>33.09</v>
      </c>
      <c r="H21" s="55" t="n">
        <v>0</v>
      </c>
      <c r="I21" s="53" t="n">
        <f aca="false">G21+H21</f>
        <v>33.09</v>
      </c>
      <c r="J21" s="77" t="n">
        <f aca="false">IF(L21&gt;0,L21,0)</f>
        <v>20.4714573877963</v>
      </c>
      <c r="K21" s="53" t="n">
        <f aca="false">I21+J21</f>
        <v>53.5614573877963</v>
      </c>
      <c r="L21" s="53" t="n">
        <f aca="false">F21-(I21-W21)</f>
        <v>20.4714573877963</v>
      </c>
      <c r="M21" s="53" t="n">
        <v>3.72</v>
      </c>
      <c r="N21" s="53" t="n">
        <v>0</v>
      </c>
      <c r="O21" s="53" t="n">
        <f aca="false">M21-N21</f>
        <v>3.72</v>
      </c>
      <c r="P21" s="53" t="n">
        <v>0</v>
      </c>
      <c r="Q21" s="53" t="n">
        <v>0</v>
      </c>
      <c r="R21" s="53" t="n">
        <f aca="false">SUM(O21:Q21)</f>
        <v>3.72</v>
      </c>
      <c r="S21" s="54"/>
      <c r="T21" s="53" t="n">
        <v>0</v>
      </c>
      <c r="U21" s="53" t="n">
        <v>29.67</v>
      </c>
      <c r="V21" s="54" t="n">
        <f aca="false">V20-U21</f>
        <v>12275.7133148475</v>
      </c>
      <c r="W21" s="53" t="n">
        <f aca="false">R21+T21+N21+U21</f>
        <v>33.39</v>
      </c>
      <c r="X21" s="53" t="n">
        <f aca="false">IF(L21&lt;0,L21*-1,0)</f>
        <v>0</v>
      </c>
      <c r="Y21" s="53" t="n">
        <f aca="false">W21+X21</f>
        <v>33.39</v>
      </c>
      <c r="Z21" s="57" t="n">
        <v>0</v>
      </c>
      <c r="AA21" s="58" t="n">
        <v>68</v>
      </c>
      <c r="AB21" s="58" t="n">
        <v>42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6907.64</v>
      </c>
      <c r="C22" s="54" t="n">
        <v>312646</v>
      </c>
      <c r="D22" s="58" t="n">
        <f aca="false">C22-C21</f>
        <v>0</v>
      </c>
      <c r="E22" s="54" t="n">
        <f aca="false">C22-152000</f>
        <v>160646</v>
      </c>
      <c r="F22" s="53" t="n">
        <f aca="false">D22/$D$2</f>
        <v>0</v>
      </c>
      <c r="G22" s="53" t="n">
        <v>33.35</v>
      </c>
      <c r="H22" s="55" t="n">
        <v>0</v>
      </c>
      <c r="I22" s="53" t="n">
        <f aca="false">G22+H22</f>
        <v>33.35</v>
      </c>
      <c r="J22" s="77" t="n">
        <f aca="false">IF(L22&gt;0,L22,0)</f>
        <v>0</v>
      </c>
      <c r="K22" s="53" t="n">
        <f aca="false">I22+J22</f>
        <v>33.35</v>
      </c>
      <c r="L22" s="53" t="n">
        <f aca="false">F22-(I22-W22)</f>
        <v>-0.0799999999999983</v>
      </c>
      <c r="M22" s="53" t="n">
        <v>3.72</v>
      </c>
      <c r="N22" s="53" t="n">
        <v>0</v>
      </c>
      <c r="O22" s="53" t="n">
        <f aca="false">M22-N22</f>
        <v>3.72</v>
      </c>
      <c r="P22" s="53" t="n">
        <v>0</v>
      </c>
      <c r="Q22" s="53" t="n">
        <v>0</v>
      </c>
      <c r="R22" s="53" t="n">
        <f aca="false">SUM(O22:Q22)</f>
        <v>3.72</v>
      </c>
      <c r="S22" s="54"/>
      <c r="T22" s="53" t="n">
        <v>0</v>
      </c>
      <c r="U22" s="53" t="n">
        <v>29.55</v>
      </c>
      <c r="V22" s="54" t="n">
        <f aca="false">V21-U22</f>
        <v>12246.1633148475</v>
      </c>
      <c r="W22" s="53" t="n">
        <f aca="false">R22+T22+N22+U22</f>
        <v>33.27</v>
      </c>
      <c r="X22" s="53" t="n">
        <f aca="false">IF(L22&lt;0,L22*-1,0)</f>
        <v>0.0799999999999983</v>
      </c>
      <c r="Y22" s="53" t="n">
        <f aca="false">W22+X22</f>
        <v>33.35</v>
      </c>
      <c r="Z22" s="57" t="n">
        <v>0</v>
      </c>
      <c r="AA22" s="58" t="n">
        <v>63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6907.65</v>
      </c>
      <c r="C23" s="54" t="n">
        <v>312684</v>
      </c>
      <c r="D23" s="58" t="n">
        <f aca="false">C23-C22</f>
        <v>38</v>
      </c>
      <c r="E23" s="54" t="n">
        <f aca="false">C23-152000</f>
        <v>160684</v>
      </c>
      <c r="F23" s="53" t="n">
        <f aca="false">D23/$D$2</f>
        <v>19.1628845184065</v>
      </c>
      <c r="G23" s="53" t="n">
        <v>53.2185980837116</v>
      </c>
      <c r="H23" s="55" t="n">
        <v>0</v>
      </c>
      <c r="I23" s="53" t="n">
        <f aca="false">G23+H23</f>
        <v>53.2185980837116</v>
      </c>
      <c r="J23" s="77" t="n">
        <f aca="false">IF(L23&gt;0,L23,0)</f>
        <v>0</v>
      </c>
      <c r="K23" s="53" t="n">
        <f aca="false">I23+J23</f>
        <v>53.2185980837116</v>
      </c>
      <c r="L23" s="53" t="n">
        <f aca="false">F23-(I23-W23)</f>
        <v>-0.725713565305096</v>
      </c>
      <c r="M23" s="53" t="n">
        <v>3.72</v>
      </c>
      <c r="N23" s="53" t="n">
        <v>0</v>
      </c>
      <c r="O23" s="53" t="n">
        <f aca="false">M23-N23</f>
        <v>3.72</v>
      </c>
      <c r="P23" s="53" t="n">
        <v>0</v>
      </c>
      <c r="Q23" s="53" t="n">
        <v>0</v>
      </c>
      <c r="R23" s="53" t="n">
        <f aca="false">SUM(O23:Q23)</f>
        <v>3.72</v>
      </c>
      <c r="S23" s="54"/>
      <c r="T23" s="53" t="n">
        <v>0</v>
      </c>
      <c r="U23" s="53" t="n">
        <v>29.61</v>
      </c>
      <c r="V23" s="54" t="n">
        <f aca="false">V22-U23</f>
        <v>12216.5533148475</v>
      </c>
      <c r="W23" s="53" t="n">
        <f aca="false">R23+T23+N23+U23</f>
        <v>33.33</v>
      </c>
      <c r="X23" s="53" t="n">
        <f aca="false">IF(L23&lt;0,L23*-1,0)</f>
        <v>0.725713565305096</v>
      </c>
      <c r="Y23" s="53" t="n">
        <f aca="false">W23+X23</f>
        <v>34.0557135653051</v>
      </c>
      <c r="Z23" s="57" t="n">
        <v>0</v>
      </c>
      <c r="AA23" s="86" t="n">
        <v>70</v>
      </c>
      <c r="AB23" s="58" t="n">
        <v>38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6907.65</v>
      </c>
      <c r="C24" s="54" t="n">
        <v>312684</v>
      </c>
      <c r="D24" s="58" t="n">
        <f aca="false">C24-C23</f>
        <v>0</v>
      </c>
      <c r="E24" s="54" t="n">
        <f aca="false">C24-152000</f>
        <v>160684</v>
      </c>
      <c r="F24" s="53" t="n">
        <f aca="false">D24/$D$2</f>
        <v>0</v>
      </c>
      <c r="G24" s="53" t="n">
        <v>107.447246596067</v>
      </c>
      <c r="H24" s="55" t="n">
        <v>0</v>
      </c>
      <c r="I24" s="53" t="n">
        <f aca="false">G24+H24</f>
        <v>107.447246596067</v>
      </c>
      <c r="J24" s="77" t="n">
        <f aca="false">IF(L24&gt;0,L24,0)</f>
        <v>0</v>
      </c>
      <c r="K24" s="53" t="n">
        <f aca="false">I24+J24</f>
        <v>107.447246596067</v>
      </c>
      <c r="L24" s="53" t="n">
        <f aca="false">F24-(I24-W24)</f>
        <v>-74.1472465960666</v>
      </c>
      <c r="M24" s="53" t="n">
        <v>3.72</v>
      </c>
      <c r="N24" s="53" t="n">
        <v>0</v>
      </c>
      <c r="O24" s="53" t="n">
        <f aca="false">M24-N24</f>
        <v>3.72</v>
      </c>
      <c r="P24" s="53" t="n">
        <v>0</v>
      </c>
      <c r="Q24" s="53" t="n">
        <v>0</v>
      </c>
      <c r="R24" s="53" t="n">
        <f aca="false">SUM(O24:Q24)</f>
        <v>3.72</v>
      </c>
      <c r="S24" s="54"/>
      <c r="T24" s="53" t="n">
        <v>0</v>
      </c>
      <c r="U24" s="53" t="n">
        <v>29.58</v>
      </c>
      <c r="V24" s="54" t="n">
        <f aca="false">V23-U24</f>
        <v>12186.9733148475</v>
      </c>
      <c r="W24" s="53" t="n">
        <f aca="false">R24+T24+N24+U24</f>
        <v>33.3</v>
      </c>
      <c r="X24" s="53" t="n">
        <f aca="false">IF(L24&lt;0,L24*-1,0)</f>
        <v>74.1472465960666</v>
      </c>
      <c r="Y24" s="53" t="n">
        <f aca="false">W24+X24</f>
        <v>107.447246596067</v>
      </c>
      <c r="Z24" s="57" t="n">
        <v>0</v>
      </c>
      <c r="AA24" s="86" t="n">
        <v>72</v>
      </c>
      <c r="AB24" s="58" t="n">
        <v>44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6907.67</v>
      </c>
      <c r="C25" s="54" t="n">
        <v>312763</v>
      </c>
      <c r="D25" s="58" t="n">
        <f aca="false">C25-C24</f>
        <v>79</v>
      </c>
      <c r="E25" s="54" t="n">
        <f aca="false">C25-152000</f>
        <v>160763</v>
      </c>
      <c r="F25" s="53" t="n">
        <f aca="false">D25/$D$2</f>
        <v>39.8386283408976</v>
      </c>
      <c r="G25" s="53" t="n">
        <v>52.2200252143217</v>
      </c>
      <c r="H25" s="55" t="n">
        <v>0</v>
      </c>
      <c r="I25" s="53" t="n">
        <f aca="false">G25+H25</f>
        <v>52.2200252143217</v>
      </c>
      <c r="J25" s="77" t="n">
        <f aca="false">IF(L25&gt;0,L25,0)</f>
        <v>20.8886031265759</v>
      </c>
      <c r="K25" s="53" t="n">
        <f aca="false">I25+J25</f>
        <v>73.1086283408976</v>
      </c>
      <c r="L25" s="53" t="n">
        <f aca="false">F25-(I25-W25)</f>
        <v>20.8886031265759</v>
      </c>
      <c r="M25" s="53" t="n">
        <v>3.72</v>
      </c>
      <c r="N25" s="53" t="n">
        <v>0</v>
      </c>
      <c r="O25" s="53" t="n">
        <f aca="false">M25-N25</f>
        <v>3.72</v>
      </c>
      <c r="P25" s="53" t="n">
        <v>0</v>
      </c>
      <c r="Q25" s="53" t="n">
        <v>0</v>
      </c>
      <c r="R25" s="53" t="n">
        <f aca="false">SUM(O25:Q25)</f>
        <v>3.72</v>
      </c>
      <c r="S25" s="54"/>
      <c r="T25" s="53" t="n">
        <v>0</v>
      </c>
      <c r="U25" s="53" t="n">
        <v>29.55</v>
      </c>
      <c r="V25" s="54" t="n">
        <f aca="false">V24-U25</f>
        <v>12157.4233148475</v>
      </c>
      <c r="W25" s="53" t="n">
        <f aca="false">R25+T25+N25+U25</f>
        <v>33.27</v>
      </c>
      <c r="X25" s="53" t="n">
        <f aca="false">IF(L25&lt;0,L25*-1,0)</f>
        <v>0</v>
      </c>
      <c r="Y25" s="53" t="n">
        <f aca="false">W25+X25</f>
        <v>33.27</v>
      </c>
      <c r="Z25" s="57" t="n">
        <v>0.85</v>
      </c>
      <c r="AA25" s="86" t="n">
        <v>76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6907.75</v>
      </c>
      <c r="C26" s="54" t="n">
        <v>313077</v>
      </c>
      <c r="D26" s="58" t="n">
        <f aca="false">C26-C25</f>
        <v>314</v>
      </c>
      <c r="E26" s="54" t="n">
        <f aca="false">C26-152000</f>
        <v>161077</v>
      </c>
      <c r="F26" s="53" t="n">
        <f aca="false">D26/$D$2</f>
        <v>158.345940494201</v>
      </c>
      <c r="G26" s="53" t="n">
        <v>16.5599747856783</v>
      </c>
      <c r="H26" s="55" t="n">
        <v>0</v>
      </c>
      <c r="I26" s="53" t="n">
        <f aca="false">G26+H26</f>
        <v>16.5599747856783</v>
      </c>
      <c r="J26" s="77" t="n">
        <f aca="false">IF(L26&gt;0,L26,0)</f>
        <v>175.215965708522</v>
      </c>
      <c r="K26" s="53" t="n">
        <f aca="false">I26+J26</f>
        <v>191.775940494201</v>
      </c>
      <c r="L26" s="53" t="n">
        <f aca="false">F26-(I26-W26)</f>
        <v>175.215965708522</v>
      </c>
      <c r="M26" s="53" t="n">
        <v>3.72</v>
      </c>
      <c r="N26" s="53" t="n">
        <v>0</v>
      </c>
      <c r="O26" s="53" t="n">
        <f aca="false">M26-N26</f>
        <v>3.72</v>
      </c>
      <c r="P26" s="53" t="n">
        <v>0</v>
      </c>
      <c r="Q26" s="53" t="n">
        <v>0</v>
      </c>
      <c r="R26" s="53" t="n">
        <f aca="false">SUM(O26:Q26)</f>
        <v>3.72</v>
      </c>
      <c r="S26" s="54"/>
      <c r="T26" s="53" t="n">
        <v>0</v>
      </c>
      <c r="U26" s="53" t="n">
        <v>29.71</v>
      </c>
      <c r="V26" s="54" t="n">
        <f aca="false">V25-U26</f>
        <v>12127.7133148475</v>
      </c>
      <c r="W26" s="53" t="n">
        <f aca="false">R26+T26+N26+U26</f>
        <v>33.43</v>
      </c>
      <c r="X26" s="53" t="n">
        <f aca="false">IF(L26&lt;0,L26*-1,0)</f>
        <v>0</v>
      </c>
      <c r="Y26" s="53" t="n">
        <f aca="false">W26+X26</f>
        <v>33.43</v>
      </c>
      <c r="Z26" s="57" t="n">
        <v>0.14</v>
      </c>
      <c r="AA26" s="86" t="n">
        <v>75</v>
      </c>
      <c r="AB26" s="58" t="n">
        <v>43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6907.75</v>
      </c>
      <c r="C27" s="54" t="n">
        <v>313077</v>
      </c>
      <c r="D27" s="58" t="n">
        <f aca="false">C27-C26</f>
        <v>0</v>
      </c>
      <c r="E27" s="54" t="n">
        <f aca="false">C27-152000</f>
        <v>161077</v>
      </c>
      <c r="F27" s="53" t="n">
        <f aca="false">D27/$D$2</f>
        <v>0</v>
      </c>
      <c r="G27" s="53" t="n">
        <v>51.7500252143217</v>
      </c>
      <c r="H27" s="55" t="n">
        <v>0</v>
      </c>
      <c r="I27" s="53" t="n">
        <f aca="false">G27+H27</f>
        <v>51.7500252143217</v>
      </c>
      <c r="J27" s="77" t="n">
        <f aca="false">IF(L27&gt;0,L27,0)</f>
        <v>0</v>
      </c>
      <c r="K27" s="53" t="n">
        <f aca="false">I27+J27</f>
        <v>51.7500252143217</v>
      </c>
      <c r="L27" s="53" t="n">
        <f aca="false">F27-(I27-W27)</f>
        <v>-18.3300252143217</v>
      </c>
      <c r="M27" s="53" t="n">
        <v>3.72</v>
      </c>
      <c r="N27" s="53" t="n">
        <v>0</v>
      </c>
      <c r="O27" s="53" t="n">
        <f aca="false">M27-N27</f>
        <v>3.72</v>
      </c>
      <c r="P27" s="53" t="n">
        <v>0</v>
      </c>
      <c r="Q27" s="53" t="n">
        <v>0</v>
      </c>
      <c r="R27" s="53" t="n">
        <f aca="false">SUM(O27:Q27)</f>
        <v>3.72</v>
      </c>
      <c r="S27" s="54"/>
      <c r="T27" s="53" t="n">
        <v>0</v>
      </c>
      <c r="U27" s="53" t="n">
        <v>29.7</v>
      </c>
      <c r="V27" s="54" t="n">
        <f aca="false">V26-U27</f>
        <v>12098.0133148475</v>
      </c>
      <c r="W27" s="53" t="n">
        <f aca="false">R27+T27+N27+U27</f>
        <v>33.42</v>
      </c>
      <c r="X27" s="53" t="n">
        <f aca="false">IF(L27&lt;0,L27*-1,0)</f>
        <v>18.3300252143217</v>
      </c>
      <c r="Y27" s="53" t="n">
        <f aca="false">W27+X27</f>
        <v>51.7500252143217</v>
      </c>
      <c r="Z27" s="57" t="n">
        <v>0</v>
      </c>
      <c r="AA27" s="86" t="n">
        <v>74</v>
      </c>
      <c r="AB27" s="58" t="n">
        <v>40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6907.75</v>
      </c>
      <c r="C28" s="54" t="n">
        <v>313077</v>
      </c>
      <c r="D28" s="58" t="n">
        <f aca="false">C28-C27</f>
        <v>0</v>
      </c>
      <c r="E28" s="54" t="n">
        <f aca="false">C28-152000</f>
        <v>161077</v>
      </c>
      <c r="F28" s="53" t="n">
        <f aca="false">D28/$D$2</f>
        <v>0</v>
      </c>
      <c r="G28" s="53" t="n">
        <v>34.38</v>
      </c>
      <c r="H28" s="55" t="n">
        <v>0</v>
      </c>
      <c r="I28" s="53" t="n">
        <f aca="false">G28+H28</f>
        <v>34.38</v>
      </c>
      <c r="J28" s="77" t="n">
        <f aca="false">IF(L28&gt;0,L28,0)</f>
        <v>0</v>
      </c>
      <c r="K28" s="53" t="n">
        <f aca="false">I28+J28</f>
        <v>34.38</v>
      </c>
      <c r="L28" s="53" t="n">
        <f aca="false">F28-(I28-W28)</f>
        <v>-0.990000000000002</v>
      </c>
      <c r="M28" s="53" t="n">
        <v>3.72</v>
      </c>
      <c r="N28" s="53" t="n">
        <v>0</v>
      </c>
      <c r="O28" s="53" t="n">
        <f aca="false">M28-N28</f>
        <v>3.72</v>
      </c>
      <c r="P28" s="53" t="n">
        <v>0</v>
      </c>
      <c r="Q28" s="53" t="n">
        <v>0</v>
      </c>
      <c r="R28" s="53" t="n">
        <f aca="false">SUM(O28:Q28)</f>
        <v>3.72</v>
      </c>
      <c r="S28" s="54"/>
      <c r="T28" s="53" t="n">
        <v>0</v>
      </c>
      <c r="U28" s="53" t="n">
        <v>29.67</v>
      </c>
      <c r="V28" s="54" t="n">
        <f aca="false">V27-U28</f>
        <v>12068.3433148475</v>
      </c>
      <c r="W28" s="53" t="n">
        <f aca="false">R28+T28+N28+U28</f>
        <v>33.39</v>
      </c>
      <c r="X28" s="53" t="n">
        <f aca="false">IF(L28&lt;0,L28*-1,0)</f>
        <v>0.990000000000002</v>
      </c>
      <c r="Y28" s="53" t="n">
        <f aca="false">W28+X28</f>
        <v>34.38</v>
      </c>
      <c r="Z28" s="57" t="n">
        <v>0</v>
      </c>
      <c r="AA28" s="86" t="n">
        <v>75</v>
      </c>
      <c r="AB28" s="58" t="n">
        <v>39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6907.75</v>
      </c>
      <c r="C29" s="54" t="n">
        <v>313077</v>
      </c>
      <c r="D29" s="58" t="n">
        <f aca="false">C29-C28</f>
        <v>0</v>
      </c>
      <c r="E29" s="54" t="n">
        <f aca="false">C29-152000</f>
        <v>161077</v>
      </c>
      <c r="F29" s="53" t="n">
        <f aca="false">D29/$D$2</f>
        <v>0</v>
      </c>
      <c r="G29" s="53" t="n">
        <v>16.8099747856783</v>
      </c>
      <c r="H29" s="55" t="n">
        <v>0</v>
      </c>
      <c r="I29" s="53" t="n">
        <f aca="false">G29+H29</f>
        <v>16.8099747856783</v>
      </c>
      <c r="J29" s="77" t="n">
        <f aca="false">IF(L29&gt;0,L29,0)</f>
        <v>16.5200252143217</v>
      </c>
      <c r="K29" s="53" t="n">
        <f aca="false">I29+J29</f>
        <v>33.33</v>
      </c>
      <c r="L29" s="53" t="n">
        <f aca="false">F29-(I29-W29)</f>
        <v>16.5200252143217</v>
      </c>
      <c r="M29" s="53" t="n">
        <v>3.72</v>
      </c>
      <c r="N29" s="53" t="n">
        <v>0</v>
      </c>
      <c r="O29" s="53" t="n">
        <f aca="false">M29-N29</f>
        <v>3.72</v>
      </c>
      <c r="P29" s="53" t="n">
        <v>0</v>
      </c>
      <c r="Q29" s="53" t="n">
        <v>0</v>
      </c>
      <c r="R29" s="53" t="n">
        <f aca="false">SUM(O29:Q29)</f>
        <v>3.72</v>
      </c>
      <c r="S29" s="54"/>
      <c r="T29" s="53" t="n">
        <v>0</v>
      </c>
      <c r="U29" s="53" t="n">
        <v>29.61</v>
      </c>
      <c r="V29" s="54" t="n">
        <f aca="false">V28-U29</f>
        <v>12038.7333148475</v>
      </c>
      <c r="W29" s="53" t="n">
        <f aca="false">R29+T29+N29+U29</f>
        <v>33.33</v>
      </c>
      <c r="X29" s="53" t="n">
        <f aca="false">IF(L29&lt;0,L29*-1,0)</f>
        <v>0</v>
      </c>
      <c r="Y29" s="53" t="n">
        <f aca="false">W29+X29</f>
        <v>33.33</v>
      </c>
      <c r="Z29" s="57" t="n">
        <v>0</v>
      </c>
      <c r="AA29" s="86" t="n">
        <v>72</v>
      </c>
      <c r="AB29" s="58" t="n">
        <v>30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6907.77</v>
      </c>
      <c r="C30" s="54" t="n">
        <v>313155</v>
      </c>
      <c r="D30" s="58" t="n">
        <f aca="false">C30-C29</f>
        <v>78</v>
      </c>
      <c r="E30" s="54" t="n">
        <f aca="false">C30-152000</f>
        <v>161155</v>
      </c>
      <c r="F30" s="53" t="n">
        <f aca="false">D30/$D$2</f>
        <v>39.3343419062027</v>
      </c>
      <c r="G30" s="53" t="n">
        <v>52.1100252143217</v>
      </c>
      <c r="H30" s="55" t="n">
        <v>0</v>
      </c>
      <c r="I30" s="53" t="n">
        <f aca="false">G30+H30</f>
        <v>52.1100252143217</v>
      </c>
      <c r="J30" s="77" t="n">
        <f aca="false">IF(L30&gt;0,L30,0)</f>
        <v>20.084316691881</v>
      </c>
      <c r="K30" s="53" t="n">
        <f aca="false">I30+J30</f>
        <v>72.1943419062027</v>
      </c>
      <c r="L30" s="53" t="n">
        <f aca="false">F30-(I30-W30)</f>
        <v>20.084316691881</v>
      </c>
      <c r="M30" s="53" t="n">
        <v>3.72</v>
      </c>
      <c r="N30" s="53" t="n">
        <v>0</v>
      </c>
      <c r="O30" s="53" t="n">
        <f aca="false">M30-N30</f>
        <v>3.72</v>
      </c>
      <c r="P30" s="53" t="n">
        <v>0</v>
      </c>
      <c r="Q30" s="53" t="n">
        <v>0</v>
      </c>
      <c r="R30" s="53" t="n">
        <f aca="false">SUM(O30:Q30)</f>
        <v>3.72</v>
      </c>
      <c r="S30" s="54"/>
      <c r="T30" s="53" t="n">
        <v>0</v>
      </c>
      <c r="U30" s="53" t="n">
        <v>29.14</v>
      </c>
      <c r="V30" s="54" t="n">
        <f aca="false">V29-U30</f>
        <v>12009.5933148475</v>
      </c>
      <c r="W30" s="53" t="n">
        <f aca="false">R30+T30+N30+U30</f>
        <v>32.86</v>
      </c>
      <c r="X30" s="53" t="n">
        <f aca="false">IF(L30&lt;0,L30*-1,0)</f>
        <v>0</v>
      </c>
      <c r="Y30" s="53" t="n">
        <f aca="false">W30+X30</f>
        <v>32.86</v>
      </c>
      <c r="Z30" s="57" t="n">
        <v>0</v>
      </c>
      <c r="AA30" s="58" t="n">
        <v>73</v>
      </c>
      <c r="AB30" s="58" t="n">
        <v>35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6907.79</v>
      </c>
      <c r="C31" s="54" t="n">
        <v>313233</v>
      </c>
      <c r="D31" s="58" t="n">
        <f aca="false">C31-C30</f>
        <v>78</v>
      </c>
      <c r="E31" s="54" t="n">
        <f aca="false">C31-152000</f>
        <v>161233</v>
      </c>
      <c r="F31" s="53" t="n">
        <f aca="false">D31/$D$2</f>
        <v>39.3343419062027</v>
      </c>
      <c r="G31" s="53" t="n">
        <v>53.1185980837116</v>
      </c>
      <c r="H31" s="55" t="n">
        <v>0</v>
      </c>
      <c r="I31" s="53" t="n">
        <f aca="false">G31+H31</f>
        <v>53.1185980837116</v>
      </c>
      <c r="J31" s="77" t="n">
        <f aca="false">IF(L31&gt;0,L31,0)</f>
        <v>20.2157438224912</v>
      </c>
      <c r="K31" s="53" t="n">
        <f aca="false">I31+J31</f>
        <v>73.3343419062027</v>
      </c>
      <c r="L31" s="53" t="n">
        <f aca="false">F31-(I31-W31)</f>
        <v>20.2157438224912</v>
      </c>
      <c r="M31" s="53" t="n">
        <v>4.48</v>
      </c>
      <c r="N31" s="53" t="n">
        <v>0</v>
      </c>
      <c r="O31" s="53" t="n">
        <f aca="false">M31-N31</f>
        <v>4.48</v>
      </c>
      <c r="P31" s="53" t="n">
        <v>0</v>
      </c>
      <c r="Q31" s="53" t="n">
        <v>0</v>
      </c>
      <c r="R31" s="53" t="n">
        <f aca="false">SUM(O31:Q31)</f>
        <v>4.48</v>
      </c>
      <c r="S31" s="54"/>
      <c r="T31" s="53" t="n">
        <v>0</v>
      </c>
      <c r="U31" s="53" t="n">
        <v>29.52</v>
      </c>
      <c r="V31" s="54" t="n">
        <f aca="false">V30-U31</f>
        <v>11980.0733148475</v>
      </c>
      <c r="W31" s="53" t="n">
        <f aca="false">R31+T31+N31+U31</f>
        <v>34</v>
      </c>
      <c r="X31" s="53" t="n">
        <f aca="false">IF(L31&lt;0,L31*-1,0)</f>
        <v>0</v>
      </c>
      <c r="Y31" s="53" t="n">
        <f aca="false">W31+X31</f>
        <v>34</v>
      </c>
      <c r="Z31" s="57" t="n">
        <v>0.14</v>
      </c>
      <c r="AA31" s="58" t="n">
        <v>79</v>
      </c>
      <c r="AB31" s="58" t="n">
        <v>40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6907.79</v>
      </c>
      <c r="C32" s="54" t="n">
        <v>313233</v>
      </c>
      <c r="D32" s="58" t="n">
        <f aca="false">C32-C31</f>
        <v>0</v>
      </c>
      <c r="E32" s="54" t="n">
        <f aca="false">C32-152000</f>
        <v>161233</v>
      </c>
      <c r="F32" s="53" t="n">
        <f aca="false">D32/$D$2</f>
        <v>0</v>
      </c>
      <c r="G32" s="53" t="n">
        <v>70.7686232980333</v>
      </c>
      <c r="H32" s="55" t="n">
        <v>0</v>
      </c>
      <c r="I32" s="53" t="n">
        <f aca="false">G32+H32</f>
        <v>70.7686232980333</v>
      </c>
      <c r="J32" s="77" t="n">
        <f aca="false">IF(L32&gt;0,L32,0)</f>
        <v>0</v>
      </c>
      <c r="K32" s="53" t="n">
        <f aca="false">I32+J32</f>
        <v>70.7686232980333</v>
      </c>
      <c r="L32" s="53" t="n">
        <f aca="false">F32-(I32-W32)</f>
        <v>-37.1486232980333</v>
      </c>
      <c r="M32" s="53" t="n">
        <v>3.92</v>
      </c>
      <c r="N32" s="53" t="n">
        <v>0</v>
      </c>
      <c r="O32" s="53" t="n">
        <f aca="false">M32-N32</f>
        <v>3.92</v>
      </c>
      <c r="P32" s="53" t="n">
        <v>0</v>
      </c>
      <c r="Q32" s="53" t="n">
        <v>0</v>
      </c>
      <c r="R32" s="53" t="n">
        <f aca="false">SUM(O32:Q32)</f>
        <v>3.92</v>
      </c>
      <c r="S32" s="54"/>
      <c r="T32" s="53" t="n">
        <v>0</v>
      </c>
      <c r="U32" s="53" t="n">
        <v>29.7</v>
      </c>
      <c r="V32" s="54" t="n">
        <f aca="false">V31-U32</f>
        <v>11950.3733148475</v>
      </c>
      <c r="W32" s="53" t="n">
        <f aca="false">R32+T32+N32+U32</f>
        <v>33.62</v>
      </c>
      <c r="X32" s="53" t="n">
        <f aca="false">IF(L32&lt;0,L32*-1,0)</f>
        <v>37.1486232980333</v>
      </c>
      <c r="Y32" s="53" t="n">
        <f aca="false">W32+X32</f>
        <v>70.7686232980333</v>
      </c>
      <c r="Z32" s="57" t="n">
        <v>0</v>
      </c>
      <c r="AA32" s="58" t="n">
        <v>80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6907.79</v>
      </c>
      <c r="C33" s="54" t="n">
        <v>313233</v>
      </c>
      <c r="D33" s="58" t="n">
        <f aca="false">C33-C32</f>
        <v>0</v>
      </c>
      <c r="E33" s="54" t="n">
        <f aca="false">C33-152000</f>
        <v>161233</v>
      </c>
      <c r="F33" s="53" t="n">
        <f aca="false">D33/$D$2</f>
        <v>0</v>
      </c>
      <c r="G33" s="53" t="n">
        <v>69.8643368633384</v>
      </c>
      <c r="H33" s="55" t="n">
        <v>0</v>
      </c>
      <c r="I33" s="53" t="n">
        <f aca="false">G33+H33</f>
        <v>69.8643368633384</v>
      </c>
      <c r="J33" s="77" t="n">
        <f aca="false">IF(L33&gt;0,L33,0)</f>
        <v>0</v>
      </c>
      <c r="K33" s="53" t="n">
        <f aca="false">I33+J33</f>
        <v>69.8643368633384</v>
      </c>
      <c r="L33" s="53" t="n">
        <f aca="false">F33-(I33-W33)</f>
        <v>-36.4443368633384</v>
      </c>
      <c r="M33" s="53" t="n">
        <v>3.72</v>
      </c>
      <c r="N33" s="53" t="n">
        <v>0</v>
      </c>
      <c r="O33" s="53" t="n">
        <f aca="false">M33-N33</f>
        <v>3.72</v>
      </c>
      <c r="P33" s="53" t="n">
        <v>0</v>
      </c>
      <c r="Q33" s="53" t="n">
        <v>0</v>
      </c>
      <c r="R33" s="53" t="n">
        <f aca="false">SUM(O33:Q33)</f>
        <v>3.72</v>
      </c>
      <c r="S33" s="54"/>
      <c r="T33" s="53" t="n">
        <v>0</v>
      </c>
      <c r="U33" s="53" t="n">
        <v>29.7</v>
      </c>
      <c r="V33" s="54" t="n">
        <f aca="false">V32-U33</f>
        <v>11920.6733148475</v>
      </c>
      <c r="W33" s="53" t="n">
        <f aca="false">R33+T33+N33+U33</f>
        <v>33.42</v>
      </c>
      <c r="X33" s="53" t="n">
        <f aca="false">IF(L33&lt;0,L33*-1,0)</f>
        <v>36.4443368633384</v>
      </c>
      <c r="Y33" s="53" t="n">
        <f aca="false">W33+X33</f>
        <v>69.8643368633384</v>
      </c>
      <c r="Z33" s="57" t="n">
        <v>0</v>
      </c>
      <c r="AA33" s="58" t="n">
        <v>76</v>
      </c>
      <c r="AB33" s="86" t="n">
        <v>48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6907.8</v>
      </c>
      <c r="C34" s="54" t="n">
        <v>313272</v>
      </c>
      <c r="D34" s="58" t="n">
        <f aca="false">C34-C33</f>
        <v>39</v>
      </c>
      <c r="E34" s="54" t="n">
        <f aca="false">C34-152000</f>
        <v>161272</v>
      </c>
      <c r="F34" s="53" t="n">
        <f aca="false">D34/$D$2</f>
        <v>19.6671709531014</v>
      </c>
      <c r="G34" s="53" t="n">
        <v>86.738648512355</v>
      </c>
      <c r="H34" s="55" t="n">
        <v>0</v>
      </c>
      <c r="I34" s="53" t="n">
        <f aca="false">G34+H34</f>
        <v>86.738648512355</v>
      </c>
      <c r="J34" s="77" t="n">
        <f aca="false">IF(L34&gt;0,L34,0)</f>
        <v>0</v>
      </c>
      <c r="K34" s="53" t="n">
        <f aca="false">I34+J34</f>
        <v>86.738648512355</v>
      </c>
      <c r="L34" s="53" t="n">
        <f aca="false">F34-(I34-W34)</f>
        <v>-33.6514775592536</v>
      </c>
      <c r="M34" s="53" t="n">
        <v>3.72</v>
      </c>
      <c r="N34" s="53" t="n">
        <v>0</v>
      </c>
      <c r="O34" s="53" t="n">
        <f aca="false">M34-N34</f>
        <v>3.72</v>
      </c>
      <c r="P34" s="53" t="n">
        <v>0</v>
      </c>
      <c r="Q34" s="53" t="n">
        <v>0</v>
      </c>
      <c r="R34" s="53" t="n">
        <f aca="false">SUM(O34:Q34)</f>
        <v>3.72</v>
      </c>
      <c r="S34" s="54"/>
      <c r="T34" s="53" t="n">
        <v>0</v>
      </c>
      <c r="U34" s="53" t="n">
        <v>29.7</v>
      </c>
      <c r="V34" s="54" t="n">
        <f aca="false">V33-U34</f>
        <v>11890.9733148475</v>
      </c>
      <c r="W34" s="53" t="n">
        <f aca="false">R34+T34+N34+U34</f>
        <v>33.42</v>
      </c>
      <c r="X34" s="53" t="n">
        <f aca="false">IF(L34&lt;0,L34*-1,0)</f>
        <v>33.6514775592536</v>
      </c>
      <c r="Y34" s="53" t="n">
        <f aca="false">W34+X34</f>
        <v>67.0714775592537</v>
      </c>
      <c r="Z34" s="57" t="n">
        <v>0</v>
      </c>
      <c r="AA34" s="58" t="n">
        <v>71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6907.81</v>
      </c>
      <c r="C35" s="54" t="n">
        <v>313312</v>
      </c>
      <c r="D35" s="58" t="n">
        <f aca="false">C35-C34</f>
        <v>40</v>
      </c>
      <c r="E35" s="54" t="n">
        <f aca="false">C35-152000</f>
        <v>161312</v>
      </c>
      <c r="F35" s="53" t="n">
        <f aca="false">D35/$D$2</f>
        <v>20.1714573877963</v>
      </c>
      <c r="G35" s="53" t="n">
        <v>161.115895108422</v>
      </c>
      <c r="H35" s="55" t="n">
        <v>0</v>
      </c>
      <c r="I35" s="53" t="n">
        <f aca="false">G35+H35</f>
        <v>161.115895108422</v>
      </c>
      <c r="J35" s="77" t="n">
        <f aca="false">IF(L35&gt;0,L35,0)</f>
        <v>0</v>
      </c>
      <c r="K35" s="53" t="n">
        <f aca="false">I35+J35</f>
        <v>161.115895108422</v>
      </c>
      <c r="L35" s="53" t="n">
        <f aca="false">F35-(I35-W35)</f>
        <v>-107.524437720625</v>
      </c>
      <c r="M35" s="53" t="n">
        <v>3.72</v>
      </c>
      <c r="N35" s="53" t="n">
        <v>0</v>
      </c>
      <c r="O35" s="53" t="n">
        <f aca="false">M35-N35</f>
        <v>3.72</v>
      </c>
      <c r="P35" s="53" t="n">
        <v>0</v>
      </c>
      <c r="Q35" s="53" t="n">
        <v>0</v>
      </c>
      <c r="R35" s="53" t="n">
        <f aca="false">SUM(O35:Q35)</f>
        <v>3.72</v>
      </c>
      <c r="S35" s="54"/>
      <c r="T35" s="53" t="n">
        <v>0</v>
      </c>
      <c r="U35" s="53" t="n">
        <v>29.7</v>
      </c>
      <c r="V35" s="54" t="n">
        <f aca="false">V34-U35</f>
        <v>11861.2733148475</v>
      </c>
      <c r="W35" s="53" t="n">
        <f aca="false">R35+T35+N35+U35</f>
        <v>33.42</v>
      </c>
      <c r="X35" s="53" t="n">
        <f aca="false">IF(L35&lt;0,L35*-1,0)</f>
        <v>107.524437720625</v>
      </c>
      <c r="Y35" s="53" t="n">
        <f aca="false">W35+X35</f>
        <v>140.944437720625</v>
      </c>
      <c r="Z35" s="57" t="n">
        <v>0</v>
      </c>
      <c r="AA35" s="58" t="n">
        <v>63</v>
      </c>
      <c r="AB35" s="58" t="n">
        <v>35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6907.82</v>
      </c>
      <c r="C36" s="54" t="n">
        <v>313350</v>
      </c>
      <c r="D36" s="58" t="n">
        <f aca="false">C36-C35</f>
        <v>38</v>
      </c>
      <c r="E36" s="54" t="n">
        <f aca="false">C36-152000</f>
        <v>161350</v>
      </c>
      <c r="F36" s="53" t="n">
        <f aca="false">D36/$D$2</f>
        <v>19.1628845184065</v>
      </c>
      <c r="G36" s="53" t="n">
        <v>35.03</v>
      </c>
      <c r="H36" s="55" t="n">
        <v>0</v>
      </c>
      <c r="I36" s="53" t="n">
        <f aca="false">G36+H36</f>
        <v>35.03</v>
      </c>
      <c r="J36" s="77" t="n">
        <f aca="false">IF(L36&gt;0,L36,0)</f>
        <v>17.5528845184065</v>
      </c>
      <c r="K36" s="53" t="n">
        <f aca="false">I36+J36</f>
        <v>52.5828845184065</v>
      </c>
      <c r="L36" s="53" t="n">
        <f aca="false">F36-(I36-W36)</f>
        <v>17.5528845184065</v>
      </c>
      <c r="M36" s="53" t="n">
        <v>3.72</v>
      </c>
      <c r="N36" s="53" t="n">
        <v>0</v>
      </c>
      <c r="O36" s="53" t="n">
        <f aca="false">M36-N36</f>
        <v>3.72</v>
      </c>
      <c r="P36" s="53" t="n">
        <v>0</v>
      </c>
      <c r="Q36" s="53" t="n">
        <v>0</v>
      </c>
      <c r="R36" s="53" t="n">
        <f aca="false">SUM(O36:Q36)</f>
        <v>3.72</v>
      </c>
      <c r="S36" s="54"/>
      <c r="T36" s="53" t="n">
        <v>0</v>
      </c>
      <c r="U36" s="53" t="n">
        <v>29.7</v>
      </c>
      <c r="V36" s="54" t="n">
        <f aca="false">V35-U36</f>
        <v>11831.5733148475</v>
      </c>
      <c r="W36" s="53" t="n">
        <f aca="false">R36+T36+N36+U36</f>
        <v>33.42</v>
      </c>
      <c r="X36" s="53" t="n">
        <f aca="false">IF(L36&lt;0,L36*-1,0)</f>
        <v>0</v>
      </c>
      <c r="Y36" s="53" t="n">
        <f aca="false">W36+X36</f>
        <v>33.42</v>
      </c>
      <c r="Z36" s="57" t="n">
        <v>0</v>
      </c>
      <c r="AA36" s="58" t="n">
        <v>67</v>
      </c>
      <c r="AB36" s="58" t="n">
        <v>40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6907.82</v>
      </c>
      <c r="C37" s="54" t="n">
        <v>313350</v>
      </c>
      <c r="D37" s="58" t="n">
        <f aca="false">C37-C36</f>
        <v>0</v>
      </c>
      <c r="E37" s="54" t="n">
        <f aca="false">C37-152000</f>
        <v>161350</v>
      </c>
      <c r="F37" s="53" t="n">
        <f aca="false">D37/$D$2</f>
        <v>0</v>
      </c>
      <c r="G37" s="53" t="n">
        <v>33.76</v>
      </c>
      <c r="H37" s="55" t="n">
        <v>0</v>
      </c>
      <c r="I37" s="53" t="n">
        <f aca="false">G37+H37</f>
        <v>33.76</v>
      </c>
      <c r="J37" s="77" t="n">
        <f aca="false">IF(L37&gt;0,L37,0)</f>
        <v>0</v>
      </c>
      <c r="K37" s="53" t="n">
        <f aca="false">I37+J37</f>
        <v>33.76</v>
      </c>
      <c r="L37" s="53" t="n">
        <f aca="false">F37-(I37-W37)</f>
        <v>-0.339999999999996</v>
      </c>
      <c r="M37" s="53" t="n">
        <v>3.72</v>
      </c>
      <c r="N37" s="53" t="n">
        <v>0</v>
      </c>
      <c r="O37" s="53" t="n">
        <f aca="false">M37-N37</f>
        <v>3.72</v>
      </c>
      <c r="P37" s="53" t="n">
        <v>0</v>
      </c>
      <c r="Q37" s="53" t="n">
        <v>0</v>
      </c>
      <c r="R37" s="53" t="n">
        <f aca="false">SUM(O37:Q37)</f>
        <v>3.72</v>
      </c>
      <c r="S37" s="54"/>
      <c r="T37" s="53" t="n">
        <v>0</v>
      </c>
      <c r="U37" s="53" t="n">
        <v>29.7</v>
      </c>
      <c r="V37" s="54" t="n">
        <f aca="false">V36-U37</f>
        <v>11801.8733148475</v>
      </c>
      <c r="W37" s="53" t="n">
        <f aca="false">R37+T37+N37+U37</f>
        <v>33.42</v>
      </c>
      <c r="X37" s="53" t="n">
        <f aca="false">IF(L37&lt;0,L37*-1,0)</f>
        <v>0.339999999999996</v>
      </c>
      <c r="Y37" s="53" t="n">
        <f aca="false">W37+X37</f>
        <v>33.76</v>
      </c>
      <c r="Z37" s="57" t="n">
        <v>0</v>
      </c>
      <c r="AA37" s="58" t="n">
        <v>78</v>
      </c>
      <c r="AB37" s="58" t="n">
        <v>45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6907.84</v>
      </c>
      <c r="C38" s="54" t="n">
        <v>313429</v>
      </c>
      <c r="D38" s="58" t="n">
        <f aca="false">C38-C37</f>
        <v>79</v>
      </c>
      <c r="E38" s="54" t="n">
        <f aca="false">C38-152000</f>
        <v>161429</v>
      </c>
      <c r="F38" s="53" t="n">
        <f aca="false">D38/$D$2</f>
        <v>39.8386283408976</v>
      </c>
      <c r="G38" s="53" t="n">
        <v>33.76</v>
      </c>
      <c r="H38" s="55" t="n">
        <v>0</v>
      </c>
      <c r="I38" s="53" t="n">
        <f aca="false">G38+H38</f>
        <v>33.76</v>
      </c>
      <c r="J38" s="77" t="n">
        <f aca="false">IF(L38&gt;0,L38,0)</f>
        <v>39.4986283408976</v>
      </c>
      <c r="K38" s="53" t="n">
        <f aca="false">I38+J38</f>
        <v>73.2586283408976</v>
      </c>
      <c r="L38" s="53" t="n">
        <f aca="false">F38-(I38-W38)</f>
        <v>39.4986283408976</v>
      </c>
      <c r="M38" s="53" t="n">
        <v>3.72</v>
      </c>
      <c r="N38" s="53" t="n">
        <v>0</v>
      </c>
      <c r="O38" s="53" t="n">
        <f aca="false">M38-N38</f>
        <v>3.72</v>
      </c>
      <c r="P38" s="53" t="n">
        <v>0</v>
      </c>
      <c r="Q38" s="53" t="n">
        <v>0</v>
      </c>
      <c r="R38" s="53" t="n">
        <f aca="false">SUM(O38:Q38)</f>
        <v>3.72</v>
      </c>
      <c r="S38" s="54"/>
      <c r="T38" s="53" t="n">
        <v>0</v>
      </c>
      <c r="U38" s="53" t="n">
        <v>29.7</v>
      </c>
      <c r="V38" s="54" t="n">
        <f aca="false">V37-U38</f>
        <v>11772.1733148475</v>
      </c>
      <c r="W38" s="53" t="n">
        <f aca="false">R38+T38+N38+U38</f>
        <v>33.42</v>
      </c>
      <c r="X38" s="53" t="n">
        <f aca="false">IF(L38&lt;0,L38*-1,0)</f>
        <v>0</v>
      </c>
      <c r="Y38" s="53" t="n">
        <f aca="false">W38+X38</f>
        <v>33.42</v>
      </c>
      <c r="Z38" s="57" t="n">
        <v>0</v>
      </c>
      <c r="AA38" s="86" t="n">
        <v>78</v>
      </c>
      <c r="AB38" s="58" t="n">
        <v>44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6907.85</v>
      </c>
      <c r="C39" s="54" t="n">
        <v>313469</v>
      </c>
      <c r="D39" s="58" t="n">
        <f aca="false">C39-C38</f>
        <v>40</v>
      </c>
      <c r="E39" s="54" t="n">
        <f aca="false">C39-152000</f>
        <v>161469</v>
      </c>
      <c r="F39" s="53" t="n">
        <f aca="false">D39/$D$2</f>
        <v>20.1714573877963</v>
      </c>
      <c r="G39" s="53" t="n">
        <v>69.8286232980333</v>
      </c>
      <c r="H39" s="55" t="n">
        <v>0</v>
      </c>
      <c r="I39" s="53" t="n">
        <f aca="false">G39+H39</f>
        <v>69.8286232980333</v>
      </c>
      <c r="J39" s="77" t="n">
        <f aca="false">IF(L39&gt;0,L39,0)</f>
        <v>0</v>
      </c>
      <c r="K39" s="53" t="n">
        <f aca="false">I39+J39</f>
        <v>69.8286232980333</v>
      </c>
      <c r="L39" s="53" t="n">
        <f aca="false">F39-(I39-W39)</f>
        <v>-16.237165910237</v>
      </c>
      <c r="M39" s="53" t="n">
        <v>3.72</v>
      </c>
      <c r="N39" s="53" t="n">
        <v>0</v>
      </c>
      <c r="O39" s="53" t="n">
        <f aca="false">M39-N39</f>
        <v>3.72</v>
      </c>
      <c r="P39" s="53" t="n">
        <v>0</v>
      </c>
      <c r="Q39" s="53" t="n">
        <v>0</v>
      </c>
      <c r="R39" s="53" t="n">
        <f aca="false">SUM(O39:Q39)</f>
        <v>3.72</v>
      </c>
      <c r="S39" s="54"/>
      <c r="T39" s="53" t="n">
        <v>0</v>
      </c>
      <c r="U39" s="53" t="n">
        <v>29.7</v>
      </c>
      <c r="V39" s="54" t="n">
        <f aca="false">V38-U39</f>
        <v>11742.4733148475</v>
      </c>
      <c r="W39" s="53" t="n">
        <f aca="false">R39+T39+N39+U39</f>
        <v>33.42</v>
      </c>
      <c r="X39" s="53" t="n">
        <f aca="false">IF(L39&lt;0,L39*-1,0)</f>
        <v>16.237165910237</v>
      </c>
      <c r="Y39" s="53" t="n">
        <f aca="false">W39+X39</f>
        <v>49.657165910237</v>
      </c>
      <c r="Z39" s="57" t="n">
        <v>0.13</v>
      </c>
      <c r="AA39" s="86" t="n">
        <v>84</v>
      </c>
      <c r="AB39" s="58" t="n">
        <v>46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6907.87</v>
      </c>
      <c r="C40" s="54" t="n">
        <v>313547</v>
      </c>
      <c r="D40" s="58" t="n">
        <f aca="false">C40-C39</f>
        <v>78</v>
      </c>
      <c r="E40" s="54" t="n">
        <f aca="false">C40-152000</f>
        <v>161547</v>
      </c>
      <c r="F40" s="53" t="n">
        <f aca="false">D40/$D$2</f>
        <v>39.3343419062027</v>
      </c>
      <c r="G40" s="53" t="n">
        <v>33.42</v>
      </c>
      <c r="H40" s="55" t="n">
        <v>0</v>
      </c>
      <c r="I40" s="53" t="n">
        <f aca="false">G40+H40</f>
        <v>33.42</v>
      </c>
      <c r="J40" s="77" t="n">
        <f aca="false">IF(L40&gt;0,L40,0)</f>
        <v>39.4743419062027</v>
      </c>
      <c r="K40" s="53" t="n">
        <f aca="false">I40+J40</f>
        <v>72.8943419062027</v>
      </c>
      <c r="L40" s="53" t="n">
        <f aca="false">F40-(I40-W40)</f>
        <v>39.4743419062027</v>
      </c>
      <c r="M40" s="53" t="n">
        <v>3.86</v>
      </c>
      <c r="N40" s="53" t="n">
        <v>0</v>
      </c>
      <c r="O40" s="53" t="n">
        <f aca="false">M40-N40</f>
        <v>3.86</v>
      </c>
      <c r="P40" s="53" t="n">
        <v>0</v>
      </c>
      <c r="Q40" s="53" t="n">
        <v>0</v>
      </c>
      <c r="R40" s="53" t="n">
        <f aca="false">SUM(O40:Q40)</f>
        <v>3.86</v>
      </c>
      <c r="S40" s="54"/>
      <c r="T40" s="53" t="n">
        <v>0</v>
      </c>
      <c r="U40" s="53" t="n">
        <v>29.7</v>
      </c>
      <c r="V40" s="54" t="n">
        <f aca="false">V39-U40</f>
        <v>11712.7733148475</v>
      </c>
      <c r="W40" s="53" t="n">
        <f aca="false">R40+T40+N40+U40</f>
        <v>33.56</v>
      </c>
      <c r="X40" s="53" t="n">
        <f aca="false">IF(L40&lt;0,L40*-1,0)</f>
        <v>0</v>
      </c>
      <c r="Y40" s="53" t="n">
        <f aca="false">W40+X40</f>
        <v>33.56</v>
      </c>
      <c r="Z40" s="57" t="n">
        <v>0.19</v>
      </c>
      <c r="AA40" s="86" t="n">
        <v>82</v>
      </c>
      <c r="AB40" s="58" t="n">
        <v>46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493.696419566314</v>
      </c>
      <c r="G42" s="54" t="n">
        <f aca="false">SUM(G10:G40)</f>
        <v>1994.33276853253</v>
      </c>
      <c r="H42" s="54" t="n">
        <f aca="false">SUM(H10:H40)</f>
        <v>0</v>
      </c>
      <c r="I42" s="54" t="n">
        <f aca="false">SUM(I10:I40)</f>
        <v>1994.33276853253</v>
      </c>
      <c r="J42" s="54" t="n">
        <f aca="false">SUM(J10:J40)</f>
        <v>387.641991931417</v>
      </c>
      <c r="K42" s="54" t="n">
        <f aca="false">SUM(K10:K40)</f>
        <v>2381.97476046394</v>
      </c>
      <c r="L42" s="54" t="n">
        <f aca="false">SUM(L10:L40)</f>
        <v>-460.036348966213</v>
      </c>
      <c r="M42" s="54" t="n">
        <f aca="false">SUM(M10:M40)</f>
        <v>122.3</v>
      </c>
      <c r="N42" s="54" t="n">
        <f aca="false">SUM(N10:N40)</f>
        <v>0</v>
      </c>
      <c r="O42" s="54" t="n">
        <f aca="false">SUM(O10:O40)</f>
        <v>122.3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122.3</v>
      </c>
      <c r="S42" s="54"/>
      <c r="T42" s="54" t="n">
        <f aca="false">SUM(T10:T40)</f>
        <v>0</v>
      </c>
      <c r="U42" s="54" t="n">
        <f aca="false">SUM(U10:U40)</f>
        <v>918.3</v>
      </c>
      <c r="V42" s="54"/>
      <c r="W42" s="54" t="n">
        <f aca="false">SUM(W10:W40)</f>
        <v>1040.6</v>
      </c>
      <c r="X42" s="54" t="n">
        <f aca="false">SUM(X10:X40)</f>
        <v>847.67834089763</v>
      </c>
      <c r="Y42" s="54" t="n">
        <f aca="false">SUM(Y10:Y40)</f>
        <v>1888.27834089763</v>
      </c>
      <c r="Z42" s="57" t="n">
        <f aca="false">SUM(Z10:Z40)</f>
        <v>1.46</v>
      </c>
      <c r="AA42" s="58" t="n">
        <f aca="false">AVERAGE(AA10:AA40)</f>
        <v>71.4516129032258</v>
      </c>
      <c r="AB42" s="58" t="n">
        <f aca="false">AVERAGE(AB10:AB40)</f>
        <v>40.1612903225807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979</v>
      </c>
      <c r="E43" s="54"/>
      <c r="F43" s="54" t="n">
        <f aca="false">F42*$D$2</f>
        <v>979</v>
      </c>
      <c r="G43" s="54" t="n">
        <f aca="false">G42*$D$2</f>
        <v>3954.76188</v>
      </c>
      <c r="H43" s="54" t="n">
        <f aca="false">H42*$D$2</f>
        <v>0</v>
      </c>
      <c r="I43" s="54" t="n">
        <f aca="false">I42*$D$2</f>
        <v>3954.76188</v>
      </c>
      <c r="J43" s="54" t="n">
        <f aca="false">J42*$D$2</f>
        <v>768.69407</v>
      </c>
      <c r="K43" s="54" t="n">
        <f aca="false">K42*$D$2</f>
        <v>4723.45595</v>
      </c>
      <c r="L43" s="54" t="n">
        <f aca="false">L42*$D$2</f>
        <v>-912.25208</v>
      </c>
      <c r="M43" s="54" t="n">
        <f aca="false">M42*$D$2</f>
        <v>242.5209</v>
      </c>
      <c r="N43" s="54" t="n">
        <f aca="false">N42*$D$2</f>
        <v>0</v>
      </c>
      <c r="O43" s="54" t="n">
        <f aca="false">O42*$D$2</f>
        <v>242.5209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242.5209</v>
      </c>
      <c r="S43" s="54"/>
      <c r="T43" s="54" t="n">
        <f aca="false">T42*$D$2</f>
        <v>0</v>
      </c>
      <c r="U43" s="54" t="n">
        <f aca="false">U42*$D$2</f>
        <v>1820.9889</v>
      </c>
      <c r="V43" s="54"/>
      <c r="W43" s="54" t="n">
        <f aca="false">W42*$D$2</f>
        <v>2063.5098</v>
      </c>
      <c r="X43" s="54" t="n">
        <f aca="false">X42*$D$2</f>
        <v>1680.94615</v>
      </c>
      <c r="Y43" s="54" t="n">
        <f aca="false">Y42*$D$2</f>
        <v>3744.45595</v>
      </c>
      <c r="Z43" s="57"/>
      <c r="AA43" s="58" t="n">
        <f aca="false">MAX(AA10:AA40)</f>
        <v>84</v>
      </c>
      <c r="AB43" s="58" t="n">
        <f aca="false">MAX(AB10:AB40)</f>
        <v>48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54</v>
      </c>
      <c r="AB45" s="58" t="n">
        <f aca="false">MIN(AB10:AB40)</f>
        <v>30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-19.1628845184065</v>
      </c>
      <c r="G48" s="54" t="n">
        <f aca="false">G8+G42</f>
        <v>5710.74968734241</v>
      </c>
      <c r="H48" s="58" t="n">
        <f aca="false">H8+H42</f>
        <v>0</v>
      </c>
      <c r="I48" s="54" t="n">
        <f aca="false">I8+I42</f>
        <v>5710.64968734241</v>
      </c>
      <c r="J48" s="54" t="n">
        <f aca="false">J8+J42</f>
        <v>938.386878466969</v>
      </c>
      <c r="K48" s="54" t="n">
        <f aca="false">K8+K42</f>
        <v>6649.03656580938</v>
      </c>
      <c r="L48" s="54" t="n">
        <f aca="false">L8+L42</f>
        <v>-1748.67257186082</v>
      </c>
      <c r="M48" s="54" t="n">
        <f aca="false">M8+M42</f>
        <v>778.36</v>
      </c>
      <c r="N48" s="54" t="n">
        <f aca="false">N8+N42</f>
        <v>0</v>
      </c>
      <c r="O48" s="54" t="n">
        <f aca="false">O8+O42</f>
        <v>285.86</v>
      </c>
      <c r="P48" s="54" t="n">
        <f aca="false">P8+P42</f>
        <v>0</v>
      </c>
      <c r="Q48" s="54" t="n">
        <f aca="false">Q8+Q42</f>
        <v>0</v>
      </c>
      <c r="R48" s="54" t="n">
        <f aca="false">R8+R42</f>
        <v>654.36</v>
      </c>
      <c r="S48" s="54"/>
      <c r="T48" s="54" t="n">
        <f aca="false">T8+T42</f>
        <v>0</v>
      </c>
      <c r="U48" s="54" t="n">
        <f aca="false">U8+U42</f>
        <v>3202.78</v>
      </c>
      <c r="V48" s="54" t="n">
        <f aca="false">V40</f>
        <v>11712.7733148475</v>
      </c>
      <c r="W48" s="54" t="n">
        <f aca="false">W8+W42</f>
        <v>3981.14</v>
      </c>
      <c r="X48" s="54" t="n">
        <f aca="false">X8+X42</f>
        <v>2687.05945032779</v>
      </c>
      <c r="Y48" s="54" t="n">
        <f aca="false">Y8+Y42</f>
        <v>6668.19945032779</v>
      </c>
      <c r="Z48" s="77" t="n">
        <f aca="false">Z8+Z42</f>
        <v>1.67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-38</v>
      </c>
      <c r="E49" s="54" t="n">
        <f aca="false">E40</f>
        <v>161547</v>
      </c>
      <c r="F49" s="54" t="n">
        <f aca="false">F48*$D$2</f>
        <v>-38.0000000000002</v>
      </c>
      <c r="G49" s="54" t="n">
        <f aca="false">G48*$D$2</f>
        <v>11324.41663</v>
      </c>
      <c r="H49" s="58" t="n">
        <f aca="false">H48*$D$2</f>
        <v>0</v>
      </c>
      <c r="I49" s="54" t="n">
        <f aca="false">I48*$D$2</f>
        <v>11324.21833</v>
      </c>
      <c r="J49" s="54" t="n">
        <f aca="false">J48*$D$2</f>
        <v>1860.82118</v>
      </c>
      <c r="K49" s="54" t="n">
        <f aca="false">K48*$D$2</f>
        <v>13185.03951</v>
      </c>
      <c r="L49" s="54" t="n">
        <f aca="false">L48*$D$2</f>
        <v>-3467.61771</v>
      </c>
      <c r="M49" s="54" t="n">
        <f aca="false">M48*$D$2</f>
        <v>1543.48788</v>
      </c>
      <c r="N49" s="54" t="n">
        <f aca="false">N48*$D$2</f>
        <v>0</v>
      </c>
      <c r="O49" s="54" t="n">
        <f aca="false">O48*$D$2</f>
        <v>566.86038</v>
      </c>
      <c r="P49" s="54" t="n">
        <f aca="false">P48*$D$2</f>
        <v>0</v>
      </c>
      <c r="Q49" s="54" t="n">
        <f aca="false">Q48*$D$2</f>
        <v>0</v>
      </c>
      <c r="R49" s="54" t="n">
        <f aca="false">R48*$D$2</f>
        <v>1297.59588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6351.11274</v>
      </c>
      <c r="V49" s="54" t="n">
        <f aca="false">V40*$D$2</f>
        <v>23226.4294833425</v>
      </c>
      <c r="W49" s="54" t="n">
        <f aca="false">W48*$D$2</f>
        <v>7894.60062</v>
      </c>
      <c r="X49" s="54" t="n">
        <f aca="false">X48*$D$2</f>
        <v>5328.43889</v>
      </c>
      <c r="Y49" s="54" t="n">
        <f aca="false">Y48*$D$2</f>
        <v>13223.03951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"JUN /9"</f>
        <v>JUN /9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6924.15</v>
      </c>
      <c r="C52" s="54" t="n">
        <v>381833</v>
      </c>
      <c r="D52" s="86"/>
      <c r="E52" s="54" t="n">
        <f aca="false">C52-152000</f>
        <v>229833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"5/12/94 thru 6/9/94"</f>
        <v>5/12/94 thru 6/9/94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B52-B21</f>
        <v>16.5099999999993</v>
      </c>
      <c r="C54" s="54"/>
      <c r="D54" s="54" t="n">
        <f aca="false">C52-C23</f>
        <v>69149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3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1" ySplit="7" topLeftCell="B10" activePane="bottomRight" state="frozen"/>
      <selection pane="topLeft" activeCell="A3" activeCellId="0" sqref="A3"/>
      <selection pane="topRight" activeCell="B3" activeCellId="0" sqref="B3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59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60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60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JAN!$B$40:$C$40</f>
        <v>6907.87</v>
      </c>
      <c r="C8" s="54" t="n">
        <v>313547</v>
      </c>
      <c r="D8" s="54" t="n">
        <f aca="false" t="array" ref="D8:E8">JAN!$D$49:$E$49</f>
        <v>-38</v>
      </c>
      <c r="E8" s="54" t="n">
        <v>161547</v>
      </c>
      <c r="F8" s="54" t="n">
        <f aca="false" t="array" ref="F8:Z8">JAN!$F$48:$Z$48</f>
        <v>-19.1628845184065</v>
      </c>
      <c r="G8" s="54" t="n">
        <v>5710.74968734241</v>
      </c>
      <c r="H8" s="58" t="n">
        <v>0</v>
      </c>
      <c r="I8" s="54" t="n">
        <v>5710.64968734241</v>
      </c>
      <c r="J8" s="54" t="n">
        <v>938.386878466969</v>
      </c>
      <c r="K8" s="54" t="n">
        <v>6649.03656580938</v>
      </c>
      <c r="L8" s="54" t="n">
        <v>-1748.67257186082</v>
      </c>
      <c r="M8" s="54" t="n">
        <v>778.36</v>
      </c>
      <c r="N8" s="54" t="n">
        <v>0</v>
      </c>
      <c r="O8" s="54" t="n">
        <v>285.86</v>
      </c>
      <c r="P8" s="54" t="n">
        <v>0</v>
      </c>
      <c r="Q8" s="54" t="n">
        <v>0</v>
      </c>
      <c r="R8" s="54" t="n">
        <v>654.36</v>
      </c>
      <c r="S8" s="54" t="n">
        <v>0</v>
      </c>
      <c r="T8" s="54" t="n">
        <v>0</v>
      </c>
      <c r="U8" s="54" t="n">
        <v>3202.78</v>
      </c>
      <c r="V8" s="54" t="n">
        <v>11712.7733148475</v>
      </c>
      <c r="W8" s="54" t="n">
        <v>3981.14</v>
      </c>
      <c r="X8" s="54" t="n">
        <v>2687.05945032779</v>
      </c>
      <c r="Y8" s="54" t="n">
        <v>6668.19945032779</v>
      </c>
      <c r="Z8" s="77" t="n">
        <v>1.67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6907.89</v>
      </c>
      <c r="C10" s="54" t="n">
        <v>313626</v>
      </c>
      <c r="D10" s="58" t="n">
        <f aca="false">C10-C8</f>
        <v>79</v>
      </c>
      <c r="E10" s="54" t="n">
        <f aca="false">C10-152000</f>
        <v>161626</v>
      </c>
      <c r="F10" s="53" t="n">
        <f aca="false">D10/$D$2</f>
        <v>39.8386283408976</v>
      </c>
      <c r="G10" s="53" t="n">
        <v>32.99</v>
      </c>
      <c r="H10" s="55" t="n">
        <v>0</v>
      </c>
      <c r="I10" s="53" t="n">
        <f aca="false">G10+H10</f>
        <v>32.99</v>
      </c>
      <c r="J10" s="77" t="n">
        <f aca="false">IF(L10&gt;0,L10,0)</f>
        <v>40.3686283408976</v>
      </c>
      <c r="K10" s="53" t="n">
        <f aca="false">I10+J10</f>
        <v>73.3586283408976</v>
      </c>
      <c r="L10" s="53" t="n">
        <f aca="false">F10-(I10-W10)</f>
        <v>40.3686283408976</v>
      </c>
      <c r="M10" s="53" t="n">
        <v>3.82</v>
      </c>
      <c r="N10" s="53" t="n">
        <v>0</v>
      </c>
      <c r="O10" s="53" t="n">
        <f aca="false">M10-N10</f>
        <v>3.82</v>
      </c>
      <c r="P10" s="53" t="n">
        <v>0</v>
      </c>
      <c r="Q10" s="53" t="n">
        <v>0</v>
      </c>
      <c r="R10" s="53" t="n">
        <f aca="false">SUM(O10:Q10)</f>
        <v>3.82</v>
      </c>
      <c r="S10" s="54"/>
      <c r="T10" s="53" t="n">
        <v>0</v>
      </c>
      <c r="U10" s="53" t="n">
        <v>29.7</v>
      </c>
      <c r="V10" s="54" t="n">
        <f aca="false">V8-U10</f>
        <v>11683.0733148475</v>
      </c>
      <c r="W10" s="53" t="n">
        <f aca="false">R10+T10+N10+U10</f>
        <v>33.52</v>
      </c>
      <c r="X10" s="53" t="n">
        <f aca="false">IF(L10&lt;0,L10*-1,0)</f>
        <v>0</v>
      </c>
      <c r="Y10" s="53" t="n">
        <f aca="false">W10+X10</f>
        <v>33.52</v>
      </c>
      <c r="Z10" s="57" t="n">
        <v>0.06</v>
      </c>
      <c r="AA10" s="58" t="n">
        <v>54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6907.91</v>
      </c>
      <c r="C11" s="54" t="n">
        <v>313704</v>
      </c>
      <c r="D11" s="58" t="n">
        <f aca="false">C11-C10</f>
        <v>78</v>
      </c>
      <c r="E11" s="54" t="n">
        <f aca="false">C11-152000</f>
        <v>161704</v>
      </c>
      <c r="F11" s="53" t="n">
        <f aca="false">D11/$D$2</f>
        <v>39.3343419062027</v>
      </c>
      <c r="G11" s="53" t="n">
        <v>50.9343116490166</v>
      </c>
      <c r="H11" s="55" t="n">
        <v>0</v>
      </c>
      <c r="I11" s="53" t="n">
        <f aca="false">G11+H11</f>
        <v>50.9343116490166</v>
      </c>
      <c r="J11" s="77" t="n">
        <f aca="false">IF(L11&gt;0,L11,0)</f>
        <v>21.8400302571861</v>
      </c>
      <c r="K11" s="53" t="n">
        <f aca="false">I11+J11</f>
        <v>72.7743419062027</v>
      </c>
      <c r="L11" s="53" t="n">
        <f aca="false">F11-(I11-W11)</f>
        <v>21.8400302571861</v>
      </c>
      <c r="M11" s="53" t="n">
        <v>3.74</v>
      </c>
      <c r="N11" s="53" t="n">
        <v>0</v>
      </c>
      <c r="O11" s="53" t="n">
        <f aca="false">M11-N11</f>
        <v>3.74</v>
      </c>
      <c r="P11" s="53" t="n">
        <v>0</v>
      </c>
      <c r="Q11" s="53" t="n">
        <v>0</v>
      </c>
      <c r="R11" s="53" t="n">
        <f aca="false">SUM(O11:Q11)</f>
        <v>3.74</v>
      </c>
      <c r="S11" s="54"/>
      <c r="T11" s="53" t="n">
        <v>0</v>
      </c>
      <c r="U11" s="53" t="n">
        <v>29.7</v>
      </c>
      <c r="V11" s="54" t="n">
        <f aca="false">V10-U11</f>
        <v>11653.3733148475</v>
      </c>
      <c r="W11" s="53" t="n">
        <f aca="false">R11+T11+N11+U11</f>
        <v>33.44</v>
      </c>
      <c r="X11" s="53" t="n">
        <f aca="false">IF(L11&lt;0,L11*-1,0)</f>
        <v>0</v>
      </c>
      <c r="Y11" s="53" t="n">
        <f aca="false">W11+X11</f>
        <v>33.44</v>
      </c>
      <c r="Z11" s="57" t="n">
        <v>0.25</v>
      </c>
      <c r="AA11" s="58" t="n">
        <v>61</v>
      </c>
      <c r="AB11" s="58" t="n">
        <v>36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6907.92</v>
      </c>
      <c r="C12" s="54" t="n">
        <v>313742</v>
      </c>
      <c r="D12" s="58" t="n">
        <f aca="false">C12-C11</f>
        <v>38</v>
      </c>
      <c r="E12" s="54" t="n">
        <f aca="false">C12-152000</f>
        <v>161742</v>
      </c>
      <c r="F12" s="53" t="n">
        <f aca="false">D12/$D$2</f>
        <v>19.1628845184065</v>
      </c>
      <c r="G12" s="53" t="n">
        <v>69.0886232980333</v>
      </c>
      <c r="H12" s="55" t="n">
        <v>0</v>
      </c>
      <c r="I12" s="53" t="n">
        <f aca="false">G12+H12</f>
        <v>69.0886232980333</v>
      </c>
      <c r="J12" s="77" t="n">
        <f aca="false">IF(L12&gt;0,L12,0)</f>
        <v>0</v>
      </c>
      <c r="K12" s="53" t="n">
        <f aca="false">I12+J12</f>
        <v>69.0886232980333</v>
      </c>
      <c r="L12" s="53" t="n">
        <f aca="false">F12-(I12-W12)</f>
        <v>-16.2757387796268</v>
      </c>
      <c r="M12" s="53" t="n">
        <v>3.95</v>
      </c>
      <c r="N12" s="53" t="n">
        <v>0</v>
      </c>
      <c r="O12" s="53" t="n">
        <f aca="false">M12-N12</f>
        <v>3.95</v>
      </c>
      <c r="P12" s="53" t="n">
        <v>0</v>
      </c>
      <c r="Q12" s="53" t="n">
        <v>0</v>
      </c>
      <c r="R12" s="53" t="n">
        <f aca="false">SUM(O12:Q12)</f>
        <v>3.95</v>
      </c>
      <c r="S12" s="54"/>
      <c r="T12" s="53" t="n">
        <v>0</v>
      </c>
      <c r="U12" s="53" t="n">
        <v>29.7</v>
      </c>
      <c r="V12" s="54" t="n">
        <f aca="false">V11-U12</f>
        <v>11623.6733148475</v>
      </c>
      <c r="W12" s="53" t="n">
        <f aca="false">R12+T12+N12+U12</f>
        <v>33.65</v>
      </c>
      <c r="X12" s="53" t="n">
        <f aca="false">IF(L12&lt;0,L12*-1,0)</f>
        <v>16.2757387796268</v>
      </c>
      <c r="Y12" s="53" t="n">
        <f aca="false">W12+X12</f>
        <v>49.9257387796268</v>
      </c>
      <c r="Z12" s="57" t="n">
        <v>0</v>
      </c>
      <c r="AA12" s="58" t="n">
        <v>62</v>
      </c>
      <c r="AB12" s="58" t="n">
        <v>38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6907.95</v>
      </c>
      <c r="C13" s="54" t="n">
        <v>313861</v>
      </c>
      <c r="D13" s="58" t="n">
        <f aca="false">C13-C12</f>
        <v>119</v>
      </c>
      <c r="E13" s="54" t="n">
        <f aca="false">C13-152000</f>
        <v>161861</v>
      </c>
      <c r="F13" s="53" t="n">
        <f aca="false">D13/$D$2</f>
        <v>60.0100857286939</v>
      </c>
      <c r="G13" s="53" t="n">
        <v>69.0886232980333</v>
      </c>
      <c r="H13" s="55" t="n">
        <v>0</v>
      </c>
      <c r="I13" s="53" t="n">
        <f aca="false">G13+H13</f>
        <v>69.0886232980333</v>
      </c>
      <c r="J13" s="77" t="n">
        <f aca="false">IF(L13&gt;0,L13,0)</f>
        <v>24.5314624306606</v>
      </c>
      <c r="K13" s="53" t="n">
        <f aca="false">I13+J13</f>
        <v>93.6200857286939</v>
      </c>
      <c r="L13" s="53" t="n">
        <f aca="false">F13-(I13-W13)</f>
        <v>24.5314624306606</v>
      </c>
      <c r="M13" s="53" t="n">
        <v>3.91</v>
      </c>
      <c r="N13" s="53" t="n">
        <v>0</v>
      </c>
      <c r="O13" s="53" t="n">
        <f aca="false">M13-N13</f>
        <v>3.91</v>
      </c>
      <c r="P13" s="53" t="n">
        <v>0</v>
      </c>
      <c r="Q13" s="53" t="n">
        <v>0</v>
      </c>
      <c r="R13" s="53" t="n">
        <f aca="false">SUM(O13:Q13)</f>
        <v>3.91</v>
      </c>
      <c r="S13" s="54"/>
      <c r="T13" s="53" t="n">
        <v>0</v>
      </c>
      <c r="U13" s="53" t="n">
        <v>29.7</v>
      </c>
      <c r="V13" s="54" t="n">
        <f aca="false">V12-U13</f>
        <v>11593.9733148475</v>
      </c>
      <c r="W13" s="53" t="n">
        <f aca="false">R13+T13+N13+U13</f>
        <v>33.61</v>
      </c>
      <c r="X13" s="53" t="n">
        <f aca="false">IF(L13&lt;0,L13*-1,0)</f>
        <v>0</v>
      </c>
      <c r="Y13" s="53" t="n">
        <f aca="false">W13+X13</f>
        <v>33.61</v>
      </c>
      <c r="Z13" s="57" t="n">
        <v>0</v>
      </c>
      <c r="AA13" s="58" t="n">
        <v>70</v>
      </c>
      <c r="AB13" s="58" t="n">
        <v>39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6907.97</v>
      </c>
      <c r="C14" s="54" t="n">
        <v>313939</v>
      </c>
      <c r="D14" s="58" t="n">
        <f aca="false">C14-C13</f>
        <v>78</v>
      </c>
      <c r="E14" s="54" t="n">
        <f aca="false">C14-152000</f>
        <v>161939</v>
      </c>
      <c r="F14" s="53" t="n">
        <f aca="false">D14/$D$2</f>
        <v>39.3343419062027</v>
      </c>
      <c r="G14" s="53" t="n">
        <v>69.0886232980333</v>
      </c>
      <c r="H14" s="55" t="n">
        <v>0</v>
      </c>
      <c r="I14" s="53" t="n">
        <f aca="false">G14+H14</f>
        <v>69.0886232980333</v>
      </c>
      <c r="J14" s="77" t="n">
        <f aca="false">IF(L14&gt;0,L14,0)</f>
        <v>3.77571860816944</v>
      </c>
      <c r="K14" s="53" t="n">
        <f aca="false">I14+J14</f>
        <v>72.8643419062027</v>
      </c>
      <c r="L14" s="53" t="n">
        <f aca="false">F14-(I14-W14)</f>
        <v>3.77571860816944</v>
      </c>
      <c r="M14" s="53" t="n">
        <v>3.83</v>
      </c>
      <c r="N14" s="53" t="n">
        <v>0</v>
      </c>
      <c r="O14" s="53" t="n">
        <f aca="false">M14-N14</f>
        <v>3.83</v>
      </c>
      <c r="P14" s="53" t="n">
        <v>0</v>
      </c>
      <c r="Q14" s="53" t="n">
        <v>0</v>
      </c>
      <c r="R14" s="53" t="n">
        <f aca="false">SUM(O14:Q14)</f>
        <v>3.83</v>
      </c>
      <c r="S14" s="54"/>
      <c r="T14" s="53" t="n">
        <v>0</v>
      </c>
      <c r="U14" s="53" t="n">
        <v>29.7</v>
      </c>
      <c r="V14" s="54" t="n">
        <f aca="false">V13-U14</f>
        <v>11564.2733148475</v>
      </c>
      <c r="W14" s="53" t="n">
        <f aca="false">R14+T14+N14+U14</f>
        <v>33.53</v>
      </c>
      <c r="X14" s="53" t="n">
        <f aca="false">IF(L14&lt;0,L14*-1,0)</f>
        <v>0</v>
      </c>
      <c r="Y14" s="53" t="n">
        <f aca="false">W14+X14</f>
        <v>33.53</v>
      </c>
      <c r="Z14" s="57" t="n">
        <v>0</v>
      </c>
      <c r="AA14" s="58" t="n">
        <v>76</v>
      </c>
      <c r="AB14" s="58" t="n">
        <v>43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6907.97</v>
      </c>
      <c r="C15" s="54" t="n">
        <v>313939</v>
      </c>
      <c r="D15" s="58" t="n">
        <f aca="false">C15-C14</f>
        <v>0</v>
      </c>
      <c r="E15" s="54" t="n">
        <f aca="false">C15-152000</f>
        <v>161939</v>
      </c>
      <c r="F15" s="53" t="n">
        <f aca="false">D15/$D$2</f>
        <v>0</v>
      </c>
      <c r="G15" s="53" t="n">
        <v>86.878648512355</v>
      </c>
      <c r="H15" s="55" t="n">
        <v>0</v>
      </c>
      <c r="I15" s="53" t="n">
        <f aca="false">G15+H15</f>
        <v>86.878648512355</v>
      </c>
      <c r="J15" s="77" t="n">
        <f aca="false">IF(L15&gt;0,L15,0)</f>
        <v>0</v>
      </c>
      <c r="K15" s="53" t="n">
        <f aca="false">I15+J15</f>
        <v>86.878648512355</v>
      </c>
      <c r="L15" s="53" t="n">
        <f aca="false">F15-(I15-W15)</f>
        <v>-53.448648512355</v>
      </c>
      <c r="M15" s="53" t="n">
        <v>3.73</v>
      </c>
      <c r="N15" s="53" t="n">
        <v>0</v>
      </c>
      <c r="O15" s="53" t="n">
        <f aca="false">M15-N15</f>
        <v>3.73</v>
      </c>
      <c r="P15" s="53" t="n">
        <v>0</v>
      </c>
      <c r="Q15" s="53" t="n">
        <v>0</v>
      </c>
      <c r="R15" s="53" t="n">
        <f aca="false">SUM(O15:Q15)</f>
        <v>3.73</v>
      </c>
      <c r="S15" s="54"/>
      <c r="T15" s="53" t="n">
        <v>0</v>
      </c>
      <c r="U15" s="53" t="n">
        <v>29.7</v>
      </c>
      <c r="V15" s="54" t="n">
        <f aca="false">V14-U15</f>
        <v>11534.5733148475</v>
      </c>
      <c r="W15" s="53" t="n">
        <f aca="false">R15+T15+N15+U15</f>
        <v>33.43</v>
      </c>
      <c r="X15" s="53" t="n">
        <f aca="false">IF(L15&lt;0,L15*-1,0)</f>
        <v>53.448648512355</v>
      </c>
      <c r="Y15" s="53" t="n">
        <f aca="false">W15+X15</f>
        <v>86.878648512355</v>
      </c>
      <c r="Z15" s="57" t="n">
        <v>0</v>
      </c>
      <c r="AA15" s="58" t="n">
        <v>73</v>
      </c>
      <c r="AB15" s="58" t="n">
        <v>39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6907.99</v>
      </c>
      <c r="C16" s="54" t="n">
        <v>314018</v>
      </c>
      <c r="D16" s="58" t="n">
        <f aca="false">C16-C15</f>
        <v>79</v>
      </c>
      <c r="E16" s="54" t="n">
        <f aca="false">C16-152000</f>
        <v>162018</v>
      </c>
      <c r="F16" s="53" t="n">
        <f aca="false">D16/$D$2</f>
        <v>39.8386283408976</v>
      </c>
      <c r="G16" s="53" t="n">
        <v>69.3986232980333</v>
      </c>
      <c r="H16" s="55" t="n">
        <v>0</v>
      </c>
      <c r="I16" s="53" t="n">
        <f aca="false">G16+H16</f>
        <v>69.3986232980333</v>
      </c>
      <c r="J16" s="77" t="n">
        <f aca="false">IF(L16&gt;0,L16,0)</f>
        <v>3.89000504286436</v>
      </c>
      <c r="K16" s="53" t="n">
        <f aca="false">I16+J16</f>
        <v>73.2886283408976</v>
      </c>
      <c r="L16" s="53" t="n">
        <f aca="false">F16-(I16-W16)</f>
        <v>3.89000504286436</v>
      </c>
      <c r="M16" s="53" t="n">
        <v>3.72</v>
      </c>
      <c r="N16" s="53" t="n">
        <v>0</v>
      </c>
      <c r="O16" s="53" t="n">
        <f aca="false">M16-N16</f>
        <v>3.72</v>
      </c>
      <c r="P16" s="53" t="n">
        <v>0</v>
      </c>
      <c r="Q16" s="53" t="n">
        <v>0</v>
      </c>
      <c r="R16" s="53" t="n">
        <f aca="false">SUM(O16:Q16)</f>
        <v>3.72</v>
      </c>
      <c r="S16" s="54"/>
      <c r="T16" s="53" t="n">
        <v>0</v>
      </c>
      <c r="U16" s="53" t="n">
        <v>29.73</v>
      </c>
      <c r="V16" s="54" t="n">
        <f aca="false">V15-U16</f>
        <v>11504.8433148475</v>
      </c>
      <c r="W16" s="53" t="n">
        <f aca="false">R16+T16+N16+U16</f>
        <v>33.45</v>
      </c>
      <c r="X16" s="53" t="n">
        <f aca="false">IF(L16&lt;0,L16*-1,0)</f>
        <v>0</v>
      </c>
      <c r="Y16" s="53" t="n">
        <f aca="false">W16+X16</f>
        <v>33.45</v>
      </c>
      <c r="Z16" s="57" t="n">
        <v>0</v>
      </c>
      <c r="AA16" s="58" t="n">
        <v>74</v>
      </c>
      <c r="AB16" s="58" t="n">
        <v>37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6907.99</v>
      </c>
      <c r="C17" s="54" t="n">
        <v>314018</v>
      </c>
      <c r="D17" s="58" t="n">
        <f aca="false">C17-C16</f>
        <v>0</v>
      </c>
      <c r="E17" s="54" t="n">
        <f aca="false">C17-152000</f>
        <v>162018</v>
      </c>
      <c r="F17" s="53" t="n">
        <f aca="false">D17/$D$2</f>
        <v>0</v>
      </c>
      <c r="G17" s="53" t="n">
        <v>87.6429349470499</v>
      </c>
      <c r="H17" s="55" t="n">
        <v>0</v>
      </c>
      <c r="I17" s="53" t="n">
        <f aca="false">G17+H17</f>
        <v>87.6429349470499</v>
      </c>
      <c r="J17" s="77" t="n">
        <f aca="false">IF(L17&gt;0,L17,0)</f>
        <v>0</v>
      </c>
      <c r="K17" s="53" t="n">
        <f aca="false">I17+J17</f>
        <v>87.6429349470499</v>
      </c>
      <c r="L17" s="53" t="n">
        <f aca="false">F17-(I17-W17)</f>
        <v>-54.2229349470499</v>
      </c>
      <c r="M17" s="53" t="n">
        <v>3.72</v>
      </c>
      <c r="N17" s="53" t="n">
        <v>0</v>
      </c>
      <c r="O17" s="53" t="n">
        <f aca="false">M17-N17</f>
        <v>3.72</v>
      </c>
      <c r="P17" s="53" t="n">
        <v>0</v>
      </c>
      <c r="Q17" s="53" t="n">
        <v>0</v>
      </c>
      <c r="R17" s="53" t="n">
        <f aca="false">SUM(O17:Q17)</f>
        <v>3.72</v>
      </c>
      <c r="S17" s="54"/>
      <c r="T17" s="53" t="n">
        <v>0</v>
      </c>
      <c r="U17" s="53" t="n">
        <v>29.7</v>
      </c>
      <c r="V17" s="54" t="n">
        <f aca="false">V16-U17</f>
        <v>11475.1433148475</v>
      </c>
      <c r="W17" s="53" t="n">
        <f aca="false">R17+T17+N17+U17</f>
        <v>33.42</v>
      </c>
      <c r="X17" s="53" t="n">
        <f aca="false">IF(L17&lt;0,L17*-1,0)</f>
        <v>54.2229349470499</v>
      </c>
      <c r="Y17" s="53" t="n">
        <f aca="false">W17+X17</f>
        <v>87.6429349470499</v>
      </c>
      <c r="Z17" s="57" t="n">
        <v>0</v>
      </c>
      <c r="AA17" s="58" t="n">
        <v>69</v>
      </c>
      <c r="AB17" s="58" t="n">
        <v>34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6908</v>
      </c>
      <c r="C18" s="54" t="n">
        <v>314056</v>
      </c>
      <c r="D18" s="58" t="n">
        <f aca="false">C18-C17</f>
        <v>38</v>
      </c>
      <c r="E18" s="54" t="n">
        <f aca="false">C18-152000</f>
        <v>162056</v>
      </c>
      <c r="F18" s="53" t="n">
        <f aca="false">D18/$D$2</f>
        <v>19.1628845184065</v>
      </c>
      <c r="G18" s="53" t="n">
        <v>51.2300252143217</v>
      </c>
      <c r="H18" s="55" t="n">
        <v>0</v>
      </c>
      <c r="I18" s="53" t="n">
        <f aca="false">G18+H18</f>
        <v>51.2300252143217</v>
      </c>
      <c r="J18" s="77" t="n">
        <f aca="false">IF(L18&gt;0,L18,0)</f>
        <v>1.38285930408473</v>
      </c>
      <c r="K18" s="53" t="n">
        <f aca="false">I18+J18</f>
        <v>52.6128845184065</v>
      </c>
      <c r="L18" s="53" t="n">
        <f aca="false">F18-(I18-W18)</f>
        <v>1.38285930408473</v>
      </c>
      <c r="M18" s="53" t="n">
        <v>3.72</v>
      </c>
      <c r="N18" s="53" t="n">
        <v>0</v>
      </c>
      <c r="O18" s="53" t="n">
        <f aca="false">M18-N18</f>
        <v>3.72</v>
      </c>
      <c r="P18" s="53" t="n">
        <v>0</v>
      </c>
      <c r="Q18" s="53" t="n">
        <v>0</v>
      </c>
      <c r="R18" s="53" t="n">
        <f aca="false">SUM(O18:Q18)</f>
        <v>3.72</v>
      </c>
      <c r="S18" s="54"/>
      <c r="T18" s="53" t="n">
        <v>0</v>
      </c>
      <c r="U18" s="53" t="n">
        <v>29.73</v>
      </c>
      <c r="V18" s="54" t="n">
        <f aca="false">V17-U18</f>
        <v>11445.4133148475</v>
      </c>
      <c r="W18" s="53" t="n">
        <f aca="false">R18+T18+N18+U18</f>
        <v>33.45</v>
      </c>
      <c r="X18" s="53" t="n">
        <f aca="false">IF(L18&lt;0,L18*-1,0)</f>
        <v>0</v>
      </c>
      <c r="Y18" s="53" t="n">
        <f aca="false">W18+X18</f>
        <v>33.45</v>
      </c>
      <c r="Z18" s="57" t="n">
        <v>0</v>
      </c>
      <c r="AA18" s="86" t="n">
        <v>66</v>
      </c>
      <c r="AB18" s="58" t="n">
        <v>44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6908.01</v>
      </c>
      <c r="C19" s="54" t="n">
        <v>314095</v>
      </c>
      <c r="D19" s="58" t="n">
        <f aca="false">C19-C18</f>
        <v>39</v>
      </c>
      <c r="E19" s="54" t="n">
        <f aca="false">C19-152000</f>
        <v>162095</v>
      </c>
      <c r="F19" s="53" t="n">
        <f aca="false">D19/$D$2</f>
        <v>19.6671709531014</v>
      </c>
      <c r="G19" s="53" t="n">
        <v>71.0586232980333</v>
      </c>
      <c r="H19" s="55" t="n">
        <v>0</v>
      </c>
      <c r="I19" s="53" t="n">
        <f aca="false">G19+H19</f>
        <v>71.0586232980333</v>
      </c>
      <c r="J19" s="77" t="n">
        <f aca="false">IF(L19&gt;0,L19,0)</f>
        <v>0</v>
      </c>
      <c r="K19" s="53" t="n">
        <f aca="false">I19+J19</f>
        <v>71.0586232980333</v>
      </c>
      <c r="L19" s="53" t="n">
        <f aca="false">F19-(I19-W19)</f>
        <v>-17.9414523449319</v>
      </c>
      <c r="M19" s="53" t="n">
        <v>3.72</v>
      </c>
      <c r="N19" s="53" t="n">
        <v>0</v>
      </c>
      <c r="O19" s="53" t="n">
        <f aca="false">M19-N19</f>
        <v>3.72</v>
      </c>
      <c r="P19" s="53" t="n">
        <v>0</v>
      </c>
      <c r="Q19" s="53" t="n">
        <v>0</v>
      </c>
      <c r="R19" s="53" t="n">
        <f aca="false">SUM(O19:Q19)</f>
        <v>3.72</v>
      </c>
      <c r="S19" s="54"/>
      <c r="T19" s="53" t="n">
        <v>0</v>
      </c>
      <c r="U19" s="53" t="n">
        <v>29.73</v>
      </c>
      <c r="V19" s="54" t="n">
        <f aca="false">V18-U19</f>
        <v>11415.6833148475</v>
      </c>
      <c r="W19" s="53" t="n">
        <f aca="false">R19+T19+N19+U19</f>
        <v>33.45</v>
      </c>
      <c r="X19" s="53" t="n">
        <f aca="false">IF(L19&lt;0,L19*-1,0)</f>
        <v>17.9414523449319</v>
      </c>
      <c r="Y19" s="53" t="n">
        <f aca="false">W19+X19</f>
        <v>51.3914523449319</v>
      </c>
      <c r="Z19" s="57" t="n">
        <v>0</v>
      </c>
      <c r="AA19" s="58" t="n">
        <v>66</v>
      </c>
      <c r="AB19" s="58" t="n">
        <v>36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6908.02</v>
      </c>
      <c r="C20" s="54" t="n">
        <v>314135</v>
      </c>
      <c r="D20" s="58" t="n">
        <f aca="false">C20-C19</f>
        <v>40</v>
      </c>
      <c r="E20" s="54" t="n">
        <f aca="false">C20-152000</f>
        <v>162135</v>
      </c>
      <c r="F20" s="53" t="n">
        <f aca="false">D20/$D$2</f>
        <v>20.1714573877963</v>
      </c>
      <c r="G20" s="53" t="n">
        <v>107.447246596067</v>
      </c>
      <c r="H20" s="55" t="n">
        <v>0</v>
      </c>
      <c r="I20" s="53" t="n">
        <f aca="false">G20+H20</f>
        <v>107.447246596067</v>
      </c>
      <c r="J20" s="77" t="n">
        <f aca="false">IF(L20&gt;0,L20,0)</f>
        <v>0</v>
      </c>
      <c r="K20" s="53" t="n">
        <f aca="false">I20+J20</f>
        <v>107.447246596067</v>
      </c>
      <c r="L20" s="53" t="n">
        <f aca="false">F20-(I20-W20)</f>
        <v>-53.8257892082703</v>
      </c>
      <c r="M20" s="53" t="n">
        <v>3.72</v>
      </c>
      <c r="N20" s="53" t="n">
        <v>0</v>
      </c>
      <c r="O20" s="53" t="n">
        <f aca="false">M20-N20</f>
        <v>3.72</v>
      </c>
      <c r="P20" s="53" t="n">
        <v>0</v>
      </c>
      <c r="Q20" s="53" t="n">
        <v>0</v>
      </c>
      <c r="R20" s="53" t="n">
        <f aca="false">SUM(O20:Q20)</f>
        <v>3.72</v>
      </c>
      <c r="S20" s="54"/>
      <c r="T20" s="53" t="n">
        <v>0</v>
      </c>
      <c r="U20" s="53" t="n">
        <v>29.73</v>
      </c>
      <c r="V20" s="54" t="n">
        <f aca="false">V19-U20</f>
        <v>11385.9533148475</v>
      </c>
      <c r="W20" s="53" t="n">
        <f aca="false">R20+T20+N20+U20</f>
        <v>33.45</v>
      </c>
      <c r="X20" s="53" t="n">
        <f aca="false">IF(L20&lt;0,L20*-1,0)</f>
        <v>53.8257892082703</v>
      </c>
      <c r="Y20" s="53" t="n">
        <f aca="false">W20+X20</f>
        <v>87.2757892082703</v>
      </c>
      <c r="Z20" s="57" t="n">
        <v>0</v>
      </c>
      <c r="AA20" s="58" t="n">
        <v>68</v>
      </c>
      <c r="AB20" s="58" t="n">
        <v>40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6908.04</v>
      </c>
      <c r="C21" s="54" t="n">
        <v>314214</v>
      </c>
      <c r="D21" s="58" t="n">
        <f aca="false">C21-C20</f>
        <v>79</v>
      </c>
      <c r="E21" s="54" t="n">
        <f aca="false">C21-152000</f>
        <v>162214</v>
      </c>
      <c r="F21" s="53" t="n">
        <f aca="false">D21/$D$2</f>
        <v>39.8386283408976</v>
      </c>
      <c r="G21" s="53" t="n">
        <v>52.1300252143217</v>
      </c>
      <c r="H21" s="55" t="n">
        <v>0</v>
      </c>
      <c r="I21" s="53" t="n">
        <f aca="false">G21+H21</f>
        <v>52.1300252143217</v>
      </c>
      <c r="J21" s="77" t="n">
        <f aca="false">IF(L21&gt;0,L21,0)</f>
        <v>23.3786031265759</v>
      </c>
      <c r="K21" s="53" t="n">
        <f aca="false">I21+J21</f>
        <v>75.5086283408976</v>
      </c>
      <c r="L21" s="53" t="n">
        <f aca="false">F21-(I21-W21)</f>
        <v>23.3786031265759</v>
      </c>
      <c r="M21" s="53" t="n">
        <v>5.97</v>
      </c>
      <c r="N21" s="53" t="n">
        <v>0</v>
      </c>
      <c r="O21" s="53" t="n">
        <f aca="false">M21-N21</f>
        <v>5.97</v>
      </c>
      <c r="P21" s="53" t="n">
        <v>0</v>
      </c>
      <c r="Q21" s="53" t="n">
        <v>0</v>
      </c>
      <c r="R21" s="53" t="n">
        <f aca="false">SUM(O21:Q21)</f>
        <v>5.97</v>
      </c>
      <c r="S21" s="54"/>
      <c r="T21" s="53" t="n">
        <v>0</v>
      </c>
      <c r="U21" s="53" t="n">
        <v>29.7</v>
      </c>
      <c r="V21" s="54" t="n">
        <f aca="false">V20-U21</f>
        <v>11356.2533148475</v>
      </c>
      <c r="W21" s="53" t="n">
        <f aca="false">R21+T21+N21+U21</f>
        <v>35.67</v>
      </c>
      <c r="X21" s="53" t="n">
        <f aca="false">IF(L21&lt;0,L21*-1,0)</f>
        <v>0</v>
      </c>
      <c r="Y21" s="53" t="n">
        <f aca="false">W21+X21</f>
        <v>35.67</v>
      </c>
      <c r="Z21" s="57" t="n">
        <v>0</v>
      </c>
      <c r="AA21" s="58" t="n">
        <v>68</v>
      </c>
      <c r="AB21" s="58" t="n">
        <v>42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6908.05</v>
      </c>
      <c r="C22" s="54" t="n">
        <v>314253</v>
      </c>
      <c r="D22" s="58" t="n">
        <f aca="false">C22-C21</f>
        <v>39</v>
      </c>
      <c r="E22" s="54" t="n">
        <f aca="false">C22-152000</f>
        <v>162253</v>
      </c>
      <c r="F22" s="53" t="n">
        <f aca="false">D22/$D$2</f>
        <v>19.6671709531014</v>
      </c>
      <c r="G22" s="53" t="n">
        <v>34.13</v>
      </c>
      <c r="H22" s="55" t="n">
        <v>0</v>
      </c>
      <c r="I22" s="53" t="n">
        <f aca="false">G22+H22</f>
        <v>34.13</v>
      </c>
      <c r="J22" s="77" t="n">
        <f aca="false">IF(L22&gt;0,L22,0)</f>
        <v>22.5071709531014</v>
      </c>
      <c r="K22" s="53" t="n">
        <f aca="false">I22+J22</f>
        <v>56.6371709531014</v>
      </c>
      <c r="L22" s="53" t="n">
        <f aca="false">F22-(I22-W22)</f>
        <v>22.5071709531014</v>
      </c>
      <c r="M22" s="53" t="n">
        <v>7.27</v>
      </c>
      <c r="N22" s="53" t="n">
        <v>0</v>
      </c>
      <c r="O22" s="53" t="n">
        <f aca="false">M22-N22</f>
        <v>7.27</v>
      </c>
      <c r="P22" s="53" t="n">
        <v>0</v>
      </c>
      <c r="Q22" s="53" t="n">
        <v>0</v>
      </c>
      <c r="R22" s="53" t="n">
        <f aca="false">SUM(O22:Q22)</f>
        <v>7.27</v>
      </c>
      <c r="S22" s="54"/>
      <c r="T22" s="53" t="n">
        <v>0</v>
      </c>
      <c r="U22" s="53" t="n">
        <v>29.7</v>
      </c>
      <c r="V22" s="54" t="n">
        <f aca="false">V21-U22</f>
        <v>11326.5533148475</v>
      </c>
      <c r="W22" s="53" t="n">
        <f aca="false">R22+T22+N22+U22</f>
        <v>36.97</v>
      </c>
      <c r="X22" s="53" t="n">
        <f aca="false">IF(L22&lt;0,L22*-1,0)</f>
        <v>0</v>
      </c>
      <c r="Y22" s="53" t="n">
        <f aca="false">W22+X22</f>
        <v>36.97</v>
      </c>
      <c r="Z22" s="57" t="n">
        <v>0</v>
      </c>
      <c r="AA22" s="58" t="n">
        <v>63</v>
      </c>
      <c r="AB22" s="58" t="n">
        <v>38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6908.07</v>
      </c>
      <c r="C23" s="54" t="n">
        <v>314332</v>
      </c>
      <c r="D23" s="58" t="n">
        <f aca="false">C23-C22</f>
        <v>79</v>
      </c>
      <c r="E23" s="54" t="n">
        <f aca="false">C23-152000</f>
        <v>162332</v>
      </c>
      <c r="F23" s="53" t="n">
        <f aca="false">D23/$D$2</f>
        <v>39.8386283408976</v>
      </c>
      <c r="G23" s="53" t="n">
        <v>215.408830055472</v>
      </c>
      <c r="H23" s="55" t="n">
        <v>0</v>
      </c>
      <c r="I23" s="53" t="n">
        <f aca="false">G23+H23</f>
        <v>215.408830055472</v>
      </c>
      <c r="J23" s="77" t="n">
        <f aca="false">IF(L23&gt;0,L23,0)</f>
        <v>0</v>
      </c>
      <c r="K23" s="53" t="n">
        <f aca="false">I23+J23</f>
        <v>215.408830055472</v>
      </c>
      <c r="L23" s="53" t="n">
        <f aca="false">F23-(I23-W23)</f>
        <v>-138.800201714574</v>
      </c>
      <c r="M23" s="53" t="n">
        <v>7.04</v>
      </c>
      <c r="N23" s="53" t="n">
        <v>0</v>
      </c>
      <c r="O23" s="53" t="n">
        <f aca="false">M23-N23</f>
        <v>7.04</v>
      </c>
      <c r="P23" s="53" t="n">
        <v>0</v>
      </c>
      <c r="Q23" s="53" t="n">
        <v>0</v>
      </c>
      <c r="R23" s="53" t="n">
        <f aca="false">SUM(O23:Q23)</f>
        <v>7.04</v>
      </c>
      <c r="S23" s="54"/>
      <c r="T23" s="53" t="n">
        <v>0</v>
      </c>
      <c r="U23" s="53" t="n">
        <v>29.73</v>
      </c>
      <c r="V23" s="54" t="n">
        <f aca="false">V22-U23</f>
        <v>11296.8233148475</v>
      </c>
      <c r="W23" s="53" t="n">
        <f aca="false">R23+T23+N23+U23</f>
        <v>36.77</v>
      </c>
      <c r="X23" s="53" t="n">
        <f aca="false">IF(L23&lt;0,L23*-1,0)</f>
        <v>138.800201714574</v>
      </c>
      <c r="Y23" s="53" t="n">
        <f aca="false">W23+X23</f>
        <v>175.570201714574</v>
      </c>
      <c r="Z23" s="57" t="n">
        <v>0</v>
      </c>
      <c r="AA23" s="86" t="n">
        <v>70</v>
      </c>
      <c r="AB23" s="58" t="n">
        <v>38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6908.1</v>
      </c>
      <c r="C24" s="54" t="n">
        <v>314451</v>
      </c>
      <c r="D24" s="58" t="n">
        <f aca="false">C24-C23</f>
        <v>119</v>
      </c>
      <c r="E24" s="54" t="n">
        <f aca="false">C24-152000</f>
        <v>162451</v>
      </c>
      <c r="F24" s="53" t="n">
        <f aca="false">D24/$D$2</f>
        <v>60.0100857286939</v>
      </c>
      <c r="G24" s="53" t="n">
        <v>70.4086232980333</v>
      </c>
      <c r="H24" s="55" t="n">
        <v>0</v>
      </c>
      <c r="I24" s="53" t="n">
        <f aca="false">G24+H24</f>
        <v>70.4086232980333</v>
      </c>
      <c r="J24" s="77" t="n">
        <f aca="false">IF(L24&gt;0,L24,0)</f>
        <v>25.9714624306606</v>
      </c>
      <c r="K24" s="53" t="n">
        <f aca="false">I24+J24</f>
        <v>96.3800857286939</v>
      </c>
      <c r="L24" s="53" t="n">
        <f aca="false">F24-(I24-W24)</f>
        <v>25.9714624306606</v>
      </c>
      <c r="M24" s="53" t="n">
        <v>6.7</v>
      </c>
      <c r="N24" s="53" t="n">
        <v>0</v>
      </c>
      <c r="O24" s="53" t="n">
        <f aca="false">M24-N24</f>
        <v>6.7</v>
      </c>
      <c r="P24" s="53" t="n">
        <v>0</v>
      </c>
      <c r="Q24" s="53" t="n">
        <v>0</v>
      </c>
      <c r="R24" s="53" t="n">
        <f aca="false">SUM(O24:Q24)</f>
        <v>6.7</v>
      </c>
      <c r="S24" s="54"/>
      <c r="T24" s="53" t="n">
        <v>0</v>
      </c>
      <c r="U24" s="53" t="n">
        <v>29.67</v>
      </c>
      <c r="V24" s="54" t="n">
        <f aca="false">V23-U24</f>
        <v>11267.1533148475</v>
      </c>
      <c r="W24" s="53" t="n">
        <f aca="false">R24+T24+N24+U24</f>
        <v>36.37</v>
      </c>
      <c r="X24" s="53" t="n">
        <f aca="false">IF(L24&lt;0,L24*-1,0)</f>
        <v>0</v>
      </c>
      <c r="Y24" s="53" t="n">
        <f aca="false">W24+X24</f>
        <v>36.37</v>
      </c>
      <c r="Z24" s="57" t="n">
        <v>0</v>
      </c>
      <c r="AA24" s="86" t="n">
        <v>72</v>
      </c>
      <c r="AB24" s="58" t="n">
        <v>44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6908.12</v>
      </c>
      <c r="C25" s="54" t="n">
        <v>314530</v>
      </c>
      <c r="D25" s="58" t="n">
        <f aca="false">C25-C24</f>
        <v>79</v>
      </c>
      <c r="E25" s="54" t="n">
        <f aca="false">C25-152000</f>
        <v>162530</v>
      </c>
      <c r="F25" s="53" t="n">
        <f aca="false">D25/$D$2</f>
        <v>39.8386283408976</v>
      </c>
      <c r="G25" s="53" t="n">
        <v>70.4086232980333</v>
      </c>
      <c r="H25" s="55" t="n">
        <v>0</v>
      </c>
      <c r="I25" s="53" t="n">
        <f aca="false">G25+H25</f>
        <v>70.4086232980333</v>
      </c>
      <c r="J25" s="77" t="n">
        <f aca="false">IF(L25&gt;0,L25,0)</f>
        <v>5.83000504286434</v>
      </c>
      <c r="K25" s="53" t="n">
        <f aca="false">I25+J25</f>
        <v>76.2386283408976</v>
      </c>
      <c r="L25" s="53" t="n">
        <f aca="false">F25-(I25-W25)</f>
        <v>5.83000504286434</v>
      </c>
      <c r="M25" s="53" t="n">
        <v>6.7</v>
      </c>
      <c r="N25" s="53" t="n">
        <v>0</v>
      </c>
      <c r="O25" s="53" t="n">
        <f aca="false">M25-N25</f>
        <v>6.7</v>
      </c>
      <c r="P25" s="53" t="n">
        <v>0</v>
      </c>
      <c r="Q25" s="53" t="n">
        <v>0</v>
      </c>
      <c r="R25" s="53" t="n">
        <f aca="false">SUM(O25:Q25)</f>
        <v>6.7</v>
      </c>
      <c r="S25" s="54"/>
      <c r="T25" s="53" t="n">
        <v>0</v>
      </c>
      <c r="U25" s="53" t="n">
        <v>29.7</v>
      </c>
      <c r="V25" s="54" t="n">
        <f aca="false">V24-U25</f>
        <v>11237.4533148475</v>
      </c>
      <c r="W25" s="53" t="n">
        <f aca="false">R25+T25+N25+U25</f>
        <v>36.4</v>
      </c>
      <c r="X25" s="53" t="n">
        <f aca="false">IF(L25&lt;0,L25*-1,0)</f>
        <v>0</v>
      </c>
      <c r="Y25" s="53" t="n">
        <f aca="false">W25+X25</f>
        <v>36.4</v>
      </c>
      <c r="Z25" s="57" t="n">
        <v>0</v>
      </c>
      <c r="AA25" s="86" t="n">
        <v>76</v>
      </c>
      <c r="AB25" s="58" t="n">
        <v>44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6908.14</v>
      </c>
      <c r="C26" s="54" t="n">
        <v>314609</v>
      </c>
      <c r="D26" s="58" t="n">
        <f aca="false">C26-C25</f>
        <v>79</v>
      </c>
      <c r="E26" s="54" t="n">
        <f aca="false">C26-152000</f>
        <v>162609</v>
      </c>
      <c r="F26" s="53" t="n">
        <f aca="false">D26/$D$2</f>
        <v>39.8386283408976</v>
      </c>
      <c r="G26" s="53" t="n">
        <v>52.2543116490166</v>
      </c>
      <c r="H26" s="55" t="n">
        <v>0</v>
      </c>
      <c r="I26" s="53" t="n">
        <f aca="false">G26+H26</f>
        <v>52.2543116490166</v>
      </c>
      <c r="J26" s="77" t="n">
        <f aca="false">IF(L26&gt;0,L26,0)</f>
        <v>23.984316691881</v>
      </c>
      <c r="K26" s="53" t="n">
        <f aca="false">I26+J26</f>
        <v>76.2386283408976</v>
      </c>
      <c r="L26" s="53" t="n">
        <f aca="false">F26-(I26-W26)</f>
        <v>23.984316691881</v>
      </c>
      <c r="M26" s="53" t="n">
        <v>6.7</v>
      </c>
      <c r="N26" s="53" t="n">
        <v>0</v>
      </c>
      <c r="O26" s="53" t="n">
        <f aca="false">M26-N26</f>
        <v>6.7</v>
      </c>
      <c r="P26" s="53" t="n">
        <v>0</v>
      </c>
      <c r="Q26" s="53" t="n">
        <v>0</v>
      </c>
      <c r="R26" s="53" t="n">
        <f aca="false">SUM(O26:Q26)</f>
        <v>6.7</v>
      </c>
      <c r="S26" s="54"/>
      <c r="T26" s="53" t="n">
        <v>0</v>
      </c>
      <c r="U26" s="53" t="n">
        <v>29.7</v>
      </c>
      <c r="V26" s="54" t="n">
        <f aca="false">V25-U26</f>
        <v>11207.7533148475</v>
      </c>
      <c r="W26" s="53" t="n">
        <f aca="false">R26+T26+N26+U26</f>
        <v>36.4</v>
      </c>
      <c r="X26" s="53" t="n">
        <f aca="false">IF(L26&lt;0,L26*-1,0)</f>
        <v>0</v>
      </c>
      <c r="Y26" s="53" t="n">
        <f aca="false">W26+X26</f>
        <v>36.4</v>
      </c>
      <c r="Z26" s="57" t="n">
        <v>0</v>
      </c>
      <c r="AA26" s="86" t="n">
        <v>75</v>
      </c>
      <c r="AB26" s="58" t="n">
        <v>43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6908.16</v>
      </c>
      <c r="C27" s="54" t="n">
        <v>314689</v>
      </c>
      <c r="D27" s="58" t="n">
        <f aca="false">C27-C26</f>
        <v>80</v>
      </c>
      <c r="E27" s="54" t="n">
        <f aca="false">C27-152000</f>
        <v>162689</v>
      </c>
      <c r="F27" s="53" t="n">
        <f aca="false">D27/$D$2</f>
        <v>40.3429147755925</v>
      </c>
      <c r="G27" s="53" t="n">
        <v>70.4086232980333</v>
      </c>
      <c r="H27" s="55" t="n">
        <v>0</v>
      </c>
      <c r="I27" s="53" t="n">
        <f aca="false">G27+H27</f>
        <v>70.4086232980333</v>
      </c>
      <c r="J27" s="77" t="n">
        <f aca="false">IF(L27&gt;0,L27,0)</f>
        <v>6.33429147755924</v>
      </c>
      <c r="K27" s="53" t="n">
        <f aca="false">I27+J27</f>
        <v>76.7429147755925</v>
      </c>
      <c r="L27" s="53" t="n">
        <f aca="false">F27-(I27-W27)</f>
        <v>6.33429147755924</v>
      </c>
      <c r="M27" s="53" t="n">
        <v>6.7</v>
      </c>
      <c r="N27" s="53" t="n">
        <v>0</v>
      </c>
      <c r="O27" s="53" t="n">
        <f aca="false">M27-N27</f>
        <v>6.7</v>
      </c>
      <c r="P27" s="53" t="n">
        <v>0</v>
      </c>
      <c r="Q27" s="53" t="n">
        <v>0</v>
      </c>
      <c r="R27" s="53" t="n">
        <f aca="false">SUM(O27:Q27)</f>
        <v>6.7</v>
      </c>
      <c r="S27" s="54"/>
      <c r="T27" s="53" t="n">
        <v>0</v>
      </c>
      <c r="U27" s="53" t="n">
        <v>29.7</v>
      </c>
      <c r="V27" s="54" t="n">
        <f aca="false">V26-U27</f>
        <v>11178.0533148475</v>
      </c>
      <c r="W27" s="53" t="n">
        <f aca="false">R27+T27+N27+U27</f>
        <v>36.4</v>
      </c>
      <c r="X27" s="53" t="n">
        <f aca="false">IF(L27&lt;0,L27*-1,0)</f>
        <v>0</v>
      </c>
      <c r="Y27" s="53" t="n">
        <f aca="false">W27+X27</f>
        <v>36.4</v>
      </c>
      <c r="Z27" s="57" t="n">
        <v>0</v>
      </c>
      <c r="AA27" s="86" t="n">
        <v>74</v>
      </c>
      <c r="AB27" s="58" t="n">
        <v>40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6908.19</v>
      </c>
      <c r="C28" s="91" t="n">
        <v>314806</v>
      </c>
      <c r="D28" s="58" t="n">
        <f aca="false">C28-C27</f>
        <v>117</v>
      </c>
      <c r="E28" s="54" t="n">
        <f aca="false">C28-152000</f>
        <v>162806</v>
      </c>
      <c r="F28" s="53" t="n">
        <f aca="false">D28/$D$2</f>
        <v>59.0015128593041</v>
      </c>
      <c r="G28" s="53" t="n">
        <v>94.518648512355</v>
      </c>
      <c r="H28" s="55" t="n">
        <v>0</v>
      </c>
      <c r="I28" s="53" t="n">
        <f aca="false">G28+H28</f>
        <v>94.518648512355</v>
      </c>
      <c r="J28" s="77" t="n">
        <f aca="false">IF(L28&gt;0,L28,0)</f>
        <v>0.882864346949063</v>
      </c>
      <c r="K28" s="53" t="n">
        <f aca="false">I28+J28</f>
        <v>95.4015128593041</v>
      </c>
      <c r="L28" s="53" t="n">
        <f aca="false">F28-(I28-W28)</f>
        <v>0.882864346949063</v>
      </c>
      <c r="M28" s="0" t="n">
        <v>6.7</v>
      </c>
      <c r="N28" s="53" t="n">
        <v>0</v>
      </c>
      <c r="O28" s="53" t="n">
        <f aca="false">M28-N28</f>
        <v>6.7</v>
      </c>
      <c r="P28" s="53" t="n">
        <v>0</v>
      </c>
      <c r="Q28" s="53" t="n">
        <v>0</v>
      </c>
      <c r="R28" s="53" t="n">
        <f aca="false">SUM(O28:Q28)</f>
        <v>6.7</v>
      </c>
      <c r="S28" s="54"/>
      <c r="T28" s="53" t="n">
        <v>0</v>
      </c>
      <c r="U28" s="53" t="n">
        <v>29.7</v>
      </c>
      <c r="V28" s="54" t="n">
        <f aca="false">V27-U28</f>
        <v>11148.3533148475</v>
      </c>
      <c r="W28" s="53" t="n">
        <f aca="false">R28+T28+N28+U28</f>
        <v>36.4</v>
      </c>
      <c r="X28" s="53" t="n">
        <f aca="false">IF(L28&lt;0,L28*-1,0)</f>
        <v>0</v>
      </c>
      <c r="Y28" s="53" t="n">
        <f aca="false">W28+X28</f>
        <v>36.4</v>
      </c>
      <c r="Z28" s="57" t="n">
        <v>0.02</v>
      </c>
      <c r="AA28" s="86" t="n">
        <v>75</v>
      </c>
      <c r="AB28" s="58" t="n">
        <v>39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6908.24</v>
      </c>
      <c r="C29" s="54" t="n">
        <v>315005</v>
      </c>
      <c r="D29" s="58" t="n">
        <f aca="false">C29-C28</f>
        <v>199</v>
      </c>
      <c r="E29" s="54" t="n">
        <f aca="false">C29-152000</f>
        <v>163005</v>
      </c>
      <c r="F29" s="53" t="n">
        <f aca="false">D29/$D$2</f>
        <v>100.353000504286</v>
      </c>
      <c r="G29" s="53" t="n">
        <v>113.297246596067</v>
      </c>
      <c r="H29" s="55" t="n">
        <v>0</v>
      </c>
      <c r="I29" s="53" t="n">
        <f aca="false">G29+H29</f>
        <v>113.297246596067</v>
      </c>
      <c r="J29" s="77" t="n">
        <f aca="false">IF(L29&gt;0,L29,0)</f>
        <v>21.4657539082199</v>
      </c>
      <c r="K29" s="53" t="n">
        <f aca="false">I29+J29</f>
        <v>134.763000504286</v>
      </c>
      <c r="L29" s="53" t="n">
        <f aca="false">F29-(I29-W29)</f>
        <v>21.4657539082199</v>
      </c>
      <c r="M29" s="53" t="n">
        <v>4.51</v>
      </c>
      <c r="N29" s="53" t="n">
        <v>0</v>
      </c>
      <c r="O29" s="53" t="n">
        <f aca="false">M29-N29</f>
        <v>4.51</v>
      </c>
      <c r="P29" s="53" t="n">
        <v>0</v>
      </c>
      <c r="Q29" s="53" t="n">
        <v>0</v>
      </c>
      <c r="R29" s="53" t="n">
        <f aca="false">SUM(O29:Q29)</f>
        <v>4.51</v>
      </c>
      <c r="S29" s="54"/>
      <c r="T29" s="53" t="n">
        <v>0</v>
      </c>
      <c r="U29" s="53" t="n">
        <v>29.9</v>
      </c>
      <c r="V29" s="54" t="n">
        <f aca="false">V28-U29</f>
        <v>11118.4533148475</v>
      </c>
      <c r="W29" s="53" t="n">
        <f aca="false">R29+T29+N29+U29</f>
        <v>34.41</v>
      </c>
      <c r="X29" s="53" t="n">
        <f aca="false">IF(L29&lt;0,L29*-1,0)</f>
        <v>0</v>
      </c>
      <c r="Y29" s="53" t="n">
        <f aca="false">W29+X29</f>
        <v>34.41</v>
      </c>
      <c r="Z29" s="57" t="n">
        <v>0.14</v>
      </c>
      <c r="AA29" s="86" t="n">
        <v>72</v>
      </c>
      <c r="AB29" s="58" t="n">
        <v>30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6908.29</v>
      </c>
      <c r="C30" s="54" t="n">
        <v>315201</v>
      </c>
      <c r="D30" s="58" t="n">
        <f aca="false">C30-C29</f>
        <v>196</v>
      </c>
      <c r="E30" s="54" t="n">
        <f aca="false">C30-152000</f>
        <v>163201</v>
      </c>
      <c r="F30" s="53" t="n">
        <f aca="false">D30/$D$2</f>
        <v>98.8401412002017</v>
      </c>
      <c r="G30" s="53" t="n">
        <v>89.058648512355</v>
      </c>
      <c r="H30" s="55" t="n">
        <v>0</v>
      </c>
      <c r="I30" s="53" t="n">
        <f aca="false">G30+H30</f>
        <v>89.058648512355</v>
      </c>
      <c r="J30" s="77" t="n">
        <f aca="false">IF(L30&gt;0,L30,0)</f>
        <v>42.5614926878467</v>
      </c>
      <c r="K30" s="53" t="n">
        <f aca="false">I30+J30</f>
        <v>131.620141200202</v>
      </c>
      <c r="L30" s="53" t="n">
        <f aca="false">F30-(I30-W30)</f>
        <v>42.5614926878467</v>
      </c>
      <c r="M30" s="53" t="n">
        <v>3.08</v>
      </c>
      <c r="N30" s="53" t="n">
        <v>0</v>
      </c>
      <c r="O30" s="53" t="n">
        <f aca="false">M30-N30</f>
        <v>3.08</v>
      </c>
      <c r="P30" s="53" t="n">
        <v>0</v>
      </c>
      <c r="Q30" s="53" t="n">
        <v>0</v>
      </c>
      <c r="R30" s="53" t="n">
        <f aca="false">SUM(O30:Q30)</f>
        <v>3.08</v>
      </c>
      <c r="S30" s="54"/>
      <c r="T30" s="53" t="n">
        <v>0</v>
      </c>
      <c r="U30" s="53" t="n">
        <v>29.7</v>
      </c>
      <c r="V30" s="54" t="n">
        <f aca="false">V29-U30</f>
        <v>11088.7533148475</v>
      </c>
      <c r="W30" s="53" t="n">
        <f aca="false">R30+T30+N30+U30</f>
        <v>32.78</v>
      </c>
      <c r="X30" s="53" t="n">
        <f aca="false">IF(L30&lt;0,L30*-1,0)</f>
        <v>0</v>
      </c>
      <c r="Y30" s="53" t="n">
        <f aca="false">W30+X30</f>
        <v>32.78</v>
      </c>
      <c r="Z30" s="57" t="n">
        <v>0</v>
      </c>
      <c r="AA30" s="58" t="n">
        <v>73</v>
      </c>
      <c r="AB30" s="58" t="n">
        <v>35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6808.37</v>
      </c>
      <c r="C31" s="54" t="n">
        <v>315518</v>
      </c>
      <c r="D31" s="58" t="n">
        <f aca="false">C31-C30</f>
        <v>317</v>
      </c>
      <c r="E31" s="54" t="n">
        <f aca="false">C31-152000</f>
        <v>163518</v>
      </c>
      <c r="F31" s="53" t="n">
        <f aca="false">D31/$D$2</f>
        <v>159.858799798285</v>
      </c>
      <c r="G31" s="53" t="n">
        <v>161.400181543116</v>
      </c>
      <c r="H31" s="55" t="n">
        <v>0</v>
      </c>
      <c r="I31" s="53" t="n">
        <f aca="false">G31+H31</f>
        <v>161.400181543116</v>
      </c>
      <c r="J31" s="77" t="n">
        <f aca="false">IF(L31&gt;0,L31,0)</f>
        <v>31.2386182551689</v>
      </c>
      <c r="K31" s="53" t="n">
        <f aca="false">I31+J31</f>
        <v>192.638799798285</v>
      </c>
      <c r="L31" s="53" t="n">
        <f aca="false">F31-(I31-W31)</f>
        <v>31.2386182551689</v>
      </c>
      <c r="M31" s="53" t="n">
        <v>3.08</v>
      </c>
      <c r="N31" s="53" t="n">
        <v>0</v>
      </c>
      <c r="O31" s="53" t="n">
        <f aca="false">M31-N31</f>
        <v>3.08</v>
      </c>
      <c r="P31" s="53" t="n">
        <v>0</v>
      </c>
      <c r="Q31" s="53" t="n">
        <v>0</v>
      </c>
      <c r="R31" s="53" t="n">
        <f aca="false">SUM(O31:Q31)</f>
        <v>3.08</v>
      </c>
      <c r="S31" s="54"/>
      <c r="T31" s="53" t="n">
        <v>0</v>
      </c>
      <c r="U31" s="53" t="n">
        <v>29.7</v>
      </c>
      <c r="V31" s="54" t="n">
        <f aca="false">V30-U31</f>
        <v>11059.0533148475</v>
      </c>
      <c r="W31" s="53" t="n">
        <f aca="false">R31+T31+N31+U31</f>
        <v>32.78</v>
      </c>
      <c r="X31" s="53" t="n">
        <f aca="false">IF(L31&lt;0,L31*-1,0)</f>
        <v>0</v>
      </c>
      <c r="Y31" s="53" t="n">
        <f aca="false">W31+X31</f>
        <v>32.78</v>
      </c>
      <c r="Z31" s="57" t="n">
        <v>0</v>
      </c>
      <c r="AA31" s="58" t="n">
        <v>79</v>
      </c>
      <c r="AB31" s="58" t="n">
        <v>40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6908.4</v>
      </c>
      <c r="C32" s="54" t="n">
        <v>315635</v>
      </c>
      <c r="D32" s="58" t="n">
        <f aca="false">C32-C31</f>
        <v>117</v>
      </c>
      <c r="E32" s="54" t="n">
        <f aca="false">C32-152000</f>
        <v>163635</v>
      </c>
      <c r="F32" s="53" t="n">
        <f aca="false">D32/$D$2</f>
        <v>59.0015128593041</v>
      </c>
      <c r="G32" s="53" t="n">
        <v>124.367271810388</v>
      </c>
      <c r="H32" s="55" t="n">
        <v>0</v>
      </c>
      <c r="I32" s="53" t="n">
        <f aca="false">G32+H32</f>
        <v>124.367271810388</v>
      </c>
      <c r="J32" s="77" t="n">
        <f aca="false">IF(L32&gt;0,L32,0)</f>
        <v>0</v>
      </c>
      <c r="K32" s="53" t="n">
        <f aca="false">I32+J32</f>
        <v>124.367271810388</v>
      </c>
      <c r="L32" s="53" t="n">
        <f aca="false">F32-(I32-W32)</f>
        <v>-32.5857589510842</v>
      </c>
      <c r="M32" s="53" t="n">
        <v>3.08</v>
      </c>
      <c r="N32" s="53" t="n">
        <v>0</v>
      </c>
      <c r="O32" s="53" t="n">
        <f aca="false">M32-N32</f>
        <v>3.08</v>
      </c>
      <c r="P32" s="53" t="n">
        <v>0</v>
      </c>
      <c r="Q32" s="53" t="n">
        <v>0</v>
      </c>
      <c r="R32" s="53" t="n">
        <f aca="false">SUM(O32:Q32)</f>
        <v>3.08</v>
      </c>
      <c r="S32" s="54"/>
      <c r="T32" s="53" t="n">
        <v>0</v>
      </c>
      <c r="U32" s="53" t="n">
        <v>29.7</v>
      </c>
      <c r="V32" s="54" t="n">
        <f aca="false">V31-U32</f>
        <v>11029.3533148475</v>
      </c>
      <c r="W32" s="53" t="n">
        <f aca="false">R32+T32+N32+U32</f>
        <v>32.78</v>
      </c>
      <c r="X32" s="53" t="n">
        <f aca="false">IF(L32&lt;0,L32*-1,0)</f>
        <v>32.5857589510842</v>
      </c>
      <c r="Y32" s="53" t="n">
        <f aca="false">W32+X32</f>
        <v>65.3657589510842</v>
      </c>
      <c r="Z32" s="57" t="n">
        <v>0</v>
      </c>
      <c r="AA32" s="58" t="n">
        <v>80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6908.42</v>
      </c>
      <c r="C33" s="54" t="n">
        <v>315714</v>
      </c>
      <c r="D33" s="58" t="n">
        <f aca="false">C33-C32</f>
        <v>79</v>
      </c>
      <c r="E33" s="54" t="n">
        <f aca="false">C33-152000</f>
        <v>163714</v>
      </c>
      <c r="F33" s="53" t="n">
        <f aca="false">D33/$D$2</f>
        <v>39.8386283408976</v>
      </c>
      <c r="G33" s="53" t="n">
        <v>178.830206757438</v>
      </c>
      <c r="H33" s="55" t="n">
        <v>0</v>
      </c>
      <c r="I33" s="53" t="n">
        <f aca="false">G33+H33</f>
        <v>178.830206757438</v>
      </c>
      <c r="J33" s="77" t="n">
        <f aca="false">IF(L33&gt;0,L33,0)</f>
        <v>0</v>
      </c>
      <c r="K33" s="53" t="n">
        <f aca="false">I33+J33</f>
        <v>178.830206757438</v>
      </c>
      <c r="L33" s="53" t="n">
        <f aca="false">F33-(I33-W33)</f>
        <v>-106.271578416541</v>
      </c>
      <c r="M33" s="53" t="n">
        <v>3.08</v>
      </c>
      <c r="N33" s="53" t="n">
        <v>0</v>
      </c>
      <c r="O33" s="53" t="n">
        <f aca="false">M33-N33</f>
        <v>3.08</v>
      </c>
      <c r="P33" s="53" t="n">
        <v>0</v>
      </c>
      <c r="Q33" s="53" t="n">
        <v>0</v>
      </c>
      <c r="R33" s="53" t="n">
        <f aca="false">SUM(O33:Q33)</f>
        <v>3.08</v>
      </c>
      <c r="S33" s="54"/>
      <c r="T33" s="53" t="n">
        <v>0</v>
      </c>
      <c r="U33" s="53" t="n">
        <v>29.64</v>
      </c>
      <c r="V33" s="54" t="n">
        <f aca="false">V32-U33</f>
        <v>10999.7133148475</v>
      </c>
      <c r="W33" s="53" t="n">
        <f aca="false">R33+T33+N33+U33</f>
        <v>32.72</v>
      </c>
      <c r="X33" s="53" t="n">
        <f aca="false">IF(L33&lt;0,L33*-1,0)</f>
        <v>106.271578416541</v>
      </c>
      <c r="Y33" s="53" t="n">
        <f aca="false">W33+X33</f>
        <v>138.991578416541</v>
      </c>
      <c r="Z33" s="57" t="n">
        <v>0</v>
      </c>
      <c r="AA33" s="58" t="n">
        <v>76</v>
      </c>
      <c r="AB33" s="86" t="n">
        <v>48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6908.44</v>
      </c>
      <c r="C34" s="54" t="n">
        <v>315793</v>
      </c>
      <c r="D34" s="58" t="n">
        <f aca="false">C34-C33</f>
        <v>79</v>
      </c>
      <c r="E34" s="54" t="n">
        <f aca="false">C34-152000</f>
        <v>163793</v>
      </c>
      <c r="F34" s="53" t="n">
        <f aca="false">D34/$D$2</f>
        <v>39.8386283408976</v>
      </c>
      <c r="G34" s="53" t="n">
        <v>217.155975794251</v>
      </c>
      <c r="H34" s="55" t="n">
        <v>0</v>
      </c>
      <c r="I34" s="53" t="n">
        <f aca="false">G34+H34</f>
        <v>217.155975794251</v>
      </c>
      <c r="J34" s="77" t="n">
        <f aca="false">IF(L34&gt;0,L34,0)</f>
        <v>0</v>
      </c>
      <c r="K34" s="53" t="n">
        <f aca="false">I34+J34</f>
        <v>217.155975794251</v>
      </c>
      <c r="L34" s="53" t="n">
        <f aca="false">F34-(I34-W34)</f>
        <v>-144.757347453354</v>
      </c>
      <c r="M34" s="53" t="n">
        <v>3.08</v>
      </c>
      <c r="N34" s="53" t="n">
        <v>0</v>
      </c>
      <c r="O34" s="53" t="n">
        <f aca="false">M34-N34</f>
        <v>3.08</v>
      </c>
      <c r="P34" s="53" t="n">
        <v>0</v>
      </c>
      <c r="Q34" s="53" t="n">
        <v>0</v>
      </c>
      <c r="R34" s="53" t="n">
        <f aca="false">SUM(O34:Q34)</f>
        <v>3.08</v>
      </c>
      <c r="S34" s="54"/>
      <c r="T34" s="53" t="n">
        <v>0</v>
      </c>
      <c r="U34" s="53" t="n">
        <v>29.48</v>
      </c>
      <c r="V34" s="54" t="n">
        <f aca="false">V33-U34</f>
        <v>10970.2333148475</v>
      </c>
      <c r="W34" s="53" t="n">
        <f aca="false">R34+T34+N34+U34</f>
        <v>32.56</v>
      </c>
      <c r="X34" s="53" t="n">
        <f aca="false">IF(L34&lt;0,L34*-1,0)</f>
        <v>144.757347453354</v>
      </c>
      <c r="Y34" s="53" t="n">
        <f aca="false">W34+X34</f>
        <v>177.317347453354</v>
      </c>
      <c r="Z34" s="57" t="n">
        <v>0.09</v>
      </c>
      <c r="AA34" s="58" t="n">
        <v>71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6908.49</v>
      </c>
      <c r="C35" s="54" t="n">
        <v>315992</v>
      </c>
      <c r="D35" s="58" t="n">
        <f aca="false">C35-C34</f>
        <v>199</v>
      </c>
      <c r="E35" s="54" t="n">
        <f aca="false">C35-152000</f>
        <v>163992</v>
      </c>
      <c r="F35" s="53" t="n">
        <f aca="false">D35/$D$2</f>
        <v>100.353000504286</v>
      </c>
      <c r="G35" s="53" t="n">
        <v>180.998779626828</v>
      </c>
      <c r="H35" s="55" t="n">
        <v>0</v>
      </c>
      <c r="I35" s="53" t="n">
        <f aca="false">G35+H35</f>
        <v>180.998779626828</v>
      </c>
      <c r="J35" s="77" t="n">
        <f aca="false">IF(L35&gt;0,L35,0)</f>
        <v>0</v>
      </c>
      <c r="K35" s="53" t="n">
        <f aca="false">I35+J35</f>
        <v>180.998779626828</v>
      </c>
      <c r="L35" s="53" t="n">
        <f aca="false">F35-(I35-W35)</f>
        <v>-48.0157791225416</v>
      </c>
      <c r="M35" s="53" t="n">
        <v>3.08</v>
      </c>
      <c r="N35" s="53" t="n">
        <v>0</v>
      </c>
      <c r="O35" s="53" t="n">
        <f aca="false">M35-N35</f>
        <v>3.08</v>
      </c>
      <c r="P35" s="53" t="n">
        <v>0</v>
      </c>
      <c r="Q35" s="53" t="n">
        <v>0</v>
      </c>
      <c r="R35" s="53" t="n">
        <f aca="false">SUM(O35:Q35)</f>
        <v>3.08</v>
      </c>
      <c r="S35" s="54"/>
      <c r="T35" s="53" t="n">
        <v>0</v>
      </c>
      <c r="U35" s="53" t="n">
        <v>29.55</v>
      </c>
      <c r="V35" s="54" t="n">
        <f aca="false">V34-U35</f>
        <v>10940.6833148475</v>
      </c>
      <c r="W35" s="53" t="n">
        <f aca="false">R35+T35+N35+U35</f>
        <v>32.63</v>
      </c>
      <c r="X35" s="53" t="n">
        <f aca="false">IF(L35&lt;0,L35*-1,0)</f>
        <v>48.0157791225416</v>
      </c>
      <c r="Y35" s="53" t="n">
        <f aca="false">W35+X35</f>
        <v>80.6457791225416</v>
      </c>
      <c r="Z35" s="57" t="n">
        <v>0.13</v>
      </c>
      <c r="AA35" s="58" t="n">
        <v>63</v>
      </c>
      <c r="AB35" s="58" t="n">
        <v>35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6908.49</v>
      </c>
      <c r="C36" s="54" t="n">
        <v>315992</v>
      </c>
      <c r="D36" s="58" t="n">
        <f aca="false">C36-C35</f>
        <v>0</v>
      </c>
      <c r="E36" s="54" t="n">
        <f aca="false">C36-152000</f>
        <v>163992</v>
      </c>
      <c r="F36" s="53" t="n">
        <f aca="false">D36/$D$2</f>
        <v>0</v>
      </c>
      <c r="G36" s="53" t="n">
        <v>198.833091275845</v>
      </c>
      <c r="H36" s="55" t="n">
        <v>0</v>
      </c>
      <c r="I36" s="53" t="n">
        <f aca="false">G36+H36</f>
        <v>198.833091275845</v>
      </c>
      <c r="J36" s="77" t="n">
        <f aca="false">IF(L36&gt;0,L36,0)</f>
        <v>0</v>
      </c>
      <c r="K36" s="53" t="n">
        <f aca="false">I36+J36</f>
        <v>198.833091275845</v>
      </c>
      <c r="L36" s="53" t="n">
        <f aca="false">F36-(I36-W36)</f>
        <v>-166.053091275845</v>
      </c>
      <c r="M36" s="53" t="n">
        <v>3.08</v>
      </c>
      <c r="N36" s="53" t="n">
        <v>0</v>
      </c>
      <c r="O36" s="53" t="n">
        <f aca="false">M36-N36</f>
        <v>3.08</v>
      </c>
      <c r="P36" s="53" t="n">
        <v>0</v>
      </c>
      <c r="Q36" s="53" t="n">
        <v>0</v>
      </c>
      <c r="R36" s="53" t="n">
        <f aca="false">SUM(O36:Q36)</f>
        <v>3.08</v>
      </c>
      <c r="S36" s="54"/>
      <c r="T36" s="53" t="n">
        <v>0</v>
      </c>
      <c r="U36" s="53" t="n">
        <v>29.7</v>
      </c>
      <c r="V36" s="54" t="n">
        <f aca="false">V35-U36</f>
        <v>10910.9833148475</v>
      </c>
      <c r="W36" s="53" t="n">
        <f aca="false">R36+T36+N36+U36</f>
        <v>32.78</v>
      </c>
      <c r="X36" s="53" t="n">
        <f aca="false">IF(L36&lt;0,L36*-1,0)</f>
        <v>166.053091275845</v>
      </c>
      <c r="Y36" s="53" t="n">
        <f aca="false">W36+X36</f>
        <v>198.833091275845</v>
      </c>
      <c r="Z36" s="57" t="n">
        <v>0</v>
      </c>
      <c r="AA36" s="58" t="n">
        <v>67</v>
      </c>
      <c r="AB36" s="58" t="n">
        <v>40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v>28</v>
      </c>
      <c r="B37" s="76" t="n">
        <v>6908.5</v>
      </c>
      <c r="C37" s="54" t="n">
        <v>316031</v>
      </c>
      <c r="D37" s="58" t="n">
        <f aca="false">C37-C35</f>
        <v>39</v>
      </c>
      <c r="E37" s="54" t="n">
        <f aca="false">C37-152000</f>
        <v>164031</v>
      </c>
      <c r="F37" s="53" t="n">
        <f aca="false">D37/$D$2</f>
        <v>19.6671709531014</v>
      </c>
      <c r="G37" s="53" t="n">
        <v>308.767534039334</v>
      </c>
      <c r="H37" s="55" t="n">
        <v>0</v>
      </c>
      <c r="I37" s="53" t="n">
        <f aca="false">G37+H37</f>
        <v>308.767534039334</v>
      </c>
      <c r="J37" s="77" t="n">
        <f aca="false">IF(L37&gt;0,L37,0)</f>
        <v>0</v>
      </c>
      <c r="K37" s="53" t="n">
        <f aca="false">I37+J37</f>
        <v>308.767534039334</v>
      </c>
      <c r="L37" s="53" t="n">
        <f aca="false">F37-(I37-W37)</f>
        <v>-255.550363086233</v>
      </c>
      <c r="M37" s="53" t="n">
        <v>3.94</v>
      </c>
      <c r="N37" s="53" t="n">
        <v>0</v>
      </c>
      <c r="O37" s="53" t="n">
        <f aca="false">M37-N37</f>
        <v>3.94</v>
      </c>
      <c r="P37" s="53" t="n">
        <v>0</v>
      </c>
      <c r="Q37" s="53" t="n">
        <v>0</v>
      </c>
      <c r="R37" s="53" t="n">
        <f aca="false">SUM(O37:Q37)</f>
        <v>3.94</v>
      </c>
      <c r="S37" s="54"/>
      <c r="T37" s="53" t="n">
        <v>0</v>
      </c>
      <c r="U37" s="53" t="n">
        <v>29.61</v>
      </c>
      <c r="V37" s="54" t="n">
        <f aca="false">V35-U37</f>
        <v>10911.0733148475</v>
      </c>
      <c r="W37" s="53" t="n">
        <f aca="false">R37+T37+N37+U37</f>
        <v>33.55</v>
      </c>
      <c r="X37" s="53" t="n">
        <f aca="false">IF(L37&lt;0,L37*-1,0)</f>
        <v>255.550363086233</v>
      </c>
      <c r="Y37" s="53" t="n">
        <f aca="false">W37+X37</f>
        <v>289.100363086233</v>
      </c>
      <c r="Z37" s="57" t="n">
        <v>0</v>
      </c>
      <c r="AA37" s="58" t="n">
        <v>78</v>
      </c>
      <c r="AB37" s="58" t="n">
        <v>45</v>
      </c>
      <c r="AC37" s="59" t="n">
        <f aca="false">AC35+1</f>
        <v>27</v>
      </c>
      <c r="AD37" s="74" t="n">
        <v>4723</v>
      </c>
      <c r="AE37" s="78"/>
      <c r="AF37" s="75"/>
    </row>
    <row r="38" customFormat="false" ht="11.1" hidden="false" customHeight="true" outlineLevel="0" collapsed="false">
      <c r="A38" s="59" t="n">
        <v>29</v>
      </c>
      <c r="B38" s="76" t="n">
        <v>6908.52</v>
      </c>
      <c r="C38" s="54" t="n">
        <v>316110</v>
      </c>
      <c r="D38" s="58" t="n">
        <f aca="false">C38-C36</f>
        <v>118</v>
      </c>
      <c r="E38" s="54" t="n">
        <f aca="false">C38-152000</f>
        <v>164110</v>
      </c>
      <c r="F38" s="53" t="n">
        <f aca="false">D38/$D$2</f>
        <v>59.505799293999</v>
      </c>
      <c r="G38" s="53" t="n">
        <v>308.767534039334</v>
      </c>
      <c r="H38" s="55" t="n">
        <v>0</v>
      </c>
      <c r="I38" s="53" t="n">
        <f aca="false">G38+H38</f>
        <v>308.767534039334</v>
      </c>
      <c r="J38" s="77" t="n">
        <f aca="false">IF(L38&gt;0,L38,0)</f>
        <v>0</v>
      </c>
      <c r="K38" s="53" t="n">
        <f aca="false">I38+J38</f>
        <v>308.767534039334</v>
      </c>
      <c r="L38" s="53" t="n">
        <f aca="false">F38-(I38-W38)</f>
        <v>-215.401734745335</v>
      </c>
      <c r="M38" s="53" t="n">
        <v>4.4</v>
      </c>
      <c r="N38" s="53" t="n">
        <v>0</v>
      </c>
      <c r="O38" s="53" t="n">
        <f aca="false">M38-N38</f>
        <v>4.4</v>
      </c>
      <c r="P38" s="53" t="n">
        <v>0</v>
      </c>
      <c r="Q38" s="53" t="n">
        <v>0</v>
      </c>
      <c r="R38" s="53" t="n">
        <f aca="false">SUM(O38:Q38)</f>
        <v>4.4</v>
      </c>
      <c r="S38" s="54"/>
      <c r="T38" s="53" t="n">
        <v>0</v>
      </c>
      <c r="U38" s="53" t="n">
        <v>29.46</v>
      </c>
      <c r="V38" s="54" t="n">
        <f aca="false">V36-U38</f>
        <v>10881.5233148475</v>
      </c>
      <c r="W38" s="53" t="n">
        <f aca="false">R38+T38+N38+U38</f>
        <v>33.86</v>
      </c>
      <c r="X38" s="53" t="n">
        <f aca="false">IF(L38&lt;0,L38*-1,0)</f>
        <v>215.401734745335</v>
      </c>
      <c r="Y38" s="53" t="n">
        <f aca="false">W38+X38</f>
        <v>249.261734745335</v>
      </c>
      <c r="Z38" s="57" t="n">
        <v>0</v>
      </c>
      <c r="AA38" s="58" t="n">
        <v>78</v>
      </c>
      <c r="AB38" s="58" t="n">
        <v>45</v>
      </c>
      <c r="AC38" s="59" t="n">
        <f aca="false">AC36+1</f>
        <v>28</v>
      </c>
      <c r="AD38" s="74" t="n">
        <v>4723</v>
      </c>
      <c r="AE38" s="78" t="n">
        <v>3836</v>
      </c>
      <c r="AF38" s="75" t="n">
        <v>2362.83</v>
      </c>
    </row>
    <row r="39" customFormat="false" ht="3" hidden="false" customHeight="true" outlineLevel="0" collapsed="false">
      <c r="A39" s="79"/>
      <c r="B39" s="79"/>
      <c r="C39" s="81"/>
      <c r="D39" s="79"/>
      <c r="E39" s="81"/>
      <c r="F39" s="79"/>
      <c r="G39" s="79"/>
      <c r="H39" s="82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81"/>
      <c r="T39" s="79"/>
      <c r="U39" s="79"/>
      <c r="V39" s="79"/>
      <c r="W39" s="79"/>
      <c r="X39" s="79"/>
      <c r="Y39" s="79"/>
      <c r="Z39" s="83"/>
      <c r="AA39" s="84" t="n">
        <v>73</v>
      </c>
      <c r="AB39" s="84"/>
      <c r="AC39" s="85"/>
      <c r="AD39" s="74"/>
      <c r="AE39" s="74"/>
      <c r="AF39" s="75"/>
    </row>
    <row r="40" customFormat="false" ht="11.1" hidden="false" customHeight="true" outlineLevel="0" collapsed="false">
      <c r="A40" s="53" t="s">
        <v>46</v>
      </c>
      <c r="B40" s="53"/>
      <c r="C40" s="54"/>
      <c r="D40" s="54"/>
      <c r="E40" s="54"/>
      <c r="F40" s="54" t="n">
        <f aca="false">SUM(F10:F38)</f>
        <v>1312.15330307615</v>
      </c>
      <c r="G40" s="54" t="n">
        <f aca="false">SUM(G10:G38)</f>
        <v>3305.9904387292</v>
      </c>
      <c r="H40" s="54" t="n">
        <f aca="false">SUM(H10:H38)</f>
        <v>0</v>
      </c>
      <c r="I40" s="54" t="n">
        <f aca="false">SUM(I10:I38)</f>
        <v>3305.9904387292</v>
      </c>
      <c r="J40" s="54" t="n">
        <f aca="false">SUM(J10:J38)</f>
        <v>299.94328290469</v>
      </c>
      <c r="K40" s="54" t="n">
        <f aca="false">SUM(K10:K38)</f>
        <v>3605.93372163389</v>
      </c>
      <c r="L40" s="54" t="n">
        <f aca="false">SUM(L10:L38)</f>
        <v>-1003.20713565305</v>
      </c>
      <c r="M40" s="54" t="n">
        <f aca="false">SUM(M10:M38)</f>
        <v>129.77</v>
      </c>
      <c r="N40" s="54" t="n">
        <f aca="false">SUM(N10:N38)</f>
        <v>0</v>
      </c>
      <c r="O40" s="54" t="n">
        <f aca="false">SUM(O10:O38)</f>
        <v>129.77</v>
      </c>
      <c r="P40" s="54" t="n">
        <f aca="false">SUM(P10:P38)</f>
        <v>0</v>
      </c>
      <c r="Q40" s="54" t="n">
        <f aca="false">SUM(Q10:Q38)</f>
        <v>0</v>
      </c>
      <c r="R40" s="54" t="n">
        <f aca="false">SUM(R10:R38)</f>
        <v>129.77</v>
      </c>
      <c r="S40" s="54"/>
      <c r="T40" s="54" t="n">
        <f aca="false">SUM(T10:T38)</f>
        <v>0</v>
      </c>
      <c r="U40" s="54" t="n">
        <f aca="false">SUM(U10:U38)</f>
        <v>860.86</v>
      </c>
      <c r="V40" s="54"/>
      <c r="W40" s="54" t="n">
        <f aca="false">SUM(W10:W38)</f>
        <v>990.63</v>
      </c>
      <c r="X40" s="54" t="n">
        <f aca="false">SUM(X10:X38)</f>
        <v>1303.15041855774</v>
      </c>
      <c r="Y40" s="54" t="n">
        <f aca="false">SUM(Y10:Y38)</f>
        <v>2293.78041855774</v>
      </c>
      <c r="Z40" s="57" t="n">
        <f aca="false">SUM(Z10:Z38)</f>
        <v>0.69</v>
      </c>
      <c r="AA40" s="58" t="n">
        <f aca="false">AVERAGE(AA10:AA38)</f>
        <v>70.6551724137931</v>
      </c>
      <c r="AB40" s="58" t="n">
        <f aca="false">AVERAGE(AB10:AB38)</f>
        <v>39.7931034482759</v>
      </c>
      <c r="AC40" s="59"/>
      <c r="AD40" s="74"/>
      <c r="AE40" s="74"/>
      <c r="AF40" s="75"/>
    </row>
    <row r="41" customFormat="false" ht="11.1" hidden="false" customHeight="true" outlineLevel="0" collapsed="false">
      <c r="A41" s="53" t="s">
        <v>47</v>
      </c>
      <c r="B41" s="53"/>
      <c r="C41" s="54"/>
      <c r="D41" s="54" t="n">
        <f aca="false">SUM(D10:D38)</f>
        <v>2602</v>
      </c>
      <c r="E41" s="54"/>
      <c r="F41" s="54" t="n">
        <f aca="false">F40*$D$2</f>
        <v>2602</v>
      </c>
      <c r="G41" s="54" t="n">
        <f aca="false">G40*$D$2</f>
        <v>6555.77904</v>
      </c>
      <c r="H41" s="54" t="n">
        <f aca="false">H40*$D$2</f>
        <v>0</v>
      </c>
      <c r="I41" s="54" t="n">
        <f aca="false">I40*$D$2</f>
        <v>6555.77904</v>
      </c>
      <c r="J41" s="54" t="n">
        <f aca="false">J40*$D$2</f>
        <v>594.78753</v>
      </c>
      <c r="K41" s="54" t="n">
        <f aca="false">K40*$D$2</f>
        <v>7150.56657</v>
      </c>
      <c r="L41" s="54" t="n">
        <f aca="false">L40*$D$2</f>
        <v>-1989.35975</v>
      </c>
      <c r="M41" s="54" t="n">
        <f aca="false">M40*$D$2</f>
        <v>257.33391</v>
      </c>
      <c r="N41" s="54" t="n">
        <f aca="false">N40*$D$2</f>
        <v>0</v>
      </c>
      <c r="O41" s="54" t="n">
        <f aca="false">O40*$D$2</f>
        <v>257.33391</v>
      </c>
      <c r="P41" s="54" t="n">
        <f aca="false">P40*$D$2</f>
        <v>0</v>
      </c>
      <c r="Q41" s="54" t="n">
        <f aca="false">Q40*$D$2</f>
        <v>0</v>
      </c>
      <c r="R41" s="54" t="n">
        <f aca="false">R40*$D$2</f>
        <v>257.33391</v>
      </c>
      <c r="S41" s="54"/>
      <c r="T41" s="54" t="n">
        <f aca="false">T40*$D$2</f>
        <v>0</v>
      </c>
      <c r="U41" s="54" t="n">
        <f aca="false">U40*$D$2</f>
        <v>1707.08538</v>
      </c>
      <c r="V41" s="54" t="n">
        <f aca="false">V40*$D$2</f>
        <v>0</v>
      </c>
      <c r="W41" s="54" t="n">
        <f aca="false">W40*$D$2</f>
        <v>1964.41929</v>
      </c>
      <c r="X41" s="54" t="n">
        <f aca="false">X40*$D$2</f>
        <v>2584.14728</v>
      </c>
      <c r="Y41" s="54" t="n">
        <f aca="false">Y40*$D$2</f>
        <v>4548.56657</v>
      </c>
      <c r="Z41" s="57"/>
      <c r="AA41" s="58" t="n">
        <f aca="false">MAX(AA10:AA38)</f>
        <v>80</v>
      </c>
      <c r="AB41" s="58" t="n">
        <f aca="false">MAX(AB10:AB38)</f>
        <v>48</v>
      </c>
      <c r="AC41" s="59" t="s">
        <v>48</v>
      </c>
      <c r="AD41" s="74"/>
      <c r="AE41" s="74"/>
      <c r="AF41" s="75"/>
    </row>
    <row r="42" customFormat="false" ht="3" hidden="false" customHeight="true" outlineLevel="0" collapsed="false">
      <c r="A42" s="79"/>
      <c r="B42" s="79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79"/>
      <c r="W42" s="81"/>
      <c r="X42" s="81"/>
      <c r="Y42" s="81"/>
      <c r="Z42" s="57"/>
      <c r="AA42" s="58"/>
      <c r="AB42" s="58"/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49</v>
      </c>
      <c r="B43" s="5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7"/>
      <c r="AA43" s="58" t="n">
        <f aca="false">MIN(AA10:AA38)</f>
        <v>54</v>
      </c>
      <c r="AB43" s="58" t="n">
        <f aca="false">MIN(AB10:AB38)</f>
        <v>30</v>
      </c>
      <c r="AC43" s="59" t="s">
        <v>50</v>
      </c>
      <c r="AD43" s="74"/>
      <c r="AE43" s="74"/>
      <c r="AF43" s="75"/>
    </row>
    <row r="44" customFormat="false" ht="11.1" hidden="false" customHeight="true" outlineLevel="0" collapsed="false">
      <c r="A44" s="53" t="s">
        <v>51</v>
      </c>
      <c r="B44" s="53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7"/>
      <c r="AA44" s="58"/>
      <c r="AB44" s="58"/>
      <c r="AC44" s="59"/>
      <c r="AD44" s="74"/>
      <c r="AE44" s="74"/>
      <c r="AF44" s="75"/>
    </row>
    <row r="45" customFormat="false" ht="3" hidden="false" customHeight="true" outlineLevel="0" collapsed="false">
      <c r="A45" s="79"/>
      <c r="B45" s="79"/>
      <c r="C45" s="81"/>
      <c r="D45" s="81"/>
      <c r="E45" s="81"/>
      <c r="F45" s="81"/>
      <c r="G45" s="81"/>
      <c r="H45" s="84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3"/>
      <c r="AA45" s="58"/>
      <c r="AB45" s="58"/>
      <c r="AC45" s="59"/>
      <c r="AD45" s="74"/>
      <c r="AE45" s="74"/>
      <c r="AF45" s="7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F8+F40</f>
        <v>1292.99041855774</v>
      </c>
      <c r="G46" s="54" t="n">
        <f aca="false">G8+G40</f>
        <v>9016.74012607161</v>
      </c>
      <c r="H46" s="58" t="n">
        <f aca="false">H8+H40</f>
        <v>0</v>
      </c>
      <c r="I46" s="54" t="n">
        <f aca="false">I8+I40</f>
        <v>9016.64012607161</v>
      </c>
      <c r="J46" s="54" t="n">
        <f aca="false">J8+J40</f>
        <v>1238.33016137166</v>
      </c>
      <c r="K46" s="54" t="n">
        <f aca="false">K8+K40</f>
        <v>10254.9702874433</v>
      </c>
      <c r="L46" s="54" t="n">
        <f aca="false">L8+L40</f>
        <v>-2751.87970751387</v>
      </c>
      <c r="M46" s="54" t="n">
        <f aca="false">M8+M40</f>
        <v>908.13</v>
      </c>
      <c r="N46" s="54" t="n">
        <f aca="false">N8+N40</f>
        <v>0</v>
      </c>
      <c r="O46" s="54" t="n">
        <f aca="false">O8+O40</f>
        <v>415.63</v>
      </c>
      <c r="P46" s="54" t="n">
        <f aca="false">P8+P40</f>
        <v>0</v>
      </c>
      <c r="Q46" s="54" t="n">
        <f aca="false">Q8+Q40</f>
        <v>0</v>
      </c>
      <c r="R46" s="54" t="n">
        <f aca="false">R8+R40</f>
        <v>784.13</v>
      </c>
      <c r="S46" s="54"/>
      <c r="T46" s="54" t="n">
        <f aca="false">T8+T40</f>
        <v>0</v>
      </c>
      <c r="U46" s="54" t="n">
        <f aca="false">U8+U40</f>
        <v>4063.64</v>
      </c>
      <c r="V46" s="54" t="n">
        <f aca="false">V38</f>
        <v>10881.5233148475</v>
      </c>
      <c r="W46" s="54" t="n">
        <f aca="false">W8+W40</f>
        <v>4971.77</v>
      </c>
      <c r="X46" s="54" t="n">
        <f aca="false">X8+X40</f>
        <v>3990.20986888553</v>
      </c>
      <c r="Y46" s="54" t="n">
        <f aca="false">Y8+Y40</f>
        <v>8961.97986888553</v>
      </c>
      <c r="Z46" s="77" t="n">
        <f aca="false">Z8+Z40</f>
        <v>2.36</v>
      </c>
      <c r="AA46" s="58"/>
      <c r="AB46" s="58"/>
      <c r="AC46" s="59"/>
      <c r="AD46" s="74"/>
      <c r="AE46" s="74"/>
      <c r="AF46" s="75"/>
    </row>
    <row r="47" customFormat="false" ht="11.1" hidden="false" customHeight="true" outlineLevel="0" collapsed="false">
      <c r="A47" s="53" t="s">
        <v>53</v>
      </c>
      <c r="B47" s="53"/>
      <c r="C47" s="54"/>
      <c r="D47" s="54" t="n">
        <f aca="false">D8+D41</f>
        <v>2564</v>
      </c>
      <c r="E47" s="54" t="n">
        <f aca="false">E38</f>
        <v>164110</v>
      </c>
      <c r="F47" s="54" t="n">
        <f aca="false">F46*$D$2</f>
        <v>2564</v>
      </c>
      <c r="G47" s="54" t="n">
        <f aca="false">G46*$D$2</f>
        <v>17880.19567</v>
      </c>
      <c r="H47" s="58" t="n">
        <f aca="false">H46*$D$2</f>
        <v>0</v>
      </c>
      <c r="I47" s="54" t="n">
        <f aca="false">I46*$D$2</f>
        <v>17879.99737</v>
      </c>
      <c r="J47" s="54" t="n">
        <f aca="false">J46*$D$2</f>
        <v>2455.60871</v>
      </c>
      <c r="K47" s="54" t="n">
        <f aca="false">K46*$D$2</f>
        <v>20335.60608</v>
      </c>
      <c r="L47" s="54" t="n">
        <f aca="false">L46*$D$2</f>
        <v>-5456.97746</v>
      </c>
      <c r="M47" s="54" t="n">
        <f aca="false">M46*$D$2</f>
        <v>1800.82179</v>
      </c>
      <c r="N47" s="54" t="n">
        <f aca="false">N46*$D$2</f>
        <v>0</v>
      </c>
      <c r="O47" s="54" t="n">
        <f aca="false">O46*$D$2</f>
        <v>824.19429</v>
      </c>
      <c r="P47" s="54" t="n">
        <f aca="false">P46*$D$2</f>
        <v>0</v>
      </c>
      <c r="Q47" s="54" t="n">
        <f aca="false">Q46*$D$2</f>
        <v>0</v>
      </c>
      <c r="R47" s="54" t="n">
        <f aca="false">R46*$D$2</f>
        <v>1554.92979</v>
      </c>
      <c r="S47" s="54" t="n">
        <f aca="false">S46*$D$2</f>
        <v>0</v>
      </c>
      <c r="T47" s="54" t="n">
        <f aca="false">T46*$D$2</f>
        <v>0</v>
      </c>
      <c r="U47" s="54" t="n">
        <f aca="false">U46*$D$2</f>
        <v>8058.19812</v>
      </c>
      <c r="V47" s="54" t="n">
        <f aca="false">V46*$D$2</f>
        <v>21578.0607333425</v>
      </c>
      <c r="W47" s="54" t="n">
        <f aca="false">W46*$D$2</f>
        <v>9859.01991</v>
      </c>
      <c r="X47" s="54" t="n">
        <f aca="false">X46*$D$2</f>
        <v>7912.58617</v>
      </c>
      <c r="Y47" s="54" t="n">
        <f aca="false">Y46*$D$2</f>
        <v>17771.60608</v>
      </c>
      <c r="Z47" s="57"/>
      <c r="AA47" s="58"/>
      <c r="AB47" s="58"/>
      <c r="AC47" s="59"/>
      <c r="AD47" s="74"/>
      <c r="AE47" s="74"/>
      <c r="AF47" s="75"/>
    </row>
    <row r="48" customFormat="false" ht="3" hidden="false" customHeight="true" outlineLevel="0" collapsed="false">
      <c r="A48" s="79"/>
      <c r="B48" s="79"/>
      <c r="C48" s="81"/>
      <c r="D48" s="79"/>
      <c r="E48" s="81"/>
      <c r="F48" s="79"/>
      <c r="G48" s="79"/>
      <c r="H48" s="82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81"/>
      <c r="T48" s="79"/>
      <c r="U48" s="79"/>
      <c r="V48" s="81"/>
      <c r="W48" s="79"/>
      <c r="X48" s="79"/>
      <c r="Y48" s="79"/>
      <c r="Z48" s="57"/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tr">
        <f aca="false">"JUN /9"</f>
        <v>JUN /9</v>
      </c>
      <c r="B49" s="88"/>
      <c r="C49" s="54"/>
      <c r="D49" s="53"/>
      <c r="E49" s="54"/>
      <c r="F49" s="53"/>
      <c r="G49" s="53"/>
      <c r="H49" s="55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4"/>
      <c r="T49" s="53"/>
      <c r="U49" s="53"/>
      <c r="V49" s="54"/>
      <c r="W49" s="53"/>
      <c r="X49" s="53"/>
      <c r="Y49" s="53"/>
      <c r="Z49" s="57"/>
      <c r="AA49" s="58"/>
      <c r="AB49" s="58"/>
      <c r="AC49" s="59"/>
      <c r="AD49" s="60"/>
      <c r="AE49" s="60"/>
    </row>
    <row r="50" customFormat="false" ht="11.1" hidden="false" customHeight="true" outlineLevel="0" collapsed="false">
      <c r="A50" s="53"/>
      <c r="B50" s="76" t="n">
        <v>6924.15</v>
      </c>
      <c r="C50" s="54" t="n">
        <v>381833</v>
      </c>
      <c r="D50" s="86"/>
      <c r="E50" s="54" t="n">
        <f aca="false">C50-152000</f>
        <v>229833</v>
      </c>
      <c r="F50" s="53"/>
      <c r="G50" s="53"/>
      <c r="H50" s="86"/>
      <c r="I50" s="55"/>
      <c r="J50" s="53"/>
      <c r="K50" s="43"/>
      <c r="L50" s="53"/>
      <c r="M50" s="53"/>
      <c r="N50" s="53"/>
      <c r="O50" s="53"/>
      <c r="P50" s="53"/>
      <c r="Q50" s="53"/>
      <c r="R50" s="53"/>
      <c r="S50" s="54"/>
      <c r="T50" s="53"/>
      <c r="U50" s="53"/>
      <c r="V50" s="54"/>
      <c r="W50" s="53"/>
      <c r="X50" s="53"/>
      <c r="Y50" s="53"/>
      <c r="Z50" s="57"/>
      <c r="AA50" s="58"/>
      <c r="AB50" s="58"/>
      <c r="AC50" s="59"/>
      <c r="AD50" s="60"/>
      <c r="AE50" s="60"/>
    </row>
    <row r="51" customFormat="false" ht="3" hidden="false" customHeight="true" outlineLevel="0" collapsed="false">
      <c r="A51" s="86" t="str">
        <f aca="false">"5/12/94 thru 6/9/94"</f>
        <v>5/12/94 thru 6/9/94</v>
      </c>
      <c r="B51" s="86"/>
      <c r="C51" s="54"/>
      <c r="D51" s="54"/>
      <c r="E51" s="54"/>
      <c r="F51" s="86"/>
      <c r="G51" s="86"/>
      <c r="H51" s="55"/>
      <c r="I51" s="86"/>
      <c r="J51" s="86"/>
      <c r="K51" s="86"/>
      <c r="L51" s="86"/>
      <c r="M51" s="77"/>
      <c r="N51" s="77"/>
      <c r="O51" s="77"/>
      <c r="P51" s="86"/>
      <c r="Q51" s="86"/>
      <c r="R51" s="86"/>
      <c r="S51" s="54"/>
      <c r="T51" s="86"/>
      <c r="U51" s="86"/>
      <c r="V51" s="54"/>
      <c r="W51" s="86"/>
      <c r="X51" s="86"/>
      <c r="Y51" s="86"/>
      <c r="Z51" s="57"/>
      <c r="AA51" s="58"/>
      <c r="AB51" s="58"/>
      <c r="AC51" s="59"/>
      <c r="AD51" s="89"/>
      <c r="AE51" s="89"/>
    </row>
    <row r="52" customFormat="false" ht="11.1" hidden="false" customHeight="true" outlineLevel="0" collapsed="false">
      <c r="A52" s="86"/>
      <c r="B52" s="57" t="n">
        <f aca="false">B50-B21</f>
        <v>16.1099999999997</v>
      </c>
      <c r="C52" s="54"/>
      <c r="D52" s="54" t="n">
        <f aca="false">C50-C22</f>
        <v>67580</v>
      </c>
      <c r="E52" s="54"/>
      <c r="F52" s="86"/>
      <c r="G52" s="86"/>
      <c r="H52" s="55"/>
      <c r="I52" s="86"/>
      <c r="J52" s="86"/>
      <c r="K52" s="86"/>
      <c r="L52" s="86"/>
      <c r="M52" s="77"/>
      <c r="N52" s="77"/>
      <c r="O52" s="77"/>
      <c r="P52" s="86"/>
      <c r="Q52" s="86"/>
      <c r="R52" s="86"/>
      <c r="S52" s="54"/>
      <c r="T52" s="86"/>
      <c r="U52" s="86"/>
      <c r="V52" s="54"/>
      <c r="W52" s="86"/>
      <c r="X52" s="86"/>
      <c r="Y52" s="86"/>
      <c r="Z52" s="57"/>
      <c r="AA52" s="58"/>
      <c r="AB52" s="58"/>
      <c r="AC52" s="59"/>
      <c r="AD52" s="89"/>
      <c r="AE52" s="89"/>
    </row>
    <row r="53" customFormat="false" ht="11.1" hidden="false" customHeight="true" outlineLevel="0" collapsed="false">
      <c r="A53" s="86"/>
      <c r="B53" s="86"/>
      <c r="C53" s="54"/>
      <c r="D53" s="86"/>
      <c r="E53" s="54"/>
      <c r="F53" s="86"/>
      <c r="G53" s="90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61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62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62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FEB!$B$38:$C$38</f>
        <v>6908.52</v>
      </c>
      <c r="C8" s="54" t="n">
        <v>316110</v>
      </c>
      <c r="D8" s="54" t="n">
        <f aca="false" t="array" ref="D8:E8">FEB!$D$47:$E$47</f>
        <v>2564</v>
      </c>
      <c r="E8" s="54" t="n">
        <v>164110</v>
      </c>
      <c r="F8" s="54" t="n">
        <f aca="false" t="array" ref="F8:Z8">FEB!$F$46:$Z$46</f>
        <v>1292.99041855774</v>
      </c>
      <c r="G8" s="54" t="n">
        <v>9016.74012607161</v>
      </c>
      <c r="H8" s="58" t="n">
        <v>0</v>
      </c>
      <c r="I8" s="54" t="n">
        <v>9016.64012607161</v>
      </c>
      <c r="J8" s="54" t="n">
        <v>1238.33016137166</v>
      </c>
      <c r="K8" s="54" t="n">
        <v>10254.9702874433</v>
      </c>
      <c r="L8" s="54" t="n">
        <v>-2751.87970751387</v>
      </c>
      <c r="M8" s="54" t="n">
        <v>908.13</v>
      </c>
      <c r="N8" s="54" t="n">
        <v>0</v>
      </c>
      <c r="O8" s="54" t="n">
        <v>415.63</v>
      </c>
      <c r="P8" s="54" t="n">
        <v>0</v>
      </c>
      <c r="Q8" s="54" t="n">
        <v>0</v>
      </c>
      <c r="R8" s="54" t="n">
        <v>784.13</v>
      </c>
      <c r="S8" s="54" t="n">
        <v>0</v>
      </c>
      <c r="T8" s="54" t="n">
        <v>0</v>
      </c>
      <c r="U8" s="54" t="n">
        <v>4063.64</v>
      </c>
      <c r="V8" s="54" t="n">
        <v>10881.5233148475</v>
      </c>
      <c r="W8" s="54" t="n">
        <v>4971.77</v>
      </c>
      <c r="X8" s="54" t="n">
        <v>3990.20986888553</v>
      </c>
      <c r="Y8" s="54" t="n">
        <v>8961.97986888553</v>
      </c>
      <c r="Z8" s="77" t="n">
        <v>2.36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6908.54</v>
      </c>
      <c r="C10" s="54" t="n">
        <v>316189</v>
      </c>
      <c r="D10" s="58" t="n">
        <f aca="false">C10-C8</f>
        <v>79</v>
      </c>
      <c r="E10" s="54" t="n">
        <f aca="false">C10-152000</f>
        <v>164189</v>
      </c>
      <c r="F10" s="53" t="n">
        <f aca="false">D10/$D$2</f>
        <v>39.8386283408976</v>
      </c>
      <c r="G10" s="53" t="n">
        <v>69.9</v>
      </c>
      <c r="H10" s="55" t="n">
        <v>3.78</v>
      </c>
      <c r="I10" s="53" t="n">
        <f aca="false">G10+H10</f>
        <v>73.68</v>
      </c>
      <c r="J10" s="77" t="n">
        <f aca="false">IF(L10&gt;0,L10,0)</f>
        <v>0.0286283408976189</v>
      </c>
      <c r="K10" s="53" t="n">
        <f aca="false">I10+J10</f>
        <v>73.7086283408976</v>
      </c>
      <c r="L10" s="53" t="n">
        <f aca="false">F10-(I10-W10)</f>
        <v>0.0286283408976189</v>
      </c>
      <c r="M10" s="53" t="n">
        <v>4.4</v>
      </c>
      <c r="N10" s="53" t="n">
        <v>0</v>
      </c>
      <c r="O10" s="53" t="n">
        <f aca="false">M10-N10</f>
        <v>4.4</v>
      </c>
      <c r="P10" s="53" t="n">
        <v>0</v>
      </c>
      <c r="Q10" s="53" t="n">
        <v>0</v>
      </c>
      <c r="R10" s="53" t="n">
        <f aca="false">SUM(O10:Q10)</f>
        <v>4.4</v>
      </c>
      <c r="S10" s="54"/>
      <c r="T10" s="53" t="n">
        <v>0</v>
      </c>
      <c r="U10" s="53" t="n">
        <v>29.47</v>
      </c>
      <c r="V10" s="54" t="n">
        <f aca="false">V8-U10</f>
        <v>10852.0533148475</v>
      </c>
      <c r="W10" s="53" t="n">
        <f aca="false">R10+T10+N10+U10</f>
        <v>33.87</v>
      </c>
      <c r="X10" s="53" t="n">
        <f aca="false">IF(L10&lt;0,L10*-1,0)</f>
        <v>0</v>
      </c>
      <c r="Y10" s="53" t="n">
        <f aca="false">W10+X10</f>
        <v>33.87</v>
      </c>
      <c r="Z10" s="57" t="n">
        <v>0</v>
      </c>
      <c r="AA10" s="58" t="n">
        <v>39</v>
      </c>
      <c r="AB10" s="58" t="n">
        <v>36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6908.55</v>
      </c>
      <c r="C11" s="54" t="n">
        <v>316227</v>
      </c>
      <c r="D11" s="58" t="n">
        <f aca="false">C11-C10</f>
        <v>38</v>
      </c>
      <c r="E11" s="54" t="n">
        <f aca="false">C11-152000</f>
        <v>164227</v>
      </c>
      <c r="F11" s="53" t="n">
        <f aca="false">D11/$D$2</f>
        <v>19.1628845184065</v>
      </c>
      <c r="G11" s="53" t="n">
        <v>49</v>
      </c>
      <c r="H11" s="55" t="n">
        <v>4.22</v>
      </c>
      <c r="I11" s="53" t="n">
        <f aca="false">G11+H11</f>
        <v>53.22</v>
      </c>
      <c r="J11" s="77" t="n">
        <f aca="false">IF(L11&gt;0,L11,0)</f>
        <v>0</v>
      </c>
      <c r="K11" s="53" t="n">
        <f aca="false">I11+J11</f>
        <v>53.22</v>
      </c>
      <c r="L11" s="53" t="n">
        <f aca="false">F11-(I11-W11)</f>
        <v>-0.0171154815935459</v>
      </c>
      <c r="M11" s="53" t="n">
        <v>4.4</v>
      </c>
      <c r="N11" s="53" t="n">
        <v>0</v>
      </c>
      <c r="O11" s="53" t="n">
        <f aca="false">M11-N11</f>
        <v>4.4</v>
      </c>
      <c r="P11" s="53" t="n">
        <v>0</v>
      </c>
      <c r="Q11" s="53" t="n">
        <v>0</v>
      </c>
      <c r="R11" s="53" t="n">
        <f aca="false">SUM(O11:Q11)</f>
        <v>4.4</v>
      </c>
      <c r="S11" s="54"/>
      <c r="T11" s="53" t="n">
        <v>0</v>
      </c>
      <c r="U11" s="53" t="n">
        <v>29.64</v>
      </c>
      <c r="V11" s="54" t="n">
        <f aca="false">V10-U11</f>
        <v>10822.4133148475</v>
      </c>
      <c r="W11" s="53" t="n">
        <f aca="false">R11+T11+N11+U11</f>
        <v>34.04</v>
      </c>
      <c r="X11" s="53" t="n">
        <f aca="false">IF(L11&lt;0,L11*-1,0)</f>
        <v>0.0171154815935459</v>
      </c>
      <c r="Y11" s="53" t="n">
        <f aca="false">W11+X11</f>
        <v>34.0571154815935</v>
      </c>
      <c r="Z11" s="57" t="n">
        <v>0</v>
      </c>
      <c r="AA11" s="58" t="n">
        <v>45</v>
      </c>
      <c r="AB11" s="58" t="n">
        <v>34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6908.57</v>
      </c>
      <c r="C12" s="54" t="n">
        <v>316306</v>
      </c>
      <c r="D12" s="58" t="n">
        <f aca="false">C12-C11</f>
        <v>79</v>
      </c>
      <c r="E12" s="54" t="n">
        <f aca="false">C12-152000</f>
        <v>164306</v>
      </c>
      <c r="F12" s="53" t="n">
        <f aca="false">D12/$D$2</f>
        <v>39.8386283408976</v>
      </c>
      <c r="G12" s="53" t="n">
        <v>69.5</v>
      </c>
      <c r="H12" s="55" t="n">
        <v>4.15</v>
      </c>
      <c r="I12" s="53" t="n">
        <f aca="false">G12+H12</f>
        <v>73.65</v>
      </c>
      <c r="J12" s="77" t="n">
        <f aca="false">IF(L12&gt;0,L12,0)</f>
        <v>0</v>
      </c>
      <c r="K12" s="53" t="n">
        <f aca="false">I12+J12</f>
        <v>73.65</v>
      </c>
      <c r="L12" s="53" t="n">
        <f aca="false">F12-(I12-W12)</f>
        <v>-0.0313716591023763</v>
      </c>
      <c r="M12" s="53" t="n">
        <v>4.4</v>
      </c>
      <c r="N12" s="53" t="n">
        <v>0</v>
      </c>
      <c r="O12" s="53" t="n">
        <f aca="false">M12-N12</f>
        <v>4.4</v>
      </c>
      <c r="P12" s="53" t="n">
        <v>0</v>
      </c>
      <c r="Q12" s="53" t="n">
        <v>0</v>
      </c>
      <c r="R12" s="53" t="n">
        <f aca="false">SUM(O12:Q12)</f>
        <v>4.4</v>
      </c>
      <c r="S12" s="54"/>
      <c r="T12" s="53" t="n">
        <v>0</v>
      </c>
      <c r="U12" s="53" t="n">
        <v>29.38</v>
      </c>
      <c r="V12" s="54" t="n">
        <f aca="false">V11-U12</f>
        <v>10793.0333148475</v>
      </c>
      <c r="W12" s="53" t="n">
        <f aca="false">R12+T12+N12+U12</f>
        <v>33.78</v>
      </c>
      <c r="X12" s="53" t="n">
        <f aca="false">IF(L12&lt;0,L12*-1,0)</f>
        <v>0.0313716591023763</v>
      </c>
      <c r="Y12" s="53" t="n">
        <f aca="false">W12+X12</f>
        <v>33.8113716591024</v>
      </c>
      <c r="Z12" s="57" t="n">
        <v>0</v>
      </c>
      <c r="AA12" s="58" t="n">
        <v>43</v>
      </c>
      <c r="AB12" s="58" t="n">
        <v>35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6908.59</v>
      </c>
      <c r="C13" s="54" t="n">
        <v>316385</v>
      </c>
      <c r="D13" s="58" t="n">
        <f aca="false">C13-C12</f>
        <v>79</v>
      </c>
      <c r="E13" s="54" t="n">
        <f aca="false">C13-152000</f>
        <v>164385</v>
      </c>
      <c r="F13" s="53" t="n">
        <f aca="false">D13/$D$2</f>
        <v>39.8386283408976</v>
      </c>
      <c r="G13" s="53" t="n">
        <v>128</v>
      </c>
      <c r="H13" s="55" t="n">
        <v>3.15</v>
      </c>
      <c r="I13" s="53" t="n">
        <f aca="false">G13+H13</f>
        <v>131.15</v>
      </c>
      <c r="J13" s="77" t="n">
        <f aca="false">IF(L13&gt;0,L13,0)</f>
        <v>0.028628340897626</v>
      </c>
      <c r="K13" s="53" t="n">
        <f aca="false">I13+J13</f>
        <v>131.178628340898</v>
      </c>
      <c r="L13" s="53" t="n">
        <f aca="false">F13-(I13-W13)</f>
        <v>0.028628340897626</v>
      </c>
      <c r="M13" s="53" t="n">
        <v>4.4</v>
      </c>
      <c r="N13" s="53" t="n">
        <v>0</v>
      </c>
      <c r="O13" s="53" t="n">
        <f aca="false">M13-N13</f>
        <v>4.4</v>
      </c>
      <c r="P13" s="53" t="n">
        <v>57.8</v>
      </c>
      <c r="Q13" s="53" t="n">
        <v>0</v>
      </c>
      <c r="R13" s="53" t="n">
        <f aca="false">SUM(O13:Q13)</f>
        <v>62.2</v>
      </c>
      <c r="S13" s="54"/>
      <c r="T13" s="53" t="n">
        <v>0</v>
      </c>
      <c r="U13" s="53" t="n">
        <v>29.14</v>
      </c>
      <c r="V13" s="54" t="n">
        <f aca="false">V12-U13</f>
        <v>10763.8933148475</v>
      </c>
      <c r="W13" s="53" t="n">
        <f aca="false">R13+T13+N13+U13</f>
        <v>91.34</v>
      </c>
      <c r="X13" s="53" t="n">
        <f aca="false">IF(L13&lt;0,L13*-1,0)</f>
        <v>0</v>
      </c>
      <c r="Y13" s="53" t="n">
        <f aca="false">W13+X13</f>
        <v>91.34</v>
      </c>
      <c r="Z13" s="57" t="n">
        <v>0.12</v>
      </c>
      <c r="AA13" s="58" t="n">
        <v>44</v>
      </c>
      <c r="AB13" s="58" t="n">
        <v>34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6908.52</v>
      </c>
      <c r="C14" s="54" t="n">
        <v>316110</v>
      </c>
      <c r="D14" s="58" t="n">
        <f aca="false">C14-C13</f>
        <v>-275</v>
      </c>
      <c r="E14" s="54" t="n">
        <f aca="false">C14-152000</f>
        <v>164110</v>
      </c>
      <c r="F14" s="53" t="n">
        <f aca="false">D14/$D$2</f>
        <v>-138.678769541099</v>
      </c>
      <c r="G14" s="53" t="n">
        <v>9.6</v>
      </c>
      <c r="H14" s="55" t="n">
        <v>3.46</v>
      </c>
      <c r="I14" s="53" t="n">
        <f aca="false">G14+H14</f>
        <v>13.06</v>
      </c>
      <c r="J14" s="77" t="n">
        <f aca="false">IF(L14&gt;0,L14,0)</f>
        <v>0.0212304589006465</v>
      </c>
      <c r="K14" s="53" t="n">
        <f aca="false">I14+J14</f>
        <v>13.0812304589006</v>
      </c>
      <c r="L14" s="53" t="n">
        <f aca="false">F14-(I14-W14)</f>
        <v>0.0212304589006465</v>
      </c>
      <c r="M14" s="53" t="n">
        <v>4.4</v>
      </c>
      <c r="N14" s="53" t="n">
        <v>0</v>
      </c>
      <c r="O14" s="53" t="n">
        <f aca="false">M14-N14</f>
        <v>4.4</v>
      </c>
      <c r="P14" s="53" t="n">
        <v>114.7</v>
      </c>
      <c r="Q14" s="53" t="n">
        <v>0</v>
      </c>
      <c r="R14" s="53" t="n">
        <f aca="false">SUM(O14:Q14)</f>
        <v>119.1</v>
      </c>
      <c r="S14" s="54"/>
      <c r="T14" s="53" t="n">
        <v>0</v>
      </c>
      <c r="U14" s="53" t="n">
        <v>32.66</v>
      </c>
      <c r="V14" s="54" t="n">
        <f aca="false">V13-U14</f>
        <v>10731.2333148475</v>
      </c>
      <c r="W14" s="53" t="n">
        <f aca="false">R14+T14+N14+U14</f>
        <v>151.76</v>
      </c>
      <c r="X14" s="53" t="n">
        <f aca="false">IF(L14&lt;0,L14*-1,0)</f>
        <v>0</v>
      </c>
      <c r="Y14" s="53" t="n">
        <f aca="false">W14+X14</f>
        <v>151.76</v>
      </c>
      <c r="Z14" s="57" t="n">
        <v>0.24</v>
      </c>
      <c r="AA14" s="58" t="n">
        <v>41</v>
      </c>
      <c r="AB14" s="58" t="n">
        <v>34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6908.49</v>
      </c>
      <c r="C15" s="54" t="n">
        <v>315992</v>
      </c>
      <c r="D15" s="58" t="n">
        <f aca="false">C15-C14</f>
        <v>-118</v>
      </c>
      <c r="E15" s="54" t="n">
        <f aca="false">C15-152000</f>
        <v>163992</v>
      </c>
      <c r="F15" s="53" t="n">
        <f aca="false">D15/$D$2</f>
        <v>-59.505799293999</v>
      </c>
      <c r="G15" s="53" t="n">
        <v>90.2</v>
      </c>
      <c r="H15" s="55" t="n">
        <v>3.93</v>
      </c>
      <c r="I15" s="53" t="n">
        <f aca="false">G15+H15</f>
        <v>94.13</v>
      </c>
      <c r="J15" s="77" t="n">
        <f aca="false">IF(L15&gt;0,L15,0)</f>
        <v>0.0142007060010059</v>
      </c>
      <c r="K15" s="53" t="n">
        <f aca="false">I15+J15</f>
        <v>94.144200706001</v>
      </c>
      <c r="L15" s="53" t="n">
        <f aca="false">F15-(I15-W15)</f>
        <v>0.0142007060010059</v>
      </c>
      <c r="M15" s="53" t="n">
        <v>4.4</v>
      </c>
      <c r="N15" s="53" t="n">
        <v>0</v>
      </c>
      <c r="O15" s="53" t="n">
        <f aca="false">M15-N15</f>
        <v>4.4</v>
      </c>
      <c r="P15" s="53" t="n">
        <v>115.02</v>
      </c>
      <c r="Q15" s="53" t="n">
        <v>0</v>
      </c>
      <c r="R15" s="53" t="n">
        <f aca="false">SUM(O15:Q15)</f>
        <v>119.42</v>
      </c>
      <c r="S15" s="54"/>
      <c r="T15" s="53" t="n">
        <v>0</v>
      </c>
      <c r="U15" s="53" t="n">
        <v>34.23</v>
      </c>
      <c r="V15" s="54" t="n">
        <f aca="false">V14-U15</f>
        <v>10697.0033148475</v>
      </c>
      <c r="W15" s="53" t="n">
        <f aca="false">R15+T15+N15+U15</f>
        <v>153.65</v>
      </c>
      <c r="X15" s="53" t="n">
        <f aca="false">IF(L15&lt;0,L15*-1,0)</f>
        <v>0</v>
      </c>
      <c r="Y15" s="53" t="n">
        <f aca="false">W15+X15</f>
        <v>153.65</v>
      </c>
      <c r="Z15" s="57" t="n">
        <v>0</v>
      </c>
      <c r="AA15" s="58" t="n">
        <v>35</v>
      </c>
      <c r="AB15" s="58" t="n">
        <v>33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6908.45</v>
      </c>
      <c r="C16" s="54" t="n">
        <v>315834</v>
      </c>
      <c r="D16" s="58" t="n">
        <f aca="false">C16-C15</f>
        <v>-158</v>
      </c>
      <c r="E16" s="54" t="n">
        <f aca="false">C16-152000</f>
        <v>163834</v>
      </c>
      <c r="F16" s="53" t="n">
        <f aca="false">D16/$D$2</f>
        <v>-79.6772566817953</v>
      </c>
      <c r="G16" s="53" t="n">
        <v>69.9</v>
      </c>
      <c r="H16" s="55" t="n">
        <v>4.14</v>
      </c>
      <c r="I16" s="53" t="n">
        <f aca="false">G16+H16</f>
        <v>74.04</v>
      </c>
      <c r="J16" s="77" t="n">
        <f aca="false">IF(L16&gt;0,L16,0)</f>
        <v>0.00274331820473606</v>
      </c>
      <c r="K16" s="53" t="n">
        <f aca="false">I16+J16</f>
        <v>74.0427433182047</v>
      </c>
      <c r="L16" s="53" t="n">
        <f aca="false">F16-(I16-W16)</f>
        <v>0.00274331820473606</v>
      </c>
      <c r="M16" s="53" t="n">
        <v>4.64</v>
      </c>
      <c r="N16" s="53" t="n">
        <v>0</v>
      </c>
      <c r="O16" s="53" t="n">
        <f aca="false">M16-N16</f>
        <v>4.64</v>
      </c>
      <c r="P16" s="53" t="n">
        <v>114.88</v>
      </c>
      <c r="Q16" s="53" t="n">
        <v>0</v>
      </c>
      <c r="R16" s="53" t="n">
        <f aca="false">SUM(O16:Q16)</f>
        <v>119.52</v>
      </c>
      <c r="S16" s="54"/>
      <c r="T16" s="53" t="n">
        <v>0</v>
      </c>
      <c r="U16" s="53" t="n">
        <v>34.2</v>
      </c>
      <c r="V16" s="54" t="n">
        <f aca="false">V15-U16</f>
        <v>10662.8033148475</v>
      </c>
      <c r="W16" s="53" t="n">
        <f aca="false">R16+T16+N16+U16</f>
        <v>153.72</v>
      </c>
      <c r="X16" s="53" t="n">
        <f aca="false">IF(L16&lt;0,L16*-1,0)</f>
        <v>0</v>
      </c>
      <c r="Y16" s="53" t="n">
        <f aca="false">W16+X16</f>
        <v>153.72</v>
      </c>
      <c r="Z16" s="57" t="n">
        <v>0</v>
      </c>
      <c r="AA16" s="58" t="n">
        <v>41</v>
      </c>
      <c r="AB16" s="58" t="n">
        <v>32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6908.44</v>
      </c>
      <c r="C17" s="54" t="n">
        <v>315793</v>
      </c>
      <c r="D17" s="58" t="n">
        <f aca="false">C17-C16</f>
        <v>-41</v>
      </c>
      <c r="E17" s="54" t="n">
        <f aca="false">C17-152000</f>
        <v>163793</v>
      </c>
      <c r="F17" s="53" t="n">
        <f aca="false">D17/$D$2</f>
        <v>-20.6757438224912</v>
      </c>
      <c r="G17" s="53" t="n">
        <v>47.73</v>
      </c>
      <c r="H17" s="55" t="n">
        <v>3.92</v>
      </c>
      <c r="I17" s="53" t="n">
        <f aca="false">G17+H17</f>
        <v>51.65</v>
      </c>
      <c r="J17" s="77" t="n">
        <f aca="false">IF(L17&gt;0,L17,0)</f>
        <v>81.3042561775088</v>
      </c>
      <c r="K17" s="53" t="n">
        <f aca="false">I17+J17</f>
        <v>132.954256177509</v>
      </c>
      <c r="L17" s="53" t="n">
        <f aca="false">F17-(I17-W17)</f>
        <v>81.3042561775088</v>
      </c>
      <c r="M17" s="53" t="n">
        <v>4.54</v>
      </c>
      <c r="N17" s="53" t="n">
        <v>0</v>
      </c>
      <c r="O17" s="53" t="n">
        <f aca="false">M17-N17</f>
        <v>4.54</v>
      </c>
      <c r="P17" s="53" t="n">
        <v>114.89</v>
      </c>
      <c r="Q17" s="53" t="n">
        <v>0</v>
      </c>
      <c r="R17" s="53" t="n">
        <f aca="false">SUM(O17:Q17)</f>
        <v>119.43</v>
      </c>
      <c r="S17" s="54"/>
      <c r="T17" s="53" t="n">
        <v>0</v>
      </c>
      <c r="U17" s="53" t="n">
        <v>34.2</v>
      </c>
      <c r="V17" s="54" t="n">
        <f aca="false">V16-U17</f>
        <v>10628.6033148475</v>
      </c>
      <c r="W17" s="53" t="n">
        <f aca="false">R17+T17+N17+U17</f>
        <v>153.63</v>
      </c>
      <c r="X17" s="53" t="n">
        <f aca="false">IF(L17&lt;0,L17*-1,0)</f>
        <v>0</v>
      </c>
      <c r="Y17" s="53" t="n">
        <f aca="false">W17+X17</f>
        <v>153.63</v>
      </c>
      <c r="Z17" s="57" t="n">
        <v>0</v>
      </c>
      <c r="AA17" s="58" t="n">
        <v>52</v>
      </c>
      <c r="AB17" s="58" t="n">
        <v>15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6908.4</v>
      </c>
      <c r="C18" s="54" t="n">
        <v>315635</v>
      </c>
      <c r="D18" s="58" t="n">
        <f aca="false">C18-C17</f>
        <v>-158</v>
      </c>
      <c r="E18" s="54" t="n">
        <f aca="false">C18-152000</f>
        <v>163635</v>
      </c>
      <c r="F18" s="53" t="n">
        <f aca="false">D18/$D$2</f>
        <v>-79.6772566817953</v>
      </c>
      <c r="G18" s="53" t="n">
        <v>51.63</v>
      </c>
      <c r="H18" s="55" t="n">
        <v>4.26</v>
      </c>
      <c r="I18" s="53" t="n">
        <f aca="false">G18+H18</f>
        <v>55.89</v>
      </c>
      <c r="J18" s="77" t="n">
        <f aca="false">IF(L18&gt;0,L18,0)</f>
        <v>18.0427433182048</v>
      </c>
      <c r="K18" s="53" t="n">
        <f aca="false">I18+J18</f>
        <v>73.9327433182048</v>
      </c>
      <c r="L18" s="53" t="n">
        <f aca="false">F18-(I18-W18)</f>
        <v>18.0427433182048</v>
      </c>
      <c r="M18" s="53" t="n">
        <v>4.4</v>
      </c>
      <c r="N18" s="53" t="n">
        <v>0</v>
      </c>
      <c r="O18" s="53" t="n">
        <f aca="false">M18-N18</f>
        <v>4.4</v>
      </c>
      <c r="P18" s="53" t="n">
        <v>115.04</v>
      </c>
      <c r="Q18" s="53" t="n">
        <v>0</v>
      </c>
      <c r="R18" s="53" t="n">
        <f aca="false">SUM(O18:Q18)</f>
        <v>119.44</v>
      </c>
      <c r="S18" s="54"/>
      <c r="T18" s="53" t="n">
        <v>0</v>
      </c>
      <c r="U18" s="53" t="n">
        <v>34.17</v>
      </c>
      <c r="V18" s="54" t="n">
        <f aca="false">V17-U18</f>
        <v>10594.4333148475</v>
      </c>
      <c r="W18" s="53" t="n">
        <f aca="false">R18+T18+N18+U18</f>
        <v>153.61</v>
      </c>
      <c r="X18" s="53" t="n">
        <f aca="false">IF(L18&lt;0,L18*-1,0)</f>
        <v>0</v>
      </c>
      <c r="Y18" s="53" t="n">
        <f aca="false">W18+X18</f>
        <v>153.61</v>
      </c>
      <c r="Z18" s="57" t="n">
        <v>0</v>
      </c>
      <c r="AA18" s="86" t="n">
        <v>59</v>
      </c>
      <c r="AB18" s="58" t="n">
        <v>22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6908.36</v>
      </c>
      <c r="C19" s="54" t="n">
        <v>315477</v>
      </c>
      <c r="D19" s="58" t="n">
        <f aca="false">C19-C18</f>
        <v>-158</v>
      </c>
      <c r="E19" s="54" t="n">
        <f aca="false">C19-152000</f>
        <v>163477</v>
      </c>
      <c r="F19" s="53" t="n">
        <f aca="false">D19/$D$2</f>
        <v>-79.6772566817953</v>
      </c>
      <c r="G19" s="53" t="n">
        <v>61.79</v>
      </c>
      <c r="H19" s="55" t="n">
        <v>4.57</v>
      </c>
      <c r="I19" s="53" t="n">
        <f aca="false">G19+H19</f>
        <v>66.36</v>
      </c>
      <c r="J19" s="77" t="n">
        <f aca="false">IF(L19&gt;0,L19,0)</f>
        <v>7.56274331820477</v>
      </c>
      <c r="K19" s="53" t="n">
        <f aca="false">I19+J19</f>
        <v>73.9227433182048</v>
      </c>
      <c r="L19" s="53" t="n">
        <f aca="false">F19-(I19-W19)</f>
        <v>7.56274331820477</v>
      </c>
      <c r="M19" s="53" t="n">
        <v>4.4</v>
      </c>
      <c r="N19" s="53" t="n">
        <v>0</v>
      </c>
      <c r="O19" s="53" t="n">
        <f aca="false">M19-N19</f>
        <v>4.4</v>
      </c>
      <c r="P19" s="53" t="n">
        <v>115.03</v>
      </c>
      <c r="Q19" s="53" t="n">
        <v>0</v>
      </c>
      <c r="R19" s="53" t="n">
        <f aca="false">SUM(O19:Q19)</f>
        <v>119.43</v>
      </c>
      <c r="S19" s="54"/>
      <c r="T19" s="53" t="n">
        <v>0</v>
      </c>
      <c r="U19" s="53" t="n">
        <v>34.17</v>
      </c>
      <c r="V19" s="54" t="n">
        <f aca="false">V18-U19</f>
        <v>10560.2633148475</v>
      </c>
      <c r="W19" s="53" t="n">
        <f aca="false">R19+T19+N19+U19</f>
        <v>153.6</v>
      </c>
      <c r="X19" s="53" t="n">
        <f aca="false">IF(L19&lt;0,L19*-1,0)</f>
        <v>0</v>
      </c>
      <c r="Y19" s="53" t="n">
        <f aca="false">W19+X19</f>
        <v>153.6</v>
      </c>
      <c r="Z19" s="57" t="n">
        <v>0</v>
      </c>
      <c r="AA19" s="58" t="n">
        <v>62</v>
      </c>
      <c r="AB19" s="58" t="n">
        <v>27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6908.35</v>
      </c>
      <c r="C20" s="54" t="n">
        <v>315439</v>
      </c>
      <c r="D20" s="58" t="n">
        <f aca="false">C20-C19</f>
        <v>-38</v>
      </c>
      <c r="E20" s="54" t="n">
        <f aca="false">C20-152000</f>
        <v>163439</v>
      </c>
      <c r="F20" s="53" t="n">
        <f aca="false">D20/$D$2</f>
        <v>-19.1628845184065</v>
      </c>
      <c r="G20" s="53" t="n">
        <v>70.99</v>
      </c>
      <c r="H20" s="55" t="n">
        <v>4.97</v>
      </c>
      <c r="I20" s="53" t="n">
        <f aca="false">G20+H20</f>
        <v>75.96</v>
      </c>
      <c r="J20" s="77" t="n">
        <f aca="false">IF(L20&gt;0,L20,0)</f>
        <v>44.3171154815935</v>
      </c>
      <c r="K20" s="53" t="n">
        <f aca="false">I20+J20</f>
        <v>120.277115481594</v>
      </c>
      <c r="L20" s="53" t="n">
        <f aca="false">F20-(I20-W20)</f>
        <v>44.3171154815935</v>
      </c>
      <c r="M20" s="53" t="n">
        <v>21.87</v>
      </c>
      <c r="N20" s="53" t="n">
        <v>0</v>
      </c>
      <c r="O20" s="53" t="n">
        <f aca="false">M20-N20</f>
        <v>21.87</v>
      </c>
      <c r="P20" s="53" t="n">
        <v>83.44</v>
      </c>
      <c r="Q20" s="53" t="n">
        <v>0</v>
      </c>
      <c r="R20" s="53" t="n">
        <f aca="false">SUM(O20:Q20)</f>
        <v>105.31</v>
      </c>
      <c r="S20" s="54"/>
      <c r="T20" s="53" t="n">
        <v>0</v>
      </c>
      <c r="U20" s="53" t="n">
        <v>34.13</v>
      </c>
      <c r="V20" s="54" t="n">
        <f aca="false">V19-U20</f>
        <v>10526.1333148475</v>
      </c>
      <c r="W20" s="53" t="n">
        <f aca="false">R20+T20+N20+U20</f>
        <v>139.44</v>
      </c>
      <c r="X20" s="53" t="n">
        <f aca="false">IF(L20&lt;0,L20*-1,0)</f>
        <v>0</v>
      </c>
      <c r="Y20" s="53" t="n">
        <f aca="false">W20+X20</f>
        <v>139.44</v>
      </c>
      <c r="Z20" s="57" t="n">
        <v>0</v>
      </c>
      <c r="AA20" s="58" t="n">
        <v>53</v>
      </c>
      <c r="AB20" s="58" t="n">
        <v>28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6908.42</v>
      </c>
      <c r="C21" s="54" t="n">
        <v>315714</v>
      </c>
      <c r="D21" s="58" t="n">
        <f aca="false">C21-C20</f>
        <v>275</v>
      </c>
      <c r="E21" s="54" t="n">
        <f aca="false">C21-152000</f>
        <v>163714</v>
      </c>
      <c r="F21" s="53" t="n">
        <f aca="false">D21/$D$2</f>
        <v>138.678769541099</v>
      </c>
      <c r="G21" s="53" t="n">
        <v>84.94</v>
      </c>
      <c r="H21" s="55" t="n">
        <v>5.65</v>
      </c>
      <c r="I21" s="53" t="n">
        <f aca="false">G21+H21</f>
        <v>90.59</v>
      </c>
      <c r="J21" s="77" t="n">
        <f aca="false">IF(L21&gt;0,L21,0)</f>
        <v>110.558769541099</v>
      </c>
      <c r="K21" s="53" t="n">
        <f aca="false">I21+J21</f>
        <v>201.148769541099</v>
      </c>
      <c r="L21" s="53" t="n">
        <f aca="false">F21-(I21-W21)</f>
        <v>110.558769541099</v>
      </c>
      <c r="M21" s="53" t="n">
        <v>27.71</v>
      </c>
      <c r="N21" s="53" t="n">
        <v>0</v>
      </c>
      <c r="O21" s="53" t="n">
        <f aca="false">M21-N21</f>
        <v>27.71</v>
      </c>
      <c r="P21" s="53" t="n">
        <v>0</v>
      </c>
      <c r="Q21" s="53" t="n">
        <v>0</v>
      </c>
      <c r="R21" s="53" t="n">
        <f aca="false">SUM(O21:Q21)</f>
        <v>27.71</v>
      </c>
      <c r="S21" s="54"/>
      <c r="T21" s="53" t="n">
        <v>0</v>
      </c>
      <c r="U21" s="53" t="n">
        <v>34.76</v>
      </c>
      <c r="V21" s="54" t="n">
        <f aca="false">V20-U21</f>
        <v>10491.3733148475</v>
      </c>
      <c r="W21" s="53" t="n">
        <f aca="false">R21+T21+N21+U21</f>
        <v>62.47</v>
      </c>
      <c r="X21" s="53" t="n">
        <f aca="false">IF(L21&lt;0,L21*-1,0)</f>
        <v>0</v>
      </c>
      <c r="Y21" s="53" t="n">
        <f aca="false">W21+X21</f>
        <v>62.47</v>
      </c>
      <c r="Z21" s="57" t="n">
        <v>0</v>
      </c>
      <c r="AA21" s="58" t="n">
        <v>51</v>
      </c>
      <c r="AB21" s="58" t="n">
        <v>40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6908.44</v>
      </c>
      <c r="C22" s="54" t="n">
        <v>315793</v>
      </c>
      <c r="D22" s="58" t="n">
        <f aca="false">C22-C21</f>
        <v>79</v>
      </c>
      <c r="E22" s="54" t="n">
        <f aca="false">C22-152000</f>
        <v>163793</v>
      </c>
      <c r="F22" s="53" t="n">
        <f aca="false">D22/$D$2</f>
        <v>39.8386283408976</v>
      </c>
      <c r="G22" s="53" t="n">
        <v>84.12</v>
      </c>
      <c r="H22" s="55" t="n">
        <v>5.16</v>
      </c>
      <c r="I22" s="53" t="n">
        <f aca="false">G22+H22</f>
        <v>89.28</v>
      </c>
      <c r="J22" s="77" t="n">
        <f aca="false">IF(L22&gt;0,L22,0)</f>
        <v>10.3386283408976</v>
      </c>
      <c r="K22" s="53" t="n">
        <f aca="false">I22+J22</f>
        <v>99.6186283408976</v>
      </c>
      <c r="L22" s="53" t="n">
        <f aca="false">F22-(I22-W22)</f>
        <v>10.3386283408976</v>
      </c>
      <c r="M22" s="53" t="n">
        <v>24.78</v>
      </c>
      <c r="N22" s="53" t="n">
        <v>0</v>
      </c>
      <c r="O22" s="53" t="n">
        <f aca="false">M22-N22</f>
        <v>24.78</v>
      </c>
      <c r="P22" s="53" t="n">
        <v>0</v>
      </c>
      <c r="Q22" s="53" t="n">
        <v>0</v>
      </c>
      <c r="R22" s="53" t="n">
        <f aca="false">SUM(O22:Q22)</f>
        <v>24.78</v>
      </c>
      <c r="S22" s="54"/>
      <c r="T22" s="53" t="n">
        <v>0</v>
      </c>
      <c r="U22" s="53" t="n">
        <v>35</v>
      </c>
      <c r="V22" s="54" t="n">
        <f aca="false">V21-U22</f>
        <v>10456.3733148475</v>
      </c>
      <c r="W22" s="53" t="n">
        <f aca="false">R22+T22+N22+U22</f>
        <v>59.78</v>
      </c>
      <c r="X22" s="53" t="n">
        <f aca="false">IF(L22&lt;0,L22*-1,0)</f>
        <v>0</v>
      </c>
      <c r="Y22" s="53" t="n">
        <f aca="false">W22+X22</f>
        <v>59.78</v>
      </c>
      <c r="Z22" s="57" t="n">
        <v>0.07</v>
      </c>
      <c r="AA22" s="58" t="n">
        <v>53</v>
      </c>
      <c r="AB22" s="58" t="n">
        <v>29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6908.47</v>
      </c>
      <c r="C23" s="54" t="n">
        <v>315913</v>
      </c>
      <c r="D23" s="58" t="n">
        <f aca="false">C23-C22</f>
        <v>120</v>
      </c>
      <c r="E23" s="54" t="n">
        <f aca="false">C23-152000</f>
        <v>163913</v>
      </c>
      <c r="F23" s="53" t="n">
        <f aca="false">D23/$D$2</f>
        <v>60.5143721633888</v>
      </c>
      <c r="G23" s="53" t="n">
        <v>64.85</v>
      </c>
      <c r="H23" s="55" t="n">
        <v>4.99</v>
      </c>
      <c r="I23" s="53" t="n">
        <f aca="false">G23+H23</f>
        <v>69.84</v>
      </c>
      <c r="J23" s="77" t="n">
        <f aca="false">IF(L23&gt;0,L23,0)</f>
        <v>52.2243721633888</v>
      </c>
      <c r="K23" s="53" t="n">
        <f aca="false">I23+J23</f>
        <v>122.064372163389</v>
      </c>
      <c r="L23" s="53" t="n">
        <f aca="false">F23-(I23-W23)</f>
        <v>52.2243721633888</v>
      </c>
      <c r="M23" s="53" t="n">
        <v>23.17</v>
      </c>
      <c r="N23" s="53" t="n">
        <v>0</v>
      </c>
      <c r="O23" s="53" t="n">
        <f aca="false">M23-N23</f>
        <v>23.17</v>
      </c>
      <c r="P23" s="53" t="n">
        <v>3.45</v>
      </c>
      <c r="Q23" s="53" t="n">
        <v>0</v>
      </c>
      <c r="R23" s="53" t="n">
        <f aca="false">SUM(O23:Q23)</f>
        <v>26.62</v>
      </c>
      <c r="S23" s="54"/>
      <c r="T23" s="53" t="n">
        <v>0</v>
      </c>
      <c r="U23" s="53" t="n">
        <v>34.93</v>
      </c>
      <c r="V23" s="54" t="n">
        <f aca="false">V22-U23</f>
        <v>10421.4433148475</v>
      </c>
      <c r="W23" s="53" t="n">
        <f aca="false">R23+T23+N23+U23</f>
        <v>61.55</v>
      </c>
      <c r="X23" s="53" t="n">
        <f aca="false">IF(L23&lt;0,L23*-1,0)</f>
        <v>0</v>
      </c>
      <c r="Y23" s="53" t="n">
        <f aca="false">W23+X23</f>
        <v>61.55</v>
      </c>
      <c r="Z23" s="57" t="n">
        <v>0</v>
      </c>
      <c r="AA23" s="86" t="n">
        <v>64</v>
      </c>
      <c r="AB23" s="58" t="n">
        <v>28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6908.5</v>
      </c>
      <c r="C24" s="54" t="n">
        <v>316031</v>
      </c>
      <c r="D24" s="58" t="n">
        <f aca="false">C24-C23</f>
        <v>118</v>
      </c>
      <c r="E24" s="54" t="n">
        <f aca="false">C24-152000</f>
        <v>164031</v>
      </c>
      <c r="F24" s="53" t="n">
        <f aca="false">D24/$D$2</f>
        <v>59.505799293999</v>
      </c>
      <c r="G24" s="53" t="n">
        <v>67.37</v>
      </c>
      <c r="H24" s="55" t="n">
        <v>4.33</v>
      </c>
      <c r="I24" s="53" t="n">
        <f aca="false">G24+H24</f>
        <v>71.7</v>
      </c>
      <c r="J24" s="77" t="n">
        <f aca="false">IF(L24&gt;0,L24,0)</f>
        <v>37.625799293999</v>
      </c>
      <c r="K24" s="53" t="n">
        <f aca="false">I24+J24</f>
        <v>109.325799293999</v>
      </c>
      <c r="L24" s="53" t="n">
        <f aca="false">F24-(I24-W24)</f>
        <v>37.625799293999</v>
      </c>
      <c r="M24" s="53" t="n">
        <v>14.92</v>
      </c>
      <c r="N24" s="53" t="n">
        <v>0</v>
      </c>
      <c r="O24" s="53" t="n">
        <f aca="false">M24-N24</f>
        <v>14.92</v>
      </c>
      <c r="P24" s="53" t="n">
        <v>0</v>
      </c>
      <c r="Q24" s="53" t="n">
        <v>0</v>
      </c>
      <c r="R24" s="53" t="n">
        <f aca="false">SUM(O24:Q24)</f>
        <v>14.92</v>
      </c>
      <c r="S24" s="54"/>
      <c r="T24" s="53" t="n">
        <v>0</v>
      </c>
      <c r="U24" s="53" t="n">
        <v>34.9</v>
      </c>
      <c r="V24" s="54" t="n">
        <f aca="false">V23-U24</f>
        <v>10386.5433148475</v>
      </c>
      <c r="W24" s="53" t="n">
        <f aca="false">R24+T24+N24+U24</f>
        <v>49.82</v>
      </c>
      <c r="X24" s="53" t="n">
        <f aca="false">IF(L24&lt;0,L24*-1,0)</f>
        <v>0</v>
      </c>
      <c r="Y24" s="53" t="n">
        <f aca="false">W24+X24</f>
        <v>49.82</v>
      </c>
      <c r="Z24" s="57" t="n">
        <v>0</v>
      </c>
      <c r="AA24" s="86" t="n">
        <v>63</v>
      </c>
      <c r="AB24" s="58" t="n">
        <v>28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6908.52</v>
      </c>
      <c r="C25" s="54" t="n">
        <v>316110</v>
      </c>
      <c r="D25" s="58" t="n">
        <f aca="false">C25-C24</f>
        <v>79</v>
      </c>
      <c r="E25" s="54" t="n">
        <f aca="false">C25-152000</f>
        <v>164110</v>
      </c>
      <c r="F25" s="53" t="n">
        <f aca="false">D25/$D$2</f>
        <v>39.8386283408976</v>
      </c>
      <c r="G25" s="53" t="n">
        <v>68.51</v>
      </c>
      <c r="H25" s="55" t="n">
        <v>4.37</v>
      </c>
      <c r="I25" s="53" t="n">
        <f aca="false">G25+H25</f>
        <v>72.88</v>
      </c>
      <c r="J25" s="77" t="n">
        <f aca="false">IF(L25&gt;0,L25,0)</f>
        <v>5.91862834089762</v>
      </c>
      <c r="K25" s="53" t="n">
        <f aca="false">I25+J25</f>
        <v>78.7986283408976</v>
      </c>
      <c r="L25" s="53" t="n">
        <f aca="false">F25-(I25-W25)</f>
        <v>5.91862834089762</v>
      </c>
      <c r="M25" s="53" t="n">
        <v>4.06</v>
      </c>
      <c r="N25" s="53" t="n">
        <v>0</v>
      </c>
      <c r="O25" s="53" t="n">
        <f aca="false">M25-N25</f>
        <v>4.06</v>
      </c>
      <c r="P25" s="53" t="n">
        <v>0</v>
      </c>
      <c r="Q25" s="53" t="n">
        <v>0</v>
      </c>
      <c r="R25" s="53" t="n">
        <f aca="false">SUM(O25:Q25)</f>
        <v>4.06</v>
      </c>
      <c r="S25" s="54"/>
      <c r="T25" s="53" t="n">
        <v>0</v>
      </c>
      <c r="U25" s="53" t="n">
        <v>34.9</v>
      </c>
      <c r="V25" s="54" t="n">
        <f aca="false">V24-U25</f>
        <v>10351.6433148475</v>
      </c>
      <c r="W25" s="53" t="n">
        <f aca="false">R25+T25+N25+U25</f>
        <v>38.96</v>
      </c>
      <c r="X25" s="53" t="n">
        <f aca="false">IF(L25&lt;0,L25*-1,0)</f>
        <v>0</v>
      </c>
      <c r="Y25" s="53" t="n">
        <f aca="false">W25+X25</f>
        <v>38.96</v>
      </c>
      <c r="Z25" s="57" t="n">
        <v>0</v>
      </c>
      <c r="AA25" s="86" t="n">
        <v>65</v>
      </c>
      <c r="AB25" s="58" t="n">
        <v>34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6908.55</v>
      </c>
      <c r="C26" s="54" t="n">
        <v>316227</v>
      </c>
      <c r="D26" s="58" t="n">
        <f aca="false">C26-C25</f>
        <v>117</v>
      </c>
      <c r="E26" s="54" t="n">
        <f aca="false">C26-152000</f>
        <v>164227</v>
      </c>
      <c r="F26" s="53" t="n">
        <f aca="false">D26/$D$2</f>
        <v>59.0015128593041</v>
      </c>
      <c r="G26" s="53" t="n">
        <v>68.72</v>
      </c>
      <c r="H26" s="55" t="n">
        <v>4.65</v>
      </c>
      <c r="I26" s="53" t="n">
        <f aca="false">G26+H26</f>
        <v>73.37</v>
      </c>
      <c r="J26" s="77" t="n">
        <f aca="false">IF(L26&gt;0,L26,0)</f>
        <v>24.5715128593041</v>
      </c>
      <c r="K26" s="53" t="n">
        <f aca="false">I26+J26</f>
        <v>97.9415128593041</v>
      </c>
      <c r="L26" s="53" t="n">
        <f aca="false">F26-(I26-W26)</f>
        <v>24.5715128593041</v>
      </c>
      <c r="M26" s="53" t="n">
        <v>4.01</v>
      </c>
      <c r="N26" s="53" t="n">
        <v>0</v>
      </c>
      <c r="O26" s="53" t="n">
        <f aca="false">M26-N26</f>
        <v>4.01</v>
      </c>
      <c r="P26" s="53" t="n">
        <v>0</v>
      </c>
      <c r="Q26" s="53" t="n">
        <v>0</v>
      </c>
      <c r="R26" s="53" t="n">
        <f aca="false">SUM(O26:Q26)</f>
        <v>4.01</v>
      </c>
      <c r="S26" s="54"/>
      <c r="T26" s="53" t="n">
        <v>0</v>
      </c>
      <c r="U26" s="53" t="n">
        <v>34.93</v>
      </c>
      <c r="V26" s="54" t="n">
        <f aca="false">V25-U26</f>
        <v>10316.7133148475</v>
      </c>
      <c r="W26" s="53" t="n">
        <f aca="false">R26+T26+N26+U26</f>
        <v>38.94</v>
      </c>
      <c r="X26" s="53" t="n">
        <f aca="false">IF(L26&lt;0,L26*-1,0)</f>
        <v>0</v>
      </c>
      <c r="Y26" s="53" t="n">
        <f aca="false">W26+X26</f>
        <v>38.94</v>
      </c>
      <c r="Z26" s="57" t="n">
        <v>0</v>
      </c>
      <c r="AA26" s="86" t="n">
        <v>67</v>
      </c>
      <c r="AB26" s="58" t="n">
        <v>36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6908.57</v>
      </c>
      <c r="C27" s="54" t="n">
        <v>316306</v>
      </c>
      <c r="D27" s="58" t="n">
        <f aca="false">C27-C26</f>
        <v>79</v>
      </c>
      <c r="E27" s="54" t="n">
        <f aca="false">C27-152000</f>
        <v>164306</v>
      </c>
      <c r="F27" s="53" t="n">
        <f aca="false">D27/$D$2</f>
        <v>39.8386283408976</v>
      </c>
      <c r="G27" s="53" t="n">
        <v>57.71</v>
      </c>
      <c r="H27" s="55" t="n">
        <v>4.2</v>
      </c>
      <c r="I27" s="53" t="n">
        <f aca="false">G27+H27</f>
        <v>61.91</v>
      </c>
      <c r="J27" s="77" t="n">
        <f aca="false">IF(L27&gt;0,L27,0)</f>
        <v>18.5886283408976</v>
      </c>
      <c r="K27" s="53" t="n">
        <f aca="false">I27+J27</f>
        <v>80.4986283408976</v>
      </c>
      <c r="L27" s="53" t="n">
        <f aca="false">F27-(I27-W27)</f>
        <v>18.5886283408976</v>
      </c>
      <c r="M27" s="53" t="n">
        <v>5.62</v>
      </c>
      <c r="N27" s="53" t="n">
        <v>0</v>
      </c>
      <c r="O27" s="53" t="n">
        <f aca="false">M27-N27</f>
        <v>5.62</v>
      </c>
      <c r="P27" s="53" t="n">
        <v>0</v>
      </c>
      <c r="Q27" s="53" t="n">
        <v>0</v>
      </c>
      <c r="R27" s="53" t="n">
        <f aca="false">SUM(O27:Q27)</f>
        <v>5.62</v>
      </c>
      <c r="S27" s="54"/>
      <c r="T27" s="53" t="n">
        <v>0</v>
      </c>
      <c r="U27" s="53" t="n">
        <v>35.04</v>
      </c>
      <c r="V27" s="54" t="n">
        <f aca="false">V26-U27</f>
        <v>10281.6733148475</v>
      </c>
      <c r="W27" s="53" t="n">
        <f aca="false">R27+T27+N27+U27</f>
        <v>40.66</v>
      </c>
      <c r="X27" s="53" t="n">
        <f aca="false">IF(L27&lt;0,L27*-1,0)</f>
        <v>0</v>
      </c>
      <c r="Y27" s="53" t="n">
        <f aca="false">W27+X27</f>
        <v>40.66</v>
      </c>
      <c r="Z27" s="57" t="n">
        <v>0</v>
      </c>
      <c r="AA27" s="86" t="n">
        <v>63</v>
      </c>
      <c r="AB27" s="58" t="n">
        <v>37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6908.62</v>
      </c>
      <c r="C28" s="91" t="n">
        <v>316505</v>
      </c>
      <c r="D28" s="58" t="n">
        <f aca="false">C28-C27</f>
        <v>199</v>
      </c>
      <c r="E28" s="54" t="n">
        <f aca="false">C28-152000</f>
        <v>164505</v>
      </c>
      <c r="F28" s="53" t="n">
        <f aca="false">D28/$D$2</f>
        <v>100.353000504286</v>
      </c>
      <c r="G28" s="53" t="n">
        <v>60.39</v>
      </c>
      <c r="H28" s="55" t="n">
        <v>4.09</v>
      </c>
      <c r="I28" s="53" t="n">
        <f aca="false">G28+H28</f>
        <v>64.48</v>
      </c>
      <c r="J28" s="77" t="n">
        <f aca="false">IF(L28&gt;0,L28,0)</f>
        <v>75.3430005042864</v>
      </c>
      <c r="K28" s="53" t="n">
        <f aca="false">I28+J28</f>
        <v>139.823000504286</v>
      </c>
      <c r="L28" s="53" t="n">
        <f aca="false">F28-(I28-W28)</f>
        <v>75.3430005042864</v>
      </c>
      <c r="M28" s="53" t="n">
        <v>4.57</v>
      </c>
      <c r="N28" s="53" t="n">
        <v>0</v>
      </c>
      <c r="O28" s="53" t="n">
        <f aca="false">M28-N28</f>
        <v>4.57</v>
      </c>
      <c r="P28" s="53" t="n">
        <v>0</v>
      </c>
      <c r="Q28" s="53" t="n">
        <v>0</v>
      </c>
      <c r="R28" s="53" t="n">
        <f aca="false">SUM(O28:Q28)</f>
        <v>4.57</v>
      </c>
      <c r="S28" s="54"/>
      <c r="T28" s="53" t="n">
        <v>0</v>
      </c>
      <c r="U28" s="53" t="n">
        <v>34.9</v>
      </c>
      <c r="V28" s="54" t="n">
        <f aca="false">V27-U28</f>
        <v>10246.7733148475</v>
      </c>
      <c r="W28" s="53" t="n">
        <f aca="false">R28+T28+N28+U28</f>
        <v>39.47</v>
      </c>
      <c r="X28" s="53" t="n">
        <f aca="false">IF(L28&lt;0,L28*-1,0)</f>
        <v>0</v>
      </c>
      <c r="Y28" s="53" t="n">
        <f aca="false">W28+X28</f>
        <v>39.47</v>
      </c>
      <c r="Z28" s="57" t="n">
        <v>0</v>
      </c>
      <c r="AA28" s="86" t="n">
        <v>62</v>
      </c>
      <c r="AB28" s="58" t="n">
        <v>32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6908.61</v>
      </c>
      <c r="C29" s="54" t="n">
        <v>316464</v>
      </c>
      <c r="D29" s="58" t="n">
        <f aca="false">C29-C28</f>
        <v>-41</v>
      </c>
      <c r="E29" s="54" t="n">
        <f aca="false">C29-152000</f>
        <v>164464</v>
      </c>
      <c r="F29" s="53" t="n">
        <f aca="false">D29/$D$2</f>
        <v>-20.6757438224912</v>
      </c>
      <c r="G29" s="53" t="n">
        <v>65.89</v>
      </c>
      <c r="H29" s="55" t="n">
        <v>3.43</v>
      </c>
      <c r="I29" s="53" t="n">
        <f aca="false">G29+H29</f>
        <v>69.32</v>
      </c>
      <c r="J29" s="77" t="n">
        <f aca="false">IF(L29&gt;0,L29,0)</f>
        <v>0</v>
      </c>
      <c r="K29" s="53" t="n">
        <f aca="false">I29+J29</f>
        <v>69.32</v>
      </c>
      <c r="L29" s="53" t="n">
        <f aca="false">F29-(I29-W29)</f>
        <v>-47.9057438224912</v>
      </c>
      <c r="M29" s="53" t="n">
        <v>7.22</v>
      </c>
      <c r="N29" s="53" t="n">
        <v>0</v>
      </c>
      <c r="O29" s="53" t="n">
        <f aca="false">M29-N29</f>
        <v>7.22</v>
      </c>
      <c r="P29" s="53" t="n">
        <v>0</v>
      </c>
      <c r="Q29" s="53" t="n">
        <v>0</v>
      </c>
      <c r="R29" s="53" t="n">
        <f aca="false">SUM(O29:Q29)</f>
        <v>7.22</v>
      </c>
      <c r="S29" s="54"/>
      <c r="T29" s="53" t="n">
        <v>0</v>
      </c>
      <c r="U29" s="53" t="n">
        <v>34.87</v>
      </c>
      <c r="V29" s="54" t="n">
        <f aca="false">V28-U29</f>
        <v>10211.9033148475</v>
      </c>
      <c r="W29" s="53" t="n">
        <f aca="false">R29+T29+N29+U29</f>
        <v>42.09</v>
      </c>
      <c r="X29" s="53" t="n">
        <f aca="false">IF(L29&lt;0,L29*-1,0)</f>
        <v>47.9057438224912</v>
      </c>
      <c r="Y29" s="53" t="n">
        <f aca="false">W29+X29</f>
        <v>89.9957438224912</v>
      </c>
      <c r="Z29" s="57" t="n">
        <v>0</v>
      </c>
      <c r="AA29" s="86" t="n">
        <v>61</v>
      </c>
      <c r="AB29" s="58" t="n">
        <v>37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76" t="n">
        <v>6908.6</v>
      </c>
      <c r="C30" s="54" t="n">
        <v>316426</v>
      </c>
      <c r="D30" s="58" t="n">
        <f aca="false">C30-C29</f>
        <v>-38</v>
      </c>
      <c r="E30" s="54" t="n">
        <f aca="false">C30-152000</f>
        <v>164426</v>
      </c>
      <c r="F30" s="53" t="n">
        <f aca="false">D30/$D$2</f>
        <v>-19.1628845184065</v>
      </c>
      <c r="G30" s="53" t="n">
        <v>79.41</v>
      </c>
      <c r="H30" s="55" t="n">
        <v>4.02</v>
      </c>
      <c r="I30" s="53" t="n">
        <f aca="false">G30+H30</f>
        <v>83.43</v>
      </c>
      <c r="J30" s="77" t="n">
        <f aca="false">IF(L30&gt;0,L30,0)</f>
        <v>0</v>
      </c>
      <c r="K30" s="53" t="n">
        <f aca="false">I30+J30</f>
        <v>83.43</v>
      </c>
      <c r="L30" s="53" t="n">
        <f aca="false">F30-(I30-W30)</f>
        <v>-56.2128845184064</v>
      </c>
      <c r="M30" s="53" t="n">
        <v>11.57</v>
      </c>
      <c r="N30" s="53" t="n">
        <v>0</v>
      </c>
      <c r="O30" s="53" t="n">
        <f aca="false">M30-N30</f>
        <v>11.57</v>
      </c>
      <c r="P30" s="53" t="n">
        <v>0</v>
      </c>
      <c r="Q30" s="53" t="n">
        <v>0</v>
      </c>
      <c r="R30" s="53" t="n">
        <f aca="false">SUM(O30:Q30)</f>
        <v>11.57</v>
      </c>
      <c r="S30" s="54"/>
      <c r="T30" s="53" t="n">
        <v>0</v>
      </c>
      <c r="U30" s="53" t="n">
        <v>34.81</v>
      </c>
      <c r="V30" s="54" t="n">
        <f aca="false">V29-U30</f>
        <v>10177.0933148475</v>
      </c>
      <c r="W30" s="53" t="n">
        <f aca="false">R30+T30+N30+U30</f>
        <v>46.38</v>
      </c>
      <c r="X30" s="53" t="n">
        <f aca="false">IF(L30&lt;0,L30*-1,0)</f>
        <v>56.2128845184064</v>
      </c>
      <c r="Y30" s="53" t="n">
        <f aca="false">W30+X30</f>
        <v>102.592884518406</v>
      </c>
      <c r="Z30" s="57" t="n">
        <v>0</v>
      </c>
      <c r="AA30" s="58" t="n">
        <v>64</v>
      </c>
      <c r="AB30" s="58" t="n">
        <v>34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6908.67</v>
      </c>
      <c r="C31" s="54" t="n">
        <v>316702</v>
      </c>
      <c r="D31" s="58" t="n">
        <f aca="false">C31-C30</f>
        <v>276</v>
      </c>
      <c r="E31" s="54" t="n">
        <f aca="false">C31-152000</f>
        <v>164702</v>
      </c>
      <c r="F31" s="53" t="n">
        <f aca="false">D31/$D$2</f>
        <v>139.183055975794</v>
      </c>
      <c r="G31" s="53" t="n">
        <v>98.42</v>
      </c>
      <c r="H31" s="55" t="n">
        <v>4.6</v>
      </c>
      <c r="I31" s="53" t="n">
        <f aca="false">G31+H31</f>
        <v>103.02</v>
      </c>
      <c r="J31" s="77" t="n">
        <f aca="false">IF(L31&gt;0,L31,0)</f>
        <v>88.2030559757943</v>
      </c>
      <c r="K31" s="53" t="n">
        <f aca="false">I31+J31</f>
        <v>191.223055975794</v>
      </c>
      <c r="L31" s="53" t="n">
        <f aca="false">F31-(I31-W31)</f>
        <v>88.2030559757943</v>
      </c>
      <c r="M31" s="53" t="n">
        <v>17.14</v>
      </c>
      <c r="N31" s="53" t="n">
        <v>0</v>
      </c>
      <c r="O31" s="53" t="n">
        <f aca="false">M31-N31</f>
        <v>17.14</v>
      </c>
      <c r="P31" s="53" t="n">
        <v>0</v>
      </c>
      <c r="Q31" s="53" t="n">
        <v>0</v>
      </c>
      <c r="R31" s="53" t="n">
        <f aca="false">SUM(O31:Q31)</f>
        <v>17.14</v>
      </c>
      <c r="S31" s="54"/>
      <c r="T31" s="53" t="n">
        <v>0</v>
      </c>
      <c r="U31" s="53" t="n">
        <v>34.9</v>
      </c>
      <c r="V31" s="54" t="n">
        <f aca="false">V30-U31</f>
        <v>10142.1933148475</v>
      </c>
      <c r="W31" s="53" t="n">
        <f aca="false">R31+T31+N31+U31</f>
        <v>52.04</v>
      </c>
      <c r="X31" s="53" t="n">
        <f aca="false">IF(L31&lt;0,L31*-1,0)</f>
        <v>0</v>
      </c>
      <c r="Y31" s="53" t="n">
        <f aca="false">W31+X31</f>
        <v>52.04</v>
      </c>
      <c r="Z31" s="57" t="n">
        <v>0</v>
      </c>
      <c r="AA31" s="58" t="n">
        <v>58</v>
      </c>
      <c r="AB31" s="58" t="n">
        <v>34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6908.69</v>
      </c>
      <c r="C32" s="54" t="n">
        <v>316781</v>
      </c>
      <c r="D32" s="58" t="n">
        <f aca="false">C32-C31</f>
        <v>79</v>
      </c>
      <c r="E32" s="54" t="n">
        <f aca="false">C32-152000</f>
        <v>164781</v>
      </c>
      <c r="F32" s="53" t="n">
        <f aca="false">D32/$D$2</f>
        <v>39.8386283408976</v>
      </c>
      <c r="G32" s="53" t="n">
        <v>115.58</v>
      </c>
      <c r="H32" s="55" t="n">
        <v>4.03</v>
      </c>
      <c r="I32" s="53" t="n">
        <f aca="false">G32+H32</f>
        <v>119.61</v>
      </c>
      <c r="J32" s="77" t="n">
        <f aca="false">IF(L32&gt;0,L32,0)</f>
        <v>0</v>
      </c>
      <c r="K32" s="53" t="n">
        <f aca="false">I32+J32</f>
        <v>119.61</v>
      </c>
      <c r="L32" s="53" t="n">
        <f aca="false">F32-(I32-W32)</f>
        <v>-27.3413716591024</v>
      </c>
      <c r="M32" s="53" t="n">
        <v>17.56</v>
      </c>
      <c r="N32" s="53" t="n">
        <v>0</v>
      </c>
      <c r="O32" s="53" t="n">
        <f aca="false">M32-N32</f>
        <v>17.56</v>
      </c>
      <c r="P32" s="53" t="n">
        <v>0</v>
      </c>
      <c r="Q32" s="53" t="n">
        <v>0</v>
      </c>
      <c r="R32" s="53" t="n">
        <f aca="false">SUM(O32:Q32)</f>
        <v>17.56</v>
      </c>
      <c r="S32" s="54"/>
      <c r="T32" s="53" t="n">
        <v>0</v>
      </c>
      <c r="U32" s="53" t="n">
        <v>34.87</v>
      </c>
      <c r="V32" s="54" t="n">
        <f aca="false">V31-U32</f>
        <v>10107.3233148475</v>
      </c>
      <c r="W32" s="53" t="n">
        <f aca="false">R32+T32+N32+U32</f>
        <v>52.43</v>
      </c>
      <c r="X32" s="53" t="n">
        <f aca="false">IF(L32&lt;0,L32*-1,0)</f>
        <v>27.3413716591024</v>
      </c>
      <c r="Y32" s="53" t="n">
        <f aca="false">W32+X32</f>
        <v>79.7713716591024</v>
      </c>
      <c r="Z32" s="57" t="n">
        <v>0</v>
      </c>
      <c r="AA32" s="58" t="n">
        <v>61</v>
      </c>
      <c r="AB32" s="86" t="n">
        <v>36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6908.77</v>
      </c>
      <c r="C33" s="54" t="n">
        <v>317097</v>
      </c>
      <c r="D33" s="58" t="n">
        <f aca="false">C33-C32</f>
        <v>316</v>
      </c>
      <c r="E33" s="54" t="n">
        <f aca="false">C33-152000</f>
        <v>165097</v>
      </c>
      <c r="F33" s="53" t="n">
        <f aca="false">D33/$D$2</f>
        <v>159.354513363591</v>
      </c>
      <c r="G33" s="53" t="n">
        <v>104.1</v>
      </c>
      <c r="H33" s="55" t="n">
        <v>3.45</v>
      </c>
      <c r="I33" s="53" t="n">
        <f aca="false">G33+H33</f>
        <v>107.55</v>
      </c>
      <c r="J33" s="77" t="n">
        <f aca="false">IF(L33&gt;0,L33,0)</f>
        <v>109.914513363591</v>
      </c>
      <c r="K33" s="53" t="n">
        <f aca="false">I33+J33</f>
        <v>217.464513363591</v>
      </c>
      <c r="L33" s="53" t="n">
        <f aca="false">F33-(I33-W33)</f>
        <v>109.914513363591</v>
      </c>
      <c r="M33" s="53" t="n">
        <v>23.21</v>
      </c>
      <c r="N33" s="53" t="n">
        <v>0</v>
      </c>
      <c r="O33" s="53" t="n">
        <f aca="false">M33-N33</f>
        <v>23.21</v>
      </c>
      <c r="P33" s="53" t="n">
        <v>0</v>
      </c>
      <c r="Q33" s="53" t="n">
        <v>0</v>
      </c>
      <c r="R33" s="53" t="n">
        <f aca="false">SUM(O33:Q33)</f>
        <v>23.21</v>
      </c>
      <c r="S33" s="54"/>
      <c r="T33" s="53" t="n">
        <v>0</v>
      </c>
      <c r="U33" s="53" t="n">
        <v>34.9</v>
      </c>
      <c r="V33" s="54" t="n">
        <f aca="false">V32-U33</f>
        <v>10072.4233148475</v>
      </c>
      <c r="W33" s="53" t="n">
        <f aca="false">R33+T33+N33+U33</f>
        <v>58.11</v>
      </c>
      <c r="X33" s="53" t="n">
        <f aca="false">IF(L33&lt;0,L33*-1,0)</f>
        <v>0</v>
      </c>
      <c r="Y33" s="53" t="n">
        <f aca="false">W33+X33</f>
        <v>58.11</v>
      </c>
      <c r="Z33" s="57" t="n">
        <v>0</v>
      </c>
      <c r="AA33" s="58" t="n">
        <v>47</v>
      </c>
      <c r="AB33" s="86" t="n">
        <v>28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6908.83</v>
      </c>
      <c r="C34" s="54" t="n">
        <v>317334</v>
      </c>
      <c r="D34" s="58" t="n">
        <f aca="false">C34-C33</f>
        <v>237</v>
      </c>
      <c r="E34" s="54" t="n">
        <f aca="false">C34-152000</f>
        <v>165334</v>
      </c>
      <c r="F34" s="53" t="n">
        <f aca="false">D34/$D$2</f>
        <v>119.515885022693</v>
      </c>
      <c r="G34" s="53" t="n">
        <v>82.13</v>
      </c>
      <c r="H34" s="55" t="n">
        <v>2.91</v>
      </c>
      <c r="I34" s="53" t="n">
        <f aca="false">G34+H34</f>
        <v>85.04</v>
      </c>
      <c r="J34" s="77" t="n">
        <f aca="false">IF(L34&gt;0,L34,0)</f>
        <v>105.635885022693</v>
      </c>
      <c r="K34" s="53" t="n">
        <f aca="false">I34+J34</f>
        <v>190.675885022693</v>
      </c>
      <c r="L34" s="53" t="n">
        <f aca="false">F34-(I34-W34)</f>
        <v>105.635885022693</v>
      </c>
      <c r="M34" s="53" t="n">
        <v>36.26</v>
      </c>
      <c r="N34" s="53" t="n">
        <v>3</v>
      </c>
      <c r="O34" s="53" t="n">
        <f aca="false">M34-N34</f>
        <v>33.26</v>
      </c>
      <c r="P34" s="53" t="n">
        <v>0</v>
      </c>
      <c r="Q34" s="53" t="n">
        <v>0</v>
      </c>
      <c r="R34" s="53" t="n">
        <f aca="false">SUM(O34:Q34)</f>
        <v>33.26</v>
      </c>
      <c r="S34" s="54"/>
      <c r="T34" s="53" t="n">
        <v>0</v>
      </c>
      <c r="U34" s="53" t="n">
        <v>34.9</v>
      </c>
      <c r="V34" s="54" t="n">
        <f aca="false">V33-U34</f>
        <v>10037.5233148475</v>
      </c>
      <c r="W34" s="53" t="n">
        <f aca="false">R34+T34+N34+U34</f>
        <v>71.16</v>
      </c>
      <c r="X34" s="53" t="n">
        <f aca="false">IF(L34&lt;0,L34*-1,0)</f>
        <v>0</v>
      </c>
      <c r="Y34" s="53" t="n">
        <f aca="false">W34+X34</f>
        <v>71.16</v>
      </c>
      <c r="Z34" s="57" t="n">
        <v>0.2</v>
      </c>
      <c r="AA34" s="58" t="n">
        <v>36</v>
      </c>
      <c r="AB34" s="86" t="n">
        <v>28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6908.87</v>
      </c>
      <c r="C35" s="54" t="n">
        <v>317492</v>
      </c>
      <c r="D35" s="58" t="n">
        <f aca="false">C35-C34</f>
        <v>158</v>
      </c>
      <c r="E35" s="54" t="n">
        <f aca="false">C35-152000</f>
        <v>165492</v>
      </c>
      <c r="F35" s="53" t="n">
        <f aca="false">D35/$D$2</f>
        <v>79.6772566817953</v>
      </c>
      <c r="G35" s="53" t="n">
        <v>81.39</v>
      </c>
      <c r="H35" s="55" t="n">
        <v>3.07</v>
      </c>
      <c r="I35" s="53" t="n">
        <f aca="false">G35+H35</f>
        <v>84.46</v>
      </c>
      <c r="J35" s="77" t="n">
        <f aca="false">IF(L35&gt;0,L35,0)</f>
        <v>72.7972566817953</v>
      </c>
      <c r="K35" s="53" t="n">
        <f aca="false">I35+J35</f>
        <v>157.257256681795</v>
      </c>
      <c r="L35" s="53" t="n">
        <f aca="false">F35-(I35-W35)</f>
        <v>72.7972566817953</v>
      </c>
      <c r="M35" s="53" t="n">
        <v>42.68</v>
      </c>
      <c r="N35" s="53" t="n">
        <v>5</v>
      </c>
      <c r="O35" s="53" t="n">
        <f aca="false">M35-N35</f>
        <v>37.68</v>
      </c>
      <c r="P35" s="53" t="n">
        <v>0</v>
      </c>
      <c r="Q35" s="53" t="n">
        <v>0</v>
      </c>
      <c r="R35" s="53" t="n">
        <f aca="false">SUM(O35:Q35)</f>
        <v>37.68</v>
      </c>
      <c r="S35" s="54"/>
      <c r="T35" s="53" t="n">
        <v>0</v>
      </c>
      <c r="U35" s="53" t="n">
        <v>34.9</v>
      </c>
      <c r="V35" s="54" t="n">
        <f aca="false">V34-U35</f>
        <v>10002.6233148475</v>
      </c>
      <c r="W35" s="53" t="n">
        <f aca="false">R35+T35+N35+U35</f>
        <v>77.58</v>
      </c>
      <c r="X35" s="53" t="n">
        <f aca="false">IF(L35&lt;0,L35*-1,0)</f>
        <v>0</v>
      </c>
      <c r="Y35" s="53" t="n">
        <f aca="false">W35+X35</f>
        <v>77.58</v>
      </c>
      <c r="Z35" s="57" t="n">
        <v>0.11</v>
      </c>
      <c r="AA35" s="58" t="n">
        <v>44</v>
      </c>
      <c r="AB35" s="58" t="n">
        <v>26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6908.92</v>
      </c>
      <c r="C36" s="54" t="n">
        <v>317689</v>
      </c>
      <c r="D36" s="58" t="n">
        <f aca="false">C36-C35</f>
        <v>197</v>
      </c>
      <c r="E36" s="54" t="n">
        <f aca="false">C36-152000</f>
        <v>165689</v>
      </c>
      <c r="F36" s="53" t="n">
        <f aca="false">D36/$D$2</f>
        <v>99.3444276348966</v>
      </c>
      <c r="G36" s="53" t="n">
        <v>72.59</v>
      </c>
      <c r="H36" s="55" t="n">
        <v>2.9</v>
      </c>
      <c r="I36" s="53" t="n">
        <f aca="false">G36+H36</f>
        <v>75.49</v>
      </c>
      <c r="J36" s="77" t="n">
        <f aca="false">IF(L36&gt;0,L36,0)</f>
        <v>100.264427634897</v>
      </c>
      <c r="K36" s="53" t="n">
        <f aca="false">I36+J36</f>
        <v>175.754427634897</v>
      </c>
      <c r="L36" s="53" t="n">
        <f aca="false">F36-(I36-W36)</f>
        <v>100.264427634897</v>
      </c>
      <c r="M36" s="53" t="n">
        <v>41.51</v>
      </c>
      <c r="N36" s="53" t="n">
        <v>12</v>
      </c>
      <c r="O36" s="53" t="n">
        <f aca="false">M36-N36</f>
        <v>29.51</v>
      </c>
      <c r="P36" s="53" t="n">
        <v>0</v>
      </c>
      <c r="Q36" s="53" t="n">
        <v>0</v>
      </c>
      <c r="R36" s="53" t="n">
        <f aca="false">SUM(O36:Q36)</f>
        <v>29.51</v>
      </c>
      <c r="S36" s="54"/>
      <c r="T36" s="53" t="n">
        <v>0</v>
      </c>
      <c r="U36" s="53" t="n">
        <v>34.9</v>
      </c>
      <c r="V36" s="54" t="n">
        <f aca="false">V35-U36</f>
        <v>9967.72331484747</v>
      </c>
      <c r="W36" s="53" t="n">
        <f aca="false">R36+T36+N36+U36</f>
        <v>76.41</v>
      </c>
      <c r="X36" s="53" t="n">
        <f aca="false">IF(L36&lt;0,L36*-1,0)</f>
        <v>0</v>
      </c>
      <c r="Y36" s="53" t="n">
        <f aca="false">W36+X36</f>
        <v>76.41</v>
      </c>
      <c r="Z36" s="57" t="n">
        <v>0</v>
      </c>
      <c r="AA36" s="58" t="n">
        <v>48</v>
      </c>
      <c r="AB36" s="58" t="n">
        <v>17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f aca="false">A36+1</f>
        <v>28</v>
      </c>
      <c r="B37" s="76" t="n">
        <v>6908.92</v>
      </c>
      <c r="C37" s="54" t="n">
        <v>317689</v>
      </c>
      <c r="D37" s="58" t="n">
        <f aca="false">C37-C36</f>
        <v>0</v>
      </c>
      <c r="E37" s="54" t="n">
        <f aca="false">C37-152000</f>
        <v>165689</v>
      </c>
      <c r="F37" s="53" t="n">
        <f aca="false">D37/$D$2</f>
        <v>0</v>
      </c>
      <c r="G37" s="53" t="n">
        <v>76.42</v>
      </c>
      <c r="H37" s="55" t="n">
        <v>2.88</v>
      </c>
      <c r="I37" s="53" t="n">
        <f aca="false">G37+H37</f>
        <v>79.3</v>
      </c>
      <c r="J37" s="77" t="n">
        <f aca="false">IF(L37&gt;0,L37,0)</f>
        <v>7.91000000000001</v>
      </c>
      <c r="K37" s="53" t="n">
        <f aca="false">I37+J37</f>
        <v>87.21</v>
      </c>
      <c r="L37" s="53" t="n">
        <f aca="false">F37-(I37-W37)</f>
        <v>7.91000000000001</v>
      </c>
      <c r="M37" s="53" t="n">
        <v>52.34</v>
      </c>
      <c r="N37" s="53" t="n">
        <v>24</v>
      </c>
      <c r="O37" s="53" t="n">
        <f aca="false">M37-N37</f>
        <v>28.34</v>
      </c>
      <c r="P37" s="53" t="n">
        <v>0</v>
      </c>
      <c r="Q37" s="53" t="n">
        <v>0</v>
      </c>
      <c r="R37" s="53" t="n">
        <f aca="false">SUM(O37:Q37)</f>
        <v>28.34</v>
      </c>
      <c r="S37" s="54"/>
      <c r="T37" s="53" t="n">
        <v>0</v>
      </c>
      <c r="U37" s="53" t="n">
        <v>34.87</v>
      </c>
      <c r="V37" s="54" t="n">
        <f aca="false">V36-U37</f>
        <v>9932.85331484746</v>
      </c>
      <c r="W37" s="53" t="n">
        <f aca="false">R37+T37+N37+U37</f>
        <v>87.21</v>
      </c>
      <c r="X37" s="53" t="n">
        <f aca="false">IF(L37&lt;0,L37*-1,0)</f>
        <v>0</v>
      </c>
      <c r="Y37" s="53" t="n">
        <f aca="false">W37+X37</f>
        <v>87.21</v>
      </c>
      <c r="Z37" s="57" t="n">
        <v>0</v>
      </c>
      <c r="AA37" s="58" t="n">
        <v>51</v>
      </c>
      <c r="AB37" s="58" t="n">
        <v>20</v>
      </c>
      <c r="AC37" s="59" t="n">
        <f aca="false">AC36+1</f>
        <v>28</v>
      </c>
      <c r="AD37" s="74" t="n">
        <v>4723</v>
      </c>
      <c r="AE37" s="78" t="n">
        <v>3836</v>
      </c>
      <c r="AF37" s="75" t="n">
        <v>2362.83</v>
      </c>
    </row>
    <row r="38" customFormat="false" ht="11.1" hidden="false" customHeight="true" outlineLevel="0" collapsed="false">
      <c r="A38" s="59" t="n">
        <f aca="false">A37+1</f>
        <v>29</v>
      </c>
      <c r="B38" s="76" t="n">
        <v>6908.9</v>
      </c>
      <c r="C38" s="54" t="n">
        <v>317610</v>
      </c>
      <c r="D38" s="58" t="n">
        <f aca="false">C38-C37</f>
        <v>-79</v>
      </c>
      <c r="E38" s="54" t="n">
        <f aca="false">C38-152000</f>
        <v>165610</v>
      </c>
      <c r="F38" s="53" t="n">
        <f aca="false">D38/$D$2</f>
        <v>-39.8386283408976</v>
      </c>
      <c r="G38" s="53" t="n">
        <v>83.86</v>
      </c>
      <c r="H38" s="55" t="n">
        <v>3.19</v>
      </c>
      <c r="I38" s="53" t="n">
        <f aca="false">G38+H38</f>
        <v>87.05</v>
      </c>
      <c r="J38" s="77" t="n">
        <f aca="false">IF(L38&gt;0,L38,0)</f>
        <v>0</v>
      </c>
      <c r="K38" s="53" t="n">
        <f aca="false">I38+J38</f>
        <v>87.05</v>
      </c>
      <c r="L38" s="53" t="n">
        <f aca="false">F38-(I38-W38)</f>
        <v>-63.0686283408976</v>
      </c>
      <c r="M38" s="53" t="n">
        <v>28.81</v>
      </c>
      <c r="N38" s="53" t="n">
        <v>6.6</v>
      </c>
      <c r="O38" s="53" t="n">
        <f aca="false">M38-N38</f>
        <v>22.21</v>
      </c>
      <c r="P38" s="53" t="n">
        <v>0</v>
      </c>
      <c r="Q38" s="53" t="n">
        <v>0</v>
      </c>
      <c r="R38" s="53" t="n">
        <f aca="false">SUM(O38:Q38)</f>
        <v>22.21</v>
      </c>
      <c r="S38" s="54"/>
      <c r="T38" s="53" t="n">
        <v>0</v>
      </c>
      <c r="U38" s="53" t="n">
        <v>35.01</v>
      </c>
      <c r="V38" s="54" t="n">
        <f aca="false">V37-U38</f>
        <v>9897.84331484746</v>
      </c>
      <c r="W38" s="53" t="n">
        <f aca="false">R38+T38+N38+U38</f>
        <v>63.82</v>
      </c>
      <c r="X38" s="53" t="n">
        <f aca="false">IF(L38&lt;0,L38*-1,0)</f>
        <v>63.0686283408976</v>
      </c>
      <c r="Y38" s="53" t="n">
        <f aca="false">W38+X38</f>
        <v>126.888628340898</v>
      </c>
      <c r="Z38" s="57" t="n">
        <v>0</v>
      </c>
      <c r="AA38" s="86" t="n">
        <v>40</v>
      </c>
      <c r="AB38" s="58" t="n">
        <v>33</v>
      </c>
      <c r="AC38" s="59" t="n">
        <f aca="false">AC37+1</f>
        <v>29</v>
      </c>
      <c r="AD38" s="74" t="n">
        <v>4963</v>
      </c>
      <c r="AE38" s="78" t="n">
        <v>4000</v>
      </c>
      <c r="AF38" s="75" t="n">
        <v>2362.83</v>
      </c>
    </row>
    <row r="39" customFormat="false" ht="11.1" hidden="false" customHeight="true" outlineLevel="0" collapsed="false">
      <c r="A39" s="59" t="n">
        <v>30</v>
      </c>
      <c r="B39" s="76" t="n">
        <v>6908.99</v>
      </c>
      <c r="C39" s="54" t="n">
        <v>317966</v>
      </c>
      <c r="D39" s="58" t="n">
        <f aca="false">C39-C38</f>
        <v>356</v>
      </c>
      <c r="E39" s="54" t="n">
        <f aca="false">C39-152000</f>
        <v>165966</v>
      </c>
      <c r="F39" s="53" t="n">
        <f aca="false">D39/$D$2</f>
        <v>179.525970751387</v>
      </c>
      <c r="G39" s="53" t="n">
        <v>78.73</v>
      </c>
      <c r="H39" s="55" t="n">
        <v>2.93</v>
      </c>
      <c r="I39" s="53" t="n">
        <f aca="false">G39+H39</f>
        <v>81.66</v>
      </c>
      <c r="J39" s="77" t="n">
        <f aca="false">IF(L39&gt;0,L39,0)</f>
        <v>152.195970751387</v>
      </c>
      <c r="K39" s="53" t="n">
        <f aca="false">I39+J39</f>
        <v>233.855970751387</v>
      </c>
      <c r="L39" s="53" t="n">
        <f aca="false">F39-(I39-W39)</f>
        <v>152.195970751387</v>
      </c>
      <c r="M39" s="53" t="n">
        <v>19.43</v>
      </c>
      <c r="N39" s="53" t="n">
        <v>0</v>
      </c>
      <c r="O39" s="53" t="n">
        <f aca="false">M39-N39</f>
        <v>19.43</v>
      </c>
      <c r="P39" s="53" t="n">
        <v>0</v>
      </c>
      <c r="Q39" s="53" t="n">
        <v>0</v>
      </c>
      <c r="R39" s="53" t="n">
        <f aca="false">SUM(O39:Q39)</f>
        <v>19.43</v>
      </c>
      <c r="S39" s="54"/>
      <c r="T39" s="53" t="n">
        <v>0</v>
      </c>
      <c r="U39" s="53" t="n">
        <v>34.9</v>
      </c>
      <c r="V39" s="54" t="n">
        <f aca="false">V38-U39</f>
        <v>9862.94331484746</v>
      </c>
      <c r="W39" s="53" t="n">
        <f aca="false">R39+T39+N39+U39</f>
        <v>54.33</v>
      </c>
      <c r="X39" s="53" t="n">
        <f aca="false">IF(L39&lt;0,L39*-1,0)</f>
        <v>0</v>
      </c>
      <c r="Y39" s="53" t="n">
        <f aca="false">W39+X39</f>
        <v>54.33</v>
      </c>
      <c r="Z39" s="57" t="n">
        <v>0.23</v>
      </c>
      <c r="AA39" s="86" t="n">
        <v>50</v>
      </c>
      <c r="AB39" s="58" t="n">
        <v>30</v>
      </c>
      <c r="AC39" s="59" t="n">
        <v>30</v>
      </c>
      <c r="AD39" s="74" t="n">
        <v>5210</v>
      </c>
      <c r="AE39" s="78" t="n">
        <v>4166</v>
      </c>
      <c r="AF39" s="75" t="n">
        <v>2362.83</v>
      </c>
    </row>
    <row r="40" customFormat="false" ht="11.1" hidden="false" customHeight="true" outlineLevel="0" collapsed="false">
      <c r="A40" s="59" t="n">
        <v>31</v>
      </c>
      <c r="B40" s="76" t="n">
        <v>6909</v>
      </c>
      <c r="C40" s="54" t="n">
        <v>318005</v>
      </c>
      <c r="D40" s="58" t="n">
        <f aca="false">C40-C39</f>
        <v>39</v>
      </c>
      <c r="E40" s="54" t="n">
        <f aca="false">C40-152000</f>
        <v>166005</v>
      </c>
      <c r="F40" s="53" t="n">
        <f aca="false">D40/$D$2</f>
        <v>19.6671709531014</v>
      </c>
      <c r="G40" s="53" t="n">
        <v>83.5</v>
      </c>
      <c r="H40" s="55" t="n">
        <v>2.86</v>
      </c>
      <c r="I40" s="53" t="n">
        <f aca="false">G40+H40</f>
        <v>86.36</v>
      </c>
      <c r="J40" s="77" t="n">
        <f aca="false">IF(L40&gt;0,L40,0)</f>
        <v>39.0571709531014</v>
      </c>
      <c r="K40" s="53" t="n">
        <f aca="false">I40+J40</f>
        <v>125.417170953101</v>
      </c>
      <c r="L40" s="53" t="n">
        <f aca="false">F40-(I40-W40)</f>
        <v>39.0571709531014</v>
      </c>
      <c r="M40" s="53" t="n">
        <v>70.85</v>
      </c>
      <c r="N40" s="53" t="n">
        <v>9.1</v>
      </c>
      <c r="O40" s="53" t="n">
        <f aca="false">M40-N40</f>
        <v>61.75</v>
      </c>
      <c r="P40" s="53" t="n">
        <v>0</v>
      </c>
      <c r="Q40" s="53" t="n">
        <v>0</v>
      </c>
      <c r="R40" s="53" t="n">
        <f aca="false">SUM(O40:Q40)</f>
        <v>61.75</v>
      </c>
      <c r="S40" s="54"/>
      <c r="T40" s="53" t="n">
        <v>0</v>
      </c>
      <c r="U40" s="53" t="n">
        <v>34.9</v>
      </c>
      <c r="V40" s="54" t="n">
        <f aca="false">V39-U40</f>
        <v>9828.04331484746</v>
      </c>
      <c r="W40" s="53" t="n">
        <f aca="false">R40+T40+N40+U40</f>
        <v>105.75</v>
      </c>
      <c r="X40" s="53" t="n">
        <f aca="false">IF(L40&lt;0,L40*-1,0)</f>
        <v>0</v>
      </c>
      <c r="Y40" s="53" t="n">
        <f aca="false">W40+X40</f>
        <v>105.75</v>
      </c>
      <c r="Z40" s="57" t="n">
        <v>0</v>
      </c>
      <c r="AA40" s="86" t="n">
        <v>55</v>
      </c>
      <c r="AB40" s="58" t="n">
        <v>19</v>
      </c>
      <c r="AC40" s="59" t="n">
        <v>31</v>
      </c>
      <c r="AD40" s="74" t="n">
        <v>5455</v>
      </c>
      <c r="AE40" s="74" t="n">
        <v>4334</v>
      </c>
      <c r="AF40" s="75" t="n">
        <v>2403.37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 t="n">
        <v>23</v>
      </c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955.622793746848</v>
      </c>
      <c r="G42" s="54" t="n">
        <f aca="false">SUM(G10:G40)</f>
        <v>2296.87</v>
      </c>
      <c r="H42" s="54" t="n">
        <f aca="false">SUM(H10:H40)</f>
        <v>122.26</v>
      </c>
      <c r="I42" s="54" t="n">
        <f aca="false">SUM(I10:I40)</f>
        <v>2419.13</v>
      </c>
      <c r="J42" s="54" t="n">
        <f aca="false">SUM(J10:J40)</f>
        <v>1162.46990922844</v>
      </c>
      <c r="K42" s="54" t="n">
        <f aca="false">SUM(K10:K40)</f>
        <v>3581.59990922844</v>
      </c>
      <c r="L42" s="54" t="n">
        <f aca="false">SUM(L10:L40)</f>
        <v>967.892793746848</v>
      </c>
      <c r="M42" s="54" t="n">
        <f aca="false">SUM(M10:M40)</f>
        <v>543.67</v>
      </c>
      <c r="N42" s="54" t="n">
        <f aca="false">SUM(N10:N40)</f>
        <v>59.7</v>
      </c>
      <c r="O42" s="54" t="n">
        <f aca="false">SUM(O10:O40)</f>
        <v>483.97</v>
      </c>
      <c r="P42" s="54" t="n">
        <f aca="false">SUM(P10:P40)</f>
        <v>834.25</v>
      </c>
      <c r="Q42" s="54" t="n">
        <f aca="false">SUM(Q10:Q40)</f>
        <v>0</v>
      </c>
      <c r="R42" s="54" t="n">
        <f aca="false">SUM(R10:R40)</f>
        <v>1318.22</v>
      </c>
      <c r="S42" s="54"/>
      <c r="T42" s="54" t="n">
        <f aca="false">SUM(T10:T40)</f>
        <v>0</v>
      </c>
      <c r="U42" s="54" t="n">
        <f aca="false">SUM(U10:U40)</f>
        <v>1053.48</v>
      </c>
      <c r="V42" s="54"/>
      <c r="W42" s="54" t="n">
        <f aca="false">SUM(W10:W40)</f>
        <v>2431.4</v>
      </c>
      <c r="X42" s="54" t="n">
        <f aca="false">SUM(X10:X40)</f>
        <v>194.577115481594</v>
      </c>
      <c r="Y42" s="54" t="n">
        <f aca="false">SUM(Y10:Y40)</f>
        <v>2625.97711548159</v>
      </c>
      <c r="Z42" s="57" t="n">
        <f aca="false">SUM(Z10:Z40)</f>
        <v>0.97</v>
      </c>
      <c r="AA42" s="58" t="n">
        <f aca="false">AVERAGE(AA10:AA40)</f>
        <v>52.1612903225807</v>
      </c>
      <c r="AB42" s="58" t="n">
        <f aca="false">AVERAGE(AB10:AB40)</f>
        <v>30.1935483870968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1895</v>
      </c>
      <c r="E43" s="54"/>
      <c r="F43" s="54" t="n">
        <f aca="false">F42*$D$2</f>
        <v>1895</v>
      </c>
      <c r="G43" s="54" t="n">
        <f aca="false">G42*$D$2</f>
        <v>4554.69321</v>
      </c>
      <c r="H43" s="54" t="n">
        <f aca="false">H42*$D$2</f>
        <v>242.44158</v>
      </c>
      <c r="I43" s="54" t="n">
        <f aca="false">I42*$D$2</f>
        <v>4797.13479</v>
      </c>
      <c r="J43" s="54" t="n">
        <f aca="false">J42*$D$2</f>
        <v>2305.17783</v>
      </c>
      <c r="K43" s="54" t="n">
        <f aca="false">K42*$D$2</f>
        <v>7102.31262</v>
      </c>
      <c r="L43" s="54" t="n">
        <f aca="false">L42*$D$2</f>
        <v>1919.33141</v>
      </c>
      <c r="M43" s="54" t="n">
        <f aca="false">M42*$D$2</f>
        <v>1078.09761</v>
      </c>
      <c r="N43" s="54" t="n">
        <f aca="false">N42*$D$2</f>
        <v>118.3851</v>
      </c>
      <c r="O43" s="54" t="n">
        <f aca="false">O42*$D$2</f>
        <v>959.71251</v>
      </c>
      <c r="P43" s="54" t="n">
        <f aca="false">P42*$D$2</f>
        <v>1654.31775</v>
      </c>
      <c r="Q43" s="54" t="n">
        <f aca="false">Q42*$D$2</f>
        <v>0</v>
      </c>
      <c r="R43" s="54" t="n">
        <f aca="false">R42*$D$2</f>
        <v>2614.03026</v>
      </c>
      <c r="S43" s="54"/>
      <c r="T43" s="54" t="n">
        <f aca="false">T42*$D$2</f>
        <v>0</v>
      </c>
      <c r="U43" s="54" t="n">
        <f aca="false">U42*$D$2</f>
        <v>2089.05084</v>
      </c>
      <c r="V43" s="54"/>
      <c r="W43" s="54" t="n">
        <f aca="false">W42*$D$2</f>
        <v>4821.4662</v>
      </c>
      <c r="X43" s="54" t="n">
        <f aca="false">X42*$D$2</f>
        <v>385.84642</v>
      </c>
      <c r="Y43" s="54" t="n">
        <f aca="false">Y42*$D$2</f>
        <v>5207.31262</v>
      </c>
      <c r="Z43" s="57"/>
      <c r="AA43" s="58" t="n">
        <f aca="false">MAX(AA10:AA40)</f>
        <v>67</v>
      </c>
      <c r="AB43" s="58" t="n">
        <f aca="false">MAX(AB10:AB40)</f>
        <v>40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35</v>
      </c>
      <c r="AB45" s="58" t="n">
        <f aca="false">MIN(AB10:AB40)</f>
        <v>15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2248.61321230459</v>
      </c>
      <c r="G48" s="54" t="n">
        <f aca="false">G8+G42</f>
        <v>11313.6101260716</v>
      </c>
      <c r="H48" s="58" t="n">
        <f aca="false">H8+H42</f>
        <v>122.26</v>
      </c>
      <c r="I48" s="54" t="n">
        <f aca="false">I8+I42</f>
        <v>11435.7701260716</v>
      </c>
      <c r="J48" s="54" t="n">
        <f aca="false">J8+J42</f>
        <v>2400.8000706001</v>
      </c>
      <c r="K48" s="54" t="n">
        <f aca="false">K8+K42</f>
        <v>13836.5701966717</v>
      </c>
      <c r="L48" s="54" t="n">
        <f aca="false">L8+L42</f>
        <v>-1783.98691376702</v>
      </c>
      <c r="M48" s="54" t="n">
        <f aca="false">M8+M42</f>
        <v>1451.8</v>
      </c>
      <c r="N48" s="54" t="n">
        <f aca="false">N8+N42</f>
        <v>59.7</v>
      </c>
      <c r="O48" s="54" t="n">
        <f aca="false">O8+O42</f>
        <v>899.6</v>
      </c>
      <c r="P48" s="54" t="n">
        <f aca="false">P8+P42</f>
        <v>834.25</v>
      </c>
      <c r="Q48" s="54" t="n">
        <f aca="false">Q8+Q42</f>
        <v>0</v>
      </c>
      <c r="R48" s="54" t="n">
        <f aca="false">R8+R42</f>
        <v>2102.35</v>
      </c>
      <c r="S48" s="54"/>
      <c r="T48" s="54" t="n">
        <f aca="false">T8+T42</f>
        <v>0</v>
      </c>
      <c r="U48" s="54" t="n">
        <f aca="false">U8+U42</f>
        <v>5117.12</v>
      </c>
      <c r="V48" s="54" t="n">
        <f aca="false">V29</f>
        <v>10211.9033148475</v>
      </c>
      <c r="W48" s="54" t="n">
        <f aca="false">W8+W42</f>
        <v>7403.17</v>
      </c>
      <c r="X48" s="54" t="n">
        <f aca="false">X8+X42</f>
        <v>4184.78698436712</v>
      </c>
      <c r="Y48" s="54" t="n">
        <f aca="false">Y8+Y42</f>
        <v>11587.9569843671</v>
      </c>
      <c r="Z48" s="77" t="n">
        <f aca="false">Z8+Z42</f>
        <v>3.33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4459</v>
      </c>
      <c r="E49" s="54" t="n">
        <f aca="false">E40</f>
        <v>166005</v>
      </c>
      <c r="F49" s="54" t="n">
        <f aca="false">F48*$D$2</f>
        <v>4459</v>
      </c>
      <c r="G49" s="54" t="n">
        <f aca="false">G48*$D$2</f>
        <v>22434.88888</v>
      </c>
      <c r="H49" s="58" t="n">
        <f aca="false">H48*$D$2</f>
        <v>242.44158</v>
      </c>
      <c r="I49" s="54" t="n">
        <f aca="false">I48*$D$2</f>
        <v>22677.13216</v>
      </c>
      <c r="J49" s="54" t="n">
        <f aca="false">J48*$D$2</f>
        <v>4760.78654</v>
      </c>
      <c r="K49" s="54" t="n">
        <f aca="false">K48*$D$2</f>
        <v>27437.9187</v>
      </c>
      <c r="L49" s="54" t="n">
        <f aca="false">L48*$D$2</f>
        <v>-3537.64605</v>
      </c>
      <c r="M49" s="54" t="n">
        <f aca="false">M48*$D$2</f>
        <v>2878.9194</v>
      </c>
      <c r="N49" s="54" t="n">
        <f aca="false">N48*$D$2</f>
        <v>118.3851</v>
      </c>
      <c r="O49" s="54" t="n">
        <f aca="false">O48*$D$2</f>
        <v>1783.9068</v>
      </c>
      <c r="P49" s="54" t="n">
        <f aca="false">P48*$D$2</f>
        <v>1654.31775</v>
      </c>
      <c r="Q49" s="54" t="n">
        <f aca="false">Q48*$D$2</f>
        <v>0</v>
      </c>
      <c r="R49" s="54" t="n">
        <f aca="false">R48*$D$2</f>
        <v>4168.96005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10147.24896</v>
      </c>
      <c r="V49" s="54" t="n">
        <f aca="false">V48*$D$2</f>
        <v>20250.2042733425</v>
      </c>
      <c r="W49" s="54" t="n">
        <f aca="false">W48*$D$2</f>
        <v>14680.48611</v>
      </c>
      <c r="X49" s="54" t="n">
        <f aca="false">X48*$D$2</f>
        <v>8298.43259</v>
      </c>
      <c r="Y49" s="54" t="n">
        <f aca="false">Y48*$D$2</f>
        <v>22978.9187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"APR /16"</f>
        <v>APR /16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6910.43</v>
      </c>
      <c r="C52" s="54" t="n">
        <v>323712</v>
      </c>
      <c r="D52" s="86"/>
      <c r="E52" s="54" t="n">
        <f aca="false">C52-152000</f>
        <v>171712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"3/14/96 thru 4/16/96"</f>
        <v>3/14/96 thru 4/16/96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B52-B23</f>
        <v>1.96000000000004</v>
      </c>
      <c r="C54" s="54"/>
      <c r="D54" s="54" t="n">
        <f aca="false">C52-C23</f>
        <v>7799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G10" activePane="bottomRight" state="frozen"/>
      <selection pane="topLeft" activeCell="A4" activeCellId="0" sqref="A4"/>
      <selection pane="topRight" activeCell="G4" activeCellId="0" sqref="G4"/>
      <selection pane="bottomLeft" activeCell="A10" activeCellId="0" sqref="A10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6.82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92" t="n">
        <v>1.9835</v>
      </c>
      <c r="E2" s="8"/>
      <c r="F2" s="7"/>
      <c r="G2" s="7"/>
      <c r="H2" s="9"/>
      <c r="I2" s="7"/>
      <c r="J2" s="7"/>
      <c r="K2" s="93" t="s">
        <v>63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 t="n">
        <v>5</v>
      </c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16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64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65</v>
      </c>
      <c r="P5" s="16" t="s">
        <v>66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64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94" t="n">
        <f aca="false">25400+3900+3900+220+3300</f>
        <v>36720</v>
      </c>
      <c r="W6" s="26"/>
      <c r="X6" s="26"/>
      <c r="Y6" s="26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44</v>
      </c>
      <c r="B8" s="29" t="n">
        <f aca="false" t="array" ref="B8:C8">MAR!$B$40:$C$40</f>
        <v>6909</v>
      </c>
      <c r="C8" s="8" t="n">
        <v>318005</v>
      </c>
      <c r="D8" s="8" t="n">
        <f aca="false" t="array" ref="D8:E8">MAR!$D$49:$E$49</f>
        <v>4459</v>
      </c>
      <c r="E8" s="8" t="n">
        <v>166005</v>
      </c>
      <c r="F8" s="8" t="n">
        <f aca="false" t="array" ref="F8:U8">MAR!$F$48:$U$48</f>
        <v>2248.61321230459</v>
      </c>
      <c r="G8" s="8" t="n">
        <v>11313.6101260716</v>
      </c>
      <c r="H8" s="12" t="n">
        <v>122.26</v>
      </c>
      <c r="I8" s="8" t="n">
        <v>11435.7701260716</v>
      </c>
      <c r="J8" s="8" t="n">
        <v>2400.8000706001</v>
      </c>
      <c r="K8" s="8" t="n">
        <v>13836.5701966717</v>
      </c>
      <c r="L8" s="8" t="n">
        <v>-1783.98691376702</v>
      </c>
      <c r="M8" s="8" t="n">
        <v>1451.8</v>
      </c>
      <c r="N8" s="8" t="n">
        <v>59.7</v>
      </c>
      <c r="O8" s="8" t="n">
        <v>899.6</v>
      </c>
      <c r="P8" s="8" t="n">
        <v>834.25</v>
      </c>
      <c r="Q8" s="8" t="n">
        <v>0</v>
      </c>
      <c r="R8" s="8" t="n">
        <v>2102.35</v>
      </c>
      <c r="S8" s="8" t="n">
        <v>0</v>
      </c>
      <c r="T8" s="8" t="n">
        <v>0</v>
      </c>
      <c r="U8" s="8" t="n">
        <v>5117.12</v>
      </c>
      <c r="V8" s="8" t="n">
        <f aca="false">V6/D2</f>
        <v>18512.7300226872</v>
      </c>
      <c r="W8" s="8" t="n">
        <f aca="false" t="array" ref="W8:Z8">MAR!$W$48:$Z$48</f>
        <v>7403.17</v>
      </c>
      <c r="X8" s="8" t="n">
        <v>4184.78698436712</v>
      </c>
      <c r="Y8" s="8" t="n">
        <v>11587.9569843671</v>
      </c>
      <c r="Z8" s="30" t="n">
        <v>3.33</v>
      </c>
      <c r="AA8" s="12"/>
      <c r="AB8" s="12"/>
      <c r="AC8" s="13"/>
      <c r="AD8" s="31" t="n">
        <v>13149</v>
      </c>
      <c r="AE8" s="14" t="n">
        <v>17902</v>
      </c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6909.05</v>
      </c>
      <c r="C10" s="8" t="n">
        <v>318204</v>
      </c>
      <c r="D10" s="12" t="n">
        <f aca="false">C10-C8</f>
        <v>199</v>
      </c>
      <c r="E10" s="8" t="n">
        <f aca="false">C10-152000</f>
        <v>166204</v>
      </c>
      <c r="F10" s="7" t="n">
        <f aca="false">D10/$D$2</f>
        <v>100.327703554323</v>
      </c>
      <c r="G10" s="7" t="n">
        <v>103.47</v>
      </c>
      <c r="H10" s="9" t="n">
        <v>2.76</v>
      </c>
      <c r="I10" s="7" t="n">
        <f aca="false">G10+H10</f>
        <v>106.23</v>
      </c>
      <c r="J10" s="95" t="n">
        <f aca="false">IF(L10&gt;0,L10,0)</f>
        <v>67.9377035543232</v>
      </c>
      <c r="K10" s="7" t="n">
        <f aca="false">I10+J10</f>
        <v>174.167703554323</v>
      </c>
      <c r="L10" s="7" t="n">
        <f aca="false">F10-(I10-W10)</f>
        <v>67.9377035543232</v>
      </c>
      <c r="M10" s="7" t="n">
        <v>38.95</v>
      </c>
      <c r="N10" s="7" t="n">
        <f aca="false">25/$D$2</f>
        <v>12.6039828585833</v>
      </c>
      <c r="O10" s="7" t="n">
        <f aca="false">M10-N10</f>
        <v>26.3460171414167</v>
      </c>
      <c r="P10" s="7" t="n">
        <v>0</v>
      </c>
      <c r="Q10" s="7" t="n">
        <v>0</v>
      </c>
      <c r="R10" s="7" t="n">
        <f aca="false">SUM(O10:Q10)</f>
        <v>26.3460171414167</v>
      </c>
      <c r="S10" s="8"/>
      <c r="T10" s="7" t="n">
        <v>0</v>
      </c>
      <c r="U10" s="7" t="n">
        <v>34.89</v>
      </c>
      <c r="V10" s="8" t="n">
        <f aca="false">V8-U10</f>
        <v>18477.8400226872</v>
      </c>
      <c r="W10" s="7" t="n">
        <f aca="false">N10+R10+T10+U10</f>
        <v>73.84</v>
      </c>
      <c r="X10" s="7" t="n">
        <f aca="false">IF(L10&lt;0,L10*-1,0)</f>
        <v>0</v>
      </c>
      <c r="Y10" s="7" t="n">
        <f aca="false">W10+X10</f>
        <v>73.84</v>
      </c>
      <c r="Z10" s="11" t="n">
        <v>0</v>
      </c>
      <c r="AA10" s="12" t="n">
        <v>68</v>
      </c>
      <c r="AB10" s="12" t="n">
        <v>33</v>
      </c>
      <c r="AC10" s="13" t="n">
        <v>1</v>
      </c>
      <c r="AD10" s="12" t="n">
        <v>13243</v>
      </c>
      <c r="AE10" s="12"/>
      <c r="AF10" s="0" t="n">
        <v>7883</v>
      </c>
      <c r="AG10" s="7" t="n">
        <v>0</v>
      </c>
    </row>
    <row r="11" customFormat="false" ht="11.1" hidden="false" customHeight="true" outlineLevel="0" collapsed="false">
      <c r="A11" s="13" t="n">
        <f aca="false">A10+1</f>
        <v>2</v>
      </c>
      <c r="B11" s="29" t="n">
        <v>6909.19</v>
      </c>
      <c r="C11" s="8" t="n">
        <v>318762</v>
      </c>
      <c r="D11" s="12" t="n">
        <f aca="false">C11-C10</f>
        <v>558</v>
      </c>
      <c r="E11" s="8" t="n">
        <f aca="false">C11-152000</f>
        <v>166762</v>
      </c>
      <c r="F11" s="7" t="n">
        <f aca="false">D11/$D$2</f>
        <v>281.320897403579</v>
      </c>
      <c r="G11" s="7" t="n">
        <v>140.23</v>
      </c>
      <c r="H11" s="9" t="n">
        <v>2.96</v>
      </c>
      <c r="I11" s="7" t="n">
        <f aca="false">G11+H11</f>
        <v>143.19</v>
      </c>
      <c r="J11" s="95" t="n">
        <f aca="false">IF(L11&gt;0,L11,0)</f>
        <v>208.48089740358</v>
      </c>
      <c r="K11" s="7" t="n">
        <f aca="false">I11+J11</f>
        <v>351.670897403579</v>
      </c>
      <c r="L11" s="7" t="n">
        <f aca="false">F11-(I11-W11)</f>
        <v>208.48089740358</v>
      </c>
      <c r="M11" s="7" t="n">
        <v>32.42</v>
      </c>
      <c r="N11" s="7" t="n">
        <f aca="false">35/$D$2</f>
        <v>17.6455760020166</v>
      </c>
      <c r="O11" s="7" t="n">
        <f aca="false">M11-N11</f>
        <v>14.7744239979834</v>
      </c>
      <c r="P11" s="7" t="n">
        <v>0</v>
      </c>
      <c r="Q11" s="7" t="n">
        <v>0</v>
      </c>
      <c r="R11" s="7" t="n">
        <f aca="false">SUM(O11:Q11)</f>
        <v>14.7744239979834</v>
      </c>
      <c r="S11" s="8"/>
      <c r="T11" s="7" t="n">
        <v>0</v>
      </c>
      <c r="U11" s="7" t="n">
        <v>37.93</v>
      </c>
      <c r="V11" s="8" t="n">
        <f aca="false">V10-U11</f>
        <v>18439.9100226872</v>
      </c>
      <c r="W11" s="7" t="n">
        <f aca="false">N11+R11+T11+U11</f>
        <v>70.35</v>
      </c>
      <c r="X11" s="7" t="n">
        <f aca="false">IF(L11&lt;0,L11*-1,0)</f>
        <v>0</v>
      </c>
      <c r="Y11" s="7" t="n">
        <f aca="false">W11+X11</f>
        <v>70.35</v>
      </c>
      <c r="Z11" s="11" t="n">
        <v>0.08</v>
      </c>
      <c r="AA11" s="12" t="n">
        <v>63</v>
      </c>
      <c r="AB11" s="12" t="n">
        <v>36</v>
      </c>
      <c r="AC11" s="13" t="n">
        <f aca="false">AC10+1</f>
        <v>2</v>
      </c>
      <c r="AD11" s="12" t="n">
        <v>13333</v>
      </c>
      <c r="AE11" s="12" t="n">
        <v>62</v>
      </c>
      <c r="AG11" s="7" t="n">
        <v>0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6909.23</v>
      </c>
      <c r="C12" s="8" t="n">
        <v>318921</v>
      </c>
      <c r="D12" s="12" t="n">
        <f aca="false">C12-C11</f>
        <v>159</v>
      </c>
      <c r="E12" s="8" t="n">
        <f aca="false">C12-152000</f>
        <v>166921</v>
      </c>
      <c r="F12" s="7" t="n">
        <f aca="false">D12/$D$2</f>
        <v>80.1613309805899</v>
      </c>
      <c r="G12" s="7" t="n">
        <v>169.14</v>
      </c>
      <c r="H12" s="9" t="n">
        <v>3.09</v>
      </c>
      <c r="I12" s="7" t="n">
        <f aca="false">G12+H12</f>
        <v>172.23</v>
      </c>
      <c r="J12" s="95" t="n">
        <f aca="false">IF(L12&gt;0,L12,0)</f>
        <v>0</v>
      </c>
      <c r="K12" s="7" t="n">
        <f aca="false">I12+J12</f>
        <v>172.23</v>
      </c>
      <c r="L12" s="7" t="n">
        <f aca="false">F12-(I12-W12)</f>
        <v>-2.89866901941012</v>
      </c>
      <c r="M12" s="7" t="n">
        <v>45.54</v>
      </c>
      <c r="N12" s="7" t="n">
        <f aca="false">60/$D$2</f>
        <v>30.2495588605999</v>
      </c>
      <c r="O12" s="7" t="n">
        <f aca="false">M12-N12</f>
        <v>15.2904411394001</v>
      </c>
      <c r="P12" s="7" t="n">
        <v>0</v>
      </c>
      <c r="Q12" s="7" t="n">
        <v>0</v>
      </c>
      <c r="R12" s="7" t="n">
        <f aca="false">SUM(O12:Q12)</f>
        <v>15.2904411394001</v>
      </c>
      <c r="S12" s="8"/>
      <c r="T12" s="7" t="n">
        <v>0</v>
      </c>
      <c r="U12" s="7" t="n">
        <v>43.63</v>
      </c>
      <c r="V12" s="8" t="n">
        <f aca="false">V11-U12</f>
        <v>18396.2800226872</v>
      </c>
      <c r="W12" s="7" t="n">
        <f aca="false">N12+R12+T12+U12</f>
        <v>89.17</v>
      </c>
      <c r="X12" s="7" t="n">
        <f aca="false">IF(L12&lt;0,L12*-1,0)</f>
        <v>2.89866901941012</v>
      </c>
      <c r="Y12" s="7" t="n">
        <f aca="false">W12+X12</f>
        <v>92.0686690194101</v>
      </c>
      <c r="Z12" s="11" t="n">
        <v>0</v>
      </c>
      <c r="AA12" s="12" t="n">
        <v>54</v>
      </c>
      <c r="AB12" s="12" t="n">
        <v>33</v>
      </c>
      <c r="AC12" s="13" t="n">
        <f aca="false">AC11+1</f>
        <v>3</v>
      </c>
      <c r="AD12" s="12" t="n">
        <v>13456</v>
      </c>
      <c r="AE12" s="12" t="n">
        <v>159</v>
      </c>
      <c r="AG12" s="7" t="n">
        <v>0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6909.33</v>
      </c>
      <c r="C13" s="8" t="n">
        <v>319319</v>
      </c>
      <c r="D13" s="12" t="n">
        <f aca="false">C13-C12</f>
        <v>398</v>
      </c>
      <c r="E13" s="8" t="n">
        <f aca="false">C13-152000</f>
        <v>167319</v>
      </c>
      <c r="F13" s="7" t="n">
        <f aca="false">D13/$D$2</f>
        <v>200.655407108646</v>
      </c>
      <c r="G13" s="7" t="n">
        <v>161.5</v>
      </c>
      <c r="H13" s="9" t="n">
        <v>2.7</v>
      </c>
      <c r="I13" s="7" t="n">
        <f aca="false">G13+H13</f>
        <v>164.2</v>
      </c>
      <c r="J13" s="95" t="n">
        <f aca="false">IF(L13&gt;0,L13,0)</f>
        <v>127.475407108646</v>
      </c>
      <c r="K13" s="7" t="n">
        <f aca="false">I13+J13</f>
        <v>291.675407108646</v>
      </c>
      <c r="L13" s="7" t="n">
        <f aca="false">F13-(I13-W13)</f>
        <v>127.475407108646</v>
      </c>
      <c r="M13" s="7" t="n">
        <v>46.5</v>
      </c>
      <c r="N13" s="7" t="n">
        <f aca="false">65/$D$2</f>
        <v>32.7703554323166</v>
      </c>
      <c r="O13" s="7" t="n">
        <f aca="false">M13-N13</f>
        <v>13.7296445676834</v>
      </c>
      <c r="P13" s="7" t="n">
        <v>0</v>
      </c>
      <c r="Q13" s="7" t="n">
        <v>0</v>
      </c>
      <c r="R13" s="7" t="n">
        <f aca="false">SUM(O13:Q13)</f>
        <v>13.7296445676834</v>
      </c>
      <c r="S13" s="8"/>
      <c r="T13" s="7" t="n">
        <v>0</v>
      </c>
      <c r="U13" s="7" t="n">
        <v>44.52</v>
      </c>
      <c r="V13" s="8" t="n">
        <f aca="false">V12-U13</f>
        <v>18351.7600226872</v>
      </c>
      <c r="W13" s="7" t="n">
        <f aca="false">N13+R13+T13+U13</f>
        <v>91.02</v>
      </c>
      <c r="X13" s="7" t="n">
        <f aca="false">IF(L13&lt;0,L13*-1,0)</f>
        <v>0</v>
      </c>
      <c r="Y13" s="7" t="n">
        <f aca="false">W13+X13</f>
        <v>91.02</v>
      </c>
      <c r="Z13" s="11" t="n">
        <v>0</v>
      </c>
      <c r="AA13" s="12" t="n">
        <v>51</v>
      </c>
      <c r="AB13" s="12" t="n">
        <v>33</v>
      </c>
      <c r="AC13" s="13" t="n">
        <f aca="false">AC12+1</f>
        <v>4</v>
      </c>
      <c r="AD13" s="12" t="n">
        <v>13563</v>
      </c>
      <c r="AE13" s="12" t="n">
        <v>263</v>
      </c>
      <c r="AG13" s="7" t="n">
        <v>13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6909.35</v>
      </c>
      <c r="C14" s="8" t="n">
        <v>319399</v>
      </c>
      <c r="D14" s="12" t="n">
        <f aca="false">C14-C13</f>
        <v>80</v>
      </c>
      <c r="E14" s="8" t="n">
        <f aca="false">C14-152000</f>
        <v>167399</v>
      </c>
      <c r="F14" s="7" t="n">
        <f aca="false">D14/$D$2</f>
        <v>40.3327451474666</v>
      </c>
      <c r="G14" s="7" t="n">
        <v>147</v>
      </c>
      <c r="H14" s="9" t="n">
        <v>2.99</v>
      </c>
      <c r="I14" s="7" t="n">
        <f aca="false">G14+H14</f>
        <v>149.99</v>
      </c>
      <c r="J14" s="95" t="n">
        <f aca="false">IF(L14&gt;0,L14,0)</f>
        <v>0</v>
      </c>
      <c r="K14" s="7" t="n">
        <f aca="false">I14+J14</f>
        <v>149.99</v>
      </c>
      <c r="L14" s="7" t="n">
        <f aca="false">F14-(I14-W14)</f>
        <v>-4.3272548525334</v>
      </c>
      <c r="M14" s="7" t="n">
        <v>60.77</v>
      </c>
      <c r="N14" s="7" t="n">
        <f aca="false">84/$D$2</f>
        <v>42.3493824048399</v>
      </c>
      <c r="O14" s="7" t="n">
        <f aca="false">M14-N14</f>
        <v>18.4206175951601</v>
      </c>
      <c r="P14" s="7" t="n">
        <v>0</v>
      </c>
      <c r="Q14" s="7" t="n">
        <v>0</v>
      </c>
      <c r="R14" s="7" t="n">
        <f aca="false">SUM(O14:Q14)</f>
        <v>18.4206175951601</v>
      </c>
      <c r="S14" s="8"/>
      <c r="T14" s="7" t="n">
        <v>0</v>
      </c>
      <c r="U14" s="7" t="n">
        <v>44.56</v>
      </c>
      <c r="V14" s="8" t="n">
        <f aca="false">V13-U14</f>
        <v>18307.2000226872</v>
      </c>
      <c r="W14" s="7" t="n">
        <f aca="false">N14+R14+T15+U14</f>
        <v>105.33</v>
      </c>
      <c r="X14" s="7" t="n">
        <f aca="false">IF(L14&lt;0,L14*-1,0)</f>
        <v>4.3272548525334</v>
      </c>
      <c r="Y14" s="7" t="n">
        <f aca="false">W14+X14</f>
        <v>109.657254852533</v>
      </c>
      <c r="Z14" s="11" t="n">
        <v>0.09</v>
      </c>
      <c r="AA14" s="12" t="n">
        <v>55</v>
      </c>
      <c r="AB14" s="12" t="n">
        <v>28</v>
      </c>
      <c r="AC14" s="13" t="n">
        <f aca="false">AC13+1</f>
        <v>5</v>
      </c>
      <c r="AD14" s="12" t="n">
        <v>13678</v>
      </c>
      <c r="AE14" s="12" t="n">
        <v>367</v>
      </c>
      <c r="AG14" s="7" t="n">
        <v>13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6909.4</v>
      </c>
      <c r="C15" s="8" t="n">
        <v>319598</v>
      </c>
      <c r="D15" s="12" t="n">
        <f aca="false">C15-C14</f>
        <v>199</v>
      </c>
      <c r="E15" s="8" t="n">
        <f aca="false">C15-152000</f>
        <v>167598</v>
      </c>
      <c r="F15" s="7" t="n">
        <f aca="false">D15/$D$2</f>
        <v>100.327703554323</v>
      </c>
      <c r="G15" s="7" t="n">
        <v>147.47</v>
      </c>
      <c r="H15" s="9" t="n">
        <v>3.43</v>
      </c>
      <c r="I15" s="7" t="n">
        <f aca="false">G15+H15</f>
        <v>150.9</v>
      </c>
      <c r="J15" s="95" t="n">
        <f aca="false">IF(L15&gt;0,L15,0)</f>
        <v>71.4677035543232</v>
      </c>
      <c r="K15" s="7" t="n">
        <f aca="false">I15+J15</f>
        <v>222.367703554323</v>
      </c>
      <c r="L15" s="7" t="n">
        <f aca="false">F15-(I15-W15)</f>
        <v>71.4677035543232</v>
      </c>
      <c r="M15" s="7" t="n">
        <v>77.6</v>
      </c>
      <c r="N15" s="7" t="n">
        <f aca="false">108/$D$2</f>
        <v>54.4492059490799</v>
      </c>
      <c r="O15" s="7" t="n">
        <f aca="false">M15-N15</f>
        <v>23.1507940509201</v>
      </c>
      <c r="P15" s="7" t="n">
        <v>0</v>
      </c>
      <c r="Q15" s="7" t="n">
        <v>0</v>
      </c>
      <c r="R15" s="7" t="n">
        <f aca="false">SUM(O15:Q15)</f>
        <v>23.1507940509201</v>
      </c>
      <c r="S15" s="8"/>
      <c r="T15" s="7" t="n">
        <v>0</v>
      </c>
      <c r="U15" s="7" t="n">
        <v>44.44</v>
      </c>
      <c r="V15" s="8" t="n">
        <f aca="false">V14-U15</f>
        <v>18262.7600226872</v>
      </c>
      <c r="W15" s="7" t="n">
        <f aca="false">N15+R15+T16+U15</f>
        <v>122.04</v>
      </c>
      <c r="X15" s="7" t="n">
        <f aca="false">IF(L15&lt;0,L15*-1,0)</f>
        <v>0</v>
      </c>
      <c r="Y15" s="7" t="n">
        <f aca="false">W15+X15</f>
        <v>122.04</v>
      </c>
      <c r="Z15" s="11" t="n">
        <v>0</v>
      </c>
      <c r="AA15" s="12" t="n">
        <v>62</v>
      </c>
      <c r="AB15" s="12" t="n">
        <v>28</v>
      </c>
      <c r="AC15" s="13" t="n">
        <f aca="false">AC14+1</f>
        <v>6</v>
      </c>
      <c r="AD15" s="12" t="n">
        <v>13812</v>
      </c>
      <c r="AE15" s="12" t="n">
        <v>469</v>
      </c>
      <c r="AG15" s="7" t="n">
        <v>15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6909.43</v>
      </c>
      <c r="C16" s="8" t="n">
        <v>319717</v>
      </c>
      <c r="D16" s="12" t="n">
        <f aca="false">C16-C15</f>
        <v>119</v>
      </c>
      <c r="E16" s="8" t="n">
        <f aca="false">C16-152000</f>
        <v>167717</v>
      </c>
      <c r="F16" s="7" t="n">
        <f aca="false">D16/$D$2</f>
        <v>59.9949584068566</v>
      </c>
      <c r="G16" s="7" t="n">
        <v>174.48</v>
      </c>
      <c r="H16" s="9" t="n">
        <v>3.54</v>
      </c>
      <c r="I16" s="7" t="n">
        <f aca="false">G16+H16</f>
        <v>178.02</v>
      </c>
      <c r="J16" s="95" t="n">
        <f aca="false">IF(L16&gt;0,L16,0)</f>
        <v>46.0722157801866</v>
      </c>
      <c r="K16" s="7" t="n">
        <f aca="false">I16+J16</f>
        <v>224.092215780187</v>
      </c>
      <c r="L16" s="7" t="n">
        <f aca="false">F16-(I16-W16)</f>
        <v>46.0722157801866</v>
      </c>
      <c r="M16" s="7" t="n">
        <v>102.94</v>
      </c>
      <c r="N16" s="7" t="n">
        <f aca="false">121/$D$2</f>
        <v>61.0032770355432</v>
      </c>
      <c r="O16" s="7" t="n">
        <f aca="false">M16-N16</f>
        <v>41.9367229644568</v>
      </c>
      <c r="P16" s="7" t="n">
        <v>0</v>
      </c>
      <c r="Q16" s="7" t="n">
        <v>0</v>
      </c>
      <c r="R16" s="7" t="n">
        <f aca="false">SUM(O16:Q16)</f>
        <v>41.9367229644568</v>
      </c>
      <c r="S16" s="8"/>
      <c r="T16" s="7" t="n">
        <v>0</v>
      </c>
      <c r="U16" s="7" t="n">
        <v>44.52</v>
      </c>
      <c r="V16" s="8" t="n">
        <f aca="false">V15-U16</f>
        <v>18218.2400226872</v>
      </c>
      <c r="W16" s="7" t="n">
        <f aca="false">N16+R16+T17+U16</f>
        <v>164.09725737333</v>
      </c>
      <c r="X16" s="7" t="n">
        <f aca="false">IF(L16&lt;0,L16*-1,0)</f>
        <v>0</v>
      </c>
      <c r="Y16" s="7" t="n">
        <f aca="false">W16+X16</f>
        <v>164.09725737333</v>
      </c>
      <c r="Z16" s="11" t="n">
        <v>0</v>
      </c>
      <c r="AA16" s="12" t="n">
        <v>65</v>
      </c>
      <c r="AB16" s="12" t="n">
        <v>33</v>
      </c>
      <c r="AC16" s="13" t="n">
        <f aca="false">AC15+1</f>
        <v>7</v>
      </c>
      <c r="AD16" s="12" t="n">
        <v>13968</v>
      </c>
      <c r="AE16" s="12" t="n">
        <v>587</v>
      </c>
      <c r="AG16" s="7" t="n">
        <v>15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6909.52</v>
      </c>
      <c r="C17" s="8" t="n">
        <v>320076</v>
      </c>
      <c r="D17" s="12" t="n">
        <f aca="false">C17-C16</f>
        <v>359</v>
      </c>
      <c r="E17" s="8" t="n">
        <f aca="false">C17-152000</f>
        <v>168076</v>
      </c>
      <c r="F17" s="7" t="n">
        <f aca="false">D17/$D$2</f>
        <v>180.993193849256</v>
      </c>
      <c r="G17" s="7" t="n">
        <v>220.56</v>
      </c>
      <c r="H17" s="9" t="n">
        <v>3.97</v>
      </c>
      <c r="I17" s="7" t="n">
        <f aca="false">G17+H17</f>
        <v>224.53</v>
      </c>
      <c r="J17" s="95" t="n">
        <f aca="false">IF(L17&gt;0,L17,0)</f>
        <v>132.713725737333</v>
      </c>
      <c r="K17" s="7" t="n">
        <f aca="false">I17+J17</f>
        <v>357.243725737333</v>
      </c>
      <c r="L17" s="7" t="n">
        <f aca="false">F17-(I17-W17)</f>
        <v>132.713725737333</v>
      </c>
      <c r="M17" s="7" t="n">
        <v>108.28</v>
      </c>
      <c r="N17" s="7" t="n">
        <f aca="false">129/$D$2</f>
        <v>65.0365515502899</v>
      </c>
      <c r="O17" s="7" t="n">
        <f aca="false">M17-N17</f>
        <v>43.2434484497101</v>
      </c>
      <c r="P17" s="7" t="n">
        <v>0</v>
      </c>
      <c r="Q17" s="7" t="n">
        <v>2.7</v>
      </c>
      <c r="R17" s="7" t="n">
        <f aca="false">SUM(O17:Q17)</f>
        <v>45.9434484497101</v>
      </c>
      <c r="S17" s="7"/>
      <c r="T17" s="7" t="n">
        <f aca="false">33/$D$2</f>
        <v>16.63725737333</v>
      </c>
      <c r="U17" s="7" t="n">
        <v>44.6</v>
      </c>
      <c r="V17" s="8" t="n">
        <f aca="false">V16-U17</f>
        <v>18173.6400226872</v>
      </c>
      <c r="W17" s="7" t="n">
        <f aca="false">N17+R17+T18+U17</f>
        <v>176.250531888077</v>
      </c>
      <c r="X17" s="7" t="n">
        <f aca="false">IF(L17&lt;0,L17*-1,0)</f>
        <v>0</v>
      </c>
      <c r="Y17" s="7" t="n">
        <f aca="false">W17+X17</f>
        <v>176.250531888077</v>
      </c>
      <c r="Z17" s="11" t="n">
        <v>0</v>
      </c>
      <c r="AA17" s="12" t="n">
        <v>72</v>
      </c>
      <c r="AB17" s="12" t="n">
        <v>42</v>
      </c>
      <c r="AC17" s="13" t="n">
        <f aca="false">AC16+1</f>
        <v>8</v>
      </c>
      <c r="AD17" s="12" t="n">
        <v>14117</v>
      </c>
      <c r="AE17" s="12" t="n">
        <v>707</v>
      </c>
      <c r="AG17" s="7" t="n">
        <v>15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6909.67</v>
      </c>
      <c r="C18" s="8" t="n">
        <v>320673</v>
      </c>
      <c r="D18" s="12" t="n">
        <f aca="false">C18-C17</f>
        <v>597</v>
      </c>
      <c r="E18" s="8" t="n">
        <f aca="false">C18-152000</f>
        <v>168673</v>
      </c>
      <c r="F18" s="7" t="n">
        <f aca="false">D18/$D$2</f>
        <v>300.983110662969</v>
      </c>
      <c r="G18" s="7" t="n">
        <v>314.76</v>
      </c>
      <c r="H18" s="9" t="n">
        <v>10.74</v>
      </c>
      <c r="I18" s="7" t="n">
        <f aca="false">G18+H18</f>
        <v>325.5</v>
      </c>
      <c r="J18" s="95" t="n">
        <f aca="false">IF(L18&gt;0,L18,0)</f>
        <v>165.663642551046</v>
      </c>
      <c r="K18" s="7" t="n">
        <f aca="false">I18+J18</f>
        <v>491.163642551046</v>
      </c>
      <c r="L18" s="7" t="n">
        <f aca="false">F18-(I18-W18)</f>
        <v>165.663642551046</v>
      </c>
      <c r="M18" s="7" t="n">
        <v>109.96</v>
      </c>
      <c r="N18" s="7" t="n">
        <f aca="false">123/$D$2</f>
        <v>62.0115956642299</v>
      </c>
      <c r="O18" s="7" t="n">
        <f aca="false">M18-N18</f>
        <v>47.9484043357701</v>
      </c>
      <c r="P18" s="7" t="n">
        <v>0</v>
      </c>
      <c r="Q18" s="7" t="n">
        <v>15.1</v>
      </c>
      <c r="R18" s="7" t="n">
        <f aca="false">SUM(O18:Q18)</f>
        <v>63.0484043357701</v>
      </c>
      <c r="S18" s="7"/>
      <c r="T18" s="7" t="n">
        <f aca="false">41/$D$2</f>
        <v>20.6705318880766</v>
      </c>
      <c r="U18" s="7" t="n">
        <v>44.45</v>
      </c>
      <c r="V18" s="8" t="n">
        <f aca="false">V17-U18</f>
        <v>18129.1900226872</v>
      </c>
      <c r="W18" s="7" t="n">
        <f aca="false">N18+R18+T18+U18</f>
        <v>190.180531888077</v>
      </c>
      <c r="X18" s="7" t="n">
        <f aca="false">IF(L18&lt;0,L18*-1,0)</f>
        <v>0</v>
      </c>
      <c r="Y18" s="7" t="n">
        <f aca="false">W18+X18</f>
        <v>190.180531888077</v>
      </c>
      <c r="Z18" s="11" t="n">
        <v>0</v>
      </c>
      <c r="AA18" s="40" t="n">
        <v>76</v>
      </c>
      <c r="AB18" s="12" t="n">
        <v>40</v>
      </c>
      <c r="AC18" s="13" t="n">
        <f aca="false">AC17+1</f>
        <v>9</v>
      </c>
      <c r="AD18" s="12" t="n">
        <v>14264</v>
      </c>
      <c r="AE18" s="12" t="n">
        <v>826</v>
      </c>
      <c r="AG18" s="7" t="n">
        <v>24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6909.82</v>
      </c>
      <c r="C19" s="8" t="n">
        <v>321270</v>
      </c>
      <c r="D19" s="12" t="n">
        <f aca="false">C19-C18</f>
        <v>597</v>
      </c>
      <c r="E19" s="8" t="n">
        <f aca="false">C19-152000</f>
        <v>169270</v>
      </c>
      <c r="F19" s="7" t="n">
        <f aca="false">D19/$D$2</f>
        <v>300.983110662969</v>
      </c>
      <c r="G19" s="7" t="n">
        <v>380.63</v>
      </c>
      <c r="H19" s="9" t="n">
        <v>17.94</v>
      </c>
      <c r="I19" s="7" t="n">
        <f aca="false">G19+H19</f>
        <v>398.57</v>
      </c>
      <c r="J19" s="95" t="n">
        <f aca="false">IF(L19&gt;0,L19,0)</f>
        <v>104.694350894883</v>
      </c>
      <c r="K19" s="7" t="n">
        <f aca="false">I19+J19</f>
        <v>503.264350894883</v>
      </c>
      <c r="L19" s="7" t="n">
        <f aca="false">F19-(I19-W19)</f>
        <v>104.694350894883</v>
      </c>
      <c r="M19" s="7" t="n">
        <v>114.46</v>
      </c>
      <c r="N19" s="7" t="n">
        <f aca="false">120/$D$2</f>
        <v>60.4991177211999</v>
      </c>
      <c r="O19" s="7" t="n">
        <f aca="false">M19-N19</f>
        <v>53.9608822788001</v>
      </c>
      <c r="P19" s="7" t="n">
        <v>0</v>
      </c>
      <c r="Q19" s="7" t="n">
        <f aca="false">68.1-54</f>
        <v>14.1</v>
      </c>
      <c r="R19" s="7" t="n">
        <f aca="false">SUM(O19:Q19)</f>
        <v>68.0608822788001</v>
      </c>
      <c r="S19" s="7"/>
      <c r="T19" s="7" t="n">
        <f aca="false">58/$D$2</f>
        <v>29.2412402319133</v>
      </c>
      <c r="U19" s="7" t="n">
        <v>44.48</v>
      </c>
      <c r="V19" s="8" t="n">
        <f aca="false">V18-U19</f>
        <v>18084.7100226872</v>
      </c>
      <c r="W19" s="7" t="n">
        <f aca="false">N19+R19+T19+U19</f>
        <v>202.281240231913</v>
      </c>
      <c r="X19" s="7" t="n">
        <f aca="false">IF(L19&lt;0,L19*-1,0)</f>
        <v>0</v>
      </c>
      <c r="Y19" s="7" t="n">
        <f aca="false">W19+X19</f>
        <v>202.281240231913</v>
      </c>
      <c r="Z19" s="11" t="n">
        <v>0.02</v>
      </c>
      <c r="AA19" s="12" t="n">
        <v>68</v>
      </c>
      <c r="AB19" s="12" t="n">
        <v>41</v>
      </c>
      <c r="AC19" s="13" t="n">
        <f aca="false">AC18+1</f>
        <v>10</v>
      </c>
      <c r="AD19" s="12" t="n">
        <v>14413</v>
      </c>
      <c r="AE19" s="12" t="n">
        <v>964</v>
      </c>
      <c r="AG19" s="7" t="n">
        <v>23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6909.98</v>
      </c>
      <c r="C20" s="8" t="n">
        <v>321907</v>
      </c>
      <c r="D20" s="12" t="n">
        <f aca="false">C20-C19</f>
        <v>637</v>
      </c>
      <c r="E20" s="8" t="n">
        <f aca="false">C20-152000</f>
        <v>169907</v>
      </c>
      <c r="F20" s="7" t="n">
        <f aca="false">D20/$D$2</f>
        <v>321.149483236703</v>
      </c>
      <c r="G20" s="7" t="n">
        <v>389.75</v>
      </c>
      <c r="H20" s="9" t="n">
        <v>11.21</v>
      </c>
      <c r="I20" s="7" t="n">
        <f aca="false">G20+H20</f>
        <v>400.96</v>
      </c>
      <c r="J20" s="95" t="n">
        <f aca="false">IF(L20&gt;0,L20,0)</f>
        <v>133.666387698513</v>
      </c>
      <c r="K20" s="7" t="n">
        <f aca="false">I20+J20</f>
        <v>534.626387698513</v>
      </c>
      <c r="L20" s="7" t="n">
        <f aca="false">F20-(I20-W20)</f>
        <v>133.666387698513</v>
      </c>
      <c r="M20" s="7" t="n">
        <v>111.79</v>
      </c>
      <c r="N20" s="7" t="n">
        <f aca="false">119/$D$2</f>
        <v>59.9949584068566</v>
      </c>
      <c r="O20" s="7" t="n">
        <f aca="false">M20-N20</f>
        <v>51.7950415931434</v>
      </c>
      <c r="P20" s="7" t="n">
        <v>0</v>
      </c>
      <c r="Q20" s="7" t="n">
        <f aca="false">68.1-51.8</f>
        <v>16.3</v>
      </c>
      <c r="R20" s="7" t="n">
        <f aca="false">SUM(O20:Q20)</f>
        <v>68.0950415931434</v>
      </c>
      <c r="S20" s="7"/>
      <c r="T20" s="7" t="n">
        <f aca="false">81/$D$2</f>
        <v>40.8369044618099</v>
      </c>
      <c r="U20" s="7" t="n">
        <v>44.55</v>
      </c>
      <c r="V20" s="8" t="n">
        <f aca="false">V19-U20</f>
        <v>18040.1600226872</v>
      </c>
      <c r="W20" s="7" t="n">
        <f aca="false">N20+R20+T20+U20</f>
        <v>213.47690446181</v>
      </c>
      <c r="X20" s="7" t="n">
        <f aca="false">IF(L20&lt;0,L20*-1,0)</f>
        <v>0</v>
      </c>
      <c r="Y20" s="7" t="n">
        <f aca="false">W20+X20</f>
        <v>213.47690446181</v>
      </c>
      <c r="Z20" s="11" t="n">
        <v>0</v>
      </c>
      <c r="AA20" s="12" t="n">
        <v>54</v>
      </c>
      <c r="AB20" s="12" t="n">
        <v>35</v>
      </c>
      <c r="AC20" s="13" t="n">
        <f aca="false">AC19+1</f>
        <v>11</v>
      </c>
      <c r="AD20" s="12" t="n">
        <v>14571</v>
      </c>
      <c r="AE20" s="12" t="n">
        <v>1065</v>
      </c>
      <c r="AG20" s="7" t="n">
        <v>23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6910.1</v>
      </c>
      <c r="C21" s="8" t="n">
        <v>322388</v>
      </c>
      <c r="D21" s="12" t="n">
        <f aca="false">C21-C20</f>
        <v>481</v>
      </c>
      <c r="E21" s="8" t="n">
        <f aca="false">C21-152000</f>
        <v>170388</v>
      </c>
      <c r="F21" s="7" t="n">
        <f aca="false">D21/$D$2</f>
        <v>242.500630199143</v>
      </c>
      <c r="G21" s="7" t="n">
        <v>332.13</v>
      </c>
      <c r="H21" s="9" t="n">
        <v>9.96</v>
      </c>
      <c r="I21" s="7" t="n">
        <f aca="false">G21+H21</f>
        <v>342.09</v>
      </c>
      <c r="J21" s="95" t="n">
        <f aca="false">IF(L21&gt;0,L21,0)</f>
        <v>111.291782203176</v>
      </c>
      <c r="K21" s="7" t="n">
        <f aca="false">I21+J21</f>
        <v>453.381782203176</v>
      </c>
      <c r="L21" s="7" t="n">
        <f aca="false">F21-(I21-W21)</f>
        <v>111.291782203176</v>
      </c>
      <c r="M21" s="7" t="n">
        <v>111.91</v>
      </c>
      <c r="N21" s="7" t="n">
        <f aca="false">117/$D$2</f>
        <v>58.9866397781699</v>
      </c>
      <c r="O21" s="7" t="n">
        <f aca="false">M21-N21</f>
        <v>52.9233602218301</v>
      </c>
      <c r="P21" s="7" t="n">
        <v>0</v>
      </c>
      <c r="Q21" s="7" t="n">
        <f aca="false">72.1-52.9</f>
        <v>19.2</v>
      </c>
      <c r="R21" s="7" t="n">
        <f aca="false">SUM(O21:Q21)</f>
        <v>72.1233602218301</v>
      </c>
      <c r="S21" s="7"/>
      <c r="T21" s="7" t="n">
        <f aca="false">70/$D$2</f>
        <v>35.2911520040333</v>
      </c>
      <c r="U21" s="7" t="n">
        <v>44.48</v>
      </c>
      <c r="V21" s="8" t="n">
        <f aca="false">V20-U21</f>
        <v>17995.6800226872</v>
      </c>
      <c r="W21" s="7" t="n">
        <f aca="false">N21+R21+T21+U21</f>
        <v>210.881152004033</v>
      </c>
      <c r="X21" s="7" t="n">
        <f aca="false">IF(L21&lt;0,L21*-1,0)</f>
        <v>0</v>
      </c>
      <c r="Y21" s="7" t="n">
        <f aca="false">W21+X21</f>
        <v>210.881152004033</v>
      </c>
      <c r="Z21" s="11" t="n">
        <v>0.15</v>
      </c>
      <c r="AA21" s="12" t="n">
        <v>54</v>
      </c>
      <c r="AB21" s="12" t="n">
        <v>31</v>
      </c>
      <c r="AC21" s="13" t="n">
        <f aca="false">AC20+1</f>
        <v>12</v>
      </c>
      <c r="AD21" s="12" t="n">
        <v>14696</v>
      </c>
      <c r="AE21" s="12" t="n">
        <v>1185</v>
      </c>
      <c r="AG21" s="7" t="n">
        <v>23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6910.3</v>
      </c>
      <c r="C22" s="8" t="n">
        <v>323190</v>
      </c>
      <c r="D22" s="12" t="n">
        <f aca="false">C22-C21</f>
        <v>802</v>
      </c>
      <c r="E22" s="8" t="n">
        <f aca="false">C22-152000</f>
        <v>171190</v>
      </c>
      <c r="F22" s="7" t="n">
        <f aca="false">D22/$D$2</f>
        <v>404.335770103353</v>
      </c>
      <c r="G22" s="7" t="n">
        <v>338.37</v>
      </c>
      <c r="H22" s="9" t="n">
        <v>9.7</v>
      </c>
      <c r="I22" s="7" t="n">
        <f aca="false">G22+H22</f>
        <v>348.07</v>
      </c>
      <c r="J22" s="95" t="n">
        <f aca="false">IF(L22&gt;0,L22,0)</f>
        <v>244.011434333249</v>
      </c>
      <c r="K22" s="7" t="n">
        <f aca="false">I22+J22</f>
        <v>592.081434333249</v>
      </c>
      <c r="L22" s="7" t="n">
        <f aca="false">F22-(I22-W22)</f>
        <v>244.011434333249</v>
      </c>
      <c r="M22" s="7" t="n">
        <v>110.13</v>
      </c>
      <c r="N22" s="7" t="n">
        <f aca="false">103/$D$2</f>
        <v>51.9284093773632</v>
      </c>
      <c r="O22" s="7" t="n">
        <f aca="false">M22-N22</f>
        <v>58.2015906226368</v>
      </c>
      <c r="P22" s="7" t="n">
        <v>0</v>
      </c>
      <c r="Q22" s="7" t="n">
        <f aca="false">79.7-58.2</f>
        <v>21.5</v>
      </c>
      <c r="R22" s="7" t="n">
        <f aca="false">SUM(O22:Q22)</f>
        <v>79.7015906226368</v>
      </c>
      <c r="S22" s="7"/>
      <c r="T22" s="7" t="n">
        <f aca="false">23/$D$2</f>
        <v>11.5956642298966</v>
      </c>
      <c r="U22" s="7" t="n">
        <v>44.52</v>
      </c>
      <c r="V22" s="8" t="n">
        <f aca="false">V21-U22</f>
        <v>17951.1600226872</v>
      </c>
      <c r="W22" s="7" t="n">
        <f aca="false">N22+R22+T22+U22</f>
        <v>187.745664229897</v>
      </c>
      <c r="X22" s="7" t="n">
        <f aca="false">IF(L22&lt;0,L22*-1,0)</f>
        <v>0</v>
      </c>
      <c r="Y22" s="7" t="n">
        <f aca="false">W22+X22</f>
        <v>187.745664229897</v>
      </c>
      <c r="Z22" s="11" t="n">
        <v>0</v>
      </c>
      <c r="AA22" s="12" t="n">
        <v>41</v>
      </c>
      <c r="AB22" s="12" t="n">
        <v>27</v>
      </c>
      <c r="AC22" s="13" t="n">
        <f aca="false">AC21+1</f>
        <v>13</v>
      </c>
      <c r="AD22" s="12" t="n">
        <v>14771</v>
      </c>
      <c r="AE22" s="12" t="n">
        <v>1299</v>
      </c>
      <c r="AG22" s="7" t="n">
        <v>28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6910.38</v>
      </c>
      <c r="C23" s="8" t="n">
        <v>323511</v>
      </c>
      <c r="D23" s="12" t="n">
        <f aca="false">C23-C22</f>
        <v>321</v>
      </c>
      <c r="E23" s="8" t="n">
        <f aca="false">C23-152000</f>
        <v>171511</v>
      </c>
      <c r="F23" s="7" t="n">
        <f aca="false">D23/$D$2</f>
        <v>161.83513990421</v>
      </c>
      <c r="G23" s="7" t="n">
        <v>279.88</v>
      </c>
      <c r="H23" s="9" t="n">
        <v>5.6</v>
      </c>
      <c r="I23" s="7" t="n">
        <f aca="false">G23+H23</f>
        <v>285.48</v>
      </c>
      <c r="J23" s="95" t="n">
        <f aca="false">IF(L23&gt;0,L23,0)</f>
        <v>54.8773531635997</v>
      </c>
      <c r="K23" s="7" t="n">
        <f aca="false">I23+J23</f>
        <v>340.3573531636</v>
      </c>
      <c r="L23" s="7" t="n">
        <f aca="false">F23-(I23-W23)</f>
        <v>54.8773531635997</v>
      </c>
      <c r="M23" s="7" t="n">
        <v>93.05</v>
      </c>
      <c r="N23" s="7" t="n">
        <f aca="false">100/$D$2</f>
        <v>50.4159314343332</v>
      </c>
      <c r="O23" s="7" t="n">
        <f aca="false">M23-N23</f>
        <v>42.6340685656668</v>
      </c>
      <c r="P23" s="7" t="n">
        <v>0</v>
      </c>
      <c r="Q23" s="7" t="n">
        <f aca="false">64-42.6</f>
        <v>21.4</v>
      </c>
      <c r="R23" s="7" t="n">
        <f aca="false">SUM(O23:Q23)</f>
        <v>64.0340685656668</v>
      </c>
      <c r="S23" s="7"/>
      <c r="T23" s="7" t="n">
        <f aca="false">39/$D$2</f>
        <v>19.66221325939</v>
      </c>
      <c r="U23" s="7" t="n">
        <v>44.41</v>
      </c>
      <c r="V23" s="8" t="n">
        <f aca="false">V22-U23</f>
        <v>17906.7500226872</v>
      </c>
      <c r="W23" s="7" t="n">
        <f aca="false">N23+R23+T23+U23</f>
        <v>178.52221325939</v>
      </c>
      <c r="X23" s="7" t="n">
        <f aca="false">IF(L23&lt;0,L23*-1,0)</f>
        <v>0</v>
      </c>
      <c r="Y23" s="7" t="n">
        <f aca="false">W23+X23</f>
        <v>178.52221325939</v>
      </c>
      <c r="Z23" s="11" t="n">
        <v>0</v>
      </c>
      <c r="AA23" s="40" t="n">
        <v>48</v>
      </c>
      <c r="AB23" s="12" t="n">
        <v>26</v>
      </c>
      <c r="AC23" s="13" t="n">
        <f aca="false">AC22+1</f>
        <v>14</v>
      </c>
      <c r="AD23" s="12" t="n">
        <v>14842</v>
      </c>
      <c r="AE23" s="12" t="n">
        <v>1407</v>
      </c>
      <c r="AG23" s="7" t="n">
        <v>29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6910.47</v>
      </c>
      <c r="C24" s="8" t="n">
        <v>323873</v>
      </c>
      <c r="D24" s="12" t="n">
        <f aca="false">C24-C23</f>
        <v>362</v>
      </c>
      <c r="E24" s="8" t="n">
        <f aca="false">C24-152000</f>
        <v>171873</v>
      </c>
      <c r="F24" s="7" t="n">
        <f aca="false">D24/$D$2</f>
        <v>182.505671792286</v>
      </c>
      <c r="G24" s="7" t="n">
        <v>257.64</v>
      </c>
      <c r="H24" s="9" t="n">
        <v>5.07</v>
      </c>
      <c r="I24" s="7" t="n">
        <f aca="false">G24+H24</f>
        <v>262.71</v>
      </c>
      <c r="J24" s="95" t="n">
        <f aca="false">IF(L24&gt;0,L24,0)</f>
        <v>64.768946307033</v>
      </c>
      <c r="K24" s="7" t="n">
        <f aca="false">I24+J24</f>
        <v>327.478946307033</v>
      </c>
      <c r="L24" s="7" t="n">
        <f aca="false">F24-(I24-W24)</f>
        <v>64.768946307033</v>
      </c>
      <c r="M24" s="7" t="n">
        <v>72.14</v>
      </c>
      <c r="N24" s="7" t="n">
        <f aca="false">56/$D$2</f>
        <v>28.2329216032266</v>
      </c>
      <c r="O24" s="7" t="n">
        <f aca="false">M24-N24</f>
        <v>43.9070783967734</v>
      </c>
      <c r="P24" s="7" t="n">
        <v>0</v>
      </c>
      <c r="Q24" s="7" t="n">
        <f aca="false">68.1-43.9</f>
        <v>24.2</v>
      </c>
      <c r="R24" s="7" t="n">
        <f aca="false">SUM(O24:Q24)</f>
        <v>68.1070783967734</v>
      </c>
      <c r="S24" s="7"/>
      <c r="T24" s="7" t="n">
        <f aca="false">8/$D$2</f>
        <v>4.03327451474666</v>
      </c>
      <c r="U24" s="7" t="n">
        <v>44.6</v>
      </c>
      <c r="V24" s="8" t="n">
        <f aca="false">V23-U24</f>
        <v>17862.1500226872</v>
      </c>
      <c r="W24" s="7" t="n">
        <f aca="false">N24+R24+T24+U24</f>
        <v>144.973274514747</v>
      </c>
      <c r="X24" s="7" t="n">
        <f aca="false">IF(L24&lt;0,L24*-1,0)</f>
        <v>0</v>
      </c>
      <c r="Y24" s="7" t="n">
        <f aca="false">W24+X24</f>
        <v>144.973274514747</v>
      </c>
      <c r="Z24" s="11" t="n">
        <v>0</v>
      </c>
      <c r="AA24" s="40" t="n">
        <v>62</v>
      </c>
      <c r="AB24" s="12" t="n">
        <v>25</v>
      </c>
      <c r="AC24" s="13" t="n">
        <f aca="false">AC23+1</f>
        <v>15</v>
      </c>
      <c r="AD24" s="12" t="n">
        <v>14927</v>
      </c>
      <c r="AE24" s="12" t="n">
        <v>1516</v>
      </c>
      <c r="AG24" s="7" t="n">
        <v>28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6910.58</v>
      </c>
      <c r="C25" s="8" t="n">
        <v>324314</v>
      </c>
      <c r="D25" s="12" t="n">
        <f aca="false">C25-C24</f>
        <v>441</v>
      </c>
      <c r="E25" s="8" t="n">
        <f aca="false">C25-152000</f>
        <v>172314</v>
      </c>
      <c r="F25" s="7" t="n">
        <f aca="false">D25/$D$2</f>
        <v>222.33425762541</v>
      </c>
      <c r="G25" s="7" t="n">
        <v>289.53</v>
      </c>
      <c r="H25" s="9" t="n">
        <v>4.95</v>
      </c>
      <c r="I25" s="7" t="n">
        <f aca="false">G25+H25</f>
        <v>294.48</v>
      </c>
      <c r="J25" s="95" t="n">
        <f aca="false">IF(L25&gt;0,L25,0)</f>
        <v>103.828240483993</v>
      </c>
      <c r="K25" s="7" t="n">
        <f aca="false">I25+J25</f>
        <v>398.308240483993</v>
      </c>
      <c r="L25" s="7" t="n">
        <f aca="false">F25-(I25-W25)</f>
        <v>103.828240483993</v>
      </c>
      <c r="M25" s="7" t="n">
        <v>91.5</v>
      </c>
      <c r="N25" s="7" t="n">
        <f aca="false">54/$D$2</f>
        <v>27.22460297454</v>
      </c>
      <c r="O25" s="7" t="n">
        <f aca="false">M25-N25</f>
        <v>64.2753970254601</v>
      </c>
      <c r="P25" s="7" t="n">
        <v>0</v>
      </c>
      <c r="Q25" s="7" t="n">
        <f aca="false">91.8-64.3</f>
        <v>27.5</v>
      </c>
      <c r="R25" s="7" t="n">
        <f aca="false">SUM(O25:Q25)</f>
        <v>91.7753970254601</v>
      </c>
      <c r="S25" s="7"/>
      <c r="T25" s="7" t="n">
        <f aca="false">25/$D$2</f>
        <v>12.6039828585833</v>
      </c>
      <c r="U25" s="7" t="n">
        <v>44.37</v>
      </c>
      <c r="V25" s="8" t="n">
        <f aca="false">V24-U25</f>
        <v>17817.7800226872</v>
      </c>
      <c r="W25" s="7" t="n">
        <f aca="false">N25+R25+T25+U25</f>
        <v>175.973982858583</v>
      </c>
      <c r="X25" s="7" t="n">
        <f aca="false">IF(L25&lt;0,L25*-1,0)</f>
        <v>0</v>
      </c>
      <c r="Y25" s="7" t="n">
        <f aca="false">W25+X25</f>
        <v>175.973982858583</v>
      </c>
      <c r="Z25" s="11" t="n">
        <v>0</v>
      </c>
      <c r="AA25" s="40" t="n">
        <v>68</v>
      </c>
      <c r="AB25" s="12" t="n">
        <v>32</v>
      </c>
      <c r="AC25" s="13" t="n">
        <f aca="false">AC24+1</f>
        <v>16</v>
      </c>
      <c r="AD25" s="12" t="n">
        <v>15009</v>
      </c>
      <c r="AE25" s="12" t="n">
        <v>1615</v>
      </c>
      <c r="AG25" s="7" t="n">
        <v>28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6910.67</v>
      </c>
      <c r="C26" s="8" t="n">
        <v>324675</v>
      </c>
      <c r="D26" s="12" t="n">
        <f aca="false">C26-C25</f>
        <v>361</v>
      </c>
      <c r="E26" s="8" t="n">
        <f aca="false">C26-152000</f>
        <v>172675</v>
      </c>
      <c r="F26" s="7" t="n">
        <f aca="false">D26/$D$2</f>
        <v>182.001512477943</v>
      </c>
      <c r="G26" s="7" t="n">
        <v>294.5</v>
      </c>
      <c r="H26" s="9" t="n">
        <v>5.62</v>
      </c>
      <c r="I26" s="7" t="n">
        <f aca="false">G26+H26</f>
        <v>300.12</v>
      </c>
      <c r="J26" s="95" t="n">
        <f aca="false">IF(L26&gt;0,L26,0)</f>
        <v>110.885230652886</v>
      </c>
      <c r="K26" s="7" t="n">
        <f aca="false">I26+J26</f>
        <v>411.005230652886</v>
      </c>
      <c r="L26" s="7" t="n">
        <f aca="false">F26-(I26-W26)</f>
        <v>110.885230652886</v>
      </c>
      <c r="M26" s="7" t="n">
        <v>121.99</v>
      </c>
      <c r="N26" s="7" t="n">
        <f aca="false">69/$D$2</f>
        <v>34.7869926896899</v>
      </c>
      <c r="O26" s="7" t="n">
        <f aca="false">M26-N26</f>
        <v>87.2030073103101</v>
      </c>
      <c r="P26" s="7" t="n">
        <v>0</v>
      </c>
      <c r="Q26" s="7" t="n">
        <f aca="false">119-87.2</f>
        <v>31.8</v>
      </c>
      <c r="R26" s="7" t="n">
        <f aca="false">SUM(O26:Q26)</f>
        <v>119.00300731031</v>
      </c>
      <c r="S26" s="7"/>
      <c r="T26" s="7" t="n">
        <f aca="false">61/$D$2</f>
        <v>30.7537181749433</v>
      </c>
      <c r="U26" s="7" t="n">
        <v>44.46</v>
      </c>
      <c r="V26" s="8" t="n">
        <f aca="false">V25-U26</f>
        <v>17773.3200226872</v>
      </c>
      <c r="W26" s="7" t="n">
        <f aca="false">N26+R26+T26+U26</f>
        <v>229.003718174943</v>
      </c>
      <c r="X26" s="7" t="n">
        <f aca="false">IF(L26&lt;0,L26*-1,0)</f>
        <v>0</v>
      </c>
      <c r="Y26" s="7" t="n">
        <f aca="false">W26+X26</f>
        <v>229.003718174943</v>
      </c>
      <c r="Z26" s="11" t="n">
        <v>0</v>
      </c>
      <c r="AA26" s="40" t="n">
        <v>59</v>
      </c>
      <c r="AB26" s="12" t="n">
        <v>38</v>
      </c>
      <c r="AC26" s="13" t="n">
        <f aca="false">AC25+1</f>
        <v>17</v>
      </c>
      <c r="AD26" s="12" t="n">
        <v>15112</v>
      </c>
      <c r="AE26" s="12" t="n">
        <v>1714</v>
      </c>
      <c r="AG26" s="7" t="n">
        <v>12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6910.8</v>
      </c>
      <c r="C27" s="8" t="n">
        <v>325197</v>
      </c>
      <c r="D27" s="12" t="n">
        <f aca="false">C27-C26</f>
        <v>522</v>
      </c>
      <c r="E27" s="8" t="n">
        <f aca="false">C27-152000</f>
        <v>173197</v>
      </c>
      <c r="F27" s="7" t="n">
        <f aca="false">D27/$D$2</f>
        <v>263.17116208722</v>
      </c>
      <c r="G27" s="7" t="n">
        <v>268.07</v>
      </c>
      <c r="H27" s="9" t="n">
        <v>4.85</v>
      </c>
      <c r="I27" s="7" t="n">
        <f aca="false">G27+H27</f>
        <v>272.92</v>
      </c>
      <c r="J27" s="95" t="n">
        <f aca="false">IF(L27&gt;0,L27,0)</f>
        <v>221.347446433073</v>
      </c>
      <c r="K27" s="7" t="n">
        <f aca="false">I27+J27</f>
        <v>494.267446433073</v>
      </c>
      <c r="L27" s="7" t="n">
        <f aca="false">F27-(I27-W27)</f>
        <v>221.347446433073</v>
      </c>
      <c r="M27" s="7" t="n">
        <v>126.12</v>
      </c>
      <c r="N27" s="7" t="n">
        <f aca="false">71/$D$2</f>
        <v>35.7953113183766</v>
      </c>
      <c r="O27" s="7" t="n">
        <f aca="false">M27-N27</f>
        <v>90.3246886816234</v>
      </c>
      <c r="P27" s="7" t="n">
        <v>0</v>
      </c>
      <c r="Q27" s="7" t="n">
        <f aca="false">124.5-90.3</f>
        <v>34.2</v>
      </c>
      <c r="R27" s="7" t="n">
        <f aca="false">SUM(O27:Q27)</f>
        <v>124.524688681623</v>
      </c>
      <c r="S27" s="7"/>
      <c r="T27" s="7" t="n">
        <f aca="false">52/$D$2</f>
        <v>26.2162843458533</v>
      </c>
      <c r="U27" s="7" t="n">
        <v>44.56</v>
      </c>
      <c r="V27" s="8" t="n">
        <f aca="false">V26-U27</f>
        <v>17728.7600226872</v>
      </c>
      <c r="W27" s="7" t="n">
        <f aca="false">N27+R27+T27+U27</f>
        <v>231.096284345853</v>
      </c>
      <c r="X27" s="7" t="n">
        <f aca="false">IF(L27&lt;0,L27*-1,0)</f>
        <v>0</v>
      </c>
      <c r="Y27" s="7" t="n">
        <f aca="false">W27+X27</f>
        <v>231.096284345853</v>
      </c>
      <c r="Z27" s="11" t="n">
        <v>0.02</v>
      </c>
      <c r="AA27" s="40" t="n">
        <v>54</v>
      </c>
      <c r="AB27" s="12" t="n">
        <v>33</v>
      </c>
      <c r="AC27" s="13" t="n">
        <f aca="false">AC26+1</f>
        <v>18</v>
      </c>
      <c r="AD27" s="12" t="n">
        <v>15213</v>
      </c>
      <c r="AE27" s="12" t="n">
        <v>1812</v>
      </c>
      <c r="AG27" s="7" t="n">
        <v>11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6910.8</v>
      </c>
      <c r="C28" s="8" t="n">
        <v>325197</v>
      </c>
      <c r="D28" s="12" t="n">
        <f aca="false">C28-C27</f>
        <v>0</v>
      </c>
      <c r="E28" s="8" t="n">
        <f aca="false">C28-152000</f>
        <v>173197</v>
      </c>
      <c r="F28" s="7" t="n">
        <f aca="false">D28/$D$2</f>
        <v>0</v>
      </c>
      <c r="G28" s="7" t="n">
        <v>252.64</v>
      </c>
      <c r="H28" s="9" t="n">
        <v>4.18</v>
      </c>
      <c r="I28" s="7" t="n">
        <f aca="false">G28+H28</f>
        <v>256.82</v>
      </c>
      <c r="J28" s="95" t="n">
        <f aca="false">IF(L28&gt;0,L28,0)</f>
        <v>0</v>
      </c>
      <c r="K28" s="7" t="n">
        <f aca="false">I28+J28</f>
        <v>256.82</v>
      </c>
      <c r="L28" s="7" t="n">
        <f aca="false">F28-(I28-W28)</f>
        <v>-4.85999999999999</v>
      </c>
      <c r="M28" s="7" t="n">
        <v>140.48</v>
      </c>
      <c r="N28" s="7" t="n">
        <f aca="false">68/$D$2</f>
        <v>34.2828333753466</v>
      </c>
      <c r="O28" s="7" t="n">
        <f aca="false">M28-N28</f>
        <v>106.197166624653</v>
      </c>
      <c r="P28" s="7" t="n">
        <v>0</v>
      </c>
      <c r="Q28" s="7" t="n">
        <v>37</v>
      </c>
      <c r="R28" s="7" t="n">
        <f aca="false">SUM(O28:Q28)</f>
        <v>143.197166624653</v>
      </c>
      <c r="S28" s="7"/>
      <c r="T28" s="7" t="n">
        <v>29.96</v>
      </c>
      <c r="U28" s="7" t="n">
        <v>44.52</v>
      </c>
      <c r="V28" s="8" t="n">
        <f aca="false">V27-U28</f>
        <v>17684.2400226872</v>
      </c>
      <c r="W28" s="7" t="n">
        <f aca="false">N28+R28+T28+U28</f>
        <v>251.96</v>
      </c>
      <c r="X28" s="7" t="n">
        <f aca="false">IF(L28&lt;0,L28*-1,0)</f>
        <v>4.85999999999999</v>
      </c>
      <c r="Y28" s="7" t="n">
        <f aca="false">W28+X28</f>
        <v>256.82</v>
      </c>
      <c r="Z28" s="11" t="n">
        <v>0</v>
      </c>
      <c r="AA28" s="40" t="n">
        <v>48</v>
      </c>
      <c r="AB28" s="12" t="n">
        <v>23</v>
      </c>
      <c r="AC28" s="13" t="n">
        <f aca="false">AC27+1</f>
        <v>19</v>
      </c>
      <c r="AD28" s="12" t="n">
        <v>15295</v>
      </c>
      <c r="AE28" s="12" t="n">
        <v>1909</v>
      </c>
      <c r="AG28" s="7" t="n">
        <v>26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6910.8</v>
      </c>
      <c r="C29" s="8" t="n">
        <v>325197</v>
      </c>
      <c r="D29" s="12" t="n">
        <f aca="false">C29-C28</f>
        <v>0</v>
      </c>
      <c r="E29" s="8" t="n">
        <f aca="false">C29-152000</f>
        <v>173197</v>
      </c>
      <c r="F29" s="7" t="n">
        <f aca="false">D29/$D$2</f>
        <v>0</v>
      </c>
      <c r="G29" s="7" t="n">
        <v>246.74</v>
      </c>
      <c r="H29" s="9" t="n">
        <v>3.87</v>
      </c>
      <c r="I29" s="7" t="n">
        <f aca="false">G29+H29</f>
        <v>250.61</v>
      </c>
      <c r="J29" s="95" t="n">
        <f aca="false">IF(L29&gt;0,L29,0)</f>
        <v>0</v>
      </c>
      <c r="K29" s="7" t="n">
        <f aca="false">I29+J29</f>
        <v>250.61</v>
      </c>
      <c r="L29" s="7" t="n">
        <f aca="false">F29-(I29-W29)</f>
        <v>-10.71</v>
      </c>
      <c r="M29" s="7" t="n">
        <v>143.24</v>
      </c>
      <c r="N29" s="7" t="n">
        <f aca="false">76/$D$2</f>
        <v>38.3161078900933</v>
      </c>
      <c r="O29" s="7" t="n">
        <f aca="false">M29-N29</f>
        <v>104.923892109907</v>
      </c>
      <c r="P29" s="7" t="n">
        <v>0</v>
      </c>
      <c r="Q29" s="7" t="n">
        <v>35.58</v>
      </c>
      <c r="R29" s="7" t="n">
        <f aca="false">SUM(O29:Q29)</f>
        <v>140.503892109907</v>
      </c>
      <c r="S29" s="7"/>
      <c r="T29" s="7" t="n">
        <v>16.56</v>
      </c>
      <c r="U29" s="7" t="n">
        <v>44.52</v>
      </c>
      <c r="V29" s="8" t="n">
        <f aca="false">V28-U29</f>
        <v>17639.7200226872</v>
      </c>
      <c r="W29" s="7" t="n">
        <f aca="false">N29+R29+T29+U29</f>
        <v>239.9</v>
      </c>
      <c r="X29" s="7" t="n">
        <f aca="false">IF(L29&lt;0,L29*-1,0)</f>
        <v>10.71</v>
      </c>
      <c r="Y29" s="7" t="n">
        <f aca="false">W29+X29</f>
        <v>250.61</v>
      </c>
      <c r="Z29" s="11" t="n">
        <v>0</v>
      </c>
      <c r="AA29" s="40" t="n">
        <v>50</v>
      </c>
      <c r="AB29" s="12" t="n">
        <v>30</v>
      </c>
      <c r="AC29" s="13" t="n">
        <f aca="false">AC28+1</f>
        <v>20</v>
      </c>
      <c r="AD29" s="12" t="n">
        <v>15367</v>
      </c>
      <c r="AE29" s="12" t="n">
        <v>2006</v>
      </c>
      <c r="AG29" s="7" t="n">
        <v>28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6910.85</v>
      </c>
      <c r="C30" s="8" t="n">
        <v>325397</v>
      </c>
      <c r="D30" s="12" t="n">
        <f aca="false">C30-C29</f>
        <v>200</v>
      </c>
      <c r="E30" s="8" t="n">
        <f aca="false">C30-152000</f>
        <v>173397</v>
      </c>
      <c r="F30" s="7" t="n">
        <f aca="false">D30/$D$2</f>
        <v>100.831862868667</v>
      </c>
      <c r="G30" s="7" t="n">
        <v>226.2</v>
      </c>
      <c r="H30" s="9" t="n">
        <v>3.55</v>
      </c>
      <c r="I30" s="7" t="n">
        <f aca="false">G30+H30</f>
        <v>229.75</v>
      </c>
      <c r="J30" s="95" t="n">
        <f aca="false">IF(L30&gt;0,L30,0)</f>
        <v>135.261862868667</v>
      </c>
      <c r="K30" s="7" t="n">
        <f aca="false">I30+J30</f>
        <v>365.011862868667</v>
      </c>
      <c r="L30" s="7" t="n">
        <f aca="false">F30-(I30-W30)</f>
        <v>135.261862868667</v>
      </c>
      <c r="M30" s="7" t="n">
        <v>145.59</v>
      </c>
      <c r="N30" s="7" t="n">
        <f aca="false">72/$D$2</f>
        <v>36.2994706327199</v>
      </c>
      <c r="O30" s="7" t="n">
        <f aca="false">M30-N30</f>
        <v>109.29052936728</v>
      </c>
      <c r="P30" s="7" t="n">
        <v>0</v>
      </c>
      <c r="Q30" s="7" t="n">
        <v>40.76</v>
      </c>
      <c r="R30" s="7" t="n">
        <f aca="false">SUM(O30:Q30)</f>
        <v>150.05052936728</v>
      </c>
      <c r="S30" s="7"/>
      <c r="T30" s="7" t="n">
        <v>33.27</v>
      </c>
      <c r="U30" s="7" t="n">
        <v>44.56</v>
      </c>
      <c r="V30" s="8" t="n">
        <f aca="false">V29-U30</f>
        <v>17595.1600226872</v>
      </c>
      <c r="W30" s="7" t="n">
        <f aca="false">N30+R30+T30+U30</f>
        <v>264.18</v>
      </c>
      <c r="X30" s="7" t="n">
        <f aca="false">IF(L30&lt;0,L30*-1,0)</f>
        <v>0</v>
      </c>
      <c r="Y30" s="7" t="n">
        <f aca="false">W30+X30</f>
        <v>264.18</v>
      </c>
      <c r="Z30" s="11" t="n">
        <v>0</v>
      </c>
      <c r="AA30" s="12" t="n">
        <v>52</v>
      </c>
      <c r="AB30" s="12" t="n">
        <v>27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  <c r="AG30" s="7" t="n">
        <v>29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6910.83</v>
      </c>
      <c r="C31" s="8" t="n">
        <v>325317</v>
      </c>
      <c r="D31" s="12" t="n">
        <f aca="false">C31-C30</f>
        <v>-80</v>
      </c>
      <c r="E31" s="8" t="n">
        <f aca="false">C31-152000</f>
        <v>173317</v>
      </c>
      <c r="F31" s="7" t="n">
        <f aca="false">D31/$D$2</f>
        <v>-40.3327451474666</v>
      </c>
      <c r="G31" s="7" t="n">
        <v>225.84</v>
      </c>
      <c r="H31" s="9" t="n">
        <v>3.15</v>
      </c>
      <c r="I31" s="7" t="n">
        <f aca="false">G31+H31</f>
        <v>228.99</v>
      </c>
      <c r="J31" s="95" t="n">
        <f aca="false">IF(L31&gt;0,L31,0)</f>
        <v>41.6372548525334</v>
      </c>
      <c r="K31" s="7" t="n">
        <f aca="false">I31+J31</f>
        <v>270.627254852533</v>
      </c>
      <c r="L31" s="7" t="n">
        <f aca="false">F31-(I31-W31)</f>
        <v>41.6372548525334</v>
      </c>
      <c r="M31" s="7" t="n">
        <v>158.15</v>
      </c>
      <c r="N31" s="7" t="n">
        <f aca="false">71/$D$2</f>
        <v>35.7953113183766</v>
      </c>
      <c r="O31" s="7" t="n">
        <f aca="false">M31-N31</f>
        <v>122.354688681623</v>
      </c>
      <c r="P31" s="7" t="n">
        <v>32.1</v>
      </c>
      <c r="Q31" s="7" t="n">
        <v>42.64</v>
      </c>
      <c r="R31" s="7" t="n">
        <f aca="false">SUM(O31:Q31)</f>
        <v>197.094688681623</v>
      </c>
      <c r="S31" s="7"/>
      <c r="T31" s="7" t="n">
        <v>33.62</v>
      </c>
      <c r="U31" s="7" t="n">
        <v>44.45</v>
      </c>
      <c r="V31" s="8" t="n">
        <f aca="false">V30-U31</f>
        <v>17550.7100226872</v>
      </c>
      <c r="W31" s="7" t="n">
        <f aca="false">N31+R31+T31+U31</f>
        <v>310.96</v>
      </c>
      <c r="X31" s="7" t="n">
        <f aca="false">IF(L31&lt;0,L31*-1,0)</f>
        <v>0</v>
      </c>
      <c r="Y31" s="7" t="n">
        <f aca="false">W31+X31</f>
        <v>310.96</v>
      </c>
      <c r="Z31" s="11" t="n">
        <v>0</v>
      </c>
      <c r="AA31" s="12" t="n">
        <v>57</v>
      </c>
      <c r="AB31" s="12" t="n">
        <v>25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  <c r="AG31" s="7" t="n">
        <v>28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6910.8</v>
      </c>
      <c r="C32" s="8" t="n">
        <v>325197</v>
      </c>
      <c r="D32" s="12" t="n">
        <f aca="false">C32-C31</f>
        <v>-120</v>
      </c>
      <c r="E32" s="8" t="n">
        <f aca="false">C32-152000</f>
        <v>173197</v>
      </c>
      <c r="F32" s="7" t="n">
        <f aca="false">D32/$D$2</f>
        <v>-60.4991177211999</v>
      </c>
      <c r="G32" s="7" t="n">
        <v>259.32</v>
      </c>
      <c r="H32" s="9" t="n">
        <v>2.98</v>
      </c>
      <c r="I32" s="7" t="n">
        <f aca="false">G32+H32</f>
        <v>262.3</v>
      </c>
      <c r="J32" s="95" t="n">
        <f aca="false">IF(L32&gt;0,L32,0)</f>
        <v>65.47761028485</v>
      </c>
      <c r="K32" s="7" t="n">
        <f aca="false">I32+J32</f>
        <v>327.77761028485</v>
      </c>
      <c r="L32" s="7" t="n">
        <f aca="false">F32-(I32-W32)</f>
        <v>65.47761028485</v>
      </c>
      <c r="M32" s="7" t="n">
        <v>174.01</v>
      </c>
      <c r="N32" s="7" t="n">
        <f aca="false">74/$D$2</f>
        <v>37.3077892614066</v>
      </c>
      <c r="O32" s="7" t="n">
        <f aca="false">M32-N32</f>
        <v>136.702210738593</v>
      </c>
      <c r="P32" s="7" t="n">
        <v>70.31</v>
      </c>
      <c r="Q32" s="7" t="n">
        <v>46.42</v>
      </c>
      <c r="R32" s="7" t="n">
        <f aca="false">SUM(O32:Q32)</f>
        <v>253.432210738593</v>
      </c>
      <c r="S32" s="7"/>
      <c r="T32" s="7" t="n">
        <f aca="false">105/$D$2</f>
        <v>52.9367280060499</v>
      </c>
      <c r="U32" s="7" t="n">
        <v>44.6</v>
      </c>
      <c r="V32" s="8" t="n">
        <f aca="false">V31-U32</f>
        <v>17506.1100226872</v>
      </c>
      <c r="W32" s="7" t="n">
        <f aca="false">N32+R32+T32+U32</f>
        <v>388.27672800605</v>
      </c>
      <c r="X32" s="7" t="n">
        <f aca="false">IF(L32&lt;0,L32*-1,0)</f>
        <v>0</v>
      </c>
      <c r="Y32" s="7" t="n">
        <f aca="false">W32+X32</f>
        <v>388.27672800605</v>
      </c>
      <c r="Z32" s="11" t="n">
        <v>0</v>
      </c>
      <c r="AA32" s="12" t="n">
        <v>68</v>
      </c>
      <c r="AB32" s="40" t="n">
        <v>33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  <c r="AG32" s="7" t="n">
        <v>31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6910.9</v>
      </c>
      <c r="C33" s="8" t="n">
        <v>325598</v>
      </c>
      <c r="D33" s="12" t="n">
        <f aca="false">C33-C32</f>
        <v>401</v>
      </c>
      <c r="E33" s="8" t="n">
        <f aca="false">C33-152000</f>
        <v>173598</v>
      </c>
      <c r="F33" s="7" t="n">
        <f aca="false">D33/$D$2</f>
        <v>202.167885051676</v>
      </c>
      <c r="G33" s="7" t="n">
        <v>399.64</v>
      </c>
      <c r="H33" s="9" t="n">
        <v>15.36</v>
      </c>
      <c r="I33" s="7" t="n">
        <f aca="false">G33+H33</f>
        <v>415</v>
      </c>
      <c r="J33" s="95" t="n">
        <f aca="false">IF(L33&gt;0,L33,0)</f>
        <v>215.287885051676</v>
      </c>
      <c r="K33" s="7" t="n">
        <f aca="false">I33+J33</f>
        <v>630.287885051676</v>
      </c>
      <c r="L33" s="7" t="n">
        <f aca="false">F33-(I33-W33)</f>
        <v>215.287885051676</v>
      </c>
      <c r="M33" s="7" t="n">
        <v>191.32</v>
      </c>
      <c r="N33" s="7" t="n">
        <f aca="false">(20.47+20.25)*1.05</f>
        <v>42.756</v>
      </c>
      <c r="O33" s="7" t="n">
        <f aca="false">M33-N33</f>
        <v>148.564</v>
      </c>
      <c r="P33" s="7" t="n">
        <v>77.25</v>
      </c>
      <c r="Q33" s="7" t="n">
        <v>50.28</v>
      </c>
      <c r="R33" s="7" t="n">
        <f aca="false">SUM(O33:Q33)</f>
        <v>276.094</v>
      </c>
      <c r="S33" s="7"/>
      <c r="T33" s="7" t="n">
        <v>64.79</v>
      </c>
      <c r="U33" s="7" t="n">
        <v>44.48</v>
      </c>
      <c r="V33" s="8" t="n">
        <f aca="false">V32-U33</f>
        <v>17461.6300226872</v>
      </c>
      <c r="W33" s="7" t="n">
        <f aca="false">N33+R33+T33+U33</f>
        <v>428.12</v>
      </c>
      <c r="X33" s="7" t="n">
        <f aca="false">IF(L33&lt;0,L33*-1,0)</f>
        <v>0</v>
      </c>
      <c r="Y33" s="7" t="n">
        <f aca="false">W33+X33</f>
        <v>428.12</v>
      </c>
      <c r="Z33" s="11" t="n">
        <v>0</v>
      </c>
      <c r="AA33" s="12" t="n">
        <v>67</v>
      </c>
      <c r="AB33" s="40" t="n">
        <v>39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  <c r="AG33" s="7" t="n">
        <v>31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6911.25</v>
      </c>
      <c r="C34" s="8" t="n">
        <v>327010</v>
      </c>
      <c r="D34" s="12" t="n">
        <f aca="false">C34-C33</f>
        <v>1412</v>
      </c>
      <c r="E34" s="8" t="n">
        <f aca="false">C34-152000</f>
        <v>175010</v>
      </c>
      <c r="F34" s="7" t="n">
        <f aca="false">D34/$D$2</f>
        <v>711.872951852785</v>
      </c>
      <c r="G34" s="7" t="n">
        <v>645.32</v>
      </c>
      <c r="H34" s="9" t="n">
        <v>44.26</v>
      </c>
      <c r="I34" s="7" t="n">
        <f aca="false">G34+H34</f>
        <v>689.58</v>
      </c>
      <c r="J34" s="95" t="n">
        <f aca="false">IF(L34&gt;0,L34,0)</f>
        <v>503.492951852785</v>
      </c>
      <c r="K34" s="7" t="n">
        <f aca="false">I34+J34</f>
        <v>1193.07295185279</v>
      </c>
      <c r="L34" s="7" t="n">
        <f aca="false">F34-(I34-W34)</f>
        <v>503.492951852785</v>
      </c>
      <c r="M34" s="7" t="n">
        <v>215.4</v>
      </c>
      <c r="N34" s="7" t="n">
        <f aca="false">(20.97+20.25)*1.05</f>
        <v>43.281</v>
      </c>
      <c r="O34" s="7" t="n">
        <f aca="false">M34-N34</f>
        <v>172.119</v>
      </c>
      <c r="P34" s="7" t="n">
        <v>90.2</v>
      </c>
      <c r="Q34" s="7" t="n">
        <v>49.69</v>
      </c>
      <c r="R34" s="7" t="n">
        <f aca="false">SUM(O34:Q34)</f>
        <v>312.009</v>
      </c>
      <c r="S34" s="7"/>
      <c r="T34" s="7" t="n">
        <v>81.47</v>
      </c>
      <c r="U34" s="7" t="n">
        <v>44.44</v>
      </c>
      <c r="V34" s="8" t="n">
        <f aca="false">V33-U34</f>
        <v>17417.1900226872</v>
      </c>
      <c r="W34" s="7" t="n">
        <f aca="false">N34+R34+T34+U34</f>
        <v>481.2</v>
      </c>
      <c r="X34" s="7" t="n">
        <f aca="false">IF(L34&lt;0,L34*-1,0)</f>
        <v>0</v>
      </c>
      <c r="Y34" s="7" t="n">
        <f aca="false">W34+X34</f>
        <v>481.2</v>
      </c>
      <c r="Z34" s="11" t="n">
        <v>0</v>
      </c>
      <c r="AA34" s="12" t="n">
        <v>64</v>
      </c>
      <c r="AB34" s="40" t="n">
        <v>40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  <c r="AG34" s="7" t="n">
        <v>31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6911.4</v>
      </c>
      <c r="C35" s="8" t="n">
        <v>327617</v>
      </c>
      <c r="D35" s="12" t="n">
        <f aca="false">C35-C34</f>
        <v>607</v>
      </c>
      <c r="E35" s="8" t="n">
        <f aca="false">C35-152000</f>
        <v>175617</v>
      </c>
      <c r="F35" s="7" t="n">
        <f aca="false">D35/$D$2</f>
        <v>306.024703806403</v>
      </c>
      <c r="G35" s="7" t="n">
        <v>887.04</v>
      </c>
      <c r="H35" s="9" t="n">
        <v>72.59</v>
      </c>
      <c r="I35" s="7" t="n">
        <f aca="false">G35+H35</f>
        <v>959.63</v>
      </c>
      <c r="J35" s="95" t="n">
        <f aca="false">IF(L35&gt;0,L35,0)</f>
        <v>0</v>
      </c>
      <c r="K35" s="7" t="n">
        <f aca="false">I35+J35</f>
        <v>959.63</v>
      </c>
      <c r="L35" s="7" t="n">
        <f aca="false">F35-(I35-W35)</f>
        <v>-139.285296193597</v>
      </c>
      <c r="M35" s="7" t="n">
        <v>214.41</v>
      </c>
      <c r="N35" s="7" t="n">
        <f aca="false">(21.2+22.16)*1.05</f>
        <v>45.528</v>
      </c>
      <c r="O35" s="7" t="n">
        <f aca="false">M35-N35</f>
        <v>168.882</v>
      </c>
      <c r="P35" s="7" t="n">
        <v>97.68</v>
      </c>
      <c r="Q35" s="7" t="n">
        <v>56.31</v>
      </c>
      <c r="R35" s="7" t="n">
        <f aca="false">SUM(O35:Q35)</f>
        <v>322.872</v>
      </c>
      <c r="S35" s="7"/>
      <c r="T35" s="7" t="n">
        <v>101.36</v>
      </c>
      <c r="U35" s="7" t="n">
        <v>44.56</v>
      </c>
      <c r="V35" s="8" t="n">
        <f aca="false">V34-U35</f>
        <v>17372.6300226872</v>
      </c>
      <c r="W35" s="7" t="n">
        <f aca="false">N35+R35+T35+U35</f>
        <v>514.32</v>
      </c>
      <c r="X35" s="7" t="n">
        <f aca="false">IF(L35&lt;0,L35*-1,0)</f>
        <v>139.285296193597</v>
      </c>
      <c r="Y35" s="7" t="n">
        <f aca="false">W35+X35</f>
        <v>653.605296193597</v>
      </c>
      <c r="Z35" s="11" t="n">
        <v>0</v>
      </c>
      <c r="AA35" s="12" t="n">
        <v>72</v>
      </c>
      <c r="AB35" s="12" t="n">
        <v>34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  <c r="AG35" s="3" t="n">
        <v>27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6911.88</v>
      </c>
      <c r="C36" s="8" t="n">
        <v>329559</v>
      </c>
      <c r="D36" s="12" t="n">
        <f aca="false">C36-C35</f>
        <v>1942</v>
      </c>
      <c r="E36" s="8" t="n">
        <f aca="false">C36-152000</f>
        <v>177559</v>
      </c>
      <c r="F36" s="7" t="n">
        <f aca="false">D36/$D$2</f>
        <v>979.077388454752</v>
      </c>
      <c r="G36" s="7" t="n">
        <v>1004.5</v>
      </c>
      <c r="H36" s="9" t="n">
        <v>76.95</v>
      </c>
      <c r="I36" s="7" t="n">
        <f aca="false">G36+H36</f>
        <v>1081.45</v>
      </c>
      <c r="J36" s="95" t="n">
        <f aca="false">IF(L36&gt;0,L36,0)</f>
        <v>458.477388454752</v>
      </c>
      <c r="K36" s="7" t="n">
        <f aca="false">I36+J36</f>
        <v>1539.92738845475</v>
      </c>
      <c r="L36" s="7" t="n">
        <f aca="false">F36-(I36-W36)</f>
        <v>458.477388454752</v>
      </c>
      <c r="M36" s="7" t="n">
        <v>234.7</v>
      </c>
      <c r="N36" s="7" t="n">
        <f aca="false">(26.98+27.21)*1.05</f>
        <v>56.8995</v>
      </c>
      <c r="O36" s="7" t="n">
        <f aca="false">M36-N36</f>
        <v>177.8005</v>
      </c>
      <c r="P36" s="7" t="n">
        <v>109.31</v>
      </c>
      <c r="Q36" s="7" t="n">
        <v>63.28</v>
      </c>
      <c r="R36" s="7" t="n">
        <f aca="false">SUM(O36:Q36)</f>
        <v>350.3905</v>
      </c>
      <c r="S36" s="8"/>
      <c r="T36" s="7" t="n">
        <v>109</v>
      </c>
      <c r="U36" s="7" t="n">
        <v>44.56</v>
      </c>
      <c r="V36" s="8" t="n">
        <f aca="false">V35-U36</f>
        <v>17328.0700226872</v>
      </c>
      <c r="W36" s="7" t="n">
        <f aca="false">N36+R36+T36+U36</f>
        <v>560.85</v>
      </c>
      <c r="X36" s="7" t="n">
        <f aca="false">IF(L36&lt;0,L36*-1,0)</f>
        <v>0</v>
      </c>
      <c r="Y36" s="7" t="n">
        <f aca="false">W36+X36</f>
        <v>560.85</v>
      </c>
      <c r="Z36" s="11" t="n">
        <v>0</v>
      </c>
      <c r="AA36" s="12" t="n">
        <v>72</v>
      </c>
      <c r="AB36" s="12" t="n">
        <v>42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  <c r="AG36" s="7" t="n">
        <v>0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6912.26</v>
      </c>
      <c r="C37" s="8" t="n">
        <v>331104</v>
      </c>
      <c r="D37" s="12" t="n">
        <f aca="false">C37-C36</f>
        <v>1545</v>
      </c>
      <c r="E37" s="8" t="n">
        <f aca="false">C37-152000</f>
        <v>179104</v>
      </c>
      <c r="F37" s="7" t="n">
        <f aca="false">D37/$D$2</f>
        <v>778.926140660449</v>
      </c>
      <c r="G37" s="7" t="n">
        <v>1077.02</v>
      </c>
      <c r="H37" s="9" t="n">
        <v>81.82</v>
      </c>
      <c r="I37" s="7" t="n">
        <f aca="false">G37+H37</f>
        <v>1158.84</v>
      </c>
      <c r="J37" s="95" t="n">
        <f aca="false">IF(L37&gt;0,L37,0)</f>
        <v>155.816140660449</v>
      </c>
      <c r="K37" s="7" t="n">
        <f aca="false">I37+J37</f>
        <v>1314.65614066045</v>
      </c>
      <c r="L37" s="7" t="n">
        <f aca="false">F37-(I37-W37)</f>
        <v>155.816140660449</v>
      </c>
      <c r="M37" s="7" t="n">
        <v>245.01</v>
      </c>
      <c r="N37" s="7" t="n">
        <f aca="false">(31.67+32.01)*1.05</f>
        <v>66.864</v>
      </c>
      <c r="O37" s="7" t="n">
        <f aca="false">M37-N37</f>
        <v>178.146</v>
      </c>
      <c r="P37" s="7" t="n">
        <v>118.15</v>
      </c>
      <c r="Q37" s="7" t="n">
        <v>68.12</v>
      </c>
      <c r="R37" s="7" t="n">
        <f aca="false">SUM(O37:Q37)</f>
        <v>364.416</v>
      </c>
      <c r="S37" s="8"/>
      <c r="T37" s="7" t="n">
        <v>59.82</v>
      </c>
      <c r="U37" s="7" t="n">
        <v>44.63</v>
      </c>
      <c r="V37" s="8" t="n">
        <f aca="false">V36-U37</f>
        <v>17283.4400226872</v>
      </c>
      <c r="W37" s="7" t="n">
        <f aca="false">N37+R37+T37+U37</f>
        <v>535.73</v>
      </c>
      <c r="X37" s="7" t="n">
        <f aca="false">IF(L37&lt;0,L37*-1,0)</f>
        <v>0</v>
      </c>
      <c r="Y37" s="7" t="n">
        <f aca="false">W37+X37</f>
        <v>535.73</v>
      </c>
      <c r="Z37" s="11" t="n">
        <v>0</v>
      </c>
      <c r="AA37" s="12" t="n">
        <v>46</v>
      </c>
      <c r="AB37" s="12" t="n">
        <v>28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  <c r="AG37" s="7" t="n">
        <v>0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6912.5</v>
      </c>
      <c r="C38" s="8" t="n">
        <v>332083</v>
      </c>
      <c r="D38" s="12" t="n">
        <f aca="false">C38-C37</f>
        <v>979</v>
      </c>
      <c r="E38" s="8" t="n">
        <f aca="false">C38-152000</f>
        <v>180083</v>
      </c>
      <c r="F38" s="7" t="n">
        <f aca="false">D38/$D$2</f>
        <v>493.571968742123</v>
      </c>
      <c r="G38" s="7" t="n">
        <v>716.03</v>
      </c>
      <c r="H38" s="9" t="n">
        <v>23.8</v>
      </c>
      <c r="I38" s="7" t="n">
        <f aca="false">G38+H38</f>
        <v>739.83</v>
      </c>
      <c r="J38" s="95" t="n">
        <f aca="false">IF(L38&gt;0,L38,0)</f>
        <v>276.521968742123</v>
      </c>
      <c r="K38" s="7" t="n">
        <f aca="false">I38+J38</f>
        <v>1016.35196874212</v>
      </c>
      <c r="L38" s="7" t="n">
        <f aca="false">F38-(I38-W38)</f>
        <v>276.521968742123</v>
      </c>
      <c r="M38" s="7" t="n">
        <v>220.53</v>
      </c>
      <c r="N38" s="7" t="n">
        <f aca="false">(30.02+29.81)*1.05</f>
        <v>62.8215</v>
      </c>
      <c r="O38" s="7" t="n">
        <f aca="false">M38-N38</f>
        <v>157.7085</v>
      </c>
      <c r="P38" s="7" t="n">
        <v>118.4</v>
      </c>
      <c r="Q38" s="7" t="n">
        <v>70.69</v>
      </c>
      <c r="R38" s="7" t="n">
        <f aca="false">SUM(O38:Q38)</f>
        <v>346.7985</v>
      </c>
      <c r="S38" s="8"/>
      <c r="T38" s="7" t="n">
        <v>68.56</v>
      </c>
      <c r="U38" s="7" t="n">
        <v>44.6</v>
      </c>
      <c r="V38" s="8" t="n">
        <f aca="false">V37-U38</f>
        <v>17238.8400226872</v>
      </c>
      <c r="W38" s="7" t="n">
        <f aca="false">N38+R38+T38+U38</f>
        <v>522.78</v>
      </c>
      <c r="X38" s="7" t="n">
        <f aca="false">IF(L38&lt;0,L38*-1,0)</f>
        <v>0</v>
      </c>
      <c r="Y38" s="7" t="n">
        <f aca="false">W38+X38</f>
        <v>522.78</v>
      </c>
      <c r="Z38" s="11" t="n">
        <v>0</v>
      </c>
      <c r="AA38" s="40" t="n">
        <v>58</v>
      </c>
      <c r="AB38" s="12" t="n">
        <v>21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  <c r="AG38" s="7" t="n">
        <v>21</v>
      </c>
    </row>
    <row r="39" customFormat="false" ht="11.1" hidden="false" customHeight="true" outlineLevel="0" collapsed="false">
      <c r="A39" s="13" t="n">
        <v>30</v>
      </c>
      <c r="B39" s="29" t="n">
        <v>6912.63</v>
      </c>
      <c r="C39" s="8" t="n">
        <v>332694</v>
      </c>
      <c r="D39" s="12" t="n">
        <f aca="false">C39-C38</f>
        <v>611</v>
      </c>
      <c r="E39" s="8" t="n">
        <f aca="false">C39-152000</f>
        <v>180694</v>
      </c>
      <c r="F39" s="7" t="n">
        <f aca="false">D39/$D$2</f>
        <v>308.041341063776</v>
      </c>
      <c r="G39" s="7" t="n">
        <v>640.53</v>
      </c>
      <c r="H39" s="9" t="n">
        <v>8.09</v>
      </c>
      <c r="I39" s="7" t="n">
        <f aca="false">G39+H39</f>
        <v>648.62</v>
      </c>
      <c r="J39" s="95" t="n">
        <f aca="false">IF(L39&gt;0,L39,0)</f>
        <v>238.221341063776</v>
      </c>
      <c r="K39" s="7" t="n">
        <f aca="false">I39+J39</f>
        <v>886.841341063776</v>
      </c>
      <c r="L39" s="7" t="n">
        <f aca="false">F39-(I39-W39)</f>
        <v>238.221341063776</v>
      </c>
      <c r="M39" s="7" t="n">
        <v>229.55</v>
      </c>
      <c r="N39" s="7" t="n">
        <f aca="false">(28.8+28.69)*1.05</f>
        <v>60.3645</v>
      </c>
      <c r="O39" s="7" t="n">
        <f aca="false">M39-N39</f>
        <v>169.1855</v>
      </c>
      <c r="P39" s="7" t="n">
        <v>117.86</v>
      </c>
      <c r="Q39" s="7" t="n">
        <v>70.57</v>
      </c>
      <c r="R39" s="7" t="n">
        <f aca="false">SUM(O39:Q39)</f>
        <v>357.6155</v>
      </c>
      <c r="S39" s="8"/>
      <c r="T39" s="7" t="n">
        <v>116.22</v>
      </c>
      <c r="U39" s="7" t="n">
        <v>44.6</v>
      </c>
      <c r="V39" s="8" t="n">
        <f aca="false">V38-U39</f>
        <v>17194.2400226872</v>
      </c>
      <c r="W39" s="7" t="n">
        <f aca="false">N39+R39+T39+U39</f>
        <v>578.8</v>
      </c>
      <c r="X39" s="7" t="n">
        <f aca="false">IF(L39&lt;0,L39*-1,0)</f>
        <v>0</v>
      </c>
      <c r="Y39" s="7" t="n">
        <f aca="false">W39+X39</f>
        <v>578.8</v>
      </c>
      <c r="Z39" s="11" t="n">
        <v>0</v>
      </c>
      <c r="AA39" s="40" t="n">
        <v>67</v>
      </c>
      <c r="AB39" s="12" t="n">
        <v>32</v>
      </c>
      <c r="AC39" s="13" t="n">
        <v>30</v>
      </c>
      <c r="AD39" s="12" t="n">
        <v>927</v>
      </c>
      <c r="AE39" s="12" t="n">
        <v>2965</v>
      </c>
      <c r="AF39" s="0" t="n">
        <v>248.45</v>
      </c>
      <c r="AG39" s="7" t="n">
        <v>24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7405.59616838921</v>
      </c>
      <c r="G41" s="8" t="n">
        <f aca="false">SUM(G10:G39)</f>
        <v>10989.93</v>
      </c>
      <c r="H41" s="8" t="n">
        <f aca="false">SUM(H10:H39)</f>
        <v>451.68</v>
      </c>
      <c r="I41" s="8" t="n">
        <f aca="false">SUM(I10:I39)</f>
        <v>11441.61</v>
      </c>
      <c r="J41" s="8" t="n">
        <f aca="false">SUM(J10:J39)</f>
        <v>4059.37687169145</v>
      </c>
      <c r="K41" s="8" t="n">
        <f aca="false">SUM(K10:K39)</f>
        <v>15500.9868716915</v>
      </c>
      <c r="L41" s="8" t="n">
        <f aca="false">SUM(L10:L39)</f>
        <v>3897.29565162591</v>
      </c>
      <c r="M41" s="8" t="n">
        <f aca="false">SUM(M10:M39)</f>
        <v>3888.44</v>
      </c>
      <c r="N41" s="8" t="n">
        <f aca="false">SUM(N10:N39)</f>
        <v>1346.5003835392</v>
      </c>
      <c r="O41" s="8" t="n">
        <f aca="false">SUM(O10:O39)</f>
        <v>2541.9396164608</v>
      </c>
      <c r="P41" s="8" t="n">
        <f aca="false">SUM(P10:P39)</f>
        <v>831.26</v>
      </c>
      <c r="Q41" s="8" t="n">
        <f aca="false">SUM(Q10:Q39)</f>
        <v>859.34</v>
      </c>
      <c r="R41" s="8" t="n">
        <f aca="false">SUM(R10:R39)</f>
        <v>4232.5396164608</v>
      </c>
      <c r="S41" s="8"/>
      <c r="T41" s="8" t="n">
        <f aca="false">SUM(T10:T39)</f>
        <v>1015.10895134863</v>
      </c>
      <c r="U41" s="8" t="n">
        <f aca="false">SUM(U10:U39)</f>
        <v>1318.49</v>
      </c>
      <c r="V41" s="8"/>
      <c r="W41" s="8" t="n">
        <f aca="false">SUM(W10:W39)</f>
        <v>7933.3094832367</v>
      </c>
      <c r="X41" s="8" t="n">
        <f aca="false">SUM(X10:X39)</f>
        <v>162.081220065541</v>
      </c>
      <c r="Y41" s="8" t="n">
        <f aca="false">SUM(Y10:Y39)</f>
        <v>8095.39070330224</v>
      </c>
      <c r="Z41" s="11" t="n">
        <f aca="false">SUM(Z10:Z39)</f>
        <v>0.36</v>
      </c>
      <c r="AA41" s="12" t="n">
        <f aca="false">AVERAGE(AA10:AA39)</f>
        <v>59.8333333333333</v>
      </c>
      <c r="AB41" s="12" t="n">
        <f aca="false">AVERAGE(AB10:AB39)</f>
        <v>32.2666666666667</v>
      </c>
      <c r="AC41" s="13"/>
      <c r="AD41" s="14"/>
      <c r="AE41" s="14"/>
    </row>
    <row r="42" customFormat="false" ht="11.1" hidden="false" customHeight="true" outlineLevel="0" collapsed="false">
      <c r="A42" s="7" t="s">
        <v>47</v>
      </c>
      <c r="B42" s="7"/>
      <c r="C42" s="8"/>
      <c r="D42" s="8" t="n">
        <f aca="false">SUM(D10:D39)</f>
        <v>14689</v>
      </c>
      <c r="E42" s="8"/>
      <c r="F42" s="8" t="n">
        <f aca="false">F41*$D$2</f>
        <v>14689</v>
      </c>
      <c r="G42" s="8" t="n">
        <f aca="false">G41*$D$2</f>
        <v>21798.526155</v>
      </c>
      <c r="H42" s="8" t="n">
        <f aca="false">H41*$D$2</f>
        <v>895.90728</v>
      </c>
      <c r="I42" s="8" t="n">
        <f aca="false">I41*$D$2</f>
        <v>22694.433435</v>
      </c>
      <c r="J42" s="8" t="n">
        <f aca="false">J41*$D$2</f>
        <v>8051.774025</v>
      </c>
      <c r="K42" s="8" t="n">
        <f aca="false">K41*$D$2</f>
        <v>30746.20746</v>
      </c>
      <c r="L42" s="8" t="n">
        <f aca="false">L41*$D$2</f>
        <v>7730.285925</v>
      </c>
      <c r="M42" s="8" t="n">
        <f aca="false">M41*$D$2</f>
        <v>7712.72074</v>
      </c>
      <c r="N42" s="8" t="n">
        <f aca="false">N41*$D$2</f>
        <v>2670.78351075</v>
      </c>
      <c r="O42" s="8" t="n">
        <f aca="false">O41*$D$2</f>
        <v>5041.93722925</v>
      </c>
      <c r="P42" s="8" t="n">
        <f aca="false">P41*$D$2</f>
        <v>1648.80421</v>
      </c>
      <c r="Q42" s="8" t="n">
        <f aca="false">Q41*$D$2</f>
        <v>1704.50089</v>
      </c>
      <c r="R42" s="8" t="n">
        <f aca="false">R41*$D$2</f>
        <v>8395.24232925</v>
      </c>
      <c r="S42" s="8"/>
      <c r="T42" s="8" t="n">
        <f aca="false">T41*$D$2</f>
        <v>2013.468605</v>
      </c>
      <c r="U42" s="8" t="n">
        <f aca="false">U41*$D$2</f>
        <v>2615.224915</v>
      </c>
      <c r="V42" s="8"/>
      <c r="W42" s="8" t="n">
        <f aca="false">W41*$D$2</f>
        <v>15735.71936</v>
      </c>
      <c r="X42" s="8" t="n">
        <f aca="false">X41*$D$2</f>
        <v>321.4881</v>
      </c>
      <c r="Y42" s="8" t="n">
        <f aca="false">Y41*$D$2</f>
        <v>16057.20746</v>
      </c>
      <c r="Z42" s="11"/>
      <c r="AA42" s="12" t="n">
        <f aca="false">MAX(AA10:AA39)</f>
        <v>76</v>
      </c>
      <c r="AB42" s="12" t="n">
        <f aca="false">MAX(AB10:AB39)</f>
        <v>42</v>
      </c>
      <c r="AC42" s="13" t="s">
        <v>48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49</v>
      </c>
      <c r="B44" s="7"/>
      <c r="C44" s="8"/>
      <c r="D44" s="8"/>
      <c r="E44" s="8"/>
      <c r="F44" s="8" t="n">
        <f aca="false">F7+F41</f>
        <v>7405.59616838921</v>
      </c>
      <c r="G44" s="8" t="n">
        <f aca="false">G7+G41</f>
        <v>10989.93</v>
      </c>
      <c r="H44" s="12" t="n">
        <f aca="false">H7+H41</f>
        <v>451.68</v>
      </c>
      <c r="I44" s="8" t="n">
        <f aca="false">I7+I41</f>
        <v>11441.61</v>
      </c>
      <c r="J44" s="8" t="n">
        <f aca="false">J7+J41</f>
        <v>4059.37687169145</v>
      </c>
      <c r="K44" s="8" t="n">
        <f aca="false">K7+K41</f>
        <v>15500.9868716915</v>
      </c>
      <c r="L44" s="8" t="n">
        <f aca="false">L7+L41</f>
        <v>3897.29565162591</v>
      </c>
      <c r="M44" s="8" t="n">
        <f aca="false">M7+M41</f>
        <v>3888.44</v>
      </c>
      <c r="N44" s="8" t="n">
        <f aca="false">N7+N41</f>
        <v>1346.5003835392</v>
      </c>
      <c r="O44" s="8" t="n">
        <f aca="false">O7+O41</f>
        <v>2541.9396164608</v>
      </c>
      <c r="P44" s="8" t="n">
        <f aca="false">P7+P41</f>
        <v>831.26</v>
      </c>
      <c r="Q44" s="8" t="n">
        <f aca="false">Q7+Q41</f>
        <v>859.34</v>
      </c>
      <c r="R44" s="8" t="n">
        <f aca="false">R7+R41</f>
        <v>4232.5396164608</v>
      </c>
      <c r="S44" s="8" t="n">
        <f aca="false">S39</f>
        <v>0</v>
      </c>
      <c r="T44" s="8" t="n">
        <f aca="false">T7+T41</f>
        <v>1015.10895134863</v>
      </c>
      <c r="U44" s="8" t="n">
        <f aca="false">U7+U41</f>
        <v>1318.49</v>
      </c>
      <c r="V44" s="8" t="n">
        <v>0</v>
      </c>
      <c r="W44" s="8" t="n">
        <f aca="false">W7+W41</f>
        <v>7933.3094832367</v>
      </c>
      <c r="X44" s="8" t="n">
        <f aca="false">X7+X41</f>
        <v>162.081220065541</v>
      </c>
      <c r="Y44" s="8" t="n">
        <f aca="false">Y7+Y41</f>
        <v>8095.39070330224</v>
      </c>
      <c r="Z44" s="11"/>
      <c r="AA44" s="12" t="n">
        <f aca="false">MIN(AA10:AA39)</f>
        <v>41</v>
      </c>
      <c r="AB44" s="12" t="n">
        <f aca="false">MIN(AB10:AB39)</f>
        <v>21</v>
      </c>
      <c r="AC44" s="13" t="s">
        <v>50</v>
      </c>
      <c r="AD44" s="14"/>
      <c r="AE44" s="14"/>
    </row>
    <row r="45" customFormat="false" ht="11.1" hidden="false" customHeight="true" outlineLevel="0" collapsed="false">
      <c r="A45" s="7" t="s">
        <v>51</v>
      </c>
      <c r="B45" s="7"/>
      <c r="C45" s="8"/>
      <c r="D45" s="8" t="n">
        <f aca="false">D7+D42</f>
        <v>14689</v>
      </c>
      <c r="E45" s="8"/>
      <c r="F45" s="8" t="n">
        <f aca="false">F44*$D$2</f>
        <v>14689</v>
      </c>
      <c r="G45" s="8" t="n">
        <f aca="false">G44*$D$2</f>
        <v>21798.526155</v>
      </c>
      <c r="H45" s="12" t="n">
        <f aca="false">H44*$D$2</f>
        <v>895.90728</v>
      </c>
      <c r="I45" s="8" t="n">
        <f aca="false">I44*$D$2</f>
        <v>22694.433435</v>
      </c>
      <c r="J45" s="8" t="n">
        <f aca="false">J44*$D$2</f>
        <v>8051.774025</v>
      </c>
      <c r="K45" s="8" t="n">
        <f aca="false">K44*$D$2</f>
        <v>30746.20746</v>
      </c>
      <c r="L45" s="8" t="n">
        <f aca="false">L44*$D$2</f>
        <v>7730.285925</v>
      </c>
      <c r="M45" s="8" t="n">
        <f aca="false">M44*$D$2</f>
        <v>7712.72074</v>
      </c>
      <c r="N45" s="8" t="n">
        <f aca="false">N44*$D$2</f>
        <v>2670.78351075</v>
      </c>
      <c r="O45" s="8" t="n">
        <f aca="false">O44*$D$2</f>
        <v>5041.93722925</v>
      </c>
      <c r="P45" s="8" t="n">
        <f aca="false">P44*$D$2</f>
        <v>1648.80421</v>
      </c>
      <c r="Q45" s="8" t="n">
        <f aca="false">Q44*$D$2</f>
        <v>1704.50089</v>
      </c>
      <c r="R45" s="8" t="n">
        <f aca="false">R44*$D$2</f>
        <v>8395.24232925</v>
      </c>
      <c r="S45" s="8" t="n">
        <f aca="false">S44*$D$2</f>
        <v>0</v>
      </c>
      <c r="T45" s="8" t="n">
        <f aca="false">T44*$D$2</f>
        <v>2013.468605</v>
      </c>
      <c r="U45" s="8" t="n">
        <f aca="false">U44*$D$2</f>
        <v>2615.224915</v>
      </c>
      <c r="V45" s="8" t="n">
        <v>0</v>
      </c>
      <c r="W45" s="8" t="n">
        <f aca="false">W44*$D$2</f>
        <v>15735.71936</v>
      </c>
      <c r="X45" s="8" t="n">
        <f aca="false">X44*$D$2</f>
        <v>321.4881</v>
      </c>
      <c r="Y45" s="8" t="n">
        <f aca="false">Y44*$D$2</f>
        <v>16057.20746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52</v>
      </c>
      <c r="B47" s="7"/>
      <c r="C47" s="8"/>
      <c r="D47" s="8"/>
      <c r="E47" s="8"/>
      <c r="F47" s="8" t="n">
        <f aca="false">F8+F41</f>
        <v>9654.2093806938</v>
      </c>
      <c r="G47" s="8" t="n">
        <f aca="false">G8+G41</f>
        <v>22303.5401260716</v>
      </c>
      <c r="H47" s="12" t="n">
        <f aca="false">H8+H41</f>
        <v>573.94</v>
      </c>
      <c r="I47" s="8" t="n">
        <f aca="false">I8+I41</f>
        <v>22877.3801260716</v>
      </c>
      <c r="J47" s="8" t="n">
        <f aca="false">J8+J41</f>
        <v>6460.17694229156</v>
      </c>
      <c r="K47" s="8" t="n">
        <f aca="false">K8+K41</f>
        <v>29337.5570683632</v>
      </c>
      <c r="L47" s="8" t="n">
        <f aca="false">L8+L41</f>
        <v>2113.30873785889</v>
      </c>
      <c r="M47" s="8" t="n">
        <f aca="false">M8+M41</f>
        <v>5340.24</v>
      </c>
      <c r="N47" s="8" t="n">
        <f aca="false">N8+N41</f>
        <v>1406.2003835392</v>
      </c>
      <c r="O47" s="8" t="n">
        <f aca="false">O8+O41</f>
        <v>3441.5396164608</v>
      </c>
      <c r="P47" s="8" t="n">
        <f aca="false">P8+P41</f>
        <v>1665.51</v>
      </c>
      <c r="Q47" s="8" t="n">
        <f aca="false">Q8+Q41</f>
        <v>859.34</v>
      </c>
      <c r="R47" s="8" t="n">
        <f aca="false">R8+R41</f>
        <v>6334.8896164608</v>
      </c>
      <c r="S47" s="8"/>
      <c r="T47" s="8" t="n">
        <f aca="false">T8+T41</f>
        <v>1015.10895134863</v>
      </c>
      <c r="U47" s="8" t="n">
        <f aca="false">U8+U41</f>
        <v>6435.61</v>
      </c>
      <c r="V47" s="8" t="n">
        <f aca="false">V39</f>
        <v>17194.2400226872</v>
      </c>
      <c r="W47" s="8" t="n">
        <f aca="false">W8+W41</f>
        <v>15336.4794832367</v>
      </c>
      <c r="X47" s="8" t="n">
        <f aca="false">X8+X41</f>
        <v>4346.86820443266</v>
      </c>
      <c r="Y47" s="8" t="n">
        <f aca="false">Y8+Y41</f>
        <v>19683.3476876694</v>
      </c>
      <c r="Z47" s="30" t="n">
        <f aca="false">Z8+Z41</f>
        <v>3.69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53</v>
      </c>
      <c r="B48" s="7"/>
      <c r="C48" s="8"/>
      <c r="D48" s="8" t="n">
        <f aca="false">D8+D42</f>
        <v>19148</v>
      </c>
      <c r="E48" s="8" t="n">
        <f aca="false">E39</f>
        <v>180694</v>
      </c>
      <c r="F48" s="8" t="n">
        <f aca="false">F47*$D$2</f>
        <v>19149.1243066062</v>
      </c>
      <c r="G48" s="8" t="n">
        <f aca="false">G47*$D$2</f>
        <v>44239.071840063</v>
      </c>
      <c r="H48" s="12" t="n">
        <f aca="false">H47*$D$2</f>
        <v>1138.40999</v>
      </c>
      <c r="I48" s="8" t="n">
        <f aca="false">I47*$D$2</f>
        <v>45377.283480063</v>
      </c>
      <c r="J48" s="8" t="n">
        <f aca="false">J47*$D$2</f>
        <v>12813.7609650353</v>
      </c>
      <c r="K48" s="8" t="n">
        <f aca="false">K47*$D$2</f>
        <v>58191.0444450983</v>
      </c>
      <c r="L48" s="8" t="n">
        <f aca="false">L47*$D$2</f>
        <v>4191.74788154312</v>
      </c>
      <c r="M48" s="8" t="n">
        <f aca="false">M47*$D$2</f>
        <v>10592.36604</v>
      </c>
      <c r="N48" s="8" t="n">
        <f aca="false">N47*$D$2</f>
        <v>2789.19846075</v>
      </c>
      <c r="O48" s="8" t="n">
        <f aca="false">O47*$D$2</f>
        <v>6826.29382925</v>
      </c>
      <c r="P48" s="8" t="n">
        <f aca="false">P47*$D$2</f>
        <v>3303.539085</v>
      </c>
      <c r="Q48" s="8" t="n">
        <f aca="false">Q47*$D$2</f>
        <v>1704.50089</v>
      </c>
      <c r="R48" s="8" t="n">
        <f aca="false">R47*$D$2</f>
        <v>12565.25355425</v>
      </c>
      <c r="S48" s="8" t="n">
        <f aca="false">S47*$D$2</f>
        <v>0</v>
      </c>
      <c r="T48" s="8" t="n">
        <f aca="false">T47*$D$2</f>
        <v>2013.468605</v>
      </c>
      <c r="U48" s="8" t="n">
        <f aca="false">U47*$D$2</f>
        <v>12765.032435</v>
      </c>
      <c r="V48" s="8" t="n">
        <f aca="false">V47*$D$2</f>
        <v>34104.775085</v>
      </c>
      <c r="W48" s="8" t="n">
        <f aca="false">W47*$D$2</f>
        <v>30419.907055</v>
      </c>
      <c r="X48" s="8" t="n">
        <f aca="false">X47*$D$2</f>
        <v>8622.01308349218</v>
      </c>
      <c r="Y48" s="8" t="n">
        <f aca="false">Y47*$D$2</f>
        <v>39041.9201384922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 t="str">
        <f aca="false">"4/16/96 thru 5/9/96"</f>
        <v>4/16/96 thru 5/9/96</v>
      </c>
      <c r="B50" s="42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 t="n">
        <v>6915.95</v>
      </c>
      <c r="C51" s="8" t="n">
        <v>346380</v>
      </c>
      <c r="D51" s="40"/>
      <c r="E51" s="8" t="n">
        <f aca="false">C51-152000</f>
        <v>194380</v>
      </c>
      <c r="F51" s="7"/>
      <c r="G51" s="7"/>
      <c r="H51" s="40"/>
      <c r="I51" s="9"/>
      <c r="J51" s="7"/>
      <c r="K51" s="43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40"/>
      <c r="S52" s="8"/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 t="n">
        <f aca="false">B51-B25</f>
        <v>5.36999999999989</v>
      </c>
      <c r="C53" s="8"/>
      <c r="D53" s="8" t="n">
        <f aca="false">C51-C25</f>
        <v>22066</v>
      </c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/>
      <c r="S53" s="8"/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/>
      <c r="S54" s="8"/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H10" activePane="bottomRight" state="frozen"/>
      <selection pane="topLeft" activeCell="A4" activeCellId="0" sqref="A4"/>
      <selection pane="topRight" activeCell="H4" activeCellId="0" sqref="H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67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68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68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94"/>
      <c r="W6" s="71"/>
      <c r="X6" s="71"/>
      <c r="Y6" s="71"/>
      <c r="Z6" s="57"/>
      <c r="AA6" s="59"/>
      <c r="AB6" s="59"/>
      <c r="AC6" s="59"/>
      <c r="AD6" s="74" t="n">
        <v>741</v>
      </c>
      <c r="AE6" s="74" t="n">
        <v>742</v>
      </c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APR!$F$44:$Y$44</f>
        <v>7405.59616838921</v>
      </c>
      <c r="G7" s="54" t="n">
        <v>10989.93</v>
      </c>
      <c r="H7" s="58" t="n">
        <v>451.68</v>
      </c>
      <c r="I7" s="54" t="n">
        <v>11441.61</v>
      </c>
      <c r="J7" s="54" t="n">
        <v>4059.37687169145</v>
      </c>
      <c r="K7" s="54" t="n">
        <v>15500.9868716915</v>
      </c>
      <c r="L7" s="54" t="n">
        <v>3897.29565162591</v>
      </c>
      <c r="M7" s="54" t="n">
        <v>3888.44</v>
      </c>
      <c r="N7" s="54" t="n">
        <v>1346.5003835392</v>
      </c>
      <c r="O7" s="54" t="n">
        <v>2541.9396164608</v>
      </c>
      <c r="P7" s="54" t="n">
        <v>831.26</v>
      </c>
      <c r="Q7" s="54" t="n">
        <v>859.34</v>
      </c>
      <c r="R7" s="54" t="n">
        <v>4232.5396164608</v>
      </c>
      <c r="S7" s="54" t="n">
        <v>0</v>
      </c>
      <c r="T7" s="54" t="n">
        <v>1015.10895134863</v>
      </c>
      <c r="U7" s="54" t="n">
        <v>1318.49</v>
      </c>
      <c r="V7" s="54" t="n">
        <v>0</v>
      </c>
      <c r="W7" s="54" t="n">
        <v>7933.3094832367</v>
      </c>
      <c r="X7" s="54" t="n">
        <v>162.081220065541</v>
      </c>
      <c r="Y7" s="54" t="n">
        <v>8095.39070330224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APR!$B$39:$C$39</f>
        <v>6912.63</v>
      </c>
      <c r="C8" s="54" t="n">
        <v>332694</v>
      </c>
      <c r="D8" s="54" t="n">
        <f aca="false" t="array" ref="D8:E8">APR!$D$48:$E$48</f>
        <v>19148</v>
      </c>
      <c r="E8" s="54" t="n">
        <v>180694</v>
      </c>
      <c r="F8" s="8" t="n">
        <f aca="false" t="array" ref="F8:Z8">APR!$F$47:$Z$47</f>
        <v>9654.2093806938</v>
      </c>
      <c r="G8" s="8" t="n">
        <v>22303.5401260716</v>
      </c>
      <c r="H8" s="12" t="n">
        <v>573.94</v>
      </c>
      <c r="I8" s="8" t="n">
        <v>22877.3801260716</v>
      </c>
      <c r="J8" s="8" t="n">
        <v>6460.17694229156</v>
      </c>
      <c r="K8" s="8" t="n">
        <v>29337.5570683632</v>
      </c>
      <c r="L8" s="8" t="n">
        <v>2113.30873785889</v>
      </c>
      <c r="M8" s="8" t="n">
        <v>5340.24</v>
      </c>
      <c r="N8" s="8" t="n">
        <v>1406.2003835392</v>
      </c>
      <c r="O8" s="8" t="n">
        <v>3441.5396164608</v>
      </c>
      <c r="P8" s="8" t="n">
        <v>1665.51</v>
      </c>
      <c r="Q8" s="8" t="n">
        <v>859.34</v>
      </c>
      <c r="R8" s="8" t="n">
        <v>6334.8896164608</v>
      </c>
      <c r="S8" s="8" t="n">
        <v>0</v>
      </c>
      <c r="T8" s="8" t="n">
        <v>1015.10895134863</v>
      </c>
      <c r="U8" s="8" t="n">
        <v>6435.61</v>
      </c>
      <c r="V8" s="8" t="n">
        <v>17194.2400226872</v>
      </c>
      <c r="W8" s="8" t="n">
        <v>15336.4794832367</v>
      </c>
      <c r="X8" s="8" t="n">
        <v>4346.86820443266</v>
      </c>
      <c r="Y8" s="8" t="n">
        <v>19683.3476876694</v>
      </c>
      <c r="Z8" s="30" t="n">
        <v>3.69</v>
      </c>
      <c r="AA8" s="58"/>
      <c r="AB8" s="58"/>
      <c r="AC8" s="59"/>
      <c r="AD8" s="78" t="n">
        <v>285</v>
      </c>
      <c r="AE8" s="74" t="n">
        <v>251</v>
      </c>
      <c r="AF8" s="78" t="n">
        <v>1207.63</v>
      </c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6912.74</v>
      </c>
      <c r="C10" s="54" t="n">
        <v>333061</v>
      </c>
      <c r="D10" s="58" t="n">
        <f aca="false">C10-C8</f>
        <v>367</v>
      </c>
      <c r="E10" s="54" t="n">
        <f aca="false">C10-152000</f>
        <v>181061</v>
      </c>
      <c r="F10" s="53" t="n">
        <f aca="false">D10/$D$2</f>
        <v>185.073121533031</v>
      </c>
      <c r="G10" s="53" t="n">
        <v>809.28</v>
      </c>
      <c r="H10" s="55" t="n">
        <v>14.61</v>
      </c>
      <c r="I10" s="53" t="n">
        <f aca="false">G10+H10</f>
        <v>823.89</v>
      </c>
      <c r="J10" s="77" t="n">
        <f aca="false">IF(L10&gt;0,L10)</f>
        <v>32.5731215330308</v>
      </c>
      <c r="K10" s="53" t="n">
        <f aca="false">I10+J10</f>
        <v>856.463121533031</v>
      </c>
      <c r="L10" s="53" t="n">
        <f aca="false">F10-(I10-W10)</f>
        <v>32.5731215330308</v>
      </c>
      <c r="M10" s="53" t="n">
        <v>261.97</v>
      </c>
      <c r="N10" s="53" t="n">
        <f aca="false">(28.75+28.65)*1.05</f>
        <v>60.27</v>
      </c>
      <c r="O10" s="53" t="n">
        <f aca="false">M10-N10</f>
        <v>201.7</v>
      </c>
      <c r="P10" s="53" t="n">
        <v>129.85</v>
      </c>
      <c r="Q10" s="53" t="n">
        <v>71.93</v>
      </c>
      <c r="R10" s="53" t="n">
        <f aca="false">SUM(O10:Q10)</f>
        <v>403.48</v>
      </c>
      <c r="S10" s="54"/>
      <c r="T10" s="53" t="n">
        <v>160.28</v>
      </c>
      <c r="U10" s="53" t="n">
        <v>47.36</v>
      </c>
      <c r="V10" s="54" t="n">
        <f aca="false">V8-U10</f>
        <v>17146.8800226872</v>
      </c>
      <c r="W10" s="53" t="n">
        <f aca="false">R10+T10+N10+U10</f>
        <v>671.39</v>
      </c>
      <c r="X10" s="53" t="n">
        <f aca="false">IF(L10&lt;0,L10*-1,0)</f>
        <v>0</v>
      </c>
      <c r="Y10" s="53" t="n">
        <f aca="false">W10+X10</f>
        <v>671.39</v>
      </c>
      <c r="Z10" s="57" t="n">
        <v>0</v>
      </c>
      <c r="AA10" s="58" t="n">
        <v>68</v>
      </c>
      <c r="AB10" s="58" t="n">
        <v>40</v>
      </c>
      <c r="AC10" s="59" t="n">
        <v>1</v>
      </c>
      <c r="AD10" s="75" t="n">
        <v>303</v>
      </c>
      <c r="AE10" s="78" t="n">
        <v>273</v>
      </c>
      <c r="AF10" s="75" t="n">
        <v>1256.86</v>
      </c>
    </row>
    <row r="11" customFormat="false" ht="11.1" hidden="false" customHeight="true" outlineLevel="0" collapsed="false">
      <c r="A11" s="59" t="n">
        <f aca="false">A10+1</f>
        <v>2</v>
      </c>
      <c r="B11" s="76" t="n">
        <v>6913.11</v>
      </c>
      <c r="C11" s="54" t="n">
        <v>334573</v>
      </c>
      <c r="D11" s="58" t="n">
        <f aca="false">C11-C10</f>
        <v>1512</v>
      </c>
      <c r="E11" s="54" t="n">
        <f aca="false">C11-152000</f>
        <v>182573</v>
      </c>
      <c r="F11" s="53" t="n">
        <f aca="false">D11/$D$2</f>
        <v>762.481089258699</v>
      </c>
      <c r="G11" s="53" t="n">
        <v>967.22</v>
      </c>
      <c r="H11" s="55" t="n">
        <v>26.4</v>
      </c>
      <c r="I11" s="53" t="n">
        <f aca="false">G11+H11</f>
        <v>993.62</v>
      </c>
      <c r="J11" s="77" t="n">
        <f aca="false">IF(L11&gt;0,L11,0)</f>
        <v>475.791089258699</v>
      </c>
      <c r="K11" s="53" t="n">
        <f aca="false">I11+J11</f>
        <v>1469.4110892587</v>
      </c>
      <c r="L11" s="53" t="n">
        <f aca="false">F11-(I11-W11)</f>
        <v>475.791089258699</v>
      </c>
      <c r="M11" s="53" t="n">
        <v>260.06</v>
      </c>
      <c r="N11" s="53" t="n">
        <f aca="false">(28.74+28.61)*1.05</f>
        <v>60.2175</v>
      </c>
      <c r="O11" s="53" t="n">
        <f aca="false">M11-N11</f>
        <v>199.8425</v>
      </c>
      <c r="P11" s="53" t="n">
        <v>138.18</v>
      </c>
      <c r="Q11" s="53" t="n">
        <v>76.02</v>
      </c>
      <c r="R11" s="53" t="n">
        <f aca="false">SUM(O11:Q11)</f>
        <v>414.0425</v>
      </c>
      <c r="S11" s="54"/>
      <c r="T11" s="53" t="n">
        <v>178.88</v>
      </c>
      <c r="U11" s="53" t="n">
        <v>53.79</v>
      </c>
      <c r="V11" s="54" t="n">
        <f aca="false">V10-U11</f>
        <v>17093.0900226872</v>
      </c>
      <c r="W11" s="53" t="n">
        <f aca="false">R11+T11+N11+U11</f>
        <v>706.93</v>
      </c>
      <c r="X11" s="53" t="n">
        <f aca="false">IF(L11&lt;0,L11*-1,0)</f>
        <v>0</v>
      </c>
      <c r="Y11" s="53" t="n">
        <f aca="false">W11+X11</f>
        <v>706.93</v>
      </c>
      <c r="Z11" s="57" t="n">
        <v>0</v>
      </c>
      <c r="AA11" s="58" t="n">
        <v>73</v>
      </c>
      <c r="AB11" s="58" t="n">
        <v>38</v>
      </c>
      <c r="AC11" s="59" t="n">
        <f aca="false">AC10+1</f>
        <v>2</v>
      </c>
      <c r="AD11" s="75" t="n">
        <v>306</v>
      </c>
      <c r="AE11" s="78" t="n">
        <v>300</v>
      </c>
      <c r="AF11" s="75" t="n">
        <v>1306.42</v>
      </c>
    </row>
    <row r="12" customFormat="false" ht="11.1" hidden="false" customHeight="true" outlineLevel="0" collapsed="false">
      <c r="A12" s="59" t="n">
        <f aca="false">A11+1</f>
        <v>3</v>
      </c>
      <c r="B12" s="76" t="n">
        <v>6913.45</v>
      </c>
      <c r="C12" s="54" t="n">
        <v>335970</v>
      </c>
      <c r="D12" s="58" t="n">
        <f aca="false">C12-C11</f>
        <v>1397</v>
      </c>
      <c r="E12" s="54" t="n">
        <f aca="false">C12-152000</f>
        <v>183970</v>
      </c>
      <c r="F12" s="53" t="n">
        <f aca="false">D12/$D$2</f>
        <v>704.488149268785</v>
      </c>
      <c r="G12" s="53" t="n">
        <v>1061.27</v>
      </c>
      <c r="H12" s="55" t="n">
        <v>31.53</v>
      </c>
      <c r="I12" s="53" t="n">
        <f aca="false">G12+H12</f>
        <v>1092.8</v>
      </c>
      <c r="J12" s="77" t="n">
        <f aca="false">IF(L12&gt;0,L12,0)</f>
        <v>344.438149268785</v>
      </c>
      <c r="K12" s="53" t="n">
        <f aca="false">I12+J12</f>
        <v>1437.23814926878</v>
      </c>
      <c r="L12" s="53" t="n">
        <f aca="false">F12-(I12-W12)</f>
        <v>344.438149268785</v>
      </c>
      <c r="M12" s="53" t="n">
        <v>266.23</v>
      </c>
      <c r="N12" s="53" t="n">
        <f aca="false">(28.78+27.52)*1.05</f>
        <v>59.115</v>
      </c>
      <c r="O12" s="53" t="n">
        <f aca="false">M12-N12</f>
        <v>207.115</v>
      </c>
      <c r="P12" s="53" t="n">
        <v>138.2</v>
      </c>
      <c r="Q12" s="53" t="n">
        <v>80.11</v>
      </c>
      <c r="R12" s="53" t="n">
        <f aca="false">SUM(O12:Q12)</f>
        <v>425.425</v>
      </c>
      <c r="S12" s="54"/>
      <c r="T12" s="53" t="n">
        <v>193.75</v>
      </c>
      <c r="U12" s="53" t="n">
        <v>54.46</v>
      </c>
      <c r="V12" s="54" t="n">
        <f aca="false">V11-U12</f>
        <v>17038.6300226872</v>
      </c>
      <c r="W12" s="53" t="n">
        <f aca="false">R12+T12+N12+U12</f>
        <v>732.75</v>
      </c>
      <c r="X12" s="53" t="n">
        <f aca="false">IF(L12&lt;0,L12*-1,0)</f>
        <v>0</v>
      </c>
      <c r="Y12" s="53" t="n">
        <f aca="false">W12+X12</f>
        <v>732.75</v>
      </c>
      <c r="Z12" s="57" t="n">
        <v>0</v>
      </c>
      <c r="AA12" s="58" t="n">
        <v>74</v>
      </c>
      <c r="AB12" s="58" t="n">
        <v>39</v>
      </c>
      <c r="AC12" s="59" t="n">
        <f aca="false">AC11+1</f>
        <v>3</v>
      </c>
      <c r="AD12" s="75" t="n">
        <v>316</v>
      </c>
      <c r="AE12" s="78" t="n">
        <v>341</v>
      </c>
      <c r="AF12" s="75" t="n">
        <v>1355.74</v>
      </c>
    </row>
    <row r="13" customFormat="false" ht="11.1" hidden="false" customHeight="true" outlineLevel="0" collapsed="false">
      <c r="A13" s="59" t="n">
        <f aca="false">A12+1</f>
        <v>4</v>
      </c>
      <c r="B13" s="76" t="n">
        <v>6913.8</v>
      </c>
      <c r="C13" s="54" t="n">
        <v>337409</v>
      </c>
      <c r="D13" s="58" t="n">
        <f aca="false">C13-C12</f>
        <v>1439</v>
      </c>
      <c r="E13" s="54" t="n">
        <f aca="false">C13-152000</f>
        <v>185409</v>
      </c>
      <c r="F13" s="53" t="n">
        <f aca="false">D13/$D$2</f>
        <v>725.668179525971</v>
      </c>
      <c r="G13" s="53" t="n">
        <v>1166.33</v>
      </c>
      <c r="H13" s="55" t="n">
        <v>32.38</v>
      </c>
      <c r="I13" s="53" t="n">
        <f aca="false">G13+H13</f>
        <v>1198.71</v>
      </c>
      <c r="J13" s="77" t="n">
        <f aca="false">IF(L13&gt;0,L13,0)</f>
        <v>282.488179525971</v>
      </c>
      <c r="K13" s="53" t="n">
        <f aca="false">I13+J13</f>
        <v>1481.19817952597</v>
      </c>
      <c r="L13" s="53" t="n">
        <f aca="false">F13-(I13-W13)</f>
        <v>282.488179525971</v>
      </c>
      <c r="M13" s="53" t="n">
        <v>272.03</v>
      </c>
      <c r="N13" s="53" t="n">
        <f aca="false">(23.68+23.54)*1.05</f>
        <v>49.581</v>
      </c>
      <c r="O13" s="53" t="n">
        <f aca="false">M13-N13</f>
        <v>222.449</v>
      </c>
      <c r="P13" s="53" t="n">
        <v>138.26</v>
      </c>
      <c r="Q13" s="53" t="n">
        <v>82.76</v>
      </c>
      <c r="R13" s="53" t="n">
        <f aca="false">SUM(O13:Q13)</f>
        <v>443.469</v>
      </c>
      <c r="S13" s="54"/>
      <c r="T13" s="53" t="n">
        <v>207.3</v>
      </c>
      <c r="U13" s="53" t="n">
        <v>55.18</v>
      </c>
      <c r="V13" s="54" t="n">
        <f aca="false">V12-U13</f>
        <v>16983.4500226872</v>
      </c>
      <c r="W13" s="53" t="n">
        <f aca="false">R13+T13+N13+U13</f>
        <v>755.53</v>
      </c>
      <c r="X13" s="53" t="n">
        <f aca="false">IF(L13&lt;0,L13*-1,0)</f>
        <v>0</v>
      </c>
      <c r="Y13" s="53" t="n">
        <f aca="false">W13+X13</f>
        <v>755.53</v>
      </c>
      <c r="Z13" s="57" t="n">
        <v>0</v>
      </c>
      <c r="AA13" s="58" t="n">
        <v>76</v>
      </c>
      <c r="AB13" s="58" t="n">
        <v>38</v>
      </c>
      <c r="AC13" s="59" t="n">
        <f aca="false">AC12+1</f>
        <v>4</v>
      </c>
      <c r="AD13" s="75" t="n">
        <v>316</v>
      </c>
      <c r="AE13" s="78" t="n">
        <v>395</v>
      </c>
      <c r="AF13" s="75" t="n">
        <v>1405.31</v>
      </c>
    </row>
    <row r="14" customFormat="false" ht="11.1" hidden="false" customHeight="true" outlineLevel="0" collapsed="false">
      <c r="A14" s="59" t="n">
        <f aca="false">A13+1</f>
        <v>5</v>
      </c>
      <c r="B14" s="76" t="n">
        <v>6914.33</v>
      </c>
      <c r="C14" s="54" t="n">
        <v>339597</v>
      </c>
      <c r="D14" s="58" t="n">
        <f aca="false">C14-C13</f>
        <v>2188</v>
      </c>
      <c r="E14" s="54" t="n">
        <f aca="false">C14-152000</f>
        <v>187597</v>
      </c>
      <c r="F14" s="53" t="n">
        <f aca="false">D14/$D$2</f>
        <v>1103.37871911246</v>
      </c>
      <c r="G14" s="53" t="n">
        <v>1298.38</v>
      </c>
      <c r="H14" s="55" t="n">
        <v>33.47</v>
      </c>
      <c r="I14" s="53" t="n">
        <f aca="false">G14+H14</f>
        <v>1331.85</v>
      </c>
      <c r="J14" s="77" t="n">
        <f aca="false">IF(L14&gt;0,L14,0)</f>
        <v>509.408719112456</v>
      </c>
      <c r="K14" s="53" t="n">
        <f aca="false">I14+J14</f>
        <v>1841.25871911246</v>
      </c>
      <c r="L14" s="53" t="n">
        <f aca="false">F14-(I14-W14)</f>
        <v>509.408719112456</v>
      </c>
      <c r="M14" s="53" t="n">
        <v>262.24</v>
      </c>
      <c r="N14" s="53" t="n">
        <f aca="false">(22.4+22.7)*1.05</f>
        <v>47.355</v>
      </c>
      <c r="O14" s="53" t="n">
        <f aca="false">M14-N14</f>
        <v>214.885</v>
      </c>
      <c r="P14" s="53" t="n">
        <v>138.76</v>
      </c>
      <c r="Q14" s="53" t="n">
        <v>82.94</v>
      </c>
      <c r="R14" s="53" t="n">
        <f aca="false">SUM(O14:Q14)</f>
        <v>436.585</v>
      </c>
      <c r="S14" s="54"/>
      <c r="T14" s="53" t="n">
        <v>198.92</v>
      </c>
      <c r="U14" s="53" t="n">
        <v>55.02</v>
      </c>
      <c r="V14" s="54" t="n">
        <f aca="false">V13-U14</f>
        <v>16928.4300226872</v>
      </c>
      <c r="W14" s="53" t="n">
        <f aca="false">R14+T14+N14+U14</f>
        <v>737.88</v>
      </c>
      <c r="X14" s="53" t="n">
        <f aca="false">IF(L14&lt;0,L14*-1,0)</f>
        <v>0</v>
      </c>
      <c r="Y14" s="53" t="n">
        <f aca="false">W14+X14</f>
        <v>737.88</v>
      </c>
      <c r="Z14" s="57" t="n">
        <v>0</v>
      </c>
      <c r="AA14" s="58" t="n">
        <v>78</v>
      </c>
      <c r="AB14" s="58" t="n">
        <v>40</v>
      </c>
      <c r="AC14" s="59" t="n">
        <f aca="false">AC13+1</f>
        <v>5</v>
      </c>
      <c r="AD14" s="75" t="n">
        <v>316</v>
      </c>
      <c r="AE14" s="78" t="n">
        <v>466</v>
      </c>
      <c r="AF14" s="75" t="n">
        <v>1437.16</v>
      </c>
    </row>
    <row r="15" customFormat="false" ht="11.1" hidden="false" customHeight="true" outlineLevel="0" collapsed="false">
      <c r="A15" s="59" t="n">
        <f aca="false">A14+1</f>
        <v>6</v>
      </c>
      <c r="B15" s="76" t="n">
        <v>6914.86</v>
      </c>
      <c r="C15" s="54" t="n">
        <v>341792</v>
      </c>
      <c r="D15" s="58" t="n">
        <f aca="false">C15-C14</f>
        <v>2195</v>
      </c>
      <c r="E15" s="54" t="n">
        <f aca="false">C15-152000</f>
        <v>189792</v>
      </c>
      <c r="F15" s="53" t="n">
        <f aca="false">D15/$D$2</f>
        <v>1106.90872415532</v>
      </c>
      <c r="G15" s="53" t="n">
        <v>1523.73</v>
      </c>
      <c r="H15" s="55" t="n">
        <v>30.04</v>
      </c>
      <c r="I15" s="53" t="n">
        <f aca="false">G15+H15</f>
        <v>1553.77</v>
      </c>
      <c r="J15" s="77" t="n">
        <f aca="false">IF(L15&gt;0,L15,0)</f>
        <v>333.79872415532</v>
      </c>
      <c r="K15" s="53" t="n">
        <f aca="false">I15+J15</f>
        <v>1887.56872415532</v>
      </c>
      <c r="L15" s="53" t="n">
        <f aca="false">F15-(I15-W15)</f>
        <v>333.79872415532</v>
      </c>
      <c r="M15" s="53" t="n">
        <v>276.35</v>
      </c>
      <c r="N15" s="53" t="n">
        <f aca="false">(24.69+24.77)*1.05</f>
        <v>51.933</v>
      </c>
      <c r="O15" s="53" t="n">
        <f aca="false">M15-N15</f>
        <v>224.417</v>
      </c>
      <c r="P15" s="53" t="n">
        <v>147.28</v>
      </c>
      <c r="Q15" s="53" t="n">
        <v>84.09</v>
      </c>
      <c r="R15" s="53" t="n">
        <f aca="false">SUM(O15:Q15)</f>
        <v>455.787</v>
      </c>
      <c r="S15" s="54"/>
      <c r="T15" s="53" t="n">
        <v>218.74</v>
      </c>
      <c r="U15" s="53" t="n">
        <v>54.2</v>
      </c>
      <c r="V15" s="54" t="n">
        <f aca="false">V14-U15</f>
        <v>16874.2300226872</v>
      </c>
      <c r="W15" s="53" t="n">
        <f aca="false">R15+T15+N15+U15</f>
        <v>780.66</v>
      </c>
      <c r="X15" s="53" t="n">
        <f aca="false">IF(L15&lt;0,L15*-1,0)</f>
        <v>0</v>
      </c>
      <c r="Y15" s="53" t="n">
        <f aca="false">W15+X15</f>
        <v>780.66</v>
      </c>
      <c r="Z15" s="57" t="n">
        <v>0</v>
      </c>
      <c r="AA15" s="58" t="n">
        <v>77</v>
      </c>
      <c r="AB15" s="58" t="n">
        <v>40</v>
      </c>
      <c r="AC15" s="59" t="n">
        <f aca="false">AC14+1</f>
        <v>6</v>
      </c>
      <c r="AD15" s="74" t="n">
        <v>325</v>
      </c>
      <c r="AE15" s="78" t="n">
        <v>538</v>
      </c>
      <c r="AF15" s="75" t="n">
        <v>1467.01</v>
      </c>
    </row>
    <row r="16" customFormat="false" ht="11.1" hidden="false" customHeight="true" outlineLevel="0" collapsed="false">
      <c r="A16" s="59" t="n">
        <f aca="false">A15+1</f>
        <v>7</v>
      </c>
      <c r="B16" s="76" t="n">
        <v>6915.31</v>
      </c>
      <c r="C16" s="54" t="n">
        <v>343666</v>
      </c>
      <c r="D16" s="58" t="n">
        <f aca="false">C16-C15</f>
        <v>1874</v>
      </c>
      <c r="E16" s="54" t="n">
        <f aca="false">C16-152000</f>
        <v>191666</v>
      </c>
      <c r="F16" s="53" t="n">
        <f aca="false">D16/$D$2</f>
        <v>945.032778618255</v>
      </c>
      <c r="G16" s="53" t="n">
        <v>1552.79</v>
      </c>
      <c r="H16" s="55" t="n">
        <v>15.51</v>
      </c>
      <c r="I16" s="53" t="n">
        <f aca="false">G16+H16</f>
        <v>1568.3</v>
      </c>
      <c r="J16" s="77" t="n">
        <f aca="false">IF(L16&gt;0,L16,0)</f>
        <v>219.192778618255</v>
      </c>
      <c r="K16" s="53" t="n">
        <f aca="false">I16+J16</f>
        <v>1787.49277861826</v>
      </c>
      <c r="L16" s="53" t="n">
        <f aca="false">F16-(I16-W16)</f>
        <v>219.192778618255</v>
      </c>
      <c r="M16" s="53" t="n">
        <v>305.19</v>
      </c>
      <c r="N16" s="53" t="n">
        <f aca="false">(30.57+30.05)*1.05</f>
        <v>63.651</v>
      </c>
      <c r="O16" s="53" t="n">
        <f aca="false">M16-N16</f>
        <v>241.539</v>
      </c>
      <c r="P16" s="53" t="n">
        <v>174.47</v>
      </c>
      <c r="Q16" s="53" t="n">
        <v>88.89</v>
      </c>
      <c r="R16" s="53" t="n">
        <f aca="false">SUM(O16:Q16)</f>
        <v>504.899</v>
      </c>
      <c r="S16" s="54"/>
      <c r="T16" s="53" t="n">
        <v>219.71</v>
      </c>
      <c r="U16" s="53" t="n">
        <v>54.2</v>
      </c>
      <c r="V16" s="54" t="n">
        <f aca="false">V15-U16</f>
        <v>16820.0300226872</v>
      </c>
      <c r="W16" s="53" t="n">
        <f aca="false">R16+T16+N16+U16</f>
        <v>842.46</v>
      </c>
      <c r="X16" s="53" t="n">
        <f aca="false">IF(L16&lt;0,L16*-1,0)</f>
        <v>0</v>
      </c>
      <c r="Y16" s="53" t="n">
        <f aca="false">W16+X16</f>
        <v>842.46</v>
      </c>
      <c r="Z16" s="57" t="n">
        <v>0</v>
      </c>
      <c r="AA16" s="58" t="n">
        <v>79</v>
      </c>
      <c r="AB16" s="58" t="n">
        <v>40</v>
      </c>
      <c r="AC16" s="59" t="n">
        <f aca="false">AC15+1</f>
        <v>7</v>
      </c>
      <c r="AD16" s="74" t="n">
        <v>342</v>
      </c>
      <c r="AE16" s="78" t="n">
        <v>618</v>
      </c>
      <c r="AF16" s="75" t="n">
        <v>1496.64</v>
      </c>
    </row>
    <row r="17" customFormat="false" ht="11.1" hidden="false" customHeight="true" outlineLevel="0" collapsed="false">
      <c r="A17" s="59" t="n">
        <f aca="false">A16+1</f>
        <v>8</v>
      </c>
      <c r="B17" s="76" t="n">
        <v>6915.79</v>
      </c>
      <c r="C17" s="54" t="n">
        <v>345670</v>
      </c>
      <c r="D17" s="58" t="n">
        <f aca="false">C17-C16</f>
        <v>2004</v>
      </c>
      <c r="E17" s="54" t="n">
        <f aca="false">C17-152000</f>
        <v>193670</v>
      </c>
      <c r="F17" s="53" t="n">
        <f aca="false">D17/$D$2</f>
        <v>1010.59001512859</v>
      </c>
      <c r="G17" s="53" t="n">
        <v>1801.17</v>
      </c>
      <c r="H17" s="55" t="n">
        <v>11.54</v>
      </c>
      <c r="I17" s="53" t="n">
        <f aca="false">G17+H17</f>
        <v>1812.71</v>
      </c>
      <c r="J17" s="77" t="n">
        <f aca="false">IF(L17&gt;0,L17,0)</f>
        <v>22.210015128593</v>
      </c>
      <c r="K17" s="53" t="n">
        <f aca="false">I17+J17</f>
        <v>1834.92001512859</v>
      </c>
      <c r="L17" s="53" t="n">
        <f aca="false">F17-(I17-W17)</f>
        <v>22.210015128593</v>
      </c>
      <c r="M17" s="53" t="n">
        <v>296.4</v>
      </c>
      <c r="N17" s="53" t="n">
        <f aca="false">(29.48+29.69)*1.05</f>
        <v>62.1285</v>
      </c>
      <c r="O17" s="53" t="n">
        <f aca="false">M17-N17</f>
        <v>234.2715</v>
      </c>
      <c r="P17" s="53" t="n">
        <v>174.98</v>
      </c>
      <c r="Q17" s="53" t="n">
        <v>91.76</v>
      </c>
      <c r="R17" s="53" t="n">
        <f aca="false">SUM(O17:Q17)</f>
        <v>501.0115</v>
      </c>
      <c r="S17" s="54"/>
      <c r="T17" s="53" t="n">
        <v>206.99</v>
      </c>
      <c r="U17" s="53" t="n">
        <v>54.2</v>
      </c>
      <c r="V17" s="54" t="n">
        <f aca="false">V16-U17</f>
        <v>16765.8300226872</v>
      </c>
      <c r="W17" s="53" t="n">
        <f aca="false">R17+T17+N17+U17</f>
        <v>824.33</v>
      </c>
      <c r="X17" s="53" t="n">
        <f aca="false">IF(L17&lt;0,L17*-1,0)</f>
        <v>0</v>
      </c>
      <c r="Y17" s="53" t="n">
        <f aca="false">W17+X17</f>
        <v>824.33</v>
      </c>
      <c r="Z17" s="57" t="n">
        <v>0</v>
      </c>
      <c r="AA17" s="58" t="n">
        <v>78</v>
      </c>
      <c r="AB17" s="58" t="n">
        <v>40</v>
      </c>
      <c r="AC17" s="59" t="n">
        <f aca="false">AC16+1</f>
        <v>8</v>
      </c>
      <c r="AD17" s="74" t="n">
        <v>367</v>
      </c>
      <c r="AE17" s="78" t="n">
        <v>704</v>
      </c>
      <c r="AF17" s="75" t="n">
        <v>1526.51</v>
      </c>
    </row>
    <row r="18" customFormat="false" ht="11.1" hidden="false" customHeight="true" outlineLevel="0" collapsed="false">
      <c r="A18" s="59" t="n">
        <f aca="false">A17+1</f>
        <v>9</v>
      </c>
      <c r="B18" s="76" t="n">
        <v>6916.26</v>
      </c>
      <c r="C18" s="54" t="n">
        <v>347640</v>
      </c>
      <c r="D18" s="58" t="n">
        <f aca="false">C18-C17</f>
        <v>1970</v>
      </c>
      <c r="E18" s="54" t="n">
        <f aca="false">C18-152000</f>
        <v>195640</v>
      </c>
      <c r="F18" s="53" t="n">
        <f aca="false">D18/$D$2</f>
        <v>993.444276348966</v>
      </c>
      <c r="G18" s="53" t="n">
        <v>1939.93</v>
      </c>
      <c r="H18" s="55" t="n">
        <v>9.22</v>
      </c>
      <c r="I18" s="53" t="n">
        <f aca="false">G18+H18</f>
        <v>1949.15</v>
      </c>
      <c r="J18" s="77" t="n">
        <f aca="false">IF(L18&gt;0,L18,0)</f>
        <v>0</v>
      </c>
      <c r="K18" s="53" t="n">
        <f aca="false">I18+J18</f>
        <v>1949.15</v>
      </c>
      <c r="L18" s="53" t="n">
        <f aca="false">F18-(I18-W18)</f>
        <v>-97.5157236510339</v>
      </c>
      <c r="M18" s="53" t="n">
        <v>296.89</v>
      </c>
      <c r="N18" s="53" t="n">
        <f aca="false">(24.6+26.72)*1.05</f>
        <v>53.886</v>
      </c>
      <c r="O18" s="53" t="n">
        <f aca="false">M18-N18</f>
        <v>243.004</v>
      </c>
      <c r="P18" s="53" t="n">
        <v>174.9</v>
      </c>
      <c r="Q18" s="53" t="n">
        <v>90.92</v>
      </c>
      <c r="R18" s="53" t="n">
        <f aca="false">SUM(O18:Q18)</f>
        <v>508.824</v>
      </c>
      <c r="S18" s="54"/>
      <c r="T18" s="53" t="n">
        <v>241.28</v>
      </c>
      <c r="U18" s="53" t="n">
        <v>54.2</v>
      </c>
      <c r="V18" s="54" t="n">
        <f aca="false">V17-U18</f>
        <v>16711.6300226872</v>
      </c>
      <c r="W18" s="53" t="n">
        <f aca="false">R18+T18+N18+U18</f>
        <v>858.19</v>
      </c>
      <c r="X18" s="53" t="n">
        <f aca="false">IF(L18&lt;0,L18*-1,0)</f>
        <v>97.5157236510339</v>
      </c>
      <c r="Y18" s="53" t="n">
        <f aca="false">W18+X18</f>
        <v>955.705723651034</v>
      </c>
      <c r="Z18" s="57" t="n">
        <v>0</v>
      </c>
      <c r="AA18" s="86" t="n">
        <v>73</v>
      </c>
      <c r="AB18" s="58" t="n">
        <v>43</v>
      </c>
      <c r="AC18" s="59" t="n">
        <f aca="false">AC17+1</f>
        <v>9</v>
      </c>
      <c r="AD18" s="74" t="n">
        <v>390</v>
      </c>
      <c r="AE18" s="78" t="n">
        <v>805</v>
      </c>
      <c r="AF18" s="75" t="n">
        <v>1561.24</v>
      </c>
    </row>
    <row r="19" customFormat="false" ht="11.1" hidden="false" customHeight="true" outlineLevel="0" collapsed="false">
      <c r="A19" s="59" t="n">
        <f aca="false">A18+1</f>
        <v>10</v>
      </c>
      <c r="B19" s="76" t="n">
        <v>6916.57</v>
      </c>
      <c r="C19" s="54" t="n">
        <v>348945</v>
      </c>
      <c r="D19" s="58" t="n">
        <f aca="false">C19-C18</f>
        <v>1305</v>
      </c>
      <c r="E19" s="54" t="n">
        <f aca="false">C19-152000</f>
        <v>196945</v>
      </c>
      <c r="F19" s="53" t="n">
        <f aca="false">D19/$D$2</f>
        <v>658.093797276853</v>
      </c>
      <c r="G19" s="53" t="n">
        <v>1683.23</v>
      </c>
      <c r="H19" s="55" t="n">
        <v>5.15</v>
      </c>
      <c r="I19" s="53" t="n">
        <f aca="false">G19+H19</f>
        <v>1688.38</v>
      </c>
      <c r="J19" s="77" t="n">
        <f aca="false">IF(L19&gt;0,L19,0)</f>
        <v>0</v>
      </c>
      <c r="K19" s="53" t="n">
        <f aca="false">I19+J19</f>
        <v>1688.38</v>
      </c>
      <c r="L19" s="53" t="n">
        <f aca="false">F19-(I19-W19)</f>
        <v>-160.136202723147</v>
      </c>
      <c r="M19" s="53" t="n">
        <v>302.93</v>
      </c>
      <c r="N19" s="53" t="n">
        <f aca="false">(26.07+28.41)*1.05</f>
        <v>57.204</v>
      </c>
      <c r="O19" s="53" t="n">
        <f aca="false">M19-N19</f>
        <v>245.726</v>
      </c>
      <c r="P19" s="53" t="n">
        <v>175.26</v>
      </c>
      <c r="Q19" s="53" t="n">
        <v>91.02</v>
      </c>
      <c r="R19" s="53" t="n">
        <f aca="false">SUM(O19:Q19)</f>
        <v>512.006</v>
      </c>
      <c r="S19" s="54"/>
      <c r="T19" s="53" t="n">
        <v>246.74</v>
      </c>
      <c r="U19" s="53" t="n">
        <v>54.2</v>
      </c>
      <c r="V19" s="54" t="n">
        <f aca="false">V18-U19</f>
        <v>16657.4300226872</v>
      </c>
      <c r="W19" s="53" t="n">
        <f aca="false">R19+T19+N19+U19</f>
        <v>870.15</v>
      </c>
      <c r="X19" s="53" t="n">
        <f aca="false">IF(L19&lt;0,L19*-1,0)</f>
        <v>160.136202723147</v>
      </c>
      <c r="Y19" s="53" t="n">
        <f aca="false">W19+X19</f>
        <v>1030.28620272315</v>
      </c>
      <c r="Z19" s="57" t="n">
        <v>0</v>
      </c>
      <c r="AA19" s="58" t="n">
        <v>74</v>
      </c>
      <c r="AB19" s="58" t="n">
        <v>40</v>
      </c>
      <c r="AC19" s="59" t="n">
        <f aca="false">AC18+1</f>
        <v>10</v>
      </c>
      <c r="AD19" s="74" t="n">
        <v>437</v>
      </c>
      <c r="AE19" s="78" t="n">
        <v>920</v>
      </c>
      <c r="AF19" s="75" t="n">
        <v>1600.39</v>
      </c>
    </row>
    <row r="20" customFormat="false" ht="11.1" hidden="false" customHeight="true" outlineLevel="0" collapsed="false">
      <c r="A20" s="59" t="n">
        <f aca="false">A19+1</f>
        <v>11</v>
      </c>
      <c r="B20" s="76" t="n">
        <v>6916.99</v>
      </c>
      <c r="C20" s="54" t="n">
        <v>350712</v>
      </c>
      <c r="D20" s="58" t="n">
        <f aca="false">C20-C19</f>
        <v>1767</v>
      </c>
      <c r="E20" s="54" t="n">
        <f aca="false">C20-152000</f>
        <v>198712</v>
      </c>
      <c r="F20" s="53" t="n">
        <f aca="false">D20/$D$2</f>
        <v>891.0741301059</v>
      </c>
      <c r="G20" s="53" t="n">
        <v>1746.68</v>
      </c>
      <c r="H20" s="55" t="n">
        <v>4.2</v>
      </c>
      <c r="I20" s="53" t="n">
        <f aca="false">G20+H20</f>
        <v>1750.88</v>
      </c>
      <c r="J20" s="77" t="n">
        <f aca="false">IF(L20&gt;0,L20,0)</f>
        <v>26.6941301059001</v>
      </c>
      <c r="K20" s="53" t="n">
        <f aca="false">I20+J20</f>
        <v>1777.5741301059</v>
      </c>
      <c r="L20" s="53" t="n">
        <f aca="false">F20-(I20-W20)</f>
        <v>26.6941301059001</v>
      </c>
      <c r="M20" s="53" t="n">
        <v>307.36</v>
      </c>
      <c r="N20" s="53" t="n">
        <f aca="false">(25.47+24.86)*1.05</f>
        <v>52.8465</v>
      </c>
      <c r="O20" s="53" t="n">
        <f aca="false">M20-N20</f>
        <v>254.5135</v>
      </c>
      <c r="P20" s="53" t="n">
        <v>189.48</v>
      </c>
      <c r="Q20" s="53" t="n">
        <v>91.38</v>
      </c>
      <c r="R20" s="53" t="n">
        <f aca="false">SUM(O20:Q20)</f>
        <v>535.3735</v>
      </c>
      <c r="S20" s="54"/>
      <c r="T20" s="53" t="n">
        <v>244.08</v>
      </c>
      <c r="U20" s="53" t="n">
        <v>54.2</v>
      </c>
      <c r="V20" s="54" t="n">
        <f aca="false">V19-U20</f>
        <v>16603.2300226872</v>
      </c>
      <c r="W20" s="53" t="n">
        <f aca="false">R20+T20+N20+U20</f>
        <v>886.5</v>
      </c>
      <c r="X20" s="53" t="n">
        <f aca="false">IF(L20&lt;0,L20*-1,0)</f>
        <v>0</v>
      </c>
      <c r="Y20" s="53" t="n">
        <f aca="false">W20+X20</f>
        <v>886.5</v>
      </c>
      <c r="Z20" s="57" t="n">
        <v>0</v>
      </c>
      <c r="AA20" s="58" t="n">
        <v>82</v>
      </c>
      <c r="AB20" s="58" t="n">
        <v>45</v>
      </c>
      <c r="AC20" s="59" t="n">
        <f aca="false">AC19+1</f>
        <v>11</v>
      </c>
      <c r="AD20" s="74" t="n">
        <v>498</v>
      </c>
      <c r="AE20" s="78" t="n">
        <v>1048</v>
      </c>
      <c r="AF20" s="75" t="n">
        <v>1642</v>
      </c>
    </row>
    <row r="21" customFormat="false" ht="11.1" hidden="false" customHeight="true" outlineLevel="0" collapsed="false">
      <c r="A21" s="59" t="n">
        <f aca="false">A20+1</f>
        <v>12</v>
      </c>
      <c r="B21" s="76" t="n">
        <v>6917.46</v>
      </c>
      <c r="C21" s="54" t="n">
        <v>352704</v>
      </c>
      <c r="D21" s="58" t="n">
        <f aca="false">C21-C20</f>
        <v>1992</v>
      </c>
      <c r="E21" s="54" t="n">
        <f aca="false">C21-152000</f>
        <v>200704</v>
      </c>
      <c r="F21" s="53" t="n">
        <f aca="false">D21/$D$2</f>
        <v>1004.53857791225</v>
      </c>
      <c r="G21" s="53" t="n">
        <v>1976.06</v>
      </c>
      <c r="H21" s="55" t="n">
        <v>3.65</v>
      </c>
      <c r="I21" s="53" t="n">
        <f aca="false">G21+H21</f>
        <v>1979.71</v>
      </c>
      <c r="J21" s="77" t="n">
        <f aca="false">IF(L21&gt;0,L21,0)</f>
        <v>0</v>
      </c>
      <c r="K21" s="53" t="n">
        <f aca="false">I21+J21</f>
        <v>1979.71</v>
      </c>
      <c r="L21" s="53" t="n">
        <f aca="false">F21-(I21-W21)</f>
        <v>-99.071422087746</v>
      </c>
      <c r="M21" s="53" t="n">
        <v>301.5</v>
      </c>
      <c r="N21" s="53" t="n">
        <f aca="false">(23.7+23.32)*1.05</f>
        <v>49.371</v>
      </c>
      <c r="O21" s="53" t="n">
        <f aca="false">M21-N21</f>
        <v>252.129</v>
      </c>
      <c r="P21" s="53" t="n">
        <v>198.7</v>
      </c>
      <c r="Q21" s="53" t="n">
        <v>90.72</v>
      </c>
      <c r="R21" s="53" t="n">
        <f aca="false">SUM(O21:Q21)</f>
        <v>541.549</v>
      </c>
      <c r="S21" s="54"/>
      <c r="T21" s="53" t="n">
        <v>230.98</v>
      </c>
      <c r="U21" s="53" t="n">
        <v>54.2</v>
      </c>
      <c r="V21" s="54" t="n">
        <f aca="false">V20-U21</f>
        <v>16549.0300226872</v>
      </c>
      <c r="W21" s="53" t="n">
        <f aca="false">R21+T21+N21+U21</f>
        <v>876.1</v>
      </c>
      <c r="X21" s="53" t="n">
        <f aca="false">IF(L21&lt;0,L21*-1,0)</f>
        <v>99.071422087746</v>
      </c>
      <c r="Y21" s="53" t="n">
        <f aca="false">W21+X21</f>
        <v>975.171422087746</v>
      </c>
      <c r="Z21" s="57" t="n">
        <v>0</v>
      </c>
      <c r="AA21" s="58" t="n">
        <v>86</v>
      </c>
      <c r="AB21" s="58" t="n">
        <v>50</v>
      </c>
      <c r="AC21" s="59" t="n">
        <f aca="false">AC20+1</f>
        <v>12</v>
      </c>
      <c r="AD21" s="74" t="n">
        <v>572</v>
      </c>
      <c r="AE21" s="78" t="n">
        <v>1182</v>
      </c>
      <c r="AF21" s="75" t="n">
        <v>1683.42</v>
      </c>
    </row>
    <row r="22" customFormat="false" ht="11.1" hidden="false" customHeight="true" outlineLevel="0" collapsed="false">
      <c r="A22" s="59" t="n">
        <f aca="false">A21+1</f>
        <v>13</v>
      </c>
      <c r="B22" s="76" t="n">
        <v>6917.96</v>
      </c>
      <c r="C22" s="54" t="n">
        <v>354824</v>
      </c>
      <c r="D22" s="58" t="n">
        <f aca="false">C22-C21</f>
        <v>2120</v>
      </c>
      <c r="E22" s="54" t="n">
        <f aca="false">C22-152000</f>
        <v>202824</v>
      </c>
      <c r="F22" s="53" t="n">
        <f aca="false">D22/$D$2</f>
        <v>1069.0872415532</v>
      </c>
      <c r="G22" s="96" t="n">
        <v>2088.94</v>
      </c>
      <c r="H22" s="55" t="n">
        <v>3.33</v>
      </c>
      <c r="I22" s="53" t="n">
        <f aca="false">G22+H22</f>
        <v>2092.27</v>
      </c>
      <c r="J22" s="77" t="n">
        <f aca="false">IF(L22&gt;0,L22,0)</f>
        <v>0</v>
      </c>
      <c r="K22" s="53" t="n">
        <f aca="false">I22+J22</f>
        <v>2092.27</v>
      </c>
      <c r="L22" s="53" t="n">
        <f aca="false">F22-(I22-W22)</f>
        <v>-145.412758446798</v>
      </c>
      <c r="M22" s="53" t="n">
        <v>278.63</v>
      </c>
      <c r="N22" s="53" t="n">
        <f aca="false">(21.29+21.3)*1.05</f>
        <v>44.7195</v>
      </c>
      <c r="O22" s="53" t="n">
        <f aca="false">M22-N22</f>
        <v>233.9105</v>
      </c>
      <c r="P22" s="53" t="n">
        <v>198.48</v>
      </c>
      <c r="Q22" s="53" t="n">
        <v>88.84</v>
      </c>
      <c r="R22" s="53" t="n">
        <f aca="false">SUM(O22:Q22)</f>
        <v>521.2305</v>
      </c>
      <c r="S22" s="54"/>
      <c r="T22" s="53" t="n">
        <v>257.62</v>
      </c>
      <c r="U22" s="53" t="n">
        <v>54.2</v>
      </c>
      <c r="V22" s="54" t="n">
        <f aca="false">V21-U22</f>
        <v>16494.8300226872</v>
      </c>
      <c r="W22" s="53" t="n">
        <f aca="false">R22+T22+N22+U22</f>
        <v>877.77</v>
      </c>
      <c r="X22" s="53" t="n">
        <f aca="false">IF(L22&lt;0,L22*-1,0)</f>
        <v>145.412758446798</v>
      </c>
      <c r="Y22" s="53" t="n">
        <f aca="false">W22+X22</f>
        <v>1023.1827584468</v>
      </c>
      <c r="Z22" s="57" t="n">
        <v>0</v>
      </c>
      <c r="AA22" s="58" t="n">
        <v>84</v>
      </c>
      <c r="AB22" s="58" t="n">
        <v>46</v>
      </c>
      <c r="AC22" s="59" t="n">
        <f aca="false">AC21+1</f>
        <v>13</v>
      </c>
      <c r="AD22" s="74" t="n">
        <v>716</v>
      </c>
      <c r="AE22" s="78" t="n">
        <v>1339</v>
      </c>
      <c r="AF22" s="75" t="n">
        <v>1725.1</v>
      </c>
    </row>
    <row r="23" customFormat="false" ht="11.1" hidden="false" customHeight="true" outlineLevel="0" collapsed="false">
      <c r="A23" s="59" t="n">
        <f aca="false">A22+1</f>
        <v>14</v>
      </c>
      <c r="B23" s="76" t="n">
        <v>6918.46</v>
      </c>
      <c r="C23" s="54" t="n">
        <v>356959</v>
      </c>
      <c r="D23" s="58" t="n">
        <f aca="false">C23-C22</f>
        <v>2135</v>
      </c>
      <c r="E23" s="54" t="n">
        <f aca="false">C23-152000</f>
        <v>204959</v>
      </c>
      <c r="F23" s="53" t="n">
        <f aca="false">D23/$D$2</f>
        <v>1076.65153807363</v>
      </c>
      <c r="G23" s="53" t="n">
        <v>2067.3</v>
      </c>
      <c r="H23" s="55" t="n">
        <v>3.68</v>
      </c>
      <c r="I23" s="53" t="n">
        <f aca="false">G23+H23</f>
        <v>2070.98</v>
      </c>
      <c r="J23" s="77" t="n">
        <f aca="false">IF(L23&gt;0,L23,0)</f>
        <v>0</v>
      </c>
      <c r="K23" s="53" t="n">
        <f aca="false">I23+J23</f>
        <v>2070.98</v>
      </c>
      <c r="L23" s="53" t="n">
        <f aca="false">F23-(I23-W23)</f>
        <v>-90.9684619263742</v>
      </c>
      <c r="M23" s="53" t="n">
        <v>304.06</v>
      </c>
      <c r="N23" s="53" t="n">
        <f aca="false">(20.18+19.21)*1.05</f>
        <v>41.3595</v>
      </c>
      <c r="O23" s="53" t="n">
        <f aca="false">M23-N23</f>
        <v>262.7005</v>
      </c>
      <c r="P23" s="53" t="n">
        <v>199.35</v>
      </c>
      <c r="Q23" s="53" t="n">
        <v>87.28</v>
      </c>
      <c r="R23" s="53" t="n">
        <f aca="false">SUM(O23:Q23)</f>
        <v>549.3305</v>
      </c>
      <c r="S23" s="54"/>
      <c r="T23" s="53" t="n">
        <v>258.43</v>
      </c>
      <c r="U23" s="53" t="n">
        <v>54.24</v>
      </c>
      <c r="V23" s="54" t="n">
        <f aca="false">V22-U23</f>
        <v>16440.5900226872</v>
      </c>
      <c r="W23" s="53" t="n">
        <f aca="false">R23+T23+N23+U23</f>
        <v>903.36</v>
      </c>
      <c r="X23" s="53" t="n">
        <f aca="false">IF(L23&lt;0,L23*-1,0)</f>
        <v>90.9684619263742</v>
      </c>
      <c r="Y23" s="53" t="n">
        <f aca="false">W23+X23</f>
        <v>994.328461926374</v>
      </c>
      <c r="Z23" s="57" t="n">
        <v>0</v>
      </c>
      <c r="AA23" s="86" t="n">
        <v>83</v>
      </c>
      <c r="AB23" s="58" t="n">
        <v>48</v>
      </c>
      <c r="AC23" s="59" t="n">
        <f aca="false">AC22+1</f>
        <v>14</v>
      </c>
      <c r="AD23" s="74" t="n">
        <v>901</v>
      </c>
      <c r="AE23" s="78" t="n">
        <v>1500</v>
      </c>
      <c r="AF23" s="75" t="n">
        <v>1766.22</v>
      </c>
    </row>
    <row r="24" customFormat="false" ht="11.1" hidden="false" customHeight="true" outlineLevel="0" collapsed="false">
      <c r="A24" s="59" t="n">
        <f aca="false">A23+1</f>
        <v>15</v>
      </c>
      <c r="B24" s="76" t="n">
        <v>6918.95</v>
      </c>
      <c r="C24" s="54" t="n">
        <v>359053</v>
      </c>
      <c r="D24" s="58" t="n">
        <f aca="false">C24-C23</f>
        <v>2094</v>
      </c>
      <c r="E24" s="54" t="n">
        <f aca="false">C24-152000</f>
        <v>207053</v>
      </c>
      <c r="F24" s="53" t="n">
        <f aca="false">D24/$D$2</f>
        <v>1055.97579425113</v>
      </c>
      <c r="G24" s="53" t="n">
        <v>2051.39</v>
      </c>
      <c r="H24" s="55" t="n">
        <v>2.9</v>
      </c>
      <c r="I24" s="53" t="n">
        <f aca="false">G24+H24</f>
        <v>2054.29</v>
      </c>
      <c r="J24" s="77" t="n">
        <f aca="false">IF(L24&gt;0,L24,0)</f>
        <v>0</v>
      </c>
      <c r="K24" s="96" t="n">
        <f aca="false">I24+J24</f>
        <v>2054.29</v>
      </c>
      <c r="L24" s="53" t="n">
        <f aca="false">F24-(I24-W24)</f>
        <v>-80.0042057488654</v>
      </c>
      <c r="M24" s="53" t="n">
        <v>300.57</v>
      </c>
      <c r="N24" s="53" t="n">
        <f aca="false">(22.02+21.75)*1.05</f>
        <v>45.9585</v>
      </c>
      <c r="O24" s="53" t="n">
        <f aca="false">M24-N24</f>
        <v>254.6115</v>
      </c>
      <c r="P24" s="53" t="n">
        <v>199.65</v>
      </c>
      <c r="Q24" s="53" t="n">
        <v>86.84</v>
      </c>
      <c r="R24" s="53" t="n">
        <f aca="false">SUM(O24:Q24)</f>
        <v>541.1015</v>
      </c>
      <c r="S24" s="54"/>
      <c r="T24" s="53" t="n">
        <v>276.82</v>
      </c>
      <c r="U24" s="53" t="n">
        <v>54.43</v>
      </c>
      <c r="V24" s="54" t="n">
        <f aca="false">V23-U24</f>
        <v>16386.1600226872</v>
      </c>
      <c r="W24" s="53" t="n">
        <f aca="false">R24+T24+N24+U24</f>
        <v>918.31</v>
      </c>
      <c r="X24" s="53" t="n">
        <f aca="false">IF(L24&lt;0,L24*-1,0)</f>
        <v>80.0042057488654</v>
      </c>
      <c r="Y24" s="53" t="n">
        <f aca="false">W24+X24</f>
        <v>998.314205748865</v>
      </c>
      <c r="Z24" s="57" t="n">
        <v>0</v>
      </c>
      <c r="AA24" s="86" t="n">
        <v>82</v>
      </c>
      <c r="AB24" s="58" t="n">
        <v>47</v>
      </c>
      <c r="AC24" s="59" t="n">
        <f aca="false">AC23+1</f>
        <v>15</v>
      </c>
      <c r="AD24" s="74" t="n">
        <v>1075</v>
      </c>
      <c r="AE24" s="78" t="n">
        <v>1662</v>
      </c>
      <c r="AF24" s="75" t="n">
        <v>1807.54</v>
      </c>
    </row>
    <row r="25" customFormat="false" ht="11.1" hidden="false" customHeight="true" outlineLevel="0" collapsed="false">
      <c r="A25" s="59" t="n">
        <f aca="false">A24+1</f>
        <v>16</v>
      </c>
      <c r="B25" s="76" t="n">
        <v>6919.45</v>
      </c>
      <c r="C25" s="54" t="n">
        <v>361205</v>
      </c>
      <c r="D25" s="58" t="n">
        <f aca="false">C25-C24</f>
        <v>2152</v>
      </c>
      <c r="E25" s="54" t="n">
        <f aca="false">C25-152000</f>
        <v>209205</v>
      </c>
      <c r="F25" s="53" t="n">
        <f aca="false">D25/$D$2</f>
        <v>1085.22440746344</v>
      </c>
      <c r="G25" s="53" t="n">
        <v>2049.22</v>
      </c>
      <c r="H25" s="55" t="n">
        <v>2.27</v>
      </c>
      <c r="I25" s="53" t="n">
        <f aca="false">G25+H25</f>
        <v>2051.49</v>
      </c>
      <c r="J25" s="77" t="n">
        <f aca="false">IF(L25&gt;0,L25,0)</f>
        <v>0</v>
      </c>
      <c r="K25" s="53" t="n">
        <f aca="false">I25+J25</f>
        <v>2051.49</v>
      </c>
      <c r="L25" s="53" t="n">
        <f aca="false">F25-(I25-W25)</f>
        <v>-46.4455925365605</v>
      </c>
      <c r="M25" s="53" t="n">
        <v>298.17</v>
      </c>
      <c r="N25" s="53" t="n">
        <f aca="false">(21.88+21.8)*1.05</f>
        <v>45.864</v>
      </c>
      <c r="O25" s="53" t="n">
        <f aca="false">M25-N25</f>
        <v>252.306</v>
      </c>
      <c r="P25" s="53" t="n">
        <v>200.41</v>
      </c>
      <c r="Q25" s="53" t="n">
        <v>87.78</v>
      </c>
      <c r="R25" s="53" t="n">
        <f aca="false">SUM(O25:Q25)</f>
        <v>540.496</v>
      </c>
      <c r="S25" s="54"/>
      <c r="T25" s="96" t="n">
        <v>278.63</v>
      </c>
      <c r="U25" s="53" t="n">
        <v>54.83</v>
      </c>
      <c r="V25" s="54" t="n">
        <f aca="false">V24-U25</f>
        <v>16331.3300226872</v>
      </c>
      <c r="W25" s="53" t="n">
        <f aca="false">R25+T25+N25+U25</f>
        <v>919.82</v>
      </c>
      <c r="X25" s="53" t="n">
        <f aca="false">IF(L25&lt;0,L25*-1,0)</f>
        <v>46.4455925365605</v>
      </c>
      <c r="Y25" s="53" t="n">
        <f aca="false">W25+X25</f>
        <v>966.265592536561</v>
      </c>
      <c r="Z25" s="57" t="n">
        <v>0</v>
      </c>
      <c r="AA25" s="86" t="n">
        <v>80</v>
      </c>
      <c r="AB25" s="58" t="n">
        <v>46</v>
      </c>
      <c r="AC25" s="59" t="n">
        <f aca="false">AC24+1</f>
        <v>16</v>
      </c>
      <c r="AD25" s="74" t="n">
        <v>1313</v>
      </c>
      <c r="AE25" s="87" t="n">
        <v>1828</v>
      </c>
      <c r="AF25" s="75" t="n">
        <v>1858.73</v>
      </c>
    </row>
    <row r="26" customFormat="false" ht="11.1" hidden="false" customHeight="true" outlineLevel="0" collapsed="false">
      <c r="A26" s="59" t="n">
        <f aca="false">A25+1</f>
        <v>17</v>
      </c>
      <c r="B26" s="76" t="n">
        <v>6920.02</v>
      </c>
      <c r="C26" s="54" t="n">
        <v>363660</v>
      </c>
      <c r="D26" s="58" t="n">
        <f aca="false">C26-C25</f>
        <v>2455</v>
      </c>
      <c r="E26" s="54" t="n">
        <f aca="false">C26-152000</f>
        <v>211660</v>
      </c>
      <c r="F26" s="53" t="n">
        <f aca="false">D26/$D$2</f>
        <v>1238.023197176</v>
      </c>
      <c r="G26" s="53" t="n">
        <v>2029.55</v>
      </c>
      <c r="H26" s="55" t="n">
        <v>1.72</v>
      </c>
      <c r="I26" s="53" t="n">
        <f aca="false">G26+H26</f>
        <v>2031.27</v>
      </c>
      <c r="J26" s="77" t="n">
        <f aca="false">IF(L26&gt;0,L26,0)</f>
        <v>109.953197175996</v>
      </c>
      <c r="K26" s="96" t="n">
        <f aca="false">I26+J26</f>
        <v>2141.223197176</v>
      </c>
      <c r="L26" s="53" t="n">
        <f aca="false">F26-(I26-W26)</f>
        <v>109.953197175996</v>
      </c>
      <c r="M26" s="53" t="n">
        <v>306.44</v>
      </c>
      <c r="N26" s="53" t="n">
        <f aca="false">(20.52+19.68)*1.05</f>
        <v>42.21</v>
      </c>
      <c r="O26" s="53" t="n">
        <f aca="false">M26-N26</f>
        <v>264.23</v>
      </c>
      <c r="P26" s="53" t="n">
        <v>200.93</v>
      </c>
      <c r="Q26" s="53" t="n">
        <v>88.85</v>
      </c>
      <c r="R26" s="53" t="n">
        <f aca="false">SUM(O26:Q26)</f>
        <v>554.01</v>
      </c>
      <c r="S26" s="54"/>
      <c r="T26" s="53" t="n">
        <v>251.88</v>
      </c>
      <c r="U26" s="53" t="n">
        <v>55.1</v>
      </c>
      <c r="V26" s="54" t="n">
        <f aca="false">V25-U26</f>
        <v>16276.2300226872</v>
      </c>
      <c r="W26" s="53" t="n">
        <f aca="false">R26+T26+N26+U26</f>
        <v>903.2</v>
      </c>
      <c r="X26" s="53" t="n">
        <f aca="false">IF(L26&lt;0,L26*-1,0)</f>
        <v>0</v>
      </c>
      <c r="Y26" s="53" t="n">
        <f aca="false">W26+X26</f>
        <v>903.2</v>
      </c>
      <c r="Z26" s="57" t="n">
        <v>0</v>
      </c>
      <c r="AA26" s="86" t="n">
        <v>77</v>
      </c>
      <c r="AB26" s="58" t="n">
        <v>45</v>
      </c>
      <c r="AC26" s="59" t="n">
        <f aca="false">AC25+1</f>
        <v>17</v>
      </c>
      <c r="AD26" s="74" t="n">
        <v>1559</v>
      </c>
      <c r="AE26" s="78" t="n">
        <v>1968</v>
      </c>
      <c r="AF26" s="75" t="n">
        <v>1921.09</v>
      </c>
    </row>
    <row r="27" customFormat="false" ht="11.1" hidden="false" customHeight="true" outlineLevel="0" collapsed="false">
      <c r="A27" s="59" t="n">
        <f aca="false">A26+1</f>
        <v>18</v>
      </c>
      <c r="B27" s="76" t="n">
        <v>6920.42</v>
      </c>
      <c r="C27" s="54" t="n">
        <v>365397</v>
      </c>
      <c r="D27" s="58" t="n">
        <f aca="false">C27-C26</f>
        <v>1737</v>
      </c>
      <c r="E27" s="54" t="n">
        <f aca="false">C27-152000</f>
        <v>213397</v>
      </c>
      <c r="F27" s="53" t="n">
        <f aca="false">D27/$D$2</f>
        <v>875.945537065053</v>
      </c>
      <c r="G27" s="53" t="n">
        <v>1884.93</v>
      </c>
      <c r="H27" s="55" t="n">
        <v>1.57</v>
      </c>
      <c r="I27" s="53" t="n">
        <f aca="false">G27+H27</f>
        <v>1886.5</v>
      </c>
      <c r="J27" s="77" t="n">
        <f aca="false">IF(L27&gt;0,L27,0)</f>
        <v>0</v>
      </c>
      <c r="K27" s="53" t="n">
        <f aca="false">I27+J27</f>
        <v>1886.5</v>
      </c>
      <c r="L27" s="53" t="n">
        <f aca="false">F27-(I27-W27)</f>
        <v>-85.7944629349471</v>
      </c>
      <c r="M27" s="53" t="n">
        <v>316.74</v>
      </c>
      <c r="N27" s="53" t="n">
        <f aca="false">(25.45+23.71)*1.05</f>
        <v>51.618</v>
      </c>
      <c r="O27" s="53" t="n">
        <f aca="false">M27-N27</f>
        <v>265.122</v>
      </c>
      <c r="P27" s="53" t="n">
        <v>200.08</v>
      </c>
      <c r="Q27" s="53" t="n">
        <v>88.39</v>
      </c>
      <c r="R27" s="53" t="n">
        <f aca="false">SUM(O27:Q27)</f>
        <v>553.592</v>
      </c>
      <c r="S27" s="54"/>
      <c r="T27" s="53" t="n">
        <v>264.41</v>
      </c>
      <c r="U27" s="53" t="n">
        <v>55.14</v>
      </c>
      <c r="V27" s="54" t="n">
        <f aca="false">V26-U27</f>
        <v>16221.0900226872</v>
      </c>
      <c r="W27" s="53" t="n">
        <f aca="false">R27+T27+N27+U27</f>
        <v>924.76</v>
      </c>
      <c r="X27" s="53" t="n">
        <f aca="false">IF(L27&lt;0,L27*-1,0)</f>
        <v>85.7944629349471</v>
      </c>
      <c r="Y27" s="53" t="n">
        <f aca="false">W27+X27</f>
        <v>1010.55446293495</v>
      </c>
      <c r="Z27" s="57" t="n">
        <v>0</v>
      </c>
      <c r="AA27" s="86" t="n">
        <v>81</v>
      </c>
      <c r="AB27" s="58" t="n">
        <v>46</v>
      </c>
      <c r="AC27" s="59" t="n">
        <f aca="false">AC26+1</f>
        <v>18</v>
      </c>
      <c r="AD27" s="74" t="n">
        <v>1867</v>
      </c>
      <c r="AE27" s="78" t="n">
        <v>2133</v>
      </c>
      <c r="AF27" s="75" t="n">
        <v>1990.83</v>
      </c>
    </row>
    <row r="28" customFormat="false" ht="11.1" hidden="false" customHeight="true" outlineLevel="0" collapsed="false">
      <c r="A28" s="59" t="n">
        <f aca="false">A27+1</f>
        <v>19</v>
      </c>
      <c r="B28" s="76" t="n">
        <v>6920.8</v>
      </c>
      <c r="C28" s="91" t="n">
        <v>367046</v>
      </c>
      <c r="D28" s="58" t="n">
        <f aca="false">C28-C27</f>
        <v>1649</v>
      </c>
      <c r="E28" s="54" t="n">
        <f aca="false">C28-152000</f>
        <v>215046</v>
      </c>
      <c r="F28" s="53" t="n">
        <f aca="false">D28/$D$2</f>
        <v>831.568330811901</v>
      </c>
      <c r="G28" s="53" t="n">
        <v>1769.42</v>
      </c>
      <c r="H28" s="55" t="n">
        <v>1.31</v>
      </c>
      <c r="I28" s="53" t="n">
        <f aca="false">G28+H28</f>
        <v>1770.73</v>
      </c>
      <c r="J28" s="77" t="n">
        <f aca="false">IF(L28&gt;0,L28,0)</f>
        <v>0</v>
      </c>
      <c r="K28" s="53" t="n">
        <f aca="false">I28+J28</f>
        <v>1770.73</v>
      </c>
      <c r="L28" s="53" t="n">
        <f aca="false">F28-(I28-W28)</f>
        <v>-14.571669188099</v>
      </c>
      <c r="M28" s="53" t="n">
        <v>329.01</v>
      </c>
      <c r="N28" s="96" t="n">
        <f aca="false">(28.22+27.91)*1.05</f>
        <v>58.9365</v>
      </c>
      <c r="O28" s="53" t="n">
        <f aca="false">M28-N28</f>
        <v>270.0735</v>
      </c>
      <c r="P28" s="53" t="n">
        <v>201.02</v>
      </c>
      <c r="Q28" s="53" t="n">
        <v>87.51</v>
      </c>
      <c r="R28" s="53" t="n">
        <f aca="false">SUM(O28:Q28)</f>
        <v>558.6035</v>
      </c>
      <c r="S28" s="54"/>
      <c r="T28" s="53" t="n">
        <v>251.91</v>
      </c>
      <c r="U28" s="53" t="n">
        <v>55.14</v>
      </c>
      <c r="V28" s="54" t="n">
        <f aca="false">V27-U28</f>
        <v>16165.9500226872</v>
      </c>
      <c r="W28" s="53" t="n">
        <f aca="false">R28+T28+N28+U28</f>
        <v>924.59</v>
      </c>
      <c r="X28" s="53" t="n">
        <f aca="false">IF(L28&lt;0,L28*-1,0)</f>
        <v>14.571669188099</v>
      </c>
      <c r="Y28" s="53" t="n">
        <f aca="false">W28+X28</f>
        <v>939.161669188099</v>
      </c>
      <c r="Z28" s="57" t="n">
        <v>0</v>
      </c>
      <c r="AA28" s="86" t="n">
        <v>80</v>
      </c>
      <c r="AB28" s="58" t="n">
        <v>57</v>
      </c>
      <c r="AC28" s="59" t="n">
        <f aca="false">AC27+1</f>
        <v>19</v>
      </c>
      <c r="AD28" s="74" t="n">
        <v>2157</v>
      </c>
      <c r="AE28" s="78" t="n">
        <v>2304</v>
      </c>
      <c r="AF28" s="75" t="n">
        <v>2064.09</v>
      </c>
    </row>
    <row r="29" customFormat="false" ht="11.1" hidden="false" customHeight="true" outlineLevel="0" collapsed="false">
      <c r="A29" s="59" t="n">
        <f aca="false">A28+1</f>
        <v>20</v>
      </c>
      <c r="B29" s="76" t="n">
        <v>6921.05</v>
      </c>
      <c r="C29" s="54" t="n">
        <v>368134</v>
      </c>
      <c r="D29" s="58" t="n">
        <f aca="false">C29-C28</f>
        <v>1088</v>
      </c>
      <c r="E29" s="54" t="n">
        <f aca="false">C29-152000</f>
        <v>216134</v>
      </c>
      <c r="F29" s="53" t="n">
        <f aca="false">D29/$D$2</f>
        <v>548.663640948059</v>
      </c>
      <c r="G29" s="53" t="n">
        <v>1701.69</v>
      </c>
      <c r="H29" s="55" t="n">
        <v>1.12</v>
      </c>
      <c r="I29" s="53" t="n">
        <f aca="false">G29+H29</f>
        <v>1702.81</v>
      </c>
      <c r="J29" s="77" t="n">
        <f aca="false">IF(L29&gt;0,L29,0)</f>
        <v>0</v>
      </c>
      <c r="K29" s="53" t="n">
        <f aca="false">I29+J29</f>
        <v>1702.81</v>
      </c>
      <c r="L29" s="53" t="n">
        <f aca="false">F29-(I29-W29)</f>
        <v>-55.2863590519413</v>
      </c>
      <c r="M29" s="53" t="n">
        <v>361.1</v>
      </c>
      <c r="N29" s="53" t="n">
        <f aca="false">(22.9+23.26)*1.05</f>
        <v>48.468</v>
      </c>
      <c r="O29" s="53" t="n">
        <f aca="false">M29-N29</f>
        <v>312.632</v>
      </c>
      <c r="P29" s="53" t="n">
        <v>337.13</v>
      </c>
      <c r="Q29" s="53" t="n">
        <v>86.17</v>
      </c>
      <c r="R29" s="53" t="n">
        <f aca="false">SUM(O29:Q29)</f>
        <v>735.932</v>
      </c>
      <c r="S29" s="54"/>
      <c r="T29" s="53" t="n">
        <v>259.28</v>
      </c>
      <c r="U29" s="53" t="n">
        <v>55.18</v>
      </c>
      <c r="V29" s="54" t="n">
        <f aca="false">V28-U29</f>
        <v>16110.7700226872</v>
      </c>
      <c r="W29" s="53" t="n">
        <f aca="false">R29+T29+N29+U29</f>
        <v>1098.86</v>
      </c>
      <c r="X29" s="53" t="n">
        <f aca="false">IF(L29&lt;0,L29*-1,0)</f>
        <v>55.2863590519413</v>
      </c>
      <c r="Y29" s="53" t="n">
        <f aca="false">W29+X29</f>
        <v>1154.14635905194</v>
      </c>
      <c r="Z29" s="57" t="n">
        <v>0</v>
      </c>
      <c r="AA29" s="86" t="n">
        <v>72</v>
      </c>
      <c r="AB29" s="58" t="n">
        <v>41</v>
      </c>
      <c r="AC29" s="59" t="n">
        <f aca="false">AC28+1</f>
        <v>20</v>
      </c>
      <c r="AD29" s="74" t="n">
        <v>2443</v>
      </c>
      <c r="AE29" s="78" t="n">
        <v>2474</v>
      </c>
      <c r="AF29" s="75" t="n">
        <v>2135.47</v>
      </c>
    </row>
    <row r="30" customFormat="false" ht="11.1" hidden="false" customHeight="true" outlineLevel="0" collapsed="false">
      <c r="A30" s="59" t="n">
        <f aca="false">A29+1</f>
        <v>21</v>
      </c>
      <c r="B30" s="97" t="n">
        <v>6921.13</v>
      </c>
      <c r="C30" s="54" t="n">
        <v>368484</v>
      </c>
      <c r="D30" s="58" t="n">
        <f aca="false">C30-C29</f>
        <v>350</v>
      </c>
      <c r="E30" s="54" t="n">
        <f aca="false">C30-152000</f>
        <v>216484</v>
      </c>
      <c r="F30" s="53" t="n">
        <f aca="false">D30/$D$2</f>
        <v>176.500252143217</v>
      </c>
      <c r="G30" s="53" t="n">
        <v>1421.79</v>
      </c>
      <c r="H30" s="55" t="n">
        <v>1.14</v>
      </c>
      <c r="I30" s="53" t="n">
        <f aca="false">G30+H30</f>
        <v>1422.93</v>
      </c>
      <c r="J30" s="77" t="n">
        <f aca="false">IF(L30&gt;0,L30,0)</f>
        <v>0</v>
      </c>
      <c r="K30" s="53" t="n">
        <f aca="false">I30+J30</f>
        <v>1422.93</v>
      </c>
      <c r="L30" s="53" t="n">
        <f aca="false">F30-(I30-W30)</f>
        <v>-36.7897478567826</v>
      </c>
      <c r="M30" s="53" t="n">
        <v>378.17</v>
      </c>
      <c r="N30" s="53" t="n">
        <f aca="false">(22.64+23.15)*1.05</f>
        <v>48.0795</v>
      </c>
      <c r="O30" s="53" t="n">
        <f aca="false">M30-N30</f>
        <v>330.0905</v>
      </c>
      <c r="P30" s="53" t="n">
        <v>414.53</v>
      </c>
      <c r="Q30" s="53" t="n">
        <v>85.84</v>
      </c>
      <c r="R30" s="53" t="n">
        <f aca="false">SUM(O30:Q30)</f>
        <v>830.4605</v>
      </c>
      <c r="S30" s="54"/>
      <c r="T30" s="53" t="n">
        <v>275.75</v>
      </c>
      <c r="U30" s="53" t="n">
        <v>55.35</v>
      </c>
      <c r="V30" s="54" t="n">
        <f aca="false">V29-U30</f>
        <v>16055.4200226872</v>
      </c>
      <c r="W30" s="53" t="n">
        <f aca="false">R30+T30+N30+U30</f>
        <v>1209.64</v>
      </c>
      <c r="X30" s="53" t="n">
        <f aca="false">IF(L30&lt;0,L30*-1,0)</f>
        <v>36.7897478567826</v>
      </c>
      <c r="Y30" s="53" t="n">
        <f aca="false">W30+X30</f>
        <v>1246.42974785678</v>
      </c>
      <c r="Z30" s="57" t="n">
        <v>0</v>
      </c>
      <c r="AA30" s="58" t="n">
        <v>80</v>
      </c>
      <c r="AB30" s="58" t="n">
        <v>42</v>
      </c>
      <c r="AC30" s="59" t="n">
        <f aca="false">AC29+1</f>
        <v>21</v>
      </c>
      <c r="AD30" s="74" t="n">
        <v>2760</v>
      </c>
      <c r="AE30" s="78" t="n">
        <v>2645</v>
      </c>
      <c r="AF30" s="75" t="n">
        <v>2202.37</v>
      </c>
    </row>
    <row r="31" customFormat="false" ht="11.1" hidden="false" customHeight="true" outlineLevel="0" collapsed="false">
      <c r="A31" s="59" t="n">
        <f aca="false">A30+1</f>
        <v>22</v>
      </c>
      <c r="B31" s="76" t="n">
        <v>6921.1</v>
      </c>
      <c r="C31" s="54" t="n">
        <v>368353</v>
      </c>
      <c r="D31" s="58" t="n">
        <f aca="false">C31-C30</f>
        <v>-131</v>
      </c>
      <c r="E31" s="54" t="n">
        <f aca="false">C31-152000</f>
        <v>216353</v>
      </c>
      <c r="F31" s="53" t="n">
        <f aca="false">D31/$D$2</f>
        <v>-66.0615229450328</v>
      </c>
      <c r="G31" s="53" t="n">
        <v>1263.38</v>
      </c>
      <c r="H31" s="55" t="n">
        <v>1.12</v>
      </c>
      <c r="I31" s="53" t="n">
        <f aca="false">G31+H31</f>
        <v>1264.5</v>
      </c>
      <c r="J31" s="77" t="n">
        <f aca="false">IF(L31&gt;0,L31,0)</f>
        <v>0</v>
      </c>
      <c r="K31" s="53" t="n">
        <f aca="false">I31+J31</f>
        <v>1264.5</v>
      </c>
      <c r="L31" s="53" t="n">
        <f aca="false">F31-(I31-W31)</f>
        <v>-122.971522945033</v>
      </c>
      <c r="M31" s="53" t="n">
        <v>383.43</v>
      </c>
      <c r="N31" s="53" t="n">
        <f aca="false">(22.69+23.13)*1.05</f>
        <v>48.111</v>
      </c>
      <c r="O31" s="53" t="n">
        <f aca="false">M31-N31</f>
        <v>335.319</v>
      </c>
      <c r="P31" s="53" t="n">
        <v>415.24</v>
      </c>
      <c r="Q31" s="53" t="n">
        <v>86.13</v>
      </c>
      <c r="R31" s="96" t="n">
        <f aca="false">SUM(O31:Q31)</f>
        <v>836.689</v>
      </c>
      <c r="S31" s="54"/>
      <c r="T31" s="53" t="n">
        <v>267.59</v>
      </c>
      <c r="U31" s="53" t="n">
        <v>55.2</v>
      </c>
      <c r="V31" s="54" t="n">
        <f aca="false">V30-U31</f>
        <v>16000.2200226872</v>
      </c>
      <c r="W31" s="53" t="n">
        <f aca="false">R31+T31+N31+U31</f>
        <v>1207.59</v>
      </c>
      <c r="X31" s="53" t="n">
        <f aca="false">IF(L31&lt;0,L31*-1,0)</f>
        <v>122.971522945033</v>
      </c>
      <c r="Y31" s="53" t="n">
        <f aca="false">W31+X31</f>
        <v>1330.56152294503</v>
      </c>
      <c r="Z31" s="57" t="n">
        <v>0</v>
      </c>
      <c r="AA31" s="58" t="n">
        <v>77</v>
      </c>
      <c r="AB31" s="58" t="n">
        <v>47</v>
      </c>
      <c r="AC31" s="59" t="n">
        <f aca="false">AC30+1</f>
        <v>22</v>
      </c>
      <c r="AD31" s="74" t="n">
        <v>3077</v>
      </c>
      <c r="AE31" s="78" t="n">
        <v>2820</v>
      </c>
      <c r="AF31" s="75" t="n">
        <v>2257.56</v>
      </c>
    </row>
    <row r="32" customFormat="false" ht="11.1" hidden="false" customHeight="true" outlineLevel="0" collapsed="false">
      <c r="A32" s="59" t="n">
        <f aca="false">A31+1</f>
        <v>23</v>
      </c>
      <c r="B32" s="76" t="n">
        <v>6921.02</v>
      </c>
      <c r="C32" s="54" t="n">
        <v>368002</v>
      </c>
      <c r="D32" s="58" t="n">
        <f aca="false">C32-C31</f>
        <v>-351</v>
      </c>
      <c r="E32" s="54" t="n">
        <f aca="false">C32-152000</f>
        <v>216002</v>
      </c>
      <c r="F32" s="53" t="n">
        <f aca="false">D32/$D$2</f>
        <v>-177.004538577912</v>
      </c>
      <c r="G32" s="53" t="n">
        <v>1126.92</v>
      </c>
      <c r="H32" s="55" t="n">
        <v>0</v>
      </c>
      <c r="I32" s="53" t="n">
        <f aca="false">G32+H32</f>
        <v>1126.92</v>
      </c>
      <c r="J32" s="77" t="n">
        <f aca="false">IF(L32&gt;0,L32,0)</f>
        <v>0</v>
      </c>
      <c r="K32" s="53" t="n">
        <f aca="false">I32+J32</f>
        <v>1126.92</v>
      </c>
      <c r="L32" s="53" t="n">
        <f aca="false">F32-(I32-W32)</f>
        <v>-127.344538577912</v>
      </c>
      <c r="M32" s="53" t="n">
        <v>364.87</v>
      </c>
      <c r="N32" s="53" t="n">
        <f aca="false">(23.06+22.9)*1.05</f>
        <v>48.258</v>
      </c>
      <c r="O32" s="53" t="n">
        <f aca="false">M32-N32</f>
        <v>316.612</v>
      </c>
      <c r="P32" s="53" t="n">
        <v>414.91</v>
      </c>
      <c r="Q32" s="53" t="n">
        <v>84.86</v>
      </c>
      <c r="R32" s="53" t="n">
        <f aca="false">SUM(O32:Q32)</f>
        <v>816.382</v>
      </c>
      <c r="S32" s="54"/>
      <c r="T32" s="53" t="n">
        <v>256.33</v>
      </c>
      <c r="U32" s="53" t="n">
        <v>55.61</v>
      </c>
      <c r="V32" s="54" t="n">
        <f aca="false">V31-U32</f>
        <v>15944.6100226872</v>
      </c>
      <c r="W32" s="53" t="n">
        <f aca="false">R32+T32+N32+U32</f>
        <v>1176.58</v>
      </c>
      <c r="X32" s="53" t="n">
        <f aca="false">IF(L32&lt;0,L32*-1,0)</f>
        <v>127.344538577912</v>
      </c>
      <c r="Y32" s="53" t="n">
        <f aca="false">W32+X32</f>
        <v>1303.92453857791</v>
      </c>
      <c r="Z32" s="57" t="n">
        <v>0</v>
      </c>
      <c r="AA32" s="58" t="n">
        <v>67</v>
      </c>
      <c r="AB32" s="86" t="n">
        <v>46</v>
      </c>
      <c r="AC32" s="59" t="n">
        <f aca="false">AC31+1</f>
        <v>23</v>
      </c>
      <c r="AD32" s="74" t="n">
        <v>3431</v>
      </c>
      <c r="AE32" s="78" t="n">
        <v>2986</v>
      </c>
      <c r="AF32" s="75" t="n">
        <v>2305.82</v>
      </c>
    </row>
    <row r="33" customFormat="false" ht="11.1" hidden="false" customHeight="true" outlineLevel="0" collapsed="false">
      <c r="A33" s="59" t="n">
        <f aca="false">A32+1</f>
        <v>24</v>
      </c>
      <c r="B33" s="76" t="n">
        <v>6920.97</v>
      </c>
      <c r="C33" s="54" t="n">
        <v>367785</v>
      </c>
      <c r="D33" s="58" t="n">
        <f aca="false">C33-C32</f>
        <v>-217</v>
      </c>
      <c r="E33" s="54" t="n">
        <f aca="false">C33-152000</f>
        <v>215785</v>
      </c>
      <c r="F33" s="53" t="n">
        <f aca="false">D33/$D$2</f>
        <v>-109.430156328795</v>
      </c>
      <c r="G33" s="53" t="n">
        <v>912.36</v>
      </c>
      <c r="H33" s="55" t="n">
        <v>0</v>
      </c>
      <c r="I33" s="53" t="n">
        <f aca="false">G33+H33</f>
        <v>912.36</v>
      </c>
      <c r="J33" s="77" t="n">
        <f aca="false">IF(L33&gt;0,L33,0)</f>
        <v>0</v>
      </c>
      <c r="K33" s="53" t="n">
        <f aca="false">I33+J33</f>
        <v>912.36</v>
      </c>
      <c r="L33" s="53" t="n">
        <f aca="false">F33-(I33-W33)</f>
        <v>-41.7501563287948</v>
      </c>
      <c r="M33" s="53" t="n">
        <v>325.01</v>
      </c>
      <c r="N33" s="53" t="n">
        <f aca="false">(23.1+22.65)*1.05</f>
        <v>48.0375</v>
      </c>
      <c r="O33" s="53" t="n">
        <f aca="false">M33-N33</f>
        <v>276.9725</v>
      </c>
      <c r="P33" s="53" t="n">
        <v>251.09</v>
      </c>
      <c r="Q33" s="53" t="n">
        <v>83.45</v>
      </c>
      <c r="R33" s="53" t="n">
        <f aca="false">SUM(O33:Q33)</f>
        <v>611.5125</v>
      </c>
      <c r="S33" s="54"/>
      <c r="T33" s="53" t="n">
        <v>264.74</v>
      </c>
      <c r="U33" s="53" t="n">
        <v>55.75</v>
      </c>
      <c r="V33" s="54" t="n">
        <f aca="false">V32-U33</f>
        <v>15888.8600226872</v>
      </c>
      <c r="W33" s="53" t="n">
        <f aca="false">R33+T33+N33+U33</f>
        <v>980.04</v>
      </c>
      <c r="X33" s="53" t="n">
        <f aca="false">IF(L33&lt;0,L33*-1,0)</f>
        <v>41.7501563287948</v>
      </c>
      <c r="Y33" s="53" t="n">
        <f aca="false">W33+X33</f>
        <v>1021.79015632879</v>
      </c>
      <c r="Z33" s="57" t="n">
        <v>0</v>
      </c>
      <c r="AA33" s="58" t="n">
        <v>65</v>
      </c>
      <c r="AB33" s="86" t="n">
        <v>37</v>
      </c>
      <c r="AC33" s="59" t="n">
        <f aca="false">AC32+1</f>
        <v>24</v>
      </c>
      <c r="AD33" s="74" t="n">
        <v>3778</v>
      </c>
      <c r="AE33" s="78" t="n">
        <v>3159</v>
      </c>
      <c r="AF33" s="75" t="n">
        <v>2351.3</v>
      </c>
    </row>
    <row r="34" customFormat="false" ht="11.1" hidden="false" customHeight="true" outlineLevel="0" collapsed="false">
      <c r="A34" s="59" t="n">
        <f aca="false">A33+1</f>
        <v>25</v>
      </c>
      <c r="B34" s="76" t="n">
        <v>6920.89</v>
      </c>
      <c r="C34" s="54" t="n">
        <v>367437</v>
      </c>
      <c r="D34" s="58" t="n">
        <f aca="false">C34-C33</f>
        <v>-348</v>
      </c>
      <c r="E34" s="54" t="n">
        <f aca="false">C34-152000</f>
        <v>215437</v>
      </c>
      <c r="F34" s="53" t="n">
        <f aca="false">D34/$D$2</f>
        <v>-175.491679273828</v>
      </c>
      <c r="G34" s="53" t="n">
        <v>809.38</v>
      </c>
      <c r="H34" s="55" t="n">
        <v>1.14</v>
      </c>
      <c r="I34" s="53" t="n">
        <f aca="false">G34+H34</f>
        <v>810.52</v>
      </c>
      <c r="J34" s="77" t="n">
        <f aca="false">IF(L34&gt;0,L34,0)</f>
        <v>0</v>
      </c>
      <c r="K34" s="53" t="n">
        <f aca="false">I34+J34</f>
        <v>810.52</v>
      </c>
      <c r="L34" s="53" t="n">
        <f aca="false">F34-(I34-W34)</f>
        <v>-137.111679273828</v>
      </c>
      <c r="M34" s="53" t="n">
        <v>323.05</v>
      </c>
      <c r="N34" s="53" t="n">
        <f aca="false">(22.67+21.4)*1.05</f>
        <v>46.2735</v>
      </c>
      <c r="O34" s="53" t="n">
        <f aca="false">M34-N34</f>
        <v>276.7765</v>
      </c>
      <c r="P34" s="53" t="n">
        <v>175.84</v>
      </c>
      <c r="Q34" s="53" t="n">
        <v>83.61</v>
      </c>
      <c r="R34" s="53" t="n">
        <f aca="false">SUM(O34:Q34)</f>
        <v>536.2265</v>
      </c>
      <c r="S34" s="54"/>
      <c r="T34" s="53" t="n">
        <v>210.6</v>
      </c>
      <c r="U34" s="53" t="n">
        <v>55.8</v>
      </c>
      <c r="V34" s="54" t="n">
        <f aca="false">V33-U34</f>
        <v>15833.0600226872</v>
      </c>
      <c r="W34" s="53" t="n">
        <f aca="false">R34+T34+N34+U34</f>
        <v>848.9</v>
      </c>
      <c r="X34" s="53" t="n">
        <f aca="false">IF(L34&lt;0,L34*-1,0)</f>
        <v>137.111679273828</v>
      </c>
      <c r="Y34" s="53" t="n">
        <f aca="false">W34+X34</f>
        <v>986.011679273828</v>
      </c>
      <c r="Z34" s="57" t="n">
        <v>0.05</v>
      </c>
      <c r="AA34" s="58" t="n">
        <v>63</v>
      </c>
      <c r="AB34" s="86" t="n">
        <v>40</v>
      </c>
      <c r="AC34" s="59" t="n">
        <f aca="false">AC33+1</f>
        <v>25</v>
      </c>
      <c r="AD34" s="74" t="n">
        <v>4048</v>
      </c>
      <c r="AE34" s="78" t="n">
        <v>3332</v>
      </c>
      <c r="AF34" s="75" t="n">
        <v>2362.83</v>
      </c>
    </row>
    <row r="35" customFormat="false" ht="11.1" hidden="false" customHeight="true" outlineLevel="0" collapsed="false">
      <c r="A35" s="59" t="n">
        <f aca="false">A34+1</f>
        <v>26</v>
      </c>
      <c r="B35" s="76" t="n">
        <v>6920.82</v>
      </c>
      <c r="C35" s="54" t="n">
        <v>367133</v>
      </c>
      <c r="D35" s="58" t="n">
        <f aca="false">C35-C34</f>
        <v>-304</v>
      </c>
      <c r="E35" s="54" t="n">
        <f aca="false">C35-152000</f>
        <v>215133</v>
      </c>
      <c r="F35" s="53" t="n">
        <f aca="false">D35/$D$2</f>
        <v>-153.303076147252</v>
      </c>
      <c r="G35" s="53" t="n">
        <v>712.86</v>
      </c>
      <c r="H35" s="55" t="n">
        <v>1.29</v>
      </c>
      <c r="I35" s="53" t="n">
        <f aca="false">G35+H35</f>
        <v>714.15</v>
      </c>
      <c r="J35" s="77" t="n">
        <f aca="false">IF(L35&gt;0,L35,0)</f>
        <v>0</v>
      </c>
      <c r="K35" s="53" t="n">
        <f aca="false">I35+J35</f>
        <v>714.15</v>
      </c>
      <c r="L35" s="53" t="n">
        <f aca="false">F35-(I35-W35)</f>
        <v>-35.3630761472516</v>
      </c>
      <c r="M35" s="53" t="n">
        <v>295.74</v>
      </c>
      <c r="N35" s="53" t="n">
        <f aca="false">(20.32+18.74)*1.05</f>
        <v>41.013</v>
      </c>
      <c r="O35" s="53" t="n">
        <f aca="false">M35-N35</f>
        <v>254.727</v>
      </c>
      <c r="P35" s="53" t="n">
        <v>175.5</v>
      </c>
      <c r="Q35" s="53" t="n">
        <v>83.38</v>
      </c>
      <c r="R35" s="53" t="n">
        <f aca="false">SUM(O35:Q35)</f>
        <v>513.607</v>
      </c>
      <c r="S35" s="54"/>
      <c r="T35" s="53" t="n">
        <v>221.59</v>
      </c>
      <c r="U35" s="53" t="n">
        <v>55.88</v>
      </c>
      <c r="V35" s="54" t="n">
        <f aca="false">V34-U35</f>
        <v>15777.1800226872</v>
      </c>
      <c r="W35" s="53" t="n">
        <f aca="false">R35+T35+N35+U35</f>
        <v>832.09</v>
      </c>
      <c r="X35" s="53" t="n">
        <f aca="false">IF(L35&lt;0,L35*-1,0)</f>
        <v>35.3630761472516</v>
      </c>
      <c r="Y35" s="53" t="n">
        <f aca="false">W35+X35</f>
        <v>867.453076147252</v>
      </c>
      <c r="Z35" s="57" t="n">
        <v>0.15</v>
      </c>
      <c r="AA35" s="58" t="n">
        <v>58</v>
      </c>
      <c r="AB35" s="58" t="n">
        <v>33</v>
      </c>
      <c r="AC35" s="59" t="n">
        <f aca="false">AC34+1</f>
        <v>26</v>
      </c>
      <c r="AD35" s="74" t="n">
        <v>4274</v>
      </c>
      <c r="AE35" s="78" t="n">
        <v>3506</v>
      </c>
      <c r="AF35" s="75" t="n">
        <v>2362.83</v>
      </c>
    </row>
    <row r="36" customFormat="false" ht="11.1" hidden="false" customHeight="true" outlineLevel="0" collapsed="false">
      <c r="A36" s="59" t="n">
        <f aca="false">A35+1</f>
        <v>27</v>
      </c>
      <c r="B36" s="76" t="n">
        <v>6920.7</v>
      </c>
      <c r="C36" s="54" t="n">
        <v>366612</v>
      </c>
      <c r="D36" s="58" t="n">
        <f aca="false">C36-C35</f>
        <v>-521</v>
      </c>
      <c r="E36" s="54" t="n">
        <f aca="false">C36-152000</f>
        <v>214612</v>
      </c>
      <c r="F36" s="53" t="n">
        <f aca="false">D36/$D$2</f>
        <v>-262.733232476046</v>
      </c>
      <c r="G36" s="53" t="n">
        <v>632.9</v>
      </c>
      <c r="H36" s="55" t="n">
        <v>1.71</v>
      </c>
      <c r="I36" s="53" t="n">
        <f aca="false">G36+H36</f>
        <v>634.61</v>
      </c>
      <c r="J36" s="77" t="n">
        <f aca="false">IF(L36&gt;0,L36,0)</f>
        <v>0</v>
      </c>
      <c r="K36" s="53" t="n">
        <f aca="false">I36+J36</f>
        <v>634.61</v>
      </c>
      <c r="L36" s="53" t="n">
        <f aca="false">F36-(I36-W36)</f>
        <v>-53.0032324760465</v>
      </c>
      <c r="M36" s="53" t="n">
        <v>305.71</v>
      </c>
      <c r="N36" s="53" t="n">
        <f aca="false">(17.26+17.21)*1.05</f>
        <v>36.1935</v>
      </c>
      <c r="O36" s="53" t="n">
        <f aca="false">M36-N36</f>
        <v>269.5165</v>
      </c>
      <c r="P36" s="53" t="n">
        <v>175.39</v>
      </c>
      <c r="Q36" s="53" t="n">
        <v>83.16</v>
      </c>
      <c r="R36" s="53" t="n">
        <f aca="false">SUM(O36:Q36)</f>
        <v>528.0665</v>
      </c>
      <c r="S36" s="54"/>
      <c r="T36" s="53" t="n">
        <v>224.24</v>
      </c>
      <c r="U36" s="53" t="n">
        <v>55.84</v>
      </c>
      <c r="V36" s="54" t="n">
        <f aca="false">V35-U36</f>
        <v>15721.3400226872</v>
      </c>
      <c r="W36" s="53" t="n">
        <f aca="false">R36+T36+N36+U36</f>
        <v>844.34</v>
      </c>
      <c r="X36" s="53" t="n">
        <f aca="false">IF(L36&lt;0,L36*-1,0)</f>
        <v>53.0032324760465</v>
      </c>
      <c r="Y36" s="53" t="n">
        <f aca="false">W36+X36</f>
        <v>897.343232476046</v>
      </c>
      <c r="Z36" s="57" t="n">
        <v>0</v>
      </c>
      <c r="AA36" s="58" t="n">
        <v>70</v>
      </c>
      <c r="AB36" s="58" t="n">
        <v>38</v>
      </c>
      <c r="AC36" s="59" t="n">
        <f aca="false">AC35+1</f>
        <v>27</v>
      </c>
      <c r="AD36" s="74" t="n">
        <v>4501</v>
      </c>
      <c r="AE36" s="78" t="n">
        <v>3671</v>
      </c>
      <c r="AF36" s="75" t="n">
        <v>2362.83</v>
      </c>
    </row>
    <row r="37" customFormat="false" ht="11.1" hidden="false" customHeight="true" outlineLevel="0" collapsed="false">
      <c r="A37" s="59" t="n">
        <v>28</v>
      </c>
      <c r="B37" s="76" t="n">
        <v>6920.54</v>
      </c>
      <c r="C37" s="54" t="n">
        <v>365916</v>
      </c>
      <c r="D37" s="58" t="n">
        <f aca="false">C37-C36</f>
        <v>-696</v>
      </c>
      <c r="E37" s="54" t="n">
        <f aca="false">C37-152000</f>
        <v>213916</v>
      </c>
      <c r="F37" s="53" t="n">
        <f aca="false">D37/$D$2</f>
        <v>-350.983358547655</v>
      </c>
      <c r="G37" s="53" t="n">
        <v>577.8</v>
      </c>
      <c r="H37" s="55" t="n">
        <v>1.3</v>
      </c>
      <c r="I37" s="53" t="n">
        <f aca="false">G37+H37</f>
        <v>579.1</v>
      </c>
      <c r="J37" s="77" t="n">
        <f aca="false">IF(L37&gt;0,L37,0)</f>
        <v>0</v>
      </c>
      <c r="K37" s="53" t="n">
        <f aca="false">I37+J37</f>
        <v>579.1</v>
      </c>
      <c r="L37" s="53" t="n">
        <f aca="false">F37-(I37-W37)</f>
        <v>-82.743358547655</v>
      </c>
      <c r="M37" s="53" t="n">
        <v>306.39</v>
      </c>
      <c r="N37" s="53" t="n">
        <f aca="false">(19.08+18.58)*1.05</f>
        <v>39.543</v>
      </c>
      <c r="O37" s="53" t="n">
        <f aca="false">M37-N37</f>
        <v>266.847</v>
      </c>
      <c r="P37" s="53" t="n">
        <v>175.19</v>
      </c>
      <c r="Q37" s="53" t="n">
        <v>83.03</v>
      </c>
      <c r="R37" s="53" t="n">
        <f aca="false">SUM(O37:Q37)</f>
        <v>525.067</v>
      </c>
      <c r="S37" s="54"/>
      <c r="T37" s="53" t="n">
        <v>227.05</v>
      </c>
      <c r="U37" s="53" t="n">
        <v>55.68</v>
      </c>
      <c r="V37" s="54" t="n">
        <f aca="false">V36-U37</f>
        <v>15665.6600226872</v>
      </c>
      <c r="W37" s="53" t="n">
        <f aca="false">R37+T37+N37+U37</f>
        <v>847.34</v>
      </c>
      <c r="X37" s="53" t="n">
        <f aca="false">IF(L37&lt;0,L37*-1,0)</f>
        <v>82.743358547655</v>
      </c>
      <c r="Y37" s="53" t="n">
        <f aca="false">W37+X37</f>
        <v>930.083358547655</v>
      </c>
      <c r="Z37" s="57" t="n">
        <v>0</v>
      </c>
      <c r="AA37" s="58" t="n">
        <v>71</v>
      </c>
      <c r="AB37" s="58" t="n">
        <v>47</v>
      </c>
      <c r="AC37" s="59" t="n">
        <v>28</v>
      </c>
      <c r="AD37" s="74"/>
      <c r="AE37" s="78"/>
      <c r="AF37" s="75"/>
    </row>
    <row r="38" customFormat="false" ht="11.1" hidden="false" customHeight="true" outlineLevel="0" collapsed="false">
      <c r="A38" s="59" t="n">
        <v>29</v>
      </c>
      <c r="B38" s="76" t="n">
        <v>6920.54</v>
      </c>
      <c r="C38" s="54" t="n">
        <v>365916</v>
      </c>
      <c r="D38" s="58" t="n">
        <f aca="false">C38-C37</f>
        <v>0</v>
      </c>
      <c r="E38" s="54" t="n">
        <f aca="false">C38-152000</f>
        <v>213916</v>
      </c>
      <c r="F38" s="53" t="n">
        <f aca="false">D38/$D$2</f>
        <v>0</v>
      </c>
      <c r="G38" s="53" t="n">
        <v>523.22</v>
      </c>
      <c r="H38" s="55" t="n">
        <v>0</v>
      </c>
      <c r="I38" s="53" t="n">
        <f aca="false">G38+H38</f>
        <v>523.22</v>
      </c>
      <c r="J38" s="77" t="n">
        <f aca="false">IF(L38&gt;0,L38,0)</f>
        <v>325.96</v>
      </c>
      <c r="K38" s="53" t="n">
        <f aca="false">I38+J38</f>
        <v>849.18</v>
      </c>
      <c r="L38" s="53" t="n">
        <f aca="false">F38-(I38-W38)</f>
        <v>325.96</v>
      </c>
      <c r="M38" s="53" t="n">
        <v>302.89</v>
      </c>
      <c r="N38" s="53" t="n">
        <f aca="false">(18.03+17.19)*1.05</f>
        <v>36.981</v>
      </c>
      <c r="O38" s="53" t="n">
        <f aca="false">M38-N38</f>
        <v>265.909</v>
      </c>
      <c r="P38" s="53" t="n">
        <v>174.58</v>
      </c>
      <c r="Q38" s="53" t="n">
        <v>82.78</v>
      </c>
      <c r="R38" s="53" t="n">
        <f aca="false">SUM(O38:Q38)</f>
        <v>523.269</v>
      </c>
      <c r="S38" s="54"/>
      <c r="T38" s="53" t="n">
        <v>233.32</v>
      </c>
      <c r="U38" s="53" t="n">
        <v>55.61</v>
      </c>
      <c r="V38" s="54" t="n">
        <f aca="false">V37-U38</f>
        <v>15610.0500226872</v>
      </c>
      <c r="W38" s="53" t="n">
        <f aca="false">R38+T38+N38+U38</f>
        <v>849.18</v>
      </c>
      <c r="X38" s="53" t="n">
        <f aca="false">IF(L38&lt;0,L38*-1,0)</f>
        <v>0</v>
      </c>
      <c r="Y38" s="53" t="n">
        <f aca="false">W38+X38</f>
        <v>849.18</v>
      </c>
      <c r="Z38" s="57" t="n">
        <v>0</v>
      </c>
      <c r="AA38" s="58" t="n">
        <v>75</v>
      </c>
      <c r="AB38" s="58" t="n">
        <v>41</v>
      </c>
      <c r="AC38" s="59" t="n">
        <v>29</v>
      </c>
      <c r="AD38" s="74"/>
      <c r="AE38" s="78"/>
      <c r="AF38" s="75"/>
    </row>
    <row r="39" customFormat="false" ht="11.1" hidden="false" customHeight="true" outlineLevel="0" collapsed="false">
      <c r="A39" s="59" t="n">
        <v>30</v>
      </c>
      <c r="B39" s="76" t="n">
        <v>6920.27</v>
      </c>
      <c r="C39" s="54" t="n">
        <v>364745</v>
      </c>
      <c r="D39" s="58" t="n">
        <f aca="false">C39-C38</f>
        <v>-1171</v>
      </c>
      <c r="E39" s="54" t="n">
        <f aca="false">C39-152000</f>
        <v>212745</v>
      </c>
      <c r="F39" s="53" t="n">
        <f aca="false">D39/$D$2</f>
        <v>-590.519415027736</v>
      </c>
      <c r="G39" s="53" t="n">
        <v>532.95</v>
      </c>
      <c r="H39" s="55" t="n">
        <v>0</v>
      </c>
      <c r="I39" s="53" t="n">
        <f aca="false">G39+H39</f>
        <v>532.95</v>
      </c>
      <c r="J39" s="77" t="n">
        <f aca="false">IF(L39&gt;0,L39,0)</f>
        <v>0</v>
      </c>
      <c r="K39" s="53" t="n">
        <f aca="false">I39+J39</f>
        <v>532.95</v>
      </c>
      <c r="L39" s="53" t="n">
        <f aca="false">F39-(I39-W39)</f>
        <v>-257.589415027736</v>
      </c>
      <c r="M39" s="53" t="n">
        <v>309.7</v>
      </c>
      <c r="N39" s="53" t="n">
        <f aca="false">(20.77+20.11)*1.05</f>
        <v>42.924</v>
      </c>
      <c r="O39" s="53" t="n">
        <f aca="false">M39-N39</f>
        <v>266.776</v>
      </c>
      <c r="P39" s="53" t="n">
        <v>174.24</v>
      </c>
      <c r="Q39" s="53" t="n">
        <v>82.37</v>
      </c>
      <c r="R39" s="53" t="n">
        <f aca="false">SUM(O39:Q39)</f>
        <v>523.386</v>
      </c>
      <c r="S39" s="54"/>
      <c r="T39" s="53" t="n">
        <v>243.98</v>
      </c>
      <c r="U39" s="53" t="n">
        <v>55.59</v>
      </c>
      <c r="V39" s="54" t="n">
        <f aca="false">V38-U39</f>
        <v>15554.4600226872</v>
      </c>
      <c r="W39" s="53" t="n">
        <f aca="false">R39+T39+N39+U39</f>
        <v>865.88</v>
      </c>
      <c r="X39" s="53" t="n">
        <f aca="false">IF(L39&lt;0,L39*-1,0)</f>
        <v>257.589415027736</v>
      </c>
      <c r="Y39" s="53" t="n">
        <f aca="false">W39+X39</f>
        <v>1123.46941502774</v>
      </c>
      <c r="Z39" s="57" t="n">
        <v>0</v>
      </c>
      <c r="AA39" s="58" t="n">
        <v>74</v>
      </c>
      <c r="AB39" s="58" t="n">
        <v>45</v>
      </c>
      <c r="AC39" s="59" t="n">
        <v>30</v>
      </c>
      <c r="AD39" s="74"/>
      <c r="AE39" s="78"/>
      <c r="AF39" s="75"/>
    </row>
    <row r="40" customFormat="false" ht="11.1" hidden="false" customHeight="true" outlineLevel="0" collapsed="false">
      <c r="A40" s="59" t="n">
        <v>31</v>
      </c>
      <c r="B40" s="76" t="n">
        <v>6920.1</v>
      </c>
      <c r="C40" s="54" t="n">
        <v>364007</v>
      </c>
      <c r="D40" s="58" t="n">
        <f aca="false">C40-C39</f>
        <v>-738</v>
      </c>
      <c r="E40" s="54" t="n">
        <f aca="false">C40-152000</f>
        <v>212007</v>
      </c>
      <c r="F40" s="53" t="n">
        <f aca="false">D40/$D$2</f>
        <v>-372.163388804841</v>
      </c>
      <c r="G40" s="53" t="n">
        <v>515.45</v>
      </c>
      <c r="H40" s="55" t="n">
        <v>0</v>
      </c>
      <c r="I40" s="53" t="n">
        <f aca="false">G40+H40</f>
        <v>515.45</v>
      </c>
      <c r="J40" s="77" t="n">
        <f aca="false">IF(L40&gt;0,L40,0)</f>
        <v>0</v>
      </c>
      <c r="K40" s="53" t="n">
        <f aca="false">I40+J40</f>
        <v>515.45</v>
      </c>
      <c r="L40" s="53" t="n">
        <f aca="false">F40-(I40-W40)</f>
        <v>-88.7833888048411</v>
      </c>
      <c r="M40" s="53" t="n">
        <v>300.92</v>
      </c>
      <c r="N40" s="53" t="n">
        <f aca="false">(14.6+14.31)*1.05</f>
        <v>30.3555</v>
      </c>
      <c r="O40" s="53" t="n">
        <f aca="false">M40-N40</f>
        <v>270.5645</v>
      </c>
      <c r="P40" s="53" t="n">
        <v>174.35</v>
      </c>
      <c r="Q40" s="53" t="n">
        <v>82.3</v>
      </c>
      <c r="R40" s="53" t="n">
        <f aca="false">SUM(O40:Q40)</f>
        <v>527.2145</v>
      </c>
      <c r="S40" s="54"/>
      <c r="T40" s="53" t="n">
        <v>185.73</v>
      </c>
      <c r="U40" s="53" t="n">
        <v>55.53</v>
      </c>
      <c r="V40" s="54" t="n">
        <f aca="false">V39-U40</f>
        <v>15498.9300226872</v>
      </c>
      <c r="W40" s="53" t="n">
        <f aca="false">R40+T40+N40+U40</f>
        <v>798.83</v>
      </c>
      <c r="X40" s="53" t="n">
        <f aca="false">IF(L40&lt;0,L40*-1,0)</f>
        <v>88.7833888048411</v>
      </c>
      <c r="Y40" s="53" t="n">
        <f aca="false">W40+X40</f>
        <v>887.613388804841</v>
      </c>
      <c r="Z40" s="57" t="n">
        <v>0</v>
      </c>
      <c r="AA40" s="58" t="n">
        <v>76</v>
      </c>
      <c r="AB40" s="58" t="n">
        <v>42</v>
      </c>
      <c r="AC40" s="59" t="n">
        <v>31</v>
      </c>
      <c r="AD40" s="74" t="n">
        <v>4723</v>
      </c>
      <c r="AE40" s="78" t="n">
        <v>3836</v>
      </c>
      <c r="AF40" s="75" t="n">
        <v>2362.83</v>
      </c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15790.7211296016</v>
      </c>
      <c r="G42" s="54" t="n">
        <f aca="false">SUM(G10:G40)</f>
        <v>42197.52</v>
      </c>
      <c r="H42" s="54" t="n">
        <f aca="false">SUM(H10:H40)</f>
        <v>243.3</v>
      </c>
      <c r="I42" s="54" t="n">
        <f aca="false">SUM(I10:I40)</f>
        <v>42440.82</v>
      </c>
      <c r="J42" s="54" t="n">
        <f aca="false">SUM(J10:J40)</f>
        <v>2682.508103883</v>
      </c>
      <c r="K42" s="54" t="n">
        <f aca="false">SUM(K10:K40)</f>
        <v>45123.328103883</v>
      </c>
      <c r="L42" s="54" t="n">
        <f aca="false">SUM(L10:L40)</f>
        <v>823.851129601613</v>
      </c>
      <c r="M42" s="54" t="n">
        <f aca="false">SUM(M10:M40)</f>
        <v>9499.75</v>
      </c>
      <c r="N42" s="54" t="n">
        <f aca="false">SUM(N10:N40)</f>
        <v>1512.462</v>
      </c>
      <c r="O42" s="54" t="n">
        <f aca="false">SUM(O10:O40)</f>
        <v>7987.288</v>
      </c>
      <c r="P42" s="54" t="n">
        <f aca="false">SUM(P10:P40)</f>
        <v>6376.23</v>
      </c>
      <c r="Q42" s="54" t="n">
        <f aca="false">SUM(Q10:Q40)</f>
        <v>2645.11</v>
      </c>
      <c r="R42" s="54" t="n">
        <f aca="false">SUM(R10:R40)</f>
        <v>17008.628</v>
      </c>
      <c r="S42" s="54"/>
      <c r="T42" s="54" t="n">
        <f aca="false">SUM(T10:T40)</f>
        <v>7257.55</v>
      </c>
      <c r="U42" s="54" t="n">
        <f aca="false">SUM(U10:U40)</f>
        <v>1695.31</v>
      </c>
      <c r="V42" s="54"/>
      <c r="W42" s="54" t="n">
        <f aca="false">SUM(W10:W40)</f>
        <v>27473.95</v>
      </c>
      <c r="X42" s="54" t="n">
        <f aca="false">SUM(X10:X40)</f>
        <v>1858.65697428139</v>
      </c>
      <c r="Y42" s="54" t="n">
        <f aca="false">SUM(Y10:Y40)</f>
        <v>29332.6069742814</v>
      </c>
      <c r="Z42" s="57" t="n">
        <f aca="false">SUM(Z10:Z40)</f>
        <v>0.2</v>
      </c>
      <c r="AA42" s="58" t="n">
        <f aca="false">AVERAGE(AA10:AA40)</f>
        <v>75.258064516129</v>
      </c>
      <c r="AB42" s="58" t="n">
        <f aca="false">AVERAGE(AB10:AB40)</f>
        <v>42.8064516129032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31313</v>
      </c>
      <c r="E43" s="54"/>
      <c r="F43" s="54" t="n">
        <f aca="false">F42*$D$2</f>
        <v>31313</v>
      </c>
      <c r="G43" s="54" t="n">
        <f aca="false">G42*$D$2</f>
        <v>83677.68216</v>
      </c>
      <c r="H43" s="54" t="n">
        <f aca="false">H42*$D$2</f>
        <v>482.4639</v>
      </c>
      <c r="I43" s="54" t="n">
        <f aca="false">I42*$D$2</f>
        <v>84160.14606</v>
      </c>
      <c r="J43" s="54" t="n">
        <f aca="false">J42*$D$2</f>
        <v>5319.41357</v>
      </c>
      <c r="K43" s="54" t="n">
        <f aca="false">K42*$D$2</f>
        <v>89479.55963</v>
      </c>
      <c r="L43" s="54" t="n">
        <f aca="false">L42*$D$2</f>
        <v>1633.69679</v>
      </c>
      <c r="M43" s="54" t="n">
        <f aca="false">M42*$D$2</f>
        <v>18838.00425</v>
      </c>
      <c r="N43" s="54" t="n">
        <f aca="false">N42*$D$2</f>
        <v>2999.212146</v>
      </c>
      <c r="O43" s="54" t="n">
        <f aca="false">O42*$D$2</f>
        <v>15838.792104</v>
      </c>
      <c r="P43" s="54" t="n">
        <f aca="false">P42*$D$2</f>
        <v>12644.06409</v>
      </c>
      <c r="Q43" s="54" t="n">
        <f aca="false">Q42*$D$2</f>
        <v>5245.25313</v>
      </c>
      <c r="R43" s="54" t="n">
        <f aca="false">R42*$D$2</f>
        <v>33728.109324</v>
      </c>
      <c r="S43" s="54"/>
      <c r="T43" s="54" t="n">
        <f aca="false">T42*$D$2</f>
        <v>14391.72165</v>
      </c>
      <c r="U43" s="54" t="n">
        <f aca="false">U42*$D$2</f>
        <v>3361.79973</v>
      </c>
      <c r="V43" s="54"/>
      <c r="W43" s="98" t="n">
        <f aca="false">W42*$D$2</f>
        <v>54480.84285</v>
      </c>
      <c r="X43" s="54" t="n">
        <f aca="false">X42*$D$2</f>
        <v>3685.71678</v>
      </c>
      <c r="Y43" s="54" t="n">
        <f aca="false">Y42*$D$2</f>
        <v>58166.55963</v>
      </c>
      <c r="Z43" s="57"/>
      <c r="AA43" s="58" t="n">
        <f aca="false">MAX(AA10:AA40)</f>
        <v>86</v>
      </c>
      <c r="AB43" s="58" t="n">
        <f aca="false">MAX(AB10:AB40)</f>
        <v>57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 t="n">
        <f aca="false">F7+F42</f>
        <v>23196.3172979908</v>
      </c>
      <c r="G45" s="54" t="n">
        <f aca="false">G7+G42</f>
        <v>53187.45</v>
      </c>
      <c r="H45" s="54" t="n">
        <f aca="false">H7+H42</f>
        <v>694.98</v>
      </c>
      <c r="I45" s="54" t="n">
        <f aca="false">I7+I42</f>
        <v>53882.43</v>
      </c>
      <c r="J45" s="54" t="n">
        <f aca="false">J7+J42</f>
        <v>6741.88497557446</v>
      </c>
      <c r="K45" s="54" t="n">
        <f aca="false">K7+K42</f>
        <v>60624.3149755745</v>
      </c>
      <c r="L45" s="54" t="n">
        <f aca="false">L7+L42</f>
        <v>4721.14678122753</v>
      </c>
      <c r="M45" s="54" t="n">
        <f aca="false">M7+M42</f>
        <v>13388.19</v>
      </c>
      <c r="N45" s="54" t="n">
        <f aca="false">N7+N42</f>
        <v>2858.9623835392</v>
      </c>
      <c r="O45" s="54" t="n">
        <f aca="false">O7+O42</f>
        <v>10529.2276164608</v>
      </c>
      <c r="P45" s="54" t="n">
        <f aca="false">P7+P42</f>
        <v>7207.49</v>
      </c>
      <c r="Q45" s="54" t="n">
        <f aca="false">Q7+Q42</f>
        <v>3504.45</v>
      </c>
      <c r="R45" s="54" t="n">
        <f aca="false">R7+R42</f>
        <v>21241.1676164608</v>
      </c>
      <c r="S45" s="54" t="n">
        <f aca="false">S7+S42</f>
        <v>0</v>
      </c>
      <c r="T45" s="54" t="n">
        <f aca="false">T7+T42</f>
        <v>8272.65895134863</v>
      </c>
      <c r="U45" s="54" t="n">
        <f aca="false">U7+U42</f>
        <v>3013.8</v>
      </c>
      <c r="V45" s="54"/>
      <c r="W45" s="54" t="n">
        <f aca="false">W7+W42</f>
        <v>35407.2594832367</v>
      </c>
      <c r="X45" s="54" t="n">
        <f aca="false">X7+X42</f>
        <v>2020.73819434693</v>
      </c>
      <c r="Y45" s="54" t="n">
        <f aca="false">Y7+Y42</f>
        <v>37427.9976775836</v>
      </c>
      <c r="Z45" s="57"/>
      <c r="AA45" s="58" t="n">
        <f aca="false">MIN(AA10:AA40)</f>
        <v>58</v>
      </c>
      <c r="AB45" s="58" t="n">
        <f aca="false">MIN(AB10:AB40)</f>
        <v>33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 t="n">
        <f aca="false">F45*$D$2</f>
        <v>45998.2972019158</v>
      </c>
      <c r="G46" s="54" t="n">
        <f aca="false">G45*$D$2</f>
        <v>105470.71335</v>
      </c>
      <c r="H46" s="54" t="n">
        <f aca="false">H45*$D$2</f>
        <v>1378.14534</v>
      </c>
      <c r="I46" s="54" t="n">
        <f aca="false">I45*$D$2</f>
        <v>106848.85869</v>
      </c>
      <c r="J46" s="54" t="n">
        <f aca="false">J45*$D$2</f>
        <v>13369.1579065642</v>
      </c>
      <c r="K46" s="54" t="n">
        <f aca="false">K45*$D$2</f>
        <v>120218.016596564</v>
      </c>
      <c r="L46" s="54" t="n">
        <f aca="false">L45*$D$2</f>
        <v>9362.03406717419</v>
      </c>
      <c r="M46" s="54" t="n">
        <f aca="false">M45*$D$2</f>
        <v>26548.78077</v>
      </c>
      <c r="N46" s="54" t="n">
        <f aca="false">N45*$D$2</f>
        <v>5669.32240655823</v>
      </c>
      <c r="O46" s="54" t="n">
        <f aca="false">O45*$D$2</f>
        <v>20879.4583634418</v>
      </c>
      <c r="P46" s="54" t="n">
        <f aca="false">P45*$D$2</f>
        <v>14292.45267</v>
      </c>
      <c r="Q46" s="54" t="n">
        <f aca="false">Q45*$D$2</f>
        <v>6949.32435</v>
      </c>
      <c r="R46" s="54" t="n">
        <f aca="false">R45*$D$2</f>
        <v>42121.2353834418</v>
      </c>
      <c r="S46" s="54" t="n">
        <f aca="false">S45*$D$2</f>
        <v>0</v>
      </c>
      <c r="T46" s="54" t="n">
        <f aca="false">T45*$D$2</f>
        <v>16404.6827005243</v>
      </c>
      <c r="U46" s="54" t="n">
        <f aca="false">U45*$D$2</f>
        <v>5976.3654</v>
      </c>
      <c r="V46" s="54"/>
      <c r="W46" s="54" t="n">
        <f aca="false">W45*$D$2</f>
        <v>70212.5955552584</v>
      </c>
      <c r="X46" s="54" t="n">
        <f aca="false">X45*$D$2</f>
        <v>4007.12383938997</v>
      </c>
      <c r="Y46" s="54" t="n">
        <f aca="false">Y45*$D$2</f>
        <v>74219.7193946484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25444.9305102954</v>
      </c>
      <c r="G48" s="54" t="n">
        <f aca="false">G8+G42</f>
        <v>64501.0601260716</v>
      </c>
      <c r="H48" s="58" t="n">
        <f aca="false">H8+H42</f>
        <v>817.24</v>
      </c>
      <c r="I48" s="54" t="n">
        <f aca="false">I8+I42</f>
        <v>65318.2001260716</v>
      </c>
      <c r="J48" s="54" t="n">
        <f aca="false">J8+J42</f>
        <v>9142.68504617456</v>
      </c>
      <c r="K48" s="54" t="n">
        <f aca="false">K8+K42</f>
        <v>74460.8851722462</v>
      </c>
      <c r="L48" s="54" t="n">
        <f aca="false">L8+L42</f>
        <v>2937.15986746051</v>
      </c>
      <c r="M48" s="54" t="n">
        <f aca="false">M8+M42</f>
        <v>14839.99</v>
      </c>
      <c r="N48" s="54" t="n">
        <f aca="false">N8+N42</f>
        <v>2918.6623835392</v>
      </c>
      <c r="O48" s="54" t="n">
        <f aca="false">O8+O42</f>
        <v>11428.8276164608</v>
      </c>
      <c r="P48" s="54" t="n">
        <f aca="false">P8+P42</f>
        <v>8041.74</v>
      </c>
      <c r="Q48" s="54" t="n">
        <f aca="false">Q8+Q42</f>
        <v>3504.45</v>
      </c>
      <c r="R48" s="54" t="n">
        <f aca="false">R8+R42</f>
        <v>23343.5176164608</v>
      </c>
      <c r="S48" s="54"/>
      <c r="T48" s="54" t="n">
        <f aca="false">T8+T42</f>
        <v>8272.65895134863</v>
      </c>
      <c r="U48" s="54" t="n">
        <f aca="false">U8+U42</f>
        <v>8130.92</v>
      </c>
      <c r="V48" s="54" t="n">
        <f aca="false">V40</f>
        <v>15498.9300226872</v>
      </c>
      <c r="W48" s="54" t="n">
        <f aca="false">W8+W42</f>
        <v>42810.4294832367</v>
      </c>
      <c r="X48" s="54" t="n">
        <f aca="false">X8+X42</f>
        <v>6205.52517871405</v>
      </c>
      <c r="Y48" s="54" t="n">
        <f aca="false">Y8+Y42</f>
        <v>49015.9546619508</v>
      </c>
      <c r="Z48" s="77" t="n">
        <f aca="false">Z8+Z42</f>
        <v>3.89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50461</v>
      </c>
      <c r="E49" s="54" t="n">
        <f aca="false">E40</f>
        <v>212007</v>
      </c>
      <c r="F49" s="54" t="n">
        <f aca="false">F48*$D$2</f>
        <v>50457.2972019158</v>
      </c>
      <c r="G49" s="54" t="n">
        <f aca="false">G48*$D$2</f>
        <v>127905.60223</v>
      </c>
      <c r="H49" s="58" t="n">
        <f aca="false">H48*$D$2</f>
        <v>1620.58692</v>
      </c>
      <c r="I49" s="54" t="n">
        <f aca="false">I48*$D$2</f>
        <v>129525.99085</v>
      </c>
      <c r="J49" s="54" t="n">
        <f aca="false">J48*$D$2</f>
        <v>18129.9444465642</v>
      </c>
      <c r="K49" s="54" t="n">
        <f aca="false">K48*$D$2</f>
        <v>147655.935296564</v>
      </c>
      <c r="L49" s="54" t="n">
        <f aca="false">L48*$D$2</f>
        <v>5824.38801717419</v>
      </c>
      <c r="M49" s="54" t="n">
        <f aca="false">M48*$D$2</f>
        <v>29427.70017</v>
      </c>
      <c r="N49" s="54" t="n">
        <f aca="false">N48*$D$2</f>
        <v>5787.70750655823</v>
      </c>
      <c r="O49" s="54" t="n">
        <f aca="false">O48*$D$2</f>
        <v>22663.3651634418</v>
      </c>
      <c r="P49" s="54" t="n">
        <f aca="false">P48*$D$2</f>
        <v>15946.77042</v>
      </c>
      <c r="Q49" s="54" t="n">
        <f aca="false">Q48*$D$2</f>
        <v>6949.32435</v>
      </c>
      <c r="R49" s="54" t="n">
        <f aca="false">R48*$D$2</f>
        <v>46290.1954334418</v>
      </c>
      <c r="S49" s="54" t="n">
        <f aca="false">S48*$D$2</f>
        <v>0</v>
      </c>
      <c r="T49" s="54" t="n">
        <f aca="false">T48*$D$2</f>
        <v>16404.6827005243</v>
      </c>
      <c r="U49" s="54" t="n">
        <f aca="false">U48*$D$2</f>
        <v>16123.61436</v>
      </c>
      <c r="V49" s="54" t="n">
        <f aca="false">V48*$D$2</f>
        <v>30734.3782349886</v>
      </c>
      <c r="W49" s="54" t="n">
        <f aca="false">W48*$D$2</f>
        <v>84893.0816652584</v>
      </c>
      <c r="X49" s="54" t="n">
        <f aca="false">X48*$D$2</f>
        <v>12305.55642939</v>
      </c>
      <c r="Y49" s="54" t="n">
        <f aca="false">Y48*$D$2</f>
        <v>97198.6380946484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99" t="str">
        <f aca="false">"JUN 11"</f>
        <v>JUN 11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6917.99</v>
      </c>
      <c r="C52" s="54" t="n">
        <v>354951</v>
      </c>
      <c r="D52" s="86"/>
      <c r="E52" s="54" t="n">
        <f aca="false">C52-152000</f>
        <v>202951</v>
      </c>
      <c r="F52" s="53"/>
      <c r="G52" s="86" t="s">
        <v>69</v>
      </c>
      <c r="H52" s="86"/>
      <c r="I52" s="91" t="n">
        <v>381160</v>
      </c>
      <c r="J52" s="53"/>
      <c r="K52" s="43"/>
      <c r="L52" s="53" t="s">
        <v>70</v>
      </c>
      <c r="M52" s="53"/>
      <c r="N52" s="100" t="n">
        <v>1100</v>
      </c>
      <c r="O52" s="101"/>
      <c r="P52" s="102"/>
      <c r="Q52" s="102"/>
      <c r="R52" s="100" t="n">
        <v>16895</v>
      </c>
      <c r="S52" s="101"/>
      <c r="T52" s="100" t="n">
        <v>1921</v>
      </c>
      <c r="U52" s="53"/>
      <c r="V52" s="54"/>
      <c r="W52" s="98"/>
      <c r="X52" s="53"/>
      <c r="Y52" s="53"/>
      <c r="Z52" s="57" t="n">
        <v>14.9</v>
      </c>
      <c r="AA52" s="58" t="n">
        <v>63</v>
      </c>
      <c r="AB52" s="58" t="n">
        <v>38</v>
      </c>
      <c r="AC52" s="59"/>
      <c r="AD52" s="60"/>
      <c r="AE52" s="60"/>
    </row>
    <row r="53" customFormat="false" ht="11.1" hidden="false" customHeight="true" outlineLevel="0" collapsed="false">
      <c r="A53" s="86" t="str">
        <f aca="false">"5/11/96 thru 6/11/96"</f>
        <v>5/11/96 thru 6/11/96</v>
      </c>
      <c r="B53" s="86"/>
      <c r="C53" s="54"/>
      <c r="D53" s="54"/>
      <c r="E53" s="54"/>
      <c r="F53" s="86"/>
      <c r="G53" s="86" t="s">
        <v>71</v>
      </c>
      <c r="H53" s="55"/>
      <c r="I53" s="100" t="n">
        <f aca="false">C30</f>
        <v>368484</v>
      </c>
      <c r="J53" s="86"/>
      <c r="K53" s="86"/>
      <c r="L53" s="77" t="s">
        <v>72</v>
      </c>
      <c r="M53" s="0"/>
      <c r="N53" s="91" t="n">
        <f aca="false">N43-N52</f>
        <v>1899.212146</v>
      </c>
      <c r="O53" s="77"/>
      <c r="P53" s="86"/>
      <c r="Q53" s="86"/>
      <c r="R53" s="91" t="n">
        <f aca="false">R43-R52</f>
        <v>16833.109324</v>
      </c>
      <c r="S53" s="54"/>
      <c r="T53" s="91" t="n">
        <f aca="false">T43-T52</f>
        <v>12470.72165</v>
      </c>
      <c r="U53" s="103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B20-B52</f>
        <v>-1</v>
      </c>
      <c r="C54" s="54"/>
      <c r="D54" s="54" t="n">
        <f aca="false">C20-C52</f>
        <v>-4239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 t="s">
        <v>73</v>
      </c>
      <c r="U54" s="54" t="n">
        <f aca="false">SUM(N53:T53)</f>
        <v>31203.04312</v>
      </c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0"/>
      <c r="C55" s="54"/>
      <c r="D55" s="0"/>
      <c r="E55" s="54"/>
      <c r="F55" s="86"/>
      <c r="G55" s="104" t="s">
        <v>74</v>
      </c>
      <c r="H55" s="105"/>
      <c r="I55" s="106" t="n">
        <f aca="false">I52-I53</f>
        <v>12676</v>
      </c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7.66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6.66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6.66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</v>
      </c>
      <c r="E2" s="8"/>
      <c r="F2" s="7"/>
      <c r="G2" s="7"/>
      <c r="H2" s="9"/>
      <c r="I2" s="7"/>
      <c r="J2" s="7"/>
      <c r="K2" s="93" t="s">
        <v>75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16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  <c r="AD4" s="14"/>
      <c r="AE4" s="14"/>
    </row>
    <row r="5" customFormat="false" ht="11.1" hidden="false" customHeight="true" outlineLevel="0" collapsed="false">
      <c r="A5" s="22" t="s">
        <v>76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65</v>
      </c>
      <c r="P5" s="16" t="s">
        <v>66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76</v>
      </c>
      <c r="AD5" s="14"/>
      <c r="AE5" s="1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F6" s="107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 t="n">
        <f aca="false" t="array" ref="F7:Y7">MAY!$F$45:$Y$45</f>
        <v>23196.3172979908</v>
      </c>
      <c r="G7" s="8" t="n">
        <v>53187.45</v>
      </c>
      <c r="H7" s="12" t="n">
        <v>694.98</v>
      </c>
      <c r="I7" s="8" t="n">
        <v>53882.43</v>
      </c>
      <c r="J7" s="8" t="n">
        <v>6741.88497557446</v>
      </c>
      <c r="K7" s="8" t="n">
        <v>60624.3149755745</v>
      </c>
      <c r="L7" s="8" t="n">
        <v>4721.14678122753</v>
      </c>
      <c r="M7" s="8" t="n">
        <v>13388.19</v>
      </c>
      <c r="N7" s="8" t="n">
        <v>2858.9623835392</v>
      </c>
      <c r="O7" s="8" t="n">
        <v>10529.2276164608</v>
      </c>
      <c r="P7" s="8" t="n">
        <v>7207.49</v>
      </c>
      <c r="Q7" s="8" t="n">
        <v>3504.45</v>
      </c>
      <c r="R7" s="8" t="n">
        <v>21241.1676164608</v>
      </c>
      <c r="S7" s="8" t="n">
        <v>0</v>
      </c>
      <c r="T7" s="8" t="n">
        <v>8272.65895134863</v>
      </c>
      <c r="U7" s="8" t="n">
        <v>3013.8</v>
      </c>
      <c r="V7" s="8" t="n">
        <v>0</v>
      </c>
      <c r="W7" s="8" t="n">
        <v>35407.2594832367</v>
      </c>
      <c r="X7" s="8" t="n">
        <v>2020.73819434693</v>
      </c>
      <c r="Y7" s="8" t="n">
        <v>37427.9976775836</v>
      </c>
      <c r="Z7" s="11"/>
      <c r="AA7" s="12"/>
      <c r="AB7" s="12"/>
      <c r="AC7" s="13"/>
      <c r="AD7" s="31"/>
      <c r="AF7" s="108"/>
    </row>
    <row r="8" s="1" customFormat="true" ht="11.1" hidden="false" customHeight="true" outlineLevel="0" collapsed="false">
      <c r="A8" s="8" t="s">
        <v>44</v>
      </c>
      <c r="B8" s="29" t="n">
        <f aca="false" t="array" ref="B8:C8">MAY!$B$40:$C$40</f>
        <v>6920.1</v>
      </c>
      <c r="C8" s="8" t="n">
        <v>364007</v>
      </c>
      <c r="D8" s="8" t="n">
        <f aca="false" t="array" ref="D8:E8">MAY!$D$49:$E$49</f>
        <v>50461</v>
      </c>
      <c r="E8" s="8" t="n">
        <v>212007</v>
      </c>
      <c r="F8" s="8" t="n">
        <f aca="false" t="array" ref="F8:Z8">MAY!$F$48:$Z$48</f>
        <v>25444.9305102954</v>
      </c>
      <c r="G8" s="8" t="n">
        <v>64501.0601260716</v>
      </c>
      <c r="H8" s="12" t="n">
        <v>817.24</v>
      </c>
      <c r="I8" s="8" t="n">
        <v>65318.2001260716</v>
      </c>
      <c r="J8" s="8" t="n">
        <v>9142.68504617456</v>
      </c>
      <c r="K8" s="8" t="n">
        <v>74460.8851722462</v>
      </c>
      <c r="L8" s="8" t="n">
        <v>2937.15986746051</v>
      </c>
      <c r="M8" s="8" t="n">
        <v>14839.99</v>
      </c>
      <c r="N8" s="8" t="n">
        <v>2918.6623835392</v>
      </c>
      <c r="O8" s="8" t="n">
        <v>11428.8276164608</v>
      </c>
      <c r="P8" s="8" t="n">
        <v>8041.74</v>
      </c>
      <c r="Q8" s="8" t="n">
        <v>3504.45</v>
      </c>
      <c r="R8" s="8" t="n">
        <v>23343.5176164608</v>
      </c>
      <c r="S8" s="8" t="n">
        <v>0</v>
      </c>
      <c r="T8" s="8" t="n">
        <v>8272.65895134863</v>
      </c>
      <c r="U8" s="8" t="n">
        <v>8130.92</v>
      </c>
      <c r="V8" s="8" t="n">
        <v>15498.9300226872</v>
      </c>
      <c r="W8" s="8" t="n">
        <v>42810.4294832367</v>
      </c>
      <c r="X8" s="8" t="n">
        <v>6205.52517871405</v>
      </c>
      <c r="Y8" s="8" t="n">
        <v>49015.9546619508</v>
      </c>
      <c r="Z8" s="30" t="n">
        <v>3.89</v>
      </c>
      <c r="AA8" s="12"/>
      <c r="AB8" s="12"/>
      <c r="AC8" s="13"/>
      <c r="AD8" s="109"/>
      <c r="AE8" s="109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4"/>
      <c r="T9" s="32"/>
      <c r="U9" s="32"/>
      <c r="V9" s="34"/>
      <c r="W9" s="32"/>
      <c r="X9" s="32"/>
      <c r="Y9" s="32"/>
      <c r="Z9" s="36"/>
      <c r="AA9" s="37"/>
      <c r="AB9" s="37"/>
      <c r="AC9" s="38"/>
      <c r="AD9" s="14"/>
      <c r="AE9" s="14"/>
    </row>
    <row r="10" customFormat="false" ht="11.1" hidden="false" customHeight="true" outlineLevel="0" collapsed="false">
      <c r="A10" s="13" t="n">
        <v>1</v>
      </c>
      <c r="B10" s="29" t="n">
        <v>6919.75</v>
      </c>
      <c r="C10" s="8" t="n">
        <v>362497</v>
      </c>
      <c r="D10" s="12" t="n">
        <f aca="false">C10-C8</f>
        <v>-1510</v>
      </c>
      <c r="E10" s="8" t="n">
        <f aca="false">C10-152000</f>
        <v>210497</v>
      </c>
      <c r="F10" s="7" t="n">
        <f aca="false">D10/$D$2</f>
        <v>-761.472516389309</v>
      </c>
      <c r="G10" s="7" t="n">
        <v>501.78</v>
      </c>
      <c r="H10" s="9" t="n">
        <v>0</v>
      </c>
      <c r="I10" s="7" t="n">
        <f aca="false">G10+H10</f>
        <v>501.78</v>
      </c>
      <c r="J10" s="95" t="n">
        <f aca="false">IF(L10&gt;0,L10,0)</f>
        <v>0</v>
      </c>
      <c r="K10" s="7" t="n">
        <f aca="false">I10+J10</f>
        <v>501.78</v>
      </c>
      <c r="L10" s="7" t="n">
        <f aca="false">F10-(I10-W10)</f>
        <v>-443.652516389309</v>
      </c>
      <c r="M10" s="7" t="n">
        <v>294.4</v>
      </c>
      <c r="N10" s="7" t="n">
        <f aca="false">(16.41+16.23)*1.05</f>
        <v>34.272</v>
      </c>
      <c r="O10" s="7" t="n">
        <f aca="false">M10-N10</f>
        <v>260.128</v>
      </c>
      <c r="P10" s="7" t="n">
        <v>174.25</v>
      </c>
      <c r="Q10" s="7" t="n">
        <v>82.36</v>
      </c>
      <c r="R10" s="7" t="n">
        <f aca="false">SUM(O10:Q10)</f>
        <v>516.738</v>
      </c>
      <c r="S10" s="8" t="n">
        <f aca="false">S55</f>
        <v>4080.28977688262</v>
      </c>
      <c r="T10" s="7" t="n">
        <v>212.85</v>
      </c>
      <c r="U10" s="7" t="n">
        <v>55.74</v>
      </c>
      <c r="V10" s="8" t="n">
        <f aca="false">V8-U10</f>
        <v>15443.1900226872</v>
      </c>
      <c r="W10" s="7" t="n">
        <f aca="false">N10+R10+T10+U10</f>
        <v>819.6</v>
      </c>
      <c r="X10" s="7" t="n">
        <f aca="false">IF(L10&lt;0,L10*-1,0)</f>
        <v>443.652516389309</v>
      </c>
      <c r="Y10" s="7" t="n">
        <f aca="false">W10+X10</f>
        <v>1263.25251638931</v>
      </c>
      <c r="Z10" s="11" t="n">
        <v>0</v>
      </c>
      <c r="AA10" s="12" t="n">
        <v>76</v>
      </c>
      <c r="AB10" s="12" t="n">
        <v>42</v>
      </c>
      <c r="AC10" s="13" t="n">
        <v>1</v>
      </c>
      <c r="AD10" s="12"/>
      <c r="AE10" s="12"/>
      <c r="AF10" s="110"/>
      <c r="AG10" s="7"/>
    </row>
    <row r="11" customFormat="false" ht="11.1" hidden="false" customHeight="true" outlineLevel="0" collapsed="false">
      <c r="A11" s="13" t="n">
        <f aca="false">A10+1</f>
        <v>2</v>
      </c>
      <c r="B11" s="29" t="n">
        <v>6919.57</v>
      </c>
      <c r="C11" s="8" t="n">
        <v>361721</v>
      </c>
      <c r="D11" s="12" t="n">
        <f aca="false">C11-C10</f>
        <v>-776</v>
      </c>
      <c r="E11" s="8" t="n">
        <f aca="false">C11-152000</f>
        <v>209721</v>
      </c>
      <c r="F11" s="7" t="n">
        <f aca="false">D11/$D$2</f>
        <v>-391.326273323248</v>
      </c>
      <c r="G11" s="7" t="n">
        <v>504.93</v>
      </c>
      <c r="H11" s="9" t="n">
        <v>0</v>
      </c>
      <c r="I11" s="7" t="n">
        <f aca="false">G11+H11</f>
        <v>504.93</v>
      </c>
      <c r="J11" s="95" t="n">
        <f aca="false">IF(L11&gt;0,L11,0)</f>
        <v>0</v>
      </c>
      <c r="K11" s="7" t="n">
        <f aca="false">I11+J11</f>
        <v>504.93</v>
      </c>
      <c r="L11" s="7" t="n">
        <f aca="false">F11-(I11-W11)</f>
        <v>-97.4262733232475</v>
      </c>
      <c r="M11" s="7" t="n">
        <v>300.92</v>
      </c>
      <c r="N11" s="7" t="n">
        <f aca="false">(19.89+19.29)*1.05</f>
        <v>41.139</v>
      </c>
      <c r="O11" s="7" t="n">
        <f aca="false">M11-N11</f>
        <v>259.781</v>
      </c>
      <c r="P11" s="7" t="n">
        <v>174.35</v>
      </c>
      <c r="Q11" s="7" t="n">
        <v>82.3</v>
      </c>
      <c r="R11" s="7" t="n">
        <f aca="false">SUM(O11:Q11)</f>
        <v>516.431</v>
      </c>
      <c r="S11" s="54" t="n">
        <f aca="false">(I11-R11)+S10</f>
        <v>4068.78877688262</v>
      </c>
      <c r="T11" s="7" t="n">
        <v>185.73</v>
      </c>
      <c r="U11" s="7" t="n">
        <v>55.53</v>
      </c>
      <c r="V11" s="8" t="n">
        <f aca="false">V10-U11</f>
        <v>15387.6600226872</v>
      </c>
      <c r="W11" s="7" t="n">
        <f aca="false">N11+R11+T11+U11</f>
        <v>798.83</v>
      </c>
      <c r="X11" s="7" t="n">
        <f aca="false">IF(L11&lt;0,L11*-1,0)</f>
        <v>97.4262733232475</v>
      </c>
      <c r="Y11" s="7" t="n">
        <f aca="false">W11+X11</f>
        <v>896.256273323248</v>
      </c>
      <c r="Z11" s="11" t="n">
        <v>0</v>
      </c>
      <c r="AA11" s="12" t="n">
        <v>80</v>
      </c>
      <c r="AB11" s="12" t="n">
        <v>43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29" t="n">
        <v>6919.39</v>
      </c>
      <c r="C12" s="8" t="n">
        <v>360946</v>
      </c>
      <c r="D12" s="12" t="n">
        <f aca="false">C12-C11</f>
        <v>-775</v>
      </c>
      <c r="E12" s="8" t="n">
        <f aca="false">C12-152000</f>
        <v>208946</v>
      </c>
      <c r="F12" s="7" t="n">
        <f aca="false">D12/$D$2</f>
        <v>-390.821986888553</v>
      </c>
      <c r="G12" s="7" t="n">
        <v>513.76</v>
      </c>
      <c r="H12" s="9" t="n">
        <v>0</v>
      </c>
      <c r="I12" s="7" t="n">
        <f aca="false">G12+H12</f>
        <v>513.76</v>
      </c>
      <c r="J12" s="95" t="n">
        <f aca="false">IF(L12&gt;0,L12,0)</f>
        <v>0</v>
      </c>
      <c r="K12" s="7" t="n">
        <f aca="false">I12+J12</f>
        <v>513.76</v>
      </c>
      <c r="L12" s="7" t="n">
        <f aca="false">F12-(I12-W12)</f>
        <v>-75.8519868885526</v>
      </c>
      <c r="M12" s="7" t="n">
        <v>310.8</v>
      </c>
      <c r="N12" s="7" t="n">
        <f aca="false">(21.88+21.25)*1.05</f>
        <v>45.2865</v>
      </c>
      <c r="O12" s="7" t="n">
        <f aca="false">M12-N12</f>
        <v>265.5135</v>
      </c>
      <c r="P12" s="7" t="n">
        <v>174.26</v>
      </c>
      <c r="Q12" s="7" t="n">
        <v>81.91</v>
      </c>
      <c r="R12" s="7" t="n">
        <f aca="false">SUM(O12:Q12)</f>
        <v>521.6835</v>
      </c>
      <c r="S12" s="54" t="n">
        <f aca="false">(I12-R12)+S11</f>
        <v>4060.86527688262</v>
      </c>
      <c r="T12" s="7" t="n">
        <v>202.79</v>
      </c>
      <c r="U12" s="7" t="n">
        <v>58.97</v>
      </c>
      <c r="V12" s="8" t="n">
        <f aca="false">V11-U12</f>
        <v>15328.6900226872</v>
      </c>
      <c r="W12" s="7" t="n">
        <f aca="false">N12+R12+T12+U12</f>
        <v>828.73</v>
      </c>
      <c r="X12" s="7" t="n">
        <f aca="false">IF(L12&lt;0,L12*-1,0)</f>
        <v>75.8519868885526</v>
      </c>
      <c r="Y12" s="7" t="n">
        <f aca="false">W12+X12</f>
        <v>904.581986888553</v>
      </c>
      <c r="Z12" s="11" t="n">
        <v>0</v>
      </c>
      <c r="AA12" s="12" t="n">
        <v>80</v>
      </c>
      <c r="AB12" s="12" t="n">
        <v>43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29" t="n">
        <v>6919.17</v>
      </c>
      <c r="C13" s="8" t="n">
        <v>359999</v>
      </c>
      <c r="D13" s="12" t="n">
        <f aca="false">C13-C12</f>
        <v>-947</v>
      </c>
      <c r="E13" s="8" t="n">
        <f aca="false">C13-152000</f>
        <v>207999</v>
      </c>
      <c r="F13" s="7" t="n">
        <f aca="false">D13/$D$2</f>
        <v>-477.559253656077</v>
      </c>
      <c r="G13" s="7" t="n">
        <v>528.05</v>
      </c>
      <c r="H13" s="9" t="n">
        <v>0</v>
      </c>
      <c r="I13" s="7" t="n">
        <f aca="false">G13+H13</f>
        <v>528.05</v>
      </c>
      <c r="J13" s="95" t="n">
        <f aca="false">IF(L13&gt;0,L13,0)</f>
        <v>0</v>
      </c>
      <c r="K13" s="7" t="n">
        <f aca="false">I13+J13</f>
        <v>528.05</v>
      </c>
      <c r="L13" s="7" t="n">
        <f aca="false">F13-(I13-W13)</f>
        <v>-186.219253656077</v>
      </c>
      <c r="M13" s="7" t="n">
        <v>294.95</v>
      </c>
      <c r="N13" s="7" t="n">
        <f aca="false">(20.09+19.57)*1.05</f>
        <v>41.643</v>
      </c>
      <c r="O13" s="7" t="n">
        <f aca="false">M13-N13</f>
        <v>253.307</v>
      </c>
      <c r="P13" s="7" t="n">
        <v>173.97</v>
      </c>
      <c r="Q13" s="7" t="n">
        <v>81.59</v>
      </c>
      <c r="R13" s="7" t="n">
        <f aca="false">SUM(O13:Q13)</f>
        <v>508.867</v>
      </c>
      <c r="S13" s="54" t="n">
        <f aca="false">(I13-R13)+S12</f>
        <v>4080.04827688262</v>
      </c>
      <c r="T13" s="7" t="n">
        <v>199.8</v>
      </c>
      <c r="U13" s="7" t="n">
        <v>69.08</v>
      </c>
      <c r="V13" s="8" t="n">
        <f aca="false">V12-U13</f>
        <v>15259.6100226872</v>
      </c>
      <c r="W13" s="7" t="n">
        <f aca="false">N13+R13+T13+U13</f>
        <v>819.39</v>
      </c>
      <c r="X13" s="7" t="n">
        <f aca="false">IF(L13&lt;0,L13*-1,0)</f>
        <v>186.219253656077</v>
      </c>
      <c r="Y13" s="7" t="n">
        <f aca="false">W13+X13</f>
        <v>1005.60925365608</v>
      </c>
      <c r="Z13" s="11" t="n">
        <v>0</v>
      </c>
      <c r="AA13" s="12" t="n">
        <v>86</v>
      </c>
      <c r="AB13" s="12" t="n">
        <v>48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29" t="n">
        <v>6919.02</v>
      </c>
      <c r="C14" s="8" t="n">
        <v>359353</v>
      </c>
      <c r="D14" s="12" t="n">
        <f aca="false">C14-C13</f>
        <v>-646</v>
      </c>
      <c r="E14" s="8" t="n">
        <f aca="false">C14-152000</f>
        <v>207353</v>
      </c>
      <c r="F14" s="7" t="n">
        <f aca="false">D14/$D$2</f>
        <v>-325.76903681291</v>
      </c>
      <c r="G14" s="7" t="n">
        <v>525.8</v>
      </c>
      <c r="H14" s="9" t="n">
        <v>0</v>
      </c>
      <c r="I14" s="7" t="n">
        <f aca="false">G14+H14</f>
        <v>525.8</v>
      </c>
      <c r="J14" s="95" t="n">
        <f aca="false">IF(L14&gt;0,L14,0)</f>
        <v>0</v>
      </c>
      <c r="K14" s="7" t="n">
        <f aca="false">I14+J14</f>
        <v>525.8</v>
      </c>
      <c r="L14" s="7" t="n">
        <f aca="false">F14-(I14-W14)</f>
        <v>-35.8790368129096</v>
      </c>
      <c r="M14" s="7" t="n">
        <v>303.37</v>
      </c>
      <c r="N14" s="7" t="n">
        <f aca="false">(20.1+19.59)*1.05</f>
        <v>41.6745</v>
      </c>
      <c r="O14" s="7" t="n">
        <f aca="false">M14-N14</f>
        <v>261.6955</v>
      </c>
      <c r="P14" s="7" t="n">
        <v>174.03</v>
      </c>
      <c r="Q14" s="7" t="n">
        <v>83.04</v>
      </c>
      <c r="R14" s="7" t="n">
        <f aca="false">SUM(O14:Q14)</f>
        <v>518.7655</v>
      </c>
      <c r="S14" s="54" t="n">
        <f aca="false">(I14-R14)+S13</f>
        <v>4087.08277688262</v>
      </c>
      <c r="T14" s="7" t="n">
        <v>183.32</v>
      </c>
      <c r="U14" s="7" t="n">
        <v>71.93</v>
      </c>
      <c r="V14" s="8" t="n">
        <f aca="false">V13-U14</f>
        <v>15187.6800226872</v>
      </c>
      <c r="W14" s="7" t="n">
        <f aca="false">N14+R14+T14+U14</f>
        <v>815.69</v>
      </c>
      <c r="X14" s="7" t="n">
        <f aca="false">IF(L14&lt;0,L14*-1,0)</f>
        <v>35.8790368129096</v>
      </c>
      <c r="Y14" s="7" t="n">
        <f aca="false">W14+X14</f>
        <v>851.56903681291</v>
      </c>
      <c r="Z14" s="11" t="n">
        <v>0</v>
      </c>
      <c r="AA14" s="12" t="n">
        <v>88</v>
      </c>
      <c r="AB14" s="12" t="n">
        <v>42</v>
      </c>
      <c r="AC14" s="13" t="n">
        <f aca="false">AC13+1</f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29" t="n">
        <v>6918.95</v>
      </c>
      <c r="C15" s="8" t="n">
        <v>359053</v>
      </c>
      <c r="D15" s="12" t="n">
        <f aca="false">C15-C14</f>
        <v>-300</v>
      </c>
      <c r="E15" s="8" t="n">
        <f aca="false">C15-152000</f>
        <v>207053</v>
      </c>
      <c r="F15" s="7" t="n">
        <f aca="false">D15/$D$2</f>
        <v>-151.285930408472</v>
      </c>
      <c r="G15" s="7" t="n">
        <v>528.29</v>
      </c>
      <c r="H15" s="9" t="n">
        <v>0</v>
      </c>
      <c r="I15" s="7" t="n">
        <f aca="false">G15+H15</f>
        <v>528.29</v>
      </c>
      <c r="J15" s="95" t="n">
        <f aca="false">IF(L15&gt;0,L15,0)</f>
        <v>143.214069591528</v>
      </c>
      <c r="K15" s="7" t="n">
        <f aca="false">I15+J15</f>
        <v>671.504069591528</v>
      </c>
      <c r="L15" s="7" t="n">
        <f aca="false">F15-(I15-W15)</f>
        <v>143.214069591528</v>
      </c>
      <c r="M15" s="7" t="n">
        <v>314.43</v>
      </c>
      <c r="N15" s="7" t="n">
        <f aca="false">(20.33+21.59)*1.05</f>
        <v>44.016</v>
      </c>
      <c r="O15" s="7" t="n">
        <f aca="false">M15-N15</f>
        <v>270.414</v>
      </c>
      <c r="P15" s="7" t="n">
        <v>173.7</v>
      </c>
      <c r="Q15" s="7" t="n">
        <v>84.98</v>
      </c>
      <c r="R15" s="7" t="n">
        <f aca="false">SUM(O15:Q15)</f>
        <v>529.094</v>
      </c>
      <c r="S15" s="54" t="n">
        <f aca="false">(I15-R15)+S14</f>
        <v>4086.27877688262</v>
      </c>
      <c r="T15" s="7" t="n">
        <v>178.73</v>
      </c>
      <c r="U15" s="7" t="n">
        <v>70.95</v>
      </c>
      <c r="V15" s="8" t="n">
        <f aca="false">V14-U15</f>
        <v>15116.7300226872</v>
      </c>
      <c r="W15" s="7" t="n">
        <f aca="false">N15+R15+T15+U15</f>
        <v>822.79</v>
      </c>
      <c r="X15" s="7" t="n">
        <f aca="false">IF(L15&lt;0,L15*-1,0)</f>
        <v>0</v>
      </c>
      <c r="Y15" s="7" t="n">
        <f aca="false">W15+X15</f>
        <v>822.79</v>
      </c>
      <c r="Z15" s="11" t="n">
        <v>0</v>
      </c>
      <c r="AA15" s="12" t="n">
        <v>86</v>
      </c>
      <c r="AB15" s="12" t="n">
        <v>54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29" t="n">
        <v>6918.66</v>
      </c>
      <c r="C16" s="8" t="n">
        <v>357814</v>
      </c>
      <c r="D16" s="12" t="n">
        <f aca="false">C16-C15</f>
        <v>-1239</v>
      </c>
      <c r="E16" s="8" t="n">
        <f aca="false">C16-152000</f>
        <v>205814</v>
      </c>
      <c r="F16" s="7" t="n">
        <f aca="false">D16/$D$2</f>
        <v>-624.810892586989</v>
      </c>
      <c r="G16" s="7" t="n">
        <v>521.26</v>
      </c>
      <c r="H16" s="9" t="n">
        <v>0</v>
      </c>
      <c r="I16" s="7" t="n">
        <f aca="false">G16+H16</f>
        <v>521.26</v>
      </c>
      <c r="J16" s="95" t="n">
        <f aca="false">IF(L16&gt;0,L16,0)</f>
        <v>0</v>
      </c>
      <c r="K16" s="7" t="n">
        <f aca="false">I16+J16</f>
        <v>521.26</v>
      </c>
      <c r="L16" s="7" t="n">
        <f aca="false">F16-(I16-W16)</f>
        <v>-321.160892586989</v>
      </c>
      <c r="M16" s="7" t="n">
        <v>323.32</v>
      </c>
      <c r="N16" s="7" t="n">
        <f aca="false">(28.18+21.35)*1.05</f>
        <v>52.0065</v>
      </c>
      <c r="O16" s="7" t="n">
        <f aca="false">M16-N16</f>
        <v>271.3135</v>
      </c>
      <c r="P16" s="7" t="n">
        <v>173.79</v>
      </c>
      <c r="Q16" s="7" t="n">
        <v>85.9</v>
      </c>
      <c r="R16" s="7" t="n">
        <f aca="false">SUM(O16:Q16)</f>
        <v>531.0035</v>
      </c>
      <c r="S16" s="54" t="n">
        <f aca="false">(I16-R16)+S15</f>
        <v>4076.53527688262</v>
      </c>
      <c r="T16" s="7" t="n">
        <v>173.08</v>
      </c>
      <c r="U16" s="7" t="n">
        <v>68.82</v>
      </c>
      <c r="V16" s="8" t="n">
        <f aca="false">V15-U16</f>
        <v>15047.9100226872</v>
      </c>
      <c r="W16" s="7" t="n">
        <f aca="false">N16+R16+T16+U16</f>
        <v>824.91</v>
      </c>
      <c r="X16" s="7" t="n">
        <f aca="false">IF(L16&lt;0,L16*-1,0)</f>
        <v>321.160892586989</v>
      </c>
      <c r="Y16" s="7" t="n">
        <f aca="false">W16+X16</f>
        <v>1146.07089258699</v>
      </c>
      <c r="Z16" s="11" t="n">
        <v>0</v>
      </c>
      <c r="AA16" s="12" t="n">
        <v>87</v>
      </c>
      <c r="AB16" s="12" t="n">
        <v>53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29" t="n">
        <v>6918.44</v>
      </c>
      <c r="C17" s="8" t="n">
        <v>356874</v>
      </c>
      <c r="D17" s="12" t="n">
        <f aca="false">C17-C16</f>
        <v>-940</v>
      </c>
      <c r="E17" s="8" t="n">
        <f aca="false">C17-152000</f>
        <v>204874</v>
      </c>
      <c r="F17" s="7" t="n">
        <f aca="false">D17/$D$2</f>
        <v>-474.029248613212</v>
      </c>
      <c r="G17" s="7" t="n">
        <v>497.84</v>
      </c>
      <c r="H17" s="9" t="n">
        <v>0</v>
      </c>
      <c r="I17" s="7" t="n">
        <f aca="false">G17+H17</f>
        <v>497.84</v>
      </c>
      <c r="J17" s="95" t="n">
        <f aca="false">IF(L17&gt;0,L17,0)</f>
        <v>0</v>
      </c>
      <c r="K17" s="7" t="n">
        <f aca="false">I17+J17</f>
        <v>497.84</v>
      </c>
      <c r="L17" s="7" t="n">
        <f aca="false">F17-(I17-W17)</f>
        <v>-179.589248613212</v>
      </c>
      <c r="M17" s="7" t="n">
        <v>321.24</v>
      </c>
      <c r="N17" s="7" t="n">
        <f aca="false">(30.36+29.73)*1.05</f>
        <v>63.0945</v>
      </c>
      <c r="O17" s="7" t="n">
        <f aca="false">M17-N17</f>
        <v>258.1455</v>
      </c>
      <c r="P17" s="7" t="n">
        <v>173.93</v>
      </c>
      <c r="Q17" s="7" t="n">
        <v>86.04</v>
      </c>
      <c r="R17" s="7" t="n">
        <f aca="false">SUM(O17:Q17)</f>
        <v>518.1155</v>
      </c>
      <c r="S17" s="54" t="n">
        <f aca="false">(I17-R17)+S16</f>
        <v>4056.25977688262</v>
      </c>
      <c r="T17" s="7" t="n">
        <v>141.75</v>
      </c>
      <c r="U17" s="7" t="n">
        <v>69.32</v>
      </c>
      <c r="V17" s="8" t="n">
        <f aca="false">V16-U17</f>
        <v>14978.5900226872</v>
      </c>
      <c r="W17" s="7" t="n">
        <f aca="false">N17+R17+T17+U17</f>
        <v>792.28</v>
      </c>
      <c r="X17" s="7" t="n">
        <f aca="false">IF(L17&lt;0,L17*-1,0)</f>
        <v>179.589248613212</v>
      </c>
      <c r="Y17" s="7" t="n">
        <f aca="false">W17+X17</f>
        <v>971.869248613212</v>
      </c>
      <c r="Z17" s="11" t="n">
        <v>0</v>
      </c>
      <c r="AA17" s="12" t="n">
        <v>86</v>
      </c>
      <c r="AB17" s="12" t="n">
        <v>53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29" t="n">
        <v>6918.24</v>
      </c>
      <c r="C18" s="8" t="n">
        <v>356019</v>
      </c>
      <c r="D18" s="12" t="n">
        <f aca="false">C18-C17</f>
        <v>-855</v>
      </c>
      <c r="E18" s="8" t="n">
        <f aca="false">C18-152000</f>
        <v>204019</v>
      </c>
      <c r="F18" s="7" t="n">
        <f aca="false">D18/$D$2</f>
        <v>-431.164901664145</v>
      </c>
      <c r="G18" s="7" t="n">
        <v>463.72</v>
      </c>
      <c r="H18" s="9" t="n">
        <v>0</v>
      </c>
      <c r="I18" s="7" t="n">
        <f aca="false">G18+H18</f>
        <v>463.72</v>
      </c>
      <c r="J18" s="95" t="n">
        <f aca="false">IF(L18&gt;0,L18,0)</f>
        <v>0</v>
      </c>
      <c r="K18" s="7" t="n">
        <f aca="false">I18+J18</f>
        <v>463.72</v>
      </c>
      <c r="L18" s="7" t="n">
        <f aca="false">F18-(I18-W18)</f>
        <v>-88.584901664145</v>
      </c>
      <c r="M18" s="7" t="n">
        <v>321.16</v>
      </c>
      <c r="N18" s="7" t="n">
        <f aca="false">(28.51+28.31)*1.05</f>
        <v>59.661</v>
      </c>
      <c r="O18" s="7" t="n">
        <f aca="false">M18-N18</f>
        <v>261.499</v>
      </c>
      <c r="P18" s="7" t="n">
        <v>173.24</v>
      </c>
      <c r="Q18" s="7" t="n">
        <v>85.71</v>
      </c>
      <c r="R18" s="7" t="n">
        <f aca="false">SUM(O18:Q18)</f>
        <v>520.449</v>
      </c>
      <c r="S18" s="54" t="n">
        <f aca="false">(I18-R18)+S17</f>
        <v>3999.53077688262</v>
      </c>
      <c r="T18" s="7" t="n">
        <v>156.83</v>
      </c>
      <c r="U18" s="7" t="n">
        <v>69.36</v>
      </c>
      <c r="V18" s="8" t="n">
        <f aca="false">V17-U18</f>
        <v>14909.2300226872</v>
      </c>
      <c r="W18" s="7" t="n">
        <f aca="false">N18+R18+T18+U18</f>
        <v>806.3</v>
      </c>
      <c r="X18" s="7" t="n">
        <f aca="false">IF(L18&lt;0,L18*-1,0)</f>
        <v>88.584901664145</v>
      </c>
      <c r="Y18" s="7" t="n">
        <f aca="false">W18+X18</f>
        <v>894.884901664145</v>
      </c>
      <c r="Z18" s="11" t="n">
        <v>0</v>
      </c>
      <c r="AA18" s="40" t="n">
        <v>85</v>
      </c>
      <c r="AB18" s="12" t="n">
        <v>53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29" t="n">
        <v>6918.02</v>
      </c>
      <c r="C19" s="8" t="n">
        <v>355079</v>
      </c>
      <c r="D19" s="12" t="n">
        <f aca="false">C19-C18</f>
        <v>-940</v>
      </c>
      <c r="E19" s="8" t="n">
        <f aca="false">C19-152000</f>
        <v>203079</v>
      </c>
      <c r="F19" s="7" t="n">
        <f aca="false">D19/$D$2</f>
        <v>-474.029248613212</v>
      </c>
      <c r="G19" s="7" t="n">
        <v>431.73</v>
      </c>
      <c r="H19" s="9" t="n">
        <v>0</v>
      </c>
      <c r="I19" s="7" t="n">
        <f aca="false">G19+H19</f>
        <v>431.73</v>
      </c>
      <c r="J19" s="95" t="n">
        <f aca="false">IF(L19&gt;0,L19,0)</f>
        <v>0</v>
      </c>
      <c r="K19" s="7" t="n">
        <f aca="false">I19+J19</f>
        <v>431.73</v>
      </c>
      <c r="L19" s="7" t="n">
        <f aca="false">F19-(I19-W19)</f>
        <v>-120.829248613212</v>
      </c>
      <c r="M19" s="7" t="n">
        <v>311.26</v>
      </c>
      <c r="N19" s="7" t="n">
        <f aca="false">(30.73+30.43)*1.05</f>
        <v>64.218</v>
      </c>
      <c r="O19" s="7" t="n">
        <f aca="false">M19-N19</f>
        <v>247.042</v>
      </c>
      <c r="P19" s="7" t="n">
        <v>173.24</v>
      </c>
      <c r="Q19" s="7" t="n">
        <v>85.65</v>
      </c>
      <c r="R19" s="7" t="n">
        <f aca="false">SUM(O19:Q19)</f>
        <v>505.932</v>
      </c>
      <c r="S19" s="54" t="n">
        <f aca="false">(I19-R19)+S18</f>
        <v>3925.32877688262</v>
      </c>
      <c r="T19" s="7" t="n">
        <v>145.46</v>
      </c>
      <c r="U19" s="7" t="n">
        <v>69.32</v>
      </c>
      <c r="V19" s="8" t="n">
        <f aca="false">V18-U19</f>
        <v>14839.9100226872</v>
      </c>
      <c r="W19" s="7" t="n">
        <f aca="false">N19+R19+T19+U19</f>
        <v>784.93</v>
      </c>
      <c r="X19" s="7" t="n">
        <f aca="false">IF(L19&lt;0,L19*-1,0)</f>
        <v>120.829248613212</v>
      </c>
      <c r="Y19" s="7" t="n">
        <f aca="false">W19+X19</f>
        <v>905.759248613212</v>
      </c>
      <c r="Z19" s="11" t="n">
        <v>0</v>
      </c>
      <c r="AA19" s="12" t="n">
        <v>87</v>
      </c>
      <c r="AB19" s="12" t="n">
        <v>56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29" t="n">
        <v>6917.79</v>
      </c>
      <c r="C20" s="8" t="n">
        <v>354103</v>
      </c>
      <c r="D20" s="12" t="n">
        <f aca="false">C20-C19</f>
        <v>-976</v>
      </c>
      <c r="E20" s="8" t="n">
        <f aca="false">C20-152000</f>
        <v>202103</v>
      </c>
      <c r="F20" s="7" t="n">
        <f aca="false">D20/$D$2</f>
        <v>-492.183560262229</v>
      </c>
      <c r="G20" s="7" t="n">
        <v>396.78</v>
      </c>
      <c r="H20" s="9" t="n">
        <v>0</v>
      </c>
      <c r="I20" s="7" t="n">
        <f aca="false">G20+H20</f>
        <v>396.78</v>
      </c>
      <c r="J20" s="95" t="n">
        <f aca="false">IF(L20&gt;0,L20,0)</f>
        <v>0</v>
      </c>
      <c r="K20" s="7" t="n">
        <f aca="false">I20+J20</f>
        <v>396.78</v>
      </c>
      <c r="L20" s="7" t="n">
        <f aca="false">F20-(I20-W20)</f>
        <v>-90.083560262229</v>
      </c>
      <c r="M20" s="7" t="n">
        <v>320.16</v>
      </c>
      <c r="N20" s="7" t="n">
        <f aca="false">(30.52+31)*1.05</f>
        <v>64.596</v>
      </c>
      <c r="O20" s="7" t="n">
        <f aca="false">M20-N20</f>
        <v>255.564</v>
      </c>
      <c r="P20" s="7" t="n">
        <v>172.68</v>
      </c>
      <c r="Q20" s="7" t="n">
        <v>85.27</v>
      </c>
      <c r="R20" s="7" t="n">
        <f aca="false">SUM(O20:Q20)</f>
        <v>513.514</v>
      </c>
      <c r="S20" s="54" t="n">
        <f aca="false">(I20-R20)+S19</f>
        <v>3808.59477688262</v>
      </c>
      <c r="T20" s="7" t="n">
        <v>151.45</v>
      </c>
      <c r="U20" s="7" t="n">
        <v>69.32</v>
      </c>
      <c r="V20" s="8" t="n">
        <f aca="false">V19-U20</f>
        <v>14770.5900226872</v>
      </c>
      <c r="W20" s="7" t="n">
        <f aca="false">N20+R20+T20+U20</f>
        <v>798.88</v>
      </c>
      <c r="X20" s="7" t="n">
        <f aca="false">IF(L20&lt;0,L20*-1,0)</f>
        <v>90.083560262229</v>
      </c>
      <c r="Y20" s="7" t="n">
        <f aca="false">W20+X20</f>
        <v>888.963560262229</v>
      </c>
      <c r="Z20" s="11" t="n">
        <v>0</v>
      </c>
      <c r="AA20" s="12" t="n">
        <v>89</v>
      </c>
      <c r="AB20" s="12" t="n">
        <v>53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29" t="n">
        <v>6917.56</v>
      </c>
      <c r="C21" s="8" t="n">
        <v>353128</v>
      </c>
      <c r="D21" s="12" t="n">
        <f aca="false">C21-C20</f>
        <v>-975</v>
      </c>
      <c r="E21" s="8" t="n">
        <f aca="false">C21-152000</f>
        <v>201128</v>
      </c>
      <c r="F21" s="7" t="n">
        <f aca="false">D21/$D$2</f>
        <v>-491.679273827534</v>
      </c>
      <c r="G21" s="7" t="n">
        <v>376.86</v>
      </c>
      <c r="H21" s="9" t="n">
        <v>0</v>
      </c>
      <c r="I21" s="7" t="n">
        <f aca="false">G21+H21</f>
        <v>376.86</v>
      </c>
      <c r="J21" s="95" t="n">
        <f aca="false">IF(L21&gt;0,L21,0)</f>
        <v>0</v>
      </c>
      <c r="K21" s="7" t="n">
        <f aca="false">I21+J21</f>
        <v>376.86</v>
      </c>
      <c r="L21" s="7" t="n">
        <f aca="false">F21-(I21-W21)</f>
        <v>-78.4592738275339</v>
      </c>
      <c r="M21" s="7" t="n">
        <v>317.98</v>
      </c>
      <c r="N21" s="7" t="n">
        <f aca="false">(29.43+30.61)*1.05</f>
        <v>63.042</v>
      </c>
      <c r="O21" s="7" t="n">
        <f aca="false">M21-N21</f>
        <v>254.938</v>
      </c>
      <c r="P21" s="7" t="n">
        <v>172.74</v>
      </c>
      <c r="Q21" s="7" t="n">
        <v>85.07</v>
      </c>
      <c r="R21" s="7" t="n">
        <f aca="false">SUM(O21:Q21)</f>
        <v>512.748</v>
      </c>
      <c r="S21" s="54" t="n">
        <f aca="false">(I21-R21)+S20</f>
        <v>3672.70677688262</v>
      </c>
      <c r="T21" s="7" t="n">
        <v>144.97</v>
      </c>
      <c r="U21" s="7" t="n">
        <v>69.32</v>
      </c>
      <c r="V21" s="8" t="n">
        <f aca="false">V20-U21</f>
        <v>14701.2700226872</v>
      </c>
      <c r="W21" s="7" t="n">
        <f aca="false">N21+R21+T21+U21</f>
        <v>790.08</v>
      </c>
      <c r="X21" s="7" t="n">
        <f aca="false">IF(L21&lt;0,L21*-1,0)</f>
        <v>78.4592738275339</v>
      </c>
      <c r="Y21" s="7" t="n">
        <f aca="false">W21+X21</f>
        <v>868.539273827534</v>
      </c>
      <c r="Z21" s="11" t="n">
        <v>0</v>
      </c>
      <c r="AA21" s="12" t="n">
        <v>84</v>
      </c>
      <c r="AB21" s="12" t="n">
        <v>57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29" t="n">
        <v>6917.31</v>
      </c>
      <c r="C22" s="8" t="n">
        <v>352068</v>
      </c>
      <c r="D22" s="12" t="n">
        <f aca="false">C22-C21</f>
        <v>-1060</v>
      </c>
      <c r="E22" s="8" t="n">
        <f aca="false">C22-152000</f>
        <v>200068</v>
      </c>
      <c r="F22" s="7" t="n">
        <f aca="false">D22/$D$2</f>
        <v>-534.543620776601</v>
      </c>
      <c r="G22" s="7" t="n">
        <v>359.22</v>
      </c>
      <c r="H22" s="9" t="n">
        <v>0</v>
      </c>
      <c r="I22" s="7" t="n">
        <f aca="false">G22+H22</f>
        <v>359.22</v>
      </c>
      <c r="J22" s="95" t="n">
        <f aca="false">IF(L22&gt;0,L22,0)</f>
        <v>0</v>
      </c>
      <c r="K22" s="7" t="n">
        <f aca="false">I22+J22</f>
        <v>359.22</v>
      </c>
      <c r="L22" s="7" t="n">
        <f aca="false">F22-(I22-W22)</f>
        <v>-114.783620776601</v>
      </c>
      <c r="M22" s="7" t="n">
        <v>302.58</v>
      </c>
      <c r="N22" s="7" t="n">
        <f aca="false">+(26.21+25.8)*1.05</f>
        <v>54.6105</v>
      </c>
      <c r="O22" s="7" t="n">
        <f aca="false">M22-N22</f>
        <v>247.9695</v>
      </c>
      <c r="P22" s="7" t="n">
        <v>172.36</v>
      </c>
      <c r="Q22" s="7" t="n">
        <v>84.77</v>
      </c>
      <c r="R22" s="7" t="n">
        <f aca="false">SUM(O22:Q22)</f>
        <v>505.0995</v>
      </c>
      <c r="S22" s="54" t="n">
        <f aca="false">(I22-R22)+S21</f>
        <v>3526.82727688262</v>
      </c>
      <c r="T22" s="7" t="n">
        <v>149.92</v>
      </c>
      <c r="U22" s="7" t="n">
        <v>69.35</v>
      </c>
      <c r="V22" s="8" t="n">
        <f aca="false">V21-U22</f>
        <v>14631.9200226872</v>
      </c>
      <c r="W22" s="7" t="n">
        <f aca="false">N22+R22+T22+U22</f>
        <v>778.98</v>
      </c>
      <c r="X22" s="7" t="n">
        <f aca="false">IF(L22&lt;0,L22*-1,0)</f>
        <v>114.783620776601</v>
      </c>
      <c r="Y22" s="7" t="n">
        <f aca="false">W22+X22</f>
        <v>893.763620776601</v>
      </c>
      <c r="Z22" s="11" t="n">
        <v>0.22</v>
      </c>
      <c r="AA22" s="12" t="n">
        <v>85</v>
      </c>
      <c r="AB22" s="12" t="n">
        <v>58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29" t="n">
        <v>6917.09</v>
      </c>
      <c r="C23" s="8" t="n">
        <v>351135</v>
      </c>
      <c r="D23" s="12" t="n">
        <f aca="false">C23-C22</f>
        <v>-933</v>
      </c>
      <c r="E23" s="8" t="n">
        <f aca="false">C23-152000</f>
        <v>199135</v>
      </c>
      <c r="F23" s="7" t="n">
        <f aca="false">D23/$D$2</f>
        <v>-470.499243570348</v>
      </c>
      <c r="G23" s="7" t="n">
        <v>405.46</v>
      </c>
      <c r="H23" s="9" t="n">
        <v>0</v>
      </c>
      <c r="I23" s="7" t="n">
        <f aca="false">G23+H23</f>
        <v>405.46</v>
      </c>
      <c r="J23" s="95" t="n">
        <f aca="false">IF(L23&gt;0,L23,0)</f>
        <v>0</v>
      </c>
      <c r="K23" s="7" t="n">
        <f aca="false">I23+J23</f>
        <v>405.46</v>
      </c>
      <c r="L23" s="7" t="n">
        <f aca="false">F23-(I23-W23)</f>
        <v>-108.629243570348</v>
      </c>
      <c r="M23" s="7" t="n">
        <v>291.78</v>
      </c>
      <c r="N23" s="7" t="n">
        <f aca="false">(25.53+24.96)*1.05</f>
        <v>53.0145</v>
      </c>
      <c r="O23" s="7" t="n">
        <f aca="false">M23-N23</f>
        <v>238.7655</v>
      </c>
      <c r="P23" s="7" t="n">
        <v>171.47</v>
      </c>
      <c r="Q23" s="7" t="n">
        <v>84.53</v>
      </c>
      <c r="R23" s="7" t="n">
        <f aca="false">SUM(O23:Q23)</f>
        <v>494.7655</v>
      </c>
      <c r="S23" s="54" t="n">
        <f aca="false">(I23-R23)+S22</f>
        <v>3437.52177688262</v>
      </c>
      <c r="T23" s="7" t="n">
        <v>150.19</v>
      </c>
      <c r="U23" s="7" t="n">
        <v>69.36</v>
      </c>
      <c r="V23" s="8" t="n">
        <f aca="false">V22-U23</f>
        <v>14562.5600226872</v>
      </c>
      <c r="W23" s="7" t="n">
        <f aca="false">N23+R23+T23+U23</f>
        <v>767.33</v>
      </c>
      <c r="X23" s="7" t="n">
        <f aca="false">IF(L23&lt;0,L23*-1,0)</f>
        <v>108.629243570348</v>
      </c>
      <c r="Y23" s="7" t="n">
        <f aca="false">W23+X23</f>
        <v>875.959243570348</v>
      </c>
      <c r="Z23" s="11" t="n">
        <v>0.08</v>
      </c>
      <c r="AA23" s="40" t="n">
        <v>74</v>
      </c>
      <c r="AB23" s="12" t="n">
        <v>52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29" t="n">
        <v>6916.91</v>
      </c>
      <c r="C24" s="8" t="n">
        <v>350375</v>
      </c>
      <c r="D24" s="12" t="n">
        <f aca="false">C24-C23</f>
        <v>-760</v>
      </c>
      <c r="E24" s="8" t="n">
        <f aca="false">C24-152000</f>
        <v>198375</v>
      </c>
      <c r="F24" s="7" t="n">
        <f aca="false">D24/$D$2</f>
        <v>-383.257690368129</v>
      </c>
      <c r="G24" s="7" t="n">
        <v>438.04</v>
      </c>
      <c r="H24" s="9" t="n">
        <v>0</v>
      </c>
      <c r="I24" s="7" t="n">
        <f aca="false">G24+H24</f>
        <v>438.04</v>
      </c>
      <c r="J24" s="95" t="n">
        <f aca="false">IF(L24&gt;0,L24,0)</f>
        <v>0</v>
      </c>
      <c r="K24" s="7" t="n">
        <f aca="false">I24+J24</f>
        <v>438.04</v>
      </c>
      <c r="L24" s="7" t="n">
        <f aca="false">F24-(I24-W24)</f>
        <v>-66.5776903681292</v>
      </c>
      <c r="M24" s="7" t="n">
        <v>283.41</v>
      </c>
      <c r="N24" s="7" t="n">
        <f aca="false">+(23.28+22.25)*1.05</f>
        <v>47.8065</v>
      </c>
      <c r="O24" s="7" t="n">
        <f aca="false">M24-N24</f>
        <v>235.6035</v>
      </c>
      <c r="P24" s="7" t="n">
        <v>171.25</v>
      </c>
      <c r="Q24" s="7" t="n">
        <v>84.33</v>
      </c>
      <c r="R24" s="7" t="n">
        <f aca="false">SUM(O24:Q24)</f>
        <v>491.1835</v>
      </c>
      <c r="S24" s="54" t="n">
        <f aca="false">(I24-R24)+S23</f>
        <v>3384.37827688262</v>
      </c>
      <c r="T24" s="7" t="n">
        <v>146.32</v>
      </c>
      <c r="U24" s="7" t="n">
        <v>69.41</v>
      </c>
      <c r="V24" s="8" t="n">
        <f aca="false">V23-U24</f>
        <v>14493.1500226872</v>
      </c>
      <c r="W24" s="7" t="n">
        <f aca="false">N24+R24+T24+U24</f>
        <v>754.72</v>
      </c>
      <c r="X24" s="7" t="n">
        <f aca="false">IF(L24&lt;0,L24*-1,0)</f>
        <v>66.5776903681292</v>
      </c>
      <c r="Y24" s="7" t="n">
        <f aca="false">W24+X24</f>
        <v>821.297690368129</v>
      </c>
      <c r="Z24" s="11" t="n">
        <v>0</v>
      </c>
      <c r="AA24" s="40" t="n">
        <v>74</v>
      </c>
      <c r="AB24" s="12" t="n">
        <v>51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29" t="n">
        <v>6916.67</v>
      </c>
      <c r="C25" s="8" t="n">
        <v>349365</v>
      </c>
      <c r="D25" s="12" t="n">
        <f aca="false">C25-C24</f>
        <v>-1010</v>
      </c>
      <c r="E25" s="8" t="n">
        <f aca="false">C25-152000</f>
        <v>197365</v>
      </c>
      <c r="F25" s="7" t="n">
        <f aca="false">D25/$D$2</f>
        <v>-509.329299041856</v>
      </c>
      <c r="G25" s="7" t="n">
        <v>370.62</v>
      </c>
      <c r="H25" s="9" t="n">
        <v>0</v>
      </c>
      <c r="I25" s="7" t="n">
        <f aca="false">G25+H25</f>
        <v>370.62</v>
      </c>
      <c r="J25" s="95" t="n">
        <f aca="false">IF(L25&gt;0,L25,0)</f>
        <v>0</v>
      </c>
      <c r="K25" s="7" t="n">
        <f aca="false">I25+J25</f>
        <v>370.62</v>
      </c>
      <c r="L25" s="7" t="n">
        <f aca="false">F25-(I25-W25)</f>
        <v>-132.569299041856</v>
      </c>
      <c r="M25" s="7" t="n">
        <v>284.53</v>
      </c>
      <c r="N25" s="7" t="n">
        <f aca="false">(23.77+22.35)*1.05</f>
        <v>48.426</v>
      </c>
      <c r="O25" s="7" t="n">
        <f aca="false">M25-N25</f>
        <v>236.104</v>
      </c>
      <c r="P25" s="7" t="n">
        <v>171.04</v>
      </c>
      <c r="Q25" s="7" t="n">
        <v>84.13</v>
      </c>
      <c r="R25" s="7" t="n">
        <f aca="false">SUM(O25:Q25)</f>
        <v>491.274</v>
      </c>
      <c r="S25" s="54" t="n">
        <f aca="false">(I25-R25)+S24</f>
        <v>3263.72427688262</v>
      </c>
      <c r="T25" s="7" t="n">
        <v>138.32</v>
      </c>
      <c r="U25" s="7" t="n">
        <v>69.36</v>
      </c>
      <c r="V25" s="8" t="n">
        <f aca="false">V24-U25</f>
        <v>14423.7900226872</v>
      </c>
      <c r="W25" s="7" t="n">
        <f aca="false">N25+R25+T25+U25</f>
        <v>747.38</v>
      </c>
      <c r="X25" s="7" t="n">
        <f aca="false">IF(L25&lt;0,L25*-1,0)</f>
        <v>132.569299041856</v>
      </c>
      <c r="Y25" s="7" t="n">
        <f aca="false">W25+X25</f>
        <v>879.949299041856</v>
      </c>
      <c r="Z25" s="11" t="n">
        <v>0</v>
      </c>
      <c r="AA25" s="40" t="n">
        <v>85</v>
      </c>
      <c r="AB25" s="12" t="n">
        <v>47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29" t="n">
        <v>6916.43</v>
      </c>
      <c r="C26" s="8" t="n">
        <v>348356</v>
      </c>
      <c r="D26" s="12" t="n">
        <f aca="false">C26-C25</f>
        <v>-1009</v>
      </c>
      <c r="E26" s="8" t="n">
        <f aca="false">C26-152000</f>
        <v>196356</v>
      </c>
      <c r="F26" s="7" t="n">
        <f aca="false">D26/$D$2</f>
        <v>-508.825012607161</v>
      </c>
      <c r="G26" s="7" t="n">
        <v>332.27</v>
      </c>
      <c r="H26" s="9" t="n">
        <v>0</v>
      </c>
      <c r="I26" s="7" t="n">
        <f aca="false">G26+H26</f>
        <v>332.27</v>
      </c>
      <c r="J26" s="95" t="n">
        <f aca="false">IF(L26&gt;0,L26,0)</f>
        <v>0</v>
      </c>
      <c r="K26" s="7" t="n">
        <f aca="false">I26+J26</f>
        <v>332.27</v>
      </c>
      <c r="L26" s="7" t="n">
        <f aca="false">F26-(I26-W26)</f>
        <v>-59.3150126071608</v>
      </c>
      <c r="M26" s="7" t="n">
        <v>290.69</v>
      </c>
      <c r="N26" s="7" t="n">
        <f aca="false">(24.79+24.95)*1.05</f>
        <v>52.227</v>
      </c>
      <c r="O26" s="7" t="n">
        <f aca="false">M26-N26</f>
        <v>238.463</v>
      </c>
      <c r="P26" s="7" t="n">
        <v>170.53</v>
      </c>
      <c r="Q26" s="7" t="n">
        <v>84.73</v>
      </c>
      <c r="R26" s="7" t="n">
        <f aca="false">SUM(O26:Q26)</f>
        <v>493.723</v>
      </c>
      <c r="S26" s="54" t="n">
        <f aca="false">(I26-R26)+S25</f>
        <v>3102.27127688262</v>
      </c>
      <c r="T26" s="7" t="n">
        <v>166.51</v>
      </c>
      <c r="U26" s="7" t="n">
        <v>69.32</v>
      </c>
      <c r="V26" s="8" t="n">
        <f aca="false">V25-U26</f>
        <v>14354.4700226872</v>
      </c>
      <c r="W26" s="7" t="n">
        <f aca="false">N26+R26+T26+U26</f>
        <v>781.78</v>
      </c>
      <c r="X26" s="7" t="n">
        <f aca="false">IF(L26&lt;0,L26*-1,0)</f>
        <v>59.3150126071608</v>
      </c>
      <c r="Y26" s="7" t="n">
        <f aca="false">W26+X26</f>
        <v>841.095012607161</v>
      </c>
      <c r="Z26" s="11" t="n">
        <v>0</v>
      </c>
      <c r="AA26" s="40" t="n">
        <v>86</v>
      </c>
      <c r="AB26" s="12" t="n">
        <v>55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29" t="n">
        <v>6916.11</v>
      </c>
      <c r="C27" s="8" t="n">
        <v>347009</v>
      </c>
      <c r="D27" s="12" t="n">
        <f aca="false">C27-C26</f>
        <v>-1347</v>
      </c>
      <c r="E27" s="8" t="n">
        <f aca="false">C27-152000</f>
        <v>195009</v>
      </c>
      <c r="F27" s="7" t="n">
        <f aca="false">D27/$D$2</f>
        <v>-679.273827534039</v>
      </c>
      <c r="G27" s="7" t="n">
        <v>267.19</v>
      </c>
      <c r="H27" s="9" t="n">
        <v>0</v>
      </c>
      <c r="I27" s="7" t="n">
        <f aca="false">G27+H27</f>
        <v>267.19</v>
      </c>
      <c r="J27" s="95" t="n">
        <f aca="false">IF(L27&gt;0,L27,0)</f>
        <v>0</v>
      </c>
      <c r="K27" s="7" t="n">
        <f aca="false">I27+J27</f>
        <v>267.19</v>
      </c>
      <c r="L27" s="7" t="n">
        <f aca="false">F27-(I27-W27)</f>
        <v>-151.973827534039</v>
      </c>
      <c r="M27" s="7" t="n">
        <v>288.69</v>
      </c>
      <c r="N27" s="7" t="n">
        <f aca="false">(25.75+24.26)*1.05</f>
        <v>52.5105</v>
      </c>
      <c r="O27" s="7" t="n">
        <f aca="false">M27-N27</f>
        <v>236.1795</v>
      </c>
      <c r="P27" s="7" t="n">
        <v>171.15</v>
      </c>
      <c r="Q27" s="7" t="n">
        <v>85.07</v>
      </c>
      <c r="R27" s="7" t="n">
        <f aca="false">SUM(O27:Q27)</f>
        <v>492.3995</v>
      </c>
      <c r="S27" s="54" t="n">
        <f aca="false">(I27-R27)+S26</f>
        <v>2877.06177688262</v>
      </c>
      <c r="T27" s="7" t="n">
        <v>180.26</v>
      </c>
      <c r="U27" s="7" t="n">
        <v>69.32</v>
      </c>
      <c r="V27" s="8" t="n">
        <f aca="false">V26-U27</f>
        <v>14285.1500226872</v>
      </c>
      <c r="W27" s="7" t="n">
        <f aca="false">N27+R27+T27+U27</f>
        <v>794.49</v>
      </c>
      <c r="X27" s="7" t="n">
        <f aca="false">IF(L27&lt;0,L27*-1,0)</f>
        <v>151.973827534039</v>
      </c>
      <c r="Y27" s="7" t="n">
        <f aca="false">W27+X27</f>
        <v>946.46382753404</v>
      </c>
      <c r="Z27" s="11" t="n">
        <v>0</v>
      </c>
      <c r="AA27" s="40" t="n">
        <v>86</v>
      </c>
      <c r="AB27" s="12" t="n">
        <v>48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29" t="n">
        <v>6915.79</v>
      </c>
      <c r="C28" s="8" t="n">
        <v>345670</v>
      </c>
      <c r="D28" s="12" t="n">
        <f aca="false">C28-C27</f>
        <v>-1339</v>
      </c>
      <c r="E28" s="8" t="n">
        <f aca="false">C28-152000</f>
        <v>193670</v>
      </c>
      <c r="F28" s="7" t="n">
        <f aca="false">D28/$D$2</f>
        <v>-675.23953605648</v>
      </c>
      <c r="G28" s="7" t="n">
        <v>218.63</v>
      </c>
      <c r="H28" s="9" t="n">
        <v>0</v>
      </c>
      <c r="I28" s="7" t="n">
        <f aca="false">G28+H28</f>
        <v>218.63</v>
      </c>
      <c r="J28" s="95" t="n">
        <f aca="false">IF(L28&gt;0,L28,0)</f>
        <v>0</v>
      </c>
      <c r="K28" s="7" t="n">
        <f aca="false">I28+J28</f>
        <v>218.63</v>
      </c>
      <c r="L28" s="7" t="n">
        <f aca="false">F28-(I28-W28)</f>
        <v>-49.4895360564799</v>
      </c>
      <c r="M28" s="7" t="n">
        <v>311.31</v>
      </c>
      <c r="N28" s="7" t="n">
        <f aca="false">(25.07+24.72)*1.05</f>
        <v>52.2795</v>
      </c>
      <c r="O28" s="7" t="n">
        <f aca="false">M28-N28</f>
        <v>259.0305</v>
      </c>
      <c r="P28" s="7" t="n">
        <v>172</v>
      </c>
      <c r="Q28" s="7" t="n">
        <v>85.25</v>
      </c>
      <c r="R28" s="7" t="n">
        <f aca="false">SUM(O28:Q28)</f>
        <v>516.2805</v>
      </c>
      <c r="S28" s="54" t="n">
        <f aca="false">(I28-R28)+S27</f>
        <v>2579.41127688262</v>
      </c>
      <c r="T28" s="7" t="n">
        <v>206.5</v>
      </c>
      <c r="U28" s="7" t="n">
        <v>69.32</v>
      </c>
      <c r="V28" s="8" t="n">
        <f aca="false">V27-U28</f>
        <v>14215.8300226872</v>
      </c>
      <c r="W28" s="7" t="n">
        <f aca="false">N28+R28+T28+U28</f>
        <v>844.38</v>
      </c>
      <c r="X28" s="7" t="n">
        <f aca="false">IF(L28&lt;0,L28*-1,0)</f>
        <v>49.4895360564799</v>
      </c>
      <c r="Y28" s="7" t="n">
        <f aca="false">W28+X28</f>
        <v>893.86953605648</v>
      </c>
      <c r="Z28" s="11" t="n">
        <v>0</v>
      </c>
      <c r="AA28" s="40" t="n">
        <v>87</v>
      </c>
      <c r="AB28" s="12" t="n">
        <v>49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29" t="n">
        <v>6915.47</v>
      </c>
      <c r="C29" s="8" t="n">
        <v>344334</v>
      </c>
      <c r="D29" s="12" t="n">
        <f aca="false">C29-C28</f>
        <v>-1336</v>
      </c>
      <c r="E29" s="8" t="n">
        <f aca="false">C29-152000</f>
        <v>192334</v>
      </c>
      <c r="F29" s="7" t="n">
        <f aca="false">D29/$D$2</f>
        <v>-673.726676752395</v>
      </c>
      <c r="G29" s="7" t="n">
        <v>198.17</v>
      </c>
      <c r="H29" s="9" t="n">
        <v>0</v>
      </c>
      <c r="I29" s="7" t="n">
        <f aca="false">G29+H29</f>
        <v>198.17</v>
      </c>
      <c r="J29" s="95" t="n">
        <f aca="false">IF(L29&gt;0,L29,0)</f>
        <v>0</v>
      </c>
      <c r="K29" s="7" t="n">
        <f aca="false">I29+J29</f>
        <v>198.17</v>
      </c>
      <c r="L29" s="7" t="n">
        <f aca="false">F29-(I29-W29)</f>
        <v>-30.3666767523953</v>
      </c>
      <c r="M29" s="7" t="n">
        <v>311.49</v>
      </c>
      <c r="N29" s="7" t="n">
        <f aca="false">(23.52+24.92)*1.05</f>
        <v>50.862</v>
      </c>
      <c r="O29" s="7" t="n">
        <f aca="false">M29-N29</f>
        <v>260.628</v>
      </c>
      <c r="P29" s="7" t="n">
        <v>172.49</v>
      </c>
      <c r="Q29" s="7" t="n">
        <v>85.14</v>
      </c>
      <c r="R29" s="7" t="n">
        <f aca="false">SUM(O29:Q29)</f>
        <v>518.258</v>
      </c>
      <c r="S29" s="54" t="n">
        <f aca="false">(I29-R29)+S28</f>
        <v>2259.32327688262</v>
      </c>
      <c r="T29" s="7" t="n">
        <v>203.87</v>
      </c>
      <c r="U29" s="7" t="n">
        <v>68.54</v>
      </c>
      <c r="V29" s="8" t="n">
        <f aca="false">V28-U29</f>
        <v>14147.2900226872</v>
      </c>
      <c r="W29" s="7" t="n">
        <f aca="false">N29+R29+T29+U29</f>
        <v>841.53</v>
      </c>
      <c r="X29" s="7" t="n">
        <f aca="false">IF(L29&lt;0,L29*-1,0)</f>
        <v>30.3666767523953</v>
      </c>
      <c r="Y29" s="7" t="n">
        <f aca="false">W29+X29</f>
        <v>871.896676752395</v>
      </c>
      <c r="Z29" s="11" t="n">
        <v>0.13</v>
      </c>
      <c r="AA29" s="40" t="n">
        <v>86</v>
      </c>
      <c r="AB29" s="12" t="n">
        <v>53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29" t="n">
        <v>6915.23</v>
      </c>
      <c r="C30" s="8" t="n">
        <v>343322</v>
      </c>
      <c r="D30" s="12" t="n">
        <f aca="false">C30-C29</f>
        <v>-1012</v>
      </c>
      <c r="E30" s="8" t="n">
        <f aca="false">C30-152000</f>
        <v>191322</v>
      </c>
      <c r="F30" s="7" t="n">
        <f aca="false">D30/$D$2</f>
        <v>-510.337871911246</v>
      </c>
      <c r="G30" s="7" t="n">
        <v>219.58</v>
      </c>
      <c r="H30" s="9" t="n">
        <v>0</v>
      </c>
      <c r="I30" s="7" t="n">
        <f aca="false">G30+H30</f>
        <v>219.58</v>
      </c>
      <c r="J30" s="95" t="n">
        <f aca="false">IF(L30&gt;0,L30,0)</f>
        <v>61.0721280887544</v>
      </c>
      <c r="K30" s="7" t="n">
        <f aca="false">I30+J30</f>
        <v>280.652128088754</v>
      </c>
      <c r="L30" s="7" t="n">
        <f aca="false">F30-(I30-W30)</f>
        <v>61.0721280887544</v>
      </c>
      <c r="M30" s="7" t="n">
        <v>307.43</v>
      </c>
      <c r="N30" s="7" t="n">
        <f aca="false">(22.9+21.97)*1.05</f>
        <v>47.1135</v>
      </c>
      <c r="O30" s="7" t="n">
        <f aca="false">M30-N30</f>
        <v>260.3165</v>
      </c>
      <c r="P30" s="7" t="n">
        <v>172.29</v>
      </c>
      <c r="Q30" s="7" t="n">
        <v>85.27</v>
      </c>
      <c r="R30" s="7" t="n">
        <f aca="false">SUM(O30:Q30)</f>
        <v>517.8765</v>
      </c>
      <c r="S30" s="54" t="n">
        <f aca="false">(I30-R30)+S29</f>
        <v>1961.02677688262</v>
      </c>
      <c r="T30" s="7" t="n">
        <v>158.66</v>
      </c>
      <c r="U30" s="7" t="n">
        <v>67.34</v>
      </c>
      <c r="V30" s="8" t="n">
        <f aca="false">V29-U30</f>
        <v>14079.9500226872</v>
      </c>
      <c r="W30" s="7" t="n">
        <f aca="false">N30+R30+T30+U30</f>
        <v>790.99</v>
      </c>
      <c r="X30" s="7" t="n">
        <f aca="false">IF(L30&lt;0,L30*-1,0)</f>
        <v>0</v>
      </c>
      <c r="Y30" s="7" t="n">
        <f aca="false">W30+X30</f>
        <v>790.99</v>
      </c>
      <c r="Z30" s="11" t="n">
        <v>0.41</v>
      </c>
      <c r="AA30" s="12" t="n">
        <v>73</v>
      </c>
      <c r="AB30" s="12" t="n">
        <v>57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29" t="n">
        <v>6915.01</v>
      </c>
      <c r="C31" s="8" t="n">
        <v>342414</v>
      </c>
      <c r="D31" s="12" t="n">
        <f aca="false">C31-C30</f>
        <v>-908</v>
      </c>
      <c r="E31" s="8" t="n">
        <f aca="false">C31-152000</f>
        <v>190414</v>
      </c>
      <c r="F31" s="7" t="n">
        <f aca="false">D31/$D$2</f>
        <v>-457.892082702975</v>
      </c>
      <c r="G31" s="7" t="n">
        <v>273.61</v>
      </c>
      <c r="H31" s="9" t="n">
        <v>0</v>
      </c>
      <c r="I31" s="7" t="n">
        <f aca="false">G31+H31</f>
        <v>273.61</v>
      </c>
      <c r="J31" s="95" t="n">
        <f aca="false">IF(L31&gt;0,L31,0)</f>
        <v>23.2479172970247</v>
      </c>
      <c r="K31" s="7" t="n">
        <f aca="false">I31+J31</f>
        <v>296.857917297025</v>
      </c>
      <c r="L31" s="7" t="n">
        <f aca="false">F31-(I31-W31)</f>
        <v>23.2479172970247</v>
      </c>
      <c r="M31" s="7" t="n">
        <v>270.56</v>
      </c>
      <c r="N31" s="7" t="n">
        <f aca="false">(6.02+6.42)*1.05</f>
        <v>13.062</v>
      </c>
      <c r="O31" s="7" t="n">
        <f aca="false">M31-N31</f>
        <v>257.498</v>
      </c>
      <c r="P31" s="7" t="n">
        <v>143.57</v>
      </c>
      <c r="Q31" s="7" t="n">
        <v>83.35</v>
      </c>
      <c r="R31" s="7" t="n">
        <f aca="false">SUM(O31:Q31)</f>
        <v>484.418</v>
      </c>
      <c r="S31" s="54" t="n">
        <f aca="false">(I31-R31)+S30</f>
        <v>1750.21877688262</v>
      </c>
      <c r="T31" s="7" t="n">
        <v>189.97</v>
      </c>
      <c r="U31" s="7" t="n">
        <v>67.3</v>
      </c>
      <c r="V31" s="8" t="n">
        <f aca="false">V30-U31</f>
        <v>14012.6500226872</v>
      </c>
      <c r="W31" s="7" t="n">
        <f aca="false">N31+R31+T31+U31</f>
        <v>754.75</v>
      </c>
      <c r="X31" s="7" t="n">
        <f aca="false">IF(L31&lt;0,L31*-1,0)</f>
        <v>0</v>
      </c>
      <c r="Y31" s="7" t="n">
        <f aca="false">W31+X31</f>
        <v>754.75</v>
      </c>
      <c r="Z31" s="11" t="n">
        <v>0</v>
      </c>
      <c r="AA31" s="12" t="n">
        <v>81</v>
      </c>
      <c r="AB31" s="12" t="n">
        <v>56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29" t="n">
        <v>6914.71</v>
      </c>
      <c r="C32" s="8" t="n">
        <v>341171</v>
      </c>
      <c r="D32" s="12" t="n">
        <f aca="false">C32-C31</f>
        <v>-1243</v>
      </c>
      <c r="E32" s="8" t="n">
        <f aca="false">C32-152000</f>
        <v>189171</v>
      </c>
      <c r="F32" s="7" t="n">
        <f aca="false">D32/$D$2</f>
        <v>-626.828038325769</v>
      </c>
      <c r="G32" s="7" t="n">
        <v>230.54</v>
      </c>
      <c r="H32" s="9" t="n">
        <v>0</v>
      </c>
      <c r="I32" s="7" t="n">
        <f aca="false">G32+H32</f>
        <v>230.54</v>
      </c>
      <c r="J32" s="95" t="n">
        <f aca="false">IF(L32&gt;0,L32,0)</f>
        <v>0</v>
      </c>
      <c r="K32" s="7" t="n">
        <f aca="false">I32+J32</f>
        <v>230.54</v>
      </c>
      <c r="L32" s="7" t="n">
        <f aca="false">F32-(I32-W32)</f>
        <v>-46.298038325769</v>
      </c>
      <c r="M32" s="7" t="n">
        <v>268.48</v>
      </c>
      <c r="N32" s="7" t="n">
        <f aca="false">(7.47+7.46)*1.05</f>
        <v>15.6765</v>
      </c>
      <c r="O32" s="7" t="n">
        <f aca="false">M32-N32</f>
        <v>252.8035</v>
      </c>
      <c r="P32" s="7" t="n">
        <v>171.11</v>
      </c>
      <c r="Q32" s="7" t="n">
        <v>82.1</v>
      </c>
      <c r="R32" s="7" t="n">
        <f aca="false">SUM(O32:Q32)</f>
        <v>506.0135</v>
      </c>
      <c r="S32" s="54" t="n">
        <f aca="false">(I32-R32)+S31</f>
        <v>1474.74527688262</v>
      </c>
      <c r="T32" s="7" t="n">
        <v>220.5</v>
      </c>
      <c r="U32" s="7" t="n">
        <v>68.88</v>
      </c>
      <c r="V32" s="8" t="n">
        <f aca="false">V31-U32</f>
        <v>13943.7700226872</v>
      </c>
      <c r="W32" s="7" t="n">
        <f aca="false">N32+R32+T32+U32</f>
        <v>811.07</v>
      </c>
      <c r="X32" s="7" t="n">
        <f aca="false">IF(L32&lt;0,L32*-1,0)</f>
        <v>46.298038325769</v>
      </c>
      <c r="Y32" s="7" t="n">
        <f aca="false">W32+X32</f>
        <v>857.368038325769</v>
      </c>
      <c r="Z32" s="11" t="n">
        <v>0</v>
      </c>
      <c r="AA32" s="12" t="n">
        <v>84</v>
      </c>
      <c r="AB32" s="40" t="n">
        <v>47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29" t="n">
        <v>6914.36</v>
      </c>
      <c r="C33" s="8" t="n">
        <v>339722</v>
      </c>
      <c r="D33" s="12" t="n">
        <f aca="false">C33-C32</f>
        <v>-1449</v>
      </c>
      <c r="E33" s="8" t="n">
        <f aca="false">C33-152000</f>
        <v>187722</v>
      </c>
      <c r="F33" s="7" t="n">
        <f aca="false">D33/$D$2</f>
        <v>-730.71104387292</v>
      </c>
      <c r="G33" s="7" t="n">
        <v>194.5</v>
      </c>
      <c r="H33" s="9" t="n">
        <v>0</v>
      </c>
      <c r="I33" s="7" t="n">
        <f aca="false">G33+H33</f>
        <v>194.5</v>
      </c>
      <c r="J33" s="95" t="n">
        <f aca="false">IF(L33&gt;0,L33,0)</f>
        <v>0</v>
      </c>
      <c r="K33" s="7" t="n">
        <f aca="false">I33+J33</f>
        <v>194.5</v>
      </c>
      <c r="L33" s="7" t="n">
        <f aca="false">F33-(I33-W33)</f>
        <v>-90.7210438729197</v>
      </c>
      <c r="M33" s="7" t="n">
        <v>277.26</v>
      </c>
      <c r="N33" s="7" t="n">
        <f aca="false">(12.82+12.91)*1.05</f>
        <v>27.0165</v>
      </c>
      <c r="O33" s="7" t="n">
        <f aca="false">M33-N33</f>
        <v>250.2435</v>
      </c>
      <c r="P33" s="7" t="n">
        <v>171.28</v>
      </c>
      <c r="Q33" s="7" t="n">
        <v>81.58</v>
      </c>
      <c r="R33" s="7" t="n">
        <f aca="false">SUM(O33:Q33)</f>
        <v>503.1035</v>
      </c>
      <c r="S33" s="54" t="n">
        <f aca="false">(I33-R33)+S32</f>
        <v>1166.14177688262</v>
      </c>
      <c r="T33" s="7" t="n">
        <v>235.09</v>
      </c>
      <c r="U33" s="7" t="n">
        <v>69.28</v>
      </c>
      <c r="V33" s="8" t="n">
        <f aca="false">V32-U33</f>
        <v>13874.4900226872</v>
      </c>
      <c r="W33" s="7" t="n">
        <f aca="false">N33+R33+T33+U33</f>
        <v>834.49</v>
      </c>
      <c r="X33" s="7" t="n">
        <f aca="false">IF(L33&lt;0,L33*-1,0)</f>
        <v>90.7210438729197</v>
      </c>
      <c r="Y33" s="7" t="n">
        <f aca="false">W33+X33</f>
        <v>925.21104387292</v>
      </c>
      <c r="Z33" s="11" t="n">
        <v>0</v>
      </c>
      <c r="AA33" s="12" t="n">
        <v>85</v>
      </c>
      <c r="AB33" s="40" t="n">
        <v>49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29" t="n">
        <v>6914.04</v>
      </c>
      <c r="C34" s="8" t="n">
        <v>338396</v>
      </c>
      <c r="D34" s="12" t="n">
        <f aca="false">C34-C33</f>
        <v>-1326</v>
      </c>
      <c r="E34" s="8" t="n">
        <f aca="false">C34-152000</f>
        <v>186396</v>
      </c>
      <c r="F34" s="7" t="n">
        <f aca="false">D34/$D$2</f>
        <v>-668.683812405446</v>
      </c>
      <c r="G34" s="7" t="n">
        <v>174.95</v>
      </c>
      <c r="H34" s="9" t="n">
        <v>0</v>
      </c>
      <c r="I34" s="7" t="n">
        <f aca="false">G34+H34</f>
        <v>174.95</v>
      </c>
      <c r="J34" s="95" t="n">
        <f aca="false">IF(L34&gt;0,L34,0)</f>
        <v>50.8461875945537</v>
      </c>
      <c r="K34" s="7" t="n">
        <f aca="false">I34+J34</f>
        <v>225.796187594554</v>
      </c>
      <c r="L34" s="7" t="n">
        <f aca="false">F34-(I34-W34)</f>
        <v>50.8461875945537</v>
      </c>
      <c r="M34" s="7" t="n">
        <v>312.34</v>
      </c>
      <c r="N34" s="7" t="n">
        <f aca="false">(18.11+18.4)*1.05</f>
        <v>38.3355</v>
      </c>
      <c r="O34" s="7" t="n">
        <f aca="false">M34-N34</f>
        <v>274.0045</v>
      </c>
      <c r="P34" s="7" t="n">
        <v>171.05</v>
      </c>
      <c r="Q34" s="7" t="n">
        <v>81.6</v>
      </c>
      <c r="R34" s="7" t="n">
        <f aca="false">SUM(O34:Q34)</f>
        <v>526.6545</v>
      </c>
      <c r="S34" s="54" t="n">
        <f aca="false">(I34-R34)+S33</f>
        <v>814.437276882618</v>
      </c>
      <c r="T34" s="7" t="n">
        <v>260.17</v>
      </c>
      <c r="U34" s="7" t="n">
        <v>69.32</v>
      </c>
      <c r="V34" s="8" t="n">
        <f aca="false">V33-U34</f>
        <v>13805.1700226872</v>
      </c>
      <c r="W34" s="7" t="n">
        <f aca="false">N34+R34+T34+U34</f>
        <v>894.48</v>
      </c>
      <c r="X34" s="7" t="n">
        <f aca="false">IF(L34&lt;0,L34*-1,0)</f>
        <v>0</v>
      </c>
      <c r="Y34" s="7" t="n">
        <f aca="false">W34+X34</f>
        <v>894.48</v>
      </c>
      <c r="Z34" s="11" t="n">
        <v>0</v>
      </c>
      <c r="AA34" s="12" t="n">
        <v>84</v>
      </c>
      <c r="AB34" s="40" t="n">
        <v>50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29" t="n">
        <v>6913.65</v>
      </c>
      <c r="C35" s="8" t="n">
        <v>336792</v>
      </c>
      <c r="D35" s="12" t="n">
        <f aca="false">C35-C34</f>
        <v>-1604</v>
      </c>
      <c r="E35" s="8" t="n">
        <f aca="false">C35-152000</f>
        <v>184792</v>
      </c>
      <c r="F35" s="7" t="n">
        <f aca="false">D35/$D$2</f>
        <v>-808.87544125063</v>
      </c>
      <c r="G35" s="7" t="n">
        <v>166.55</v>
      </c>
      <c r="H35" s="9" t="n">
        <v>0</v>
      </c>
      <c r="I35" s="7" t="n">
        <f aca="false">G35+H35</f>
        <v>166.55</v>
      </c>
      <c r="J35" s="95" t="n">
        <f aca="false">IF(L35&gt;0,L35,0)</f>
        <v>0</v>
      </c>
      <c r="K35" s="7" t="n">
        <f aca="false">I35+J35</f>
        <v>166.55</v>
      </c>
      <c r="L35" s="7" t="n">
        <f aca="false">F35-(I35-W35)</f>
        <v>-101.73544125063</v>
      </c>
      <c r="M35" s="7" t="n">
        <v>311.26</v>
      </c>
      <c r="N35" s="7" t="n">
        <f aca="false">(22.53+21.56)*1.05</f>
        <v>46.2945</v>
      </c>
      <c r="O35" s="7" t="n">
        <f aca="false">M35-N35</f>
        <v>264.9655</v>
      </c>
      <c r="P35" s="7" t="n">
        <v>172.25</v>
      </c>
      <c r="Q35" s="7" t="n">
        <v>82.92</v>
      </c>
      <c r="R35" s="7" t="n">
        <f aca="false">SUM(O35:Q35)</f>
        <v>520.1355</v>
      </c>
      <c r="S35" s="54" t="n">
        <f aca="false">(I35-R35)+S34</f>
        <v>460.851776882618</v>
      </c>
      <c r="T35" s="7" t="n">
        <v>237.96</v>
      </c>
      <c r="U35" s="7" t="n">
        <v>69.3</v>
      </c>
      <c r="V35" s="8" t="n">
        <f aca="false">V34-U35</f>
        <v>13735.8700226872</v>
      </c>
      <c r="W35" s="7" t="n">
        <f aca="false">N35+R35+T35+U35</f>
        <v>873.69</v>
      </c>
      <c r="X35" s="7" t="n">
        <f aca="false">IF(L35&lt;0,L35*-1,0)</f>
        <v>101.73544125063</v>
      </c>
      <c r="Y35" s="7" t="n">
        <f aca="false">W35+X35</f>
        <v>975.42544125063</v>
      </c>
      <c r="Z35" s="11" t="n">
        <v>0.72</v>
      </c>
      <c r="AA35" s="12" t="n">
        <v>79</v>
      </c>
      <c r="AB35" s="12" t="n">
        <v>58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6913.51</v>
      </c>
      <c r="C36" s="8" t="n">
        <v>336217</v>
      </c>
      <c r="D36" s="12" t="n">
        <f aca="false">C36-C35</f>
        <v>-575</v>
      </c>
      <c r="E36" s="8" t="n">
        <f aca="false">C36-152000</f>
        <v>184217</v>
      </c>
      <c r="F36" s="7" t="n">
        <f aca="false">D36/$D$2</f>
        <v>-289.964699949571</v>
      </c>
      <c r="G36" s="7" t="n">
        <v>200.57</v>
      </c>
      <c r="H36" s="9" t="n">
        <v>0</v>
      </c>
      <c r="I36" s="7" t="n">
        <f aca="false">G36+H36</f>
        <v>200.57</v>
      </c>
      <c r="J36" s="95" t="n">
        <f aca="false">IF(L36&gt;0,L36,0)</f>
        <v>251.565300050429</v>
      </c>
      <c r="K36" s="7" t="n">
        <f aca="false">I36+J36</f>
        <v>452.135300050429</v>
      </c>
      <c r="L36" s="7" t="n">
        <f aca="false">F36-(I36-W36)</f>
        <v>251.565300050429</v>
      </c>
      <c r="M36" s="7" t="n">
        <v>268.03</v>
      </c>
      <c r="N36" s="7" t="n">
        <f aca="false">(25.01+23.41)*1.05</f>
        <v>50.841</v>
      </c>
      <c r="O36" s="7" t="n">
        <f aca="false">M36-N36</f>
        <v>217.189</v>
      </c>
      <c r="P36" s="7" t="n">
        <v>175.58</v>
      </c>
      <c r="Q36" s="7" t="n">
        <v>78.84</v>
      </c>
      <c r="R36" s="7" t="n">
        <f aca="false">SUM(O36:Q36)</f>
        <v>471.609</v>
      </c>
      <c r="S36" s="54" t="n">
        <f aca="false">(I36-R36)+S35</f>
        <v>189.812776882618</v>
      </c>
      <c r="T36" s="7" t="n">
        <v>149.98</v>
      </c>
      <c r="U36" s="7" t="n">
        <v>69.67</v>
      </c>
      <c r="V36" s="8" t="n">
        <f aca="false">V35-U36</f>
        <v>13666.2000226872</v>
      </c>
      <c r="W36" s="7" t="n">
        <f aca="false">N36+R36+T36+U36</f>
        <v>742.1</v>
      </c>
      <c r="X36" s="7" t="n">
        <f aca="false">IF(L36&lt;0,L36*-1,0)</f>
        <v>0</v>
      </c>
      <c r="Y36" s="7" t="n">
        <f aca="false">W36+X36</f>
        <v>742.1</v>
      </c>
      <c r="Z36" s="11" t="n">
        <v>0.52</v>
      </c>
      <c r="AA36" s="12" t="n">
        <v>67</v>
      </c>
      <c r="AB36" s="12" t="n">
        <v>53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29" t="n">
        <v>6913.36</v>
      </c>
      <c r="C37" s="8" t="n">
        <v>335601</v>
      </c>
      <c r="D37" s="12" t="n">
        <f aca="false">C37-C36</f>
        <v>-616</v>
      </c>
      <c r="E37" s="8" t="n">
        <f aca="false">C37-152000</f>
        <v>183601</v>
      </c>
      <c r="F37" s="7" t="n">
        <f aca="false">D37/$D$2</f>
        <v>-310.640443772062</v>
      </c>
      <c r="G37" s="7" t="n">
        <v>294.85</v>
      </c>
      <c r="H37" s="9" t="n">
        <v>0</v>
      </c>
      <c r="I37" s="7" t="n">
        <f aca="false">G37+H37</f>
        <v>294.85</v>
      </c>
      <c r="J37" s="95" t="n">
        <f aca="false">IF(L37&gt;0,L37,0)</f>
        <v>74.4795562279375</v>
      </c>
      <c r="K37" s="7" t="n">
        <f aca="false">I37+J37</f>
        <v>369.329556227938</v>
      </c>
      <c r="L37" s="7" t="n">
        <f aca="false">F37-(I37-W37)</f>
        <v>74.4795562279375</v>
      </c>
      <c r="M37" s="7" t="n">
        <v>235.84</v>
      </c>
      <c r="N37" s="7" t="n">
        <f aca="false">(22.97+20.51)*1.05</f>
        <v>45.654</v>
      </c>
      <c r="O37" s="7" t="n">
        <f aca="false">M37-N37</f>
        <v>190.186</v>
      </c>
      <c r="P37" s="7" t="n">
        <v>156.74</v>
      </c>
      <c r="Q37" s="7" t="n">
        <v>69.58</v>
      </c>
      <c r="R37" s="7" t="n">
        <f aca="false">SUM(O37:Q37)</f>
        <v>416.506</v>
      </c>
      <c r="S37" s="54" t="n">
        <f aca="false">(I37-R37)+S36</f>
        <v>68.1567768826184</v>
      </c>
      <c r="T37" s="7" t="n">
        <v>148.49</v>
      </c>
      <c r="U37" s="7" t="n">
        <v>69.32</v>
      </c>
      <c r="V37" s="8" t="n">
        <f aca="false">V36-U37</f>
        <v>13596.8800226872</v>
      </c>
      <c r="W37" s="7" t="n">
        <f aca="false">N37+R37+T37+U37</f>
        <v>679.97</v>
      </c>
      <c r="X37" s="7" t="n">
        <f aca="false">IF(L37&lt;0,L37*-1,0)</f>
        <v>0</v>
      </c>
      <c r="Y37" s="7" t="n">
        <f aca="false">W37+X37</f>
        <v>679.97</v>
      </c>
      <c r="Z37" s="11" t="n">
        <v>0.08</v>
      </c>
      <c r="AA37" s="12" t="n">
        <v>75</v>
      </c>
      <c r="AB37" s="12" t="n">
        <v>50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29" t="n">
        <v>6913.18</v>
      </c>
      <c r="C38" s="8" t="n">
        <v>334861</v>
      </c>
      <c r="D38" s="12" t="n">
        <f aca="false">C38-C37</f>
        <v>-740</v>
      </c>
      <c r="E38" s="8" t="n">
        <f aca="false">C38-152000</f>
        <v>182861</v>
      </c>
      <c r="F38" s="7" t="n">
        <f aca="false">D38/$D$2</f>
        <v>-373.171961674231</v>
      </c>
      <c r="G38" s="7" t="n">
        <v>337.35</v>
      </c>
      <c r="H38" s="9" t="n">
        <v>0</v>
      </c>
      <c r="I38" s="7" t="n">
        <f aca="false">G38+H38</f>
        <v>337.35</v>
      </c>
      <c r="J38" s="95" t="n">
        <f aca="false">IF(L38&gt;0,L38,0)</f>
        <v>0</v>
      </c>
      <c r="K38" s="7" t="n">
        <f aca="false">I38+J38</f>
        <v>337.35</v>
      </c>
      <c r="L38" s="7" t="n">
        <f aca="false">F38-(I38-W38)</f>
        <v>-18.3019616742309</v>
      </c>
      <c r="M38" s="7" t="n">
        <v>215.11</v>
      </c>
      <c r="N38" s="7" t="n">
        <f aca="false">(21.65+21.61)*1.05</f>
        <v>45.423</v>
      </c>
      <c r="O38" s="7" t="n">
        <f aca="false">M38-N38</f>
        <v>169.687</v>
      </c>
      <c r="P38" s="7" t="n">
        <v>146.83</v>
      </c>
      <c r="Q38" s="7" t="n">
        <v>69.04</v>
      </c>
      <c r="R38" s="7" t="n">
        <f aca="false">SUM(O38:Q38)</f>
        <v>385.557</v>
      </c>
      <c r="S38" s="54" t="n">
        <f aca="false">(I38-R38)+S37</f>
        <v>19.9497768826184</v>
      </c>
      <c r="T38" s="7" t="n">
        <v>191.92</v>
      </c>
      <c r="U38" s="7" t="n">
        <v>69.32</v>
      </c>
      <c r="V38" s="8" t="n">
        <f aca="false">V37-U38</f>
        <v>13527.5600226872</v>
      </c>
      <c r="W38" s="7" t="n">
        <f aca="false">N38+R38+T38+U38</f>
        <v>692.22</v>
      </c>
      <c r="X38" s="7" t="n">
        <f aca="false">IF(L38&lt;0,L38*-1,0)</f>
        <v>18.3019616742309</v>
      </c>
      <c r="Y38" s="7" t="n">
        <f aca="false">W38+X38</f>
        <v>710.521961674231</v>
      </c>
      <c r="Z38" s="11" t="n">
        <v>0</v>
      </c>
      <c r="AA38" s="40" t="n">
        <v>86</v>
      </c>
      <c r="AB38" s="12" t="n">
        <v>50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29" t="n">
        <v>6912.95</v>
      </c>
      <c r="C39" s="8" t="n">
        <v>333917</v>
      </c>
      <c r="D39" s="12" t="n">
        <f aca="false">C39-C38</f>
        <v>-944</v>
      </c>
      <c r="E39" s="8" t="n">
        <f aca="false">C39-152000</f>
        <v>181917</v>
      </c>
      <c r="F39" s="7" t="n">
        <f aca="false">D39/$D$2</f>
        <v>-476.046394351992</v>
      </c>
      <c r="G39" s="7" t="n">
        <v>266.59</v>
      </c>
      <c r="H39" s="9" t="n">
        <v>0</v>
      </c>
      <c r="I39" s="7" t="n">
        <f aca="false">G39+H39</f>
        <v>266.59</v>
      </c>
      <c r="J39" s="95" t="n">
        <f aca="false">IF(L39&gt;0,L39,0)</f>
        <v>0</v>
      </c>
      <c r="K39" s="7" t="n">
        <f aca="false">I39+J39</f>
        <v>266.59</v>
      </c>
      <c r="L39" s="7" t="n">
        <f aca="false">F39-(I39-W39)</f>
        <v>-50.1363943519919</v>
      </c>
      <c r="M39" s="7" t="n">
        <v>234.83</v>
      </c>
      <c r="N39" s="7" t="n">
        <f aca="false">(21.46+21.44)*1.05</f>
        <v>45.045</v>
      </c>
      <c r="O39" s="7" t="n">
        <f aca="false">M39-N39</f>
        <v>189.785</v>
      </c>
      <c r="P39" s="7" t="n">
        <v>146.87</v>
      </c>
      <c r="Q39" s="7" t="n">
        <v>69.03</v>
      </c>
      <c r="R39" s="7" t="n">
        <f aca="false">SUM(O39:Q39)</f>
        <v>405.685</v>
      </c>
      <c r="S39" s="54" t="n">
        <f aca="false">(I39-R39)+S38</f>
        <v>-119.145223117382</v>
      </c>
      <c r="T39" s="7" t="n">
        <v>172.41</v>
      </c>
      <c r="U39" s="7" t="n">
        <v>69.36</v>
      </c>
      <c r="V39" s="8" t="n">
        <f aca="false">V38-U39</f>
        <v>13458.2000226872</v>
      </c>
      <c r="W39" s="7" t="n">
        <f aca="false">N39+R39+T39+U39</f>
        <v>692.5</v>
      </c>
      <c r="X39" s="7" t="n">
        <f aca="false">IF(L39&lt;0,L39*-1,0)</f>
        <v>50.1363943519919</v>
      </c>
      <c r="Y39" s="7" t="n">
        <f aca="false">W39+X39</f>
        <v>742.636394351992</v>
      </c>
      <c r="Z39" s="11" t="n">
        <v>0.02</v>
      </c>
      <c r="AA39" s="40" t="n">
        <v>84</v>
      </c>
      <c r="AB39" s="12" t="n">
        <v>54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4"/>
      <c r="T40" s="32"/>
      <c r="U40" s="32"/>
      <c r="V40" s="32"/>
      <c r="W40" s="32"/>
      <c r="X40" s="32"/>
      <c r="Y40" s="32"/>
      <c r="Z40" s="36"/>
      <c r="AA40" s="37" t="n">
        <v>73</v>
      </c>
      <c r="AB40" s="37"/>
      <c r="AC40" s="38"/>
      <c r="AD40" s="14"/>
      <c r="AE40" s="14"/>
    </row>
    <row r="41" customFormat="false" ht="11.1" hidden="false" customHeight="true" outlineLevel="0" collapsed="false">
      <c r="A41" s="7" t="s">
        <v>46</v>
      </c>
      <c r="B41" s="7"/>
      <c r="C41" s="8"/>
      <c r="D41" s="8"/>
      <c r="E41" s="8"/>
      <c r="F41" s="8" t="n">
        <f aca="false">SUM(F10:F39)</f>
        <v>-15173.9788199697</v>
      </c>
      <c r="G41" s="8" t="n">
        <f aca="false">SUM(G10:G39)</f>
        <v>10739.49</v>
      </c>
      <c r="H41" s="8" t="n">
        <f aca="false">SUM(H10:H39)</f>
        <v>0</v>
      </c>
      <c r="I41" s="8" t="n">
        <f aca="false">SUM(I10:I39)</f>
        <v>10739.49</v>
      </c>
      <c r="J41" s="8" t="n">
        <f aca="false">SUM(J10:J39)</f>
        <v>604.425158850227</v>
      </c>
      <c r="K41" s="8" t="n">
        <f aca="false">SUM(K10:K39)</f>
        <v>11343.9151588502</v>
      </c>
      <c r="L41" s="8" t="n">
        <f aca="false">SUM(L10:L39)</f>
        <v>-2134.20881996974</v>
      </c>
      <c r="M41" s="8" t="n">
        <f aca="false">SUM(M10:M39)</f>
        <v>8799.61</v>
      </c>
      <c r="N41" s="8" t="n">
        <f aca="false">SUM(N10:N39)</f>
        <v>1400.847</v>
      </c>
      <c r="O41" s="8" t="n">
        <f aca="false">SUM(O10:O39)</f>
        <v>7398.763</v>
      </c>
      <c r="P41" s="8" t="n">
        <f aca="false">SUM(P10:P39)</f>
        <v>5084.04</v>
      </c>
      <c r="Q41" s="8" t="n">
        <f aca="false">SUM(Q10:Q39)</f>
        <v>2471.08</v>
      </c>
      <c r="R41" s="8" t="n">
        <f aca="false">SUM(R10:R39)</f>
        <v>14953.883</v>
      </c>
      <c r="S41" s="8"/>
      <c r="T41" s="8" t="n">
        <f aca="false">SUM(T10:T39)</f>
        <v>5383.8</v>
      </c>
      <c r="U41" s="8" t="n">
        <f aca="false">SUM(U10:U39)</f>
        <v>2040.73</v>
      </c>
      <c r="V41" s="8"/>
      <c r="W41" s="8" t="n">
        <f aca="false">SUM(W10:W39)</f>
        <v>23779.26</v>
      </c>
      <c r="X41" s="8" t="n">
        <f aca="false">SUM(X10:X39)</f>
        <v>2738.63397881997</v>
      </c>
      <c r="Y41" s="8" t="n">
        <f aca="false">SUM(Y10:Y39)</f>
        <v>26517.89397882</v>
      </c>
      <c r="Z41" s="11" t="n">
        <f aca="false">SUM(Z10:Z39)</f>
        <v>2.18</v>
      </c>
      <c r="AA41" s="12" t="n">
        <f aca="false">AVERAGE(AA10:AA39)</f>
        <v>82.5</v>
      </c>
      <c r="AB41" s="12" t="n">
        <f aca="false">AVERAGE(AB10:AB39)</f>
        <v>51.1333333333333</v>
      </c>
      <c r="AC41" s="13"/>
      <c r="AD41" s="14"/>
      <c r="AE41" s="14"/>
    </row>
    <row r="42" customFormat="false" ht="11.1" hidden="false" customHeight="true" outlineLevel="0" collapsed="false">
      <c r="A42" s="7" t="s">
        <v>47</v>
      </c>
      <c r="B42" s="7"/>
      <c r="C42" s="8"/>
      <c r="D42" s="8" t="n">
        <f aca="false">SUM(D10:D39)</f>
        <v>-30090</v>
      </c>
      <c r="E42" s="8"/>
      <c r="F42" s="8" t="n">
        <f aca="false">F41*$D$2</f>
        <v>-30090</v>
      </c>
      <c r="G42" s="8" t="n">
        <f aca="false">G41*$D$2</f>
        <v>21296.40867</v>
      </c>
      <c r="H42" s="8" t="n">
        <f aca="false">H41*$D$2</f>
        <v>0</v>
      </c>
      <c r="I42" s="8" t="n">
        <f aca="false">I41*$D$2</f>
        <v>21296.40867</v>
      </c>
      <c r="J42" s="8" t="n">
        <f aca="false">J41*$D$2</f>
        <v>1198.57509</v>
      </c>
      <c r="K42" s="8" t="n">
        <f aca="false">K41*$D$2</f>
        <v>22494.98376</v>
      </c>
      <c r="L42" s="8" t="n">
        <f aca="false">L41*$D$2</f>
        <v>-4232.13609</v>
      </c>
      <c r="M42" s="8" t="n">
        <f aca="false">M41*$D$2</f>
        <v>17449.62663</v>
      </c>
      <c r="N42" s="8" t="n">
        <f aca="false">N41*$D$2</f>
        <v>2777.879601</v>
      </c>
      <c r="O42" s="8" t="n">
        <f aca="false">O41*$D$2</f>
        <v>14671.747029</v>
      </c>
      <c r="P42" s="8" t="n">
        <f aca="false">P41*$D$2</f>
        <v>10081.65132</v>
      </c>
      <c r="Q42" s="8" t="n">
        <f aca="false">Q41*$D$2</f>
        <v>4900.15164</v>
      </c>
      <c r="R42" s="8" t="n">
        <f aca="false">R41*$D$2</f>
        <v>29653.549989</v>
      </c>
      <c r="S42" s="8"/>
      <c r="T42" s="8" t="n">
        <f aca="false">T41*$D$2</f>
        <v>10676.0754</v>
      </c>
      <c r="U42" s="8" t="n">
        <f aca="false">U41*$D$2</f>
        <v>4046.76759</v>
      </c>
      <c r="V42" s="8"/>
      <c r="W42" s="8" t="n">
        <f aca="false">W41*$D$2</f>
        <v>47154.27258</v>
      </c>
      <c r="X42" s="8" t="n">
        <f aca="false">X41*$D$2</f>
        <v>5430.71118</v>
      </c>
      <c r="Y42" s="8" t="n">
        <f aca="false">Y41*$D$2</f>
        <v>52584.98376</v>
      </c>
      <c r="Z42" s="11"/>
      <c r="AA42" s="12" t="n">
        <f aca="false">MAX(AA10:AA39)</f>
        <v>89</v>
      </c>
      <c r="AB42" s="12" t="n">
        <f aca="false">MAX(AB10:AB39)</f>
        <v>58</v>
      </c>
      <c r="AC42" s="13" t="s">
        <v>48</v>
      </c>
      <c r="AD42" s="14"/>
      <c r="AE42" s="14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2"/>
      <c r="W43" s="34"/>
      <c r="X43" s="34"/>
      <c r="Y43" s="34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49</v>
      </c>
      <c r="B44" s="7"/>
      <c r="C44" s="8"/>
      <c r="D44" s="8"/>
      <c r="E44" s="8"/>
      <c r="F44" s="8" t="n">
        <f aca="false">F7+F41</f>
        <v>8022.33847802108</v>
      </c>
      <c r="G44" s="8" t="n">
        <f aca="false">G7+G41</f>
        <v>63926.94</v>
      </c>
      <c r="H44" s="12" t="n">
        <f aca="false">H7+H41</f>
        <v>694.98</v>
      </c>
      <c r="I44" s="8" t="n">
        <f aca="false">I7+I41</f>
        <v>64621.92</v>
      </c>
      <c r="J44" s="8" t="n">
        <f aca="false">J7+J41</f>
        <v>7346.31013442469</v>
      </c>
      <c r="K44" s="8" t="n">
        <f aca="false">K7+K41</f>
        <v>71968.2301344247</v>
      </c>
      <c r="L44" s="8" t="n">
        <f aca="false">L7+L41</f>
        <v>2586.93796125779</v>
      </c>
      <c r="M44" s="8" t="n">
        <f aca="false">M7+M41</f>
        <v>22187.8</v>
      </c>
      <c r="N44" s="8" t="n">
        <f aca="false">N7+N41</f>
        <v>4259.8093835392</v>
      </c>
      <c r="O44" s="8" t="n">
        <f aca="false">O7+O41</f>
        <v>17927.9906164608</v>
      </c>
      <c r="P44" s="8" t="n">
        <f aca="false">P7+P41</f>
        <v>12291.53</v>
      </c>
      <c r="Q44" s="8" t="n">
        <f aca="false">Q7+Q41</f>
        <v>5975.53</v>
      </c>
      <c r="R44" s="8" t="n">
        <f aca="false">R7+R41</f>
        <v>36195.0506164608</v>
      </c>
      <c r="S44" s="8" t="n">
        <f aca="false">S39</f>
        <v>-119.145223117382</v>
      </c>
      <c r="T44" s="8" t="n">
        <f aca="false">T7+T41</f>
        <v>13656.4589513486</v>
      </c>
      <c r="U44" s="8" t="n">
        <f aca="false">U7+U41</f>
        <v>5054.53</v>
      </c>
      <c r="V44" s="8" t="n">
        <v>0</v>
      </c>
      <c r="W44" s="8" t="n">
        <f aca="false">W7+W41</f>
        <v>59186.5194832367</v>
      </c>
      <c r="X44" s="8" t="n">
        <f aca="false">X7+X41</f>
        <v>4759.3721731669</v>
      </c>
      <c r="Y44" s="8" t="n">
        <f aca="false">Y7+Y41</f>
        <v>63945.8916564036</v>
      </c>
      <c r="Z44" s="11"/>
      <c r="AA44" s="12" t="n">
        <f aca="false">MIN(AA10:AA39)</f>
        <v>67</v>
      </c>
      <c r="AB44" s="12" t="n">
        <f aca="false">MIN(AB10:AB39)</f>
        <v>42</v>
      </c>
      <c r="AC44" s="13" t="s">
        <v>50</v>
      </c>
      <c r="AD44" s="14"/>
      <c r="AE44" s="14"/>
    </row>
    <row r="45" customFormat="false" ht="11.1" hidden="false" customHeight="true" outlineLevel="0" collapsed="false">
      <c r="A45" s="7" t="s">
        <v>51</v>
      </c>
      <c r="B45" s="7"/>
      <c r="C45" s="8"/>
      <c r="D45" s="8" t="n">
        <f aca="false">D7+D42</f>
        <v>-30090</v>
      </c>
      <c r="E45" s="8"/>
      <c r="F45" s="8" t="n">
        <f aca="false">F44*$D$2</f>
        <v>15908.2972019158</v>
      </c>
      <c r="G45" s="8" t="n">
        <f aca="false">G44*$D$2</f>
        <v>126767.12202</v>
      </c>
      <c r="H45" s="12" t="n">
        <f aca="false">H44*$D$2</f>
        <v>1378.14534</v>
      </c>
      <c r="I45" s="8" t="n">
        <f aca="false">I44*$D$2</f>
        <v>128145.26736</v>
      </c>
      <c r="J45" s="8" t="n">
        <f aca="false">J44*$D$2</f>
        <v>14567.7329965642</v>
      </c>
      <c r="K45" s="8" t="n">
        <f aca="false">K44*$D$2</f>
        <v>142713.000356564</v>
      </c>
      <c r="L45" s="8" t="n">
        <f aca="false">L44*$D$2</f>
        <v>5129.89797717419</v>
      </c>
      <c r="M45" s="8" t="n">
        <f aca="false">M44*$D$2</f>
        <v>43998.4074</v>
      </c>
      <c r="N45" s="8" t="n">
        <f aca="false">N44*$D$2</f>
        <v>8447.20200755823</v>
      </c>
      <c r="O45" s="8" t="n">
        <f aca="false">O44*$D$2</f>
        <v>35551.2053924418</v>
      </c>
      <c r="P45" s="8" t="n">
        <f aca="false">P44*$D$2</f>
        <v>24374.10399</v>
      </c>
      <c r="Q45" s="8" t="n">
        <f aca="false">Q44*$D$2</f>
        <v>11849.47599</v>
      </c>
      <c r="R45" s="8" t="n">
        <f aca="false">R44*$D$2</f>
        <v>71774.7853724418</v>
      </c>
      <c r="S45" s="8" t="n">
        <f aca="false">S44*$D$2</f>
        <v>-236.264977441768</v>
      </c>
      <c r="T45" s="8" t="n">
        <f aca="false">T44*$D$2</f>
        <v>27080.7581005243</v>
      </c>
      <c r="U45" s="8" t="n">
        <f aca="false">U44*$D$2</f>
        <v>10023.13299</v>
      </c>
      <c r="V45" s="8" t="n">
        <v>0</v>
      </c>
      <c r="W45" s="8" t="n">
        <f aca="false">W44*$D$2</f>
        <v>117366.868135258</v>
      </c>
      <c r="X45" s="8" t="n">
        <f aca="false">X44*$D$2</f>
        <v>9437.83501938997</v>
      </c>
      <c r="Y45" s="8" t="n">
        <f aca="false">Y44*$D$2</f>
        <v>126804.703154648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6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52</v>
      </c>
      <c r="B47" s="7"/>
      <c r="C47" s="8"/>
      <c r="D47" s="8"/>
      <c r="E47" s="8"/>
      <c r="F47" s="8" t="n">
        <f aca="false">F8+F41</f>
        <v>10270.9516903257</v>
      </c>
      <c r="G47" s="8" t="n">
        <f aca="false">G8+G41</f>
        <v>75240.5501260716</v>
      </c>
      <c r="H47" s="12" t="n">
        <f aca="false">H8+H41</f>
        <v>817.24</v>
      </c>
      <c r="I47" s="8" t="n">
        <f aca="false">I8+I41</f>
        <v>76057.6901260716</v>
      </c>
      <c r="J47" s="8" t="n">
        <f aca="false">J8+J41</f>
        <v>9747.11020502479</v>
      </c>
      <c r="K47" s="8" t="n">
        <f aca="false">K8+K41</f>
        <v>85804.8003310964</v>
      </c>
      <c r="L47" s="8" t="n">
        <f aca="false">L8+L41</f>
        <v>802.951047490766</v>
      </c>
      <c r="M47" s="8" t="n">
        <f aca="false">M8+M41</f>
        <v>23639.6</v>
      </c>
      <c r="N47" s="8" t="n">
        <f aca="false">N8+N41</f>
        <v>4319.5093835392</v>
      </c>
      <c r="O47" s="8" t="n">
        <f aca="false">O8+O41</f>
        <v>18827.5906164608</v>
      </c>
      <c r="P47" s="8" t="n">
        <f aca="false">P8+P41</f>
        <v>13125.78</v>
      </c>
      <c r="Q47" s="8" t="n">
        <f aca="false">Q8+Q41</f>
        <v>5975.53</v>
      </c>
      <c r="R47" s="8" t="n">
        <f aca="false">R8+R41</f>
        <v>38297.4006164608</v>
      </c>
      <c r="S47" s="8" t="n">
        <f aca="false">S39</f>
        <v>-119.145223117382</v>
      </c>
      <c r="T47" s="8" t="n">
        <f aca="false">T8+T41</f>
        <v>13656.4589513486</v>
      </c>
      <c r="U47" s="8" t="n">
        <f aca="false">U8+U41</f>
        <v>10171.65</v>
      </c>
      <c r="V47" s="8" t="n">
        <f aca="false">V39</f>
        <v>13458.2000226872</v>
      </c>
      <c r="W47" s="8" t="n">
        <f aca="false">W8+W41</f>
        <v>66589.6894832367</v>
      </c>
      <c r="X47" s="8" t="n">
        <f aca="false">X8+X41</f>
        <v>8944.15915753402</v>
      </c>
      <c r="Y47" s="8" t="n">
        <f aca="false">Y8+Y41</f>
        <v>75533.8486407707</v>
      </c>
      <c r="Z47" s="30" t="n">
        <f aca="false">Z8+Z41</f>
        <v>6.07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53</v>
      </c>
      <c r="B48" s="7"/>
      <c r="C48" s="8"/>
      <c r="D48" s="8" t="n">
        <f aca="false">D8+D42</f>
        <v>20371</v>
      </c>
      <c r="E48" s="8" t="n">
        <f aca="false">E39</f>
        <v>181917</v>
      </c>
      <c r="F48" s="8" t="n">
        <f aca="false">F47*$D$2</f>
        <v>20367.2972019158</v>
      </c>
      <c r="G48" s="8" t="n">
        <f aca="false">G47*$D$2</f>
        <v>149202.0109</v>
      </c>
      <c r="H48" s="12" t="n">
        <f aca="false">H47*$D$2</f>
        <v>1620.58692</v>
      </c>
      <c r="I48" s="8" t="n">
        <f aca="false">I47*$D$2</f>
        <v>150822.39952</v>
      </c>
      <c r="J48" s="8" t="n">
        <f aca="false">J47*$D$2</f>
        <v>19328.5195365642</v>
      </c>
      <c r="K48" s="8" t="n">
        <f aca="false">K47*$D$2</f>
        <v>170150.919056564</v>
      </c>
      <c r="L48" s="8" t="n">
        <f aca="false">L47*$D$2</f>
        <v>1592.25192717419</v>
      </c>
      <c r="M48" s="8" t="n">
        <f aca="false">M47*$D$2</f>
        <v>46877.3268</v>
      </c>
      <c r="N48" s="8" t="n">
        <f aca="false">N47*$D$2</f>
        <v>8565.58710755823</v>
      </c>
      <c r="O48" s="8" t="n">
        <f aca="false">O47*$D$2</f>
        <v>37335.1121924418</v>
      </c>
      <c r="P48" s="8" t="n">
        <f aca="false">P47*$D$2</f>
        <v>26028.42174</v>
      </c>
      <c r="Q48" s="8" t="n">
        <f aca="false">Q47*$D$2</f>
        <v>11849.47599</v>
      </c>
      <c r="R48" s="8" t="n">
        <f aca="false">R47*$D$2</f>
        <v>75943.7454224418</v>
      </c>
      <c r="S48" s="8" t="n">
        <f aca="false">S47*$D$2</f>
        <v>-236.264977441768</v>
      </c>
      <c r="T48" s="8" t="n">
        <f aca="false">T47*$D$2</f>
        <v>27080.7581005243</v>
      </c>
      <c r="U48" s="8" t="n">
        <f aca="false">U47*$D$2</f>
        <v>20170.38195</v>
      </c>
      <c r="V48" s="8" t="n">
        <f aca="false">V47*$D$2</f>
        <v>26687.6106449886</v>
      </c>
      <c r="W48" s="8" t="n">
        <f aca="false">W47*$D$2</f>
        <v>132047.354245258</v>
      </c>
      <c r="X48" s="8" t="n">
        <f aca="false">X47*$D$2</f>
        <v>17736.26760939</v>
      </c>
      <c r="Y48" s="8" t="n">
        <f aca="false">Y47*$D$2</f>
        <v>149783.621854648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4"/>
      <c r="T49" s="32"/>
      <c r="U49" s="32"/>
      <c r="V49" s="34"/>
      <c r="W49" s="32"/>
      <c r="X49" s="32"/>
      <c r="Y49" s="32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1" t="str">
        <f aca="false">"6/11/96 thru 7/9/96"</f>
        <v>6/11/96 thru 7/9/96</v>
      </c>
      <c r="B50" s="42"/>
      <c r="C50" s="8"/>
      <c r="D50" s="7"/>
      <c r="E50" s="8"/>
      <c r="F50" s="7"/>
      <c r="G50" s="111" t="s">
        <v>77</v>
      </c>
      <c r="H50" s="9"/>
      <c r="I50" s="7"/>
      <c r="J50" s="7"/>
      <c r="K50" s="112" t="n">
        <f aca="false">67300+112800+78200</f>
        <v>258300</v>
      </c>
      <c r="L50" s="7"/>
      <c r="M50" s="7"/>
      <c r="N50" s="7"/>
      <c r="O50" s="7"/>
      <c r="P50" s="7"/>
      <c r="Q50" s="7"/>
      <c r="R50" s="7" t="s">
        <v>78</v>
      </c>
      <c r="S50" s="8" t="n">
        <f aca="false">72000-R45</f>
        <v>225.214627558235</v>
      </c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29" t="n">
        <v>6910.56</v>
      </c>
      <c r="C51" s="8" t="n">
        <v>324234</v>
      </c>
      <c r="D51" s="40"/>
      <c r="E51" s="8" t="n">
        <f aca="false">C51-152000</f>
        <v>172234</v>
      </c>
      <c r="F51" s="7"/>
      <c r="G51" s="7" t="s">
        <v>79</v>
      </c>
      <c r="H51" s="40"/>
      <c r="I51" s="9"/>
      <c r="J51" s="7"/>
      <c r="K51" s="43" t="n">
        <f aca="false">K48/K50</f>
        <v>0.658733716827581</v>
      </c>
      <c r="L51" s="7"/>
      <c r="M51" s="7"/>
      <c r="N51" s="7"/>
      <c r="O51" s="7"/>
      <c r="P51" s="7" t="s">
        <v>80</v>
      </c>
      <c r="Q51" s="7"/>
      <c r="R51" s="7" t="s">
        <v>81</v>
      </c>
      <c r="S51" s="8" t="n">
        <v>2166</v>
      </c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0"/>
      <c r="C52" s="8"/>
      <c r="D52" s="8"/>
      <c r="E52" s="8"/>
      <c r="F52" s="40"/>
      <c r="G52" s="40"/>
      <c r="H52" s="9"/>
      <c r="I52" s="40"/>
      <c r="J52" s="40"/>
      <c r="K52" s="40"/>
      <c r="L52" s="40"/>
      <c r="M52" s="30"/>
      <c r="N52" s="30"/>
      <c r="O52" s="30"/>
      <c r="P52" s="40"/>
      <c r="Q52" s="40"/>
      <c r="R52" s="7" t="s">
        <v>82</v>
      </c>
      <c r="S52" s="8" t="n">
        <v>3400</v>
      </c>
      <c r="T52" s="40"/>
      <c r="U52" s="40"/>
      <c r="V52" s="8"/>
      <c r="W52" s="40"/>
      <c r="X52" s="40"/>
      <c r="Y52" s="40"/>
      <c r="Z52" s="11"/>
      <c r="AA52" s="12"/>
      <c r="AB52" s="12"/>
      <c r="AC52" s="13"/>
      <c r="AD52" s="44"/>
      <c r="AE52" s="44"/>
    </row>
    <row r="53" customFormat="false" ht="11.1" hidden="false" customHeight="true" outlineLevel="0" collapsed="false">
      <c r="A53" s="40"/>
      <c r="B53" s="11" t="n">
        <f aca="false">B51-B20</f>
        <v>-7.22999999999956</v>
      </c>
      <c r="C53" s="8"/>
      <c r="D53" s="8" t="n">
        <f aca="false">C51-C34</f>
        <v>-14162</v>
      </c>
      <c r="E53" s="8"/>
      <c r="F53" s="40"/>
      <c r="G53" s="40"/>
      <c r="H53" s="9"/>
      <c r="I53" s="40"/>
      <c r="J53" s="40"/>
      <c r="K53" s="40"/>
      <c r="L53" s="40"/>
      <c r="M53" s="30"/>
      <c r="N53" s="30"/>
      <c r="O53" s="30"/>
      <c r="P53" s="40"/>
      <c r="Q53" s="40"/>
      <c r="R53" s="40" t="s">
        <v>83</v>
      </c>
      <c r="S53" s="8" t="n">
        <v>2300</v>
      </c>
      <c r="T53" s="40"/>
      <c r="U53" s="40"/>
      <c r="V53" s="8"/>
      <c r="W53" s="40"/>
      <c r="X53" s="40"/>
      <c r="Y53" s="40"/>
      <c r="Z53" s="11"/>
      <c r="AA53" s="12"/>
      <c r="AB53" s="12"/>
      <c r="AC53" s="13"/>
      <c r="AD53" s="44"/>
      <c r="AE53" s="44"/>
    </row>
    <row r="54" customFormat="false" ht="11.1" hidden="false" customHeight="true" outlineLevel="0" collapsed="false">
      <c r="A54" s="40"/>
      <c r="B54" s="40"/>
      <c r="C54" s="8"/>
      <c r="D54" s="40"/>
      <c r="E54" s="8"/>
      <c r="F54" s="40"/>
      <c r="G54" s="45"/>
      <c r="H54" s="9"/>
      <c r="I54" s="40"/>
      <c r="J54" s="40"/>
      <c r="K54" s="40"/>
      <c r="L54" s="40"/>
      <c r="M54" s="30"/>
      <c r="N54" s="30"/>
      <c r="O54" s="30"/>
      <c r="P54" s="40"/>
      <c r="Q54" s="40"/>
      <c r="R54" s="40" t="s">
        <v>73</v>
      </c>
      <c r="S54" s="8" t="n">
        <f aca="false">SUM(S50:S53)</f>
        <v>8091.21462755823</v>
      </c>
      <c r="T54" s="40"/>
      <c r="U54" s="40"/>
      <c r="V54" s="8"/>
      <c r="W54" s="40"/>
      <c r="X54" s="40"/>
      <c r="Y54" s="40"/>
      <c r="Z54" s="11"/>
      <c r="AA54" s="12"/>
      <c r="AB54" s="12"/>
      <c r="AC54" s="13"/>
      <c r="AD54" s="44"/>
      <c r="AE54" s="44"/>
    </row>
    <row r="55" customFormat="false" ht="11.1" hidden="false" customHeight="true" outlineLevel="0" collapsed="false">
      <c r="R55" s="40" t="s">
        <v>84</v>
      </c>
      <c r="S55" s="8" t="n">
        <f aca="false">S54/$D$2</f>
        <v>4080.28977688262</v>
      </c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85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86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86</v>
      </c>
      <c r="AD5" s="60"/>
      <c r="AE5" s="60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JUN!$F$44:$Y$44</f>
        <v>8022.33847802108</v>
      </c>
      <c r="G7" s="54" t="n">
        <v>63926.94</v>
      </c>
      <c r="H7" s="58" t="n">
        <v>694.98</v>
      </c>
      <c r="I7" s="54" t="n">
        <v>64621.92</v>
      </c>
      <c r="J7" s="54" t="n">
        <v>7346.31013442469</v>
      </c>
      <c r="K7" s="54" t="n">
        <v>71968.2301344247</v>
      </c>
      <c r="L7" s="54" t="n">
        <v>2586.93796125779</v>
      </c>
      <c r="M7" s="54" t="n">
        <v>22187.8</v>
      </c>
      <c r="N7" s="54" t="n">
        <v>4259.8093835392</v>
      </c>
      <c r="O7" s="54" t="n">
        <v>17927.9906164608</v>
      </c>
      <c r="P7" s="54" t="n">
        <v>12291.53</v>
      </c>
      <c r="Q7" s="54" t="n">
        <v>5975.53</v>
      </c>
      <c r="R7" s="54" t="n">
        <v>36195.0506164608</v>
      </c>
      <c r="S7" s="54" t="n">
        <v>-119.145223117382</v>
      </c>
      <c r="T7" s="54" t="n">
        <v>13656.4589513486</v>
      </c>
      <c r="U7" s="54" t="n">
        <v>5054.53</v>
      </c>
      <c r="V7" s="54" t="n">
        <v>0</v>
      </c>
      <c r="W7" s="54" t="n">
        <v>59186.5194832367</v>
      </c>
      <c r="X7" s="54" t="n">
        <v>4759.3721731669</v>
      </c>
      <c r="Y7" s="54" t="n">
        <v>63945.8916564036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JUN!$B$39:$C$39</f>
        <v>6912.95</v>
      </c>
      <c r="C8" s="54" t="n">
        <v>333917</v>
      </c>
      <c r="D8" s="54" t="n">
        <f aca="false" t="array" ref="D8:E8">JUN!$D$48:$E$48</f>
        <v>20371</v>
      </c>
      <c r="E8" s="54" t="n">
        <v>181917</v>
      </c>
      <c r="F8" s="54" t="n">
        <f aca="false" t="array" ref="F8:Z8">JUN!$F$47:$Z$47</f>
        <v>10270.9516903257</v>
      </c>
      <c r="G8" s="54" t="n">
        <v>75240.5501260716</v>
      </c>
      <c r="H8" s="58" t="n">
        <v>817.24</v>
      </c>
      <c r="I8" s="54" t="n">
        <v>76057.6901260716</v>
      </c>
      <c r="J8" s="54" t="n">
        <v>9747.11020502479</v>
      </c>
      <c r="K8" s="54" t="n">
        <v>85804.8003310964</v>
      </c>
      <c r="L8" s="54" t="n">
        <v>802.951047490766</v>
      </c>
      <c r="M8" s="54" t="n">
        <v>23639.6</v>
      </c>
      <c r="N8" s="54" t="n">
        <v>4319.5093835392</v>
      </c>
      <c r="O8" s="54" t="n">
        <v>18827.5906164608</v>
      </c>
      <c r="P8" s="54" t="n">
        <v>13125.78</v>
      </c>
      <c r="Q8" s="54" t="n">
        <v>5975.53</v>
      </c>
      <c r="R8" s="54" t="n">
        <v>38297.4006164608</v>
      </c>
      <c r="S8" s="54" t="n">
        <v>-119.145223117382</v>
      </c>
      <c r="T8" s="54" t="n">
        <v>13656.4589513486</v>
      </c>
      <c r="U8" s="54" t="n">
        <v>10171.65</v>
      </c>
      <c r="V8" s="54" t="n">
        <v>13458.2000226872</v>
      </c>
      <c r="W8" s="54" t="n">
        <v>66589.6894832367</v>
      </c>
      <c r="X8" s="54" t="n">
        <v>8944.15915753402</v>
      </c>
      <c r="Y8" s="54" t="n">
        <v>75533.8486407707</v>
      </c>
      <c r="Z8" s="77" t="n">
        <v>6.07</v>
      </c>
      <c r="AA8" s="58"/>
      <c r="AB8" s="58"/>
      <c r="AC8" s="59"/>
      <c r="AD8" s="78"/>
      <c r="AE8" s="74"/>
      <c r="AF8" s="78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6912.75</v>
      </c>
      <c r="C10" s="54" t="n">
        <v>333102</v>
      </c>
      <c r="D10" s="58" t="n">
        <f aca="false">C10-C8</f>
        <v>-815</v>
      </c>
      <c r="E10" s="54" t="n">
        <f aca="false">C10-152000</f>
        <v>181102</v>
      </c>
      <c r="F10" s="53" t="n">
        <f aca="false">D10/$D$2</f>
        <v>-410.993444276349</v>
      </c>
      <c r="G10" s="53" t="n">
        <v>267.63</v>
      </c>
      <c r="H10" s="55" t="n">
        <v>0</v>
      </c>
      <c r="I10" s="53" t="n">
        <f aca="false">G10+H10</f>
        <v>267.63</v>
      </c>
      <c r="J10" s="77" t="n">
        <f aca="false">IF(L10&gt;0,L10,0)</f>
        <v>22.3765557236511</v>
      </c>
      <c r="K10" s="53" t="n">
        <f aca="false">I10+J10</f>
        <v>290.006555723651</v>
      </c>
      <c r="L10" s="53" t="n">
        <f aca="false">F10-(I10-W10)</f>
        <v>22.3765557236511</v>
      </c>
      <c r="M10" s="53" t="n">
        <v>229.7</v>
      </c>
      <c r="N10" s="53" t="n">
        <f aca="false">(22.03+22.02)*1.05</f>
        <v>46.2525</v>
      </c>
      <c r="O10" s="53" t="n">
        <f aca="false">M10-N10</f>
        <v>183.4475</v>
      </c>
      <c r="P10" s="53" t="n">
        <v>147.36</v>
      </c>
      <c r="Q10" s="53" t="n">
        <v>68.68</v>
      </c>
      <c r="R10" s="53" t="n">
        <f aca="false">SUM(O10:Q10)</f>
        <v>399.4875</v>
      </c>
      <c r="S10" s="54" t="n">
        <f aca="false">S7-R10</f>
        <v>-518.632723117382</v>
      </c>
      <c r="T10" s="53" t="n">
        <v>186.58</v>
      </c>
      <c r="U10" s="53" t="n">
        <v>68.68</v>
      </c>
      <c r="V10" s="54" t="n">
        <f aca="false">V8-U10</f>
        <v>13389.5200226872</v>
      </c>
      <c r="W10" s="53" t="n">
        <f aca="false">R10+T10+N10+U10</f>
        <v>701</v>
      </c>
      <c r="X10" s="53" t="n">
        <f aca="false">IF(L10&lt;0,L10*-1,0)</f>
        <v>0</v>
      </c>
      <c r="Y10" s="53" t="n">
        <f aca="false">W10+X10</f>
        <v>701</v>
      </c>
      <c r="Z10" s="57" t="n">
        <v>0</v>
      </c>
      <c r="AA10" s="58" t="n">
        <v>88</v>
      </c>
      <c r="AB10" s="58" t="n">
        <v>52</v>
      </c>
      <c r="AC10" s="59" t="n">
        <v>1</v>
      </c>
      <c r="AD10" s="75"/>
      <c r="AE10" s="78"/>
      <c r="AF10" s="75"/>
    </row>
    <row r="11" customFormat="false" ht="11.1" hidden="false" customHeight="true" outlineLevel="0" collapsed="false">
      <c r="A11" s="59" t="n">
        <f aca="false">A10+1</f>
        <v>2</v>
      </c>
      <c r="B11" s="76" t="n">
        <v>6912.48</v>
      </c>
      <c r="C11" s="54" t="n">
        <v>332001</v>
      </c>
      <c r="D11" s="58" t="n">
        <f aca="false">C11-C10</f>
        <v>-1101</v>
      </c>
      <c r="E11" s="54" t="n">
        <f aca="false">C11-152000</f>
        <v>180001</v>
      </c>
      <c r="F11" s="53" t="n">
        <f aca="false">D11/$D$2</f>
        <v>-555.219364599092</v>
      </c>
      <c r="G11" s="53" t="n">
        <v>243.39</v>
      </c>
      <c r="H11" s="55" t="n">
        <v>0</v>
      </c>
      <c r="I11" s="53" t="n">
        <f aca="false">G11+H11</f>
        <v>243.39</v>
      </c>
      <c r="J11" s="77" t="n">
        <f aca="false">IF(L11&gt;0,L11,0)</f>
        <v>0</v>
      </c>
      <c r="K11" s="53" t="n">
        <f aca="false">I11+J11</f>
        <v>243.39</v>
      </c>
      <c r="L11" s="53" t="n">
        <f aca="false">F11-(I11-W11)</f>
        <v>-45.0293645990922</v>
      </c>
      <c r="M11" s="53" t="n">
        <v>241.86</v>
      </c>
      <c r="N11" s="53" t="n">
        <f aca="false">(20.96+20.87)*1.05</f>
        <v>43.9215</v>
      </c>
      <c r="O11" s="53" t="n">
        <f aca="false">M11-N11</f>
        <v>197.9385</v>
      </c>
      <c r="P11" s="53" t="n">
        <v>147.68</v>
      </c>
      <c r="Q11" s="53" t="n">
        <v>68.96</v>
      </c>
      <c r="R11" s="53" t="n">
        <f aca="false">SUM(O11:Q11)</f>
        <v>414.5785</v>
      </c>
      <c r="S11" s="54" t="n">
        <f aca="false">S10-R11</f>
        <v>-933.211223117382</v>
      </c>
      <c r="T11" s="53" t="n">
        <v>226.12</v>
      </c>
      <c r="U11" s="53" t="n">
        <v>68.96</v>
      </c>
      <c r="V11" s="54" t="n">
        <f aca="false">V10-U11</f>
        <v>13320.5600226872</v>
      </c>
      <c r="W11" s="53" t="n">
        <f aca="false">R11+T11+N11+U11</f>
        <v>753.58</v>
      </c>
      <c r="X11" s="53" t="n">
        <f aca="false">IF(L11&lt;0,L11*-1,0)</f>
        <v>45.0293645990922</v>
      </c>
      <c r="Y11" s="53" t="n">
        <f aca="false">W11+X11</f>
        <v>798.609364599092</v>
      </c>
      <c r="Z11" s="57" t="n">
        <v>0</v>
      </c>
      <c r="AA11" s="58" t="n">
        <v>86</v>
      </c>
      <c r="AB11" s="58" t="n">
        <v>55</v>
      </c>
      <c r="AC11" s="59" t="n">
        <f aca="false">AC10+1</f>
        <v>2</v>
      </c>
      <c r="AD11" s="75"/>
      <c r="AE11" s="78"/>
      <c r="AF11" s="75"/>
    </row>
    <row r="12" customFormat="false" ht="11.1" hidden="false" customHeight="true" outlineLevel="0" collapsed="false">
      <c r="A12" s="59" t="n">
        <f aca="false">A11+1</f>
        <v>3</v>
      </c>
      <c r="B12" s="76" t="n">
        <v>6912.25</v>
      </c>
      <c r="C12" s="54" t="n">
        <v>331064</v>
      </c>
      <c r="D12" s="58" t="n">
        <f aca="false">C12-C11</f>
        <v>-937</v>
      </c>
      <c r="E12" s="54" t="n">
        <f aca="false">C12-152000</f>
        <v>179064</v>
      </c>
      <c r="F12" s="53" t="n">
        <f aca="false">D12/$D$2</f>
        <v>-472.516389309128</v>
      </c>
      <c r="G12" s="53" t="n">
        <v>238.32</v>
      </c>
      <c r="H12" s="55" t="n">
        <v>0</v>
      </c>
      <c r="I12" s="53" t="n">
        <f aca="false">G12+H12</f>
        <v>238.32</v>
      </c>
      <c r="J12" s="77" t="n">
        <f aca="false">IF(L12&gt;0,L12,0)</f>
        <v>33.1136106908723</v>
      </c>
      <c r="K12" s="53" t="n">
        <f aca="false">I12+J12</f>
        <v>271.433610690872</v>
      </c>
      <c r="L12" s="53" t="n">
        <f aca="false">F12-(I12-W12)</f>
        <v>33.1136106908723</v>
      </c>
      <c r="M12" s="53" t="n">
        <v>223.52</v>
      </c>
      <c r="N12" s="53" t="n">
        <f aca="false">(16.22+15.1)*1.05</f>
        <v>32.886</v>
      </c>
      <c r="O12" s="53" t="n">
        <f aca="false">M12-N12</f>
        <v>190.634</v>
      </c>
      <c r="P12" s="53" t="n">
        <v>147.31</v>
      </c>
      <c r="Q12" s="53" t="n">
        <v>69.64</v>
      </c>
      <c r="R12" s="53" t="n">
        <f aca="false">SUM(O12:Q12)</f>
        <v>407.584</v>
      </c>
      <c r="S12" s="54" t="n">
        <f aca="false">S11-R12</f>
        <v>-1340.79522311738</v>
      </c>
      <c r="T12" s="53" t="n">
        <v>233.84</v>
      </c>
      <c r="U12" s="53" t="n">
        <v>69.64</v>
      </c>
      <c r="V12" s="54" t="n">
        <f aca="false">V11-U12</f>
        <v>13250.9200226872</v>
      </c>
      <c r="W12" s="53" t="n">
        <f aca="false">R12+T12+N12+U12</f>
        <v>743.95</v>
      </c>
      <c r="X12" s="53" t="n">
        <f aca="false">IF(L12&lt;0,L12*-1,0)</f>
        <v>0</v>
      </c>
      <c r="Y12" s="53" t="n">
        <f aca="false">W12+X12</f>
        <v>743.95</v>
      </c>
      <c r="Z12" s="57" t="n">
        <v>0</v>
      </c>
      <c r="AA12" s="58" t="n">
        <v>92</v>
      </c>
      <c r="AB12" s="58" t="n">
        <v>57</v>
      </c>
      <c r="AC12" s="59" t="n">
        <f aca="false">AC11+1</f>
        <v>3</v>
      </c>
      <c r="AD12" s="75"/>
      <c r="AE12" s="78"/>
      <c r="AF12" s="75"/>
    </row>
    <row r="13" customFormat="false" ht="11.1" hidden="false" customHeight="true" outlineLevel="0" collapsed="false">
      <c r="A13" s="59" t="n">
        <f aca="false">A12+1</f>
        <v>4</v>
      </c>
      <c r="B13" s="76" t="n">
        <v>6911.95</v>
      </c>
      <c r="C13" s="54" t="n">
        <v>329842</v>
      </c>
      <c r="D13" s="58" t="n">
        <f aca="false">C13-C12</f>
        <v>-1222</v>
      </c>
      <c r="E13" s="54" t="n">
        <f aca="false">C13-152000</f>
        <v>177842</v>
      </c>
      <c r="F13" s="53" t="n">
        <f aca="false">D13/$D$2</f>
        <v>-616.238023197176</v>
      </c>
      <c r="G13" s="53" t="n">
        <v>228.85</v>
      </c>
      <c r="H13" s="55" t="n">
        <v>0</v>
      </c>
      <c r="I13" s="53" t="n">
        <f aca="false">G13+H13</f>
        <v>228.85</v>
      </c>
      <c r="J13" s="77" t="n">
        <f aca="false">IF(L13&gt;0,L13,0)</f>
        <v>0</v>
      </c>
      <c r="K13" s="53" t="n">
        <f aca="false">I13+J13</f>
        <v>228.85</v>
      </c>
      <c r="L13" s="53" t="n">
        <f aca="false">F13-(I13-W13)</f>
        <v>-93.828023197176</v>
      </c>
      <c r="M13" s="53" t="n">
        <v>232.39</v>
      </c>
      <c r="N13" s="53" t="n">
        <f aca="false">(14.18+13.55)*1.05</f>
        <v>29.1165</v>
      </c>
      <c r="O13" s="53" t="n">
        <f aca="false">M13-N13</f>
        <v>203.2735</v>
      </c>
      <c r="P13" s="53" t="n">
        <v>146.91</v>
      </c>
      <c r="Q13" s="53" t="n">
        <v>69.33</v>
      </c>
      <c r="R13" s="53" t="n">
        <f aca="false">SUM(O13:Q13)</f>
        <v>419.5135</v>
      </c>
      <c r="S13" s="54" t="n">
        <f aca="false">S12-R13</f>
        <v>-1760.30872311738</v>
      </c>
      <c r="T13" s="53" t="n">
        <v>233.3</v>
      </c>
      <c r="U13" s="53" t="n">
        <v>69.33</v>
      </c>
      <c r="V13" s="54" t="n">
        <f aca="false">V12-U13</f>
        <v>13181.5900226872</v>
      </c>
      <c r="W13" s="53" t="n">
        <f aca="false">R13+T13+N13+U13</f>
        <v>751.26</v>
      </c>
      <c r="X13" s="53" t="n">
        <f aca="false">IF(L13&lt;0,L13*-1,0)</f>
        <v>93.828023197176</v>
      </c>
      <c r="Y13" s="53" t="n">
        <f aca="false">W13+X13</f>
        <v>845.088023197176</v>
      </c>
      <c r="Z13" s="57" t="n">
        <v>0</v>
      </c>
      <c r="AA13" s="58" t="n">
        <v>94</v>
      </c>
      <c r="AB13" s="58" t="n">
        <v>57</v>
      </c>
      <c r="AC13" s="59" t="n">
        <f aca="false">AC12+1</f>
        <v>4</v>
      </c>
      <c r="AD13" s="75"/>
      <c r="AE13" s="78"/>
      <c r="AF13" s="75"/>
    </row>
    <row r="14" customFormat="false" ht="11.1" hidden="false" customHeight="true" outlineLevel="0" collapsed="false">
      <c r="A14" s="59" t="n">
        <f aca="false">A13+1</f>
        <v>5</v>
      </c>
      <c r="B14" s="76" t="n">
        <v>6911.66</v>
      </c>
      <c r="C14" s="54" t="n">
        <v>328669</v>
      </c>
      <c r="D14" s="58" t="n">
        <f aca="false">C14-C13</f>
        <v>-1173</v>
      </c>
      <c r="E14" s="54" t="n">
        <f aca="false">C14-152000</f>
        <v>176669</v>
      </c>
      <c r="F14" s="53" t="n">
        <f aca="false">D14/$D$2</f>
        <v>-591.527987897126</v>
      </c>
      <c r="G14" s="53" t="n">
        <v>219.91</v>
      </c>
      <c r="H14" s="55" t="n">
        <v>0</v>
      </c>
      <c r="I14" s="53" t="n">
        <f aca="false">G14+H14</f>
        <v>219.91</v>
      </c>
      <c r="J14" s="77" t="n">
        <f aca="false">IF(L14&gt;0,L14,0)</f>
        <v>0</v>
      </c>
      <c r="K14" s="53" t="n">
        <f aca="false">I14+J14</f>
        <v>219.91</v>
      </c>
      <c r="L14" s="53" t="n">
        <f aca="false">F14-(I14-W14)</f>
        <v>-29.4079878971255</v>
      </c>
      <c r="M14" s="53" t="n">
        <v>244.17</v>
      </c>
      <c r="N14" s="53" t="n">
        <f aca="false">(15.47+16.34)*1.05</f>
        <v>33.4005</v>
      </c>
      <c r="O14" s="53" t="n">
        <f aca="false">M14-N14</f>
        <v>210.7695</v>
      </c>
      <c r="P14" s="53" t="n">
        <v>146.31</v>
      </c>
      <c r="Q14" s="53" t="n">
        <v>68.79</v>
      </c>
      <c r="R14" s="53" t="n">
        <f aca="false">SUM(O14:Q14)</f>
        <v>425.8695</v>
      </c>
      <c r="S14" s="54" t="n">
        <f aca="false">S13-R14</f>
        <v>-2186.17822311738</v>
      </c>
      <c r="T14" s="53" t="n">
        <v>253.44</v>
      </c>
      <c r="U14" s="53" t="n">
        <v>69.32</v>
      </c>
      <c r="V14" s="54" t="n">
        <f aca="false">V13-U14</f>
        <v>13112.2700226872</v>
      </c>
      <c r="W14" s="53" t="n">
        <f aca="false">R14+T14+N14+U14</f>
        <v>782.03</v>
      </c>
      <c r="X14" s="53" t="n">
        <f aca="false">IF(L14&lt;0,L14*-1,0)</f>
        <v>29.4079878971255</v>
      </c>
      <c r="Y14" s="53" t="n">
        <f aca="false">W14+X14</f>
        <v>811.437987897125</v>
      </c>
      <c r="Z14" s="57" t="n">
        <v>0</v>
      </c>
      <c r="AA14" s="58" t="n">
        <v>92</v>
      </c>
      <c r="AB14" s="58" t="n">
        <v>54</v>
      </c>
      <c r="AC14" s="59" t="n">
        <f aca="false">AC13+1</f>
        <v>5</v>
      </c>
      <c r="AD14" s="75"/>
      <c r="AE14" s="78"/>
      <c r="AF14" s="75"/>
    </row>
    <row r="15" customFormat="false" ht="11.1" hidden="false" customHeight="true" outlineLevel="0" collapsed="false">
      <c r="A15" s="59" t="n">
        <f aca="false">A14+1</f>
        <v>6</v>
      </c>
      <c r="B15" s="76" t="n">
        <v>6911.33</v>
      </c>
      <c r="C15" s="54" t="n">
        <v>327334</v>
      </c>
      <c r="D15" s="58" t="n">
        <f aca="false">C15-C14</f>
        <v>-1335</v>
      </c>
      <c r="E15" s="54" t="n">
        <f aca="false">C15-152000</f>
        <v>175334</v>
      </c>
      <c r="F15" s="53" t="n">
        <f aca="false">D15/$D$2</f>
        <v>-673.2223903177</v>
      </c>
      <c r="G15" s="53" t="n">
        <v>209.84</v>
      </c>
      <c r="H15" s="55" t="n">
        <v>0</v>
      </c>
      <c r="I15" s="53" t="n">
        <f aca="false">G15+H15</f>
        <v>209.84</v>
      </c>
      <c r="J15" s="77" t="n">
        <f aca="false">IF(L15&gt;0,L15,0)</f>
        <v>0</v>
      </c>
      <c r="K15" s="53" t="n">
        <f aca="false">I15+J15</f>
        <v>209.84</v>
      </c>
      <c r="L15" s="53" t="n">
        <f aca="false">F15-(I15-W15)</f>
        <v>-72.9423903177003</v>
      </c>
      <c r="M15" s="53" t="n">
        <v>274.11</v>
      </c>
      <c r="N15" s="53" t="n">
        <f aca="false">(17.88+17.84)*1.05</f>
        <v>37.506</v>
      </c>
      <c r="O15" s="53" t="n">
        <f aca="false">M15-N15</f>
        <v>236.604</v>
      </c>
      <c r="P15" s="53" t="n">
        <v>146.87</v>
      </c>
      <c r="Q15" s="53" t="n">
        <v>68.5</v>
      </c>
      <c r="R15" s="53" t="n">
        <f aca="false">SUM(O15:Q15)</f>
        <v>451.974</v>
      </c>
      <c r="S15" s="54" t="n">
        <f aca="false">S14-R15</f>
        <v>-2638.15222311738</v>
      </c>
      <c r="T15" s="53" t="n">
        <v>251.32</v>
      </c>
      <c r="U15" s="53" t="n">
        <v>69.32</v>
      </c>
      <c r="V15" s="54" t="n">
        <f aca="false">V14-U15</f>
        <v>13042.9500226872</v>
      </c>
      <c r="W15" s="53" t="n">
        <f aca="false">R15+T15+N15+U15</f>
        <v>810.12</v>
      </c>
      <c r="X15" s="53" t="n">
        <f aca="false">IF(L15&lt;0,L15*-1,0)</f>
        <v>72.9423903177003</v>
      </c>
      <c r="Y15" s="53" t="n">
        <f aca="false">W15+X15</f>
        <v>883.0623903177</v>
      </c>
      <c r="Z15" s="57" t="n">
        <v>0</v>
      </c>
      <c r="AA15" s="58" t="n">
        <v>92</v>
      </c>
      <c r="AB15" s="58" t="n">
        <v>60</v>
      </c>
      <c r="AC15" s="59" t="n">
        <f aca="false">AC14+1</f>
        <v>6</v>
      </c>
      <c r="AD15" s="74"/>
      <c r="AE15" s="78"/>
      <c r="AF15" s="75"/>
    </row>
    <row r="16" customFormat="false" ht="11.1" hidden="false" customHeight="true" outlineLevel="0" collapsed="false">
      <c r="A16" s="59" t="n">
        <f aca="false">A15+1</f>
        <v>7</v>
      </c>
      <c r="B16" s="76" t="n">
        <v>6911.03</v>
      </c>
      <c r="C16" s="54" t="n">
        <v>326121</v>
      </c>
      <c r="D16" s="58" t="n">
        <f aca="false">C16-C15</f>
        <v>-1213</v>
      </c>
      <c r="E16" s="54" t="n">
        <f aca="false">C16-152000</f>
        <v>174121</v>
      </c>
      <c r="F16" s="53" t="n">
        <f aca="false">D16/$D$2</f>
        <v>-611.699445284922</v>
      </c>
      <c r="G16" s="53" t="n">
        <v>203</v>
      </c>
      <c r="H16" s="55" t="n">
        <v>0</v>
      </c>
      <c r="I16" s="53" t="n">
        <f aca="false">G16+H16</f>
        <v>203</v>
      </c>
      <c r="J16" s="77" t="n">
        <f aca="false">IF(L16&gt;0,L16,0)</f>
        <v>0</v>
      </c>
      <c r="K16" s="53" t="n">
        <f aca="false">I16+J16</f>
        <v>203</v>
      </c>
      <c r="L16" s="53" t="n">
        <f aca="false">F16-(I16-W16)</f>
        <v>-26.4694452849218</v>
      </c>
      <c r="M16" s="53" t="n">
        <v>267.35</v>
      </c>
      <c r="N16" s="53" t="n">
        <f aca="false">(21.98+21.8)*1.05</f>
        <v>45.969</v>
      </c>
      <c r="O16" s="53" t="n">
        <f aca="false">M16-N16</f>
        <v>221.381</v>
      </c>
      <c r="P16" s="53" t="n">
        <v>147.07</v>
      </c>
      <c r="Q16" s="53" t="n">
        <v>68.38</v>
      </c>
      <c r="R16" s="53" t="n">
        <f aca="false">SUM(O16:Q16)</f>
        <v>436.831</v>
      </c>
      <c r="S16" s="54" t="n">
        <f aca="false">S15-R16</f>
        <v>-3074.98322311738</v>
      </c>
      <c r="T16" s="53" t="n">
        <v>236.11</v>
      </c>
      <c r="U16" s="53" t="n">
        <v>69.32</v>
      </c>
      <c r="V16" s="54" t="n">
        <f aca="false">V15-U16</f>
        <v>12973.6300226872</v>
      </c>
      <c r="W16" s="53" t="n">
        <f aca="false">R16+T16+N16+U16</f>
        <v>788.23</v>
      </c>
      <c r="X16" s="53" t="n">
        <f aca="false">IF(L16&lt;0,L16*-1,0)</f>
        <v>26.4694452849218</v>
      </c>
      <c r="Y16" s="53" t="n">
        <f aca="false">W16+X16</f>
        <v>814.699445284922</v>
      </c>
      <c r="Z16" s="57" t="n">
        <v>0.02</v>
      </c>
      <c r="AA16" s="58" t="n">
        <v>90</v>
      </c>
      <c r="AB16" s="58" t="n">
        <v>65</v>
      </c>
      <c r="AC16" s="59" t="n">
        <f aca="false">AC15+1</f>
        <v>7</v>
      </c>
      <c r="AD16" s="74"/>
      <c r="AE16" s="78"/>
      <c r="AF16" s="75"/>
    </row>
    <row r="17" customFormat="false" ht="11.1" hidden="false" customHeight="true" outlineLevel="0" collapsed="false">
      <c r="A17" s="59" t="n">
        <f aca="false">A16+1</f>
        <v>8</v>
      </c>
      <c r="B17" s="76" t="n">
        <v>6910.73</v>
      </c>
      <c r="C17" s="54" t="n">
        <v>324916</v>
      </c>
      <c r="D17" s="58" t="n">
        <f aca="false">C17-C16</f>
        <v>-1205</v>
      </c>
      <c r="E17" s="54" t="n">
        <f aca="false">C17-152000</f>
        <v>172916</v>
      </c>
      <c r="F17" s="53" t="n">
        <f aca="false">D17/$D$2</f>
        <v>-607.665153807363</v>
      </c>
      <c r="G17" s="53" t="n">
        <v>195.99</v>
      </c>
      <c r="H17" s="55" t="n">
        <v>0</v>
      </c>
      <c r="I17" s="53" t="n">
        <f aca="false">G17+H17</f>
        <v>195.99</v>
      </c>
      <c r="J17" s="77" t="n">
        <f aca="false">IF(L17&gt;0,L17,0)</f>
        <v>0</v>
      </c>
      <c r="K17" s="53" t="n">
        <f aca="false">I17+J17</f>
        <v>195.99</v>
      </c>
      <c r="L17" s="53" t="n">
        <f aca="false">F17-(I17-W17)</f>
        <v>-28.8651538073626</v>
      </c>
      <c r="M17" s="53" t="n">
        <v>280.15</v>
      </c>
      <c r="N17" s="53" t="n">
        <f aca="false">(21.89+21.41)*1.05</f>
        <v>45.465</v>
      </c>
      <c r="O17" s="53" t="n">
        <f aca="false">M17-N17</f>
        <v>234.685</v>
      </c>
      <c r="P17" s="53" t="n">
        <v>147.28</v>
      </c>
      <c r="Q17" s="53" t="n">
        <v>68.96</v>
      </c>
      <c r="R17" s="53" t="n">
        <f aca="false">SUM(O17:Q17)</f>
        <v>450.925</v>
      </c>
      <c r="S17" s="54" t="n">
        <f aca="false">S16-R17</f>
        <v>-3525.90822311738</v>
      </c>
      <c r="T17" s="53" t="n">
        <v>209.04</v>
      </c>
      <c r="U17" s="53" t="n">
        <v>69.36</v>
      </c>
      <c r="V17" s="54" t="n">
        <f aca="false">V16-U17</f>
        <v>12904.2700226872</v>
      </c>
      <c r="W17" s="53" t="n">
        <f aca="false">R17+T17+N17+U17</f>
        <v>774.79</v>
      </c>
      <c r="X17" s="53" t="n">
        <f aca="false">IF(L17&lt;0,L17*-1,0)</f>
        <v>28.8651538073626</v>
      </c>
      <c r="Y17" s="53" t="n">
        <f aca="false">W17+X17</f>
        <v>803.655153807363</v>
      </c>
      <c r="Z17" s="57" t="n">
        <v>0.34</v>
      </c>
      <c r="AA17" s="58" t="n">
        <v>86</v>
      </c>
      <c r="AB17" s="58" t="n">
        <v>56</v>
      </c>
      <c r="AC17" s="59" t="n">
        <f aca="false">AC16+1</f>
        <v>8</v>
      </c>
      <c r="AD17" s="74"/>
      <c r="AE17" s="78"/>
      <c r="AF17" s="75"/>
    </row>
    <row r="18" customFormat="false" ht="11.1" hidden="false" customHeight="true" outlineLevel="0" collapsed="false">
      <c r="A18" s="59" t="n">
        <f aca="false">A17+1</f>
        <v>9</v>
      </c>
      <c r="B18" s="76" t="n">
        <v>6910.43</v>
      </c>
      <c r="C18" s="54" t="n">
        <v>323712</v>
      </c>
      <c r="D18" s="58" t="n">
        <f aca="false">C18-C17</f>
        <v>-1204</v>
      </c>
      <c r="E18" s="54" t="n">
        <f aca="false">C18-152000</f>
        <v>171712</v>
      </c>
      <c r="F18" s="53" t="n">
        <f aca="false">D18/$D$2</f>
        <v>-607.160867372668</v>
      </c>
      <c r="G18" s="53" t="n">
        <v>211.02</v>
      </c>
      <c r="H18" s="55" t="n">
        <v>0</v>
      </c>
      <c r="I18" s="53" t="n">
        <f aca="false">G18+H18</f>
        <v>211.02</v>
      </c>
      <c r="J18" s="77" t="n">
        <f aca="false">IF(L18&gt;0,L18,0)</f>
        <v>0</v>
      </c>
      <c r="K18" s="53" t="n">
        <f aca="false">I18+J18</f>
        <v>211.02</v>
      </c>
      <c r="L18" s="53" t="n">
        <f aca="false">F18-(I18-W18)</f>
        <v>-24.0208673726678</v>
      </c>
      <c r="M18" s="53" t="n">
        <v>285.13</v>
      </c>
      <c r="N18" s="53" t="n">
        <f aca="false">(23.42+23.6)*1.05</f>
        <v>49.371</v>
      </c>
      <c r="O18" s="53" t="n">
        <f aca="false">M18-N18</f>
        <v>235.759</v>
      </c>
      <c r="P18" s="53" t="n">
        <v>146.91</v>
      </c>
      <c r="Q18" s="53" t="n">
        <v>69.02</v>
      </c>
      <c r="R18" s="53" t="n">
        <f aca="false">SUM(O18:Q18)</f>
        <v>451.689</v>
      </c>
      <c r="S18" s="54" t="n">
        <f aca="false">S17-R18</f>
        <v>-3977.59722311738</v>
      </c>
      <c r="T18" s="53" t="n">
        <v>223.78</v>
      </c>
      <c r="U18" s="53" t="n">
        <v>69.32</v>
      </c>
      <c r="V18" s="54" t="n">
        <f aca="false">V17-U18</f>
        <v>12834.9500226872</v>
      </c>
      <c r="W18" s="53" t="n">
        <f aca="false">R18+T18+N18+U18</f>
        <v>794.16</v>
      </c>
      <c r="X18" s="53" t="n">
        <f aca="false">IF(L18&lt;0,L18*-1,0)</f>
        <v>24.0208673726678</v>
      </c>
      <c r="Y18" s="53" t="n">
        <f aca="false">W18+X18</f>
        <v>818.180867372668</v>
      </c>
      <c r="Z18" s="57" t="n">
        <v>0</v>
      </c>
      <c r="AA18" s="86" t="n">
        <v>80</v>
      </c>
      <c r="AB18" s="58" t="n">
        <v>55</v>
      </c>
      <c r="AC18" s="59" t="n">
        <f aca="false">AC17+1</f>
        <v>9</v>
      </c>
      <c r="AD18" s="74"/>
      <c r="AE18" s="78"/>
      <c r="AF18" s="75"/>
    </row>
    <row r="19" customFormat="false" ht="11.1" hidden="false" customHeight="true" outlineLevel="0" collapsed="false">
      <c r="A19" s="59" t="n">
        <f aca="false">A18+1</f>
        <v>10</v>
      </c>
      <c r="B19" s="76" t="n">
        <v>6910.17</v>
      </c>
      <c r="C19" s="54" t="n">
        <v>322669</v>
      </c>
      <c r="D19" s="58" t="n">
        <f aca="false">C19-C18</f>
        <v>-1043</v>
      </c>
      <c r="E19" s="54" t="n">
        <f aca="false">C19-152000</f>
        <v>170669</v>
      </c>
      <c r="F19" s="53" t="n">
        <f aca="false">D19/$D$2</f>
        <v>-525.970751386788</v>
      </c>
      <c r="G19" s="53" t="n">
        <v>240.83</v>
      </c>
      <c r="H19" s="55" t="n">
        <v>0</v>
      </c>
      <c r="I19" s="53" t="n">
        <f aca="false">G19+H19</f>
        <v>240.83</v>
      </c>
      <c r="J19" s="77" t="n">
        <f aca="false">IF(L19&gt;0,L19,0)</f>
        <v>32.3292486132123</v>
      </c>
      <c r="K19" s="53" t="n">
        <f aca="false">I19+J19</f>
        <v>273.159248613212</v>
      </c>
      <c r="L19" s="53" t="n">
        <f aca="false">F19-(I19-W19)</f>
        <v>32.3292486132123</v>
      </c>
      <c r="M19" s="53" t="n">
        <v>280.82</v>
      </c>
      <c r="N19" s="53" t="n">
        <f aca="false">(23.26+23.36)*1.05</f>
        <v>48.951</v>
      </c>
      <c r="O19" s="53" t="n">
        <f aca="false">M19-N19</f>
        <v>231.869</v>
      </c>
      <c r="P19" s="53" t="n">
        <v>146.64</v>
      </c>
      <c r="Q19" s="53" t="n">
        <v>68.68</v>
      </c>
      <c r="R19" s="53" t="n">
        <f aca="false">SUM(O19:Q19)</f>
        <v>447.189</v>
      </c>
      <c r="S19" s="54" t="n">
        <f aca="false">S18-R19</f>
        <v>-4424.78622311738</v>
      </c>
      <c r="T19" s="53" t="n">
        <v>227.39</v>
      </c>
      <c r="U19" s="53" t="n">
        <v>75.6</v>
      </c>
      <c r="V19" s="54" t="n">
        <f aca="false">V18-U19</f>
        <v>12759.3500226872</v>
      </c>
      <c r="W19" s="53" t="n">
        <f aca="false">R19+T19+N19+U19</f>
        <v>799.13</v>
      </c>
      <c r="X19" s="53" t="n">
        <f aca="false">IF(L19&lt;0,L19*-1,0)</f>
        <v>0</v>
      </c>
      <c r="Y19" s="53" t="n">
        <f aca="false">W19+X19</f>
        <v>799.13</v>
      </c>
      <c r="Z19" s="57" t="n">
        <v>0</v>
      </c>
      <c r="AA19" s="58" t="n">
        <v>87</v>
      </c>
      <c r="AB19" s="58" t="n">
        <v>55</v>
      </c>
      <c r="AC19" s="59" t="n">
        <f aca="false">AC18+1</f>
        <v>10</v>
      </c>
      <c r="AD19" s="74"/>
      <c r="AE19" s="78"/>
      <c r="AF19" s="75"/>
    </row>
    <row r="20" customFormat="false" ht="11.1" hidden="false" customHeight="true" outlineLevel="0" collapsed="false">
      <c r="A20" s="59" t="n">
        <f aca="false">A19+1</f>
        <v>11</v>
      </c>
      <c r="B20" s="76" t="n">
        <v>6909.81</v>
      </c>
      <c r="C20" s="54" t="n">
        <v>321230</v>
      </c>
      <c r="D20" s="58" t="n">
        <f aca="false">C20-C19</f>
        <v>-1439</v>
      </c>
      <c r="E20" s="54" t="n">
        <f aca="false">C20-152000</f>
        <v>169230</v>
      </c>
      <c r="F20" s="53" t="n">
        <f aca="false">D20/$D$2</f>
        <v>-725.668179525971</v>
      </c>
      <c r="G20" s="53" t="n">
        <v>221.53</v>
      </c>
      <c r="H20" s="55" t="n">
        <v>0</v>
      </c>
      <c r="I20" s="53" t="n">
        <f aca="false">G20+H20</f>
        <v>221.53</v>
      </c>
      <c r="J20" s="77" t="n">
        <f aca="false">IF(L20&gt;0,L20,0)</f>
        <v>0</v>
      </c>
      <c r="K20" s="53" t="n">
        <f aca="false">I20+J20</f>
        <v>221.53</v>
      </c>
      <c r="L20" s="53" t="n">
        <f aca="false">F20-(I20-W20)</f>
        <v>-121.408179525971</v>
      </c>
      <c r="M20" s="53" t="n">
        <v>298.5</v>
      </c>
      <c r="N20" s="53" t="n">
        <f aca="false">(23.47+23.51)*1.05</f>
        <v>49.329</v>
      </c>
      <c r="O20" s="53" t="n">
        <f aca="false">M20-N20</f>
        <v>249.171</v>
      </c>
      <c r="P20" s="53" t="n">
        <v>146.39</v>
      </c>
      <c r="Q20" s="53" t="n">
        <v>68.27</v>
      </c>
      <c r="R20" s="53" t="n">
        <f aca="false">SUM(O20:Q20)</f>
        <v>463.831</v>
      </c>
      <c r="S20" s="54" t="n">
        <f aca="false">S19-R20</f>
        <v>-4888.61722311738</v>
      </c>
      <c r="T20" s="53" t="n">
        <v>232.88</v>
      </c>
      <c r="U20" s="53" t="n">
        <v>79.75</v>
      </c>
      <c r="V20" s="54" t="n">
        <f aca="false">V19-U20</f>
        <v>12679.6000226872</v>
      </c>
      <c r="W20" s="53" t="n">
        <f aca="false">R20+T20+N20+U20</f>
        <v>825.79</v>
      </c>
      <c r="X20" s="53" t="n">
        <f aca="false">IF(L20&lt;0,L20*-1,0)</f>
        <v>121.408179525971</v>
      </c>
      <c r="Y20" s="53" t="n">
        <f aca="false">W20+X20</f>
        <v>947.198179525971</v>
      </c>
      <c r="Z20" s="57" t="n">
        <v>0</v>
      </c>
      <c r="AA20" s="58" t="n">
        <v>87</v>
      </c>
      <c r="AB20" s="58" t="n">
        <v>56</v>
      </c>
      <c r="AC20" s="59" t="n">
        <f aca="false">AC19+1</f>
        <v>11</v>
      </c>
      <c r="AD20" s="74"/>
      <c r="AE20" s="78"/>
      <c r="AF20" s="75"/>
      <c r="AG20" s="113"/>
      <c r="AH20" s="113"/>
      <c r="AI20" s="113"/>
    </row>
    <row r="21" customFormat="false" ht="11.1" hidden="false" customHeight="true" outlineLevel="0" collapsed="false">
      <c r="A21" s="59" t="n">
        <f aca="false">A20+1</f>
        <v>12</v>
      </c>
      <c r="B21" s="76" t="n">
        <v>6909.5</v>
      </c>
      <c r="C21" s="54" t="n">
        <v>319996</v>
      </c>
      <c r="D21" s="58" t="n">
        <f aca="false">C21-C20</f>
        <v>-1234</v>
      </c>
      <c r="E21" s="54" t="n">
        <f aca="false">C21-152000</f>
        <v>167996</v>
      </c>
      <c r="F21" s="53" t="n">
        <f aca="false">D21/$D$2</f>
        <v>-622.289460413515</v>
      </c>
      <c r="G21" s="53" t="n">
        <v>197.31</v>
      </c>
      <c r="H21" s="55" t="n">
        <v>0</v>
      </c>
      <c r="I21" s="53" t="n">
        <f aca="false">G21+H21</f>
        <v>197.31</v>
      </c>
      <c r="J21" s="77" t="n">
        <f aca="false">IF(L21&gt;0,L21,0)</f>
        <v>0</v>
      </c>
      <c r="K21" s="53" t="n">
        <f aca="false">I21+J21</f>
        <v>197.31</v>
      </c>
      <c r="L21" s="53" t="n">
        <f aca="false">F21-(I21-W21)</f>
        <v>-3.49946041351461</v>
      </c>
      <c r="M21" s="53" t="n">
        <v>293.04</v>
      </c>
      <c r="N21" s="53" t="n">
        <f aca="false">(26.67+26.3)*1.05</f>
        <v>55.6185</v>
      </c>
      <c r="O21" s="53" t="n">
        <f aca="false">M21-N21</f>
        <v>237.4215</v>
      </c>
      <c r="P21" s="53" t="n">
        <v>146.05</v>
      </c>
      <c r="Q21" s="53" t="n">
        <v>67.46</v>
      </c>
      <c r="R21" s="53" t="n">
        <f aca="false">SUM(O21:Q21)</f>
        <v>450.9315</v>
      </c>
      <c r="S21" s="54" t="n">
        <f aca="false">S20-R21</f>
        <v>-5339.54872311738</v>
      </c>
      <c r="T21" s="53" t="n">
        <v>228.97</v>
      </c>
      <c r="U21" s="53" t="n">
        <v>80.58</v>
      </c>
      <c r="V21" s="54" t="n">
        <f aca="false">V20-U21</f>
        <v>12599.0200226872</v>
      </c>
      <c r="W21" s="53" t="n">
        <f aca="false">R21+T21+N21+U21</f>
        <v>816.1</v>
      </c>
      <c r="X21" s="53" t="n">
        <f aca="false">IF(L21&lt;0,L21*-1,0)</f>
        <v>3.49946041351461</v>
      </c>
      <c r="Y21" s="53" t="n">
        <f aca="false">W21+X21</f>
        <v>819.599460413515</v>
      </c>
      <c r="Z21" s="57" t="n">
        <v>0</v>
      </c>
      <c r="AA21" s="58" t="n">
        <v>92</v>
      </c>
      <c r="AB21" s="58" t="n">
        <v>58</v>
      </c>
      <c r="AC21" s="59" t="n">
        <f aca="false">AC20+1</f>
        <v>12</v>
      </c>
      <c r="AD21" s="74"/>
      <c r="AE21" s="74"/>
      <c r="AF21" s="74"/>
    </row>
    <row r="22" customFormat="false" ht="11.1" hidden="false" customHeight="true" outlineLevel="0" collapsed="false">
      <c r="A22" s="59" t="n">
        <f aca="false">A21+1</f>
        <v>13</v>
      </c>
      <c r="B22" s="76" t="n">
        <v>6909.22</v>
      </c>
      <c r="C22" s="54" t="n">
        <v>318881</v>
      </c>
      <c r="D22" s="58" t="n">
        <f aca="false">C22-C21</f>
        <v>-1115</v>
      </c>
      <c r="E22" s="54" t="n">
        <f aca="false">C22-152000</f>
        <v>166881</v>
      </c>
      <c r="F22" s="53" t="n">
        <f aca="false">D22/$D$2</f>
        <v>-562.279374684821</v>
      </c>
      <c r="G22" s="53" t="n">
        <v>194.63</v>
      </c>
      <c r="H22" s="55" t="n">
        <v>0</v>
      </c>
      <c r="I22" s="53" t="n">
        <f aca="false">G22+H22</f>
        <v>194.63</v>
      </c>
      <c r="J22" s="77" t="n">
        <f aca="false">IF(L22&gt;0,L22,0)</f>
        <v>0</v>
      </c>
      <c r="K22" s="53" t="n">
        <f aca="false">I22+J22</f>
        <v>194.63</v>
      </c>
      <c r="L22" s="53" t="n">
        <f aca="false">F22-(I22-W22)</f>
        <v>-36.9293746848209</v>
      </c>
      <c r="M22" s="53" t="n">
        <v>270.86</v>
      </c>
      <c r="N22" s="53" t="n">
        <f aca="false">(21.23+20.73)*1.05</f>
        <v>44.058</v>
      </c>
      <c r="O22" s="53" t="n">
        <f aca="false">M22-N22</f>
        <v>226.802</v>
      </c>
      <c r="P22" s="53" t="n">
        <v>115.13</v>
      </c>
      <c r="Q22" s="53" t="n">
        <v>70.69</v>
      </c>
      <c r="R22" s="53" t="n">
        <f aca="false">SUM(O22:Q22)</f>
        <v>412.622</v>
      </c>
      <c r="S22" s="54" t="n">
        <f aca="false">S21-R22</f>
        <v>-5752.17072311738</v>
      </c>
      <c r="T22" s="53" t="n">
        <v>182.67</v>
      </c>
      <c r="U22" s="53" t="n">
        <v>80.63</v>
      </c>
      <c r="V22" s="54" t="n">
        <f aca="false">V21-U22</f>
        <v>12518.3900226872</v>
      </c>
      <c r="W22" s="53" t="n">
        <f aca="false">R22+T22+N22+U22</f>
        <v>719.98</v>
      </c>
      <c r="X22" s="53" t="n">
        <f aca="false">IF(L22&lt;0,L22*-1,0)</f>
        <v>36.9293746848209</v>
      </c>
      <c r="Y22" s="53" t="n">
        <f aca="false">W22+X22</f>
        <v>756.909374684821</v>
      </c>
      <c r="Z22" s="57" t="n">
        <v>0.34</v>
      </c>
      <c r="AA22" s="58" t="n">
        <v>73</v>
      </c>
      <c r="AB22" s="58" t="n">
        <v>57</v>
      </c>
      <c r="AC22" s="59" t="n">
        <f aca="false">AC21+1</f>
        <v>13</v>
      </c>
      <c r="AD22" s="74"/>
      <c r="AE22" s="74"/>
      <c r="AF22" s="74"/>
    </row>
    <row r="23" customFormat="false" ht="11.1" hidden="false" customHeight="true" outlineLevel="0" collapsed="false">
      <c r="A23" s="59" t="n">
        <f aca="false">A22+1</f>
        <v>14</v>
      </c>
      <c r="B23" s="76" t="n">
        <v>6908.95</v>
      </c>
      <c r="C23" s="54" t="n">
        <v>317808</v>
      </c>
      <c r="D23" s="58" t="n">
        <f aca="false">C23-C22</f>
        <v>-1073</v>
      </c>
      <c r="E23" s="54" t="n">
        <f aca="false">C23-152000</f>
        <v>165808</v>
      </c>
      <c r="F23" s="53" t="n">
        <f aca="false">D23/$D$2</f>
        <v>-541.099344427635</v>
      </c>
      <c r="G23" s="53" t="n">
        <v>190.71</v>
      </c>
      <c r="H23" s="55" t="n">
        <v>0</v>
      </c>
      <c r="I23" s="53" t="n">
        <f aca="false">G23+H23</f>
        <v>190.71</v>
      </c>
      <c r="J23" s="77" t="n">
        <f aca="false">IF(L23&gt;0,L23,0)</f>
        <v>0</v>
      </c>
      <c r="K23" s="53" t="n">
        <f aca="false">I23+J23</f>
        <v>190.71</v>
      </c>
      <c r="L23" s="53" t="n">
        <f aca="false">F23-(I23-W23)</f>
        <v>-23.5493444276348</v>
      </c>
      <c r="M23" s="53" t="n">
        <v>279.91</v>
      </c>
      <c r="N23" s="53" t="n">
        <f aca="false">(18.34+19.35)*1.05</f>
        <v>39.5745</v>
      </c>
      <c r="O23" s="53" t="n">
        <f aca="false">M23-N23</f>
        <v>240.3355</v>
      </c>
      <c r="P23" s="53" t="n">
        <v>97.12</v>
      </c>
      <c r="Q23" s="53" t="n">
        <v>70.69</v>
      </c>
      <c r="R23" s="53" t="n">
        <f aca="false">SUM(O23:Q23)</f>
        <v>408.1455</v>
      </c>
      <c r="S23" s="54" t="n">
        <f aca="false">S22-R23</f>
        <v>-6160.31622311738</v>
      </c>
      <c r="T23" s="53" t="n">
        <v>179.96</v>
      </c>
      <c r="U23" s="53" t="n">
        <v>80.58</v>
      </c>
      <c r="V23" s="54" t="n">
        <f aca="false">V22-U23</f>
        <v>12437.8100226872</v>
      </c>
      <c r="W23" s="53" t="n">
        <f aca="false">R23+T23+N23+U23</f>
        <v>708.26</v>
      </c>
      <c r="X23" s="53" t="n">
        <f aca="false">IF(L23&lt;0,L23*-1,0)</f>
        <v>23.5493444276348</v>
      </c>
      <c r="Y23" s="53" t="n">
        <f aca="false">W23+X23</f>
        <v>731.809344427635</v>
      </c>
      <c r="Z23" s="57" t="n">
        <v>0</v>
      </c>
      <c r="AA23" s="86" t="n">
        <v>90</v>
      </c>
      <c r="AB23" s="58" t="n">
        <v>54</v>
      </c>
      <c r="AC23" s="59" t="n">
        <f aca="false">AC22+1</f>
        <v>14</v>
      </c>
      <c r="AD23" s="74"/>
      <c r="AE23" s="74"/>
      <c r="AF23" s="74"/>
    </row>
    <row r="24" customFormat="false" ht="11.1" hidden="false" customHeight="true" outlineLevel="0" collapsed="false">
      <c r="A24" s="59" t="n">
        <f aca="false">A23+1</f>
        <v>15</v>
      </c>
      <c r="B24" s="76" t="n">
        <v>6908.67</v>
      </c>
      <c r="C24" s="54" t="n">
        <v>316663</v>
      </c>
      <c r="D24" s="58" t="n">
        <f aca="false">C24-C23</f>
        <v>-1145</v>
      </c>
      <c r="E24" s="54" t="n">
        <f aca="false">C24-152000</f>
        <v>164663</v>
      </c>
      <c r="F24" s="53" t="n">
        <f aca="false">D24/$D$2</f>
        <v>-577.407967725668</v>
      </c>
      <c r="G24" s="53" t="n">
        <v>177.94</v>
      </c>
      <c r="H24" s="55" t="n">
        <v>0</v>
      </c>
      <c r="I24" s="53" t="n">
        <f aca="false">G24+H24</f>
        <v>177.94</v>
      </c>
      <c r="J24" s="77" t="n">
        <f aca="false">IF(L24&gt;0,L24,0)</f>
        <v>0</v>
      </c>
      <c r="K24" s="53" t="n">
        <f aca="false">I24+J24</f>
        <v>177.94</v>
      </c>
      <c r="L24" s="53" t="n">
        <f aca="false">F24-(I24-W24)</f>
        <v>-22.5879677256682</v>
      </c>
      <c r="M24" s="53" t="n">
        <v>277.99</v>
      </c>
      <c r="N24" s="53" t="n">
        <f aca="false">(23.67+22.97)*1.05</f>
        <v>48.972</v>
      </c>
      <c r="O24" s="53" t="n">
        <f aca="false">M24-N24</f>
        <v>229.018</v>
      </c>
      <c r="P24" s="53" t="n">
        <v>96.58</v>
      </c>
      <c r="Q24" s="53" t="n">
        <v>69.97</v>
      </c>
      <c r="R24" s="53" t="n">
        <f aca="false">SUM(O24:Q24)</f>
        <v>395.568</v>
      </c>
      <c r="S24" s="54" t="n">
        <f aca="false">S23-R24</f>
        <v>-6555.88422311738</v>
      </c>
      <c r="T24" s="53" t="n">
        <v>207.64</v>
      </c>
      <c r="U24" s="53" t="n">
        <v>80.58</v>
      </c>
      <c r="V24" s="54" t="n">
        <f aca="false">V23-U24</f>
        <v>12357.2300226872</v>
      </c>
      <c r="W24" s="53" t="n">
        <f aca="false">R24+T24+N24+U24</f>
        <v>732.76</v>
      </c>
      <c r="X24" s="53" t="n">
        <f aca="false">IF(L24&lt;0,L24*-1,0)</f>
        <v>22.5879677256682</v>
      </c>
      <c r="Y24" s="53" t="n">
        <f aca="false">W24+X24</f>
        <v>755.347967725668</v>
      </c>
      <c r="Z24" s="57" t="n">
        <v>0.002</v>
      </c>
      <c r="AA24" s="86" t="n">
        <v>89</v>
      </c>
      <c r="AB24" s="58" t="n">
        <v>62</v>
      </c>
      <c r="AC24" s="59" t="n">
        <f aca="false">AC23+1</f>
        <v>15</v>
      </c>
      <c r="AD24" s="74"/>
      <c r="AE24" s="74"/>
      <c r="AF24" s="74"/>
    </row>
    <row r="25" customFormat="false" ht="11.1" hidden="false" customHeight="true" outlineLevel="0" collapsed="false">
      <c r="A25" s="59" t="n">
        <f aca="false">A24+1</f>
        <v>16</v>
      </c>
      <c r="B25" s="76" t="n">
        <v>6908.35</v>
      </c>
      <c r="C25" s="54" t="n">
        <v>315438</v>
      </c>
      <c r="D25" s="58" t="n">
        <f aca="false">C25-C24</f>
        <v>-1225</v>
      </c>
      <c r="E25" s="54" t="n">
        <f aca="false">C25-152000</f>
        <v>163438</v>
      </c>
      <c r="F25" s="53" t="n">
        <f aca="false">D25/$D$2</f>
        <v>-617.750882501261</v>
      </c>
      <c r="G25" s="53" t="n">
        <v>172.88</v>
      </c>
      <c r="H25" s="55" t="n">
        <v>0</v>
      </c>
      <c r="I25" s="53" t="n">
        <f aca="false">G25+H25</f>
        <v>172.88</v>
      </c>
      <c r="J25" s="77" t="n">
        <f aca="false">IF(L25&gt;0,L25,0)</f>
        <v>0</v>
      </c>
      <c r="K25" s="53" t="n">
        <f aca="false">I25+J25</f>
        <v>172.88</v>
      </c>
      <c r="L25" s="53" t="n">
        <f aca="false">F25-(I25-W25)</f>
        <v>-72.1908825012606</v>
      </c>
      <c r="M25" s="53" t="n">
        <v>275.3</v>
      </c>
      <c r="N25" s="53" t="n">
        <f aca="false">(23.36+22.81)*1.05</f>
        <v>48.4785</v>
      </c>
      <c r="O25" s="53" t="n">
        <f aca="false">M25-N25</f>
        <v>226.8215</v>
      </c>
      <c r="P25" s="53" t="n">
        <v>96.6</v>
      </c>
      <c r="Q25" s="53" t="n">
        <v>69.83</v>
      </c>
      <c r="R25" s="53" t="n">
        <f aca="false">SUM(O25:Q25)</f>
        <v>393.2515</v>
      </c>
      <c r="S25" s="54" t="n">
        <f aca="false">S24-R25</f>
        <v>-6949.13572311738</v>
      </c>
      <c r="T25" s="53" t="n">
        <v>196.13</v>
      </c>
      <c r="U25" s="53" t="n">
        <v>80.58</v>
      </c>
      <c r="V25" s="54" t="n">
        <f aca="false">V24-U25</f>
        <v>12276.6500226872</v>
      </c>
      <c r="W25" s="53" t="n">
        <f aca="false">R25+T25+N25+U25</f>
        <v>718.44</v>
      </c>
      <c r="X25" s="53" t="n">
        <f aca="false">IF(L25&lt;0,L25*-1,0)</f>
        <v>72.1908825012606</v>
      </c>
      <c r="Y25" s="53" t="n">
        <f aca="false">W25+X25</f>
        <v>790.630882501261</v>
      </c>
      <c r="Z25" s="57" t="n">
        <v>0.63</v>
      </c>
      <c r="AA25" s="86" t="n">
        <v>84</v>
      </c>
      <c r="AB25" s="58" t="n">
        <v>59</v>
      </c>
      <c r="AC25" s="59" t="n">
        <f aca="false">AC24+1</f>
        <v>16</v>
      </c>
      <c r="AD25" s="74"/>
      <c r="AE25" s="74"/>
      <c r="AF25" s="74"/>
    </row>
    <row r="26" customFormat="false" ht="11.1" hidden="false" customHeight="true" outlineLevel="0" collapsed="false">
      <c r="A26" s="59" t="n">
        <f aca="false">A25+1</f>
        <v>17</v>
      </c>
      <c r="B26" s="76" t="n">
        <v>6908.15</v>
      </c>
      <c r="C26" s="54" t="n">
        <v>314648</v>
      </c>
      <c r="D26" s="58" t="n">
        <f aca="false">C26-C25</f>
        <v>-790</v>
      </c>
      <c r="E26" s="54" t="n">
        <f aca="false">C26-152000</f>
        <v>162648</v>
      </c>
      <c r="F26" s="53" t="n">
        <f aca="false">D26/$D$2</f>
        <v>-398.386283408976</v>
      </c>
      <c r="G26" s="53" t="n">
        <v>179.85</v>
      </c>
      <c r="H26" s="55" t="n">
        <v>0</v>
      </c>
      <c r="I26" s="53" t="n">
        <f aca="false">G26+H26</f>
        <v>179.85</v>
      </c>
      <c r="J26" s="77" t="n">
        <f aca="false">IF(L26&gt;0,L26,0)</f>
        <v>28.5437165910237</v>
      </c>
      <c r="K26" s="53" t="n">
        <f aca="false">I26+J26</f>
        <v>208.393716591024</v>
      </c>
      <c r="L26" s="53" t="n">
        <f aca="false">F26-(I26-W26)</f>
        <v>28.5437165910237</v>
      </c>
      <c r="M26" s="53" t="n">
        <v>245.74</v>
      </c>
      <c r="N26" s="53" t="n">
        <f aca="false">(17.94+13.2)*1.05</f>
        <v>32.697</v>
      </c>
      <c r="O26" s="53" t="n">
        <f aca="false">M26-N26</f>
        <v>213.043</v>
      </c>
      <c r="P26" s="53" t="n">
        <v>84.15</v>
      </c>
      <c r="Q26" s="53" t="n">
        <v>64</v>
      </c>
      <c r="R26" s="53" t="n">
        <f aca="false">SUM(O26:Q26)</f>
        <v>361.193</v>
      </c>
      <c r="S26" s="54" t="n">
        <f aca="false">S25-R26</f>
        <v>-7310.32872311738</v>
      </c>
      <c r="T26" s="53" t="n">
        <v>132.13</v>
      </c>
      <c r="U26" s="53" t="n">
        <v>80.76</v>
      </c>
      <c r="V26" s="54" t="n">
        <f aca="false">V25-U26</f>
        <v>12195.8900226872</v>
      </c>
      <c r="W26" s="53" t="n">
        <f aca="false">R26+T26+N26+U26</f>
        <v>606.78</v>
      </c>
      <c r="X26" s="53" t="n">
        <f aca="false">IF(L26&lt;0,L26*-1,0)</f>
        <v>0</v>
      </c>
      <c r="Y26" s="53" t="n">
        <f aca="false">W26+X26</f>
        <v>606.78</v>
      </c>
      <c r="Z26" s="57" t="n">
        <v>0.17</v>
      </c>
      <c r="AA26" s="86" t="n">
        <v>80</v>
      </c>
      <c r="AB26" s="58" t="n">
        <v>58</v>
      </c>
      <c r="AC26" s="59" t="n">
        <f aca="false">AC25+1</f>
        <v>17</v>
      </c>
      <c r="AD26" s="74"/>
      <c r="AE26" s="74"/>
      <c r="AF26" s="74"/>
    </row>
    <row r="27" customFormat="false" ht="11.1" hidden="false" customHeight="true" outlineLevel="0" collapsed="false">
      <c r="A27" s="59" t="n">
        <f aca="false">A26+1</f>
        <v>18</v>
      </c>
      <c r="B27" s="76" t="n">
        <v>6907.97</v>
      </c>
      <c r="C27" s="54" t="n">
        <v>313938</v>
      </c>
      <c r="D27" s="58" t="n">
        <f aca="false">C27-C26</f>
        <v>-710</v>
      </c>
      <c r="E27" s="54" t="n">
        <f aca="false">C27-152000</f>
        <v>161938</v>
      </c>
      <c r="F27" s="53" t="n">
        <f aca="false">D27/$D$2</f>
        <v>-358.043368633384</v>
      </c>
      <c r="G27" s="53" t="n">
        <v>212.63</v>
      </c>
      <c r="H27" s="55" t="n">
        <v>0</v>
      </c>
      <c r="I27" s="53" t="n">
        <f aca="false">G27+H27</f>
        <v>212.63</v>
      </c>
      <c r="J27" s="77" t="n">
        <f aca="false">IF(L27&gt;0,L27,0)</f>
        <v>10.9466313666163</v>
      </c>
      <c r="K27" s="53" t="n">
        <f aca="false">I27+J27</f>
        <v>223.576631366616</v>
      </c>
      <c r="L27" s="53" t="n">
        <f aca="false">F27-(I27-W27)</f>
        <v>10.9466313666163</v>
      </c>
      <c r="M27" s="53" t="n">
        <v>235.95</v>
      </c>
      <c r="N27" s="53" t="n">
        <f aca="false">(21.55+18.99)*1.05</f>
        <v>42.567</v>
      </c>
      <c r="O27" s="53" t="n">
        <f aca="false">M27-N27</f>
        <v>193.383</v>
      </c>
      <c r="P27" s="53" t="n">
        <v>99.22</v>
      </c>
      <c r="Q27" s="53" t="n">
        <v>59.29</v>
      </c>
      <c r="R27" s="53" t="n">
        <f aca="false">SUM(O27:Q27)</f>
        <v>351.893</v>
      </c>
      <c r="S27" s="54" t="n">
        <f aca="false">S26-R27</f>
        <v>-7662.22172311738</v>
      </c>
      <c r="T27" s="53" t="n">
        <v>106.58</v>
      </c>
      <c r="U27" s="53" t="n">
        <v>80.58</v>
      </c>
      <c r="V27" s="54" t="n">
        <f aca="false">V26-U27</f>
        <v>12115.3100226872</v>
      </c>
      <c r="W27" s="53" t="n">
        <f aca="false">R27+T27+N27+U27</f>
        <v>581.62</v>
      </c>
      <c r="X27" s="53" t="n">
        <f aca="false">IF(L27&lt;0,L27*-1,0)</f>
        <v>0</v>
      </c>
      <c r="Y27" s="53" t="n">
        <f aca="false">W27+X27</f>
        <v>581.62</v>
      </c>
      <c r="Z27" s="57" t="n">
        <v>0</v>
      </c>
      <c r="AA27" s="86" t="n">
        <v>85</v>
      </c>
      <c r="AB27" s="58" t="n">
        <v>56</v>
      </c>
      <c r="AC27" s="59" t="n">
        <f aca="false">AC26+1</f>
        <v>18</v>
      </c>
      <c r="AD27" s="74"/>
      <c r="AE27" s="74"/>
      <c r="AF27" s="74"/>
    </row>
    <row r="28" customFormat="false" ht="11.1" hidden="false" customHeight="true" outlineLevel="0" collapsed="false">
      <c r="A28" s="59" t="n">
        <f aca="false">A27+1</f>
        <v>19</v>
      </c>
      <c r="B28" s="76" t="n">
        <v>6907.76</v>
      </c>
      <c r="C28" s="91" t="n">
        <v>313116</v>
      </c>
      <c r="D28" s="58" t="n">
        <f aca="false">C28-C27</f>
        <v>-822</v>
      </c>
      <c r="E28" s="54" t="n">
        <f aca="false">C28-152000</f>
        <v>161116</v>
      </c>
      <c r="F28" s="53" t="n">
        <f aca="false">D28/$D$2</f>
        <v>-414.523449319213</v>
      </c>
      <c r="G28" s="53" t="n">
        <v>205.46</v>
      </c>
      <c r="H28" s="55" t="n">
        <v>0</v>
      </c>
      <c r="I28" s="53" t="n">
        <f aca="false">G28+H28</f>
        <v>205.46</v>
      </c>
      <c r="J28" s="77" t="n">
        <f aca="false">IF(L28&gt;0,L28,0)</f>
        <v>0</v>
      </c>
      <c r="K28" s="53" t="n">
        <f aca="false">I28+J28</f>
        <v>205.46</v>
      </c>
      <c r="L28" s="53" t="n">
        <f aca="false">F28-(I28-W28)</f>
        <v>-1.08344931921334</v>
      </c>
      <c r="M28" s="53" t="n">
        <v>234.54</v>
      </c>
      <c r="N28" s="53" t="n">
        <f aca="false">(19.66+17.44)*1.05</f>
        <v>38.955</v>
      </c>
      <c r="O28" s="53" t="n">
        <f aca="false">M28-N28</f>
        <v>195.585</v>
      </c>
      <c r="P28" s="53" t="n">
        <v>98.74</v>
      </c>
      <c r="Q28" s="53" t="n">
        <v>57.41</v>
      </c>
      <c r="R28" s="53" t="n">
        <f aca="false">SUM(O28:Q28)</f>
        <v>351.735</v>
      </c>
      <c r="S28" s="54" t="n">
        <f aca="false">S27-R28</f>
        <v>-8013.95672311738</v>
      </c>
      <c r="T28" s="53" t="n">
        <v>147.63</v>
      </c>
      <c r="U28" s="53" t="n">
        <v>80.58</v>
      </c>
      <c r="V28" s="54" t="n">
        <f aca="false">V27-U28</f>
        <v>12034.7300226872</v>
      </c>
      <c r="W28" s="53" t="n">
        <f aca="false">R28+T28+N28+U28</f>
        <v>618.9</v>
      </c>
      <c r="X28" s="53" t="n">
        <f aca="false">IF(L28&lt;0,L28*-1,0)</f>
        <v>1.08344931921334</v>
      </c>
      <c r="Y28" s="53" t="n">
        <f aca="false">W28+X28</f>
        <v>619.983449319213</v>
      </c>
      <c r="Z28" s="57" t="n">
        <v>0</v>
      </c>
      <c r="AA28" s="86" t="n">
        <v>87</v>
      </c>
      <c r="AB28" s="58" t="n">
        <v>58</v>
      </c>
      <c r="AC28" s="59" t="n">
        <f aca="false">AC27+1</f>
        <v>19</v>
      </c>
      <c r="AD28" s="74"/>
      <c r="AE28" s="74"/>
      <c r="AF28" s="74"/>
    </row>
    <row r="29" customFormat="false" ht="11.1" hidden="false" customHeight="true" outlineLevel="0" collapsed="false">
      <c r="A29" s="59" t="n">
        <f aca="false">A28+1</f>
        <v>20</v>
      </c>
      <c r="B29" s="76" t="n">
        <v>6907.5</v>
      </c>
      <c r="C29" s="54" t="n">
        <v>312097</v>
      </c>
      <c r="D29" s="58" t="n">
        <f aca="false">C29-C28</f>
        <v>-1019</v>
      </c>
      <c r="E29" s="54" t="n">
        <f aca="false">C29-152000</f>
        <v>160097</v>
      </c>
      <c r="F29" s="53" t="n">
        <f aca="false">D29/$D$2</f>
        <v>-513.86787695411</v>
      </c>
      <c r="G29" s="53" t="n">
        <v>178.72</v>
      </c>
      <c r="H29" s="55" t="n">
        <v>0</v>
      </c>
      <c r="I29" s="53" t="n">
        <f aca="false">G29+H29</f>
        <v>178.72</v>
      </c>
      <c r="J29" s="77" t="n">
        <f aca="false">IF(L29&gt;0,L29,0)</f>
        <v>0</v>
      </c>
      <c r="K29" s="53" t="n">
        <f aca="false">I29+J29</f>
        <v>178.72</v>
      </c>
      <c r="L29" s="53" t="n">
        <f aca="false">F29-(I29-W29)</f>
        <v>-86.0778769541098</v>
      </c>
      <c r="M29" s="53" t="n">
        <v>239.3</v>
      </c>
      <c r="N29" s="53" t="n">
        <f aca="false">(18.96+18.62)*1.05</f>
        <v>39.459</v>
      </c>
      <c r="O29" s="53" t="n">
        <f aca="false">M29-N29</f>
        <v>199.841</v>
      </c>
      <c r="P29" s="53" t="n">
        <v>98.25</v>
      </c>
      <c r="Q29" s="53" t="n">
        <v>57.19</v>
      </c>
      <c r="R29" s="53" t="n">
        <f aca="false">SUM(O29:Q29)</f>
        <v>355.281</v>
      </c>
      <c r="S29" s="54" t="n">
        <f aca="false">S28-R29</f>
        <v>-8369.23772311738</v>
      </c>
      <c r="T29" s="53" t="n">
        <v>131.19</v>
      </c>
      <c r="U29" s="53" t="n">
        <v>80.58</v>
      </c>
      <c r="V29" s="54" t="n">
        <f aca="false">V28-U29</f>
        <v>11954.1500226872</v>
      </c>
      <c r="W29" s="53" t="n">
        <f aca="false">R29+T29+N29+U29</f>
        <v>606.51</v>
      </c>
      <c r="X29" s="53" t="n">
        <f aca="false">IF(L29&lt;0,L29*-1,0)</f>
        <v>86.0778769541098</v>
      </c>
      <c r="Y29" s="53" t="n">
        <f aca="false">W29+X29</f>
        <v>692.58787695411</v>
      </c>
      <c r="Z29" s="57" t="n">
        <v>0</v>
      </c>
      <c r="AA29" s="86" t="n">
        <v>90</v>
      </c>
      <c r="AB29" s="58" t="n">
        <v>56</v>
      </c>
      <c r="AC29" s="59" t="n">
        <f aca="false">AC28+1</f>
        <v>20</v>
      </c>
      <c r="AD29" s="74"/>
      <c r="AE29" s="74"/>
      <c r="AF29" s="74"/>
    </row>
    <row r="30" customFormat="false" ht="11.1" hidden="false" customHeight="true" outlineLevel="0" collapsed="false">
      <c r="A30" s="59" t="n">
        <f aca="false">A29+1</f>
        <v>21</v>
      </c>
      <c r="B30" s="76" t="n">
        <v>6907.24</v>
      </c>
      <c r="C30" s="54" t="n">
        <v>311078</v>
      </c>
      <c r="D30" s="58" t="n">
        <f aca="false">C30-C29</f>
        <v>-1019</v>
      </c>
      <c r="E30" s="54" t="n">
        <f aca="false">C30-152000</f>
        <v>159078</v>
      </c>
      <c r="F30" s="53" t="n">
        <f aca="false">D30/$D$2</f>
        <v>-513.86787695411</v>
      </c>
      <c r="G30" s="53" t="n">
        <v>165.8</v>
      </c>
      <c r="H30" s="55" t="n">
        <v>0</v>
      </c>
      <c r="I30" s="53" t="n">
        <f aca="false">G30+H30</f>
        <v>165.8</v>
      </c>
      <c r="J30" s="77" t="n">
        <f aca="false">IF(L30&gt;0,L30,0)</f>
        <v>0</v>
      </c>
      <c r="K30" s="53" t="n">
        <f aca="false">I30+J30</f>
        <v>165.8</v>
      </c>
      <c r="L30" s="53" t="n">
        <f aca="false">F30-(I30-W30)</f>
        <v>-78.3778769541098</v>
      </c>
      <c r="M30" s="53" t="n">
        <v>236.99</v>
      </c>
      <c r="N30" s="53" t="n">
        <f aca="false">(22.05+22.07)*1.05</f>
        <v>46.326</v>
      </c>
      <c r="O30" s="53" t="n">
        <f aca="false">M30-N30</f>
        <v>190.664</v>
      </c>
      <c r="P30" s="53" t="n">
        <v>98.03</v>
      </c>
      <c r="Q30" s="53" t="n">
        <v>57.45</v>
      </c>
      <c r="R30" s="53" t="n">
        <f aca="false">SUM(O30:Q30)</f>
        <v>346.144</v>
      </c>
      <c r="S30" s="54" t="n">
        <f aca="false">S29-R30</f>
        <v>-8715.38172311738</v>
      </c>
      <c r="T30" s="53" t="n">
        <v>128.24</v>
      </c>
      <c r="U30" s="53" t="n">
        <v>80.58</v>
      </c>
      <c r="V30" s="54" t="n">
        <f aca="false">V29-U30</f>
        <v>11873.5700226872</v>
      </c>
      <c r="W30" s="53" t="n">
        <f aca="false">R30+T30+N30+U30</f>
        <v>601.29</v>
      </c>
      <c r="X30" s="53" t="n">
        <f aca="false">IF(L30&lt;0,L30*-1,0)</f>
        <v>78.3778769541098</v>
      </c>
      <c r="Y30" s="53" t="n">
        <f aca="false">W30+X30</f>
        <v>679.66787695411</v>
      </c>
      <c r="Z30" s="57" t="n">
        <v>0</v>
      </c>
      <c r="AA30" s="58" t="n">
        <v>93</v>
      </c>
      <c r="AB30" s="58" t="n">
        <v>55</v>
      </c>
      <c r="AC30" s="59" t="n">
        <f aca="false">AC29+1</f>
        <v>21</v>
      </c>
      <c r="AD30" s="74"/>
      <c r="AE30" s="74"/>
      <c r="AF30" s="74"/>
    </row>
    <row r="31" customFormat="false" ht="11.1" hidden="false" customHeight="true" outlineLevel="0" collapsed="false">
      <c r="A31" s="59" t="n">
        <f aca="false">A30+1</f>
        <v>22</v>
      </c>
      <c r="B31" s="76" t="n">
        <v>6906.94</v>
      </c>
      <c r="C31" s="54" t="n">
        <v>309905</v>
      </c>
      <c r="D31" s="58" t="n">
        <f aca="false">C31-C30</f>
        <v>-1173</v>
      </c>
      <c r="E31" s="54" t="n">
        <f aca="false">C31-152000</f>
        <v>157905</v>
      </c>
      <c r="F31" s="53" t="n">
        <f aca="false">D31/$D$2</f>
        <v>-591.527987897126</v>
      </c>
      <c r="G31" s="53" t="n">
        <v>156.02</v>
      </c>
      <c r="H31" s="55" t="n">
        <v>0</v>
      </c>
      <c r="I31" s="53" t="n">
        <f aca="false">G31+H31</f>
        <v>156.02</v>
      </c>
      <c r="J31" s="77" t="n">
        <f aca="false">IF(L31&gt;0,L31,0)</f>
        <v>0</v>
      </c>
      <c r="K31" s="53" t="n">
        <f aca="false">I31+J31</f>
        <v>156.02</v>
      </c>
      <c r="L31" s="53" t="n">
        <f aca="false">F31-(I31-W31)</f>
        <v>-115.867987897125</v>
      </c>
      <c r="M31" s="53" t="n">
        <v>256.15</v>
      </c>
      <c r="N31" s="53" t="n">
        <f aca="false">(18.46+18.95)*1.05</f>
        <v>39.2805</v>
      </c>
      <c r="O31" s="53" t="n">
        <f aca="false">M31-N31</f>
        <v>216.8695</v>
      </c>
      <c r="P31" s="53" t="n">
        <v>98.9</v>
      </c>
      <c r="Q31" s="53" t="n">
        <v>61.54</v>
      </c>
      <c r="R31" s="53" t="n">
        <f aca="false">SUM(O31:Q31)</f>
        <v>377.3095</v>
      </c>
      <c r="S31" s="54" t="n">
        <f aca="false">S30-R31</f>
        <v>-9092.69122311738</v>
      </c>
      <c r="T31" s="53" t="n">
        <v>134.53</v>
      </c>
      <c r="U31" s="53" t="n">
        <v>80.56</v>
      </c>
      <c r="V31" s="54" t="n">
        <f aca="false">V30-U31</f>
        <v>11793.0100226872</v>
      </c>
      <c r="W31" s="53" t="n">
        <f aca="false">R31+T31+N31+U31</f>
        <v>631.68</v>
      </c>
      <c r="X31" s="53" t="n">
        <f aca="false">IF(L31&lt;0,L31*-1,0)</f>
        <v>115.867987897125</v>
      </c>
      <c r="Y31" s="53" t="n">
        <f aca="false">W31+X31</f>
        <v>747.547987897126</v>
      </c>
      <c r="Z31" s="57" t="n">
        <v>0</v>
      </c>
      <c r="AA31" s="58" t="n">
        <v>91</v>
      </c>
      <c r="AB31" s="58" t="n">
        <v>59</v>
      </c>
      <c r="AC31" s="59" t="n">
        <f aca="false">AC30+1</f>
        <v>22</v>
      </c>
      <c r="AD31" s="74"/>
      <c r="AE31" s="74"/>
      <c r="AF31" s="74"/>
      <c r="AG31" s="113"/>
      <c r="AH31" s="113"/>
      <c r="AI31" s="113"/>
    </row>
    <row r="32" customFormat="false" ht="11.1" hidden="false" customHeight="true" outlineLevel="0" collapsed="false">
      <c r="A32" s="59" t="n">
        <f aca="false">A31+1</f>
        <v>23</v>
      </c>
      <c r="B32" s="76" t="n">
        <v>6906.69</v>
      </c>
      <c r="C32" s="54" t="n">
        <v>308933</v>
      </c>
      <c r="D32" s="58" t="n">
        <f aca="false">C32-C31</f>
        <v>-972</v>
      </c>
      <c r="E32" s="54" t="n">
        <f aca="false">C32-152000</f>
        <v>156933</v>
      </c>
      <c r="F32" s="53" t="n">
        <f aca="false">D32/$D$2</f>
        <v>-490.166414523449</v>
      </c>
      <c r="G32" s="53" t="n">
        <v>146.45</v>
      </c>
      <c r="H32" s="55" t="n">
        <v>0</v>
      </c>
      <c r="I32" s="53" t="n">
        <f aca="false">G32+H32</f>
        <v>146.45</v>
      </c>
      <c r="J32" s="77" t="n">
        <f aca="false">IF(L32&gt;0,L32,0)</f>
        <v>4.66358547655068</v>
      </c>
      <c r="K32" s="53" t="n">
        <f aca="false">I32+J32</f>
        <v>151.113585476551</v>
      </c>
      <c r="L32" s="53" t="n">
        <f aca="false">F32-(I32-W32)</f>
        <v>4.66358547655068</v>
      </c>
      <c r="M32" s="53" t="n">
        <v>261.39</v>
      </c>
      <c r="N32" s="53" t="n">
        <f aca="false">(20.62+20.54)*1.05</f>
        <v>43.218</v>
      </c>
      <c r="O32" s="53" t="n">
        <f aca="false">M32-N32</f>
        <v>218.172</v>
      </c>
      <c r="P32" s="53" t="n">
        <v>98.68</v>
      </c>
      <c r="Q32" s="53" t="n">
        <v>66.76</v>
      </c>
      <c r="R32" s="53" t="n">
        <f aca="false">SUM(O32:Q32)</f>
        <v>383.612</v>
      </c>
      <c r="S32" s="54" t="n">
        <f aca="false">S31-R32</f>
        <v>-9476.30322311738</v>
      </c>
      <c r="T32" s="53" t="n">
        <v>133.87</v>
      </c>
      <c r="U32" s="53" t="n">
        <v>80.58</v>
      </c>
      <c r="V32" s="54" t="n">
        <f aca="false">V31-U32</f>
        <v>11712.4300226872</v>
      </c>
      <c r="W32" s="53" t="n">
        <f aca="false">R32+T32+N32+U32</f>
        <v>641.28</v>
      </c>
      <c r="X32" s="53" t="n">
        <f aca="false">IF(L32&lt;0,L32*-1,0)</f>
        <v>0</v>
      </c>
      <c r="Y32" s="53" t="n">
        <f aca="false">W32+X32</f>
        <v>641.28</v>
      </c>
      <c r="Z32" s="57" t="n">
        <v>0</v>
      </c>
      <c r="AA32" s="58" t="n">
        <v>91</v>
      </c>
      <c r="AB32" s="86" t="n">
        <v>58</v>
      </c>
      <c r="AC32" s="59" t="n">
        <f aca="false">AC31+1</f>
        <v>23</v>
      </c>
      <c r="AD32" s="74"/>
      <c r="AE32" s="74"/>
      <c r="AF32" s="74"/>
    </row>
    <row r="33" customFormat="false" ht="11.1" hidden="false" customHeight="true" outlineLevel="0" collapsed="false">
      <c r="A33" s="59" t="n">
        <f aca="false">A32+1</f>
        <v>24</v>
      </c>
      <c r="B33" s="76" t="n">
        <v>6906.36</v>
      </c>
      <c r="C33" s="54" t="n">
        <v>307650</v>
      </c>
      <c r="D33" s="58" t="n">
        <f aca="false">C33-C32</f>
        <v>-1283</v>
      </c>
      <c r="E33" s="54" t="n">
        <f aca="false">C33-152000</f>
        <v>155650</v>
      </c>
      <c r="F33" s="53" t="n">
        <f aca="false">D33/$D$2</f>
        <v>-646.999495713565</v>
      </c>
      <c r="G33" s="53" t="n">
        <v>139.63</v>
      </c>
      <c r="H33" s="55" t="n">
        <v>0</v>
      </c>
      <c r="I33" s="53" t="n">
        <f aca="false">G33+H33</f>
        <v>139.63</v>
      </c>
      <c r="J33" s="77" t="n">
        <f aca="false">IF(L33&gt;0,L33,0)</f>
        <v>0</v>
      </c>
      <c r="K33" s="53" t="n">
        <f aca="false">I33+J33</f>
        <v>139.63</v>
      </c>
      <c r="L33" s="53" t="n">
        <f aca="false">F33-(I33-W33)</f>
        <v>-119.539495713565</v>
      </c>
      <c r="M33" s="53" t="n">
        <v>276.18</v>
      </c>
      <c r="N33" s="53" t="n">
        <f aca="false">(21.09+21.15)*1.05</f>
        <v>44.352</v>
      </c>
      <c r="O33" s="53" t="n">
        <f aca="false">M33-N33</f>
        <v>231.828</v>
      </c>
      <c r="P33" s="53" t="n">
        <v>98</v>
      </c>
      <c r="Q33" s="53" t="n">
        <v>68.89</v>
      </c>
      <c r="R33" s="53" t="n">
        <f aca="false">SUM(O33:Q33)</f>
        <v>398.718</v>
      </c>
      <c r="S33" s="54" t="n">
        <f aca="false">S32-R33</f>
        <v>-9875.02122311738</v>
      </c>
      <c r="T33" s="53" t="n">
        <v>143.44</v>
      </c>
      <c r="U33" s="53" t="n">
        <v>80.58</v>
      </c>
      <c r="V33" s="54" t="n">
        <f aca="false">V32-U33</f>
        <v>11631.8500226872</v>
      </c>
      <c r="W33" s="53" t="n">
        <f aca="false">R33+T33+N33+U33</f>
        <v>667.09</v>
      </c>
      <c r="X33" s="53" t="n">
        <f aca="false">IF(L33&lt;0,L33*-1,0)</f>
        <v>119.539495713565</v>
      </c>
      <c r="Y33" s="53" t="n">
        <f aca="false">W33+X33</f>
        <v>786.629495713565</v>
      </c>
      <c r="Z33" s="57" t="n">
        <v>0</v>
      </c>
      <c r="AA33" s="58" t="n">
        <v>91</v>
      </c>
      <c r="AB33" s="86" t="n">
        <v>57</v>
      </c>
      <c r="AC33" s="59" t="n">
        <f aca="false">AC32+1</f>
        <v>24</v>
      </c>
      <c r="AD33" s="74"/>
      <c r="AE33" s="74"/>
      <c r="AF33" s="74"/>
    </row>
    <row r="34" customFormat="false" ht="11.1" hidden="false" customHeight="true" outlineLevel="0" collapsed="false">
      <c r="A34" s="59" t="n">
        <f aca="false">A33+1</f>
        <v>25</v>
      </c>
      <c r="B34" s="76" t="n">
        <v>6906.09</v>
      </c>
      <c r="C34" s="54" t="n">
        <v>306601</v>
      </c>
      <c r="D34" s="58" t="n">
        <f aca="false">C34-C33</f>
        <v>-1049</v>
      </c>
      <c r="E34" s="54" t="n">
        <f aca="false">C34-152000</f>
        <v>154601</v>
      </c>
      <c r="F34" s="53" t="n">
        <f aca="false">D34/$D$2</f>
        <v>-528.996469994957</v>
      </c>
      <c r="G34" s="53" t="n">
        <v>133.52</v>
      </c>
      <c r="H34" s="55" t="n">
        <v>0</v>
      </c>
      <c r="I34" s="53" t="n">
        <f aca="false">G34+H34</f>
        <v>133.52</v>
      </c>
      <c r="J34" s="77" t="n">
        <f aca="false">IF(L34&gt;0,L34,0)</f>
        <v>5.03353000504285</v>
      </c>
      <c r="K34" s="53" t="n">
        <f aca="false">I34+J34</f>
        <v>138.553530005043</v>
      </c>
      <c r="L34" s="53" t="n">
        <f aca="false">F34-(I34-W34)</f>
        <v>5.03353000504285</v>
      </c>
      <c r="M34" s="53" t="n">
        <v>274.16</v>
      </c>
      <c r="N34" s="53" t="n">
        <f aca="false">(20.65+20.46)*1.05</f>
        <v>43.1655</v>
      </c>
      <c r="O34" s="53" t="n">
        <f aca="false">M34-N34</f>
        <v>230.9945</v>
      </c>
      <c r="P34" s="53" t="n">
        <v>97.86</v>
      </c>
      <c r="Q34" s="53" t="n">
        <v>72.08</v>
      </c>
      <c r="R34" s="53" t="n">
        <f aca="false">SUM(O34:Q34)</f>
        <v>400.9345</v>
      </c>
      <c r="S34" s="54" t="n">
        <f aca="false">S33-R34</f>
        <v>-10275.9557231174</v>
      </c>
      <c r="T34" s="53" t="n">
        <v>142.87</v>
      </c>
      <c r="U34" s="53" t="n">
        <v>80.58</v>
      </c>
      <c r="V34" s="54" t="n">
        <f aca="false">V33-U34</f>
        <v>11551.2700226872</v>
      </c>
      <c r="W34" s="53" t="n">
        <f aca="false">R34+T34+N34+U34</f>
        <v>667.55</v>
      </c>
      <c r="X34" s="53" t="n">
        <f aca="false">IF(L34&lt;0,L34*-1,0)</f>
        <v>0</v>
      </c>
      <c r="Y34" s="53" t="n">
        <f aca="false">W34+X34</f>
        <v>667.55</v>
      </c>
      <c r="Z34" s="57" t="n">
        <v>0</v>
      </c>
      <c r="AA34" s="58" t="n">
        <v>86</v>
      </c>
      <c r="AB34" s="86" t="n">
        <v>59</v>
      </c>
      <c r="AC34" s="59" t="n">
        <f aca="false">AC33+1</f>
        <v>25</v>
      </c>
      <c r="AD34" s="74"/>
      <c r="AE34" s="74"/>
      <c r="AF34" s="74"/>
    </row>
    <row r="35" customFormat="false" ht="11.1" hidden="false" customHeight="true" outlineLevel="0" collapsed="false">
      <c r="A35" s="59" t="n">
        <f aca="false">A34+1</f>
        <v>26</v>
      </c>
      <c r="B35" s="76" t="n">
        <v>6905.77</v>
      </c>
      <c r="C35" s="54" t="n">
        <v>305364</v>
      </c>
      <c r="D35" s="58" t="n">
        <f aca="false">C35-C34</f>
        <v>-1237</v>
      </c>
      <c r="E35" s="54" t="n">
        <f aca="false">C35-152000</f>
        <v>153364</v>
      </c>
      <c r="F35" s="53" t="n">
        <f aca="false">D35/$D$2</f>
        <v>-623.8023197176</v>
      </c>
      <c r="G35" s="53" t="n">
        <v>135.69</v>
      </c>
      <c r="H35" s="55" t="n">
        <v>0</v>
      </c>
      <c r="I35" s="53" t="n">
        <f aca="false">G35+H35</f>
        <v>135.69</v>
      </c>
      <c r="J35" s="77" t="n">
        <f aca="false">IF(L35&gt;0,L35,0)</f>
        <v>0</v>
      </c>
      <c r="K35" s="53" t="n">
        <f aca="false">I35+J35</f>
        <v>135.69</v>
      </c>
      <c r="L35" s="53" t="n">
        <f aca="false">F35-(I35-W35)</f>
        <v>-47.1723197175994</v>
      </c>
      <c r="M35" s="53" t="n">
        <v>282.16</v>
      </c>
      <c r="N35" s="53" t="n">
        <f aca="false">(23.33+24.43)*1.05</f>
        <v>50.148</v>
      </c>
      <c r="O35" s="53" t="n">
        <f aca="false">M35-N35</f>
        <v>232.012</v>
      </c>
      <c r="P35" s="53" t="n">
        <v>99.14</v>
      </c>
      <c r="Q35" s="53" t="n">
        <v>78.37</v>
      </c>
      <c r="R35" s="53" t="n">
        <f aca="false">SUM(O35:Q35)</f>
        <v>409.522</v>
      </c>
      <c r="S35" s="54" t="n">
        <f aca="false">S34-R35</f>
        <v>-10685.4777231174</v>
      </c>
      <c r="T35" s="53" t="n">
        <v>172.07</v>
      </c>
      <c r="U35" s="53" t="n">
        <v>80.58</v>
      </c>
      <c r="V35" s="54" t="n">
        <f aca="false">V34-U35</f>
        <v>11470.6900226872</v>
      </c>
      <c r="W35" s="53" t="n">
        <f aca="false">R35+T35+N35+U35</f>
        <v>712.32</v>
      </c>
      <c r="X35" s="53" t="n">
        <f aca="false">IF(L35&lt;0,L35*-1,0)</f>
        <v>47.1723197175994</v>
      </c>
      <c r="Y35" s="53" t="n">
        <f aca="false">W35+X35</f>
        <v>759.4923197176</v>
      </c>
      <c r="Z35" s="57" t="n">
        <v>0</v>
      </c>
      <c r="AA35" s="58" t="n">
        <v>86</v>
      </c>
      <c r="AB35" s="58" t="n">
        <v>59</v>
      </c>
      <c r="AC35" s="59" t="n">
        <f aca="false">AC34+1</f>
        <v>26</v>
      </c>
      <c r="AD35" s="74"/>
      <c r="AE35" s="74"/>
      <c r="AF35" s="74"/>
    </row>
    <row r="36" customFormat="false" ht="11.1" hidden="false" customHeight="true" outlineLevel="0" collapsed="false">
      <c r="A36" s="59" t="n">
        <f aca="false">A35+1</f>
        <v>27</v>
      </c>
      <c r="B36" s="76" t="n">
        <v>6905.44</v>
      </c>
      <c r="C36" s="54" t="n">
        <v>304092</v>
      </c>
      <c r="D36" s="58" t="n">
        <f aca="false">C36-C35</f>
        <v>-1272</v>
      </c>
      <c r="E36" s="54" t="n">
        <f aca="false">C36-152000</f>
        <v>152092</v>
      </c>
      <c r="F36" s="53" t="n">
        <f aca="false">D36/$D$2</f>
        <v>-641.452344931921</v>
      </c>
      <c r="G36" s="53" t="n">
        <v>133.12</v>
      </c>
      <c r="H36" s="55" t="n">
        <v>0</v>
      </c>
      <c r="I36" s="53" t="n">
        <f aca="false">G36+H36</f>
        <v>133.12</v>
      </c>
      <c r="J36" s="77" t="n">
        <f aca="false">IF(L36&gt;0,L36,0)</f>
        <v>0</v>
      </c>
      <c r="K36" s="53" t="n">
        <f aca="false">I36+J36</f>
        <v>133.12</v>
      </c>
      <c r="L36" s="53" t="n">
        <f aca="false">F36-(I36-W36)</f>
        <v>-71.9223449319212</v>
      </c>
      <c r="M36" s="53" t="n">
        <v>289.37</v>
      </c>
      <c r="N36" s="53" t="n">
        <f aca="false">(22.49+22.88)*1.05</f>
        <v>47.6385</v>
      </c>
      <c r="O36" s="53" t="n">
        <f aca="false">M36-N36</f>
        <v>241.7315</v>
      </c>
      <c r="P36" s="53" t="n">
        <v>100.17</v>
      </c>
      <c r="Q36" s="53" t="n">
        <v>79.4</v>
      </c>
      <c r="R36" s="53" t="n">
        <f aca="false">SUM(O36:Q36)</f>
        <v>421.3015</v>
      </c>
      <c r="S36" s="54" t="n">
        <f aca="false">S35-R36</f>
        <v>-11106.7792231174</v>
      </c>
      <c r="T36" s="53" t="n">
        <v>153.08</v>
      </c>
      <c r="U36" s="53" t="n">
        <v>80.63</v>
      </c>
      <c r="V36" s="54" t="n">
        <f aca="false">V35-U36</f>
        <v>11390.0600226872</v>
      </c>
      <c r="W36" s="53" t="n">
        <f aca="false">R36+T36+N36+U36</f>
        <v>702.65</v>
      </c>
      <c r="X36" s="53" t="n">
        <f aca="false">IF(L36&lt;0,L36*-1,0)</f>
        <v>71.9223449319212</v>
      </c>
      <c r="Y36" s="53" t="n">
        <f aca="false">W36+X36</f>
        <v>774.572344931921</v>
      </c>
      <c r="Z36" s="57" t="n">
        <v>0</v>
      </c>
      <c r="AA36" s="58" t="n">
        <v>90</v>
      </c>
      <c r="AB36" s="58" t="n">
        <v>55</v>
      </c>
      <c r="AC36" s="59" t="n">
        <f aca="false">AC35+1</f>
        <v>27</v>
      </c>
      <c r="AD36" s="74"/>
      <c r="AE36" s="74"/>
      <c r="AF36" s="74"/>
    </row>
    <row r="37" customFormat="false" ht="11.1" hidden="false" customHeight="true" outlineLevel="0" collapsed="false">
      <c r="A37" s="59" t="n">
        <f aca="false">A36+1</f>
        <v>28</v>
      </c>
      <c r="B37" s="76" t="n">
        <v>6905.16</v>
      </c>
      <c r="C37" s="54" t="n">
        <v>303013</v>
      </c>
      <c r="D37" s="58" t="n">
        <f aca="false">C37-C36</f>
        <v>-1079</v>
      </c>
      <c r="E37" s="54" t="n">
        <f aca="false">C37-152000</f>
        <v>151013</v>
      </c>
      <c r="F37" s="53" t="n">
        <f aca="false">D37/$D$2</f>
        <v>-544.125063035804</v>
      </c>
      <c r="G37" s="53" t="n">
        <v>135.54</v>
      </c>
      <c r="H37" s="55" t="n">
        <v>0</v>
      </c>
      <c r="I37" s="53" t="n">
        <f aca="false">G37+H37</f>
        <v>135.54</v>
      </c>
      <c r="J37" s="77" t="n">
        <f aca="false">IF(L37&gt;0,L37,0)</f>
        <v>7.84493696419577</v>
      </c>
      <c r="K37" s="53" t="n">
        <f aca="false">I37+J37</f>
        <v>143.384936964196</v>
      </c>
      <c r="L37" s="53" t="n">
        <f aca="false">F37-(I37-W37)</f>
        <v>7.84493696419577</v>
      </c>
      <c r="M37" s="53" t="n">
        <v>271.91</v>
      </c>
      <c r="N37" s="53" t="n">
        <f aca="false">(22.71+22.04)*1.05</f>
        <v>46.9875</v>
      </c>
      <c r="O37" s="53" t="n">
        <f aca="false">M37-N37</f>
        <v>224.9225</v>
      </c>
      <c r="P37" s="53" t="n">
        <v>100.41</v>
      </c>
      <c r="Q37" s="53" t="n">
        <v>79.44</v>
      </c>
      <c r="R37" s="53" t="n">
        <f aca="false">SUM(O37:Q37)</f>
        <v>404.7725</v>
      </c>
      <c r="S37" s="54" t="n">
        <f aca="false">S36-R37</f>
        <v>-11511.5517231174</v>
      </c>
      <c r="T37" s="53" t="n">
        <v>155.17</v>
      </c>
      <c r="U37" s="53" t="n">
        <v>80.58</v>
      </c>
      <c r="V37" s="54" t="n">
        <f aca="false">V36-U37</f>
        <v>11309.4800226872</v>
      </c>
      <c r="W37" s="53" t="n">
        <f aca="false">R37+T37+N37+U37</f>
        <v>687.51</v>
      </c>
      <c r="X37" s="53" t="n">
        <f aca="false">IF(L37&lt;0,L37*-1,0)</f>
        <v>0</v>
      </c>
      <c r="Y37" s="53" t="n">
        <f aca="false">W37+X37</f>
        <v>687.51</v>
      </c>
      <c r="Z37" s="57" t="n">
        <v>0.04</v>
      </c>
      <c r="AA37" s="58" t="n">
        <v>86</v>
      </c>
      <c r="AB37" s="58" t="n">
        <v>59</v>
      </c>
      <c r="AC37" s="59" t="n">
        <f aca="false">AC36+1</f>
        <v>28</v>
      </c>
      <c r="AD37" s="74"/>
      <c r="AE37" s="74"/>
      <c r="AF37" s="74"/>
    </row>
    <row r="38" customFormat="false" ht="11.1" hidden="false" customHeight="true" outlineLevel="0" collapsed="false">
      <c r="A38" s="59" t="n">
        <f aca="false">A37+1</f>
        <v>29</v>
      </c>
      <c r="B38" s="76" t="n">
        <v>6904.82</v>
      </c>
      <c r="C38" s="54" t="n">
        <v>301707</v>
      </c>
      <c r="D38" s="58" t="n">
        <f aca="false">C38-C37</f>
        <v>-1306</v>
      </c>
      <c r="E38" s="54" t="n">
        <f aca="false">C38-152000</f>
        <v>149707</v>
      </c>
      <c r="F38" s="53" t="n">
        <f aca="false">D38/$D$2</f>
        <v>-658.598083711548</v>
      </c>
      <c r="G38" s="53" t="n">
        <v>137.34</v>
      </c>
      <c r="H38" s="55" t="n">
        <v>0</v>
      </c>
      <c r="I38" s="53" t="n">
        <f aca="false">G38+H38</f>
        <v>137.34</v>
      </c>
      <c r="J38" s="77" t="n">
        <f aca="false">IF(L38&gt;0,L38,0)</f>
        <v>0</v>
      </c>
      <c r="K38" s="53" t="n">
        <f aca="false">I38+J38</f>
        <v>137.34</v>
      </c>
      <c r="L38" s="53" t="n">
        <f aca="false">F38-(I38-W38)</f>
        <v>-70.8180837115481</v>
      </c>
      <c r="M38" s="53" t="n">
        <v>288.6</v>
      </c>
      <c r="N38" s="53" t="n">
        <f aca="false">(23.73+24.08)*1.05</f>
        <v>50.2005</v>
      </c>
      <c r="O38" s="53" t="n">
        <f aca="false">M38-N38</f>
        <v>238.3995</v>
      </c>
      <c r="P38" s="53" t="n">
        <v>101.07</v>
      </c>
      <c r="Q38" s="53" t="n">
        <v>79.55</v>
      </c>
      <c r="R38" s="53" t="n">
        <f aca="false">SUM(O38:Q38)</f>
        <v>419.0195</v>
      </c>
      <c r="S38" s="54" t="n">
        <f aca="false">S37-R38</f>
        <v>-11930.5712231174</v>
      </c>
      <c r="T38" s="53" t="n">
        <v>175.32</v>
      </c>
      <c r="U38" s="53" t="n">
        <v>80.58</v>
      </c>
      <c r="V38" s="54" t="n">
        <f aca="false">V37-U38</f>
        <v>11228.9000226872</v>
      </c>
      <c r="W38" s="53" t="n">
        <f aca="false">R38+T38+N38+U38</f>
        <v>725.12</v>
      </c>
      <c r="X38" s="53" t="n">
        <f aca="false">IF(L38&lt;0,L38*-1,0)</f>
        <v>70.8180837115481</v>
      </c>
      <c r="Y38" s="53" t="n">
        <f aca="false">W38+X38</f>
        <v>795.938083711548</v>
      </c>
      <c r="Z38" s="57" t="n">
        <v>0</v>
      </c>
      <c r="AA38" s="86" t="n">
        <v>84</v>
      </c>
      <c r="AB38" s="58" t="n">
        <v>58</v>
      </c>
      <c r="AC38" s="59" t="n">
        <f aca="false">AC37+1</f>
        <v>29</v>
      </c>
      <c r="AD38" s="74"/>
      <c r="AE38" s="78"/>
      <c r="AF38" s="75"/>
    </row>
    <row r="39" customFormat="false" ht="11.1" hidden="false" customHeight="true" outlineLevel="0" collapsed="false">
      <c r="A39" s="59" t="n">
        <v>30</v>
      </c>
      <c r="B39" s="76" t="n">
        <v>6904.48</v>
      </c>
      <c r="C39" s="54" t="n">
        <v>300407</v>
      </c>
      <c r="D39" s="58" t="n">
        <f aca="false">C39-C38</f>
        <v>-1300</v>
      </c>
      <c r="E39" s="54" t="n">
        <f aca="false">C39-152000</f>
        <v>148407</v>
      </c>
      <c r="F39" s="53" t="n">
        <f aca="false">D39/$D$2</f>
        <v>-655.572365103379</v>
      </c>
      <c r="G39" s="53" t="n">
        <v>141.83</v>
      </c>
      <c r="H39" s="55" t="n">
        <v>0</v>
      </c>
      <c r="I39" s="53" t="n">
        <f aca="false">G39+H39</f>
        <v>141.83</v>
      </c>
      <c r="J39" s="77" t="n">
        <f aca="false">IF(L39&gt;0,L39,0)</f>
        <v>0</v>
      </c>
      <c r="K39" s="53" t="n">
        <f aca="false">I39+J39</f>
        <v>141.83</v>
      </c>
      <c r="L39" s="53" t="n">
        <f aca="false">F39-(I39-W39)</f>
        <v>-60.6823651033787</v>
      </c>
      <c r="M39" s="53" t="n">
        <v>291.19</v>
      </c>
      <c r="N39" s="53" t="n">
        <f aca="false">(22.03+22.39)*1.05</f>
        <v>46.641</v>
      </c>
      <c r="O39" s="53" t="n">
        <f aca="false">M39-N39</f>
        <v>244.549</v>
      </c>
      <c r="P39" s="53" t="n">
        <v>101.55</v>
      </c>
      <c r="Q39" s="53" t="n">
        <v>79.85</v>
      </c>
      <c r="R39" s="53" t="n">
        <f aca="false">SUM(O39:Q39)</f>
        <v>425.949</v>
      </c>
      <c r="S39" s="54" t="n">
        <f aca="false">S38-R39</f>
        <v>-12356.5202231174</v>
      </c>
      <c r="T39" s="53" t="n">
        <v>183.55</v>
      </c>
      <c r="U39" s="53" t="n">
        <v>80.58</v>
      </c>
      <c r="V39" s="54" t="n">
        <f aca="false">V38-U39</f>
        <v>11148.3200226872</v>
      </c>
      <c r="W39" s="53" t="n">
        <f aca="false">R39+T39+N39+U39</f>
        <v>736.72</v>
      </c>
      <c r="X39" s="53" t="n">
        <f aca="false">IF(L39&lt;0,L39*-1,0)</f>
        <v>60.6823651033787</v>
      </c>
      <c r="Y39" s="53" t="n">
        <f aca="false">W39+X39</f>
        <v>797.402365103379</v>
      </c>
      <c r="Z39" s="57" t="n">
        <v>0</v>
      </c>
      <c r="AA39" s="86" t="n">
        <v>87</v>
      </c>
      <c r="AB39" s="58" t="n">
        <v>57</v>
      </c>
      <c r="AC39" s="59" t="n">
        <v>30</v>
      </c>
      <c r="AD39" s="74"/>
      <c r="AE39" s="78"/>
      <c r="AF39" s="75"/>
    </row>
    <row r="40" customFormat="false" ht="11.1" hidden="false" customHeight="true" outlineLevel="0" collapsed="false">
      <c r="A40" s="59" t="n">
        <v>31</v>
      </c>
      <c r="B40" s="76" t="n">
        <v>6904.18</v>
      </c>
      <c r="C40" s="54" t="n">
        <v>299260</v>
      </c>
      <c r="D40" s="58" t="n">
        <f aca="false">C40-C39</f>
        <v>-1147</v>
      </c>
      <c r="E40" s="54" t="n">
        <f aca="false">C40-152000</f>
        <v>147260</v>
      </c>
      <c r="F40" s="53" t="n">
        <f aca="false">D40/$D$2</f>
        <v>-578.416540595058</v>
      </c>
      <c r="G40" s="53" t="n">
        <v>134.42</v>
      </c>
      <c r="H40" s="55" t="n">
        <v>0</v>
      </c>
      <c r="I40" s="53" t="n">
        <f aca="false">G40+H40</f>
        <v>134.42</v>
      </c>
      <c r="J40" s="77" t="n">
        <f aca="false">IF(L40&gt;0,L40,0)</f>
        <v>8.41345940494216</v>
      </c>
      <c r="K40" s="53" t="n">
        <f aca="false">I40+J40</f>
        <v>142.833459404942</v>
      </c>
      <c r="L40" s="53" t="n">
        <f aca="false">F40-(I40-W40)</f>
        <v>8.41345940494216</v>
      </c>
      <c r="M40" s="53" t="n">
        <v>274.93</v>
      </c>
      <c r="N40" s="53" t="n">
        <f aca="false">(20.47+18.91)*1.05</f>
        <v>41.349</v>
      </c>
      <c r="O40" s="53" t="n">
        <f aca="false">M40-N40</f>
        <v>233.581</v>
      </c>
      <c r="P40" s="53" t="n">
        <v>101.35</v>
      </c>
      <c r="Q40" s="53" t="n">
        <v>80</v>
      </c>
      <c r="R40" s="53" t="n">
        <f aca="false">SUM(O40:Q40)</f>
        <v>414.931</v>
      </c>
      <c r="S40" s="54" t="n">
        <f aca="false">S39-R40</f>
        <v>-12771.4512231174</v>
      </c>
      <c r="T40" s="53" t="n">
        <v>180.46</v>
      </c>
      <c r="U40" s="53" t="n">
        <v>84.51</v>
      </c>
      <c r="V40" s="54" t="n">
        <f aca="false">V39-U40</f>
        <v>11063.8100226872</v>
      </c>
      <c r="W40" s="53" t="n">
        <f aca="false">R40+T40+N40+U40</f>
        <v>721.25</v>
      </c>
      <c r="X40" s="53" t="n">
        <f aca="false">IF(L40&lt;0,L40*-1,0)</f>
        <v>0</v>
      </c>
      <c r="Y40" s="53" t="n">
        <f aca="false">W40+X40</f>
        <v>721.25</v>
      </c>
      <c r="Z40" s="57" t="n">
        <v>0</v>
      </c>
      <c r="AA40" s="86" t="n">
        <v>91</v>
      </c>
      <c r="AB40" s="58" t="n">
        <v>58</v>
      </c>
      <c r="AC40" s="59" t="n">
        <v>31</v>
      </c>
      <c r="AD40" s="74"/>
      <c r="AE40" s="74"/>
      <c r="AF40" s="75"/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-17477.0549672214</v>
      </c>
      <c r="G42" s="54" t="n">
        <f aca="false">SUM(G10:G40)</f>
        <v>5749.8</v>
      </c>
      <c r="H42" s="54" t="n">
        <f aca="false">SUM(H10:H40)</f>
        <v>0</v>
      </c>
      <c r="I42" s="54" t="n">
        <f aca="false">SUM(I10:I40)</f>
        <v>5749.8</v>
      </c>
      <c r="J42" s="54" t="n">
        <f aca="false">SUM(J10:J40)</f>
        <v>153.265274836107</v>
      </c>
      <c r="K42" s="54" t="n">
        <f aca="false">SUM(K10:K40)</f>
        <v>5903.06527483611</v>
      </c>
      <c r="L42" s="54" t="n">
        <f aca="false">SUM(L10:L40)</f>
        <v>-1099.00496722138</v>
      </c>
      <c r="M42" s="54" t="n">
        <f aca="false">SUM(M10:M40)</f>
        <v>8213.36</v>
      </c>
      <c r="N42" s="54" t="n">
        <f aca="false">SUM(N10:N40)</f>
        <v>1351.854</v>
      </c>
      <c r="O42" s="54" t="n">
        <f aca="false">SUM(O10:O40)</f>
        <v>6861.506</v>
      </c>
      <c r="P42" s="54" t="n">
        <f aca="false">SUM(P10:P40)</f>
        <v>3643.73</v>
      </c>
      <c r="Q42" s="54" t="n">
        <f aca="false">SUM(Q10:Q40)</f>
        <v>2147.07</v>
      </c>
      <c r="R42" s="54" t="n">
        <f aca="false">SUM(R10:R40)</f>
        <v>12652.306</v>
      </c>
      <c r="S42" s="54"/>
      <c r="T42" s="54" t="n">
        <f aca="false">SUM(T10:T40)</f>
        <v>5729.3</v>
      </c>
      <c r="U42" s="54" t="n">
        <f aca="false">SUM(U10:U40)</f>
        <v>2394.39</v>
      </c>
      <c r="V42" s="54" t="n">
        <f aca="false">V40</f>
        <v>11063.8100226872</v>
      </c>
      <c r="W42" s="54" t="n">
        <f aca="false">SUM(W10:W40)</f>
        <v>22127.85</v>
      </c>
      <c r="X42" s="54" t="n">
        <f aca="false">SUM(X10:X40)</f>
        <v>1252.27024205749</v>
      </c>
      <c r="Y42" s="54" t="n">
        <f aca="false">SUM(Y10:Y40)</f>
        <v>23380.1202420575</v>
      </c>
      <c r="Z42" s="57" t="n">
        <f aca="false">SUM(Z10:Z40)</f>
        <v>1.542</v>
      </c>
      <c r="AA42" s="58" t="n">
        <f aca="false">AVERAGE(AA10:AA40)</f>
        <v>87.741935483871</v>
      </c>
      <c r="AB42" s="58" t="n">
        <f aca="false">AVERAGE(AB10:AB40)</f>
        <v>57.2258064516129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-34657</v>
      </c>
      <c r="E43" s="54"/>
      <c r="F43" s="54" t="n">
        <f aca="false">F42*$D$2</f>
        <v>-34657</v>
      </c>
      <c r="G43" s="54" t="n">
        <f aca="false">G42*$D$2</f>
        <v>11401.8534</v>
      </c>
      <c r="H43" s="54" t="n">
        <f aca="false">H42*$D$2</f>
        <v>0</v>
      </c>
      <c r="I43" s="54" t="n">
        <f aca="false">I42*$D$2</f>
        <v>11401.8534</v>
      </c>
      <c r="J43" s="54" t="n">
        <f aca="false">J42*$D$2</f>
        <v>303.92504</v>
      </c>
      <c r="K43" s="54" t="n">
        <f aca="false">K42*$D$2</f>
        <v>11705.77844</v>
      </c>
      <c r="L43" s="54" t="n">
        <f aca="false">L42*$D$2</f>
        <v>-2179.32685</v>
      </c>
      <c r="M43" s="54" t="n">
        <f aca="false">M42*$D$2</f>
        <v>16287.09288</v>
      </c>
      <c r="N43" s="54" t="n">
        <f aca="false">N42*$D$2</f>
        <v>2680.726482</v>
      </c>
      <c r="O43" s="54" t="n">
        <f aca="false">O42*$D$2</f>
        <v>13606.366398</v>
      </c>
      <c r="P43" s="54" t="n">
        <f aca="false">P42*$D$2</f>
        <v>7225.51659</v>
      </c>
      <c r="Q43" s="54" t="n">
        <f aca="false">Q42*$D$2</f>
        <v>4257.63981</v>
      </c>
      <c r="R43" s="54" t="n">
        <f aca="false">R42*$D$2</f>
        <v>25089.522798</v>
      </c>
      <c r="S43" s="54"/>
      <c r="T43" s="54" t="n">
        <f aca="false">T42*$D$2</f>
        <v>11361.2019</v>
      </c>
      <c r="U43" s="54" t="n">
        <f aca="false">U42*$D$2</f>
        <v>4748.07537</v>
      </c>
      <c r="V43" s="54" t="n">
        <f aca="false">V42*$D$2</f>
        <v>21939.5352749886</v>
      </c>
      <c r="W43" s="54" t="n">
        <f aca="false">W42*$D$2</f>
        <v>43879.52655</v>
      </c>
      <c r="X43" s="54" t="n">
        <f aca="false">X42*$D$2</f>
        <v>2483.25189</v>
      </c>
      <c r="Y43" s="54" t="n">
        <f aca="false">Y42*$D$2</f>
        <v>46362.77844</v>
      </c>
      <c r="Z43" s="57"/>
      <c r="AA43" s="58" t="n">
        <f aca="false">MAX(AA10:AA40)</f>
        <v>94</v>
      </c>
      <c r="AB43" s="58" t="n">
        <f aca="false">MAX(AB10:AB40)</f>
        <v>65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 t="n">
        <f aca="false">F7+F42</f>
        <v>-9454.7164892003</v>
      </c>
      <c r="G45" s="54" t="n">
        <f aca="false">G7+G42</f>
        <v>69676.74</v>
      </c>
      <c r="H45" s="54" t="n">
        <f aca="false">H7+H42</f>
        <v>694.98</v>
      </c>
      <c r="I45" s="54" t="n">
        <f aca="false">I7+I42</f>
        <v>70371.72</v>
      </c>
      <c r="J45" s="54" t="n">
        <f aca="false">J7+J42</f>
        <v>7499.57540926079</v>
      </c>
      <c r="K45" s="54" t="n">
        <f aca="false">K7+K42</f>
        <v>77871.2954092608</v>
      </c>
      <c r="L45" s="54" t="n">
        <f aca="false">L7+L42</f>
        <v>1487.93299403641</v>
      </c>
      <c r="M45" s="54" t="n">
        <f aca="false">M7+M42</f>
        <v>30401.16</v>
      </c>
      <c r="N45" s="54" t="n">
        <f aca="false">N7+N42</f>
        <v>5611.6633835392</v>
      </c>
      <c r="O45" s="54" t="n">
        <f aca="false">O7+O42</f>
        <v>24789.4966164608</v>
      </c>
      <c r="P45" s="54" t="n">
        <f aca="false">P7+P42</f>
        <v>15935.26</v>
      </c>
      <c r="Q45" s="54" t="n">
        <f aca="false">Q7+Q42</f>
        <v>8122.6</v>
      </c>
      <c r="R45" s="54" t="n">
        <f aca="false">R7+R42</f>
        <v>48847.3566164608</v>
      </c>
      <c r="S45" s="54" t="n">
        <f aca="false">S40</f>
        <v>-12771.4512231174</v>
      </c>
      <c r="T45" s="54" t="n">
        <f aca="false">T7+T42</f>
        <v>19385.7589513486</v>
      </c>
      <c r="U45" s="54" t="n">
        <f aca="false">U7+U42</f>
        <v>7448.92</v>
      </c>
      <c r="V45" s="54" t="n">
        <f aca="false">V7+V42</f>
        <v>11063.8100226872</v>
      </c>
      <c r="W45" s="54" t="n">
        <f aca="false">W7+W42</f>
        <v>81314.3694832367</v>
      </c>
      <c r="X45" s="54" t="n">
        <f aca="false">X7+X42</f>
        <v>6011.64241522439</v>
      </c>
      <c r="Y45" s="54" t="n">
        <f aca="false">Y7+Y42</f>
        <v>87326.0118984611</v>
      </c>
      <c r="Z45" s="57"/>
      <c r="AA45" s="58" t="n">
        <f aca="false">MIN(AA10:AA40)</f>
        <v>73</v>
      </c>
      <c r="AB45" s="58" t="n">
        <f aca="false">MIN(AB10:AB40)</f>
        <v>52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 t="n">
        <f aca="false">F45*$D$2</f>
        <v>-18748.7027980842</v>
      </c>
      <c r="G46" s="54" t="n">
        <f aca="false">G45*$D$2</f>
        <v>138168.97542</v>
      </c>
      <c r="H46" s="54" t="n">
        <f aca="false">H45*$D$2</f>
        <v>1378.14534</v>
      </c>
      <c r="I46" s="54" t="n">
        <f aca="false">I45*$D$2</f>
        <v>139547.12076</v>
      </c>
      <c r="J46" s="54" t="n">
        <f aca="false">J45*$D$2</f>
        <v>14871.6580365642</v>
      </c>
      <c r="K46" s="54" t="n">
        <f aca="false">K45*$D$2</f>
        <v>154418.778796564</v>
      </c>
      <c r="L46" s="54" t="n">
        <f aca="false">L45*$D$2</f>
        <v>2950.57112717419</v>
      </c>
      <c r="M46" s="54" t="n">
        <f aca="false">M45*$D$2</f>
        <v>60285.50028</v>
      </c>
      <c r="N46" s="54" t="n">
        <f aca="false">N45*$D$2</f>
        <v>11127.9284895582</v>
      </c>
      <c r="O46" s="54" t="n">
        <f aca="false">O45*$D$2</f>
        <v>49157.5717904418</v>
      </c>
      <c r="P46" s="54" t="n">
        <f aca="false">P45*$D$2</f>
        <v>31599.62058</v>
      </c>
      <c r="Q46" s="54" t="n">
        <f aca="false">Q45*$D$2</f>
        <v>16107.1158</v>
      </c>
      <c r="R46" s="54" t="n">
        <f aca="false">R45*$D$2</f>
        <v>96864.3081704418</v>
      </c>
      <c r="S46" s="54" t="n">
        <f aca="false">S45*$D$2</f>
        <v>-25325.7877754418</v>
      </c>
      <c r="T46" s="54" t="n">
        <f aca="false">T45*$D$2</f>
        <v>38441.9600005243</v>
      </c>
      <c r="U46" s="54" t="n">
        <f aca="false">U45*$D$2</f>
        <v>14771.20836</v>
      </c>
      <c r="V46" s="54" t="n">
        <f aca="false">V45*$D$2</f>
        <v>21939.5352749886</v>
      </c>
      <c r="W46" s="54" t="n">
        <f aca="false">W45*$D$2</f>
        <v>161246.394685258</v>
      </c>
      <c r="X46" s="54" t="n">
        <f aca="false">X45*$D$2</f>
        <v>11921.08690939</v>
      </c>
      <c r="Y46" s="54" t="n">
        <f aca="false">Y45*$D$2</f>
        <v>173167.481594648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-7206.10327689571</v>
      </c>
      <c r="G48" s="54" t="n">
        <f aca="false">G8+G42</f>
        <v>80990.3501260716</v>
      </c>
      <c r="H48" s="58" t="n">
        <f aca="false">H8+H42</f>
        <v>817.24</v>
      </c>
      <c r="I48" s="54" t="n">
        <f aca="false">I8+I42</f>
        <v>81807.4901260716</v>
      </c>
      <c r="J48" s="54" t="n">
        <f aca="false">J8+J42</f>
        <v>9900.37547986089</v>
      </c>
      <c r="K48" s="54" t="n">
        <f aca="false">K8+K42</f>
        <v>91707.8656059325</v>
      </c>
      <c r="L48" s="54" t="n">
        <f aca="false">L8+L42</f>
        <v>-296.053919730614</v>
      </c>
      <c r="M48" s="54" t="n">
        <f aca="false">M8+M42</f>
        <v>31852.96</v>
      </c>
      <c r="N48" s="54" t="n">
        <f aca="false">N8+N42</f>
        <v>5671.3633835392</v>
      </c>
      <c r="O48" s="54" t="n">
        <f aca="false">O8+O42</f>
        <v>25689.0966164608</v>
      </c>
      <c r="P48" s="54" t="n">
        <f aca="false">P8+P42</f>
        <v>16769.51</v>
      </c>
      <c r="Q48" s="54" t="n">
        <f aca="false">Q8+Q42</f>
        <v>8122.6</v>
      </c>
      <c r="R48" s="54" t="n">
        <f aca="false">R8+R42</f>
        <v>50949.7066164608</v>
      </c>
      <c r="S48" s="54"/>
      <c r="T48" s="54" t="n">
        <f aca="false">T8+T42</f>
        <v>19385.7589513486</v>
      </c>
      <c r="U48" s="54" t="n">
        <f aca="false">U8+U42</f>
        <v>12566.04</v>
      </c>
      <c r="V48" s="54" t="n">
        <f aca="false">V40</f>
        <v>11063.8100226872</v>
      </c>
      <c r="W48" s="54" t="n">
        <f aca="false">W8+W42</f>
        <v>88717.5394832367</v>
      </c>
      <c r="X48" s="54" t="n">
        <f aca="false">X8+X42</f>
        <v>10196.4293995915</v>
      </c>
      <c r="Y48" s="54" t="n">
        <f aca="false">Y8+Y42</f>
        <v>98913.9688828282</v>
      </c>
      <c r="Z48" s="77" t="n">
        <f aca="false">Z8+Z42</f>
        <v>7.612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-14286</v>
      </c>
      <c r="E49" s="54" t="n">
        <f aca="false">E40</f>
        <v>147260</v>
      </c>
      <c r="F49" s="54" t="n">
        <f aca="false">F48*$D$2</f>
        <v>-14289.7027980842</v>
      </c>
      <c r="G49" s="54" t="n">
        <f aca="false">G48*$D$2</f>
        <v>160603.8643</v>
      </c>
      <c r="H49" s="58" t="n">
        <f aca="false">H48*$D$2</f>
        <v>1620.58692</v>
      </c>
      <c r="I49" s="54" t="n">
        <f aca="false">I48*$D$2</f>
        <v>162224.25292</v>
      </c>
      <c r="J49" s="54" t="n">
        <f aca="false">J48*$D$2</f>
        <v>19632.4445765642</v>
      </c>
      <c r="K49" s="54" t="n">
        <f aca="false">K48*$D$2</f>
        <v>181856.697496564</v>
      </c>
      <c r="L49" s="54" t="n">
        <f aca="false">L48*$D$2</f>
        <v>-587.074922825807</v>
      </c>
      <c r="M49" s="54" t="n">
        <f aca="false">M48*$D$2</f>
        <v>63164.41968</v>
      </c>
      <c r="N49" s="54" t="n">
        <f aca="false">N48*$D$2</f>
        <v>11246.3135895582</v>
      </c>
      <c r="O49" s="54" t="n">
        <f aca="false">O48*$D$2</f>
        <v>50941.4785904418</v>
      </c>
      <c r="P49" s="54" t="n">
        <f aca="false">P48*$D$2</f>
        <v>33253.93833</v>
      </c>
      <c r="Q49" s="54" t="n">
        <f aca="false">Q48*$D$2</f>
        <v>16107.1158</v>
      </c>
      <c r="R49" s="54" t="n">
        <f aca="false">R48*$D$2</f>
        <v>101033.268220442</v>
      </c>
      <c r="S49" s="54" t="n">
        <f aca="false">S48*$D$2</f>
        <v>0</v>
      </c>
      <c r="T49" s="54" t="n">
        <f aca="false">T48*$D$2</f>
        <v>38441.9600005243</v>
      </c>
      <c r="U49" s="54" t="n">
        <f aca="false">U48*$D$2</f>
        <v>24918.45732</v>
      </c>
      <c r="V49" s="54" t="n">
        <f aca="false">V40*$D$2</f>
        <v>21939.5352749886</v>
      </c>
      <c r="W49" s="54" t="n">
        <f aca="false">W48*$D$2</f>
        <v>175926.880795258</v>
      </c>
      <c r="X49" s="54" t="n">
        <f aca="false">X48*$D$2</f>
        <v>20219.51949939</v>
      </c>
      <c r="Y49" s="54" t="n">
        <f aca="false">Y48*$D$2</f>
        <v>196146.400294648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53" t="str">
        <f aca="false">"AUG / 12TH"</f>
        <v>AUG / 12TH</v>
      </c>
      <c r="B51" s="88"/>
      <c r="C51" s="54"/>
      <c r="D51" s="53"/>
      <c r="E51" s="54"/>
      <c r="F51" s="53"/>
      <c r="G51" s="53"/>
      <c r="H51" s="0"/>
      <c r="I51" s="55" t="s">
        <v>87</v>
      </c>
      <c r="J51" s="53"/>
      <c r="K51" s="54" t="n">
        <v>282600</v>
      </c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6900.1</v>
      </c>
      <c r="C52" s="54" t="n">
        <v>283950</v>
      </c>
      <c r="D52" s="86"/>
      <c r="E52" s="54" t="n">
        <f aca="false">C52-152000</f>
        <v>131950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"7/9/96 thru 8/13/96"</f>
        <v>7/9/96 thru 8/13/96</v>
      </c>
      <c r="B53" s="86"/>
      <c r="C53" s="54"/>
      <c r="D53" s="54"/>
      <c r="E53" s="54"/>
      <c r="F53" s="86"/>
      <c r="G53" s="86"/>
      <c r="H53" s="55"/>
      <c r="I53" s="86" t="s">
        <v>88</v>
      </c>
      <c r="J53" s="86"/>
      <c r="K53" s="43" t="n">
        <f aca="false">K49/K51</f>
        <v>0.643512729994919</v>
      </c>
      <c r="L53" s="86"/>
      <c r="M53" s="77"/>
      <c r="N53" s="77"/>
      <c r="O53" s="77"/>
      <c r="P53" s="86"/>
      <c r="Q53" s="86"/>
      <c r="R53" s="86"/>
      <c r="S53" s="54"/>
      <c r="T53" s="86"/>
      <c r="U53" s="86"/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B52-B18</f>
        <v>-10.3299999999999</v>
      </c>
      <c r="C54" s="54"/>
      <c r="D54" s="54" t="n">
        <f aca="false">C52-C18</f>
        <v>-39762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/>
      <c r="R54" s="86"/>
      <c r="S54" s="54"/>
      <c r="T54" s="86"/>
      <c r="U54" s="86"/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/>
      <c r="Q55" s="86"/>
      <c r="R55" s="86"/>
      <c r="S55" s="54"/>
      <c r="T55" s="86"/>
      <c r="U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89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90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90</v>
      </c>
      <c r="AD5" s="60"/>
      <c r="AE5" s="60"/>
      <c r="AG5" s="114"/>
      <c r="AH5" s="114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  <c r="AG6" s="114"/>
      <c r="AH6" s="114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JUL!$F$45:$Y$45</f>
        <v>-9454.7164892003</v>
      </c>
      <c r="G7" s="54" t="n">
        <v>69676.74</v>
      </c>
      <c r="H7" s="54" t="n">
        <v>694.98</v>
      </c>
      <c r="I7" s="54" t="n">
        <v>70371.72</v>
      </c>
      <c r="J7" s="54" t="n">
        <v>7499.57540926079</v>
      </c>
      <c r="K7" s="54" t="n">
        <v>77871.2954092608</v>
      </c>
      <c r="L7" s="54" t="n">
        <v>1487.93299403641</v>
      </c>
      <c r="M7" s="54" t="n">
        <v>30401.16</v>
      </c>
      <c r="N7" s="54" t="n">
        <v>5611.6633835392</v>
      </c>
      <c r="O7" s="54" t="n">
        <v>24789.4966164608</v>
      </c>
      <c r="P7" s="54" t="n">
        <v>15935.26</v>
      </c>
      <c r="Q7" s="54" t="n">
        <v>8122.6</v>
      </c>
      <c r="R7" s="54" t="n">
        <v>48847.3566164608</v>
      </c>
      <c r="S7" s="54" t="n">
        <v>-12771.4512231174</v>
      </c>
      <c r="T7" s="54" t="n">
        <v>19385.7589513486</v>
      </c>
      <c r="U7" s="54" t="n">
        <v>7448.92</v>
      </c>
      <c r="V7" s="54" t="n">
        <v>11063.8100226872</v>
      </c>
      <c r="W7" s="54" t="n">
        <v>81314.3694832367</v>
      </c>
      <c r="X7" s="54" t="n">
        <v>6011.64241522439</v>
      </c>
      <c r="Y7" s="54" t="n">
        <v>87326.0118984611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JUL!$B$40:$C$40</f>
        <v>6904.18</v>
      </c>
      <c r="C8" s="54" t="n">
        <v>299260</v>
      </c>
      <c r="D8" s="54" t="n">
        <f aca="false" t="array" ref="D8:E8">JUL!$D$49:$E$49</f>
        <v>-14286</v>
      </c>
      <c r="E8" s="54" t="n">
        <v>147260</v>
      </c>
      <c r="F8" s="54" t="n">
        <f aca="false" t="array" ref="F8:Z8">JUL!$F$48:$Z$48</f>
        <v>-7206.10327689571</v>
      </c>
      <c r="G8" s="54" t="n">
        <v>80990.3501260716</v>
      </c>
      <c r="H8" s="58" t="n">
        <v>817.24</v>
      </c>
      <c r="I8" s="54" t="n">
        <v>81807.4901260716</v>
      </c>
      <c r="J8" s="54" t="n">
        <v>9900.37547986089</v>
      </c>
      <c r="K8" s="54" t="n">
        <v>91707.8656059325</v>
      </c>
      <c r="L8" s="54" t="n">
        <v>-296.053919730614</v>
      </c>
      <c r="M8" s="54" t="n">
        <v>31852.96</v>
      </c>
      <c r="N8" s="54" t="n">
        <v>5671.3633835392</v>
      </c>
      <c r="O8" s="54" t="n">
        <v>25689.0966164608</v>
      </c>
      <c r="P8" s="54" t="n">
        <v>16769.51</v>
      </c>
      <c r="Q8" s="54" t="n">
        <v>8122.6</v>
      </c>
      <c r="R8" s="54" t="n">
        <v>50949.7066164608</v>
      </c>
      <c r="S8" s="54" t="n">
        <v>0</v>
      </c>
      <c r="T8" s="54" t="n">
        <v>19385.7589513486</v>
      </c>
      <c r="U8" s="54" t="n">
        <v>12566.04</v>
      </c>
      <c r="V8" s="54" t="n">
        <v>11063.8100226872</v>
      </c>
      <c r="W8" s="54" t="n">
        <v>88717.5394832367</v>
      </c>
      <c r="X8" s="54" t="n">
        <v>10196.4293995915</v>
      </c>
      <c r="Y8" s="54" t="n">
        <v>98913.9688828282</v>
      </c>
      <c r="Z8" s="77" t="n">
        <v>7.612</v>
      </c>
      <c r="AA8" s="58"/>
      <c r="AB8" s="58"/>
      <c r="AC8" s="59"/>
      <c r="AD8" s="78"/>
      <c r="AE8" s="74"/>
      <c r="AF8" s="78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6903.81</v>
      </c>
      <c r="C10" s="54" t="n">
        <v>297850</v>
      </c>
      <c r="D10" s="58" t="n">
        <f aca="false">C10-C8</f>
        <v>-1410</v>
      </c>
      <c r="E10" s="54" t="n">
        <f aca="false">C10-152000</f>
        <v>145850</v>
      </c>
      <c r="F10" s="53" t="n">
        <f aca="false">D10/$D$2</f>
        <v>-711.043872919819</v>
      </c>
      <c r="G10" s="53" t="n">
        <v>127.08</v>
      </c>
      <c r="H10" s="55" t="n">
        <v>0</v>
      </c>
      <c r="I10" s="53" t="n">
        <f aca="false">G10+H10</f>
        <v>127.08</v>
      </c>
      <c r="J10" s="77" t="n">
        <f aca="false">IF(L10&gt;0,L10,0)</f>
        <v>0</v>
      </c>
      <c r="K10" s="53" t="n">
        <f aca="false">I10+J10</f>
        <v>127.08</v>
      </c>
      <c r="L10" s="53" t="n">
        <f aca="false">F10-(I10-W10)</f>
        <v>-86.9838729198184</v>
      </c>
      <c r="M10" s="53" t="n">
        <v>277.91</v>
      </c>
      <c r="N10" s="53" t="n">
        <f aca="false">(21.31+19.61)*1.05</f>
        <v>42.966</v>
      </c>
      <c r="O10" s="53" t="n">
        <f aca="false">M10-N10</f>
        <v>234.944</v>
      </c>
      <c r="P10" s="53" t="n">
        <v>100.52</v>
      </c>
      <c r="Q10" s="53" t="n">
        <v>79.07</v>
      </c>
      <c r="R10" s="53" t="n">
        <f aca="false">SUM(O10:Q10)</f>
        <v>414.534</v>
      </c>
      <c r="S10" s="54" t="n">
        <f aca="false">(I10-R10)+S7</f>
        <v>-13058.9052231174</v>
      </c>
      <c r="T10" s="53" t="n">
        <v>208.82</v>
      </c>
      <c r="U10" s="53" t="n">
        <v>84.82</v>
      </c>
      <c r="V10" s="54" t="n">
        <f aca="false">V8-U10</f>
        <v>10978.9900226872</v>
      </c>
      <c r="W10" s="53" t="n">
        <f aca="false">R10+T10+N10+U10</f>
        <v>751.14</v>
      </c>
      <c r="X10" s="53" t="n">
        <f aca="false">IF(L10&lt;0,L10*-1,0)</f>
        <v>86.9838729198184</v>
      </c>
      <c r="Y10" s="53" t="n">
        <f aca="false">W10+X10</f>
        <v>838.123872919818</v>
      </c>
      <c r="Z10" s="57" t="n">
        <v>0</v>
      </c>
      <c r="AA10" s="58" t="n">
        <v>94</v>
      </c>
      <c r="AB10" s="58" t="n">
        <v>60</v>
      </c>
      <c r="AC10" s="59" t="n">
        <v>1</v>
      </c>
      <c r="AD10" s="75"/>
      <c r="AE10" s="78"/>
      <c r="AF10" s="78"/>
    </row>
    <row r="11" customFormat="false" ht="11.1" hidden="false" customHeight="true" outlineLevel="0" collapsed="false">
      <c r="A11" s="59" t="n">
        <f aca="false">A10+1</f>
        <v>2</v>
      </c>
      <c r="B11" s="76" t="n">
        <v>6903.46</v>
      </c>
      <c r="C11" s="54" t="n">
        <v>296523</v>
      </c>
      <c r="D11" s="58" t="n">
        <f aca="false">C11-C10</f>
        <v>-1327</v>
      </c>
      <c r="E11" s="54" t="n">
        <f aca="false">C11-152000</f>
        <v>144523</v>
      </c>
      <c r="F11" s="53" t="n">
        <f aca="false">D11/$D$2</f>
        <v>-669.188098840141</v>
      </c>
      <c r="G11" s="53" t="n">
        <v>123.03</v>
      </c>
      <c r="H11" s="55" t="n">
        <v>0</v>
      </c>
      <c r="I11" s="53" t="n">
        <f aca="false">G11+H11</f>
        <v>123.03</v>
      </c>
      <c r="J11" s="77" t="n">
        <f aca="false">IF(L11&gt;0,L11,0)</f>
        <v>0</v>
      </c>
      <c r="K11" s="53" t="n">
        <f aca="false">I11+J11</f>
        <v>123.03</v>
      </c>
      <c r="L11" s="53" t="n">
        <f aca="false">F11-(I11-W11)</f>
        <v>-12.9680988401411</v>
      </c>
      <c r="M11" s="53" t="n">
        <v>301.72</v>
      </c>
      <c r="N11" s="53" t="n">
        <f aca="false">(24.45+24.8)*1.05</f>
        <v>51.7125</v>
      </c>
      <c r="O11" s="53" t="n">
        <f aca="false">M11-N11</f>
        <v>250.0075</v>
      </c>
      <c r="P11" s="53" t="n">
        <v>100.19</v>
      </c>
      <c r="Q11" s="53" t="n">
        <v>81.01</v>
      </c>
      <c r="R11" s="53" t="n">
        <f aca="false">SUM(O11:Q11)</f>
        <v>431.2075</v>
      </c>
      <c r="S11" s="54" t="n">
        <f aca="false">(I11-R11)+S10</f>
        <v>-13367.0827231174</v>
      </c>
      <c r="T11" s="53" t="n">
        <v>211.51</v>
      </c>
      <c r="U11" s="53" t="n">
        <v>84.82</v>
      </c>
      <c r="V11" s="54" t="n">
        <f aca="false">V10-U11</f>
        <v>10894.1700226872</v>
      </c>
      <c r="W11" s="53" t="n">
        <f aca="false">R11+T11+N11+U11</f>
        <v>779.25</v>
      </c>
      <c r="X11" s="53" t="n">
        <f aca="false">IF(L11&lt;0,L11*-1,0)</f>
        <v>12.9680988401411</v>
      </c>
      <c r="Y11" s="53" t="n">
        <f aca="false">W11+X11</f>
        <v>792.218098840141</v>
      </c>
      <c r="Z11" s="57" t="n">
        <v>0</v>
      </c>
      <c r="AA11" s="58" t="n">
        <v>89</v>
      </c>
      <c r="AB11" s="58" t="n">
        <v>61</v>
      </c>
      <c r="AC11" s="59" t="n">
        <f aca="false">AC10+1</f>
        <v>2</v>
      </c>
      <c r="AD11" s="75"/>
      <c r="AE11" s="78"/>
      <c r="AF11" s="78"/>
    </row>
    <row r="12" customFormat="false" ht="11.1" hidden="false" customHeight="true" outlineLevel="0" collapsed="false">
      <c r="A12" s="59" t="n">
        <f aca="false">A11+1</f>
        <v>3</v>
      </c>
      <c r="B12" s="76" t="n">
        <v>6903.11</v>
      </c>
      <c r="C12" s="54" t="n">
        <v>295195</v>
      </c>
      <c r="D12" s="58" t="n">
        <f aca="false">C12-C11</f>
        <v>-1328</v>
      </c>
      <c r="E12" s="54" t="n">
        <f aca="false">C12-152000</f>
        <v>143195</v>
      </c>
      <c r="F12" s="53" t="n">
        <f aca="false">D12/$D$2</f>
        <v>-669.692385274836</v>
      </c>
      <c r="G12" s="53" t="n">
        <v>118.47</v>
      </c>
      <c r="H12" s="55" t="n">
        <v>0</v>
      </c>
      <c r="I12" s="53" t="n">
        <f aca="false">G12+H12</f>
        <v>118.47</v>
      </c>
      <c r="J12" s="77" t="n">
        <f aca="false">IF(L12&gt;0,L12,0)</f>
        <v>0</v>
      </c>
      <c r="K12" s="53" t="n">
        <f aca="false">I12+J12</f>
        <v>118.47</v>
      </c>
      <c r="L12" s="53" t="n">
        <f aca="false">F12-(I12-W12)</f>
        <v>-27.1523852748361</v>
      </c>
      <c r="M12" s="53" t="n">
        <v>305.71</v>
      </c>
      <c r="N12" s="53" t="n">
        <f aca="false">(27.87+26.52)*1.05</f>
        <v>57.1095</v>
      </c>
      <c r="O12" s="53" t="n">
        <f aca="false">M12-N12</f>
        <v>248.6005</v>
      </c>
      <c r="P12" s="53" t="n">
        <v>100.2</v>
      </c>
      <c r="Q12" s="53" t="n">
        <v>82.23</v>
      </c>
      <c r="R12" s="53" t="n">
        <f aca="false">SUM(O12:Q12)</f>
        <v>431.0305</v>
      </c>
      <c r="S12" s="54" t="n">
        <f aca="false">(I12-R12)+S11</f>
        <v>-13679.6432231174</v>
      </c>
      <c r="T12" s="53" t="n">
        <v>188.05</v>
      </c>
      <c r="U12" s="53" t="n">
        <v>84.82</v>
      </c>
      <c r="V12" s="54" t="n">
        <f aca="false">V11-U12</f>
        <v>10809.3500226872</v>
      </c>
      <c r="W12" s="53" t="n">
        <f aca="false">R12+T12+N12+U12</f>
        <v>761.01</v>
      </c>
      <c r="X12" s="53" t="n">
        <f aca="false">IF(L12&lt;0,L12*-1,0)</f>
        <v>27.1523852748361</v>
      </c>
      <c r="Y12" s="53" t="n">
        <f aca="false">W12+X12</f>
        <v>788.162385274836</v>
      </c>
      <c r="Z12" s="57" t="n">
        <v>0</v>
      </c>
      <c r="AA12" s="58" t="n">
        <v>84</v>
      </c>
      <c r="AB12" s="58" t="n">
        <v>62</v>
      </c>
      <c r="AC12" s="59" t="n">
        <f aca="false">AC11+1</f>
        <v>3</v>
      </c>
      <c r="AD12" s="75"/>
      <c r="AE12" s="78"/>
      <c r="AF12" s="78"/>
    </row>
    <row r="13" customFormat="false" ht="11.1" hidden="false" customHeight="true" outlineLevel="0" collapsed="false">
      <c r="A13" s="59" t="n">
        <f aca="false">A12+1</f>
        <v>4</v>
      </c>
      <c r="B13" s="76" t="n">
        <v>6902.73</v>
      </c>
      <c r="C13" s="54" t="n">
        <v>292761</v>
      </c>
      <c r="D13" s="58" t="n">
        <f aca="false">C13-C12</f>
        <v>-2434</v>
      </c>
      <c r="E13" s="54" t="n">
        <f aca="false">C13-152000</f>
        <v>140761</v>
      </c>
      <c r="F13" s="53" t="n">
        <f aca="false">D13/$D$2</f>
        <v>-1227.4331820474</v>
      </c>
      <c r="G13" s="53" t="n">
        <v>119.05</v>
      </c>
      <c r="H13" s="55" t="n">
        <v>0</v>
      </c>
      <c r="I13" s="53" t="n">
        <f aca="false">G13+H13</f>
        <v>119.05</v>
      </c>
      <c r="J13" s="77" t="n">
        <f aca="false">IF(L13&gt;0,L13,0)</f>
        <v>0</v>
      </c>
      <c r="K13" s="53" t="n">
        <f aca="false">I13+J13</f>
        <v>119.05</v>
      </c>
      <c r="L13" s="53" t="n">
        <f aca="false">F13-(I13-W13)</f>
        <v>-582.653182047403</v>
      </c>
      <c r="M13" s="53" t="n">
        <v>302.04</v>
      </c>
      <c r="N13" s="53" t="n">
        <f aca="false">(27.3+26.82)*1.05</f>
        <v>56.826</v>
      </c>
      <c r="O13" s="53" t="n">
        <f aca="false">M13-N13</f>
        <v>245.214</v>
      </c>
      <c r="P13" s="53" t="n">
        <v>99.97</v>
      </c>
      <c r="Q13" s="53" t="n">
        <v>82.32</v>
      </c>
      <c r="R13" s="53" t="n">
        <f aca="false">SUM(O13:Q13)</f>
        <v>427.504</v>
      </c>
      <c r="S13" s="54" t="n">
        <f aca="false">(I13-R13)+S12</f>
        <v>-13988.0972231174</v>
      </c>
      <c r="T13" s="53" t="n">
        <v>194.68</v>
      </c>
      <c r="U13" s="53" t="n">
        <v>84.82</v>
      </c>
      <c r="V13" s="54" t="n">
        <f aca="false">V12-U13</f>
        <v>10724.5300226872</v>
      </c>
      <c r="W13" s="53" t="n">
        <f aca="false">R13+T13+N13+U13</f>
        <v>763.83</v>
      </c>
      <c r="X13" s="53" t="n">
        <f aca="false">IF(L13&lt;0,L13*-1,0)</f>
        <v>582.653182047403</v>
      </c>
      <c r="Y13" s="53" t="n">
        <f aca="false">W13+X13</f>
        <v>1346.4831820474</v>
      </c>
      <c r="Z13" s="57" t="n">
        <v>0</v>
      </c>
      <c r="AA13" s="58" t="n">
        <v>82</v>
      </c>
      <c r="AB13" s="58" t="n">
        <v>59</v>
      </c>
      <c r="AC13" s="59" t="n">
        <f aca="false">AC12+1</f>
        <v>4</v>
      </c>
      <c r="AD13" s="75"/>
      <c r="AE13" s="78"/>
      <c r="AF13" s="78"/>
    </row>
    <row r="14" customFormat="false" ht="11.1" hidden="false" customHeight="true" outlineLevel="0" collapsed="false">
      <c r="A14" s="59" t="n">
        <f aca="false">A13+1</f>
        <v>5</v>
      </c>
      <c r="B14" s="76" t="n">
        <v>6902.36</v>
      </c>
      <c r="C14" s="54" t="n">
        <v>292369</v>
      </c>
      <c r="D14" s="58" t="n">
        <f aca="false">C14-C13</f>
        <v>-392</v>
      </c>
      <c r="E14" s="54" t="n">
        <f aca="false">C14-152000</f>
        <v>140369</v>
      </c>
      <c r="F14" s="53" t="n">
        <f aca="false">D14/$D$2</f>
        <v>-197.680282400403</v>
      </c>
      <c r="G14" s="53" t="n">
        <v>113.51</v>
      </c>
      <c r="H14" s="55" t="n">
        <v>0</v>
      </c>
      <c r="I14" s="53" t="n">
        <f aca="false">G14+H14</f>
        <v>113.51</v>
      </c>
      <c r="J14" s="77" t="n">
        <f aca="false">IF(L14&gt;0,L14,0)</f>
        <v>461.689717599597</v>
      </c>
      <c r="K14" s="53" t="n">
        <f aca="false">I14+J14</f>
        <v>575.199717599597</v>
      </c>
      <c r="L14" s="53" t="n">
        <f aca="false">F14-(I14-W14)</f>
        <v>461.689717599597</v>
      </c>
      <c r="M14" s="53" t="n">
        <v>298.62</v>
      </c>
      <c r="N14" s="53" t="n">
        <f aca="false">(24.53+25.01)*1.05</f>
        <v>52.017</v>
      </c>
      <c r="O14" s="53" t="n">
        <f aca="false">M14-N14</f>
        <v>246.603</v>
      </c>
      <c r="P14" s="53" t="n">
        <v>99.65</v>
      </c>
      <c r="Q14" s="53" t="n">
        <v>83.1</v>
      </c>
      <c r="R14" s="53" t="n">
        <f aca="false">SUM(O14:Q14)</f>
        <v>429.353</v>
      </c>
      <c r="S14" s="54" t="n">
        <f aca="false">(I14-R14)+S13</f>
        <v>-14303.9402231174</v>
      </c>
      <c r="T14" s="53" t="n">
        <v>210.19</v>
      </c>
      <c r="U14" s="53" t="n">
        <v>81.32</v>
      </c>
      <c r="V14" s="54" t="n">
        <f aca="false">V13-U14</f>
        <v>10643.2100226872</v>
      </c>
      <c r="W14" s="53" t="n">
        <f aca="false">R14+T14+N14+U14</f>
        <v>772.88</v>
      </c>
      <c r="X14" s="53" t="n">
        <f aca="false">IF(L14&lt;0,L14*-1,0)</f>
        <v>0</v>
      </c>
      <c r="Y14" s="53" t="n">
        <f aca="false">W14+X14</f>
        <v>772.88</v>
      </c>
      <c r="Z14" s="57" t="n">
        <v>0</v>
      </c>
      <c r="AA14" s="58" t="n">
        <v>85</v>
      </c>
      <c r="AB14" s="58" t="n">
        <v>47</v>
      </c>
      <c r="AC14" s="59" t="n">
        <f aca="false">AC13+1</f>
        <v>5</v>
      </c>
      <c r="AD14" s="75"/>
      <c r="AE14" s="78"/>
      <c r="AF14" s="78"/>
    </row>
    <row r="15" customFormat="false" ht="11.1" hidden="false" customHeight="true" outlineLevel="0" collapsed="false">
      <c r="A15" s="59" t="n">
        <f aca="false">A14+1</f>
        <v>6</v>
      </c>
      <c r="B15" s="76" t="n">
        <v>6902</v>
      </c>
      <c r="C15" s="54" t="n">
        <v>291014</v>
      </c>
      <c r="D15" s="58" t="n">
        <f aca="false">C15-C14</f>
        <v>-1355</v>
      </c>
      <c r="E15" s="54" t="n">
        <f aca="false">C15-152000</f>
        <v>139014</v>
      </c>
      <c r="F15" s="53" t="n">
        <f aca="false">D15/$D$2</f>
        <v>-683.308119011599</v>
      </c>
      <c r="G15" s="53" t="n">
        <v>107.91</v>
      </c>
      <c r="H15" s="55" t="n">
        <v>0</v>
      </c>
      <c r="I15" s="53" t="n">
        <f aca="false">G15+H15</f>
        <v>107.91</v>
      </c>
      <c r="J15" s="77" t="n">
        <f aca="false">IF(L15&gt;0,L15,0)</f>
        <v>0</v>
      </c>
      <c r="K15" s="53" t="n">
        <f aca="false">I15+J15</f>
        <v>107.91</v>
      </c>
      <c r="L15" s="53" t="n">
        <f aca="false">F15-(I15-W15)</f>
        <v>-8.69811901159869</v>
      </c>
      <c r="M15" s="53" t="n">
        <v>295.67</v>
      </c>
      <c r="N15" s="53" t="n">
        <f aca="false">(23.07+22.33)*1.05</f>
        <v>47.67</v>
      </c>
      <c r="O15" s="53" t="n">
        <f aca="false">M15-N15</f>
        <v>248</v>
      </c>
      <c r="P15" s="53" t="n">
        <v>100.47</v>
      </c>
      <c r="Q15" s="53" t="n">
        <v>83.41</v>
      </c>
      <c r="R15" s="53" t="n">
        <f aca="false">SUM(O15:Q15)</f>
        <v>431.88</v>
      </c>
      <c r="S15" s="54" t="n">
        <f aca="false">(I15-R15)+S14</f>
        <v>-14627.9102231174</v>
      </c>
      <c r="T15" s="53" t="n">
        <v>223.45</v>
      </c>
      <c r="U15" s="53" t="n">
        <v>79.52</v>
      </c>
      <c r="V15" s="54" t="n">
        <f aca="false">V14-U15</f>
        <v>10563.6900226872</v>
      </c>
      <c r="W15" s="53" t="n">
        <f aca="false">R15+T15+N15+U15</f>
        <v>782.52</v>
      </c>
      <c r="X15" s="53" t="n">
        <f aca="false">IF(L15&lt;0,L15*-1,0)</f>
        <v>8.69811901159869</v>
      </c>
      <c r="Y15" s="53" t="n">
        <f aca="false">W15+X15</f>
        <v>791.218119011599</v>
      </c>
      <c r="Z15" s="57" t="n">
        <v>0</v>
      </c>
      <c r="AA15" s="58" t="n">
        <v>84</v>
      </c>
      <c r="AB15" s="58" t="n">
        <v>50</v>
      </c>
      <c r="AC15" s="59" t="n">
        <f aca="false">AC14+1</f>
        <v>6</v>
      </c>
      <c r="AD15" s="74"/>
      <c r="AE15" s="78"/>
      <c r="AF15" s="78"/>
    </row>
    <row r="16" customFormat="false" ht="11.1" hidden="false" customHeight="true" outlineLevel="0" collapsed="false">
      <c r="A16" s="59" t="n">
        <f aca="false">A15+1</f>
        <v>7</v>
      </c>
      <c r="B16" s="76" t="n">
        <v>6901.63</v>
      </c>
      <c r="C16" s="54" t="n">
        <v>289633</v>
      </c>
      <c r="D16" s="58" t="n">
        <f aca="false">C16-C15</f>
        <v>-1381</v>
      </c>
      <c r="E16" s="54" t="n">
        <f aca="false">C16-152000</f>
        <v>137633</v>
      </c>
      <c r="F16" s="53" t="n">
        <f aca="false">D16/$D$2</f>
        <v>-696.419566313666</v>
      </c>
      <c r="G16" s="53" t="n">
        <v>104.05</v>
      </c>
      <c r="H16" s="55" t="n">
        <v>0</v>
      </c>
      <c r="I16" s="53" t="n">
        <f aca="false">G16+H16</f>
        <v>104.05</v>
      </c>
      <c r="J16" s="77" t="n">
        <f aca="false">IF(L16&gt;0,L16,0)</f>
        <v>0</v>
      </c>
      <c r="K16" s="53" t="n">
        <f aca="false">I16+J16</f>
        <v>104.05</v>
      </c>
      <c r="L16" s="53" t="n">
        <f aca="false">F16-(I16-W16)</f>
        <v>-25.7295663136662</v>
      </c>
      <c r="M16" s="53" t="n">
        <v>281.46</v>
      </c>
      <c r="N16" s="53" t="n">
        <f aca="false">(22.01+21.58)*1.05</f>
        <v>45.7695</v>
      </c>
      <c r="O16" s="53" t="n">
        <f aca="false">M16-N16</f>
        <v>235.6905</v>
      </c>
      <c r="P16" s="53" t="n">
        <v>100.46</v>
      </c>
      <c r="Q16" s="53" t="n">
        <v>82.94</v>
      </c>
      <c r="R16" s="53" t="n">
        <f aca="false">SUM(O16:Q16)</f>
        <v>419.0905</v>
      </c>
      <c r="S16" s="54" t="n">
        <f aca="false">(I16-R16)+S15</f>
        <v>-14942.9507231174</v>
      </c>
      <c r="T16" s="53" t="n">
        <v>230.36</v>
      </c>
      <c r="U16" s="53" t="n">
        <v>79.52</v>
      </c>
      <c r="V16" s="54" t="n">
        <f aca="false">V15-U16</f>
        <v>10484.1700226872</v>
      </c>
      <c r="W16" s="53" t="n">
        <f aca="false">R16+T16+N16+U16</f>
        <v>774.74</v>
      </c>
      <c r="X16" s="53" t="n">
        <f aca="false">IF(L16&lt;0,L16*-1,0)</f>
        <v>25.7295663136662</v>
      </c>
      <c r="Y16" s="53" t="n">
        <f aca="false">W16+X16</f>
        <v>800.469566313666</v>
      </c>
      <c r="Z16" s="57" t="n">
        <v>0</v>
      </c>
      <c r="AA16" s="58" t="n">
        <v>88</v>
      </c>
      <c r="AB16" s="58" t="n">
        <v>54</v>
      </c>
      <c r="AC16" s="59" t="n">
        <f aca="false">AC15+1</f>
        <v>7</v>
      </c>
      <c r="AD16" s="74"/>
      <c r="AE16" s="78"/>
      <c r="AF16" s="78"/>
    </row>
    <row r="17" customFormat="false" ht="11.1" hidden="false" customHeight="true" outlineLevel="0" collapsed="false">
      <c r="A17" s="59" t="n">
        <f aca="false">A16+1</f>
        <v>8</v>
      </c>
      <c r="B17" s="76" t="n">
        <v>6901.18</v>
      </c>
      <c r="C17" s="54" t="n">
        <v>287954</v>
      </c>
      <c r="D17" s="58" t="n">
        <f aca="false">C17-C16</f>
        <v>-1679</v>
      </c>
      <c r="E17" s="54" t="n">
        <f aca="false">C17-152000</f>
        <v>135954</v>
      </c>
      <c r="F17" s="53" t="n">
        <f aca="false">D17/$D$2</f>
        <v>-846.696923852748</v>
      </c>
      <c r="G17" s="53" t="n">
        <v>103.5</v>
      </c>
      <c r="H17" s="55" t="n">
        <v>0</v>
      </c>
      <c r="I17" s="53" t="n">
        <f aca="false">G17+H17</f>
        <v>103.5</v>
      </c>
      <c r="J17" s="77" t="n">
        <f aca="false">IF(L17&gt;0,L17,0)</f>
        <v>0</v>
      </c>
      <c r="K17" s="53" t="n">
        <f aca="false">I17+J17</f>
        <v>103.5</v>
      </c>
      <c r="L17" s="53" t="n">
        <f aca="false">F17-(I17-W17)</f>
        <v>-124.136923852748</v>
      </c>
      <c r="M17" s="53" t="n">
        <v>319.42</v>
      </c>
      <c r="N17" s="53" t="n">
        <f aca="false">+(30.46+29.16)*1.05</f>
        <v>62.601</v>
      </c>
      <c r="O17" s="53" t="n">
        <f aca="false">M17-N17</f>
        <v>256.819</v>
      </c>
      <c r="P17" s="53" t="n">
        <v>99.99</v>
      </c>
      <c r="Q17" s="53" t="n">
        <v>81.97</v>
      </c>
      <c r="R17" s="53" t="n">
        <f aca="false">SUM(O17:Q17)</f>
        <v>438.779</v>
      </c>
      <c r="S17" s="54" t="n">
        <f aca="false">(I17-R17)+S16</f>
        <v>-15278.2297231174</v>
      </c>
      <c r="T17" s="53" t="n">
        <v>245.16</v>
      </c>
      <c r="U17" s="53" t="n">
        <v>79.52</v>
      </c>
      <c r="V17" s="54" t="n">
        <f aca="false">V16-U17</f>
        <v>10404.6500226872</v>
      </c>
      <c r="W17" s="53" t="n">
        <f aca="false">R17+T17+N17+U17</f>
        <v>826.06</v>
      </c>
      <c r="X17" s="53" t="n">
        <f aca="false">IF(L17&lt;0,L17*-1,0)</f>
        <v>124.136923852748</v>
      </c>
      <c r="Y17" s="53" t="n">
        <f aca="false">W17+X17</f>
        <v>950.196923852748</v>
      </c>
      <c r="Z17" s="57" t="n">
        <v>0</v>
      </c>
      <c r="AA17" s="58" t="n">
        <v>85</v>
      </c>
      <c r="AB17" s="58" t="n">
        <v>53</v>
      </c>
      <c r="AC17" s="59" t="n">
        <f aca="false">AC16+1</f>
        <v>8</v>
      </c>
      <c r="AD17" s="74"/>
      <c r="AE17" s="78"/>
      <c r="AF17" s="78"/>
    </row>
    <row r="18" customFormat="false" ht="11.1" hidden="false" customHeight="true" outlineLevel="0" collapsed="false">
      <c r="A18" s="59" t="n">
        <f aca="false">A17+1</f>
        <v>9</v>
      </c>
      <c r="B18" s="76" t="n">
        <v>6900.81</v>
      </c>
      <c r="C18" s="54" t="n">
        <v>286579</v>
      </c>
      <c r="D18" s="58" t="n">
        <f aca="false">C18-C17</f>
        <v>-1375</v>
      </c>
      <c r="E18" s="54" t="n">
        <f aca="false">C18-152000</f>
        <v>134579</v>
      </c>
      <c r="F18" s="53" t="n">
        <f aca="false">D18/$D$2</f>
        <v>-693.393847705497</v>
      </c>
      <c r="G18" s="53" t="n">
        <v>109.04</v>
      </c>
      <c r="H18" s="55" t="n">
        <v>0</v>
      </c>
      <c r="I18" s="53" t="n">
        <f aca="false">G18+H18</f>
        <v>109.04</v>
      </c>
      <c r="J18" s="77" t="n">
        <f aca="false">IF(L18&gt;0,L18,0)</f>
        <v>17.6361522945034</v>
      </c>
      <c r="K18" s="53" t="n">
        <f aca="false">I18+J18</f>
        <v>126.676152294503</v>
      </c>
      <c r="L18" s="53" t="n">
        <f aca="false">F18-(I18-W18)</f>
        <v>17.6361522945034</v>
      </c>
      <c r="M18" s="53" t="n">
        <v>322.87</v>
      </c>
      <c r="N18" s="53" t="n">
        <f aca="false">(33.02+31.65)*1.05</f>
        <v>67.9035</v>
      </c>
      <c r="O18" s="53" t="n">
        <f aca="false">M18-N18</f>
        <v>254.9665</v>
      </c>
      <c r="P18" s="53" t="n">
        <v>100.02</v>
      </c>
      <c r="Q18" s="53" t="n">
        <v>91.72</v>
      </c>
      <c r="R18" s="53" t="n">
        <f aca="false">SUM(O18:Q18)</f>
        <v>446.7065</v>
      </c>
      <c r="S18" s="54" t="n">
        <f aca="false">(I18-R18)+S17</f>
        <v>-15615.8962231174</v>
      </c>
      <c r="T18" s="53" t="n">
        <v>225.94</v>
      </c>
      <c r="U18" s="53" t="n">
        <v>79.52</v>
      </c>
      <c r="V18" s="54" t="n">
        <f aca="false">V17-U18</f>
        <v>10325.1300226872</v>
      </c>
      <c r="W18" s="53" t="n">
        <f aca="false">R18+T18+N18+U18</f>
        <v>820.07</v>
      </c>
      <c r="X18" s="53" t="n">
        <f aca="false">IF(L18&lt;0,L18*-1,0)</f>
        <v>0</v>
      </c>
      <c r="Y18" s="53" t="n">
        <f aca="false">W18+X18</f>
        <v>820.07</v>
      </c>
      <c r="Z18" s="57" t="n">
        <v>0.11</v>
      </c>
      <c r="AA18" s="86" t="n">
        <v>86</v>
      </c>
      <c r="AB18" s="58" t="n">
        <v>52</v>
      </c>
      <c r="AC18" s="59" t="n">
        <f aca="false">AC17+1</f>
        <v>9</v>
      </c>
      <c r="AD18" s="74"/>
      <c r="AE18" s="78"/>
      <c r="AF18" s="78"/>
    </row>
    <row r="19" customFormat="false" ht="11.1" hidden="false" customHeight="true" outlineLevel="0" collapsed="false">
      <c r="A19" s="59" t="n">
        <f aca="false">A18+1</f>
        <v>10</v>
      </c>
      <c r="B19" s="76" t="n">
        <v>6900.45</v>
      </c>
      <c r="C19" s="54" t="n">
        <v>285246</v>
      </c>
      <c r="D19" s="58" t="n">
        <f aca="false">C19-C18</f>
        <v>-1333</v>
      </c>
      <c r="E19" s="54" t="n">
        <f aca="false">C19-152000</f>
        <v>133246</v>
      </c>
      <c r="F19" s="53" t="n">
        <f aca="false">D19/$D$2</f>
        <v>-672.213817448311</v>
      </c>
      <c r="G19" s="53" t="n">
        <v>110.49</v>
      </c>
      <c r="H19" s="55" t="n">
        <v>0</v>
      </c>
      <c r="I19" s="53" t="n">
        <f aca="false">G19+H19</f>
        <v>110.49</v>
      </c>
      <c r="J19" s="77" t="n">
        <f aca="false">IF(L19&gt;0,L19,0)</f>
        <v>0</v>
      </c>
      <c r="K19" s="53" t="n">
        <f aca="false">I19+J19</f>
        <v>110.49</v>
      </c>
      <c r="L19" s="53" t="n">
        <f aca="false">F19-(I19-W19)</f>
        <v>-37.6338174483107</v>
      </c>
      <c r="M19" s="53" t="n">
        <v>311.91</v>
      </c>
      <c r="N19" s="53" t="n">
        <f aca="false">(32.69+30.59)*1.05</f>
        <v>66.444</v>
      </c>
      <c r="O19" s="53" t="n">
        <f aca="false">M19-N19</f>
        <v>245.466</v>
      </c>
      <c r="P19" s="53" t="n">
        <v>94.93</v>
      </c>
      <c r="Q19" s="53" t="n">
        <v>79.31</v>
      </c>
      <c r="R19" s="53" t="n">
        <f aca="false">SUM(O19:Q19)</f>
        <v>419.706</v>
      </c>
      <c r="S19" s="54" t="n">
        <f aca="false">(I19-R19)+S18</f>
        <v>-15925.1122231174</v>
      </c>
      <c r="T19" s="53" t="n">
        <v>179.4</v>
      </c>
      <c r="U19" s="53" t="n">
        <v>79.52</v>
      </c>
      <c r="V19" s="54" t="n">
        <f aca="false">V18-U19</f>
        <v>10245.6100226872</v>
      </c>
      <c r="W19" s="53" t="n">
        <f aca="false">R19+T19+N19+U19</f>
        <v>745.07</v>
      </c>
      <c r="X19" s="53" t="n">
        <f aca="false">IF(L19&lt;0,L19*-1,0)</f>
        <v>37.6338174483107</v>
      </c>
      <c r="Y19" s="53" t="n">
        <f aca="false">W19+X19</f>
        <v>782.703817448311</v>
      </c>
      <c r="Z19" s="57" t="n">
        <v>0</v>
      </c>
      <c r="AA19" s="58" t="n">
        <v>86</v>
      </c>
      <c r="AB19" s="58" t="n">
        <v>50</v>
      </c>
      <c r="AC19" s="59" t="n">
        <f aca="false">AC18+1</f>
        <v>10</v>
      </c>
      <c r="AD19" s="74"/>
      <c r="AE19" s="78"/>
      <c r="AF19" s="78"/>
    </row>
    <row r="20" customFormat="false" ht="11.1" hidden="false" customHeight="true" outlineLevel="0" collapsed="false">
      <c r="A20" s="59" t="n">
        <v>11</v>
      </c>
      <c r="B20" s="76" t="n">
        <v>6900.1</v>
      </c>
      <c r="C20" s="54" t="n">
        <v>283950</v>
      </c>
      <c r="D20" s="58" t="n">
        <f aca="false">C20-C19</f>
        <v>-1296</v>
      </c>
      <c r="E20" s="54" t="n">
        <f aca="false">C20-152000</f>
        <v>131950</v>
      </c>
      <c r="F20" s="53" t="n">
        <f aca="false">D20/$D$2</f>
        <v>-653.555219364599</v>
      </c>
      <c r="G20" s="53" t="n">
        <v>106.4</v>
      </c>
      <c r="H20" s="55" t="n">
        <v>0</v>
      </c>
      <c r="I20" s="53" t="n">
        <f aca="false">G20+H20</f>
        <v>106.4</v>
      </c>
      <c r="J20" s="77" t="n">
        <f aca="false">IF(L20&gt;0,L20,0)</f>
        <v>0</v>
      </c>
      <c r="K20" s="53" t="n">
        <f aca="false">I20+J20</f>
        <v>106.4</v>
      </c>
      <c r="L20" s="53" t="n">
        <f aca="false">F20-(I20-W20)</f>
        <v>-30.9452193645991</v>
      </c>
      <c r="M20" s="53" t="n">
        <v>306.39</v>
      </c>
      <c r="N20" s="53" t="n">
        <f aca="false">(27.3+27.31)*1.05</f>
        <v>57.3405</v>
      </c>
      <c r="O20" s="53" t="n">
        <f aca="false">M20-N20</f>
        <v>249.0495</v>
      </c>
      <c r="P20" s="53" t="n">
        <v>57</v>
      </c>
      <c r="Q20" s="53" t="n">
        <v>82.99</v>
      </c>
      <c r="R20" s="53" t="n">
        <f aca="false">SUM(O20:Q20)</f>
        <v>389.0395</v>
      </c>
      <c r="S20" s="54" t="n">
        <f aca="false">(I20-R20)+S19</f>
        <v>-16207.7517231174</v>
      </c>
      <c r="T20" s="53" t="n">
        <v>203.11</v>
      </c>
      <c r="U20" s="53" t="n">
        <v>79.52</v>
      </c>
      <c r="V20" s="54" t="n">
        <f aca="false">V19-U20</f>
        <v>10166.0900226872</v>
      </c>
      <c r="W20" s="53" t="n">
        <f aca="false">R20+T20+N20+U20</f>
        <v>729.01</v>
      </c>
      <c r="X20" s="53" t="n">
        <f aca="false">IF(L20&lt;0,L20*-1,0)</f>
        <v>30.9452193645991</v>
      </c>
      <c r="Y20" s="53" t="n">
        <f aca="false">W20+X20</f>
        <v>759.955219364599</v>
      </c>
      <c r="Z20" s="57" t="n">
        <v>0</v>
      </c>
      <c r="AA20" s="58" t="n">
        <v>92</v>
      </c>
      <c r="AB20" s="58" t="n">
        <v>57</v>
      </c>
      <c r="AC20" s="59" t="n">
        <v>11</v>
      </c>
      <c r="AD20" s="74"/>
      <c r="AE20" s="78"/>
      <c r="AF20" s="78"/>
    </row>
    <row r="21" customFormat="false" ht="11.1" hidden="false" customHeight="true" outlineLevel="0" collapsed="false">
      <c r="A21" s="59" t="n">
        <v>12</v>
      </c>
      <c r="B21" s="76" t="n">
        <v>6899.7</v>
      </c>
      <c r="C21" s="54" t="n">
        <v>282478</v>
      </c>
      <c r="D21" s="58" t="n">
        <f aca="false">C21-C20</f>
        <v>-1472</v>
      </c>
      <c r="E21" s="54" t="n">
        <f aca="false">C21-152000</f>
        <v>130478</v>
      </c>
      <c r="F21" s="53" t="n">
        <f aca="false">D21/$D$2</f>
        <v>-742.309631870903</v>
      </c>
      <c r="G21" s="53" t="n">
        <v>99.55</v>
      </c>
      <c r="H21" s="55" t="n">
        <v>0</v>
      </c>
      <c r="I21" s="53" t="n">
        <f aca="false">G21+H21</f>
        <v>99.55</v>
      </c>
      <c r="J21" s="77" t="n">
        <f aca="false">IF(L21&gt;0,L21,0)</f>
        <v>0</v>
      </c>
      <c r="K21" s="53" t="n">
        <f aca="false">I21+J21</f>
        <v>99.55</v>
      </c>
      <c r="L21" s="53" t="n">
        <f aca="false">F21-(I21-W21)</f>
        <v>-29.0196318709027</v>
      </c>
      <c r="M21" s="53" t="n">
        <v>320.73</v>
      </c>
      <c r="N21" s="53" t="n">
        <f aca="false">(24.78+26.92)*1.05</f>
        <v>54.285</v>
      </c>
      <c r="O21" s="53" t="n">
        <f aca="false">M21-N21</f>
        <v>266.445</v>
      </c>
      <c r="P21" s="53" t="n">
        <v>90.42</v>
      </c>
      <c r="Q21" s="53" t="n">
        <v>81.66</v>
      </c>
      <c r="R21" s="53" t="n">
        <f aca="false">SUM(O21:Q21)</f>
        <v>438.525</v>
      </c>
      <c r="S21" s="54" t="n">
        <f aca="false">(I21-R21)+S20</f>
        <v>-16546.7267231174</v>
      </c>
      <c r="T21" s="53" t="n">
        <v>240.51</v>
      </c>
      <c r="U21" s="53" t="n">
        <v>79.52</v>
      </c>
      <c r="V21" s="54" t="n">
        <f aca="false">V20-U21</f>
        <v>10086.5700226872</v>
      </c>
      <c r="W21" s="53" t="n">
        <f aca="false">R21+T21+N21+U21</f>
        <v>812.84</v>
      </c>
      <c r="X21" s="53" t="n">
        <f aca="false">IF(L21&lt;0,L21*-1,0)</f>
        <v>29.0196318709027</v>
      </c>
      <c r="Y21" s="53" t="n">
        <f aca="false">W21+X21</f>
        <v>841.859631870903</v>
      </c>
      <c r="Z21" s="57" t="n">
        <v>0</v>
      </c>
      <c r="AA21" s="58" t="n">
        <v>96</v>
      </c>
      <c r="AB21" s="58" t="n">
        <v>56</v>
      </c>
      <c r="AC21" s="59" t="n">
        <v>12</v>
      </c>
      <c r="AD21" s="74"/>
      <c r="AE21" s="78"/>
      <c r="AF21" s="78"/>
    </row>
    <row r="22" customFormat="false" ht="11.1" hidden="false" customHeight="true" outlineLevel="0" collapsed="false">
      <c r="A22" s="59" t="n">
        <v>13</v>
      </c>
      <c r="B22" s="76" t="n">
        <v>6899.28</v>
      </c>
      <c r="C22" s="54" t="n">
        <v>280935</v>
      </c>
      <c r="D22" s="58" t="n">
        <f aca="false">C22-C21</f>
        <v>-1543</v>
      </c>
      <c r="E22" s="54" t="n">
        <f aca="false">C22-152000</f>
        <v>128935</v>
      </c>
      <c r="F22" s="53" t="n">
        <f aca="false">D22/$D$2</f>
        <v>-778.113968734241</v>
      </c>
      <c r="G22" s="53" t="n">
        <v>94.67</v>
      </c>
      <c r="H22" s="55" t="n">
        <v>0</v>
      </c>
      <c r="I22" s="53" t="n">
        <f aca="false">G22+H22</f>
        <v>94.67</v>
      </c>
      <c r="J22" s="77" t="n">
        <f aca="false">IF(L22&gt;0,L22,0)</f>
        <v>0</v>
      </c>
      <c r="K22" s="53" t="n">
        <f aca="false">I22+J22</f>
        <v>94.67</v>
      </c>
      <c r="L22" s="53" t="n">
        <f aca="false">F22-(I22-W22)</f>
        <v>-34.0339687342409</v>
      </c>
      <c r="M22" s="53" t="n">
        <v>339.57</v>
      </c>
      <c r="N22" s="53" t="n">
        <f aca="false">(25.83+27.71)*1.05</f>
        <v>56.217</v>
      </c>
      <c r="O22" s="53" t="n">
        <f aca="false">M22-N22</f>
        <v>283.353</v>
      </c>
      <c r="P22" s="53" t="n">
        <v>101.84</v>
      </c>
      <c r="Q22" s="53" t="n">
        <v>82.68</v>
      </c>
      <c r="R22" s="53" t="n">
        <f aca="false">SUM(O22:Q22)</f>
        <v>467.873</v>
      </c>
      <c r="S22" s="54" t="n">
        <f aca="false">(I22-R22)+S21</f>
        <v>-16919.9297231174</v>
      </c>
      <c r="T22" s="53" t="n">
        <v>235.14</v>
      </c>
      <c r="U22" s="53" t="n">
        <v>79.52</v>
      </c>
      <c r="V22" s="54" t="n">
        <f aca="false">V21-U22</f>
        <v>10007.0500226872</v>
      </c>
      <c r="W22" s="53" t="n">
        <f aca="false">R22+T22+N22+U22</f>
        <v>838.75</v>
      </c>
      <c r="X22" s="53" t="n">
        <f aca="false">IF(L22&lt;0,L22*-1,0)</f>
        <v>34.0339687342409</v>
      </c>
      <c r="Y22" s="53" t="n">
        <f aca="false">W22+X22</f>
        <v>872.783968734241</v>
      </c>
      <c r="Z22" s="57" t="n">
        <v>0</v>
      </c>
      <c r="AA22" s="58" t="n">
        <v>97</v>
      </c>
      <c r="AB22" s="58" t="n">
        <v>56</v>
      </c>
      <c r="AC22" s="59" t="n">
        <v>13</v>
      </c>
      <c r="AD22" s="74"/>
      <c r="AE22" s="78"/>
      <c r="AF22" s="78"/>
    </row>
    <row r="23" customFormat="false" ht="11.1" hidden="false" customHeight="true" outlineLevel="0" collapsed="false">
      <c r="A23" s="59" t="n">
        <v>14</v>
      </c>
      <c r="B23" s="76" t="n">
        <v>6898.85</v>
      </c>
      <c r="C23" s="54" t="n">
        <v>279360</v>
      </c>
      <c r="D23" s="58" t="n">
        <f aca="false">C23-C22</f>
        <v>-1575</v>
      </c>
      <c r="E23" s="54" t="n">
        <f aca="false">C23-152000</f>
        <v>127360</v>
      </c>
      <c r="F23" s="53" t="n">
        <f aca="false">D23/$D$2</f>
        <v>-794.251134644478</v>
      </c>
      <c r="G23" s="53" t="n">
        <v>91.38</v>
      </c>
      <c r="H23" s="55" t="n">
        <v>0</v>
      </c>
      <c r="I23" s="53" t="n">
        <f aca="false">G23+H23</f>
        <v>91.38</v>
      </c>
      <c r="J23" s="77" t="n">
        <f aca="false">IF(L23&gt;0,L23,0)</f>
        <v>0</v>
      </c>
      <c r="K23" s="53" t="n">
        <f aca="false">I23+J23</f>
        <v>91.38</v>
      </c>
      <c r="L23" s="53" t="n">
        <f aca="false">F23-(I23-W23)</f>
        <v>-40.4211346444781</v>
      </c>
      <c r="M23" s="53" t="n">
        <v>327.58</v>
      </c>
      <c r="N23" s="53" t="n">
        <f aca="false">(26.14+26.69)*1.05</f>
        <v>55.4715</v>
      </c>
      <c r="O23" s="53" t="n">
        <f aca="false">M23-N23</f>
        <v>272.1085</v>
      </c>
      <c r="P23" s="53" t="n">
        <v>99.01</v>
      </c>
      <c r="Q23" s="53" t="n">
        <v>83.2</v>
      </c>
      <c r="R23" s="53" t="n">
        <f aca="false">SUM(O23:Q23)</f>
        <v>454.3185</v>
      </c>
      <c r="S23" s="54" t="n">
        <f aca="false">(I23-R23)+S22</f>
        <v>-17282.8682231174</v>
      </c>
      <c r="T23" s="53" t="n">
        <v>255.9</v>
      </c>
      <c r="U23" s="53" t="n">
        <v>79.52</v>
      </c>
      <c r="V23" s="54" t="n">
        <f aca="false">V22-U23</f>
        <v>9927.53002268716</v>
      </c>
      <c r="W23" s="53" t="n">
        <f aca="false">R23+T23+N23+U23</f>
        <v>845.21</v>
      </c>
      <c r="X23" s="53" t="n">
        <f aca="false">IF(L23&lt;0,L23*-1,0)</f>
        <v>40.4211346444781</v>
      </c>
      <c r="Y23" s="53" t="n">
        <f aca="false">W23+X23</f>
        <v>885.631134644478</v>
      </c>
      <c r="Z23" s="57" t="n">
        <v>0</v>
      </c>
      <c r="AA23" s="58" t="n">
        <v>92</v>
      </c>
      <c r="AB23" s="58" t="n">
        <v>59</v>
      </c>
      <c r="AC23" s="59" t="n">
        <v>14</v>
      </c>
      <c r="AD23" s="74"/>
      <c r="AE23" s="78"/>
      <c r="AF23" s="78"/>
    </row>
    <row r="24" customFormat="false" ht="11.1" hidden="false" customHeight="true" outlineLevel="0" collapsed="false">
      <c r="A24" s="59" t="n">
        <v>15</v>
      </c>
      <c r="B24" s="76" t="n">
        <v>6898.42</v>
      </c>
      <c r="C24" s="54" t="n">
        <v>277792</v>
      </c>
      <c r="D24" s="58" t="n">
        <f aca="false">C24-C23</f>
        <v>-1568</v>
      </c>
      <c r="E24" s="54" t="n">
        <f aca="false">C24-152000</f>
        <v>125792</v>
      </c>
      <c r="F24" s="53" t="n">
        <f aca="false">D24/$D$2</f>
        <v>-790.721129601614</v>
      </c>
      <c r="G24" s="53" t="n">
        <v>89.94</v>
      </c>
      <c r="H24" s="55" t="n">
        <v>0</v>
      </c>
      <c r="I24" s="53" t="n">
        <f aca="false">G24+H24</f>
        <v>89.94</v>
      </c>
      <c r="J24" s="77" t="n">
        <f aca="false">IF(L24&gt;0,L24,0)</f>
        <v>0</v>
      </c>
      <c r="K24" s="53" t="n">
        <f aca="false">I24+J24</f>
        <v>89.94</v>
      </c>
      <c r="L24" s="53" t="n">
        <f aca="false">F24-(I24-W24)</f>
        <v>-43.3011296016139</v>
      </c>
      <c r="M24" s="53" t="n">
        <v>325.98</v>
      </c>
      <c r="N24" s="53" t="n">
        <f aca="false">(27.57+29.54)*1.05</f>
        <v>59.9655</v>
      </c>
      <c r="O24" s="53" t="n">
        <f aca="false">M24-N24</f>
        <v>266.0145</v>
      </c>
      <c r="P24" s="53" t="n">
        <v>96.69</v>
      </c>
      <c r="Q24" s="53" t="n">
        <v>83.35</v>
      </c>
      <c r="R24" s="53" t="n">
        <f aca="false">SUM(O24:Q24)</f>
        <v>446.0545</v>
      </c>
      <c r="S24" s="54" t="n">
        <f aca="false">(I24-R24)+S23</f>
        <v>-17638.9827231174</v>
      </c>
      <c r="T24" s="53" t="n">
        <v>251.82</v>
      </c>
      <c r="U24" s="53" t="n">
        <v>79.52</v>
      </c>
      <c r="V24" s="54" t="n">
        <f aca="false">V23-U24</f>
        <v>9848.01002268716</v>
      </c>
      <c r="W24" s="53" t="n">
        <f aca="false">R24+T24+N24+U24</f>
        <v>837.36</v>
      </c>
      <c r="X24" s="53" t="n">
        <f aca="false">IF(L24&lt;0,L24*-1,0)</f>
        <v>43.3011296016139</v>
      </c>
      <c r="Y24" s="53" t="n">
        <f aca="false">W24+X24</f>
        <v>880.661129601614</v>
      </c>
      <c r="Z24" s="57" t="n">
        <v>0</v>
      </c>
      <c r="AA24" s="58" t="n">
        <v>91</v>
      </c>
      <c r="AB24" s="58" t="n">
        <v>60</v>
      </c>
      <c r="AC24" s="59" t="n">
        <v>15</v>
      </c>
      <c r="AD24" s="74"/>
      <c r="AE24" s="78"/>
      <c r="AF24" s="78"/>
    </row>
    <row r="25" customFormat="false" ht="11.1" hidden="false" customHeight="true" outlineLevel="0" collapsed="false">
      <c r="A25" s="59" t="n">
        <v>16</v>
      </c>
      <c r="B25" s="76" t="n">
        <v>6897.93</v>
      </c>
      <c r="C25" s="54" t="n">
        <v>276007</v>
      </c>
      <c r="D25" s="58" t="n">
        <f aca="false">C25-C24</f>
        <v>-1785</v>
      </c>
      <c r="E25" s="54" t="n">
        <f aca="false">C25-152000</f>
        <v>124007</v>
      </c>
      <c r="F25" s="53" t="n">
        <f aca="false">D25/$D$2</f>
        <v>-900.151285930408</v>
      </c>
      <c r="G25" s="53" t="n">
        <v>87.97</v>
      </c>
      <c r="H25" s="55" t="n">
        <v>0</v>
      </c>
      <c r="I25" s="53" t="n">
        <f aca="false">G25+H25</f>
        <v>87.97</v>
      </c>
      <c r="J25" s="77" t="n">
        <f aca="false">IF(L25&gt;0,L25,0)</f>
        <v>0</v>
      </c>
      <c r="K25" s="53" t="n">
        <f aca="false">I25+J25</f>
        <v>87.97</v>
      </c>
      <c r="L25" s="53" t="n">
        <f aca="false">F25-(I25-W25)</f>
        <v>-117.681285930408</v>
      </c>
      <c r="M25" s="53" t="n">
        <v>324.94</v>
      </c>
      <c r="N25" s="53" t="n">
        <f aca="false">(29.6+32.05)*1.05</f>
        <v>64.7325</v>
      </c>
      <c r="O25" s="53" t="n">
        <f aca="false">M25-N25</f>
        <v>260.2075</v>
      </c>
      <c r="P25" s="53" t="n">
        <v>126.36</v>
      </c>
      <c r="Q25" s="53" t="n">
        <v>82.36</v>
      </c>
      <c r="R25" s="53" t="n">
        <f aca="false">SUM(O25:Q25)</f>
        <v>468.9275</v>
      </c>
      <c r="S25" s="54" t="n">
        <f aca="false">(I25-R25)+S24</f>
        <v>-18019.9402231174</v>
      </c>
      <c r="T25" s="53" t="n">
        <v>257.16</v>
      </c>
      <c r="U25" s="53" t="n">
        <v>79.62</v>
      </c>
      <c r="V25" s="54" t="n">
        <f aca="false">V24-U25</f>
        <v>9768.39002268716</v>
      </c>
      <c r="W25" s="53" t="n">
        <f aca="false">R25+T25+N25+U25</f>
        <v>870.44</v>
      </c>
      <c r="X25" s="53" t="n">
        <f aca="false">IF(L25&lt;0,L25*-1,0)</f>
        <v>117.681285930408</v>
      </c>
      <c r="Y25" s="53" t="n">
        <f aca="false">W25+X25</f>
        <v>988.121285930409</v>
      </c>
      <c r="Z25" s="57" t="n">
        <v>0</v>
      </c>
      <c r="AA25" s="58" t="n">
        <v>89</v>
      </c>
      <c r="AB25" s="58" t="n">
        <v>54</v>
      </c>
      <c r="AC25" s="59" t="n">
        <v>16</v>
      </c>
      <c r="AD25" s="74"/>
      <c r="AE25" s="78"/>
      <c r="AF25" s="78"/>
    </row>
    <row r="26" customFormat="false" ht="11.1" hidden="false" customHeight="true" outlineLevel="0" collapsed="false">
      <c r="A26" s="59" t="n">
        <v>17</v>
      </c>
      <c r="B26" s="76" t="n">
        <v>6897.5</v>
      </c>
      <c r="C26" s="54" t="n">
        <v>274452</v>
      </c>
      <c r="D26" s="58" t="n">
        <f aca="false">C26-C25</f>
        <v>-1555</v>
      </c>
      <c r="E26" s="54" t="n">
        <f aca="false">C26-152000</f>
        <v>122452</v>
      </c>
      <c r="F26" s="53" t="n">
        <f aca="false">D26/$D$2</f>
        <v>-784.16540595058</v>
      </c>
      <c r="G26" s="53" t="n">
        <v>85.72</v>
      </c>
      <c r="H26" s="55" t="n">
        <v>0</v>
      </c>
      <c r="I26" s="53" t="n">
        <f aca="false">G26+H26</f>
        <v>85.72</v>
      </c>
      <c r="J26" s="77" t="n">
        <f aca="false">IF(L26&gt;0,L26,0)</f>
        <v>0</v>
      </c>
      <c r="K26" s="53" t="n">
        <f aca="false">I26+J26</f>
        <v>85.72</v>
      </c>
      <c r="L26" s="53" t="n">
        <f aca="false">F26-(I26-W26)</f>
        <v>-3.37540595057987</v>
      </c>
      <c r="M26" s="53" t="n">
        <v>321.73</v>
      </c>
      <c r="N26" s="53" t="n">
        <f aca="false">(28.52+27.5)*1.05</f>
        <v>58.821</v>
      </c>
      <c r="O26" s="53" t="n">
        <f aca="false">M26-N26</f>
        <v>262.909</v>
      </c>
      <c r="P26" s="53" t="n">
        <v>142.76</v>
      </c>
      <c r="Q26" s="53" t="n">
        <v>82.14</v>
      </c>
      <c r="R26" s="53" t="n">
        <f aca="false">SUM(O26:Q26)</f>
        <v>487.809</v>
      </c>
      <c r="S26" s="54" t="n">
        <f aca="false">(I26-R26)+S25</f>
        <v>-18422.0292231174</v>
      </c>
      <c r="T26" s="53" t="n">
        <v>240.27</v>
      </c>
      <c r="U26" s="53" t="n">
        <v>79.61</v>
      </c>
      <c r="V26" s="54" t="n">
        <f aca="false">V25-U26</f>
        <v>9688.78002268716</v>
      </c>
      <c r="W26" s="53" t="n">
        <f aca="false">R26+T26+N26+U26</f>
        <v>866.51</v>
      </c>
      <c r="X26" s="53" t="n">
        <f aca="false">IF(L26&lt;0,L26*-1,0)</f>
        <v>3.37540595057987</v>
      </c>
      <c r="Y26" s="53" t="n">
        <f aca="false">W26+X26</f>
        <v>869.88540595058</v>
      </c>
      <c r="Z26" s="57" t="n">
        <v>0.02</v>
      </c>
      <c r="AA26" s="58" t="n">
        <v>87</v>
      </c>
      <c r="AB26" s="58" t="n">
        <v>58</v>
      </c>
      <c r="AC26" s="59" t="n">
        <v>17</v>
      </c>
      <c r="AD26" s="74"/>
      <c r="AE26" s="78"/>
      <c r="AF26" s="78"/>
    </row>
    <row r="27" customFormat="false" ht="11.1" hidden="false" customHeight="true" outlineLevel="0" collapsed="false">
      <c r="A27" s="59" t="n">
        <v>18</v>
      </c>
      <c r="B27" s="76" t="n">
        <v>6896.9</v>
      </c>
      <c r="C27" s="54" t="n">
        <v>272284</v>
      </c>
      <c r="D27" s="58" t="n">
        <f aca="false">C27-C26</f>
        <v>-2168</v>
      </c>
      <c r="E27" s="54" t="n">
        <f aca="false">C27-152000</f>
        <v>120284</v>
      </c>
      <c r="F27" s="53" t="n">
        <f aca="false">D27/$D$2</f>
        <v>-1093.29299041856</v>
      </c>
      <c r="G27" s="53" t="n">
        <v>92.09</v>
      </c>
      <c r="H27" s="55" t="n">
        <v>0</v>
      </c>
      <c r="I27" s="53" t="n">
        <f aca="false">G27+H27</f>
        <v>92.09</v>
      </c>
      <c r="J27" s="77" t="n">
        <f aca="false">IF(L27&gt;0,L27,0)</f>
        <v>0</v>
      </c>
      <c r="K27" s="53" t="n">
        <f aca="false">I27+J27</f>
        <v>92.09</v>
      </c>
      <c r="L27" s="53" t="n">
        <f aca="false">F27-(I27-W27)</f>
        <v>-332.942990418558</v>
      </c>
      <c r="M27" s="53" t="n">
        <v>310.19</v>
      </c>
      <c r="N27" s="53" t="n">
        <f aca="false">(25.13+24.88)*1.05</f>
        <v>52.5105</v>
      </c>
      <c r="O27" s="53" t="n">
        <f aca="false">M27-N27</f>
        <v>257.6795</v>
      </c>
      <c r="P27" s="53" t="n">
        <v>139.37</v>
      </c>
      <c r="Q27" s="53" t="n">
        <v>82.71</v>
      </c>
      <c r="R27" s="53" t="n">
        <f aca="false">SUM(O27:Q27)</f>
        <v>479.7595</v>
      </c>
      <c r="S27" s="54" t="n">
        <f aca="false">(I27-R27)+S26</f>
        <v>-18809.6987231174</v>
      </c>
      <c r="T27" s="53" t="n">
        <v>240.65</v>
      </c>
      <c r="U27" s="53" t="n">
        <v>79.52</v>
      </c>
      <c r="V27" s="54" t="n">
        <f aca="false">V26-U27</f>
        <v>9609.26002268716</v>
      </c>
      <c r="W27" s="53" t="n">
        <f aca="false">R27+T27+N27+U27</f>
        <v>852.44</v>
      </c>
      <c r="X27" s="53" t="n">
        <f aca="false">IF(L27&lt;0,L27*-1,0)</f>
        <v>332.942990418558</v>
      </c>
      <c r="Y27" s="53" t="n">
        <f aca="false">W27+X27</f>
        <v>1185.38299041856</v>
      </c>
      <c r="Z27" s="57" t="n">
        <v>0</v>
      </c>
      <c r="AA27" s="58" t="n">
        <v>84</v>
      </c>
      <c r="AB27" s="58" t="n">
        <v>54</v>
      </c>
      <c r="AC27" s="59" t="n">
        <v>18</v>
      </c>
      <c r="AD27" s="74"/>
      <c r="AE27" s="78"/>
      <c r="AF27" s="78"/>
    </row>
    <row r="28" customFormat="false" ht="11.1" hidden="false" customHeight="true" outlineLevel="0" collapsed="false">
      <c r="A28" s="59" t="n">
        <v>19</v>
      </c>
      <c r="B28" s="76" t="n">
        <v>6896.6</v>
      </c>
      <c r="C28" s="54" t="n">
        <v>271208</v>
      </c>
      <c r="D28" s="58" t="n">
        <f aca="false">C28-C27</f>
        <v>-1076</v>
      </c>
      <c r="E28" s="54" t="n">
        <f aca="false">C28-152000</f>
        <v>119208</v>
      </c>
      <c r="F28" s="53" t="n">
        <f aca="false">D28/$D$2</f>
        <v>-542.61220373172</v>
      </c>
      <c r="G28" s="53" t="n">
        <v>94.56</v>
      </c>
      <c r="H28" s="55" t="n">
        <v>0</v>
      </c>
      <c r="I28" s="53" t="n">
        <f aca="false">G28+H28</f>
        <v>94.56</v>
      </c>
      <c r="J28" s="77" t="n">
        <f aca="false">IF(L28&gt;0,L28,0)</f>
        <v>212.651008572869</v>
      </c>
      <c r="K28" s="53" t="n">
        <f aca="false">I28+J28</f>
        <v>307.211008572869</v>
      </c>
      <c r="L28" s="53" t="n">
        <f aca="false">F28-(I28-W28)</f>
        <v>212.651008572869</v>
      </c>
      <c r="M28" s="53" t="n">
        <v>300.83</v>
      </c>
      <c r="N28" s="53" t="n">
        <f aca="false">103/D2</f>
        <v>51.9415027735754</v>
      </c>
      <c r="O28" s="53" t="n">
        <f aca="false">M28-N28</f>
        <v>248.888497226425</v>
      </c>
      <c r="P28" s="53" t="n">
        <v>138.4</v>
      </c>
      <c r="Q28" s="96" t="n">
        <v>82.6</v>
      </c>
      <c r="R28" s="53" t="n">
        <f aca="false">SUM(O28:Q28)</f>
        <v>469.888497226425</v>
      </c>
      <c r="S28" s="54" t="n">
        <f aca="false">(I28-R28)+S27</f>
        <v>-19185.0272203438</v>
      </c>
      <c r="T28" s="53" t="n">
        <f aca="false">493/D2</f>
        <v>248.613212304589</v>
      </c>
      <c r="U28" s="53" t="n">
        <v>79.38</v>
      </c>
      <c r="V28" s="54" t="n">
        <f aca="false">V27-U28</f>
        <v>9529.88002268716</v>
      </c>
      <c r="W28" s="53" t="n">
        <f aca="false">R28+T28+N28+U28</f>
        <v>849.823212304589</v>
      </c>
      <c r="X28" s="53" t="n">
        <f aca="false">IF(L28&lt;0,L28*-1,0)</f>
        <v>0</v>
      </c>
      <c r="Y28" s="53" t="n">
        <f aca="false">W28+X28</f>
        <v>849.823212304589</v>
      </c>
      <c r="Z28" s="57" t="n">
        <v>0</v>
      </c>
      <c r="AA28" s="58" t="n">
        <v>85</v>
      </c>
      <c r="AB28" s="58" t="n">
        <v>54</v>
      </c>
      <c r="AC28" s="59" t="n">
        <v>19</v>
      </c>
      <c r="AD28" s="74"/>
      <c r="AE28" s="78"/>
      <c r="AF28" s="78"/>
    </row>
    <row r="29" customFormat="false" ht="11.1" hidden="false" customHeight="true" outlineLevel="0" collapsed="false">
      <c r="A29" s="59" t="n">
        <v>20</v>
      </c>
      <c r="B29" s="76" t="n">
        <v>6896.17</v>
      </c>
      <c r="C29" s="54" t="n">
        <v>269665</v>
      </c>
      <c r="D29" s="58" t="n">
        <f aca="false">C29-C28</f>
        <v>-1543</v>
      </c>
      <c r="E29" s="54" t="n">
        <f aca="false">C29-152000</f>
        <v>117665</v>
      </c>
      <c r="F29" s="53" t="n">
        <f aca="false">D29/$D$2</f>
        <v>-778.113968734241</v>
      </c>
      <c r="G29" s="53" t="n">
        <v>93.06</v>
      </c>
      <c r="H29" s="55" t="n">
        <v>0</v>
      </c>
      <c r="I29" s="53" t="n">
        <f aca="false">G29+H29</f>
        <v>93.06</v>
      </c>
      <c r="J29" s="77" t="n">
        <f aca="false">IF(L29&gt;0,L29,0)</f>
        <v>0</v>
      </c>
      <c r="K29" s="53" t="n">
        <f aca="false">I29+J29</f>
        <v>93.06</v>
      </c>
      <c r="L29" s="53" t="n">
        <f aca="false">F29-(I29-W29)</f>
        <v>-8.97075642965194</v>
      </c>
      <c r="M29" s="53" t="n">
        <v>313.86</v>
      </c>
      <c r="N29" s="53" t="n">
        <f aca="false">111/D2</f>
        <v>55.9757942511346</v>
      </c>
      <c r="O29" s="53" t="n">
        <f aca="false">M29-N29</f>
        <v>257.884205748865</v>
      </c>
      <c r="P29" s="53" t="n">
        <v>137.83</v>
      </c>
      <c r="Q29" s="96" t="n">
        <v>82.7</v>
      </c>
      <c r="R29" s="53" t="n">
        <f aca="false">SUM(O29:Q29)</f>
        <v>478.414205748865</v>
      </c>
      <c r="S29" s="54" t="n">
        <f aca="false">(I29-R29)+S28</f>
        <v>-19570.3814260927</v>
      </c>
      <c r="T29" s="53" t="n">
        <f aca="false">493/D2</f>
        <v>248.613212304589</v>
      </c>
      <c r="U29" s="53" t="n">
        <v>79.2</v>
      </c>
      <c r="V29" s="54" t="n">
        <f aca="false">V28-U29</f>
        <v>9450.68002268716</v>
      </c>
      <c r="W29" s="53" t="n">
        <f aca="false">R29+T29+N29+U29</f>
        <v>862.203212304589</v>
      </c>
      <c r="X29" s="53" t="n">
        <f aca="false">IF(L29&lt;0,L29*-1,0)</f>
        <v>8.97075642965194</v>
      </c>
      <c r="Y29" s="53" t="n">
        <f aca="false">W29+X29</f>
        <v>871.173968734241</v>
      </c>
      <c r="Z29" s="57" t="n">
        <v>0</v>
      </c>
      <c r="AA29" s="58" t="n">
        <v>86</v>
      </c>
      <c r="AB29" s="58" t="n">
        <v>58</v>
      </c>
      <c r="AC29" s="59" t="n">
        <v>20</v>
      </c>
      <c r="AD29" s="74"/>
      <c r="AE29" s="78"/>
      <c r="AF29" s="78"/>
    </row>
    <row r="30" customFormat="false" ht="11.1" hidden="false" customHeight="true" outlineLevel="0" collapsed="false">
      <c r="A30" s="59" t="n">
        <v>21</v>
      </c>
      <c r="B30" s="76" t="n">
        <v>6895.72</v>
      </c>
      <c r="C30" s="54" t="n">
        <v>268058</v>
      </c>
      <c r="D30" s="58" t="n">
        <f aca="false">C30-C29</f>
        <v>-1607</v>
      </c>
      <c r="E30" s="54" t="n">
        <f aca="false">C30-152000</f>
        <v>116058</v>
      </c>
      <c r="F30" s="53" t="n">
        <f aca="false">D30/$D$2</f>
        <v>-810.388300554715</v>
      </c>
      <c r="G30" s="53" t="n">
        <v>94.22</v>
      </c>
      <c r="H30" s="55" t="n">
        <v>0</v>
      </c>
      <c r="I30" s="53" t="n">
        <f aca="false">G30+H30</f>
        <v>94.22</v>
      </c>
      <c r="J30" s="77" t="n">
        <f aca="false">IF(L30&gt;0,L30,0)</f>
        <v>0</v>
      </c>
      <c r="K30" s="53" t="n">
        <f aca="false">I30+J30</f>
        <v>94.22</v>
      </c>
      <c r="L30" s="53" t="n">
        <f aca="false">F30-(I30-W30)</f>
        <v>-55.7536812909732</v>
      </c>
      <c r="M30" s="53" t="n">
        <v>315.08</v>
      </c>
      <c r="N30" s="53" t="n">
        <f aca="false">118/D2</f>
        <v>59.505799293999</v>
      </c>
      <c r="O30" s="53" t="n">
        <f aca="false">M30-N30</f>
        <v>255.574200706001</v>
      </c>
      <c r="P30" s="53" t="n">
        <v>138.3</v>
      </c>
      <c r="Q30" s="96" t="n">
        <v>83</v>
      </c>
      <c r="R30" s="53" t="n">
        <f aca="false">SUM(O30:Q30)</f>
        <v>476.874200706001</v>
      </c>
      <c r="S30" s="54" t="n">
        <f aca="false">(I30-R30)+S29</f>
        <v>-19953.0356267987</v>
      </c>
      <c r="T30" s="53" t="n">
        <f aca="false">463/D2</f>
        <v>233.484619263742</v>
      </c>
      <c r="U30" s="53" t="n">
        <v>78.99</v>
      </c>
      <c r="V30" s="54" t="n">
        <f aca="false">V29-U30</f>
        <v>9371.69002268716</v>
      </c>
      <c r="W30" s="53" t="n">
        <f aca="false">R30+T30+N30+U30</f>
        <v>848.854619263742</v>
      </c>
      <c r="X30" s="53" t="n">
        <f aca="false">IF(L30&lt;0,L30*-1,0)</f>
        <v>55.7536812909732</v>
      </c>
      <c r="Y30" s="53" t="n">
        <f aca="false">W30+X30</f>
        <v>904.608300554715</v>
      </c>
      <c r="Z30" s="57" t="n">
        <v>0.3</v>
      </c>
      <c r="AA30" s="58" t="n">
        <v>84</v>
      </c>
      <c r="AB30" s="58" t="n">
        <v>54</v>
      </c>
      <c r="AC30" s="59" t="n">
        <v>21</v>
      </c>
      <c r="AD30" s="74"/>
      <c r="AE30" s="78"/>
      <c r="AF30" s="78"/>
    </row>
    <row r="31" customFormat="false" ht="11.1" hidden="false" customHeight="true" outlineLevel="0" collapsed="false">
      <c r="A31" s="59" t="n">
        <v>22</v>
      </c>
      <c r="B31" s="76" t="n">
        <v>6895.27</v>
      </c>
      <c r="C31" s="54" t="n">
        <v>266457</v>
      </c>
      <c r="D31" s="58" t="n">
        <f aca="false">C31-C30</f>
        <v>-1601</v>
      </c>
      <c r="E31" s="54" t="n">
        <f aca="false">C31-152000</f>
        <v>114457</v>
      </c>
      <c r="F31" s="53" t="n">
        <f aca="false">D31/$D$2</f>
        <v>-807.362581946546</v>
      </c>
      <c r="G31" s="53" t="n">
        <v>104.71</v>
      </c>
      <c r="H31" s="55" t="n">
        <v>0</v>
      </c>
      <c r="I31" s="53" t="n">
        <f aca="false">G31+H31</f>
        <v>104.71</v>
      </c>
      <c r="J31" s="77" t="n">
        <f aca="false">IF(L31&gt;0,L31,0)</f>
        <v>0</v>
      </c>
      <c r="K31" s="53" t="n">
        <f aca="false">I31+J31</f>
        <v>104.71</v>
      </c>
      <c r="L31" s="53" t="n">
        <f aca="false">F31-(I31-W31)</f>
        <v>-94.3525819465456</v>
      </c>
      <c r="M31" s="53" t="n">
        <v>290.8</v>
      </c>
      <c r="N31" s="53" t="n">
        <f aca="false">(24.95+24.8)*1.05</f>
        <v>52.2375</v>
      </c>
      <c r="O31" s="53" t="n">
        <f aca="false">M31-N31</f>
        <v>238.5625</v>
      </c>
      <c r="P31" s="53" t="n">
        <v>139.28</v>
      </c>
      <c r="Q31" s="53" t="n">
        <v>83.22</v>
      </c>
      <c r="R31" s="53" t="n">
        <f aca="false">SUM(O31:Q31)</f>
        <v>461.0625</v>
      </c>
      <c r="S31" s="54" t="n">
        <f aca="false">(I31-R31)+S30</f>
        <v>-20309.3881267987</v>
      </c>
      <c r="T31" s="53" t="n">
        <v>225.33</v>
      </c>
      <c r="U31" s="53" t="n">
        <v>79.09</v>
      </c>
      <c r="V31" s="54" t="n">
        <f aca="false">V30-U31</f>
        <v>9292.60002268716</v>
      </c>
      <c r="W31" s="53" t="n">
        <f aca="false">R31+T31+N31+U31</f>
        <v>817.72</v>
      </c>
      <c r="X31" s="53" t="n">
        <f aca="false">IF(L31&lt;0,L31*-1,0)</f>
        <v>94.3525819465456</v>
      </c>
      <c r="Y31" s="53" t="n">
        <f aca="false">W31+X31</f>
        <v>912.072581946546</v>
      </c>
      <c r="Z31" s="57" t="n">
        <v>0.01</v>
      </c>
      <c r="AA31" s="58" t="n">
        <v>81</v>
      </c>
      <c r="AB31" s="58" t="n">
        <v>56</v>
      </c>
      <c r="AC31" s="59" t="n">
        <v>22</v>
      </c>
      <c r="AD31" s="74"/>
      <c r="AE31" s="78"/>
      <c r="AF31" s="78"/>
    </row>
    <row r="32" customFormat="false" ht="11.1" hidden="false" customHeight="true" outlineLevel="0" collapsed="false">
      <c r="A32" s="59" t="n">
        <v>23</v>
      </c>
      <c r="B32" s="76" t="n">
        <v>6894.89</v>
      </c>
      <c r="C32" s="54" t="n">
        <v>265108</v>
      </c>
      <c r="D32" s="58" t="n">
        <f aca="false">C32-C31</f>
        <v>-1349</v>
      </c>
      <c r="E32" s="54" t="n">
        <f aca="false">C32-152000</f>
        <v>113108</v>
      </c>
      <c r="F32" s="53" t="n">
        <f aca="false">D32/$D$2</f>
        <v>-680.282400403429</v>
      </c>
      <c r="G32" s="53" t="n">
        <v>110.62</v>
      </c>
      <c r="H32" s="55" t="n">
        <v>0</v>
      </c>
      <c r="I32" s="53" t="n">
        <f aca="false">G32+H32</f>
        <v>110.62</v>
      </c>
      <c r="J32" s="77" t="n">
        <f aca="false">IF(L32&gt;0,L32,0)</f>
        <v>4.22759959657083</v>
      </c>
      <c r="K32" s="53" t="n">
        <f aca="false">I32+J32</f>
        <v>114.847599596571</v>
      </c>
      <c r="L32" s="53" t="n">
        <f aca="false">F32-(I32-W32)</f>
        <v>4.22759959657083</v>
      </c>
      <c r="M32" s="53" t="n">
        <v>284.68</v>
      </c>
      <c r="N32" s="53" t="n">
        <f aca="false">(25.28+26.99)*1.05</f>
        <v>54.8835</v>
      </c>
      <c r="O32" s="53" t="n">
        <f aca="false">M32-N32</f>
        <v>229.7965</v>
      </c>
      <c r="P32" s="53" t="n">
        <v>140.66</v>
      </c>
      <c r="Q32" s="53" t="n">
        <v>83.16</v>
      </c>
      <c r="R32" s="53" t="n">
        <f aca="false">SUM(O32:Q32)</f>
        <v>453.6165</v>
      </c>
      <c r="S32" s="54" t="n">
        <f aca="false">(I32-R32)+S31</f>
        <v>-20652.3846267987</v>
      </c>
      <c r="T32" s="53" t="n">
        <v>207.34</v>
      </c>
      <c r="U32" s="53" t="n">
        <v>79.29</v>
      </c>
      <c r="V32" s="54" t="n">
        <f aca="false">V31-U32</f>
        <v>9213.31002268716</v>
      </c>
      <c r="W32" s="53" t="n">
        <f aca="false">R32+T32+N32+U32</f>
        <v>795.13</v>
      </c>
      <c r="X32" s="53" t="n">
        <f aca="false">IF(L32&lt;0,L32*-1,0)</f>
        <v>0</v>
      </c>
      <c r="Y32" s="53" t="n">
        <f aca="false">W32+X32</f>
        <v>795.13</v>
      </c>
      <c r="Z32" s="57" t="n">
        <v>0.1</v>
      </c>
      <c r="AA32" s="58" t="n">
        <v>79</v>
      </c>
      <c r="AB32" s="58" t="n">
        <v>52</v>
      </c>
      <c r="AC32" s="59" t="n">
        <v>23</v>
      </c>
      <c r="AD32" s="74"/>
      <c r="AE32" s="78"/>
      <c r="AF32" s="78"/>
    </row>
    <row r="33" customFormat="false" ht="11.1" hidden="false" customHeight="true" outlineLevel="0" collapsed="false">
      <c r="A33" s="59" t="n">
        <v>24</v>
      </c>
      <c r="B33" s="76" t="n">
        <v>6894.57</v>
      </c>
      <c r="C33" s="54" t="n">
        <v>263978</v>
      </c>
      <c r="D33" s="58" t="n">
        <f aca="false">C33-C32</f>
        <v>-1130</v>
      </c>
      <c r="E33" s="54" t="n">
        <f aca="false">C33-152000</f>
        <v>111978</v>
      </c>
      <c r="F33" s="53" t="n">
        <f aca="false">D33/$D$2</f>
        <v>-569.843671205244</v>
      </c>
      <c r="G33" s="53" t="n">
        <v>129.11</v>
      </c>
      <c r="H33" s="55" t="n">
        <v>0</v>
      </c>
      <c r="I33" s="53" t="n">
        <f aca="false">G33+H33</f>
        <v>129.11</v>
      </c>
      <c r="J33" s="77" t="n">
        <f aca="false">IF(L33&gt;0,L33,0)</f>
        <v>58.0463287947555</v>
      </c>
      <c r="K33" s="53" t="n">
        <f aca="false">I33+J33</f>
        <v>187.156328794756</v>
      </c>
      <c r="L33" s="53" t="n">
        <f aca="false">F33-(I33-W33)</f>
        <v>58.0463287947555</v>
      </c>
      <c r="M33" s="53" t="n">
        <v>261.14</v>
      </c>
      <c r="N33" s="53" t="n">
        <f aca="false">(25.26+25.48)*1.05</f>
        <v>53.277</v>
      </c>
      <c r="O33" s="53" t="n">
        <f aca="false">M33-N33</f>
        <v>207.863</v>
      </c>
      <c r="P33" s="53" t="n">
        <v>141.06</v>
      </c>
      <c r="Q33" s="53" t="n">
        <v>81.84</v>
      </c>
      <c r="R33" s="53" t="n">
        <f aca="false">SUM(O33:Q33)</f>
        <v>430.763</v>
      </c>
      <c r="S33" s="54" t="n">
        <f aca="false">(I33-R33)+S32</f>
        <v>-20954.0376267987</v>
      </c>
      <c r="T33" s="53" t="n">
        <v>193.67</v>
      </c>
      <c r="U33" s="53" t="n">
        <v>79.29</v>
      </c>
      <c r="V33" s="54" t="n">
        <f aca="false">V32-U33</f>
        <v>9134.02002268716</v>
      </c>
      <c r="W33" s="53" t="n">
        <f aca="false">R33+T33+N33+U33</f>
        <v>757</v>
      </c>
      <c r="X33" s="53" t="n">
        <f aca="false">IF(L33&lt;0,L33*-1,0)</f>
        <v>0</v>
      </c>
      <c r="Y33" s="53" t="n">
        <f aca="false">W33+X33</f>
        <v>757</v>
      </c>
      <c r="Z33" s="57" t="n">
        <v>0.14</v>
      </c>
      <c r="AA33" s="58" t="n">
        <v>77</v>
      </c>
      <c r="AB33" s="58" t="n">
        <v>55</v>
      </c>
      <c r="AC33" s="59" t="n">
        <v>24</v>
      </c>
      <c r="AD33" s="74"/>
      <c r="AE33" s="78"/>
      <c r="AF33" s="78"/>
    </row>
    <row r="34" customFormat="false" ht="11.1" hidden="false" customHeight="true" outlineLevel="0" collapsed="false">
      <c r="A34" s="59" t="n">
        <v>25</v>
      </c>
      <c r="B34" s="76" t="n">
        <v>6894.22</v>
      </c>
      <c r="C34" s="54" t="n">
        <v>262743</v>
      </c>
      <c r="D34" s="58" t="n">
        <f aca="false">C34-C33</f>
        <v>-1235</v>
      </c>
      <c r="E34" s="54" t="n">
        <f aca="false">C34-152000</f>
        <v>110743</v>
      </c>
      <c r="F34" s="53" t="n">
        <f aca="false">D34/$D$2</f>
        <v>-622.79374684821</v>
      </c>
      <c r="G34" s="53" t="n">
        <v>148.07</v>
      </c>
      <c r="H34" s="55" t="n">
        <v>0</v>
      </c>
      <c r="I34" s="53" t="n">
        <f aca="false">G34+H34</f>
        <v>148.07</v>
      </c>
      <c r="J34" s="77" t="n">
        <f aca="false">IF(L34&gt;0,L34,0)</f>
        <v>0</v>
      </c>
      <c r="K34" s="53" t="n">
        <f aca="false">I34+J34</f>
        <v>148.07</v>
      </c>
      <c r="L34" s="53" t="n">
        <f aca="false">F34-(I34-W34)</f>
        <v>-13.5937468482097</v>
      </c>
      <c r="M34" s="53" t="n">
        <v>276.8</v>
      </c>
      <c r="N34" s="53" t="n">
        <f aca="false">(27.34+27.83)*1.05</f>
        <v>57.9285</v>
      </c>
      <c r="O34" s="53" t="n">
        <f aca="false">M34-N34</f>
        <v>218.8715</v>
      </c>
      <c r="P34" s="53" t="n">
        <v>140.91</v>
      </c>
      <c r="Q34" s="53" t="n">
        <v>80.73</v>
      </c>
      <c r="R34" s="53" t="n">
        <f aca="false">SUM(O34:Q34)</f>
        <v>440.5115</v>
      </c>
      <c r="S34" s="54" t="n">
        <f aca="false">(I34-R34)+S33</f>
        <v>-21246.4791267987</v>
      </c>
      <c r="T34" s="53" t="n">
        <v>180.18</v>
      </c>
      <c r="U34" s="53" t="n">
        <v>78.65</v>
      </c>
      <c r="V34" s="54" t="n">
        <f aca="false">V33-U34</f>
        <v>9055.37002268716</v>
      </c>
      <c r="W34" s="53" t="n">
        <f aca="false">R34+T34+N34+U34</f>
        <v>757.27</v>
      </c>
      <c r="X34" s="53" t="n">
        <f aca="false">IF(L34&lt;0,L34*-1,0)</f>
        <v>13.5937468482097</v>
      </c>
      <c r="Y34" s="53" t="n">
        <f aca="false">W34+X34</f>
        <v>770.86374684821</v>
      </c>
      <c r="Z34" s="57" t="n">
        <v>0.15</v>
      </c>
      <c r="AA34" s="58" t="n">
        <v>80</v>
      </c>
      <c r="AB34" s="58" t="n">
        <v>57</v>
      </c>
      <c r="AC34" s="59" t="n">
        <v>25</v>
      </c>
      <c r="AD34" s="74"/>
      <c r="AE34" s="78"/>
      <c r="AF34" s="78"/>
    </row>
    <row r="35" customFormat="false" ht="11.1" hidden="false" customHeight="true" outlineLevel="0" collapsed="false">
      <c r="A35" s="59" t="n">
        <v>26</v>
      </c>
      <c r="B35" s="76" t="n">
        <v>6893.86</v>
      </c>
      <c r="C35" s="54" t="n">
        <v>261477</v>
      </c>
      <c r="D35" s="58" t="n">
        <f aca="false">C35-C34</f>
        <v>-1266</v>
      </c>
      <c r="E35" s="54" t="n">
        <f aca="false">C35-152000</f>
        <v>109477</v>
      </c>
      <c r="F35" s="53" t="n">
        <f aca="false">D35/$D$2</f>
        <v>-638.426626323752</v>
      </c>
      <c r="G35" s="53" t="n">
        <v>163.74</v>
      </c>
      <c r="H35" s="55" t="n">
        <v>0</v>
      </c>
      <c r="I35" s="53" t="n">
        <f aca="false">G35+H35</f>
        <v>163.74</v>
      </c>
      <c r="J35" s="77" t="n">
        <f aca="false">IF(L35&gt;0,L35,0)</f>
        <v>0</v>
      </c>
      <c r="K35" s="53" t="n">
        <f aca="false">I35+J35</f>
        <v>163.74</v>
      </c>
      <c r="L35" s="53" t="n">
        <f aca="false">F35-(I35-W35)</f>
        <v>-72.646626323752</v>
      </c>
      <c r="M35" s="53" t="n">
        <v>268.75</v>
      </c>
      <c r="N35" s="53" t="n">
        <f aca="false">(24.37+24.02)*1.05</f>
        <v>50.8095</v>
      </c>
      <c r="O35" s="53" t="n">
        <f aca="false">M35-N35</f>
        <v>217.9405</v>
      </c>
      <c r="P35" s="53" t="n">
        <v>140.66</v>
      </c>
      <c r="Q35" s="53" t="n">
        <v>79.99</v>
      </c>
      <c r="R35" s="53" t="n">
        <f aca="false">SUM(O35:Q35)</f>
        <v>438.5905</v>
      </c>
      <c r="S35" s="54" t="n">
        <f aca="false">(I35-R35)+S34</f>
        <v>-21521.3296267987</v>
      </c>
      <c r="T35" s="53" t="n">
        <v>161.48</v>
      </c>
      <c r="U35" s="53" t="n">
        <v>78.64</v>
      </c>
      <c r="V35" s="54" t="n">
        <f aca="false">V34-U35</f>
        <v>8976.73002268716</v>
      </c>
      <c r="W35" s="53" t="n">
        <f aca="false">R35+T35+N35+U35</f>
        <v>729.52</v>
      </c>
      <c r="X35" s="53" t="n">
        <f aca="false">IF(L35&lt;0,L35*-1,0)</f>
        <v>72.646626323752</v>
      </c>
      <c r="Y35" s="53" t="n">
        <f aca="false">W35+X35</f>
        <v>802.166626323752</v>
      </c>
      <c r="Z35" s="57" t="n">
        <v>0.06</v>
      </c>
      <c r="AA35" s="58" t="n">
        <v>79</v>
      </c>
      <c r="AB35" s="58" t="n">
        <v>54</v>
      </c>
      <c r="AC35" s="59" t="n">
        <v>26</v>
      </c>
      <c r="AD35" s="74"/>
      <c r="AE35" s="78"/>
      <c r="AF35" s="78"/>
    </row>
    <row r="36" customFormat="false" ht="11.1" hidden="false" customHeight="true" outlineLevel="0" collapsed="false">
      <c r="A36" s="59" t="n">
        <v>27</v>
      </c>
      <c r="B36" s="76" t="n">
        <v>6893.56</v>
      </c>
      <c r="C36" s="54" t="n">
        <v>260428</v>
      </c>
      <c r="D36" s="58" t="n">
        <f aca="false">C36-C35</f>
        <v>-1049</v>
      </c>
      <c r="E36" s="54" t="n">
        <f aca="false">C36-152000</f>
        <v>108428</v>
      </c>
      <c r="F36" s="53" t="n">
        <f aca="false">D36/$D$2</f>
        <v>-528.996469994957</v>
      </c>
      <c r="G36" s="53" t="n">
        <v>168.97</v>
      </c>
      <c r="H36" s="55" t="n">
        <v>0</v>
      </c>
      <c r="I36" s="53" t="n">
        <f aca="false">G36+H36</f>
        <v>168.97</v>
      </c>
      <c r="J36" s="77" t="n">
        <f aca="false">IF(L36&gt;0,L36,0)</f>
        <v>0</v>
      </c>
      <c r="K36" s="53" t="n">
        <f aca="false">I36+J36</f>
        <v>168.97</v>
      </c>
      <c r="L36" s="53" t="n">
        <f aca="false">F36-(I36-W36)</f>
        <v>-0.156469994957206</v>
      </c>
      <c r="M36" s="53" t="n">
        <v>239.09</v>
      </c>
      <c r="N36" s="53" t="n">
        <f aca="false">(21.62+21.18)*1.05</f>
        <v>44.94</v>
      </c>
      <c r="O36" s="53" t="n">
        <f aca="false">M36-N36</f>
        <v>194.15</v>
      </c>
      <c r="P36" s="53" t="n">
        <v>140.36</v>
      </c>
      <c r="Q36" s="53" t="n">
        <v>78.48</v>
      </c>
      <c r="R36" s="53" t="n">
        <f aca="false">SUM(O36:Q36)</f>
        <v>412.99</v>
      </c>
      <c r="S36" s="54" t="n">
        <f aca="false">(I36-R36)+S35</f>
        <v>-21765.3496267987</v>
      </c>
      <c r="T36" s="53" t="n">
        <v>160.36</v>
      </c>
      <c r="U36" s="53" t="n">
        <v>79.52</v>
      </c>
      <c r="V36" s="54" t="n">
        <f aca="false">V35-U36</f>
        <v>8897.21002268716</v>
      </c>
      <c r="W36" s="53" t="n">
        <f aca="false">R36+T36+N36+U36</f>
        <v>697.81</v>
      </c>
      <c r="X36" s="53" t="n">
        <f aca="false">IF(L36&lt;0,L36*-1,0)</f>
        <v>0.156469994957206</v>
      </c>
      <c r="Y36" s="53" t="n">
        <f aca="false">W36+X36</f>
        <v>697.966469994957</v>
      </c>
      <c r="Z36" s="57" t="n">
        <v>0</v>
      </c>
      <c r="AA36" s="58" t="n">
        <v>83</v>
      </c>
      <c r="AB36" s="58" t="n">
        <v>55</v>
      </c>
      <c r="AC36" s="59" t="n">
        <v>27</v>
      </c>
      <c r="AD36" s="74"/>
      <c r="AE36" s="78"/>
      <c r="AF36" s="78"/>
    </row>
    <row r="37" customFormat="false" ht="11.1" hidden="false" customHeight="true" outlineLevel="0" collapsed="false">
      <c r="A37" s="115" t="n">
        <v>28</v>
      </c>
      <c r="B37" s="97" t="n">
        <v>6893.24</v>
      </c>
      <c r="C37" s="98" t="n">
        <v>259309</v>
      </c>
      <c r="D37" s="116" t="n">
        <f aca="false">C37-C36</f>
        <v>-1119</v>
      </c>
      <c r="E37" s="98" t="n">
        <f aca="false">C37-152000</f>
        <v>107309</v>
      </c>
      <c r="F37" s="96" t="n">
        <f aca="false">D37/$D$2</f>
        <v>-564.296520423601</v>
      </c>
      <c r="G37" s="96" t="n">
        <v>169.49</v>
      </c>
      <c r="H37" s="117" t="n">
        <v>0</v>
      </c>
      <c r="I37" s="96" t="n">
        <f aca="false">G37+H37</f>
        <v>169.49</v>
      </c>
      <c r="J37" s="118" t="n">
        <f aca="false">IF(L37&gt;0,L37,0)</f>
        <v>0</v>
      </c>
      <c r="K37" s="96" t="n">
        <f aca="false">I37+J37</f>
        <v>169.49</v>
      </c>
      <c r="L37" s="96" t="n">
        <f aca="false">F37-(I37-W37)</f>
        <v>-27.2765204236006</v>
      </c>
      <c r="M37" s="96" t="n">
        <v>247.9</v>
      </c>
      <c r="N37" s="96" t="n">
        <f aca="false">(18.68+17.87)*1.05</f>
        <v>38.3775</v>
      </c>
      <c r="O37" s="96" t="n">
        <f aca="false">M37-N37</f>
        <v>209.5225</v>
      </c>
      <c r="P37" s="96" t="n">
        <v>139.93</v>
      </c>
      <c r="Q37" s="96" t="n">
        <v>77.71</v>
      </c>
      <c r="R37" s="96" t="n">
        <f aca="false">SUM(O37:Q37)</f>
        <v>427.1625</v>
      </c>
      <c r="S37" s="98" t="n">
        <f aca="false">(I37-R37)+S36</f>
        <v>-22023.0221267987</v>
      </c>
      <c r="T37" s="96" t="n">
        <v>161.68</v>
      </c>
      <c r="U37" s="96" t="n">
        <v>79.29</v>
      </c>
      <c r="V37" s="98" t="n">
        <f aca="false">V36-U37</f>
        <v>8817.92002268716</v>
      </c>
      <c r="W37" s="96" t="n">
        <f aca="false">R37+T37+N37+U37</f>
        <v>706.51</v>
      </c>
      <c r="X37" s="96" t="n">
        <f aca="false">IF(L37&lt;0,L37*-1,0)</f>
        <v>27.2765204236006</v>
      </c>
      <c r="Y37" s="96" t="n">
        <f aca="false">W37+X37</f>
        <v>733.786520423601</v>
      </c>
      <c r="Z37" s="119" t="n">
        <v>0.11</v>
      </c>
      <c r="AA37" s="116" t="n">
        <v>84</v>
      </c>
      <c r="AB37" s="116" t="n">
        <v>55</v>
      </c>
      <c r="AC37" s="115" t="n">
        <v>28</v>
      </c>
      <c r="AD37" s="74"/>
      <c r="AE37" s="78"/>
      <c r="AF37" s="78"/>
    </row>
    <row r="38" customFormat="false" ht="11.1" hidden="false" customHeight="true" outlineLevel="0" collapsed="false">
      <c r="A38" s="115" t="n">
        <v>29</v>
      </c>
      <c r="B38" s="97" t="n">
        <v>6892.74</v>
      </c>
      <c r="C38" s="98" t="n">
        <v>257568</v>
      </c>
      <c r="D38" s="116" t="n">
        <f aca="false">C38-C37</f>
        <v>-1741</v>
      </c>
      <c r="E38" s="98" t="n">
        <f aca="false">C38-152000</f>
        <v>105568</v>
      </c>
      <c r="F38" s="96" t="n">
        <f aca="false">D38/$D$2</f>
        <v>-877.962682803832</v>
      </c>
      <c r="G38" s="96" t="n">
        <v>147.57</v>
      </c>
      <c r="H38" s="117" t="n">
        <v>0</v>
      </c>
      <c r="I38" s="96" t="n">
        <f aca="false">G38+H38</f>
        <v>147.57</v>
      </c>
      <c r="J38" s="118" t="n">
        <f aca="false">IF(L38&gt;0,L38,0)</f>
        <v>0</v>
      </c>
      <c r="K38" s="96" t="n">
        <f aca="false">I38+J38</f>
        <v>147.57</v>
      </c>
      <c r="L38" s="96" t="n">
        <f aca="false">F38-(I38-W38)</f>
        <v>-307.142682803833</v>
      </c>
      <c r="M38" s="96" t="n">
        <v>254.68</v>
      </c>
      <c r="N38" s="96" t="n">
        <f aca="false">(25.69+24.86)*1.05</f>
        <v>53.0775</v>
      </c>
      <c r="O38" s="96" t="n">
        <f aca="false">M38-N38</f>
        <v>201.6025</v>
      </c>
      <c r="P38" s="96" t="n">
        <v>139.56</v>
      </c>
      <c r="Q38" s="96" t="n">
        <v>76.66</v>
      </c>
      <c r="R38" s="96" t="n">
        <f aca="false">SUM(O38:Q38)</f>
        <v>417.8225</v>
      </c>
      <c r="S38" s="98" t="n">
        <f aca="false">(I38-R38)+S37</f>
        <v>-22293.2746267987</v>
      </c>
      <c r="T38" s="96" t="n">
        <v>168.48</v>
      </c>
      <c r="U38" s="96" t="n">
        <v>79.01</v>
      </c>
      <c r="V38" s="98" t="n">
        <f aca="false">V37-U38</f>
        <v>8738.91002268716</v>
      </c>
      <c r="W38" s="96" t="n">
        <f aca="false">R38+T38+N38+U38</f>
        <v>718.39</v>
      </c>
      <c r="X38" s="96" t="n">
        <f aca="false">IF(L38&lt;0,L38*-1,0)</f>
        <v>307.142682803833</v>
      </c>
      <c r="Y38" s="96" t="n">
        <f aca="false">W38+X38</f>
        <v>1025.53268280383</v>
      </c>
      <c r="Z38" s="119" t="n">
        <v>0</v>
      </c>
      <c r="AA38" s="116" t="n">
        <v>86</v>
      </c>
      <c r="AB38" s="116" t="n">
        <v>54</v>
      </c>
      <c r="AC38" s="115" t="n">
        <v>29</v>
      </c>
      <c r="AD38" s="74"/>
      <c r="AE38" s="78"/>
      <c r="AF38" s="78"/>
    </row>
    <row r="39" customFormat="false" ht="11.1" hidden="false" customHeight="true" outlineLevel="0" collapsed="false">
      <c r="A39" s="115" t="n">
        <v>30</v>
      </c>
      <c r="B39" s="97" t="n">
        <v>6892.53</v>
      </c>
      <c r="C39" s="98" t="n">
        <v>256840</v>
      </c>
      <c r="D39" s="116" t="n">
        <f aca="false">C39-C38</f>
        <v>-728</v>
      </c>
      <c r="E39" s="98" t="n">
        <f aca="false">C39-152000</f>
        <v>104840</v>
      </c>
      <c r="F39" s="96" t="n">
        <f aca="false">D39/$D$2</f>
        <v>-367.120524457892</v>
      </c>
      <c r="G39" s="96" t="n">
        <v>131.63</v>
      </c>
      <c r="H39" s="117" t="n">
        <v>0</v>
      </c>
      <c r="I39" s="96" t="n">
        <f aca="false">G39+H39</f>
        <v>131.63</v>
      </c>
      <c r="J39" s="118" t="n">
        <f aca="false">IF(L39&gt;0,L39,0)</f>
        <v>199.799475542108</v>
      </c>
      <c r="K39" s="96" t="n">
        <f aca="false">I39+J39</f>
        <v>331.429475542108</v>
      </c>
      <c r="L39" s="96" t="n">
        <f aca="false">F39-(I39-W39)</f>
        <v>199.799475542108</v>
      </c>
      <c r="M39" s="96" t="n">
        <v>252.31</v>
      </c>
      <c r="N39" s="96" t="n">
        <f aca="false">(24.45+25.5)*1.05</f>
        <v>52.4475</v>
      </c>
      <c r="O39" s="96" t="n">
        <f aca="false">M39-N39</f>
        <v>199.8625</v>
      </c>
      <c r="P39" s="96" t="n">
        <v>139.26</v>
      </c>
      <c r="Q39" s="96" t="n">
        <v>76.76</v>
      </c>
      <c r="R39" s="96" t="n">
        <f aca="false">SUM(O39:Q39)</f>
        <v>415.8825</v>
      </c>
      <c r="S39" s="98" t="n">
        <f aca="false">(I39-R39)+S38</f>
        <v>-22577.5271267987</v>
      </c>
      <c r="T39" s="96" t="n">
        <v>151.21</v>
      </c>
      <c r="U39" s="96" t="n">
        <v>79.01</v>
      </c>
      <c r="V39" s="98" t="n">
        <f aca="false">V38-U39</f>
        <v>8659.90002268716</v>
      </c>
      <c r="W39" s="96" t="n">
        <f aca="false">R39+T39+N39+U39</f>
        <v>698.55</v>
      </c>
      <c r="X39" s="96" t="n">
        <f aca="false">IF(L39&lt;0,L39*-1,0)</f>
        <v>0</v>
      </c>
      <c r="Y39" s="96" t="n">
        <f aca="false">W39+X39</f>
        <v>698.55</v>
      </c>
      <c r="Z39" s="119" t="n">
        <v>0</v>
      </c>
      <c r="AA39" s="116" t="n">
        <v>85</v>
      </c>
      <c r="AB39" s="116" t="n">
        <v>50</v>
      </c>
      <c r="AC39" s="115" t="n">
        <v>30</v>
      </c>
      <c r="AD39" s="74"/>
      <c r="AE39" s="78"/>
      <c r="AF39" s="78"/>
    </row>
    <row r="40" customFormat="false" ht="11.1" hidden="false" customHeight="true" outlineLevel="0" collapsed="false">
      <c r="A40" s="115" t="n">
        <v>31</v>
      </c>
      <c r="B40" s="97" t="n">
        <v>6892.16</v>
      </c>
      <c r="C40" s="98" t="n">
        <v>255557</v>
      </c>
      <c r="D40" s="116" t="n">
        <f aca="false">C40-C39</f>
        <v>-1283</v>
      </c>
      <c r="E40" s="98" t="n">
        <f aca="false">C40-152000</f>
        <v>103557</v>
      </c>
      <c r="F40" s="96" t="n">
        <f aca="false">D40/$D$2</f>
        <v>-646.999495713565</v>
      </c>
      <c r="G40" s="96" t="n">
        <v>122.52</v>
      </c>
      <c r="H40" s="117" t="n">
        <v>0</v>
      </c>
      <c r="I40" s="96" t="n">
        <f aca="false">G40+H40</f>
        <v>122.52</v>
      </c>
      <c r="J40" s="118" t="n">
        <f aca="false">IF(L40&gt;0,L40,0)</f>
        <v>0</v>
      </c>
      <c r="K40" s="96" t="n">
        <f aca="false">I40+J40</f>
        <v>122.52</v>
      </c>
      <c r="L40" s="96" t="n">
        <f aca="false">F40-(I40-W40)</f>
        <v>-84.7394957135651</v>
      </c>
      <c r="M40" s="96" t="n">
        <v>258.72</v>
      </c>
      <c r="N40" s="96" t="n">
        <f aca="false">(22.36+23.56)*1.05</f>
        <v>48.216</v>
      </c>
      <c r="O40" s="96" t="n">
        <f aca="false">M40-N40</f>
        <v>210.504</v>
      </c>
      <c r="P40" s="96" t="n">
        <v>140.41</v>
      </c>
      <c r="Q40" s="96" t="n">
        <v>78.14</v>
      </c>
      <c r="R40" s="96" t="n">
        <f aca="false">SUM(O40:Q40)</f>
        <v>429.054</v>
      </c>
      <c r="S40" s="98" t="n">
        <f aca="false">(I40-R40)+S39</f>
        <v>-22884.0611267987</v>
      </c>
      <c r="T40" s="96" t="n">
        <v>128.04</v>
      </c>
      <c r="U40" s="96" t="n">
        <v>79.47</v>
      </c>
      <c r="V40" s="98" t="n">
        <f aca="false">V39-U40</f>
        <v>8580.43002268716</v>
      </c>
      <c r="W40" s="96" t="n">
        <f aca="false">R40+T40+N40+U40</f>
        <v>684.78</v>
      </c>
      <c r="X40" s="96" t="n">
        <f aca="false">IF(L40&lt;0,L40*-1,0)</f>
        <v>84.7394957135651</v>
      </c>
      <c r="Y40" s="96" t="n">
        <f aca="false">W40+X40</f>
        <v>769.519495713565</v>
      </c>
      <c r="Z40" s="119" t="n">
        <v>0</v>
      </c>
      <c r="AA40" s="116" t="n">
        <v>86</v>
      </c>
      <c r="AB40" s="116" t="n">
        <v>52</v>
      </c>
      <c r="AC40" s="115" t="n">
        <v>31</v>
      </c>
      <c r="AD40" s="74"/>
      <c r="AE40" s="78"/>
      <c r="AF40" s="78"/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-22038.8300554715</v>
      </c>
      <c r="G42" s="54" t="n">
        <f aca="false">SUM(G10:G40)</f>
        <v>3562.12</v>
      </c>
      <c r="H42" s="54" t="n">
        <f aca="false">SUM(H10:H40)</f>
        <v>0</v>
      </c>
      <c r="I42" s="54" t="n">
        <f aca="false">SUM(I10:I40)</f>
        <v>3562.12</v>
      </c>
      <c r="J42" s="54" t="n">
        <f aca="false">SUM(J10:J40)</f>
        <v>954.050282400404</v>
      </c>
      <c r="K42" s="54" t="n">
        <f aca="false">SUM(K10:K40)</f>
        <v>4516.1702824004</v>
      </c>
      <c r="L42" s="54" t="n">
        <f aca="false">SUM(L10:L40)</f>
        <v>-1248.25901159859</v>
      </c>
      <c r="M42" s="54" t="n">
        <f aca="false">SUM(M10:M40)</f>
        <v>9159.08</v>
      </c>
      <c r="N42" s="54" t="n">
        <f aca="false">SUM(N10:N40)</f>
        <v>1683.98009631871</v>
      </c>
      <c r="O42" s="54" t="n">
        <f aca="false">SUM(O10:O40)</f>
        <v>7475.09990368129</v>
      </c>
      <c r="P42" s="54" t="n">
        <f aca="false">SUM(P10:P40)</f>
        <v>3666.47</v>
      </c>
      <c r="Q42" s="54" t="n">
        <f aca="false">SUM(Q10:Q40)</f>
        <v>2533.16</v>
      </c>
      <c r="R42" s="54" t="n">
        <f aca="false">SUM(R10:R40)</f>
        <v>13674.7299036813</v>
      </c>
      <c r="S42" s="54"/>
      <c r="T42" s="54" t="n">
        <f aca="false">SUM(T10:T40)</f>
        <v>6510.60104387292</v>
      </c>
      <c r="U42" s="54" t="n">
        <f aca="false">SUM(U10:U40)</f>
        <v>2483.38</v>
      </c>
      <c r="V42" s="54"/>
      <c r="W42" s="54" t="n">
        <f aca="false">SUM(W10:W40)</f>
        <v>24352.6910438729</v>
      </c>
      <c r="X42" s="54" t="n">
        <f aca="false">SUM(X10:X40)</f>
        <v>2202.30929399899</v>
      </c>
      <c r="Y42" s="54" t="n">
        <f aca="false">SUM(Y10:Y40)</f>
        <v>26555.0003378719</v>
      </c>
      <c r="Z42" s="57" t="n">
        <f aca="false">SUM(Z10:Z40)</f>
        <v>1</v>
      </c>
      <c r="AA42" s="58" t="n">
        <f aca="false">AVERAGE(AA10:AA40)</f>
        <v>86</v>
      </c>
      <c r="AB42" s="58" t="n">
        <f aca="false">AVERAGE(AB10:AB40)</f>
        <v>55.0967741935484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-43703</v>
      </c>
      <c r="E43" s="54"/>
      <c r="F43" s="54" t="n">
        <f aca="false">F42*$D$2</f>
        <v>-43703</v>
      </c>
      <c r="G43" s="54" t="n">
        <f aca="false">G42*$D$2</f>
        <v>7063.68396</v>
      </c>
      <c r="H43" s="54" t="n">
        <f aca="false">H42*$D$2</f>
        <v>0</v>
      </c>
      <c r="I43" s="54" t="n">
        <f aca="false">I42*$D$2</f>
        <v>7063.68396</v>
      </c>
      <c r="J43" s="54" t="n">
        <f aca="false">J42*$D$2</f>
        <v>1891.88171</v>
      </c>
      <c r="K43" s="54" t="n">
        <f aca="false">K42*$D$2</f>
        <v>8955.56567</v>
      </c>
      <c r="L43" s="54" t="n">
        <f aca="false">L42*$D$2</f>
        <v>-2475.29762</v>
      </c>
      <c r="M43" s="54" t="n">
        <f aca="false">M42*$D$2</f>
        <v>18162.45564</v>
      </c>
      <c r="N43" s="54" t="n">
        <f aca="false">N42*$D$2</f>
        <v>3339.332531</v>
      </c>
      <c r="O43" s="54" t="n">
        <f aca="false">O42*$D$2</f>
        <v>14823.123109</v>
      </c>
      <c r="P43" s="54" t="n">
        <f aca="false">P42*$D$2</f>
        <v>7270.61001</v>
      </c>
      <c r="Q43" s="54" t="n">
        <f aca="false">Q42*$D$2</f>
        <v>5023.25628</v>
      </c>
      <c r="R43" s="54" t="n">
        <f aca="false">R42*$D$2</f>
        <v>27116.989399</v>
      </c>
      <c r="S43" s="54"/>
      <c r="T43" s="54" t="n">
        <f aca="false">T42*$D$2</f>
        <v>12910.52187</v>
      </c>
      <c r="U43" s="54" t="n">
        <f aca="false">U42*$D$2</f>
        <v>4924.54254</v>
      </c>
      <c r="V43" s="54" t="n">
        <f aca="false">V42*$D$2</f>
        <v>0</v>
      </c>
      <c r="W43" s="54" t="n">
        <f aca="false">W42*$D$2</f>
        <v>48291.38634</v>
      </c>
      <c r="X43" s="54" t="n">
        <f aca="false">X42*$D$2</f>
        <v>4367.17933</v>
      </c>
      <c r="Y43" s="54" t="n">
        <f aca="false">Y42*$D$2</f>
        <v>52658.56567</v>
      </c>
      <c r="Z43" s="57"/>
      <c r="AA43" s="58" t="n">
        <f aca="false">MAX(AA10:AA40)</f>
        <v>97</v>
      </c>
      <c r="AB43" s="58" t="n">
        <f aca="false">MAX(AB10:AB40)</f>
        <v>62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 t="n">
        <f aca="false">F7+F42</f>
        <v>-31493.5465446718</v>
      </c>
      <c r="G45" s="54" t="n">
        <f aca="false">G7+G42</f>
        <v>73238.86</v>
      </c>
      <c r="H45" s="54" t="n">
        <f aca="false">H7+H42</f>
        <v>694.98</v>
      </c>
      <c r="I45" s="54" t="n">
        <f aca="false">I7+I42</f>
        <v>73933.84</v>
      </c>
      <c r="J45" s="54" t="n">
        <f aca="false">J7+J42</f>
        <v>8453.6256916612</v>
      </c>
      <c r="K45" s="54" t="n">
        <f aca="false">K7+K42</f>
        <v>82387.4656916612</v>
      </c>
      <c r="L45" s="54" t="n">
        <f aca="false">L7+L42</f>
        <v>239.673982437819</v>
      </c>
      <c r="M45" s="54" t="n">
        <f aca="false">M7+M42</f>
        <v>39560.24</v>
      </c>
      <c r="N45" s="54" t="n">
        <f aca="false">N7+N42</f>
        <v>7295.64347985791</v>
      </c>
      <c r="O45" s="54" t="n">
        <f aca="false">O7+O42</f>
        <v>32264.5965201421</v>
      </c>
      <c r="P45" s="54" t="n">
        <f aca="false">P7+P42</f>
        <v>19601.73</v>
      </c>
      <c r="Q45" s="54" t="n">
        <f aca="false">Q7+Q42</f>
        <v>10655.76</v>
      </c>
      <c r="R45" s="54" t="n">
        <f aca="false">R7+R42</f>
        <v>62522.0865201421</v>
      </c>
      <c r="S45" s="54" t="n">
        <f aca="false">S40</f>
        <v>-22884.0611267987</v>
      </c>
      <c r="T45" s="54" t="n">
        <f aca="false">T7+T42</f>
        <v>25896.3599952215</v>
      </c>
      <c r="U45" s="54" t="n">
        <f aca="false">U7+U42</f>
        <v>9932.3</v>
      </c>
      <c r="V45" s="54"/>
      <c r="W45" s="54" t="n">
        <f aca="false">W7+W42</f>
        <v>105667.06052711</v>
      </c>
      <c r="X45" s="54" t="n">
        <f aca="false">X7+X42</f>
        <v>8213.95170922338</v>
      </c>
      <c r="Y45" s="54" t="n">
        <f aca="false">Y7+Y42</f>
        <v>113881.012236333</v>
      </c>
      <c r="Z45" s="57"/>
      <c r="AA45" s="58" t="n">
        <f aca="false">MIN(AA10:AA40)</f>
        <v>77</v>
      </c>
      <c r="AB45" s="58" t="n">
        <f aca="false">MIN(AB10:AB40)</f>
        <v>47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 t="n">
        <f aca="false">F45*$D$2</f>
        <v>-62451.7027980842</v>
      </c>
      <c r="G46" s="54" t="n">
        <f aca="false">G45*$D$2</f>
        <v>145232.65938</v>
      </c>
      <c r="H46" s="54" t="n">
        <f aca="false">H45*$D$2</f>
        <v>1378.14534</v>
      </c>
      <c r="I46" s="54" t="n">
        <f aca="false">I45*$D$2</f>
        <v>146610.80472</v>
      </c>
      <c r="J46" s="54" t="n">
        <f aca="false">J45*$D$2</f>
        <v>16763.5397465642</v>
      </c>
      <c r="K46" s="54" t="n">
        <f aca="false">K45*$D$2</f>
        <v>163374.344466564</v>
      </c>
      <c r="L46" s="54" t="n">
        <f aca="false">L45*$D$2</f>
        <v>475.273507174195</v>
      </c>
      <c r="M46" s="54" t="n">
        <f aca="false">M45*$D$2</f>
        <v>78447.95592</v>
      </c>
      <c r="N46" s="54" t="n">
        <f aca="false">N45*$D$2</f>
        <v>14467.2610205582</v>
      </c>
      <c r="O46" s="54" t="n">
        <f aca="false">O45*$D$2</f>
        <v>63980.6948994418</v>
      </c>
      <c r="P46" s="54" t="n">
        <f aca="false">P45*$D$2</f>
        <v>38870.23059</v>
      </c>
      <c r="Q46" s="54" t="n">
        <f aca="false">Q45*$D$2</f>
        <v>21130.37208</v>
      </c>
      <c r="R46" s="54" t="n">
        <f aca="false">R45*$D$2</f>
        <v>123981.297569442</v>
      </c>
      <c r="S46" s="54" t="n">
        <f aca="false">S45*$D$2</f>
        <v>-45379.0932144418</v>
      </c>
      <c r="T46" s="54" t="n">
        <f aca="false">T45*$D$2</f>
        <v>51352.4818705243</v>
      </c>
      <c r="U46" s="54" t="n">
        <f aca="false">U45*$D$2</f>
        <v>19695.7509</v>
      </c>
      <c r="V46" s="54" t="n">
        <f aca="false">V45*$D$2</f>
        <v>0</v>
      </c>
      <c r="W46" s="54" t="n">
        <f aca="false">W45*$D$2</f>
        <v>209537.781025258</v>
      </c>
      <c r="X46" s="54" t="n">
        <f aca="false">X45*$D$2</f>
        <v>16288.26623939</v>
      </c>
      <c r="Y46" s="54" t="n">
        <f aca="false">Y45*$D$2</f>
        <v>225826.047264648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-29244.9333323672</v>
      </c>
      <c r="G48" s="54" t="n">
        <f aca="false">G8+G42</f>
        <v>84552.4701260716</v>
      </c>
      <c r="H48" s="58" t="n">
        <f aca="false">H8+H42</f>
        <v>817.24</v>
      </c>
      <c r="I48" s="54" t="n">
        <f aca="false">I8+I42</f>
        <v>85369.6101260716</v>
      </c>
      <c r="J48" s="54" t="n">
        <f aca="false">J8+J42</f>
        <v>10854.4257622613</v>
      </c>
      <c r="K48" s="54" t="n">
        <f aca="false">K8+K42</f>
        <v>96224.0358883329</v>
      </c>
      <c r="L48" s="54" t="n">
        <f aca="false">L8+L42</f>
        <v>-1544.3129313292</v>
      </c>
      <c r="M48" s="54" t="n">
        <f aca="false">M8+M42</f>
        <v>41012.04</v>
      </c>
      <c r="N48" s="54" t="n">
        <f aca="false">N8+N42</f>
        <v>7355.34347985791</v>
      </c>
      <c r="O48" s="54" t="n">
        <f aca="false">O8+O42</f>
        <v>33164.1965201421</v>
      </c>
      <c r="P48" s="54" t="n">
        <f aca="false">P8+P42</f>
        <v>20435.98</v>
      </c>
      <c r="Q48" s="54" t="n">
        <f aca="false">Q8+Q42</f>
        <v>10655.76</v>
      </c>
      <c r="R48" s="54" t="n">
        <f aca="false">R8+R42</f>
        <v>64624.4365201421</v>
      </c>
      <c r="S48" s="54"/>
      <c r="T48" s="54" t="n">
        <f aca="false">T8+T42</f>
        <v>25896.3599952215</v>
      </c>
      <c r="U48" s="54" t="n">
        <f aca="false">U8+U42</f>
        <v>15049.42</v>
      </c>
      <c r="V48" s="54" t="n">
        <f aca="false">V40</f>
        <v>8580.43002268716</v>
      </c>
      <c r="W48" s="54" t="n">
        <f aca="false">W8+W42</f>
        <v>113070.23052711</v>
      </c>
      <c r="X48" s="54" t="n">
        <f aca="false">X8+X42</f>
        <v>12398.7386935905</v>
      </c>
      <c r="Y48" s="54" t="n">
        <f aca="false">Y8+Y42</f>
        <v>125468.9692207</v>
      </c>
      <c r="Z48" s="77" t="n">
        <f aca="false">Z8+Z42</f>
        <v>8.612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-57989</v>
      </c>
      <c r="E49" s="54" t="n">
        <f aca="false">E40</f>
        <v>103557</v>
      </c>
      <c r="F49" s="54" t="n">
        <f aca="false">F48*$D$2</f>
        <v>-57992.7027980842</v>
      </c>
      <c r="G49" s="54" t="n">
        <f aca="false">G48*$D$2</f>
        <v>167667.54826</v>
      </c>
      <c r="H49" s="58" t="n">
        <f aca="false">H48*$D$2</f>
        <v>1620.58692</v>
      </c>
      <c r="I49" s="54" t="n">
        <f aca="false">I48*$D$2</f>
        <v>169287.93688</v>
      </c>
      <c r="J49" s="54" t="n">
        <f aca="false">J48*$D$2</f>
        <v>21524.3262865641</v>
      </c>
      <c r="K49" s="54" t="n">
        <f aca="false">K48*$D$2</f>
        <v>190812.263166564</v>
      </c>
      <c r="L49" s="54" t="n">
        <f aca="false">L48*$D$2</f>
        <v>-3062.37254282581</v>
      </c>
      <c r="M49" s="54" t="n">
        <f aca="false">M48*$D$2</f>
        <v>81326.87532</v>
      </c>
      <c r="N49" s="54" t="n">
        <f aca="false">N48*$D$2</f>
        <v>14585.6461205582</v>
      </c>
      <c r="O49" s="54" t="n">
        <f aca="false">O48*$D$2</f>
        <v>65764.6016994418</v>
      </c>
      <c r="P49" s="54" t="n">
        <f aca="false">P48*$D$2</f>
        <v>40524.54834</v>
      </c>
      <c r="Q49" s="54" t="n">
        <f aca="false">Q48*$D$2</f>
        <v>21130.37208</v>
      </c>
      <c r="R49" s="54" t="n">
        <f aca="false">R48*$D$2</f>
        <v>128150.257619442</v>
      </c>
      <c r="S49" s="54" t="n">
        <f aca="false">S48*$D$2</f>
        <v>0</v>
      </c>
      <c r="T49" s="54" t="n">
        <f aca="false">T48*$D$2</f>
        <v>51352.4818705243</v>
      </c>
      <c r="U49" s="54" t="n">
        <f aca="false">U48*$D$2</f>
        <v>29842.99986</v>
      </c>
      <c r="V49" s="54" t="n">
        <f aca="false">V48*$D$2</f>
        <v>17014.9927349886</v>
      </c>
      <c r="W49" s="54" t="n">
        <f aca="false">W48*$D$2</f>
        <v>224218.267135258</v>
      </c>
      <c r="X49" s="54" t="n">
        <f aca="false">X48*$D$2</f>
        <v>24586.69882939</v>
      </c>
      <c r="Y49" s="54" t="n">
        <f aca="false">Y48*$D$2</f>
        <v>248804.965964648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120" t="str">
        <f aca="false">"SEP /12"</f>
        <v>SEP /12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 t="s">
        <v>91</v>
      </c>
      <c r="R51" s="53"/>
      <c r="S51" s="54"/>
      <c r="T51" s="53" t="n">
        <v>55250</v>
      </c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6888.68</v>
      </c>
      <c r="C52" s="54" t="n">
        <v>243735</v>
      </c>
      <c r="D52" s="86"/>
      <c r="E52" s="54" t="n">
        <f aca="false">C52-152000</f>
        <v>91735</v>
      </c>
      <c r="F52" s="53"/>
      <c r="G52" s="53"/>
      <c r="H52" s="86"/>
      <c r="I52" s="55"/>
      <c r="J52" s="53"/>
      <c r="K52" s="43"/>
      <c r="L52" s="53"/>
      <c r="M52" s="53"/>
      <c r="N52" s="53"/>
      <c r="O52" s="53"/>
      <c r="P52" s="53"/>
      <c r="Q52" s="53" t="s">
        <v>92</v>
      </c>
      <c r="R52" s="53"/>
      <c r="S52" s="54"/>
      <c r="T52" s="53" t="n">
        <f aca="false">T51-T49</f>
        <v>3897.51812947567</v>
      </c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"8/8/96 thru9/12/965"</f>
        <v>8/8/96 thru9/12/965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121"/>
      <c r="Q53" s="86" t="s">
        <v>93</v>
      </c>
      <c r="R53" s="91"/>
      <c r="S53" s="54"/>
      <c r="T53" s="58" t="n">
        <f aca="false">(2400/61)*31</f>
        <v>1219.67213114754</v>
      </c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B52-B17</f>
        <v>-12.5</v>
      </c>
      <c r="C54" s="54"/>
      <c r="D54" s="54" t="n">
        <f aca="false">C52-C17</f>
        <v>-44219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/>
      <c r="Q54" s="86" t="s">
        <v>94</v>
      </c>
      <c r="R54" s="86"/>
      <c r="S54" s="54"/>
      <c r="T54" s="54" t="n">
        <f aca="false">T52-T53</f>
        <v>2677.84599832813</v>
      </c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/>
      <c r="Q55" s="86" t="s">
        <v>95</v>
      </c>
      <c r="R55" s="86"/>
      <c r="S55" s="0"/>
      <c r="T55" s="54" t="n">
        <f aca="false">T54/D2</f>
        <v>1350.40141115891</v>
      </c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  <row r="56" customFormat="false" ht="11.1" hidden="false" customHeight="true" outlineLevel="0" collapsed="false">
      <c r="Q56" s="122" t="s">
        <v>96</v>
      </c>
      <c r="S56" s="54" t="n">
        <v>150</v>
      </c>
      <c r="T56" s="54" t="n">
        <f aca="false">T55/S56</f>
        <v>9.00267607439277</v>
      </c>
    </row>
    <row r="57" customFormat="false" ht="11.1" hidden="false" customHeight="true" outlineLevel="0" collapsed="false">
      <c r="Q57" s="122" t="s">
        <v>96</v>
      </c>
      <c r="S57" s="54" t="n">
        <v>125</v>
      </c>
      <c r="T57" s="54" t="n">
        <f aca="false">T55/S57</f>
        <v>10.8032112892713</v>
      </c>
    </row>
    <row r="58" customFormat="false" ht="11.1" hidden="false" customHeight="true" outlineLevel="0" collapsed="false">
      <c r="S58" s="54"/>
      <c r="T58" s="5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97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98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98</v>
      </c>
      <c r="AD5" s="60"/>
      <c r="AE5" s="60"/>
      <c r="AG5" s="123" t="s">
        <v>99</v>
      </c>
      <c r="AH5" s="123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  <c r="AG6" s="114"/>
      <c r="AH6" s="114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AUG!$F$45:$Y$45</f>
        <v>-31493.5465446718</v>
      </c>
      <c r="G7" s="54" t="n">
        <v>73238.86</v>
      </c>
      <c r="H7" s="54" t="n">
        <v>694.98</v>
      </c>
      <c r="I7" s="54" t="n">
        <v>73933.84</v>
      </c>
      <c r="J7" s="54" t="n">
        <v>8453.6256916612</v>
      </c>
      <c r="K7" s="54" t="n">
        <v>82387.4656916612</v>
      </c>
      <c r="L7" s="54" t="n">
        <v>239.673982437819</v>
      </c>
      <c r="M7" s="54" t="n">
        <v>39560.24</v>
      </c>
      <c r="N7" s="54" t="n">
        <v>7295.64347985791</v>
      </c>
      <c r="O7" s="54" t="n">
        <v>32264.5965201421</v>
      </c>
      <c r="P7" s="54" t="n">
        <v>19601.73</v>
      </c>
      <c r="Q7" s="54" t="n">
        <v>10655.76</v>
      </c>
      <c r="R7" s="54" t="n">
        <v>62522.0865201421</v>
      </c>
      <c r="S7" s="54" t="n">
        <v>-22884.0611267987</v>
      </c>
      <c r="T7" s="54" t="n">
        <v>25896.3599952215</v>
      </c>
      <c r="U7" s="54" t="n">
        <v>9932.3</v>
      </c>
      <c r="V7" s="54" t="n">
        <v>0</v>
      </c>
      <c r="W7" s="54" t="n">
        <v>105667.06052711</v>
      </c>
      <c r="X7" s="54" t="n">
        <v>8213.95170922338</v>
      </c>
      <c r="Y7" s="54" t="n">
        <v>113881.012236333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AUG!$B$40:$C$40</f>
        <v>6892.16</v>
      </c>
      <c r="C8" s="54" t="n">
        <v>255557</v>
      </c>
      <c r="D8" s="54" t="n">
        <f aca="false" t="array" ref="D8:E8">AUG!$D$49:$E$49</f>
        <v>-57989</v>
      </c>
      <c r="E8" s="54" t="n">
        <v>103557</v>
      </c>
      <c r="F8" s="54" t="n">
        <f aca="false" t="array" ref="F8:Z8">AUG!$F$48:$Z$48</f>
        <v>-29244.9333323672</v>
      </c>
      <c r="G8" s="54" t="n">
        <v>84552.4701260716</v>
      </c>
      <c r="H8" s="54" t="n">
        <v>817.24</v>
      </c>
      <c r="I8" s="54" t="n">
        <v>85369.6101260716</v>
      </c>
      <c r="J8" s="54" t="n">
        <v>10854.4257622613</v>
      </c>
      <c r="K8" s="54" t="n">
        <v>96224.0358883329</v>
      </c>
      <c r="L8" s="54" t="n">
        <v>-1544.3129313292</v>
      </c>
      <c r="M8" s="54" t="n">
        <v>41012.04</v>
      </c>
      <c r="N8" s="54" t="n">
        <v>7355.34347985791</v>
      </c>
      <c r="O8" s="54" t="n">
        <v>33164.1965201421</v>
      </c>
      <c r="P8" s="54" t="n">
        <v>20435.98</v>
      </c>
      <c r="Q8" s="54" t="n">
        <v>10655.76</v>
      </c>
      <c r="R8" s="54" t="n">
        <v>64624.4365201421</v>
      </c>
      <c r="S8" s="54" t="n">
        <v>0</v>
      </c>
      <c r="T8" s="54" t="n">
        <v>25896.3599952215</v>
      </c>
      <c r="U8" s="54" t="n">
        <v>15049.42</v>
      </c>
      <c r="V8" s="54" t="n">
        <v>8580.43002268716</v>
      </c>
      <c r="W8" s="54" t="n">
        <v>113070.23052711</v>
      </c>
      <c r="X8" s="54" t="n">
        <v>12398.7386935905</v>
      </c>
      <c r="Y8" s="54" t="n">
        <v>125468.9692207</v>
      </c>
      <c r="Z8" s="77" t="n">
        <v>8.612</v>
      </c>
      <c r="AA8" s="58"/>
      <c r="AB8" s="58"/>
      <c r="AC8" s="59"/>
      <c r="AD8" s="74"/>
      <c r="AE8" s="74"/>
      <c r="AF8" s="78"/>
      <c r="AG8" s="46"/>
      <c r="AH8" s="46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6891.79</v>
      </c>
      <c r="C10" s="54" t="n">
        <v>254282</v>
      </c>
      <c r="D10" s="58" t="n">
        <f aca="false">C10-C8</f>
        <v>-1275</v>
      </c>
      <c r="E10" s="54" t="n">
        <f aca="false">C10-151978</f>
        <v>102304</v>
      </c>
      <c r="F10" s="53" t="n">
        <f aca="false">D10/$D$2</f>
        <v>-642.965204236006</v>
      </c>
      <c r="G10" s="53" t="n">
        <v>116.94</v>
      </c>
      <c r="H10" s="55" t="n">
        <v>0</v>
      </c>
      <c r="I10" s="53" t="n">
        <f aca="false">G10+H10</f>
        <v>116.94</v>
      </c>
      <c r="J10" s="77" t="n">
        <f aca="false">IF(L10&gt;0,L10,0)</f>
        <v>0</v>
      </c>
      <c r="K10" s="53" t="n">
        <f aca="false">I10+J10</f>
        <v>116.94</v>
      </c>
      <c r="L10" s="53" t="n">
        <f aca="false">F10-(I10-W10)</f>
        <v>-92.1052042360061</v>
      </c>
      <c r="M10" s="53" t="n">
        <v>260.72</v>
      </c>
      <c r="N10" s="53" t="n">
        <f aca="false">(24.34+26)*1.05</f>
        <v>52.857</v>
      </c>
      <c r="O10" s="53" t="n">
        <f aca="false">M10-N10</f>
        <v>207.863</v>
      </c>
      <c r="P10" s="53" t="n">
        <v>141.08</v>
      </c>
      <c r="Q10" s="53" t="n">
        <v>77.76</v>
      </c>
      <c r="R10" s="53" t="n">
        <f aca="false">SUM(O10:Q10)</f>
        <v>426.703</v>
      </c>
      <c r="S10" s="54" t="n">
        <f aca="false">(I10-R10)+S7</f>
        <v>-23193.8241267987</v>
      </c>
      <c r="T10" s="53" t="n">
        <v>123.24</v>
      </c>
      <c r="U10" s="53" t="n">
        <v>65</v>
      </c>
      <c r="V10" s="54" t="n">
        <f aca="false">V8-U10</f>
        <v>8515.43002268716</v>
      </c>
      <c r="W10" s="53" t="n">
        <f aca="false">R10+T10+N10+U10</f>
        <v>667.8</v>
      </c>
      <c r="X10" s="53" t="n">
        <f aca="false">IF(L10&lt;0,L10*-1,0)</f>
        <v>92.1052042360061</v>
      </c>
      <c r="Y10" s="53" t="n">
        <f aca="false">W10+X10</f>
        <v>759.905204236006</v>
      </c>
      <c r="Z10" s="57" t="n">
        <v>0</v>
      </c>
      <c r="AA10" s="58" t="n">
        <v>85</v>
      </c>
      <c r="AB10" s="58" t="n">
        <v>53</v>
      </c>
      <c r="AC10" s="59" t="n">
        <v>1</v>
      </c>
      <c r="AD10" s="75" t="n">
        <f aca="false">S10*D2</f>
        <v>-45993.3532434418</v>
      </c>
      <c r="AE10" s="78"/>
      <c r="AF10" s="78"/>
    </row>
    <row r="11" customFormat="false" ht="11.1" hidden="false" customHeight="true" outlineLevel="0" collapsed="false">
      <c r="A11" s="59" t="n">
        <v>2</v>
      </c>
      <c r="B11" s="76" t="n">
        <v>6891.48</v>
      </c>
      <c r="C11" s="54" t="n">
        <v>253217</v>
      </c>
      <c r="D11" s="58" t="n">
        <f aca="false">C11-C10</f>
        <v>-1065</v>
      </c>
      <c r="E11" s="54" t="n">
        <f aca="false">C11-151978</f>
        <v>101239</v>
      </c>
      <c r="F11" s="53" t="n">
        <f aca="false">D11/$D$2</f>
        <v>-537.065052950076</v>
      </c>
      <c r="G11" s="53" t="n">
        <v>113.54</v>
      </c>
      <c r="H11" s="55" t="n">
        <v>0</v>
      </c>
      <c r="I11" s="53" t="n">
        <f aca="false">G11+H11</f>
        <v>113.54</v>
      </c>
      <c r="J11" s="77" t="n">
        <f aca="false">IF(L11&gt;0,L11,0)</f>
        <v>0</v>
      </c>
      <c r="K11" s="53" t="n">
        <f aca="false">I11+J11</f>
        <v>113.54</v>
      </c>
      <c r="L11" s="53" t="n">
        <f aca="false">F11-(I11-W11)</f>
        <v>-5.86505295007555</v>
      </c>
      <c r="M11" s="53" t="n">
        <v>242.11</v>
      </c>
      <c r="N11" s="53" t="n">
        <f aca="false">(25.46+24.07)*1.05</f>
        <v>52.0065</v>
      </c>
      <c r="O11" s="53" t="n">
        <f aca="false">M11-N11</f>
        <v>190.1035</v>
      </c>
      <c r="P11" s="53" t="n">
        <v>140.63</v>
      </c>
      <c r="Q11" s="53" t="n">
        <v>77.04</v>
      </c>
      <c r="R11" s="53" t="n">
        <f aca="false">SUM(O11:Q11)</f>
        <v>407.7735</v>
      </c>
      <c r="S11" s="54" t="n">
        <f aca="false">(I11-R11)+S10</f>
        <v>-23488.0576267987</v>
      </c>
      <c r="T11" s="53" t="n">
        <v>119.96</v>
      </c>
      <c r="U11" s="53" t="n">
        <v>65</v>
      </c>
      <c r="V11" s="54" t="n">
        <f aca="false">V10-U11</f>
        <v>8450.43002268716</v>
      </c>
      <c r="W11" s="53" t="n">
        <f aca="false">R11+T11+N11+U11</f>
        <v>644.74</v>
      </c>
      <c r="X11" s="53" t="n">
        <f aca="false">IF(L11&lt;0,L11*-1,0)</f>
        <v>5.86505295007555</v>
      </c>
      <c r="Y11" s="53" t="n">
        <f aca="false">W11+X11</f>
        <v>650.605052950076</v>
      </c>
      <c r="Z11" s="57" t="n">
        <v>0</v>
      </c>
      <c r="AA11" s="58" t="n">
        <v>84</v>
      </c>
      <c r="AB11" s="58" t="n">
        <v>54</v>
      </c>
      <c r="AC11" s="59" t="n">
        <v>2</v>
      </c>
      <c r="AD11" s="75"/>
      <c r="AE11" s="78"/>
      <c r="AF11" s="78"/>
    </row>
    <row r="12" customFormat="false" ht="11.1" hidden="false" customHeight="true" outlineLevel="0" collapsed="false">
      <c r="A12" s="59" t="n">
        <v>3</v>
      </c>
      <c r="B12" s="76" t="n">
        <v>6891.11</v>
      </c>
      <c r="C12" s="54" t="n">
        <v>251947</v>
      </c>
      <c r="D12" s="58" t="n">
        <f aca="false">C12-C11</f>
        <v>-1270</v>
      </c>
      <c r="E12" s="54" t="n">
        <f aca="false">C12-151978</f>
        <v>99969</v>
      </c>
      <c r="F12" s="53" t="n">
        <f aca="false">D12/$D$2</f>
        <v>-640.443772062532</v>
      </c>
      <c r="G12" s="53" t="n">
        <v>116.67</v>
      </c>
      <c r="H12" s="55" t="n">
        <v>0</v>
      </c>
      <c r="I12" s="53" t="n">
        <f aca="false">G12+H12</f>
        <v>116.67</v>
      </c>
      <c r="J12" s="77" t="n">
        <f aca="false">IF(L12&gt;0,L12,0)</f>
        <v>0</v>
      </c>
      <c r="K12" s="53" t="n">
        <f aca="false">I12+J12</f>
        <v>116.67</v>
      </c>
      <c r="L12" s="53" t="n">
        <f aca="false">F12-(I12-W12)</f>
        <v>-99.2737720625314</v>
      </c>
      <c r="M12" s="53" t="n">
        <v>252.15</v>
      </c>
      <c r="N12" s="53" t="n">
        <f aca="false">(28.9+29.1)*1.05</f>
        <v>60.9</v>
      </c>
      <c r="O12" s="53" t="n">
        <f aca="false">M12-N12</f>
        <v>191.25</v>
      </c>
      <c r="P12" s="53" t="n">
        <v>130.21</v>
      </c>
      <c r="Q12" s="53" t="n">
        <v>76.34</v>
      </c>
      <c r="R12" s="53" t="n">
        <f aca="false">SUM(O12:Q12)</f>
        <v>397.8</v>
      </c>
      <c r="S12" s="54" t="n">
        <f aca="false">(I12-R12)+S11</f>
        <v>-23769.1876267987</v>
      </c>
      <c r="T12" s="53" t="n">
        <v>129.65</v>
      </c>
      <c r="U12" s="53" t="n">
        <v>69.49</v>
      </c>
      <c r="V12" s="54" t="n">
        <f aca="false">V11-U12</f>
        <v>8380.94002268716</v>
      </c>
      <c r="W12" s="53" t="n">
        <f aca="false">R12+T12+N12+U12</f>
        <v>657.84</v>
      </c>
      <c r="X12" s="53" t="n">
        <f aca="false">IF(L12&lt;0,L12*-1,0)</f>
        <v>99.2737720625314</v>
      </c>
      <c r="Y12" s="53" t="n">
        <f aca="false">W12+X12</f>
        <v>757.113772062531</v>
      </c>
      <c r="Z12" s="57" t="n">
        <v>0</v>
      </c>
      <c r="AA12" s="58" t="n">
        <v>87</v>
      </c>
      <c r="AB12" s="58" t="n">
        <v>52</v>
      </c>
      <c r="AC12" s="59" t="n">
        <v>3</v>
      </c>
      <c r="AD12" s="75"/>
      <c r="AE12" s="78"/>
      <c r="AF12" s="78"/>
    </row>
    <row r="13" customFormat="false" ht="11.1" hidden="false" customHeight="true" outlineLevel="0" collapsed="false">
      <c r="A13" s="59" t="n">
        <v>4</v>
      </c>
      <c r="B13" s="76" t="n">
        <v>6990.74</v>
      </c>
      <c r="C13" s="54" t="n">
        <v>250685</v>
      </c>
      <c r="D13" s="58" t="n">
        <f aca="false">C13-C12</f>
        <v>-1262</v>
      </c>
      <c r="E13" s="54" t="n">
        <f aca="false">C13-151978</f>
        <v>98707</v>
      </c>
      <c r="F13" s="53" t="n">
        <f aca="false">D13/$D$2</f>
        <v>-636.409480584972</v>
      </c>
      <c r="G13" s="53" t="n">
        <v>112.77</v>
      </c>
      <c r="H13" s="55" t="n">
        <v>0</v>
      </c>
      <c r="I13" s="53" t="n">
        <f aca="false">G13+H13</f>
        <v>112.77</v>
      </c>
      <c r="J13" s="77" t="n">
        <f aca="false">IF(L13&gt;0,L13,0)</f>
        <v>0</v>
      </c>
      <c r="K13" s="53" t="n">
        <f aca="false">I13+J13</f>
        <v>112.77</v>
      </c>
      <c r="L13" s="53" t="n">
        <f aca="false">F13-(I13-W13)</f>
        <v>-76.1894805849722</v>
      </c>
      <c r="M13" s="53" t="n">
        <v>271.23</v>
      </c>
      <c r="N13" s="53" t="n">
        <f aca="false">(30.67+29.51)*1.05</f>
        <v>63.189</v>
      </c>
      <c r="O13" s="53" t="n">
        <f aca="false">M13-N13</f>
        <v>208.041</v>
      </c>
      <c r="P13" s="53" t="n">
        <v>124.65</v>
      </c>
      <c r="Q13" s="53" t="n">
        <v>76.09</v>
      </c>
      <c r="R13" s="53" t="n">
        <f aca="false">SUM(O13:Q13)</f>
        <v>408.781</v>
      </c>
      <c r="S13" s="54" t="n">
        <f aca="false">(I13-R13)+S12</f>
        <v>-24065.1986267987</v>
      </c>
      <c r="T13" s="53" t="n">
        <v>136.57</v>
      </c>
      <c r="U13" s="53" t="n">
        <v>64.45</v>
      </c>
      <c r="V13" s="54" t="n">
        <f aca="false">V12-U13</f>
        <v>8316.49002268716</v>
      </c>
      <c r="W13" s="53" t="n">
        <f aca="false">R13+T13+N13+U13</f>
        <v>672.99</v>
      </c>
      <c r="X13" s="53" t="n">
        <f aca="false">IF(L13&lt;0,L13*-1,0)</f>
        <v>76.1894805849722</v>
      </c>
      <c r="Y13" s="53" t="n">
        <f aca="false">W13+X13</f>
        <v>749.179480584972</v>
      </c>
      <c r="Z13" s="57" t="n">
        <v>0.01</v>
      </c>
      <c r="AA13" s="58" t="n">
        <v>88</v>
      </c>
      <c r="AB13" s="58" t="n">
        <v>52</v>
      </c>
      <c r="AC13" s="59" t="n">
        <v>4</v>
      </c>
      <c r="AD13" s="75"/>
      <c r="AE13" s="78"/>
      <c r="AF13" s="78"/>
    </row>
    <row r="14" customFormat="false" ht="11.1" hidden="false" customHeight="true" outlineLevel="0" collapsed="false">
      <c r="A14" s="59" t="n">
        <v>5</v>
      </c>
      <c r="B14" s="76" t="n">
        <v>6890.4</v>
      </c>
      <c r="C14" s="54" t="n">
        <v>249528</v>
      </c>
      <c r="D14" s="58" t="n">
        <f aca="false">C14-C13</f>
        <v>-1157</v>
      </c>
      <c r="E14" s="54" t="n">
        <f aca="false">C14-151978</f>
        <v>97550</v>
      </c>
      <c r="F14" s="53" t="n">
        <f aca="false">D14/$D$2</f>
        <v>-583.459404942007</v>
      </c>
      <c r="G14" s="53" t="n">
        <v>110.9</v>
      </c>
      <c r="H14" s="55" t="n">
        <v>0</v>
      </c>
      <c r="I14" s="53" t="n">
        <f aca="false">G14+H14</f>
        <v>110.9</v>
      </c>
      <c r="J14" s="77" t="n">
        <f aca="false">IF(L14&gt;0,L14,0)</f>
        <v>0</v>
      </c>
      <c r="K14" s="53" t="n">
        <f aca="false">I14+J14</f>
        <v>110.9</v>
      </c>
      <c r="L14" s="53" t="n">
        <f aca="false">F14-(I14-W14)</f>
        <v>-22.9594049420069</v>
      </c>
      <c r="M14" s="53" t="n">
        <v>257.25</v>
      </c>
      <c r="N14" s="53" t="n">
        <f aca="false">(27.36+26.71)*1.05</f>
        <v>56.7735</v>
      </c>
      <c r="O14" s="53" t="n">
        <f aca="false">M14-N14</f>
        <v>200.4765</v>
      </c>
      <c r="P14" s="53" t="n">
        <v>124.65</v>
      </c>
      <c r="Q14" s="53" t="n">
        <v>75.34</v>
      </c>
      <c r="R14" s="53" t="n">
        <f aca="false">SUM(O14:Q14)</f>
        <v>400.4665</v>
      </c>
      <c r="S14" s="54" t="n">
        <f aca="false">(I14-R14)+S13</f>
        <v>-24354.7651267987</v>
      </c>
      <c r="T14" s="53" t="n">
        <v>149.21</v>
      </c>
      <c r="U14" s="53" t="n">
        <v>64.95</v>
      </c>
      <c r="V14" s="54" t="n">
        <f aca="false">V13-U14</f>
        <v>8251.54002268716</v>
      </c>
      <c r="W14" s="53" t="n">
        <f aca="false">R14+T14+N14+U14</f>
        <v>671.4</v>
      </c>
      <c r="X14" s="53" t="n">
        <f aca="false">IF(L14&lt;0,L14*-1,0)</f>
        <v>22.9594049420069</v>
      </c>
      <c r="Y14" s="53" t="n">
        <f aca="false">W14+X14</f>
        <v>694.359404942007</v>
      </c>
      <c r="Z14" s="57" t="n">
        <v>0.05</v>
      </c>
      <c r="AA14" s="58" t="n">
        <v>79</v>
      </c>
      <c r="AB14" s="58" t="n">
        <v>52</v>
      </c>
      <c r="AC14" s="59" t="n">
        <v>5</v>
      </c>
      <c r="AD14" s="75"/>
      <c r="AE14" s="78"/>
      <c r="AF14" s="78"/>
    </row>
    <row r="15" customFormat="false" ht="11.1" hidden="false" customHeight="true" outlineLevel="0" collapsed="false">
      <c r="A15" s="59" t="n">
        <v>6</v>
      </c>
      <c r="B15" s="76" t="n">
        <v>6890.08</v>
      </c>
      <c r="C15" s="54" t="n">
        <v>248440</v>
      </c>
      <c r="D15" s="58" t="n">
        <f aca="false">C15-C14</f>
        <v>-1088</v>
      </c>
      <c r="E15" s="54" t="n">
        <f aca="false">C15-151978</f>
        <v>96462</v>
      </c>
      <c r="F15" s="53" t="n">
        <f aca="false">D15/$D$2</f>
        <v>-548.663640948059</v>
      </c>
      <c r="G15" s="53" t="n">
        <v>129.45</v>
      </c>
      <c r="H15" s="55" t="n">
        <v>0</v>
      </c>
      <c r="I15" s="53" t="n">
        <f aca="false">G15+H15</f>
        <v>129.45</v>
      </c>
      <c r="J15" s="77" t="n">
        <f aca="false">IF(L15&gt;0,L15,0)</f>
        <v>0</v>
      </c>
      <c r="K15" s="53" t="n">
        <f aca="false">I15+J15</f>
        <v>129.45</v>
      </c>
      <c r="L15" s="53" t="n">
        <f aca="false">F15-(I15-W15)</f>
        <v>-26.5836409480586</v>
      </c>
      <c r="M15" s="53" t="n">
        <v>252.01</v>
      </c>
      <c r="N15" s="53" t="n">
        <f aca="false">(25.8+26.18)*1.05</f>
        <v>54.579</v>
      </c>
      <c r="O15" s="53" t="n">
        <f aca="false">M15-N15</f>
        <v>197.431</v>
      </c>
      <c r="P15" s="53" t="n">
        <v>124.53</v>
      </c>
      <c r="Q15" s="53" t="n">
        <v>77.61</v>
      </c>
      <c r="R15" s="53" t="n">
        <f aca="false">SUM(O15:Q15)</f>
        <v>399.571</v>
      </c>
      <c r="S15" s="54" t="n">
        <f aca="false">(I15-R15)+S14</f>
        <v>-24624.8861267987</v>
      </c>
      <c r="T15" s="53" t="n">
        <v>133.34</v>
      </c>
      <c r="U15" s="53" t="n">
        <v>64.04</v>
      </c>
      <c r="V15" s="54" t="n">
        <f aca="false">V14-U15</f>
        <v>8187.50002268716</v>
      </c>
      <c r="W15" s="53" t="n">
        <f aca="false">R15+T15+N15+U15</f>
        <v>651.53</v>
      </c>
      <c r="X15" s="53" t="n">
        <f aca="false">IF(L15&lt;0,L15*-1,0)</f>
        <v>26.5836409480586</v>
      </c>
      <c r="Y15" s="53" t="n">
        <f aca="false">W15+X15</f>
        <v>678.113640948059</v>
      </c>
      <c r="Z15" s="57" t="n">
        <v>0.02</v>
      </c>
      <c r="AA15" s="58" t="n">
        <v>74</v>
      </c>
      <c r="AB15" s="58" t="n">
        <v>53</v>
      </c>
      <c r="AC15" s="59" t="n">
        <v>6</v>
      </c>
      <c r="AD15" s="75"/>
      <c r="AE15" s="78"/>
      <c r="AF15" s="78"/>
    </row>
    <row r="16" customFormat="false" ht="11.1" hidden="false" customHeight="true" outlineLevel="0" collapsed="false">
      <c r="A16" s="59" t="n">
        <v>7</v>
      </c>
      <c r="B16" s="76" t="n">
        <v>6889.76</v>
      </c>
      <c r="C16" s="54" t="n">
        <v>247360</v>
      </c>
      <c r="D16" s="58" t="n">
        <f aca="false">C16-C15</f>
        <v>-1080</v>
      </c>
      <c r="E16" s="54" t="n">
        <f aca="false">C16-151978</f>
        <v>95382</v>
      </c>
      <c r="F16" s="53" t="n">
        <f aca="false">D16/$D$2</f>
        <v>-544.629349470499</v>
      </c>
      <c r="G16" s="53" t="n">
        <v>142.02</v>
      </c>
      <c r="H16" s="55" t="n">
        <v>0</v>
      </c>
      <c r="I16" s="53" t="n">
        <f aca="false">G16+H16</f>
        <v>142.02</v>
      </c>
      <c r="J16" s="77" t="n">
        <f aca="false">IF(L16&gt;0,L16,0)</f>
        <v>0</v>
      </c>
      <c r="K16" s="53" t="n">
        <f aca="false">I16+J16</f>
        <v>142.02</v>
      </c>
      <c r="L16" s="53" t="n">
        <f aca="false">F16-(I16-W16)</f>
        <v>-55.1693494704992</v>
      </c>
      <c r="M16" s="53" t="n">
        <v>244.98</v>
      </c>
      <c r="N16" s="53" t="n">
        <f aca="false">(24.38+26.42)*1.05</f>
        <v>53.34</v>
      </c>
      <c r="O16" s="53" t="n">
        <f aca="false">M16-N16</f>
        <v>191.64</v>
      </c>
      <c r="P16" s="53" t="n">
        <v>124.16</v>
      </c>
      <c r="Q16" s="53" t="n">
        <v>78.55</v>
      </c>
      <c r="R16" s="53" t="n">
        <f aca="false">SUM(O16:Q16)</f>
        <v>394.35</v>
      </c>
      <c r="S16" s="54" t="n">
        <f aca="false">(I16-R16)+S15</f>
        <v>-24877.2161267987</v>
      </c>
      <c r="T16" s="53" t="n">
        <v>121.24</v>
      </c>
      <c r="U16" s="53" t="n">
        <v>62.55</v>
      </c>
      <c r="V16" s="54" t="n">
        <f aca="false">V15-U16</f>
        <v>8124.95002268716</v>
      </c>
      <c r="W16" s="53" t="n">
        <f aca="false">R16+T16+N16+U16</f>
        <v>631.48</v>
      </c>
      <c r="X16" s="53" t="n">
        <f aca="false">IF(L16&lt;0,L16*-1,0)</f>
        <v>55.1693494704992</v>
      </c>
      <c r="Y16" s="53" t="n">
        <f aca="false">W16+X16</f>
        <v>686.649349470499</v>
      </c>
      <c r="Z16" s="57" t="n">
        <v>0</v>
      </c>
      <c r="AA16" s="58" t="n">
        <v>77</v>
      </c>
      <c r="AB16" s="58" t="n">
        <v>46</v>
      </c>
      <c r="AC16" s="59" t="n">
        <v>7</v>
      </c>
      <c r="AD16" s="75"/>
      <c r="AE16" s="78"/>
      <c r="AF16" s="78"/>
    </row>
    <row r="17" customFormat="false" ht="11.1" hidden="false" customHeight="true" outlineLevel="0" collapsed="false">
      <c r="A17" s="59" t="n">
        <v>8</v>
      </c>
      <c r="B17" s="76" t="n">
        <v>6889.45</v>
      </c>
      <c r="C17" s="54" t="n">
        <v>246316</v>
      </c>
      <c r="D17" s="58" t="n">
        <f aca="false">C17-C16</f>
        <v>-1044</v>
      </c>
      <c r="E17" s="54" t="n">
        <f aca="false">C17-151978</f>
        <v>94338</v>
      </c>
      <c r="F17" s="53" t="n">
        <f aca="false">D17/$D$2</f>
        <v>-526.475037821483</v>
      </c>
      <c r="G17" s="53" t="n">
        <v>128.63</v>
      </c>
      <c r="H17" s="55" t="n">
        <v>0</v>
      </c>
      <c r="I17" s="53" t="n">
        <f aca="false">G17+H17</f>
        <v>128.63</v>
      </c>
      <c r="J17" s="77" t="n">
        <f aca="false">IF(L17&gt;0,L17,0)</f>
        <v>0</v>
      </c>
      <c r="K17" s="53" t="n">
        <f aca="false">I17+J17</f>
        <v>128.63</v>
      </c>
      <c r="L17" s="53" t="n">
        <f aca="false">F17-(I17-W17)</f>
        <v>-39.3150378214826</v>
      </c>
      <c r="M17" s="53" t="n">
        <v>235.53</v>
      </c>
      <c r="N17" s="53" t="n">
        <f aca="false">(18.82+18.93)*1.05</f>
        <v>39.6375</v>
      </c>
      <c r="O17" s="53" t="n">
        <f aca="false">M17-N17</f>
        <v>195.8925</v>
      </c>
      <c r="P17" s="53" t="n">
        <v>124.57</v>
      </c>
      <c r="Q17" s="53" t="n">
        <v>78.26</v>
      </c>
      <c r="R17" s="53" t="n">
        <f aca="false">SUM(O17:Q17)</f>
        <v>398.7225</v>
      </c>
      <c r="S17" s="54" t="n">
        <f aca="false">(I17-R17)+S16</f>
        <v>-25147.3086267987</v>
      </c>
      <c r="T17" s="53" t="n">
        <v>114.92</v>
      </c>
      <c r="U17" s="53" t="n">
        <v>62.51</v>
      </c>
      <c r="V17" s="54" t="n">
        <f aca="false">V16-U17</f>
        <v>8062.44002268716</v>
      </c>
      <c r="W17" s="53" t="n">
        <f aca="false">R17+T17+N17+U17</f>
        <v>615.79</v>
      </c>
      <c r="X17" s="53" t="n">
        <f aca="false">IF(L17&lt;0,L17*-1,0)</f>
        <v>39.3150378214826</v>
      </c>
      <c r="Y17" s="53" t="n">
        <f aca="false">W17+X17</f>
        <v>655.105037821483</v>
      </c>
      <c r="Z17" s="57" t="n">
        <v>0</v>
      </c>
      <c r="AA17" s="58" t="n">
        <v>81</v>
      </c>
      <c r="AB17" s="58" t="n">
        <v>47</v>
      </c>
      <c r="AC17" s="59" t="n">
        <v>8</v>
      </c>
      <c r="AD17" s="75"/>
      <c r="AE17" s="78"/>
      <c r="AF17" s="78"/>
    </row>
    <row r="18" customFormat="false" ht="11.1" hidden="false" customHeight="true" outlineLevel="0" collapsed="false">
      <c r="A18" s="59" t="n">
        <v>9</v>
      </c>
      <c r="B18" s="76" t="n">
        <v>6889.13</v>
      </c>
      <c r="C18" s="54" t="n">
        <v>245340</v>
      </c>
      <c r="D18" s="58" t="n">
        <f aca="false">C18-C17</f>
        <v>-976</v>
      </c>
      <c r="E18" s="54" t="n">
        <f aca="false">C18-151978</f>
        <v>93362</v>
      </c>
      <c r="F18" s="53" t="n">
        <f aca="false">D18/$D$2</f>
        <v>-492.183560262229</v>
      </c>
      <c r="G18" s="53" t="n">
        <v>118.11</v>
      </c>
      <c r="H18" s="55" t="n">
        <v>0</v>
      </c>
      <c r="I18" s="53" t="n">
        <f aca="false">G18+H18</f>
        <v>118.11</v>
      </c>
      <c r="J18" s="77" t="n">
        <f aca="false">IF(L18&gt;0,L18,0)</f>
        <v>7.62643973777114</v>
      </c>
      <c r="K18" s="53" t="n">
        <f aca="false">I18+J18</f>
        <v>125.736439737771</v>
      </c>
      <c r="L18" s="53" t="n">
        <f aca="false">F18-(I18-W18)</f>
        <v>7.62643973777114</v>
      </c>
      <c r="M18" s="53" t="n">
        <v>228.47</v>
      </c>
      <c r="N18" s="53" t="n">
        <f aca="false">(16.02+16.19)*1.05</f>
        <v>33.8205</v>
      </c>
      <c r="O18" s="53" t="n">
        <f aca="false">M18-N18</f>
        <v>194.6495</v>
      </c>
      <c r="P18" s="53" t="n">
        <v>124.52</v>
      </c>
      <c r="Q18" s="53" t="n">
        <v>77.7</v>
      </c>
      <c r="R18" s="53" t="n">
        <f aca="false">SUM(O18:Q18)</f>
        <v>396.8695</v>
      </c>
      <c r="S18" s="54" t="n">
        <f aca="false">(I18-R18)+S17</f>
        <v>-25426.0681267987</v>
      </c>
      <c r="T18" s="53" t="n">
        <v>123.4</v>
      </c>
      <c r="U18" s="53" t="n">
        <v>63.83</v>
      </c>
      <c r="V18" s="54" t="n">
        <f aca="false">V17-U18</f>
        <v>7998.61002268716</v>
      </c>
      <c r="W18" s="53" t="n">
        <f aca="false">R18+T18+N18+U18</f>
        <v>617.92</v>
      </c>
      <c r="X18" s="53" t="n">
        <f aca="false">IF(L18&lt;0,L18*-1,0)</f>
        <v>0</v>
      </c>
      <c r="Y18" s="53" t="n">
        <f aca="false">W18+X18</f>
        <v>617.92</v>
      </c>
      <c r="Z18" s="57" t="n">
        <v>0</v>
      </c>
      <c r="AA18" s="58" t="n">
        <v>86</v>
      </c>
      <c r="AB18" s="58" t="n">
        <v>50</v>
      </c>
      <c r="AC18" s="59" t="n">
        <v>9</v>
      </c>
      <c r="AD18" s="75"/>
      <c r="AE18" s="78"/>
      <c r="AF18" s="78"/>
    </row>
    <row r="19" customFormat="false" ht="11.1" hidden="false" customHeight="true" outlineLevel="0" collapsed="false">
      <c r="A19" s="59" t="n">
        <v>10</v>
      </c>
      <c r="B19" s="76" t="n">
        <v>6988.85</v>
      </c>
      <c r="C19" s="54" t="n">
        <v>244301</v>
      </c>
      <c r="D19" s="58" t="n">
        <f aca="false">C19-C18</f>
        <v>-1039</v>
      </c>
      <c r="E19" s="54" t="n">
        <f aca="false">C19-151978</f>
        <v>92323</v>
      </c>
      <c r="F19" s="53" t="n">
        <f aca="false">D19/$D$2</f>
        <v>-523.953605648008</v>
      </c>
      <c r="G19" s="53" t="n">
        <v>113.52</v>
      </c>
      <c r="H19" s="55" t="n">
        <v>0</v>
      </c>
      <c r="I19" s="53" t="n">
        <f aca="false">G19+H19</f>
        <v>113.52</v>
      </c>
      <c r="J19" s="77" t="n">
        <f aca="false">IF(L19&gt;0,L19,0)</f>
        <v>0</v>
      </c>
      <c r="K19" s="53" t="n">
        <f aca="false">I19+J19</f>
        <v>113.52</v>
      </c>
      <c r="L19" s="53" t="n">
        <f aca="false">F19-(I19-W19)</f>
        <v>-80.8536056480081</v>
      </c>
      <c r="M19" s="53" t="n">
        <v>213.9</v>
      </c>
      <c r="N19" s="53" t="n">
        <f aca="false">(14.13+13.88)*1.05</f>
        <v>29.4105</v>
      </c>
      <c r="O19" s="53" t="n">
        <f aca="false">M19-N19</f>
        <v>184.4895</v>
      </c>
      <c r="P19" s="53" t="n">
        <v>96.94</v>
      </c>
      <c r="Q19" s="53" t="n">
        <v>63.6</v>
      </c>
      <c r="R19" s="53" t="n">
        <f aca="false">SUM(O19:Q19)</f>
        <v>345.0295</v>
      </c>
      <c r="S19" s="54" t="n">
        <f aca="false">(I19-R19)+S18</f>
        <v>-25657.5776267987</v>
      </c>
      <c r="T19" s="53" t="n">
        <v>117.61</v>
      </c>
      <c r="U19" s="53" t="n">
        <v>64.57</v>
      </c>
      <c r="V19" s="54" t="n">
        <f aca="false">V18-U19</f>
        <v>7934.04002268716</v>
      </c>
      <c r="W19" s="53" t="n">
        <f aca="false">R19+T19+N19+U19</f>
        <v>556.62</v>
      </c>
      <c r="X19" s="53" t="n">
        <f aca="false">IF(L19&lt;0,L19*-1,0)</f>
        <v>80.8536056480081</v>
      </c>
      <c r="Y19" s="53" t="n">
        <f aca="false">W19+X19</f>
        <v>637.473605648008</v>
      </c>
      <c r="Z19" s="57" t="n">
        <v>0.14</v>
      </c>
      <c r="AA19" s="58" t="n">
        <v>81</v>
      </c>
      <c r="AB19" s="58" t="n">
        <v>50</v>
      </c>
      <c r="AC19" s="59" t="n">
        <v>10</v>
      </c>
      <c r="AD19" s="75"/>
      <c r="AE19" s="78"/>
      <c r="AF19" s="78"/>
    </row>
    <row r="20" customFormat="false" ht="11.1" hidden="false" customHeight="true" outlineLevel="0" collapsed="false">
      <c r="A20" s="59" t="n">
        <v>11</v>
      </c>
      <c r="B20" s="76" t="n">
        <v>6988.73</v>
      </c>
      <c r="C20" s="54" t="n">
        <v>243902</v>
      </c>
      <c r="D20" s="58" t="n">
        <f aca="false">C20-C19</f>
        <v>-399</v>
      </c>
      <c r="E20" s="54" t="n">
        <f aca="false">C20-151978</f>
        <v>91924</v>
      </c>
      <c r="F20" s="53" t="n">
        <f aca="false">D20/$D$2</f>
        <v>-201.210287443268</v>
      </c>
      <c r="G20" s="53" t="n">
        <v>114.96</v>
      </c>
      <c r="H20" s="55" t="n">
        <v>0</v>
      </c>
      <c r="I20" s="53" t="n">
        <f aca="false">G20+H20</f>
        <v>114.96</v>
      </c>
      <c r="J20" s="77" t="n">
        <f aca="false">IF(L20&gt;0,L20,0)</f>
        <v>22.3797125567323</v>
      </c>
      <c r="K20" s="53" t="n">
        <f aca="false">I20+J20</f>
        <v>137.339712556732</v>
      </c>
      <c r="L20" s="53" t="n">
        <f aca="false">F20-(I20-W20)</f>
        <v>22.3797125567323</v>
      </c>
      <c r="M20" s="53" t="n">
        <v>129.69</v>
      </c>
      <c r="N20" s="53" t="n">
        <v>0</v>
      </c>
      <c r="O20" s="53" t="n">
        <f aca="false">M20-N20</f>
        <v>129.69</v>
      </c>
      <c r="P20" s="53" t="n">
        <v>19.36</v>
      </c>
      <c r="Q20" s="53" t="n">
        <v>15.25</v>
      </c>
      <c r="R20" s="53" t="n">
        <f aca="false">SUM(O20:Q20)</f>
        <v>164.3</v>
      </c>
      <c r="S20" s="54" t="n">
        <f aca="false">(I20-R20)+S19</f>
        <v>-25706.9176267987</v>
      </c>
      <c r="T20" s="53" t="n">
        <v>108.33</v>
      </c>
      <c r="U20" s="53" t="n">
        <v>65.92</v>
      </c>
      <c r="V20" s="54" t="n">
        <f aca="false">V19-U20</f>
        <v>7868.12002268716</v>
      </c>
      <c r="W20" s="53" t="n">
        <f aca="false">R20+T20+N20+U20</f>
        <v>338.55</v>
      </c>
      <c r="X20" s="53" t="n">
        <f aca="false">IF(L20&lt;0,L20*-1,0)</f>
        <v>0</v>
      </c>
      <c r="Y20" s="53" t="n">
        <f aca="false">W20+X20</f>
        <v>338.55</v>
      </c>
      <c r="Z20" s="57" t="n">
        <v>0.02</v>
      </c>
      <c r="AA20" s="58" t="n">
        <v>77</v>
      </c>
      <c r="AB20" s="58" t="n">
        <v>51</v>
      </c>
      <c r="AC20" s="59" t="n">
        <v>11</v>
      </c>
      <c r="AD20" s="75"/>
      <c r="AE20" s="78"/>
      <c r="AF20" s="78"/>
    </row>
    <row r="21" customFormat="false" ht="11.1" hidden="false" customHeight="true" outlineLevel="0" collapsed="false">
      <c r="A21" s="59" t="n">
        <v>12</v>
      </c>
      <c r="B21" s="76" t="n">
        <v>6988.61</v>
      </c>
      <c r="C21" s="54" t="n">
        <v>243502</v>
      </c>
      <c r="D21" s="58" t="n">
        <f aca="false">C21-C20</f>
        <v>-400</v>
      </c>
      <c r="E21" s="54" t="n">
        <f aca="false">C21-151978</f>
        <v>91524</v>
      </c>
      <c r="F21" s="53" t="n">
        <f aca="false">D21/$D$2</f>
        <v>-201.714573877963</v>
      </c>
      <c r="G21" s="53" t="n">
        <v>120.32</v>
      </c>
      <c r="H21" s="55" t="n">
        <v>0</v>
      </c>
      <c r="I21" s="53" t="n">
        <f aca="false">G21+H21</f>
        <v>120.32</v>
      </c>
      <c r="J21" s="77" t="n">
        <f aca="false">IF(L21&gt;0,L21,0)</f>
        <v>0</v>
      </c>
      <c r="K21" s="53" t="n">
        <f aca="false">I21+J21</f>
        <v>120.32</v>
      </c>
      <c r="L21" s="53" t="n">
        <f aca="false">F21-(I21-W21)</f>
        <v>-64.8213775079097</v>
      </c>
      <c r="M21" s="53" t="n">
        <v>118.73</v>
      </c>
      <c r="N21" s="53" t="n">
        <f aca="false">(20.06+19.37)*1.05</f>
        <v>41.4015</v>
      </c>
      <c r="O21" s="53" t="n">
        <f aca="false">M21-N21</f>
        <v>77.3285</v>
      </c>
      <c r="P21" s="53" t="n">
        <v>20</v>
      </c>
      <c r="Q21" s="53" t="n">
        <v>15</v>
      </c>
      <c r="R21" s="53" t="n">
        <f aca="false">SUM(O21:Q21)</f>
        <v>112.3285</v>
      </c>
      <c r="S21" s="54" t="n">
        <f aca="false">(I21-R21)+S20</f>
        <v>-25698.9261267987</v>
      </c>
      <c r="T21" s="53" t="n">
        <f aca="false">75.3/1.9835</f>
        <v>37.9631963700529</v>
      </c>
      <c r="U21" s="53" t="n">
        <v>65.52</v>
      </c>
      <c r="V21" s="54" t="n">
        <f aca="false">V20-U21</f>
        <v>7802.60002268716</v>
      </c>
      <c r="W21" s="53" t="n">
        <f aca="false">R21+T21+N21+U21</f>
        <v>257.213196370053</v>
      </c>
      <c r="X21" s="53" t="n">
        <f aca="false">IF(L21&lt;0,L21*-1,0)</f>
        <v>64.8213775079097</v>
      </c>
      <c r="Y21" s="53" t="n">
        <f aca="false">W21+X21</f>
        <v>322.034573877963</v>
      </c>
      <c r="Z21" s="57" t="n">
        <v>0.85</v>
      </c>
      <c r="AA21" s="58" t="n">
        <v>71</v>
      </c>
      <c r="AB21" s="58" t="n">
        <v>53</v>
      </c>
      <c r="AC21" s="59" t="n">
        <v>12</v>
      </c>
      <c r="AD21" s="75"/>
      <c r="AE21" s="78"/>
      <c r="AF21" s="78"/>
    </row>
    <row r="22" customFormat="false" ht="11.1" hidden="false" customHeight="true" outlineLevel="0" collapsed="false">
      <c r="A22" s="59" t="n">
        <v>13</v>
      </c>
      <c r="B22" s="76" t="n">
        <v>6988.56</v>
      </c>
      <c r="C22" s="54" t="n">
        <v>243335</v>
      </c>
      <c r="D22" s="58" t="n">
        <f aca="false">C22-C21</f>
        <v>-167</v>
      </c>
      <c r="E22" s="54" t="n">
        <f aca="false">C22-151978</f>
        <v>91357</v>
      </c>
      <c r="F22" s="53" t="n">
        <f aca="false">D22/$D$2</f>
        <v>-84.2158345940494</v>
      </c>
      <c r="G22" s="53" t="n">
        <v>155.15</v>
      </c>
      <c r="H22" s="55" t="n">
        <v>0</v>
      </c>
      <c r="I22" s="53" t="n">
        <f aca="false">G22+H22</f>
        <v>155.15</v>
      </c>
      <c r="J22" s="77" t="n">
        <f aca="false">IF(L22&gt;0,L22,0)</f>
        <v>0</v>
      </c>
      <c r="K22" s="53" t="n">
        <f aca="false">I22+J22</f>
        <v>155.15</v>
      </c>
      <c r="L22" s="53" t="n">
        <f aca="false">F22-(I22-W22)</f>
        <v>-16.9705501221563</v>
      </c>
      <c r="M22" s="53" t="n">
        <v>70.53</v>
      </c>
      <c r="N22" s="53" t="n">
        <f aca="false">(14.11+11.7)*1.05</f>
        <v>27.1005</v>
      </c>
      <c r="O22" s="53" t="n">
        <f aca="false">M22-N22</f>
        <v>43.4295</v>
      </c>
      <c r="P22" s="53" t="n">
        <v>16</v>
      </c>
      <c r="Q22" s="53" t="n">
        <f aca="false">R22-(O22+P22)</f>
        <v>25.7734241240232</v>
      </c>
      <c r="R22" s="53" t="n">
        <f aca="false">169/1.9835</f>
        <v>85.2029241240232</v>
      </c>
      <c r="S22" s="54" t="n">
        <f aca="false">(I22-R22)+S21</f>
        <v>-25628.9790509227</v>
      </c>
      <c r="T22" s="53" t="n">
        <f aca="false">87/1.9835</f>
        <v>43.8618603478699</v>
      </c>
      <c r="U22" s="53" t="n">
        <v>66.23</v>
      </c>
      <c r="V22" s="54" t="n">
        <f aca="false">V21-U22</f>
        <v>7736.37002268716</v>
      </c>
      <c r="W22" s="53" t="n">
        <f aca="false">R22+T22+N22+U22</f>
        <v>222.395284471893</v>
      </c>
      <c r="X22" s="53" t="n">
        <f aca="false">IF(L22&lt;0,L22*-1,0)</f>
        <v>16.9705501221563</v>
      </c>
      <c r="Y22" s="53" t="n">
        <f aca="false">W22+X22</f>
        <v>239.365834594049</v>
      </c>
      <c r="Z22" s="57" t="n">
        <v>0.25</v>
      </c>
      <c r="AA22" s="58" t="n">
        <v>70</v>
      </c>
      <c r="AB22" s="58" t="n">
        <v>49</v>
      </c>
      <c r="AC22" s="59" t="n">
        <v>13</v>
      </c>
      <c r="AD22" s="75"/>
      <c r="AE22" s="78"/>
      <c r="AF22" s="78"/>
    </row>
    <row r="23" customFormat="false" ht="11.1" hidden="false" customHeight="true" outlineLevel="0" collapsed="false">
      <c r="A23" s="59" t="n">
        <v>14</v>
      </c>
      <c r="B23" s="76" t="n">
        <v>6988.68</v>
      </c>
      <c r="C23" s="54" t="n">
        <v>243735</v>
      </c>
      <c r="D23" s="58" t="n">
        <f aca="false">C23-C22</f>
        <v>400</v>
      </c>
      <c r="E23" s="54" t="n">
        <f aca="false">C23-151978</f>
        <v>91757</v>
      </c>
      <c r="F23" s="53" t="n">
        <f aca="false">D23/$D$2</f>
        <v>201.714573877963</v>
      </c>
      <c r="G23" s="53" t="n">
        <v>188.74</v>
      </c>
      <c r="H23" s="55" t="n">
        <v>0</v>
      </c>
      <c r="I23" s="53" t="n">
        <f aca="false">G23+H23</f>
        <v>188.74</v>
      </c>
      <c r="J23" s="77" t="n">
        <f aca="false">IF(L23&gt;0,L23,0)</f>
        <v>200.760463719152</v>
      </c>
      <c r="K23" s="53" t="n">
        <f aca="false">I23+J23</f>
        <v>389.500463719152</v>
      </c>
      <c r="L23" s="53" t="n">
        <f aca="false">F23-(I23-W23)</f>
        <v>200.760463719152</v>
      </c>
      <c r="M23" s="53" t="n">
        <v>59.13</v>
      </c>
      <c r="N23" s="53" t="n">
        <f aca="false">(5.59+4.51)*1.05</f>
        <v>10.605</v>
      </c>
      <c r="O23" s="53" t="n">
        <f aca="false">M23-N23</f>
        <v>48.525</v>
      </c>
      <c r="P23" s="53" t="n">
        <v>20</v>
      </c>
      <c r="Q23" s="53" t="n">
        <f aca="false">R23-(O23+P23)</f>
        <v>22.2236765817998</v>
      </c>
      <c r="R23" s="53" t="n">
        <f aca="false">180/1.9835</f>
        <v>90.7486765817998</v>
      </c>
      <c r="S23" s="54" t="n">
        <f aca="false">(I23-R23)+S22</f>
        <v>-25530.9877275045</v>
      </c>
      <c r="T23" s="53" t="n">
        <f aca="false">39/1.9835</f>
        <v>19.66221325939</v>
      </c>
      <c r="U23" s="53" t="n">
        <v>66.77</v>
      </c>
      <c r="V23" s="54" t="n">
        <f aca="false">V22-U23</f>
        <v>7669.60002268716</v>
      </c>
      <c r="W23" s="53" t="n">
        <f aca="false">R23+T23+N23+U23</f>
        <v>187.78588984119</v>
      </c>
      <c r="X23" s="53" t="n">
        <f aca="false">IF(L23&lt;0,L23*-1,0)</f>
        <v>0</v>
      </c>
      <c r="Y23" s="53" t="n">
        <f aca="false">W23+X23</f>
        <v>187.78588984119</v>
      </c>
      <c r="Z23" s="57" t="n">
        <v>0.68</v>
      </c>
      <c r="AA23" s="58" t="n">
        <v>70</v>
      </c>
      <c r="AB23" s="58" t="n">
        <v>47</v>
      </c>
      <c r="AC23" s="59" t="n">
        <v>14</v>
      </c>
      <c r="AD23" s="75"/>
      <c r="AE23" s="78"/>
      <c r="AF23" s="78"/>
    </row>
    <row r="24" customFormat="false" ht="11.1" hidden="false" customHeight="true" outlineLevel="0" collapsed="false">
      <c r="A24" s="59" t="n">
        <v>15</v>
      </c>
      <c r="B24" s="76" t="n">
        <v>6988.73</v>
      </c>
      <c r="C24" s="54" t="n">
        <v>243902</v>
      </c>
      <c r="D24" s="58" t="n">
        <f aca="false">C24-C23</f>
        <v>167</v>
      </c>
      <c r="E24" s="54" t="n">
        <f aca="false">C24-151978</f>
        <v>91924</v>
      </c>
      <c r="F24" s="53" t="n">
        <f aca="false">D24/$D$2</f>
        <v>84.2158345940494</v>
      </c>
      <c r="G24" s="53" t="n">
        <v>248.48</v>
      </c>
      <c r="H24" s="55" t="n">
        <v>0</v>
      </c>
      <c r="I24" s="53" t="n">
        <f aca="false">G24+H24</f>
        <v>248.48</v>
      </c>
      <c r="J24" s="77" t="n">
        <f aca="false">IF(L24&gt;0,L24,0)</f>
        <v>0</v>
      </c>
      <c r="K24" s="53" t="n">
        <f aca="false">I24+J24</f>
        <v>248.48</v>
      </c>
      <c r="L24" s="53" t="n">
        <f aca="false">F24-(I24-W24)</f>
        <v>-7.89078539586738</v>
      </c>
      <c r="M24" s="53" t="n">
        <v>38.64</v>
      </c>
      <c r="N24" s="53" t="n">
        <f aca="false">(1.13+0.58)*1.05</f>
        <v>1.7955</v>
      </c>
      <c r="O24" s="53" t="n">
        <f aca="false">M24-N24</f>
        <v>36.8445</v>
      </c>
      <c r="P24" s="53" t="n">
        <v>15</v>
      </c>
      <c r="Q24" s="53" t="n">
        <f aca="false">R24-(O24+P24)</f>
        <v>26.8043530375599</v>
      </c>
      <c r="R24" s="53" t="n">
        <f aca="false">156/1.9835</f>
        <v>78.6488530375599</v>
      </c>
      <c r="S24" s="54" t="n">
        <f aca="false">(I24-R24)+S23</f>
        <v>-25361.1565805421</v>
      </c>
      <c r="T24" s="53" t="n">
        <f aca="false">19/1.9835</f>
        <v>9.57902697252332</v>
      </c>
      <c r="U24" s="53" t="n">
        <v>66.35</v>
      </c>
      <c r="V24" s="54" t="n">
        <f aca="false">V23-U24</f>
        <v>7603.25002268716</v>
      </c>
      <c r="W24" s="53" t="n">
        <f aca="false">R24+T24+N24+U24</f>
        <v>156.373380010083</v>
      </c>
      <c r="X24" s="53" t="n">
        <f aca="false">IF(L24&lt;0,L24*-1,0)</f>
        <v>7.89078539586738</v>
      </c>
      <c r="Y24" s="53" t="n">
        <f aca="false">W24+X24</f>
        <v>164.264165405951</v>
      </c>
      <c r="Z24" s="57" t="n">
        <v>0.01</v>
      </c>
      <c r="AA24" s="58" t="n">
        <v>68</v>
      </c>
      <c r="AB24" s="58" t="n">
        <v>47</v>
      </c>
      <c r="AC24" s="59" t="n">
        <v>15</v>
      </c>
      <c r="AD24" s="75"/>
      <c r="AE24" s="78"/>
      <c r="AF24" s="78"/>
    </row>
    <row r="25" customFormat="false" ht="11.1" hidden="false" customHeight="true" outlineLevel="0" collapsed="false">
      <c r="A25" s="59" t="n">
        <v>16</v>
      </c>
      <c r="B25" s="76" t="n">
        <v>6988.75</v>
      </c>
      <c r="C25" s="54" t="n">
        <v>243968</v>
      </c>
      <c r="D25" s="58" t="n">
        <f aca="false">C25-C24</f>
        <v>66</v>
      </c>
      <c r="E25" s="54" t="n">
        <f aca="false">C25-151978</f>
        <v>91990</v>
      </c>
      <c r="F25" s="53" t="n">
        <f aca="false">D25/$D$2</f>
        <v>33.2829046898638</v>
      </c>
      <c r="G25" s="53" t="n">
        <v>210.56</v>
      </c>
      <c r="H25" s="55" t="n">
        <v>0</v>
      </c>
      <c r="I25" s="53" t="n">
        <f aca="false">G25+H25</f>
        <v>210.56</v>
      </c>
      <c r="J25" s="77" t="n">
        <f aca="false">IF(L25&gt;0,L25,0)</f>
        <v>0</v>
      </c>
      <c r="K25" s="53" t="n">
        <f aca="false">I25+J25</f>
        <v>210.56</v>
      </c>
      <c r="L25" s="53" t="n">
        <f aca="false">F25-(I25-W25)</f>
        <v>-20.2370953101362</v>
      </c>
      <c r="M25" s="53" t="n">
        <v>50.15</v>
      </c>
      <c r="N25" s="53" t="n">
        <f aca="false">(0.4+0.5)*1.05</f>
        <v>0.945</v>
      </c>
      <c r="O25" s="53" t="n">
        <f aca="false">M25-N25</f>
        <v>49.205</v>
      </c>
      <c r="P25" s="53" t="n">
        <v>3.94</v>
      </c>
      <c r="Q25" s="53" t="n">
        <v>14.18</v>
      </c>
      <c r="R25" s="53" t="n">
        <f aca="false">SUM(O25:Q25)</f>
        <v>67.325</v>
      </c>
      <c r="S25" s="54" t="n">
        <f aca="false">(I25-R25)+S24</f>
        <v>-25217.9215805421</v>
      </c>
      <c r="T25" s="53" t="n">
        <v>29.61</v>
      </c>
      <c r="U25" s="53" t="n">
        <v>59.16</v>
      </c>
      <c r="V25" s="54" t="n">
        <f aca="false">V24-U25</f>
        <v>7544.09002268716</v>
      </c>
      <c r="W25" s="53" t="n">
        <f aca="false">R25+T25+N25+U25</f>
        <v>157.04</v>
      </c>
      <c r="X25" s="53" t="n">
        <f aca="false">IF(L25&lt;0,L25*-1,0)</f>
        <v>20.2370953101362</v>
      </c>
      <c r="Y25" s="53" t="n">
        <f aca="false">W25+X25</f>
        <v>177.277095310136</v>
      </c>
      <c r="Z25" s="57" t="n">
        <v>0.08</v>
      </c>
      <c r="AA25" s="58" t="n">
        <v>68</v>
      </c>
      <c r="AB25" s="58" t="n">
        <v>41</v>
      </c>
      <c r="AC25" s="59" t="n">
        <v>16</v>
      </c>
      <c r="AD25" s="75"/>
      <c r="AE25" s="78"/>
      <c r="AF25" s="78"/>
    </row>
    <row r="26" customFormat="false" ht="11.1" hidden="false" customHeight="true" outlineLevel="0" collapsed="false">
      <c r="A26" s="59" t="n">
        <v>17</v>
      </c>
      <c r="B26" s="76" t="n">
        <v>6988.78</v>
      </c>
      <c r="C26" s="54" t="n">
        <v>244068</v>
      </c>
      <c r="D26" s="58" t="n">
        <f aca="false">C26-C25</f>
        <v>100</v>
      </c>
      <c r="E26" s="54" t="n">
        <f aca="false">C26-151978</f>
        <v>92090</v>
      </c>
      <c r="F26" s="53" t="n">
        <f aca="false">D26/$D$2</f>
        <v>50.4286434694907</v>
      </c>
      <c r="G26" s="53" t="n">
        <v>197.37</v>
      </c>
      <c r="H26" s="55" t="n">
        <v>0</v>
      </c>
      <c r="I26" s="53" t="n">
        <f aca="false">G26+H26</f>
        <v>197.37</v>
      </c>
      <c r="J26" s="77" t="n">
        <f aca="false">IF(L26&gt;0,L26,0)</f>
        <v>0</v>
      </c>
      <c r="K26" s="53" t="n">
        <f aca="false">I26+J26</f>
        <v>197.37</v>
      </c>
      <c r="L26" s="53" t="n">
        <f aca="false">F26-(I26-W26)</f>
        <v>-2.38135653050934</v>
      </c>
      <c r="M26" s="53" t="n">
        <v>52.9</v>
      </c>
      <c r="N26" s="53" t="n">
        <f aca="false">(2.15+3.7)*1.05</f>
        <v>6.1425</v>
      </c>
      <c r="O26" s="53" t="n">
        <f aca="false">M26-N26</f>
        <v>46.7575</v>
      </c>
      <c r="P26" s="53" t="n">
        <v>0</v>
      </c>
      <c r="Q26" s="53" t="n">
        <v>14.12</v>
      </c>
      <c r="R26" s="53" t="n">
        <f aca="false">SUM(O26:Q26)</f>
        <v>60.8775</v>
      </c>
      <c r="S26" s="54" t="n">
        <f aca="false">(I26-R26)+S25</f>
        <v>-25081.4290805421</v>
      </c>
      <c r="T26" s="53" t="n">
        <v>17.3</v>
      </c>
      <c r="U26" s="53" t="n">
        <v>60.24</v>
      </c>
      <c r="V26" s="54" t="n">
        <f aca="false">V25-U26</f>
        <v>7483.85002268716</v>
      </c>
      <c r="W26" s="53" t="n">
        <f aca="false">R26+T26+N26+U26</f>
        <v>144.56</v>
      </c>
      <c r="X26" s="53" t="n">
        <f aca="false">IF(L26&lt;0,L26*-1,0)</f>
        <v>2.38135653050934</v>
      </c>
      <c r="Y26" s="53" t="n">
        <f aca="false">W26+X26</f>
        <v>146.941356530509</v>
      </c>
      <c r="Z26" s="57" t="n">
        <v>0.03</v>
      </c>
      <c r="AA26" s="58" t="n">
        <v>52</v>
      </c>
      <c r="AB26" s="58" t="n">
        <v>41</v>
      </c>
      <c r="AC26" s="59" t="n">
        <v>17</v>
      </c>
      <c r="AD26" s="75"/>
      <c r="AE26" s="78"/>
      <c r="AF26" s="78"/>
    </row>
    <row r="27" customFormat="false" ht="11.1" hidden="false" customHeight="true" outlineLevel="0" collapsed="false">
      <c r="A27" s="59" t="n">
        <v>18</v>
      </c>
      <c r="B27" s="76" t="n">
        <v>6988.83</v>
      </c>
      <c r="C27" s="54" t="n">
        <v>244235</v>
      </c>
      <c r="D27" s="58" t="n">
        <f aca="false">C27-C26</f>
        <v>167</v>
      </c>
      <c r="E27" s="54" t="n">
        <f aca="false">C27-151978</f>
        <v>92257</v>
      </c>
      <c r="F27" s="53" t="n">
        <f aca="false">D27/$D$2</f>
        <v>84.2158345940494</v>
      </c>
      <c r="G27" s="53" t="n">
        <v>201.31</v>
      </c>
      <c r="H27" s="55" t="n">
        <v>0</v>
      </c>
      <c r="I27" s="53" t="n">
        <f aca="false">G27+H27</f>
        <v>201.31</v>
      </c>
      <c r="J27" s="77" t="n">
        <f aca="false">IF(L27&gt;0,L27,0)</f>
        <v>10.6558345940494</v>
      </c>
      <c r="K27" s="53" t="n">
        <f aca="false">I27+J27</f>
        <v>211.965834594049</v>
      </c>
      <c r="L27" s="53" t="n">
        <f aca="false">F27-(I27-W27)</f>
        <v>10.6558345940494</v>
      </c>
      <c r="M27" s="53" t="n">
        <v>44.71</v>
      </c>
      <c r="N27" s="53" t="n">
        <f aca="false">(8.76+9.13)*1.05</f>
        <v>18.7845</v>
      </c>
      <c r="O27" s="53" t="n">
        <f aca="false">M27-N27</f>
        <v>25.9255</v>
      </c>
      <c r="P27" s="53" t="n">
        <v>0</v>
      </c>
      <c r="Q27" s="53" t="n">
        <v>13.9</v>
      </c>
      <c r="R27" s="53" t="n">
        <f aca="false">SUM(O27:Q27)</f>
        <v>39.8255</v>
      </c>
      <c r="S27" s="54" t="n">
        <f aca="false">(I27-R27)+S26</f>
        <v>-24919.9445805421</v>
      </c>
      <c r="T27" s="53" t="n">
        <v>9.4</v>
      </c>
      <c r="U27" s="53" t="n">
        <v>59.74</v>
      </c>
      <c r="V27" s="54" t="n">
        <f aca="false">V26-U27</f>
        <v>7424.11002268716</v>
      </c>
      <c r="W27" s="53" t="n">
        <f aca="false">R27+T27+N27+U27</f>
        <v>127.75</v>
      </c>
      <c r="X27" s="53" t="n">
        <f aca="false">IF(L27&lt;0,L27*-1,0)</f>
        <v>0</v>
      </c>
      <c r="Y27" s="53" t="n">
        <f aca="false">W27+X27</f>
        <v>127.75</v>
      </c>
      <c r="Z27" s="57" t="n">
        <v>0.22</v>
      </c>
      <c r="AA27" s="58" t="n">
        <v>50</v>
      </c>
      <c r="AB27" s="58" t="n">
        <v>37</v>
      </c>
      <c r="AC27" s="59" t="n">
        <v>18</v>
      </c>
      <c r="AD27" s="75"/>
      <c r="AE27" s="78"/>
      <c r="AF27" s="78"/>
    </row>
    <row r="28" customFormat="false" ht="11.1" hidden="false" customHeight="true" outlineLevel="0" collapsed="false">
      <c r="A28" s="59" t="n">
        <v>19</v>
      </c>
      <c r="B28" s="76" t="n">
        <v>6888.88</v>
      </c>
      <c r="C28" s="54" t="n">
        <v>244401</v>
      </c>
      <c r="D28" s="58" t="n">
        <f aca="false">C28-C27</f>
        <v>166</v>
      </c>
      <c r="E28" s="54" t="n">
        <f aca="false">C28-151978</f>
        <v>92423</v>
      </c>
      <c r="F28" s="53" t="n">
        <f aca="false">D28/$D$2</f>
        <v>83.7115481593545</v>
      </c>
      <c r="G28" s="53" t="n">
        <v>195.77</v>
      </c>
      <c r="H28" s="55" t="n">
        <v>0</v>
      </c>
      <c r="I28" s="53" t="n">
        <f aca="false">G28+H28</f>
        <v>195.77</v>
      </c>
      <c r="J28" s="77" t="n">
        <f aca="false">IF(L28&gt;0,L28,0)</f>
        <v>0</v>
      </c>
      <c r="K28" s="53" t="n">
        <f aca="false">I28+J28</f>
        <v>195.77</v>
      </c>
      <c r="L28" s="53" t="n">
        <f aca="false">F28-(I28-W28)</f>
        <v>-5.81845184064549</v>
      </c>
      <c r="M28" s="53" t="n">
        <v>32.68</v>
      </c>
      <c r="N28" s="53" t="n">
        <f aca="false">(7.79+7.03)*1.05</f>
        <v>15.561</v>
      </c>
      <c r="O28" s="53" t="n">
        <f aca="false">M28-N28</f>
        <v>17.119</v>
      </c>
      <c r="P28" s="53" t="n">
        <v>0</v>
      </c>
      <c r="Q28" s="53" t="n">
        <v>13.86</v>
      </c>
      <c r="R28" s="53" t="n">
        <f aca="false">SUM(O28:Q28)</f>
        <v>30.979</v>
      </c>
      <c r="S28" s="54" t="n">
        <f aca="false">(I28-R28)+S27</f>
        <v>-24755.1535805421</v>
      </c>
      <c r="T28" s="53" t="n">
        <v>0</v>
      </c>
      <c r="U28" s="53" t="n">
        <v>59.7</v>
      </c>
      <c r="V28" s="54" t="n">
        <f aca="false">V27-U28</f>
        <v>7364.41002268716</v>
      </c>
      <c r="W28" s="53" t="n">
        <f aca="false">R28+T28+N28+U28</f>
        <v>106.24</v>
      </c>
      <c r="X28" s="53" t="n">
        <f aca="false">IF(L28&lt;0,L28*-1,0)</f>
        <v>5.81845184064549</v>
      </c>
      <c r="Y28" s="53" t="n">
        <f aca="false">W28+X28</f>
        <v>112.058451840646</v>
      </c>
      <c r="Z28" s="57" t="n">
        <v>0.05</v>
      </c>
      <c r="AA28" s="58" t="n">
        <v>56</v>
      </c>
      <c r="AB28" s="58" t="n">
        <v>30</v>
      </c>
      <c r="AC28" s="59" t="n">
        <v>19</v>
      </c>
      <c r="AD28" s="75"/>
      <c r="AE28" s="78"/>
      <c r="AF28" s="78"/>
    </row>
    <row r="29" customFormat="false" ht="11.1" hidden="false" customHeight="true" outlineLevel="0" collapsed="false">
      <c r="A29" s="59" t="n">
        <v>20</v>
      </c>
      <c r="B29" s="76" t="n">
        <v>6888.9</v>
      </c>
      <c r="C29" s="54" t="n">
        <v>244468</v>
      </c>
      <c r="D29" s="58" t="n">
        <f aca="false">C29-C28</f>
        <v>67</v>
      </c>
      <c r="E29" s="54" t="n">
        <f aca="false">C29-151978</f>
        <v>92490</v>
      </c>
      <c r="F29" s="53" t="n">
        <f aca="false">D29/$D$2</f>
        <v>33.7871911245587</v>
      </c>
      <c r="G29" s="53" t="n">
        <v>185.52</v>
      </c>
      <c r="H29" s="55" t="n">
        <v>0</v>
      </c>
      <c r="I29" s="53" t="n">
        <f aca="false">G29+H29</f>
        <v>185.52</v>
      </c>
      <c r="J29" s="77" t="n">
        <f aca="false">IF(L29&gt;0,L29,0)</f>
        <v>0</v>
      </c>
      <c r="K29" s="53" t="n">
        <f aca="false">I29+J29</f>
        <v>185.52</v>
      </c>
      <c r="L29" s="53" t="n">
        <f aca="false">F29-(I29-W29)</f>
        <v>-43.2328088754413</v>
      </c>
      <c r="M29" s="53" t="n">
        <v>33.74</v>
      </c>
      <c r="N29" s="53" t="n">
        <f aca="false">(2.84+2.82)*1.05</f>
        <v>5.943</v>
      </c>
      <c r="O29" s="53" t="n">
        <f aca="false">M29-N29</f>
        <v>27.797</v>
      </c>
      <c r="P29" s="53" t="n">
        <v>0</v>
      </c>
      <c r="Q29" s="53" t="n">
        <v>13.96</v>
      </c>
      <c r="R29" s="53" t="n">
        <f aca="false">SUM(O29:Q29)</f>
        <v>41.757</v>
      </c>
      <c r="S29" s="54" t="n">
        <f aca="false">(I29-R29)+S28</f>
        <v>-24611.3905805421</v>
      </c>
      <c r="T29" s="53" t="n">
        <v>1.27</v>
      </c>
      <c r="U29" s="53" t="n">
        <v>59.53</v>
      </c>
      <c r="V29" s="54" t="n">
        <f aca="false">V28-U29</f>
        <v>7304.88002268716</v>
      </c>
      <c r="W29" s="53" t="n">
        <f aca="false">R29+T29+N29+U29</f>
        <v>108.5</v>
      </c>
      <c r="X29" s="53" t="n">
        <f aca="false">IF(L29&lt;0,L29*-1,0)</f>
        <v>43.2328088754413</v>
      </c>
      <c r="Y29" s="53" t="n">
        <f aca="false">W29+X29</f>
        <v>151.732808875441</v>
      </c>
      <c r="Z29" s="57" t="n">
        <v>0</v>
      </c>
      <c r="AA29" s="58" t="n">
        <v>63</v>
      </c>
      <c r="AB29" s="58" t="n">
        <v>31</v>
      </c>
      <c r="AC29" s="59" t="n">
        <v>20</v>
      </c>
      <c r="AD29" s="75"/>
      <c r="AE29" s="78"/>
      <c r="AF29" s="78"/>
    </row>
    <row r="30" customFormat="false" ht="11.1" hidden="false" customHeight="true" outlineLevel="0" collapsed="false">
      <c r="A30" s="59" t="n">
        <v>21</v>
      </c>
      <c r="B30" s="76" t="n">
        <v>6888.9</v>
      </c>
      <c r="C30" s="54" t="n">
        <v>244468</v>
      </c>
      <c r="D30" s="58" t="n">
        <f aca="false">C30-C29</f>
        <v>0</v>
      </c>
      <c r="E30" s="54" t="n">
        <f aca="false">C30-151978</f>
        <v>92490</v>
      </c>
      <c r="F30" s="53" t="n">
        <f aca="false">D30/$D$2</f>
        <v>0</v>
      </c>
      <c r="G30" s="53" t="n">
        <v>177.63</v>
      </c>
      <c r="H30" s="55" t="n">
        <v>0</v>
      </c>
      <c r="I30" s="53" t="n">
        <f aca="false">G30+H30</f>
        <v>177.63</v>
      </c>
      <c r="J30" s="77" t="n">
        <f aca="false">IF(L30&gt;0,L30,0)</f>
        <v>0</v>
      </c>
      <c r="K30" s="53" t="n">
        <f aca="false">I30+J30</f>
        <v>177.63</v>
      </c>
      <c r="L30" s="53" t="n">
        <f aca="false">F30-(I30-W30)</f>
        <v>-63.02</v>
      </c>
      <c r="M30" s="53" t="n">
        <v>31.63</v>
      </c>
      <c r="N30" s="53" t="n">
        <f aca="false">(0.48+0)*1.05</f>
        <v>0.504</v>
      </c>
      <c r="O30" s="53" t="n">
        <f aca="false">M30-N30</f>
        <v>31.126</v>
      </c>
      <c r="P30" s="53" t="n">
        <v>0</v>
      </c>
      <c r="Q30" s="53" t="n">
        <v>13.95</v>
      </c>
      <c r="R30" s="53" t="n">
        <f aca="false">SUM(O30:Q30)</f>
        <v>45.076</v>
      </c>
      <c r="S30" s="54" t="n">
        <f aca="false">(I30-R30)+S29</f>
        <v>-24478.8365805421</v>
      </c>
      <c r="T30" s="53" t="n">
        <v>9.83</v>
      </c>
      <c r="U30" s="53" t="n">
        <v>59.2</v>
      </c>
      <c r="V30" s="54" t="n">
        <f aca="false">V29-U30</f>
        <v>7245.68002268716</v>
      </c>
      <c r="W30" s="53" t="n">
        <f aca="false">R30+T30+N30+U30</f>
        <v>114.61</v>
      </c>
      <c r="X30" s="53" t="n">
        <f aca="false">IF(L30&lt;0,L30*-1,0)</f>
        <v>63.02</v>
      </c>
      <c r="Y30" s="53" t="n">
        <f aca="false">W30+X30</f>
        <v>177.63</v>
      </c>
      <c r="Z30" s="57" t="n">
        <v>0</v>
      </c>
      <c r="AA30" s="58" t="n">
        <v>70</v>
      </c>
      <c r="AB30" s="58" t="n">
        <v>40</v>
      </c>
      <c r="AC30" s="59" t="n">
        <v>21</v>
      </c>
      <c r="AD30" s="75"/>
      <c r="AE30" s="78"/>
      <c r="AF30" s="78"/>
    </row>
    <row r="31" customFormat="false" ht="11.1" hidden="false" customHeight="true" outlineLevel="0" collapsed="false">
      <c r="A31" s="59" t="n">
        <v>22</v>
      </c>
      <c r="B31" s="76" t="n">
        <v>6888.93</v>
      </c>
      <c r="C31" s="54" t="n">
        <v>244568</v>
      </c>
      <c r="D31" s="58" t="n">
        <f aca="false">C31-C30</f>
        <v>100</v>
      </c>
      <c r="E31" s="54" t="n">
        <f aca="false">C31-151978</f>
        <v>92590</v>
      </c>
      <c r="F31" s="53" t="n">
        <f aca="false">D31/$D$2</f>
        <v>50.4286434694907</v>
      </c>
      <c r="G31" s="53" t="n">
        <v>169.76</v>
      </c>
      <c r="H31" s="55" t="n">
        <v>0</v>
      </c>
      <c r="I31" s="53" t="n">
        <f aca="false">G31+H31</f>
        <v>169.76</v>
      </c>
      <c r="J31" s="77" t="n">
        <f aca="false">IF(L31&gt;0,L31,0)</f>
        <v>3.36864346949068</v>
      </c>
      <c r="K31" s="53" t="n">
        <f aca="false">I31+J31</f>
        <v>173.128643469491</v>
      </c>
      <c r="L31" s="53" t="n">
        <f aca="false">F31-(I31-W31)</f>
        <v>3.36864346949068</v>
      </c>
      <c r="M31" s="53" t="n">
        <v>33.34</v>
      </c>
      <c r="N31" s="53" t="n">
        <v>0</v>
      </c>
      <c r="O31" s="53" t="n">
        <f aca="false">M31-N31</f>
        <v>33.34</v>
      </c>
      <c r="P31" s="53" t="n">
        <v>0</v>
      </c>
      <c r="Q31" s="53" t="n">
        <v>12.75</v>
      </c>
      <c r="R31" s="53" t="n">
        <f aca="false">SUM(O31:Q31)</f>
        <v>46.09</v>
      </c>
      <c r="S31" s="54" t="n">
        <f aca="false">(I31-R31)+S30</f>
        <v>-24355.1665805421</v>
      </c>
      <c r="T31" s="53" t="n">
        <v>16.95</v>
      </c>
      <c r="U31" s="53" t="n">
        <v>59.66</v>
      </c>
      <c r="V31" s="54" t="n">
        <f aca="false">V30-U31</f>
        <v>7186.02002268716</v>
      </c>
      <c r="W31" s="53" t="n">
        <f aca="false">R31+T31+N31+U31</f>
        <v>122.7</v>
      </c>
      <c r="X31" s="53" t="n">
        <f aca="false">IF(L31&lt;0,L31*-1,0)</f>
        <v>0</v>
      </c>
      <c r="Y31" s="53" t="n">
        <f aca="false">W31+X31</f>
        <v>122.7</v>
      </c>
      <c r="Z31" s="57" t="n">
        <v>0</v>
      </c>
      <c r="AA31" s="58" t="n">
        <v>70</v>
      </c>
      <c r="AB31" s="58" t="n">
        <v>45</v>
      </c>
      <c r="AC31" s="59" t="n">
        <v>22</v>
      </c>
      <c r="AD31" s="75"/>
      <c r="AE31" s="78"/>
      <c r="AF31" s="78"/>
    </row>
    <row r="32" customFormat="false" ht="11.1" hidden="false" customHeight="true" outlineLevel="0" collapsed="false">
      <c r="A32" s="59" t="n">
        <v>23</v>
      </c>
      <c r="B32" s="76" t="n">
        <v>6888.95</v>
      </c>
      <c r="C32" s="54" t="n">
        <v>244635</v>
      </c>
      <c r="D32" s="58" t="n">
        <f aca="false">C32-C31</f>
        <v>67</v>
      </c>
      <c r="E32" s="54" t="n">
        <f aca="false">C32-151978</f>
        <v>92657</v>
      </c>
      <c r="F32" s="53" t="n">
        <f aca="false">D32/$D$2</f>
        <v>33.7871911245587</v>
      </c>
      <c r="G32" s="53" t="n">
        <v>166.27</v>
      </c>
      <c r="H32" s="55" t="n">
        <v>0</v>
      </c>
      <c r="I32" s="53" t="n">
        <f aca="false">G32+H32</f>
        <v>166.27</v>
      </c>
      <c r="J32" s="77" t="n">
        <f aca="false">IF(L32&gt;0,L32,0)</f>
        <v>0</v>
      </c>
      <c r="K32" s="53" t="n">
        <f aca="false">I32+J32</f>
        <v>166.27</v>
      </c>
      <c r="L32" s="53" t="n">
        <f aca="false">F32-(I32-W32)</f>
        <v>-11.2528088754412</v>
      </c>
      <c r="M32" s="53" t="n">
        <v>44.38</v>
      </c>
      <c r="N32" s="53" t="n">
        <f aca="false">(6.62+7.16)*1.05</f>
        <v>14.469</v>
      </c>
      <c r="O32" s="53" t="n">
        <f aca="false">M32-N32</f>
        <v>29.911</v>
      </c>
      <c r="P32" s="53" t="n">
        <v>0</v>
      </c>
      <c r="Q32" s="53" t="n">
        <v>11.84</v>
      </c>
      <c r="R32" s="53" t="n">
        <f aca="false">SUM(O32:Q32)</f>
        <v>41.751</v>
      </c>
      <c r="S32" s="54" t="n">
        <f aca="false">(I32-R32)+S31</f>
        <v>-24230.6475805421</v>
      </c>
      <c r="T32" s="53" t="n">
        <v>5.31</v>
      </c>
      <c r="U32" s="53" t="n">
        <v>59.7</v>
      </c>
      <c r="V32" s="54" t="n">
        <f aca="false">V31-U32</f>
        <v>7126.32002268716</v>
      </c>
      <c r="W32" s="53" t="n">
        <f aca="false">R32+T32+N32+U32</f>
        <v>121.23</v>
      </c>
      <c r="X32" s="53" t="n">
        <f aca="false">IF(L32&lt;0,L32*-1,0)</f>
        <v>11.2528088754412</v>
      </c>
      <c r="Y32" s="53" t="n">
        <f aca="false">W32+X32</f>
        <v>132.482808875441</v>
      </c>
      <c r="Z32" s="57" t="n">
        <v>0.01</v>
      </c>
      <c r="AA32" s="58" t="n">
        <v>70</v>
      </c>
      <c r="AB32" s="58" t="n">
        <v>46</v>
      </c>
      <c r="AC32" s="59" t="n">
        <v>23</v>
      </c>
      <c r="AD32" s="75"/>
      <c r="AE32" s="78"/>
      <c r="AF32" s="78"/>
    </row>
    <row r="33" customFormat="false" ht="11.1" hidden="false" customHeight="true" outlineLevel="0" collapsed="false">
      <c r="A33" s="59" t="n">
        <v>24</v>
      </c>
      <c r="B33" s="76" t="n">
        <v>6888.96</v>
      </c>
      <c r="C33" s="54" t="n">
        <v>244668</v>
      </c>
      <c r="D33" s="58" t="n">
        <f aca="false">C33-C32</f>
        <v>33</v>
      </c>
      <c r="E33" s="54" t="n">
        <f aca="false">C33-151978</f>
        <v>92690</v>
      </c>
      <c r="F33" s="53" t="n">
        <f aca="false">D33/$D$2</f>
        <v>16.6414523449319</v>
      </c>
      <c r="G33" s="53" t="n">
        <v>162.74</v>
      </c>
      <c r="H33" s="55" t="n">
        <v>0</v>
      </c>
      <c r="I33" s="53" t="n">
        <f aca="false">G33+H33</f>
        <v>162.74</v>
      </c>
      <c r="J33" s="77" t="n">
        <f aca="false">IF(L33&gt;0,L33,0)</f>
        <v>0</v>
      </c>
      <c r="K33" s="53" t="n">
        <f aca="false">I33+J33</f>
        <v>162.74</v>
      </c>
      <c r="L33" s="53" t="n">
        <f aca="false">F33-(I33-W33)</f>
        <v>-30.8185476550681</v>
      </c>
      <c r="M33" s="53" t="n">
        <v>40.48</v>
      </c>
      <c r="N33" s="53" t="n">
        <f aca="false">(8.15+8.04)*1.05</f>
        <v>16.9995</v>
      </c>
      <c r="O33" s="53" t="n">
        <f aca="false">M33-N33</f>
        <v>23.4805</v>
      </c>
      <c r="P33" s="53" t="n">
        <v>0</v>
      </c>
      <c r="Q33" s="53" t="n">
        <v>6.07</v>
      </c>
      <c r="R33" s="53" t="n">
        <f aca="false">SUM(O33:Q33)</f>
        <v>29.5505</v>
      </c>
      <c r="S33" s="54" t="n">
        <f aca="false">(I33-R33)+S32</f>
        <v>-24097.4580805421</v>
      </c>
      <c r="T33" s="53" t="n">
        <v>9.07</v>
      </c>
      <c r="U33" s="53" t="n">
        <v>59.66</v>
      </c>
      <c r="V33" s="54" t="n">
        <f aca="false">V32-U33</f>
        <v>7066.66002268716</v>
      </c>
      <c r="W33" s="53" t="n">
        <f aca="false">R33+T33+N33+U33</f>
        <v>115.28</v>
      </c>
      <c r="X33" s="53" t="n">
        <f aca="false">IF(L33&lt;0,L33*-1,0)</f>
        <v>30.8185476550681</v>
      </c>
      <c r="Y33" s="53" t="n">
        <f aca="false">W33+X33</f>
        <v>146.098547655068</v>
      </c>
      <c r="Z33" s="57" t="n">
        <v>0</v>
      </c>
      <c r="AA33" s="58" t="n">
        <v>70</v>
      </c>
      <c r="AB33" s="58" t="n">
        <v>46</v>
      </c>
      <c r="AC33" s="59" t="n">
        <v>24</v>
      </c>
      <c r="AD33" s="75"/>
      <c r="AE33" s="78"/>
      <c r="AF33" s="78"/>
    </row>
    <row r="34" customFormat="false" ht="11.1" hidden="false" customHeight="true" outlineLevel="0" collapsed="false">
      <c r="A34" s="59" t="n">
        <v>25</v>
      </c>
      <c r="B34" s="76" t="n">
        <v>6888.96</v>
      </c>
      <c r="C34" s="54" t="n">
        <v>244668</v>
      </c>
      <c r="D34" s="58" t="n">
        <f aca="false">C34-C33</f>
        <v>0</v>
      </c>
      <c r="E34" s="54" t="n">
        <f aca="false">C34-151978</f>
        <v>92690</v>
      </c>
      <c r="F34" s="53" t="n">
        <f aca="false">D34/$D$2</f>
        <v>0</v>
      </c>
      <c r="G34" s="53" t="n">
        <v>158.84</v>
      </c>
      <c r="H34" s="55" t="n">
        <v>0</v>
      </c>
      <c r="I34" s="53" t="n">
        <f aca="false">G34+H34</f>
        <v>158.84</v>
      </c>
      <c r="J34" s="77" t="n">
        <f aca="false">IF(L34&gt;0,L34,0)</f>
        <v>0</v>
      </c>
      <c r="K34" s="53" t="n">
        <f aca="false">I34+J34</f>
        <v>158.84</v>
      </c>
      <c r="L34" s="53" t="n">
        <f aca="false">F34-(I34-W34)</f>
        <v>-55.79</v>
      </c>
      <c r="M34" s="53" t="n">
        <v>32.98</v>
      </c>
      <c r="N34" s="53" t="n">
        <f aca="false">(6.06+6.95)*1.05</f>
        <v>13.6605</v>
      </c>
      <c r="O34" s="53" t="n">
        <f aca="false">M34-N34</f>
        <v>19.3195</v>
      </c>
      <c r="P34" s="53" t="n">
        <v>0</v>
      </c>
      <c r="Q34" s="53" t="n">
        <v>0.96</v>
      </c>
      <c r="R34" s="53" t="n">
        <f aca="false">SUM(O34:Q34)</f>
        <v>20.2795</v>
      </c>
      <c r="S34" s="54" t="n">
        <f aca="false">(I34-R34)+S33</f>
        <v>-23958.8975805421</v>
      </c>
      <c r="T34" s="53" t="n">
        <v>9.41</v>
      </c>
      <c r="U34" s="53" t="n">
        <v>59.7</v>
      </c>
      <c r="V34" s="54" t="n">
        <f aca="false">V33-U34</f>
        <v>7006.96002268716</v>
      </c>
      <c r="W34" s="53" t="n">
        <f aca="false">R34+T34+N34+U34</f>
        <v>103.05</v>
      </c>
      <c r="X34" s="53" t="n">
        <f aca="false">IF(L34&lt;0,L34*-1,0)</f>
        <v>55.79</v>
      </c>
      <c r="Y34" s="53" t="n">
        <f aca="false">W34+X34</f>
        <v>158.84</v>
      </c>
      <c r="Z34" s="57" t="n">
        <v>0</v>
      </c>
      <c r="AA34" s="58" t="n">
        <v>71</v>
      </c>
      <c r="AB34" s="58" t="n">
        <v>43</v>
      </c>
      <c r="AC34" s="59" t="n">
        <v>25</v>
      </c>
      <c r="AD34" s="75"/>
      <c r="AE34" s="78"/>
      <c r="AF34" s="78"/>
    </row>
    <row r="35" customFormat="false" ht="11.1" hidden="false" customHeight="true" outlineLevel="0" collapsed="false">
      <c r="A35" s="59" t="n">
        <v>26</v>
      </c>
      <c r="B35" s="76" t="n">
        <v>6889</v>
      </c>
      <c r="C35" s="54" t="n">
        <v>244801</v>
      </c>
      <c r="D35" s="58" t="n">
        <f aca="false">C35-C34</f>
        <v>133</v>
      </c>
      <c r="E35" s="54" t="n">
        <f aca="false">C35-151978</f>
        <v>92823</v>
      </c>
      <c r="F35" s="53" t="n">
        <f aca="false">D35/$D$2</f>
        <v>67.0700958144226</v>
      </c>
      <c r="G35" s="53" t="n">
        <v>157.76</v>
      </c>
      <c r="H35" s="55" t="n">
        <v>0</v>
      </c>
      <c r="I35" s="53" t="n">
        <f aca="false">G35+H35</f>
        <v>157.76</v>
      </c>
      <c r="J35" s="77" t="n">
        <f aca="false">IF(L35&gt;0,L35,0)</f>
        <v>13.5900958144226</v>
      </c>
      <c r="K35" s="53" t="n">
        <f aca="false">I35+J35</f>
        <v>171.350095814423</v>
      </c>
      <c r="L35" s="53" t="n">
        <f aca="false">F35-(I35-W35)</f>
        <v>13.5900958144226</v>
      </c>
      <c r="M35" s="53" t="n">
        <v>32.82</v>
      </c>
      <c r="N35" s="53" t="n">
        <f aca="false">(6.53+7.02)*1.05</f>
        <v>14.2275</v>
      </c>
      <c r="O35" s="53" t="n">
        <f aca="false">M35-N35</f>
        <v>18.5925</v>
      </c>
      <c r="P35" s="53" t="n">
        <v>0</v>
      </c>
      <c r="Q35" s="53" t="n">
        <v>11.76</v>
      </c>
      <c r="R35" s="53" t="n">
        <f aca="false">SUM(O35:Q35)</f>
        <v>30.3525</v>
      </c>
      <c r="S35" s="54" t="n">
        <f aca="false">(I35-R35)+S34</f>
        <v>-23831.4900805421</v>
      </c>
      <c r="T35" s="53" t="n">
        <v>0</v>
      </c>
      <c r="U35" s="53" t="n">
        <v>59.7</v>
      </c>
      <c r="V35" s="54" t="n">
        <f aca="false">V34-U35</f>
        <v>6947.26002268716</v>
      </c>
      <c r="W35" s="53" t="n">
        <f aca="false">R35+T35+N35+U35</f>
        <v>104.28</v>
      </c>
      <c r="X35" s="53" t="n">
        <f aca="false">IF(L35&lt;0,L35*-1,0)</f>
        <v>0</v>
      </c>
      <c r="Y35" s="53" t="n">
        <f aca="false">W35+X35</f>
        <v>104.28</v>
      </c>
      <c r="Z35" s="57" t="n">
        <v>0</v>
      </c>
      <c r="AA35" s="58" t="n">
        <v>65</v>
      </c>
      <c r="AB35" s="58" t="n">
        <v>45</v>
      </c>
      <c r="AC35" s="59" t="n">
        <v>26</v>
      </c>
      <c r="AD35" s="75"/>
      <c r="AE35" s="78"/>
      <c r="AF35" s="78"/>
    </row>
    <row r="36" customFormat="false" ht="11.1" hidden="false" customHeight="true" outlineLevel="0" collapsed="false">
      <c r="A36" s="59" t="n">
        <v>27</v>
      </c>
      <c r="B36" s="76" t="n">
        <v>6888.98</v>
      </c>
      <c r="C36" s="54" t="n">
        <v>244735</v>
      </c>
      <c r="D36" s="58" t="n">
        <f aca="false">C36-C35</f>
        <v>-66</v>
      </c>
      <c r="E36" s="54" t="n">
        <f aca="false">C36-151978</f>
        <v>92757</v>
      </c>
      <c r="F36" s="53" t="n">
        <f aca="false">D36/$D$2</f>
        <v>-33.2829046898638</v>
      </c>
      <c r="G36" s="53" t="n">
        <v>150.62</v>
      </c>
      <c r="H36" s="55" t="n">
        <v>0</v>
      </c>
      <c r="I36" s="53" t="n">
        <f aca="false">G36+H36</f>
        <v>150.62</v>
      </c>
      <c r="J36" s="77" t="n">
        <f aca="false">IF(L36&gt;0,L36,0)</f>
        <v>0</v>
      </c>
      <c r="K36" s="53" t="n">
        <f aca="false">I36+J36</f>
        <v>150.62</v>
      </c>
      <c r="L36" s="53" t="n">
        <f aca="false">F36-(I36-W36)</f>
        <v>-80.1729046898639</v>
      </c>
      <c r="M36" s="53" t="n">
        <v>32.41</v>
      </c>
      <c r="N36" s="53" t="n">
        <f aca="false">(2.24+3.34)*1.05</f>
        <v>5.859</v>
      </c>
      <c r="O36" s="53" t="n">
        <f aca="false">M36-N36</f>
        <v>26.551</v>
      </c>
      <c r="P36" s="53" t="n">
        <v>0</v>
      </c>
      <c r="Q36" s="53" t="n">
        <v>11.62</v>
      </c>
      <c r="R36" s="53" t="n">
        <f aca="false">SUM(O36:Q36)</f>
        <v>38.171</v>
      </c>
      <c r="S36" s="54" t="n">
        <f aca="false">(I36-R36)+S35</f>
        <v>-23719.0410805421</v>
      </c>
      <c r="T36" s="53" t="n">
        <v>0</v>
      </c>
      <c r="U36" s="53" t="n">
        <v>59.7</v>
      </c>
      <c r="V36" s="54" t="n">
        <f aca="false">V35-U36</f>
        <v>6887.56002268716</v>
      </c>
      <c r="W36" s="53" t="n">
        <f aca="false">R36+T36+N36+U36</f>
        <v>103.73</v>
      </c>
      <c r="X36" s="53" t="n">
        <f aca="false">IF(L36&lt;0,L36*-1,0)</f>
        <v>80.1729046898639</v>
      </c>
      <c r="Y36" s="53" t="n">
        <f aca="false">W36+X36</f>
        <v>183.902904689864</v>
      </c>
      <c r="Z36" s="57" t="n">
        <v>0</v>
      </c>
      <c r="AA36" s="58" t="n">
        <v>61</v>
      </c>
      <c r="AB36" s="58" t="n">
        <v>32</v>
      </c>
      <c r="AC36" s="59" t="n">
        <v>27</v>
      </c>
      <c r="AD36" s="75"/>
      <c r="AE36" s="78"/>
      <c r="AF36" s="78"/>
    </row>
    <row r="37" customFormat="false" ht="11.1" hidden="false" customHeight="true" outlineLevel="0" collapsed="false">
      <c r="A37" s="59" t="n">
        <v>28</v>
      </c>
      <c r="B37" s="76" t="n">
        <v>6888.98</v>
      </c>
      <c r="C37" s="54" t="n">
        <v>244735</v>
      </c>
      <c r="D37" s="58" t="n">
        <f aca="false">C37-C36</f>
        <v>0</v>
      </c>
      <c r="E37" s="54" t="n">
        <f aca="false">C37-151978</f>
        <v>92757</v>
      </c>
      <c r="F37" s="53" t="n">
        <f aca="false">D37/$D$2</f>
        <v>0</v>
      </c>
      <c r="G37" s="53" t="n">
        <v>143.53</v>
      </c>
      <c r="H37" s="55" t="n">
        <v>0</v>
      </c>
      <c r="I37" s="53" t="n">
        <f aca="false">G37+H37</f>
        <v>143.53</v>
      </c>
      <c r="J37" s="77" t="n">
        <f aca="false">IF(L37&gt;0,L37,0)</f>
        <v>0</v>
      </c>
      <c r="K37" s="53" t="n">
        <f aca="false">I37+J37</f>
        <v>143.53</v>
      </c>
      <c r="L37" s="53" t="n">
        <f aca="false">F37-(I37-W37)</f>
        <v>-39.42</v>
      </c>
      <c r="M37" s="53" t="n">
        <v>33.12</v>
      </c>
      <c r="N37" s="53" t="n">
        <f aca="false">(4.41+4.42)*1.05</f>
        <v>9.2715</v>
      </c>
      <c r="O37" s="53" t="n">
        <f aca="false">M37-N37</f>
        <v>23.8485</v>
      </c>
      <c r="P37" s="53" t="n">
        <v>0</v>
      </c>
      <c r="Q37" s="53" t="n">
        <v>11.29</v>
      </c>
      <c r="R37" s="53" t="n">
        <f aca="false">SUM(O37:Q37)</f>
        <v>35.1385</v>
      </c>
      <c r="S37" s="54" t="n">
        <f aca="false">(I37-R37)+S36</f>
        <v>-23610.6495805421</v>
      </c>
      <c r="T37" s="53" t="n">
        <v>0</v>
      </c>
      <c r="U37" s="53" t="n">
        <v>59.7</v>
      </c>
      <c r="V37" s="54" t="n">
        <f aca="false">V36-U37</f>
        <v>6827.86002268716</v>
      </c>
      <c r="W37" s="53" t="n">
        <f aca="false">R37+T37+N37+U37</f>
        <v>104.11</v>
      </c>
      <c r="X37" s="53" t="n">
        <f aca="false">IF(L37&lt;0,L37*-1,0)</f>
        <v>39.42</v>
      </c>
      <c r="Y37" s="53" t="n">
        <f aca="false">W37+X37</f>
        <v>143.53</v>
      </c>
      <c r="Z37" s="57" t="n">
        <v>0</v>
      </c>
      <c r="AA37" s="58" t="n">
        <v>68</v>
      </c>
      <c r="AB37" s="58" t="n">
        <v>38</v>
      </c>
      <c r="AC37" s="59" t="n">
        <v>28</v>
      </c>
      <c r="AD37" s="75"/>
      <c r="AE37" s="78"/>
      <c r="AF37" s="78"/>
    </row>
    <row r="38" customFormat="false" ht="11.1" hidden="false" customHeight="true" outlineLevel="0" collapsed="false">
      <c r="A38" s="59" t="n">
        <v>29</v>
      </c>
      <c r="B38" s="76" t="n">
        <v>6889.01</v>
      </c>
      <c r="C38" s="54" t="n">
        <v>244835</v>
      </c>
      <c r="D38" s="58" t="n">
        <f aca="false">C38-C37</f>
        <v>100</v>
      </c>
      <c r="E38" s="54" t="n">
        <f aca="false">C38-151978</f>
        <v>92857</v>
      </c>
      <c r="F38" s="53" t="n">
        <f aca="false">D38/$D$2</f>
        <v>50.4286434694907</v>
      </c>
      <c r="G38" s="53" t="n">
        <v>141.19</v>
      </c>
      <c r="H38" s="55" t="n">
        <v>0</v>
      </c>
      <c r="I38" s="53" t="n">
        <f aca="false">G38+H38</f>
        <v>141.19</v>
      </c>
      <c r="J38" s="77" t="n">
        <f aca="false">IF(L38&gt;0,L38,0)</f>
        <v>13.6686434694907</v>
      </c>
      <c r="K38" s="53" t="n">
        <f aca="false">I38+J38</f>
        <v>154.858643469491</v>
      </c>
      <c r="L38" s="53" t="n">
        <f aca="false">F38-(I38-W38)</f>
        <v>13.6686434694907</v>
      </c>
      <c r="M38" s="53" t="n">
        <v>32.65</v>
      </c>
      <c r="N38" s="53" t="n">
        <f aca="false">(3.34+4.21)*1.05</f>
        <v>7.9275</v>
      </c>
      <c r="O38" s="53" t="n">
        <f aca="false">M38-N38</f>
        <v>24.7225</v>
      </c>
      <c r="P38" s="53" t="n">
        <v>0</v>
      </c>
      <c r="Q38" s="53" t="n">
        <v>11.16</v>
      </c>
      <c r="R38" s="53" t="n">
        <f aca="false">SUM(O38:Q38)</f>
        <v>35.8825</v>
      </c>
      <c r="S38" s="54" t="n">
        <f aca="false">(I38-R38)+S37</f>
        <v>-23505.3420805421</v>
      </c>
      <c r="T38" s="53" t="n">
        <v>0.92</v>
      </c>
      <c r="U38" s="53" t="n">
        <v>59.7</v>
      </c>
      <c r="V38" s="54" t="n">
        <f aca="false">V37-U38</f>
        <v>6768.16002268716</v>
      </c>
      <c r="W38" s="53" t="n">
        <f aca="false">R38+T38+N38+U38</f>
        <v>104.43</v>
      </c>
      <c r="X38" s="53" t="n">
        <f aca="false">IF(L38&lt;0,L38*-1,0)</f>
        <v>0</v>
      </c>
      <c r="Y38" s="53" t="n">
        <f aca="false">W38+X38</f>
        <v>104.43</v>
      </c>
      <c r="Z38" s="57" t="n">
        <v>0</v>
      </c>
      <c r="AA38" s="58" t="n">
        <v>70</v>
      </c>
      <c r="AB38" s="58" t="n">
        <v>40</v>
      </c>
      <c r="AC38" s="59" t="n">
        <v>29</v>
      </c>
      <c r="AD38" s="75"/>
      <c r="AE38" s="78"/>
      <c r="AF38" s="78"/>
    </row>
    <row r="39" customFormat="false" ht="11.1" hidden="false" customHeight="true" outlineLevel="0" collapsed="false">
      <c r="A39" s="59" t="n">
        <v>30</v>
      </c>
      <c r="B39" s="76" t="n">
        <v>6889.01</v>
      </c>
      <c r="C39" s="54" t="n">
        <v>244835</v>
      </c>
      <c r="D39" s="58" t="n">
        <f aca="false">C39-C38</f>
        <v>0</v>
      </c>
      <c r="E39" s="54" t="n">
        <f aca="false">C39-151978</f>
        <v>92857</v>
      </c>
      <c r="F39" s="53" t="n">
        <f aca="false">D39/$D$2</f>
        <v>0</v>
      </c>
      <c r="G39" s="53" t="n">
        <v>132.57</v>
      </c>
      <c r="H39" s="55" t="n">
        <v>0</v>
      </c>
      <c r="I39" s="53" t="n">
        <f aca="false">G39+H39</f>
        <v>132.57</v>
      </c>
      <c r="J39" s="77" t="n">
        <f aca="false">IF(L39&gt;0,L39,0)</f>
        <v>11.23</v>
      </c>
      <c r="K39" s="53" t="n">
        <f aca="false">I39+J39</f>
        <v>143.8</v>
      </c>
      <c r="L39" s="53" t="n">
        <f aca="false">F39-(I39-W39)</f>
        <v>11.23</v>
      </c>
      <c r="M39" s="53" t="n">
        <v>43.81</v>
      </c>
      <c r="N39" s="53" t="n">
        <f aca="false">(10.07+9.87)*1.05</f>
        <v>20.937</v>
      </c>
      <c r="O39" s="53" t="n">
        <f aca="false">M39-N39</f>
        <v>22.873</v>
      </c>
      <c r="P39" s="53" t="n">
        <v>0</v>
      </c>
      <c r="Q39" s="53" t="n">
        <v>9.46</v>
      </c>
      <c r="R39" s="53" t="n">
        <f aca="false">SUM(O39:Q39)</f>
        <v>32.333</v>
      </c>
      <c r="S39" s="54" t="n">
        <f aca="false">(I39-R39)+S38</f>
        <v>-23405.1050805421</v>
      </c>
      <c r="T39" s="53" t="n">
        <v>49.65</v>
      </c>
      <c r="U39" s="53" t="n">
        <v>40.88</v>
      </c>
      <c r="V39" s="54" t="n">
        <f aca="false">V38-U39</f>
        <v>6727.28002268716</v>
      </c>
      <c r="W39" s="53" t="n">
        <f aca="false">R39+T39+N39+U39</f>
        <v>143.8</v>
      </c>
      <c r="X39" s="53" t="n">
        <f aca="false">IF(L39&lt;0,L39*-1,0)</f>
        <v>0</v>
      </c>
      <c r="Y39" s="53" t="n">
        <f aca="false">W39+X39</f>
        <v>143.8</v>
      </c>
      <c r="Z39" s="57" t="n">
        <v>0</v>
      </c>
      <c r="AA39" s="116" t="n">
        <v>75</v>
      </c>
      <c r="AB39" s="58" t="n">
        <v>42</v>
      </c>
      <c r="AC39" s="59" t="n">
        <v>30</v>
      </c>
      <c r="AD39" s="75"/>
      <c r="AE39" s="78"/>
      <c r="AF39" s="78"/>
    </row>
    <row r="40" customFormat="false" ht="3" hidden="false" customHeight="true" outlineLevel="0" collapsed="false">
      <c r="A40" s="79"/>
      <c r="B40" s="79"/>
      <c r="C40" s="81"/>
      <c r="D40" s="79"/>
      <c r="E40" s="81"/>
      <c r="F40" s="79"/>
      <c r="G40" s="79"/>
      <c r="H40" s="82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81"/>
      <c r="T40" s="79"/>
      <c r="U40" s="79"/>
      <c r="V40" s="79"/>
      <c r="W40" s="79"/>
      <c r="X40" s="79"/>
      <c r="Y40" s="79"/>
      <c r="Z40" s="83"/>
      <c r="AA40" s="84" t="n">
        <v>73</v>
      </c>
      <c r="AB40" s="84"/>
      <c r="AC40" s="85"/>
      <c r="AD40" s="74"/>
      <c r="AE40" s="74"/>
      <c r="AF40" s="75"/>
    </row>
    <row r="41" customFormat="false" ht="11.1" hidden="false" customHeight="true" outlineLevel="0" collapsed="false">
      <c r="A41" s="53" t="s">
        <v>46</v>
      </c>
      <c r="B41" s="53"/>
      <c r="C41" s="54"/>
      <c r="D41" s="54"/>
      <c r="E41" s="54"/>
      <c r="F41" s="54" t="n">
        <f aca="false">SUM(F10:F39)</f>
        <v>-5406.95915279879</v>
      </c>
      <c r="G41" s="54" t="n">
        <f aca="false">SUM(G10:G39)</f>
        <v>4581.64</v>
      </c>
      <c r="H41" s="54" t="n">
        <f aca="false">SUM(H10:H39)</f>
        <v>0</v>
      </c>
      <c r="I41" s="54" t="n">
        <f aca="false">SUM(I10:I39)</f>
        <v>4581.64</v>
      </c>
      <c r="J41" s="54" t="n">
        <f aca="false">SUM(J10:J39)</f>
        <v>283.279833361109</v>
      </c>
      <c r="K41" s="54" t="n">
        <f aca="false">SUM(K10:K39)</f>
        <v>4864.91983336111</v>
      </c>
      <c r="L41" s="54" t="n">
        <f aca="false">SUM(L10:L39)</f>
        <v>-656.86140210557</v>
      </c>
      <c r="M41" s="54" t="n">
        <f aca="false">SUM(M10:M39)</f>
        <v>3446.87</v>
      </c>
      <c r="N41" s="54" t="n">
        <f aca="false">SUM(N10:N39)</f>
        <v>728.6475</v>
      </c>
      <c r="O41" s="54" t="n">
        <f aca="false">SUM(O10:O39)</f>
        <v>2718.2225</v>
      </c>
      <c r="P41" s="54" t="n">
        <f aca="false">SUM(P10:P39)</f>
        <v>1350.24</v>
      </c>
      <c r="Q41" s="54" t="n">
        <f aca="false">SUM(Q10:Q39)</f>
        <v>1034.22145374338</v>
      </c>
      <c r="R41" s="54" t="n">
        <f aca="false">SUM(R10:R39)</f>
        <v>5102.68395374338</v>
      </c>
      <c r="S41" s="54"/>
      <c r="T41" s="54" t="n">
        <f aca="false">SUM(T10:T39)</f>
        <v>1647.25629694984</v>
      </c>
      <c r="U41" s="54" t="n">
        <f aca="false">SUM(U10:U39)</f>
        <v>1853.15</v>
      </c>
      <c r="V41" s="54"/>
      <c r="W41" s="54" t="n">
        <f aca="false">SUM(W10:W39)</f>
        <v>9331.73775069322</v>
      </c>
      <c r="X41" s="54" t="n">
        <f aca="false">SUM(X10:X39)</f>
        <v>940.14123546668</v>
      </c>
      <c r="Y41" s="54" t="n">
        <f aca="false">SUM(Y10:Y39)</f>
        <v>10271.8789861599</v>
      </c>
      <c r="Z41" s="57" t="n">
        <f aca="false">SUM(Z10:Z39)</f>
        <v>2.42</v>
      </c>
      <c r="AA41" s="58" t="n">
        <f aca="false">AVERAGE(AA10:AA39)</f>
        <v>71.9</v>
      </c>
      <c r="AB41" s="58" t="n">
        <f aca="false">AVERAGE(AB10:AB39)</f>
        <v>45.1</v>
      </c>
      <c r="AC41" s="59"/>
      <c r="AD41" s="74"/>
      <c r="AE41" s="74"/>
      <c r="AF41" s="75"/>
    </row>
    <row r="42" customFormat="false" ht="11.1" hidden="false" customHeight="true" outlineLevel="0" collapsed="false">
      <c r="A42" s="53" t="s">
        <v>47</v>
      </c>
      <c r="B42" s="53"/>
      <c r="C42" s="54"/>
      <c r="D42" s="54" t="n">
        <f aca="false">SUM(D10:D10)</f>
        <v>-1275</v>
      </c>
      <c r="E42" s="54"/>
      <c r="F42" s="54" t="n">
        <f aca="false">F41*$D$2</f>
        <v>-10722</v>
      </c>
      <c r="G42" s="54" t="n">
        <f aca="false">G41*$D$2</f>
        <v>9085.39212</v>
      </c>
      <c r="H42" s="54" t="n">
        <f aca="false">H41*$D$2</f>
        <v>0</v>
      </c>
      <c r="I42" s="54" t="n">
        <f aca="false">I41*$D$2</f>
        <v>9085.39212</v>
      </c>
      <c r="J42" s="54" t="n">
        <f aca="false">J41*$D$2</f>
        <v>561.74390955508</v>
      </c>
      <c r="K42" s="54" t="n">
        <f aca="false">K41*$D$2</f>
        <v>9647.13602955508</v>
      </c>
      <c r="L42" s="54" t="n">
        <f aca="false">L41*$D$2</f>
        <v>-1302.55616037535</v>
      </c>
      <c r="M42" s="54" t="n">
        <f aca="false">M41*$D$2</f>
        <v>6835.14321</v>
      </c>
      <c r="N42" s="54" t="n">
        <f aca="false">N41*$D$2</f>
        <v>1444.9079925</v>
      </c>
      <c r="O42" s="54" t="n">
        <f aca="false">O41*$D$2</f>
        <v>5390.2352175</v>
      </c>
      <c r="P42" s="54" t="n">
        <f aca="false">P41*$D$2</f>
        <v>2677.52592</v>
      </c>
      <c r="Q42" s="54" t="n">
        <f aca="false">Q41*$D$2</f>
        <v>2050.86114277313</v>
      </c>
      <c r="R42" s="54" t="n">
        <f aca="false">R41*$D$2</f>
        <v>10118.6222802731</v>
      </c>
      <c r="S42" s="54"/>
      <c r="T42" s="54" t="n">
        <f aca="false">T41*$D$2</f>
        <v>3266.50923685153</v>
      </c>
      <c r="U42" s="54" t="n">
        <f aca="false">U41*$D$2</f>
        <v>3674.79645</v>
      </c>
      <c r="V42" s="54"/>
      <c r="W42" s="54" t="n">
        <f aca="false">W41*$D$2</f>
        <v>18504.8359596247</v>
      </c>
      <c r="X42" s="54" t="n">
        <f aca="false">X41*$D$2</f>
        <v>1864.30006993043</v>
      </c>
      <c r="Y42" s="54" t="n">
        <f aca="false">Y41*$D$2</f>
        <v>20369.1360295551</v>
      </c>
      <c r="Z42" s="57"/>
      <c r="AA42" s="58" t="n">
        <f aca="false">MAX(AA10:AA39)</f>
        <v>88</v>
      </c>
      <c r="AB42" s="58" t="n">
        <f aca="false">MAX(AB10:AB39)</f>
        <v>54</v>
      </c>
      <c r="AC42" s="59" t="s">
        <v>48</v>
      </c>
      <c r="AD42" s="74"/>
      <c r="AE42" s="74"/>
      <c r="AF42" s="75"/>
    </row>
    <row r="43" customFormat="false" ht="3" hidden="false" customHeight="true" outlineLevel="0" collapsed="false">
      <c r="A43" s="79"/>
      <c r="B43" s="79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79"/>
      <c r="W43" s="81"/>
      <c r="X43" s="81"/>
      <c r="Y43" s="81"/>
      <c r="Z43" s="57"/>
      <c r="AA43" s="58"/>
      <c r="AB43" s="58"/>
      <c r="AC43" s="59"/>
      <c r="AD43" s="74"/>
      <c r="AE43" s="74"/>
      <c r="AF43" s="75"/>
    </row>
    <row r="44" customFormat="false" ht="11.1" hidden="false" customHeight="true" outlineLevel="0" collapsed="false">
      <c r="A44" s="53" t="s">
        <v>49</v>
      </c>
      <c r="B44" s="53"/>
      <c r="C44" s="54"/>
      <c r="D44" s="54"/>
      <c r="E44" s="54"/>
      <c r="F44" s="54" t="n">
        <f aca="false">F7+F41</f>
        <v>-36900.5056974706</v>
      </c>
      <c r="G44" s="54" t="n">
        <f aca="false">G7+G41</f>
        <v>77820.5</v>
      </c>
      <c r="H44" s="54" t="n">
        <f aca="false">H7+H41</f>
        <v>694.98</v>
      </c>
      <c r="I44" s="54" t="n">
        <f aca="false">I7+I41</f>
        <v>78515.48</v>
      </c>
      <c r="J44" s="54" t="n">
        <f aca="false">J7+J41</f>
        <v>8736.90552502231</v>
      </c>
      <c r="K44" s="54" t="n">
        <f aca="false">K7+K41</f>
        <v>87252.3855250223</v>
      </c>
      <c r="L44" s="54" t="n">
        <f aca="false">L7+L41</f>
        <v>-417.187419667751</v>
      </c>
      <c r="M44" s="54" t="n">
        <f aca="false">M7+M41</f>
        <v>43007.11</v>
      </c>
      <c r="N44" s="54" t="n">
        <f aca="false">N7+N41</f>
        <v>8024.29097985791</v>
      </c>
      <c r="O44" s="54" t="n">
        <f aca="false">O7+O41</f>
        <v>34982.8190201421</v>
      </c>
      <c r="P44" s="54" t="n">
        <f aca="false">P7+P41</f>
        <v>20951.97</v>
      </c>
      <c r="Q44" s="54" t="n">
        <f aca="false">Q7+Q41</f>
        <v>11689.9814537434</v>
      </c>
      <c r="R44" s="54" t="n">
        <f aca="false">R7+R41</f>
        <v>67624.7704738855</v>
      </c>
      <c r="S44" s="54" t="n">
        <f aca="false">S39</f>
        <v>-23405.1050805421</v>
      </c>
      <c r="T44" s="54" t="n">
        <f aca="false">T7+T41</f>
        <v>27543.6162921714</v>
      </c>
      <c r="U44" s="54" t="n">
        <f aca="false">U7+U41</f>
        <v>11785.45</v>
      </c>
      <c r="V44" s="54"/>
      <c r="W44" s="54" t="n">
        <f aca="false">W7+W41</f>
        <v>114998.798277803</v>
      </c>
      <c r="X44" s="54" t="n">
        <f aca="false">X7+X41</f>
        <v>9154.09294469006</v>
      </c>
      <c r="Y44" s="54" t="n">
        <f aca="false">Y7+Y41</f>
        <v>124152.891222493</v>
      </c>
      <c r="Z44" s="57"/>
      <c r="AA44" s="58" t="n">
        <f aca="false">MIN(AA10:AA39)</f>
        <v>50</v>
      </c>
      <c r="AB44" s="58" t="n">
        <f aca="false">MIN(AB10:AB39)</f>
        <v>30</v>
      </c>
      <c r="AC44" s="59" t="s">
        <v>50</v>
      </c>
      <c r="AD44" s="74"/>
      <c r="AE44" s="74"/>
      <c r="AF44" s="75"/>
    </row>
    <row r="45" customFormat="false" ht="11.1" hidden="false" customHeight="true" outlineLevel="0" collapsed="false">
      <c r="A45" s="53" t="s">
        <v>51</v>
      </c>
      <c r="B45" s="53"/>
      <c r="C45" s="54"/>
      <c r="D45" s="54"/>
      <c r="E45" s="54"/>
      <c r="F45" s="54" t="n">
        <f aca="false">F44*$D$2</f>
        <v>-73173.7027980842</v>
      </c>
      <c r="G45" s="54" t="n">
        <f aca="false">G44*$D$2</f>
        <v>154318.0515</v>
      </c>
      <c r="H45" s="54" t="n">
        <f aca="false">H44*$D$2</f>
        <v>1378.14534</v>
      </c>
      <c r="I45" s="54" t="n">
        <f aca="false">I44*$D$2</f>
        <v>155696.19684</v>
      </c>
      <c r="J45" s="54" t="n">
        <f aca="false">J44*$D$2</f>
        <v>17325.2836561192</v>
      </c>
      <c r="K45" s="54" t="n">
        <f aca="false">K44*$D$2</f>
        <v>173021.480496119</v>
      </c>
      <c r="L45" s="54" t="n">
        <f aca="false">L44*$D$2</f>
        <v>-827.282653201151</v>
      </c>
      <c r="M45" s="54" t="n">
        <f aca="false">M44*$D$2</f>
        <v>85283.09913</v>
      </c>
      <c r="N45" s="54" t="n">
        <f aca="false">N44*$D$2</f>
        <v>15912.1690130582</v>
      </c>
      <c r="O45" s="54" t="n">
        <f aca="false">O44*$D$2</f>
        <v>69370.9301169418</v>
      </c>
      <c r="P45" s="54" t="n">
        <f aca="false">P44*$D$2</f>
        <v>41547.75651</v>
      </c>
      <c r="Q45" s="54" t="n">
        <f aca="false">Q44*$D$2</f>
        <v>23181.2332227731</v>
      </c>
      <c r="R45" s="54" t="n">
        <f aca="false">R44*$D$2</f>
        <v>134099.919849715</v>
      </c>
      <c r="S45" s="54" t="n">
        <f aca="false">S44*$D$2</f>
        <v>-46412.3233747149</v>
      </c>
      <c r="T45" s="54" t="n">
        <f aca="false">T44*$D$2</f>
        <v>54618.9911073759</v>
      </c>
      <c r="U45" s="54" t="n">
        <f aca="false">U44*$D$2</f>
        <v>23370.54735</v>
      </c>
      <c r="V45" s="54"/>
      <c r="W45" s="54" t="n">
        <f aca="false">W44*$D$2</f>
        <v>228042.616984883</v>
      </c>
      <c r="X45" s="54" t="n">
        <f aca="false">X44*$D$2</f>
        <v>18152.5663093204</v>
      </c>
      <c r="Y45" s="54" t="n">
        <f aca="false">Y44*$D$2</f>
        <v>246195.183294203</v>
      </c>
      <c r="Z45" s="57"/>
      <c r="AA45" s="58"/>
      <c r="AB45" s="58"/>
      <c r="AC45" s="59"/>
      <c r="AD45" s="74"/>
      <c r="AE45" s="74"/>
      <c r="AF45" s="75"/>
    </row>
    <row r="46" customFormat="false" ht="3" hidden="false" customHeight="true" outlineLevel="0" collapsed="false">
      <c r="A46" s="79"/>
      <c r="B46" s="79"/>
      <c r="C46" s="81"/>
      <c r="D46" s="81"/>
      <c r="E46" s="81"/>
      <c r="F46" s="81"/>
      <c r="G46" s="81"/>
      <c r="H46" s="84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3"/>
      <c r="AA46" s="58"/>
      <c r="AB46" s="58"/>
      <c r="AC46" s="59"/>
      <c r="AD46" s="74"/>
      <c r="AE46" s="74"/>
      <c r="AF46" s="75"/>
    </row>
    <row r="47" customFormat="false" ht="11.1" hidden="false" customHeight="true" outlineLevel="0" collapsed="false">
      <c r="A47" s="53" t="s">
        <v>52</v>
      </c>
      <c r="B47" s="53"/>
      <c r="C47" s="54"/>
      <c r="D47" s="54"/>
      <c r="E47" s="54"/>
      <c r="F47" s="54" t="n">
        <f aca="false">F8+F41</f>
        <v>-34651.892485166</v>
      </c>
      <c r="G47" s="54" t="n">
        <f aca="false">G8+G41</f>
        <v>89134.1101260716</v>
      </c>
      <c r="H47" s="58" t="n">
        <f aca="false">H8+H41</f>
        <v>817.24</v>
      </c>
      <c r="I47" s="54" t="n">
        <f aca="false">I8+I41</f>
        <v>89951.2501260716</v>
      </c>
      <c r="J47" s="54" t="n">
        <f aca="false">J8+J41</f>
        <v>11137.7055956224</v>
      </c>
      <c r="K47" s="54" t="n">
        <f aca="false">K8+K41</f>
        <v>101088.955721694</v>
      </c>
      <c r="L47" s="54" t="n">
        <f aca="false">L8+L41</f>
        <v>-2201.17433343477</v>
      </c>
      <c r="M47" s="54" t="n">
        <f aca="false">M8+M41</f>
        <v>44458.91</v>
      </c>
      <c r="N47" s="54" t="n">
        <f aca="false">N8+N41</f>
        <v>8083.99097985791</v>
      </c>
      <c r="O47" s="54" t="n">
        <f aca="false">O8+O41</f>
        <v>35882.4190201421</v>
      </c>
      <c r="P47" s="54" t="n">
        <f aca="false">P8+P41</f>
        <v>21786.22</v>
      </c>
      <c r="Q47" s="54" t="n">
        <f aca="false">Q8+Q41</f>
        <v>11689.9814537434</v>
      </c>
      <c r="R47" s="54" t="n">
        <f aca="false">R8+R41</f>
        <v>69727.1204738855</v>
      </c>
      <c r="S47" s="54"/>
      <c r="T47" s="54" t="n">
        <f aca="false">T8+T41</f>
        <v>27543.6162921714</v>
      </c>
      <c r="U47" s="54" t="n">
        <f aca="false">U8+U41</f>
        <v>16902.57</v>
      </c>
      <c r="V47" s="54" t="n">
        <f aca="false">V39</f>
        <v>6727.28002268716</v>
      </c>
      <c r="W47" s="54" t="n">
        <f aca="false">W8+W41</f>
        <v>122401.968277803</v>
      </c>
      <c r="X47" s="54" t="n">
        <f aca="false">X8+X41</f>
        <v>13338.8799290572</v>
      </c>
      <c r="Y47" s="54" t="n">
        <f aca="false">Y8+Y41</f>
        <v>135740.84820686</v>
      </c>
      <c r="Z47" s="77" t="n">
        <f aca="false">Z8+Z41</f>
        <v>11.032</v>
      </c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53</v>
      </c>
      <c r="B48" s="53"/>
      <c r="C48" s="54"/>
      <c r="D48" s="54" t="n">
        <f aca="false">D8+D42</f>
        <v>-59264</v>
      </c>
      <c r="E48" s="54" t="n">
        <f aca="false">E39</f>
        <v>92857</v>
      </c>
      <c r="F48" s="54" t="n">
        <f aca="false">F47*$D$2</f>
        <v>-68714.7027980842</v>
      </c>
      <c r="G48" s="54" t="n">
        <f aca="false">G47*$D$2</f>
        <v>176752.94038</v>
      </c>
      <c r="H48" s="58" t="n">
        <f aca="false">H47*$D$2</f>
        <v>1620.58692</v>
      </c>
      <c r="I48" s="54" t="n">
        <f aca="false">I47*$D$2</f>
        <v>178373.329</v>
      </c>
      <c r="J48" s="54" t="n">
        <f aca="false">J47*$D$2</f>
        <v>22086.0701961192</v>
      </c>
      <c r="K48" s="54" t="n">
        <f aca="false">K47*$D$2</f>
        <v>200459.399196119</v>
      </c>
      <c r="L48" s="54" t="n">
        <f aca="false">L47*$D$2</f>
        <v>-4364.92870320115</v>
      </c>
      <c r="M48" s="54" t="n">
        <f aca="false">M47*$D$2</f>
        <v>88162.01853</v>
      </c>
      <c r="N48" s="54" t="n">
        <f aca="false">N47*$D$2</f>
        <v>16030.5541130582</v>
      </c>
      <c r="O48" s="54" t="n">
        <f aca="false">O47*$D$2</f>
        <v>71154.8369169418</v>
      </c>
      <c r="P48" s="54" t="n">
        <f aca="false">P47*$D$2</f>
        <v>43202.07426</v>
      </c>
      <c r="Q48" s="54" t="n">
        <f aca="false">Q47*$D$2</f>
        <v>23181.2332227731</v>
      </c>
      <c r="R48" s="54" t="n">
        <f aca="false">R47*$D$2</f>
        <v>138268.879899715</v>
      </c>
      <c r="S48" s="54" t="n">
        <f aca="false">S47*$D$2</f>
        <v>0</v>
      </c>
      <c r="T48" s="54" t="n">
        <f aca="false">T47*$D$2</f>
        <v>54618.9911073759</v>
      </c>
      <c r="U48" s="54" t="n">
        <f aca="false">U47*$D$2</f>
        <v>33517.79631</v>
      </c>
      <c r="V48" s="54" t="n">
        <f aca="false">V47*$D$2</f>
        <v>13340.1962849886</v>
      </c>
      <c r="W48" s="54" t="n">
        <f aca="false">W47*$D$2</f>
        <v>242723.103094883</v>
      </c>
      <c r="X48" s="54" t="n">
        <f aca="false">X47*$D$2</f>
        <v>26450.9988993204</v>
      </c>
      <c r="Y48" s="54" t="n">
        <f aca="false">Y47*$D$2</f>
        <v>269174.101994203</v>
      </c>
      <c r="Z48" s="57"/>
      <c r="AA48" s="58"/>
      <c r="AB48" s="58"/>
      <c r="AC48" s="59"/>
      <c r="AD48" s="74"/>
      <c r="AE48" s="74"/>
      <c r="AF48" s="75"/>
    </row>
    <row r="49" customFormat="false" ht="3" hidden="false" customHeight="true" outlineLevel="0" collapsed="false">
      <c r="A49" s="79"/>
      <c r="B49" s="79"/>
      <c r="C49" s="81"/>
      <c r="D49" s="79"/>
      <c r="E49" s="81"/>
      <c r="F49" s="79"/>
      <c r="G49" s="79"/>
      <c r="H49" s="82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81"/>
      <c r="T49" s="79"/>
      <c r="U49" s="79"/>
      <c r="V49" s="81"/>
      <c r="W49" s="79"/>
      <c r="X49" s="79"/>
      <c r="Y49" s="79"/>
      <c r="Z49" s="57"/>
      <c r="AA49" s="58"/>
      <c r="AB49" s="58"/>
      <c r="AC49" s="59"/>
      <c r="AD49" s="74"/>
      <c r="AE49" s="74"/>
      <c r="AF49" s="75"/>
    </row>
    <row r="50" customFormat="false" ht="11.1" hidden="false" customHeight="true" outlineLevel="0" collapsed="false">
      <c r="A50" s="120"/>
      <c r="B50" s="88"/>
      <c r="C50" s="54"/>
      <c r="D50" s="53"/>
      <c r="E50" s="54"/>
      <c r="F50" s="53"/>
      <c r="G50" s="53"/>
      <c r="H50" s="55"/>
      <c r="I50" s="53"/>
      <c r="J50" s="53"/>
      <c r="K50" s="53"/>
      <c r="L50" s="53"/>
      <c r="M50" s="53"/>
      <c r="N50" s="53"/>
      <c r="O50" s="53"/>
      <c r="P50" s="53"/>
      <c r="Q50" s="53" t="s">
        <v>91</v>
      </c>
      <c r="R50" s="53"/>
      <c r="S50" s="54"/>
      <c r="T50" s="53" t="n">
        <v>55470</v>
      </c>
      <c r="U50" s="124" t="str">
        <f aca="false">"@ no restrictions"</f>
        <v>@ no restrictions</v>
      </c>
      <c r="V50" s="54"/>
      <c r="W50" s="53"/>
      <c r="X50" s="53"/>
      <c r="Y50" s="53"/>
      <c r="Z50" s="57"/>
      <c r="AA50" s="58"/>
      <c r="AB50" s="58"/>
      <c r="AC50" s="59"/>
      <c r="AD50" s="60"/>
      <c r="AE50" s="60"/>
    </row>
    <row r="51" customFormat="false" ht="11.1" hidden="false" customHeight="true" outlineLevel="0" collapsed="false">
      <c r="A51" s="53"/>
      <c r="B51" s="76"/>
      <c r="C51" s="54"/>
      <c r="D51" s="86"/>
      <c r="E51" s="54"/>
      <c r="F51" s="53"/>
      <c r="G51" s="53"/>
      <c r="H51" s="86"/>
      <c r="I51" s="55"/>
      <c r="J51" s="53"/>
      <c r="K51" s="43"/>
      <c r="L51" s="53"/>
      <c r="M51" s="53"/>
      <c r="N51" s="53"/>
      <c r="O51" s="53"/>
      <c r="P51" s="53"/>
      <c r="Q51" s="53" t="s">
        <v>92</v>
      </c>
      <c r="R51" s="53"/>
      <c r="S51" s="54"/>
      <c r="T51" s="53" t="n">
        <f aca="false">T50-T48</f>
        <v>851.008892624144</v>
      </c>
      <c r="U51" s="47" t="n">
        <f aca="false">T50-(T48-360)</f>
        <v>1211.00889262414</v>
      </c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86"/>
      <c r="B52" s="86"/>
      <c r="C52" s="54"/>
      <c r="D52" s="54"/>
      <c r="E52" s="54"/>
      <c r="F52" s="86"/>
      <c r="G52" s="86"/>
      <c r="H52" s="55"/>
      <c r="I52" s="86"/>
      <c r="J52" s="86"/>
      <c r="K52" s="86"/>
      <c r="L52" s="86"/>
      <c r="M52" s="77"/>
      <c r="N52" s="77"/>
      <c r="O52" s="77"/>
      <c r="P52" s="86"/>
      <c r="Q52" s="86" t="s">
        <v>93</v>
      </c>
      <c r="R52" s="91"/>
      <c r="S52" s="54"/>
      <c r="T52" s="58" t="n">
        <f aca="false">(2400/61)*14</f>
        <v>550.819672131148</v>
      </c>
      <c r="V52" s="54"/>
      <c r="W52" s="86"/>
      <c r="X52" s="86"/>
      <c r="Y52" s="86"/>
      <c r="Z52" s="57"/>
      <c r="AA52" s="58"/>
      <c r="AB52" s="58"/>
      <c r="AC52" s="59"/>
      <c r="AD52" s="89"/>
      <c r="AE52" s="89"/>
    </row>
    <row r="53" customFormat="false" ht="11.1" hidden="false" customHeight="true" outlineLevel="0" collapsed="false">
      <c r="A53" s="86"/>
      <c r="B53" s="57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86"/>
      <c r="Q53" s="86" t="s">
        <v>94</v>
      </c>
      <c r="R53" s="86"/>
      <c r="S53" s="54"/>
      <c r="T53" s="54" t="n">
        <f aca="false">T51-T52</f>
        <v>300.189220492997</v>
      </c>
      <c r="U53" s="47" t="n">
        <f aca="false">U51</f>
        <v>1211.00889262414</v>
      </c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86"/>
      <c r="C54" s="54"/>
      <c r="D54" s="86"/>
      <c r="E54" s="54"/>
      <c r="F54" s="86"/>
      <c r="G54" s="90"/>
      <c r="H54" s="55"/>
      <c r="I54" s="86"/>
      <c r="J54" s="86"/>
      <c r="K54" s="86"/>
      <c r="L54" s="86"/>
      <c r="M54" s="77"/>
      <c r="N54" s="77"/>
      <c r="O54" s="77"/>
      <c r="P54" s="86"/>
      <c r="Q54" s="86" t="s">
        <v>95</v>
      </c>
      <c r="R54" s="86"/>
      <c r="S54" s="0"/>
      <c r="T54" s="54" t="n">
        <f aca="false">T53/D2</f>
        <v>151.381351736257</v>
      </c>
      <c r="U54" s="49" t="n">
        <f aca="false">U53/D2</f>
        <v>610.695356845257</v>
      </c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Q55" s="122" t="s">
        <v>96</v>
      </c>
      <c r="S55" s="54" t="n">
        <v>50</v>
      </c>
      <c r="T55" s="53" t="n">
        <f aca="false">T54/S55</f>
        <v>3.02762703472513</v>
      </c>
      <c r="U55" s="49" t="n">
        <f aca="false">U54/S55</f>
        <v>12.2139071369051</v>
      </c>
    </row>
    <row r="56" customFormat="false" ht="11.1" hidden="false" customHeight="true" outlineLevel="0" collapsed="false">
      <c r="Q56" s="122" t="s">
        <v>96</v>
      </c>
      <c r="S56" s="54" t="n">
        <v>40</v>
      </c>
      <c r="T56" s="53" t="n">
        <f aca="false">T54/S56</f>
        <v>3.78453379340641</v>
      </c>
      <c r="U56" s="49" t="n">
        <f aca="false">U54/S56</f>
        <v>15.2673839211314</v>
      </c>
    </row>
    <row r="57" customFormat="false" ht="11.1" hidden="false" customHeight="true" outlineLevel="0" collapsed="false">
      <c r="Q57" s="122"/>
    </row>
    <row r="58" customFormat="false" ht="11.1" hidden="false" customHeight="true" outlineLevel="0" collapsed="false">
      <c r="Q58" s="122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pane xSplit="1" ySplit="6" topLeftCell="D10" activePane="bottomRight" state="frozen"/>
      <selection pane="topLeft" activeCell="A4" activeCellId="0" sqref="A4"/>
      <selection pane="topRight" activeCell="D4" activeCellId="0" sqref="D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2" min="10" style="46" width="7.66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60"/>
      <c r="AE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</v>
      </c>
      <c r="E2" s="54"/>
      <c r="F2" s="53"/>
      <c r="G2" s="53"/>
      <c r="H2" s="55"/>
      <c r="I2" s="53"/>
      <c r="J2" s="53"/>
      <c r="K2" s="62" t="s">
        <v>100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8"/>
      <c r="AC2" s="59"/>
      <c r="AD2" s="60"/>
      <c r="AE2" s="60"/>
    </row>
    <row r="3" customFormat="false" ht="11.1" hidden="false" customHeight="true" outlineLevel="0" collapsed="false">
      <c r="A3" s="53"/>
      <c r="B3" s="53"/>
      <c r="C3" s="54"/>
      <c r="D3" s="61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60"/>
      <c r="AE3" s="60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60"/>
      <c r="AE4" s="60"/>
    </row>
    <row r="5" customFormat="false" ht="11.1" hidden="false" customHeight="true" outlineLevel="0" collapsed="false">
      <c r="A5" s="68" t="s">
        <v>101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56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101</v>
      </c>
      <c r="AD5" s="60"/>
      <c r="AE5" s="60"/>
      <c r="AG5" s="114"/>
      <c r="AH5" s="114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74"/>
      <c r="AE6" s="74"/>
      <c r="AF6" s="75"/>
      <c r="AG6" s="114"/>
      <c r="AH6" s="114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SEP!$F$44:$Y$44</f>
        <v>-36900.5056974706</v>
      </c>
      <c r="G7" s="54" t="n">
        <v>77820.5</v>
      </c>
      <c r="H7" s="54" t="n">
        <v>694.98</v>
      </c>
      <c r="I7" s="54" t="n">
        <v>78515.48</v>
      </c>
      <c r="J7" s="54" t="n">
        <v>8736.90552502231</v>
      </c>
      <c r="K7" s="54" t="n">
        <v>87252.3855250223</v>
      </c>
      <c r="L7" s="54" t="n">
        <v>-417.187419667751</v>
      </c>
      <c r="M7" s="54" t="n">
        <v>43007.11</v>
      </c>
      <c r="N7" s="54" t="n">
        <v>8024.29097985791</v>
      </c>
      <c r="O7" s="54" t="n">
        <v>34982.8190201421</v>
      </c>
      <c r="P7" s="54" t="n">
        <v>20951.97</v>
      </c>
      <c r="Q7" s="54" t="n">
        <v>11689.9814537434</v>
      </c>
      <c r="R7" s="54" t="n">
        <v>67624.7704738855</v>
      </c>
      <c r="S7" s="54" t="n">
        <v>-23405.1050805421</v>
      </c>
      <c r="T7" s="54" t="n">
        <v>27543.6162921714</v>
      </c>
      <c r="U7" s="54" t="n">
        <v>11785.45</v>
      </c>
      <c r="V7" s="54" t="n">
        <v>0</v>
      </c>
      <c r="W7" s="54" t="n">
        <v>114998.798277803</v>
      </c>
      <c r="X7" s="54" t="n">
        <v>9154.09294469006</v>
      </c>
      <c r="Y7" s="54" t="n">
        <v>124152.891222493</v>
      </c>
      <c r="Z7" s="57"/>
      <c r="AA7" s="58"/>
      <c r="AB7" s="58"/>
      <c r="AC7" s="59"/>
      <c r="AD7" s="74"/>
      <c r="AE7" s="75"/>
      <c r="AF7" s="75"/>
    </row>
    <row r="8" s="47" customFormat="true" ht="11.1" hidden="false" customHeight="true" outlineLevel="0" collapsed="false">
      <c r="A8" s="54" t="s">
        <v>44</v>
      </c>
      <c r="B8" s="76" t="n">
        <f aca="false" t="array" ref="B8:C8">SEP!$B$39:$C$39</f>
        <v>6889.01</v>
      </c>
      <c r="C8" s="54" t="n">
        <v>244835</v>
      </c>
      <c r="D8" s="54" t="n">
        <f aca="false" t="array" ref="D8:E8">SEP!$D$48:$E$48</f>
        <v>-59264</v>
      </c>
      <c r="E8" s="54" t="n">
        <v>92857</v>
      </c>
      <c r="F8" s="54" t="n">
        <f aca="false" t="array" ref="F8:Z8">SEP!$F$47:$Z$47</f>
        <v>-34651.892485166</v>
      </c>
      <c r="G8" s="54" t="n">
        <v>89134.1101260716</v>
      </c>
      <c r="H8" s="58" t="n">
        <v>817.24</v>
      </c>
      <c r="I8" s="54" t="n">
        <v>89951.2501260716</v>
      </c>
      <c r="J8" s="54" t="n">
        <v>11137.7055956224</v>
      </c>
      <c r="K8" s="54" t="n">
        <v>101088.955721694</v>
      </c>
      <c r="L8" s="54" t="n">
        <v>-2201.17433343477</v>
      </c>
      <c r="M8" s="54" t="n">
        <v>44458.91</v>
      </c>
      <c r="N8" s="54" t="n">
        <v>8083.99097985791</v>
      </c>
      <c r="O8" s="54" t="n">
        <v>35882.4190201421</v>
      </c>
      <c r="P8" s="54" t="n">
        <v>21786.22</v>
      </c>
      <c r="Q8" s="54" t="n">
        <v>11689.9814537434</v>
      </c>
      <c r="R8" s="54" t="n">
        <v>69727.1204738855</v>
      </c>
      <c r="S8" s="54" t="n">
        <v>0</v>
      </c>
      <c r="T8" s="54" t="n">
        <v>27543.6162921714</v>
      </c>
      <c r="U8" s="54" t="n">
        <v>16902.57</v>
      </c>
      <c r="V8" s="54" t="n">
        <v>6727.28002268716</v>
      </c>
      <c r="W8" s="54" t="n">
        <v>122401.968277803</v>
      </c>
      <c r="X8" s="54" t="n">
        <v>13338.8799290572</v>
      </c>
      <c r="Y8" s="54" t="n">
        <v>135740.84820686</v>
      </c>
      <c r="Z8" s="77" t="n">
        <v>11.032</v>
      </c>
      <c r="AA8" s="58"/>
      <c r="AB8" s="58"/>
      <c r="AC8" s="59"/>
      <c r="AD8" s="74"/>
      <c r="AE8" s="74"/>
      <c r="AF8" s="75"/>
      <c r="AG8" s="46"/>
      <c r="AH8" s="46"/>
    </row>
    <row r="9" customFormat="false" ht="3" hidden="false" customHeight="true" outlineLevel="0" collapsed="false">
      <c r="A9" s="79"/>
      <c r="B9" s="80"/>
      <c r="C9" s="81"/>
      <c r="D9" s="79"/>
      <c r="E9" s="81"/>
      <c r="F9" s="79"/>
      <c r="G9" s="79"/>
      <c r="H9" s="82"/>
      <c r="I9" s="79"/>
      <c r="J9" s="79"/>
      <c r="K9" s="79"/>
      <c r="L9" s="79"/>
      <c r="M9" s="79"/>
      <c r="N9" s="79"/>
      <c r="O9" s="79"/>
      <c r="P9" s="79"/>
      <c r="Q9" s="79"/>
      <c r="R9" s="79"/>
      <c r="S9" s="81"/>
      <c r="T9" s="79"/>
      <c r="U9" s="79"/>
      <c r="V9" s="81"/>
      <c r="W9" s="79"/>
      <c r="X9" s="79"/>
      <c r="Y9" s="79"/>
      <c r="Z9" s="83"/>
      <c r="AA9" s="84"/>
      <c r="AB9" s="84"/>
      <c r="AC9" s="85"/>
      <c r="AD9" s="74"/>
      <c r="AE9" s="74"/>
      <c r="AF9" s="75"/>
    </row>
    <row r="10" customFormat="false" ht="11.1" hidden="false" customHeight="true" outlineLevel="0" collapsed="false">
      <c r="A10" s="59" t="n">
        <v>1</v>
      </c>
      <c r="B10" s="76" t="n">
        <v>6888.98</v>
      </c>
      <c r="C10" s="54" t="n">
        <v>244735</v>
      </c>
      <c r="D10" s="58" t="n">
        <f aca="false">C10-C8</f>
        <v>-100</v>
      </c>
      <c r="E10" s="54" t="n">
        <f aca="false">C10-152000</f>
        <v>92735</v>
      </c>
      <c r="F10" s="53" t="n">
        <f aca="false">D10/$D$2</f>
        <v>-50.4286434694907</v>
      </c>
      <c r="G10" s="53" t="n">
        <v>132.57</v>
      </c>
      <c r="H10" s="55" t="n">
        <v>0</v>
      </c>
      <c r="I10" s="53" t="n">
        <f aca="false">G10+H10</f>
        <v>132.57</v>
      </c>
      <c r="J10" s="77" t="n">
        <f aca="false">IF(L10&gt;0,L10,0)</f>
        <v>0</v>
      </c>
      <c r="K10" s="53" t="n">
        <f aca="false">I10+J10</f>
        <v>132.57</v>
      </c>
      <c r="L10" s="53" t="n">
        <f aca="false">F10-(I10-W10)</f>
        <v>-39.1986434694906</v>
      </c>
      <c r="M10" s="53" t="n">
        <v>43.81</v>
      </c>
      <c r="N10" s="53" t="n">
        <f aca="false">(10.07+9.87)*1.05</f>
        <v>20.937</v>
      </c>
      <c r="O10" s="53" t="n">
        <f aca="false">M10-N10</f>
        <v>22.873</v>
      </c>
      <c r="P10" s="53" t="n">
        <v>0</v>
      </c>
      <c r="Q10" s="53" t="n">
        <v>9.46</v>
      </c>
      <c r="R10" s="53" t="n">
        <f aca="false">SUM(O10:Q10)</f>
        <v>32.333</v>
      </c>
      <c r="S10" s="54" t="n">
        <f aca="false">(I10-R10)+S7</f>
        <v>-23304.8680805421</v>
      </c>
      <c r="T10" s="53" t="n">
        <v>49.65</v>
      </c>
      <c r="U10" s="53" t="n">
        <v>40.88</v>
      </c>
      <c r="V10" s="54" t="n">
        <f aca="false">V8-U10</f>
        <v>6686.40002268716</v>
      </c>
      <c r="W10" s="53" t="n">
        <f aca="false">R10+T10+N10+U10</f>
        <v>143.8</v>
      </c>
      <c r="X10" s="53" t="n">
        <f aca="false">IF(L10&lt;0,L10*-1,0)</f>
        <v>39.1986434694906</v>
      </c>
      <c r="Y10" s="53" t="n">
        <f aca="false">W10+X10</f>
        <v>182.998643469491</v>
      </c>
      <c r="Z10" s="57" t="n">
        <v>0</v>
      </c>
      <c r="AA10" s="58" t="n">
        <v>78</v>
      </c>
      <c r="AB10" s="58" t="n">
        <v>43</v>
      </c>
      <c r="AC10" s="59" t="n">
        <v>1</v>
      </c>
      <c r="AD10" s="74"/>
      <c r="AE10" s="78"/>
      <c r="AF10" s="78"/>
    </row>
    <row r="11" customFormat="false" ht="11.1" hidden="false" customHeight="true" outlineLevel="0" collapsed="false">
      <c r="A11" s="59" t="n">
        <f aca="false">A10+1</f>
        <v>2</v>
      </c>
      <c r="B11" s="76" t="n">
        <v>6888.98</v>
      </c>
      <c r="C11" s="54" t="n">
        <v>244735</v>
      </c>
      <c r="D11" s="58" t="n">
        <f aca="false">C11-C10</f>
        <v>0</v>
      </c>
      <c r="E11" s="54" t="n">
        <f aca="false">C11-152000</f>
        <v>92735</v>
      </c>
      <c r="F11" s="53" t="n">
        <f aca="false">D11/$D$2</f>
        <v>0</v>
      </c>
      <c r="G11" s="53" t="n">
        <v>130.46</v>
      </c>
      <c r="H11" s="55" t="n">
        <v>0</v>
      </c>
      <c r="I11" s="53" t="n">
        <f aca="false">G11+H11</f>
        <v>130.46</v>
      </c>
      <c r="J11" s="77" t="n">
        <f aca="false">IF(L11&gt;0,L11,0)</f>
        <v>0</v>
      </c>
      <c r="K11" s="53" t="n">
        <f aca="false">I11+J11</f>
        <v>130.46</v>
      </c>
      <c r="L11" s="53" t="n">
        <f aca="false">F11-(I11-W11)</f>
        <v>-8.94</v>
      </c>
      <c r="M11" s="53" t="n">
        <v>52.65</v>
      </c>
      <c r="N11" s="53" t="n">
        <f aca="false">(14.34+13.84)*1.05</f>
        <v>29.589</v>
      </c>
      <c r="O11" s="53" t="n">
        <f aca="false">M11-N11</f>
        <v>23.061</v>
      </c>
      <c r="P11" s="53" t="n">
        <v>16.58</v>
      </c>
      <c r="Q11" s="53" t="n">
        <v>11.55</v>
      </c>
      <c r="R11" s="53" t="n">
        <f aca="false">SUM(O11:Q11)</f>
        <v>51.191</v>
      </c>
      <c r="S11" s="54" t="n">
        <f aca="false">(I11-R11)+S10</f>
        <v>-23225.5990805421</v>
      </c>
      <c r="T11" s="53" t="n">
        <f aca="false">(AD11-AD10)/$D$2</f>
        <v>0</v>
      </c>
      <c r="U11" s="53" t="n">
        <v>40.74</v>
      </c>
      <c r="V11" s="54" t="n">
        <f aca="false">V10-U11</f>
        <v>6645.66002268716</v>
      </c>
      <c r="W11" s="53" t="n">
        <f aca="false">R11+T11+N11+U11</f>
        <v>121.52</v>
      </c>
      <c r="X11" s="53" t="n">
        <f aca="false">IF(L11&lt;0,L11*-1,0)</f>
        <v>8.94</v>
      </c>
      <c r="Y11" s="53" t="n">
        <f aca="false">W11+X11</f>
        <v>130.46</v>
      </c>
      <c r="Z11" s="57" t="n">
        <v>1</v>
      </c>
      <c r="AA11" s="58" t="n">
        <v>78</v>
      </c>
      <c r="AB11" s="58" t="n">
        <v>46</v>
      </c>
      <c r="AC11" s="59" t="n">
        <f aca="false">AC10+1</f>
        <v>2</v>
      </c>
      <c r="AD11" s="74"/>
      <c r="AE11" s="78"/>
      <c r="AF11" s="78"/>
    </row>
    <row r="12" customFormat="false" ht="11.1" hidden="false" customHeight="true" outlineLevel="0" collapsed="false">
      <c r="A12" s="59" t="n">
        <f aca="false">A11+1</f>
        <v>3</v>
      </c>
      <c r="B12" s="76" t="n">
        <v>6889.43</v>
      </c>
      <c r="C12" s="54" t="n">
        <v>246249</v>
      </c>
      <c r="D12" s="58" t="n">
        <f aca="false">C12-C11</f>
        <v>1514</v>
      </c>
      <c r="E12" s="54" t="n">
        <f aca="false">C12-152000</f>
        <v>94249</v>
      </c>
      <c r="F12" s="53" t="n">
        <f aca="false">D12/$D$2</f>
        <v>763.489662128089</v>
      </c>
      <c r="G12" s="53" t="n">
        <v>479.06</v>
      </c>
      <c r="H12" s="55" t="n">
        <v>2.07</v>
      </c>
      <c r="I12" s="53" t="n">
        <f aca="false">G12+H12</f>
        <v>481.13</v>
      </c>
      <c r="J12" s="77" t="n">
        <f aca="false">IF(L12&gt;0,L12,0)</f>
        <v>544.759662128089</v>
      </c>
      <c r="K12" s="53" t="n">
        <f aca="false">I12+J12</f>
        <v>1025.88966212809</v>
      </c>
      <c r="L12" s="53" t="n">
        <f aca="false">F12-(I12-W12)</f>
        <v>544.759662128089</v>
      </c>
      <c r="M12" s="53" t="n">
        <v>44.69</v>
      </c>
      <c r="N12" s="53" t="n">
        <f aca="false">(12.77+14.59)*1.05</f>
        <v>28.728</v>
      </c>
      <c r="O12" s="53" t="n">
        <f aca="false">M12-N12</f>
        <v>15.962</v>
      </c>
      <c r="P12" s="53" t="n">
        <v>28.84</v>
      </c>
      <c r="Q12" s="53" t="n">
        <v>11.5</v>
      </c>
      <c r="R12" s="53" t="n">
        <f aca="false">SUM(O12:Q12)</f>
        <v>56.302</v>
      </c>
      <c r="S12" s="54" t="n">
        <f aca="false">(I12-R12)+S11</f>
        <v>-22800.7710805421</v>
      </c>
      <c r="T12" s="53" t="n">
        <f aca="false">(AD12-AD11)/$D$2</f>
        <v>0</v>
      </c>
      <c r="U12" s="53" t="n">
        <v>177.37</v>
      </c>
      <c r="V12" s="54" t="n">
        <f aca="false">V11-U12</f>
        <v>6468.29002268716</v>
      </c>
      <c r="W12" s="53" t="n">
        <f aca="false">R12+T12+N12+U12</f>
        <v>262.4</v>
      </c>
      <c r="X12" s="53" t="n">
        <f aca="false">IF(L12&lt;0,L12*-1,0)</f>
        <v>0</v>
      </c>
      <c r="Y12" s="53" t="n">
        <f aca="false">W12+X12</f>
        <v>262.4</v>
      </c>
      <c r="Z12" s="57" t="n">
        <v>1.13</v>
      </c>
      <c r="AA12" s="58" t="n">
        <v>47</v>
      </c>
      <c r="AB12" s="58" t="n">
        <v>43</v>
      </c>
      <c r="AC12" s="59" t="n">
        <f aca="false">AC11+1</f>
        <v>3</v>
      </c>
      <c r="AD12" s="74"/>
      <c r="AE12" s="78"/>
      <c r="AF12" s="78"/>
    </row>
    <row r="13" customFormat="false" ht="11.1" hidden="false" customHeight="true" outlineLevel="0" collapsed="false">
      <c r="A13" s="59" t="n">
        <f aca="false">A12+1</f>
        <v>4</v>
      </c>
      <c r="B13" s="76" t="n">
        <v>6889.73</v>
      </c>
      <c r="C13" s="54" t="n">
        <v>247259</v>
      </c>
      <c r="D13" s="58" t="n">
        <f aca="false">C13-C12</f>
        <v>1010</v>
      </c>
      <c r="E13" s="54" t="n">
        <f aca="false">C13-152000</f>
        <v>95259</v>
      </c>
      <c r="F13" s="53" t="n">
        <f aca="false">D13/$D$2</f>
        <v>509.329299041856</v>
      </c>
      <c r="G13" s="53" t="n">
        <v>539.66</v>
      </c>
      <c r="H13" s="55" t="n">
        <v>29.97</v>
      </c>
      <c r="I13" s="53" t="n">
        <f aca="false">G13+H13</f>
        <v>569.63</v>
      </c>
      <c r="J13" s="77" t="n">
        <f aca="false">IF(L13&gt;0,L13,0)</f>
        <v>55.0292990418557</v>
      </c>
      <c r="K13" s="53" t="n">
        <f aca="false">I13+J13</f>
        <v>624.659299041856</v>
      </c>
      <c r="L13" s="53" t="n">
        <f aca="false">F13-(I13-W13)</f>
        <v>55.0292990418557</v>
      </c>
      <c r="M13" s="53" t="n">
        <v>30.56</v>
      </c>
      <c r="N13" s="53" t="n">
        <f aca="false">(3.49+4.39)*1.05</f>
        <v>8.274</v>
      </c>
      <c r="O13" s="53" t="n">
        <f aca="false">M13-N13</f>
        <v>22.286</v>
      </c>
      <c r="P13" s="53" t="n">
        <v>28.87</v>
      </c>
      <c r="Q13" s="53" t="n">
        <v>11.57</v>
      </c>
      <c r="R13" s="53" t="n">
        <f aca="false">SUM(O13:Q13)</f>
        <v>62.726</v>
      </c>
      <c r="S13" s="54" t="n">
        <f aca="false">(I13-R13)+S12</f>
        <v>-22293.8670805421</v>
      </c>
      <c r="T13" s="53" t="n">
        <f aca="false">(AD13-AD12)/$D$2</f>
        <v>0</v>
      </c>
      <c r="U13" s="53" t="n">
        <v>44.33</v>
      </c>
      <c r="V13" s="54" t="n">
        <f aca="false">V12-U13</f>
        <v>6423.96002268716</v>
      </c>
      <c r="W13" s="53" t="n">
        <f aca="false">R13+T13+N13+U13</f>
        <v>115.33</v>
      </c>
      <c r="X13" s="53" t="n">
        <f aca="false">IF(L13&lt;0,L13*-1,0)</f>
        <v>0</v>
      </c>
      <c r="Y13" s="53" t="n">
        <f aca="false">W13+X13</f>
        <v>115.33</v>
      </c>
      <c r="Z13" s="57" t="n">
        <v>0</v>
      </c>
      <c r="AA13" s="58" t="n">
        <v>52</v>
      </c>
      <c r="AB13" s="58" t="n">
        <v>38</v>
      </c>
      <c r="AC13" s="59" t="n">
        <f aca="false">AC12+1</f>
        <v>4</v>
      </c>
      <c r="AD13" s="74"/>
      <c r="AE13" s="78"/>
      <c r="AF13" s="78"/>
    </row>
    <row r="14" customFormat="false" ht="11.1" hidden="false" customHeight="true" outlineLevel="0" collapsed="false">
      <c r="A14" s="59" t="n">
        <f aca="false">A13+1</f>
        <v>5</v>
      </c>
      <c r="B14" s="76" t="n">
        <v>6889.93</v>
      </c>
      <c r="C14" s="54" t="n">
        <v>247932</v>
      </c>
      <c r="D14" s="58" t="n">
        <f aca="false">C14-C13</f>
        <v>673</v>
      </c>
      <c r="E14" s="54" t="n">
        <f aca="false">C14-152000</f>
        <v>95932</v>
      </c>
      <c r="F14" s="53" t="n">
        <f aca="false">D14/$D$2</f>
        <v>339.384770549672</v>
      </c>
      <c r="G14" s="53" t="n">
        <v>425.4</v>
      </c>
      <c r="H14" s="55" t="n">
        <v>18.18</v>
      </c>
      <c r="I14" s="53" t="n">
        <f aca="false">G14+H14</f>
        <v>443.58</v>
      </c>
      <c r="J14" s="77" t="n">
        <f aca="false">IF(L14&gt;0,L14,0)</f>
        <v>8.50477054967223</v>
      </c>
      <c r="K14" s="53" t="n">
        <f aca="false">I14+J14</f>
        <v>452.084770549672</v>
      </c>
      <c r="L14" s="53" t="n">
        <f aca="false">F14-(I14-W14)</f>
        <v>8.50477054967223</v>
      </c>
      <c r="M14" s="53" t="n">
        <v>29.61</v>
      </c>
      <c r="N14" s="53" t="n">
        <v>0</v>
      </c>
      <c r="O14" s="53" t="n">
        <f aca="false">M14-N14</f>
        <v>29.61</v>
      </c>
      <c r="P14" s="53" t="n">
        <v>28.92</v>
      </c>
      <c r="Q14" s="53" t="n">
        <v>9.61</v>
      </c>
      <c r="R14" s="53" t="n">
        <f aca="false">SUM(O14:Q14)</f>
        <v>68.14</v>
      </c>
      <c r="S14" s="54" t="n">
        <f aca="false">(I14-R14)+S13</f>
        <v>-21918.4270805421</v>
      </c>
      <c r="T14" s="53" t="n">
        <v>0</v>
      </c>
      <c r="U14" s="53" t="n">
        <v>44.56</v>
      </c>
      <c r="V14" s="54" t="n">
        <f aca="false">V13-U14</f>
        <v>6379.40002268716</v>
      </c>
      <c r="W14" s="53" t="n">
        <f aca="false">R14+T14+N14+U14</f>
        <v>112.7</v>
      </c>
      <c r="X14" s="53" t="n">
        <f aca="false">IF(L14&lt;0,L14*-1,0)</f>
        <v>0</v>
      </c>
      <c r="Y14" s="53" t="n">
        <f aca="false">W14+X14</f>
        <v>112.7</v>
      </c>
      <c r="Z14" s="57" t="n">
        <v>0</v>
      </c>
      <c r="AA14" s="58" t="n">
        <v>68</v>
      </c>
      <c r="AB14" s="58" t="n">
        <v>42</v>
      </c>
      <c r="AC14" s="59" t="n">
        <f aca="false">AC13+1</f>
        <v>5</v>
      </c>
      <c r="AD14" s="74"/>
      <c r="AE14" s="78"/>
      <c r="AF14" s="78"/>
    </row>
    <row r="15" customFormat="false" ht="11.1" hidden="false" customHeight="true" outlineLevel="0" collapsed="false">
      <c r="A15" s="59" t="n">
        <f aca="false">A14+1</f>
        <v>6</v>
      </c>
      <c r="B15" s="76" t="n">
        <v>6890.11</v>
      </c>
      <c r="C15" s="54" t="n">
        <v>248542</v>
      </c>
      <c r="D15" s="58" t="n">
        <f aca="false">C15-C14</f>
        <v>610</v>
      </c>
      <c r="E15" s="54" t="n">
        <f aca="false">C15-152000</f>
        <v>96542</v>
      </c>
      <c r="F15" s="53" t="n">
        <f aca="false">D15/$D$2</f>
        <v>307.614725163893</v>
      </c>
      <c r="G15" s="53" t="n">
        <v>350.22</v>
      </c>
      <c r="H15" s="55" t="n">
        <v>13.1</v>
      </c>
      <c r="I15" s="53" t="n">
        <f aca="false">G15+H15</f>
        <v>363.32</v>
      </c>
      <c r="J15" s="77" t="n">
        <f aca="false">IF(L15&gt;0,L15,0)</f>
        <v>54.994725163893</v>
      </c>
      <c r="K15" s="53" t="n">
        <f aca="false">I15+J15</f>
        <v>418.314725163893</v>
      </c>
      <c r="L15" s="53" t="n">
        <f aca="false">F15-(I15-W15)</f>
        <v>54.994725163893</v>
      </c>
      <c r="M15" s="53" t="n">
        <v>28.91</v>
      </c>
      <c r="N15" s="53" t="n">
        <v>0</v>
      </c>
      <c r="O15" s="53" t="n">
        <f aca="false">M15-N15</f>
        <v>28.91</v>
      </c>
      <c r="P15" s="53" t="n">
        <v>28.93</v>
      </c>
      <c r="Q15" s="53" t="n">
        <v>8.57</v>
      </c>
      <c r="R15" s="53" t="n">
        <f aca="false">SUM(O15:Q15)</f>
        <v>66.41</v>
      </c>
      <c r="S15" s="54" t="n">
        <f aca="false">(I15-R15)+S14</f>
        <v>-21621.5170805421</v>
      </c>
      <c r="T15" s="53" t="n">
        <v>0</v>
      </c>
      <c r="U15" s="53" t="n">
        <v>44.29</v>
      </c>
      <c r="V15" s="54" t="n">
        <f aca="false">V14-U15</f>
        <v>6335.11002268716</v>
      </c>
      <c r="W15" s="53" t="n">
        <f aca="false">R15+T15+N15+U15</f>
        <v>110.7</v>
      </c>
      <c r="X15" s="53" t="n">
        <f aca="false">IF(L15&lt;0,L15*-1,0)</f>
        <v>0</v>
      </c>
      <c r="Y15" s="53" t="n">
        <f aca="false">W15+X15</f>
        <v>110.7</v>
      </c>
      <c r="Z15" s="57" t="n">
        <v>0</v>
      </c>
      <c r="AA15" s="58" t="n">
        <v>74</v>
      </c>
      <c r="AB15" s="58" t="n">
        <v>40</v>
      </c>
      <c r="AC15" s="59" t="n">
        <f aca="false">AC14+1</f>
        <v>6</v>
      </c>
      <c r="AD15" s="74"/>
      <c r="AE15" s="78"/>
      <c r="AF15" s="78"/>
    </row>
    <row r="16" customFormat="false" ht="11.1" hidden="false" customHeight="true" outlineLevel="0" collapsed="false">
      <c r="A16" s="59" t="n">
        <f aca="false">A15+1</f>
        <v>7</v>
      </c>
      <c r="B16" s="76" t="n">
        <v>6890.26</v>
      </c>
      <c r="C16" s="54" t="n">
        <v>249052</v>
      </c>
      <c r="D16" s="58" t="n">
        <f aca="false">C16-C15</f>
        <v>510</v>
      </c>
      <c r="E16" s="54" t="n">
        <f aca="false">C16-152000</f>
        <v>97052</v>
      </c>
      <c r="F16" s="53" t="n">
        <f aca="false">D16/$D$2</f>
        <v>257.186081694402</v>
      </c>
      <c r="G16" s="53" t="n">
        <v>346.1</v>
      </c>
      <c r="H16" s="55" t="n">
        <v>9.84</v>
      </c>
      <c r="I16" s="53" t="n">
        <f aca="false">G16+H16</f>
        <v>355.94</v>
      </c>
      <c r="J16" s="77" t="n">
        <f aca="false">IF(L16&gt;0,L16,0)</f>
        <v>10.7960816944024</v>
      </c>
      <c r="K16" s="53" t="n">
        <f aca="false">I16+J16</f>
        <v>366.736081694402</v>
      </c>
      <c r="L16" s="53" t="n">
        <f aca="false">F16-(I16-W16)</f>
        <v>10.7960816944024</v>
      </c>
      <c r="M16" s="53" t="n">
        <v>28.97</v>
      </c>
      <c r="N16" s="53" t="n">
        <f aca="false">(2.16+1.81)*1.05</f>
        <v>4.1685</v>
      </c>
      <c r="O16" s="53" t="n">
        <f aca="false">M16-N16</f>
        <v>24.8015</v>
      </c>
      <c r="P16" s="53" t="n">
        <v>28.94</v>
      </c>
      <c r="Q16" s="53" t="n">
        <v>7.16</v>
      </c>
      <c r="R16" s="53" t="n">
        <f aca="false">SUM(O16:Q16)</f>
        <v>60.9015</v>
      </c>
      <c r="S16" s="54" t="n">
        <f aca="false">(I16-R16)+S15</f>
        <v>-21326.4785805421</v>
      </c>
      <c r="T16" s="53" t="n">
        <v>0</v>
      </c>
      <c r="U16" s="53" t="n">
        <v>44.48</v>
      </c>
      <c r="V16" s="54" t="n">
        <f aca="false">V15-U16</f>
        <v>6290.63002268716</v>
      </c>
      <c r="W16" s="53" t="n">
        <f aca="false">R16+T16+N16+U16</f>
        <v>109.55</v>
      </c>
      <c r="X16" s="53" t="n">
        <f aca="false">IF(L16&lt;0,L16*-1,0)</f>
        <v>0</v>
      </c>
      <c r="Y16" s="53" t="n">
        <f aca="false">W16+X16</f>
        <v>109.55</v>
      </c>
      <c r="Z16" s="57" t="n">
        <v>0</v>
      </c>
      <c r="AA16" s="58" t="n">
        <v>78</v>
      </c>
      <c r="AB16" s="58" t="n">
        <v>41</v>
      </c>
      <c r="AC16" s="59" t="n">
        <f aca="false">AC15+1</f>
        <v>7</v>
      </c>
      <c r="AD16" s="74"/>
      <c r="AE16" s="78"/>
      <c r="AF16" s="78"/>
    </row>
    <row r="17" customFormat="false" ht="11.1" hidden="false" customHeight="true" outlineLevel="0" collapsed="false">
      <c r="A17" s="59" t="n">
        <f aca="false">A16+1</f>
        <v>8</v>
      </c>
      <c r="B17" s="76" t="n">
        <v>6890.41</v>
      </c>
      <c r="C17" s="54" t="n">
        <v>249562</v>
      </c>
      <c r="D17" s="58" t="n">
        <f aca="false">C17-C16</f>
        <v>510</v>
      </c>
      <c r="E17" s="54" t="n">
        <f aca="false">C17-152000</f>
        <v>97562</v>
      </c>
      <c r="F17" s="53" t="n">
        <f aca="false">D17/$D$2</f>
        <v>257.186081694402</v>
      </c>
      <c r="G17" s="53" t="n">
        <v>347.9</v>
      </c>
      <c r="H17" s="55" t="n">
        <v>7.92</v>
      </c>
      <c r="I17" s="53" t="n">
        <f aca="false">G17+H17</f>
        <v>355.82</v>
      </c>
      <c r="J17" s="77" t="n">
        <f aca="false">IF(L17&gt;0,L17,0)</f>
        <v>8.21608169440239</v>
      </c>
      <c r="K17" s="53" t="n">
        <f aca="false">I17+J17</f>
        <v>364.036081694402</v>
      </c>
      <c r="L17" s="53" t="n">
        <f aca="false">F17-(I17-W17)</f>
        <v>8.21608169440239</v>
      </c>
      <c r="M17" s="53" t="n">
        <v>27.27</v>
      </c>
      <c r="N17" s="53" t="n">
        <f aca="false">(1.01+0.8)*1.05</f>
        <v>1.9005</v>
      </c>
      <c r="O17" s="53" t="n">
        <f aca="false">M17-N17</f>
        <v>25.3695</v>
      </c>
      <c r="P17" s="53" t="n">
        <v>28.96</v>
      </c>
      <c r="Q17" s="53" t="n">
        <v>6.14</v>
      </c>
      <c r="R17" s="53" t="n">
        <f aca="false">SUM(O17:Q17)</f>
        <v>60.4695</v>
      </c>
      <c r="S17" s="54" t="n">
        <f aca="false">(I17-R17)+S16</f>
        <v>-21031.1280805421</v>
      </c>
      <c r="T17" s="53" t="n">
        <f aca="false">(AD17-AD16)/$D$2</f>
        <v>0</v>
      </c>
      <c r="U17" s="53" t="n">
        <v>44.48</v>
      </c>
      <c r="V17" s="54" t="n">
        <f aca="false">V16-U17</f>
        <v>6246.15002268716</v>
      </c>
      <c r="W17" s="53" t="n">
        <f aca="false">R17+T17+N17+U17</f>
        <v>106.85</v>
      </c>
      <c r="X17" s="53" t="n">
        <f aca="false">IF(L17&lt;0,L17*-1,0)</f>
        <v>0</v>
      </c>
      <c r="Y17" s="53" t="n">
        <f aca="false">W17+X17</f>
        <v>106.85</v>
      </c>
      <c r="Z17" s="57" t="n">
        <v>0</v>
      </c>
      <c r="AA17" s="58" t="n">
        <v>80</v>
      </c>
      <c r="AB17" s="58" t="n">
        <v>44</v>
      </c>
      <c r="AC17" s="59" t="n">
        <f aca="false">AC16+1</f>
        <v>8</v>
      </c>
      <c r="AD17" s="74"/>
      <c r="AE17" s="78"/>
      <c r="AF17" s="78"/>
    </row>
    <row r="18" customFormat="false" ht="11.1" hidden="false" customHeight="true" outlineLevel="0" collapsed="false">
      <c r="A18" s="59" t="n">
        <f aca="false">A17+1</f>
        <v>9</v>
      </c>
      <c r="B18" s="76" t="n">
        <v>6890.54</v>
      </c>
      <c r="C18" s="54" t="n">
        <v>250005</v>
      </c>
      <c r="D18" s="58" t="n">
        <f aca="false">C18-C17</f>
        <v>443</v>
      </c>
      <c r="E18" s="54" t="n">
        <f aca="false">C18-152000</f>
        <v>98005</v>
      </c>
      <c r="F18" s="53" t="n">
        <f aca="false">D18/$D$2</f>
        <v>223.398890569844</v>
      </c>
      <c r="G18" s="53" t="n">
        <v>346.89</v>
      </c>
      <c r="H18" s="55" t="n">
        <v>6.36</v>
      </c>
      <c r="I18" s="53" t="n">
        <f aca="false">G18+H18</f>
        <v>353.25</v>
      </c>
      <c r="J18" s="77" t="n">
        <f aca="false">IF(L18&gt;0,L18,0)</f>
        <v>0</v>
      </c>
      <c r="K18" s="53" t="n">
        <f aca="false">I18+J18</f>
        <v>353.25</v>
      </c>
      <c r="L18" s="53" t="n">
        <f aca="false">F18-(I18-W18)</f>
        <v>-23.1011094301563</v>
      </c>
      <c r="M18" s="53" t="n">
        <v>27.08</v>
      </c>
      <c r="N18" s="53" t="n">
        <f aca="false">(0.6+0.44)*1.05</f>
        <v>1.092</v>
      </c>
      <c r="O18" s="53" t="n">
        <f aca="false">M18-N18</f>
        <v>25.988</v>
      </c>
      <c r="P18" s="53" t="n">
        <v>29</v>
      </c>
      <c r="Q18" s="53" t="n">
        <v>6.15</v>
      </c>
      <c r="R18" s="53" t="n">
        <f aca="false">SUM(O18:Q18)</f>
        <v>61.138</v>
      </c>
      <c r="S18" s="54" t="n">
        <f aca="false">(I18-R18)+S17</f>
        <v>-20739.0160805421</v>
      </c>
      <c r="T18" s="53" t="n">
        <f aca="false">(AD18-AD17)/$D$2</f>
        <v>0</v>
      </c>
      <c r="U18" s="53" t="n">
        <v>44.52</v>
      </c>
      <c r="V18" s="54" t="n">
        <f aca="false">V17-U18</f>
        <v>6201.63002268716</v>
      </c>
      <c r="W18" s="53" t="n">
        <f aca="false">R18+T18+N18+U18</f>
        <v>106.75</v>
      </c>
      <c r="X18" s="53" t="n">
        <f aca="false">IF(L18&lt;0,L18*-1,0)</f>
        <v>23.1011094301563</v>
      </c>
      <c r="Y18" s="53" t="n">
        <f aca="false">W18+X18</f>
        <v>129.851109430156</v>
      </c>
      <c r="Z18" s="57" t="n">
        <v>0</v>
      </c>
      <c r="AA18" s="86" t="n">
        <v>79</v>
      </c>
      <c r="AB18" s="58" t="n">
        <v>45</v>
      </c>
      <c r="AC18" s="59" t="n">
        <f aca="false">AC17+1</f>
        <v>9</v>
      </c>
      <c r="AD18" s="74"/>
      <c r="AE18" s="78"/>
      <c r="AF18" s="78"/>
    </row>
    <row r="19" customFormat="false" ht="11.1" hidden="false" customHeight="true" outlineLevel="0" collapsed="false">
      <c r="A19" s="59" t="n">
        <f aca="false">A18+1</f>
        <v>10</v>
      </c>
      <c r="B19" s="76" t="n">
        <v>6890.69</v>
      </c>
      <c r="C19" s="54" t="n">
        <v>250515</v>
      </c>
      <c r="D19" s="58" t="n">
        <f aca="false">C19-C18</f>
        <v>510</v>
      </c>
      <c r="E19" s="54" t="n">
        <f aca="false">C19-152000</f>
        <v>98515</v>
      </c>
      <c r="F19" s="53" t="n">
        <f aca="false">D19/$D$2</f>
        <v>257.186081694402</v>
      </c>
      <c r="G19" s="53" t="n">
        <v>344.05</v>
      </c>
      <c r="H19" s="55" t="n">
        <v>6.02</v>
      </c>
      <c r="I19" s="53" t="n">
        <f aca="false">G19+H19</f>
        <v>350.07</v>
      </c>
      <c r="J19" s="77" t="n">
        <f aca="false">IF(L19&gt;0,L19,0)</f>
        <v>13.6760816944024</v>
      </c>
      <c r="K19" s="53" t="n">
        <f aca="false">I19+J19</f>
        <v>363.746081694402</v>
      </c>
      <c r="L19" s="53" t="n">
        <f aca="false">F19-(I19-W19)</f>
        <v>13.6760816944024</v>
      </c>
      <c r="M19" s="53" t="n">
        <v>26.66</v>
      </c>
      <c r="N19" s="53" t="n">
        <f aca="false">(0.25+0.18)*1.05</f>
        <v>0.4515</v>
      </c>
      <c r="O19" s="53" t="n">
        <f aca="false">M19-N19</f>
        <v>26.2085</v>
      </c>
      <c r="P19" s="53" t="n">
        <v>29.09</v>
      </c>
      <c r="Q19" s="53" t="n">
        <v>6.21</v>
      </c>
      <c r="R19" s="53" t="n">
        <f aca="false">SUM(O19:Q19)</f>
        <v>61.5085</v>
      </c>
      <c r="S19" s="54" t="n">
        <f aca="false">(I19-R19)+S18</f>
        <v>-20450.4545805421</v>
      </c>
      <c r="T19" s="53" t="n">
        <f aca="false">(AD19-AD18)/$D$2</f>
        <v>0</v>
      </c>
      <c r="U19" s="53" t="n">
        <v>44.6</v>
      </c>
      <c r="V19" s="54" t="n">
        <f aca="false">V18-U19</f>
        <v>6157.03002268716</v>
      </c>
      <c r="W19" s="53" t="n">
        <f aca="false">R19+T19+N19+U19</f>
        <v>106.56</v>
      </c>
      <c r="X19" s="53" t="n">
        <f aca="false">IF(L19&lt;0,L19*-1,0)</f>
        <v>0</v>
      </c>
      <c r="Y19" s="53" t="n">
        <f aca="false">W19+X19</f>
        <v>106.56</v>
      </c>
      <c r="Z19" s="57" t="n">
        <v>0</v>
      </c>
      <c r="AA19" s="58" t="n">
        <v>79</v>
      </c>
      <c r="AB19" s="58" t="n">
        <v>44</v>
      </c>
      <c r="AC19" s="59" t="n">
        <f aca="false">AC18+1</f>
        <v>10</v>
      </c>
      <c r="AD19" s="74"/>
      <c r="AE19" s="78"/>
      <c r="AF19" s="78"/>
    </row>
    <row r="20" customFormat="false" ht="11.1" hidden="false" customHeight="true" outlineLevel="0" collapsed="false">
      <c r="A20" s="59" t="n">
        <f aca="false">A19+1</f>
        <v>11</v>
      </c>
      <c r="B20" s="76" t="n">
        <v>6890.79</v>
      </c>
      <c r="C20" s="54" t="n">
        <v>250855</v>
      </c>
      <c r="D20" s="58" t="n">
        <f aca="false">C20-C19</f>
        <v>340</v>
      </c>
      <c r="E20" s="54" t="n">
        <f aca="false">C20-152000</f>
        <v>98855</v>
      </c>
      <c r="F20" s="53" t="n">
        <f aca="false">D20/$D$2</f>
        <v>171.457387796268</v>
      </c>
      <c r="G20" s="53" t="n">
        <v>323.83</v>
      </c>
      <c r="H20" s="55" t="n">
        <v>5.21</v>
      </c>
      <c r="I20" s="53" t="n">
        <f aca="false">G20+H20</f>
        <v>329.04</v>
      </c>
      <c r="J20" s="77" t="n">
        <f aca="false">IF(L20&gt;0,L20,0)</f>
        <v>0</v>
      </c>
      <c r="K20" s="53" t="n">
        <f aca="false">I20+J20</f>
        <v>329.04</v>
      </c>
      <c r="L20" s="53" t="n">
        <f aca="false">F20-(I20-W20)</f>
        <v>-51.0626122037317</v>
      </c>
      <c r="M20" s="53" t="n">
        <v>26.56</v>
      </c>
      <c r="N20" s="53" t="n">
        <f aca="false">0.39*1.05</f>
        <v>0.4095</v>
      </c>
      <c r="O20" s="53" t="n">
        <f aca="false">M20-N20</f>
        <v>26.1505</v>
      </c>
      <c r="P20" s="53" t="n">
        <v>29.11</v>
      </c>
      <c r="Q20" s="53" t="n">
        <v>6.25</v>
      </c>
      <c r="R20" s="53" t="n">
        <f aca="false">SUM(O20:Q20)</f>
        <v>61.5105</v>
      </c>
      <c r="S20" s="54" t="n">
        <f aca="false">(I20-R20)+S19</f>
        <v>-20182.9250805421</v>
      </c>
      <c r="T20" s="53" t="n">
        <f aca="false">(AD20-AD19)/$D$2</f>
        <v>0</v>
      </c>
      <c r="U20" s="53" t="n">
        <v>44.6</v>
      </c>
      <c r="V20" s="54" t="n">
        <f aca="false">V19-U20</f>
        <v>6112.43002268716</v>
      </c>
      <c r="W20" s="53" t="n">
        <f aca="false">R20+T20+N20+U20</f>
        <v>106.52</v>
      </c>
      <c r="X20" s="53" t="n">
        <f aca="false">IF(L20&lt;0,L20*-1,0)</f>
        <v>51.0626122037317</v>
      </c>
      <c r="Y20" s="53" t="n">
        <f aca="false">W20+X20</f>
        <v>157.582612203732</v>
      </c>
      <c r="Z20" s="57" t="n">
        <v>0</v>
      </c>
      <c r="AA20" s="58" t="n">
        <v>79</v>
      </c>
      <c r="AB20" s="58" t="n">
        <v>43</v>
      </c>
      <c r="AC20" s="59" t="n">
        <f aca="false">AC19+1</f>
        <v>11</v>
      </c>
      <c r="AD20" s="74"/>
      <c r="AE20" s="78"/>
      <c r="AF20" s="78"/>
      <c r="AG20" s="113"/>
      <c r="AH20" s="113"/>
      <c r="AI20" s="113"/>
    </row>
    <row r="21" customFormat="false" ht="11.1" hidden="false" customHeight="true" outlineLevel="0" collapsed="false">
      <c r="A21" s="59" t="n">
        <f aca="false">A20+1</f>
        <v>12</v>
      </c>
      <c r="B21" s="76" t="n">
        <v>6890.89</v>
      </c>
      <c r="C21" s="54" t="n">
        <v>251195</v>
      </c>
      <c r="D21" s="58" t="n">
        <f aca="false">C21-C20</f>
        <v>340</v>
      </c>
      <c r="E21" s="54" t="n">
        <f aca="false">C21-152000</f>
        <v>99195</v>
      </c>
      <c r="F21" s="53" t="n">
        <f aca="false">D21/$D$2</f>
        <v>171.457387796268</v>
      </c>
      <c r="G21" s="53" t="n">
        <v>302.19</v>
      </c>
      <c r="H21" s="55" t="n">
        <v>4.48</v>
      </c>
      <c r="I21" s="53" t="n">
        <f aca="false">G21+H21</f>
        <v>306.67</v>
      </c>
      <c r="J21" s="77" t="n">
        <f aca="false">IF(L21&gt;0,L21,0)</f>
        <v>0</v>
      </c>
      <c r="K21" s="53" t="n">
        <f aca="false">I21+J21</f>
        <v>306.67</v>
      </c>
      <c r="L21" s="53" t="n">
        <f aca="false">F21-(I21-W21)</f>
        <v>-28.1726122037317</v>
      </c>
      <c r="M21" s="53" t="n">
        <v>26.87</v>
      </c>
      <c r="N21" s="53" t="n">
        <f aca="false">(0.55+1.53)*1.05</f>
        <v>2.184</v>
      </c>
      <c r="O21" s="53" t="n">
        <f aca="false">M21-N21</f>
        <v>24.686</v>
      </c>
      <c r="P21" s="53" t="n">
        <v>29.23</v>
      </c>
      <c r="Q21" s="53" t="n">
        <v>6.34</v>
      </c>
      <c r="R21" s="53" t="n">
        <f aca="false">SUM(O21:Q21)</f>
        <v>60.256</v>
      </c>
      <c r="S21" s="54" t="n">
        <f aca="false">(I21-R21)+S20</f>
        <v>-19936.5110805421</v>
      </c>
      <c r="T21" s="53" t="n">
        <f aca="false">(AD21-AD20)/$D$2</f>
        <v>0</v>
      </c>
      <c r="U21" s="53" t="n">
        <v>44.6</v>
      </c>
      <c r="V21" s="54" t="n">
        <f aca="false">V20-U21</f>
        <v>6067.83002268716</v>
      </c>
      <c r="W21" s="53" t="n">
        <f aca="false">R21+T21+N21+U21</f>
        <v>107.04</v>
      </c>
      <c r="X21" s="53" t="n">
        <f aca="false">IF(L21&lt;0,L21*-1,0)</f>
        <v>28.1726122037317</v>
      </c>
      <c r="Y21" s="53" t="n">
        <f aca="false">W21+X21</f>
        <v>135.212612203732</v>
      </c>
      <c r="Z21" s="57" t="n">
        <v>0</v>
      </c>
      <c r="AA21" s="58" t="n">
        <v>79</v>
      </c>
      <c r="AB21" s="58" t="n">
        <v>44</v>
      </c>
      <c r="AC21" s="59" t="n">
        <f aca="false">AC20+1</f>
        <v>12</v>
      </c>
      <c r="AD21" s="74"/>
      <c r="AE21" s="74"/>
      <c r="AF21" s="78"/>
    </row>
    <row r="22" customFormat="false" ht="11.1" hidden="false" customHeight="true" outlineLevel="0" collapsed="false">
      <c r="A22" s="59" t="n">
        <f aca="false">A21+1</f>
        <v>13</v>
      </c>
      <c r="B22" s="76" t="n">
        <v>6890.99</v>
      </c>
      <c r="C22" s="54" t="n">
        <v>251535</v>
      </c>
      <c r="D22" s="58" t="n">
        <f aca="false">C22-C21</f>
        <v>340</v>
      </c>
      <c r="E22" s="54" t="n">
        <f aca="false">C22-152000</f>
        <v>99535</v>
      </c>
      <c r="F22" s="53" t="n">
        <f aca="false">D22/$D$2</f>
        <v>171.457387796268</v>
      </c>
      <c r="G22" s="53" t="n">
        <v>279.96</v>
      </c>
      <c r="H22" s="55" t="n">
        <v>3.79</v>
      </c>
      <c r="I22" s="53" t="n">
        <f aca="false">G22+H22</f>
        <v>283.75</v>
      </c>
      <c r="J22" s="77" t="n">
        <f aca="false">IF(L22&gt;0,L22,0)</f>
        <v>0</v>
      </c>
      <c r="K22" s="53" t="n">
        <f aca="false">I22+J22</f>
        <v>283.75</v>
      </c>
      <c r="L22" s="53" t="n">
        <f aca="false">F22-(I22-W22)</f>
        <v>-5.71261220373171</v>
      </c>
      <c r="M22" s="53" t="n">
        <v>26.41</v>
      </c>
      <c r="N22" s="53" t="n">
        <f aca="false">(0+0.41)*1.05</f>
        <v>0.4305</v>
      </c>
      <c r="O22" s="53" t="n">
        <f aca="false">M22-N22</f>
        <v>25.9795</v>
      </c>
      <c r="P22" s="53" t="n">
        <v>29.3</v>
      </c>
      <c r="Q22" s="53" t="n">
        <v>6.27</v>
      </c>
      <c r="R22" s="53" t="n">
        <f aca="false">SUM(O22:Q22)</f>
        <v>61.5495</v>
      </c>
      <c r="S22" s="54" t="n">
        <f aca="false">(I22-R22)+S21</f>
        <v>-19714.3105805421</v>
      </c>
      <c r="T22" s="53" t="n">
        <f aca="false">(AD22-AD21)/$D$2</f>
        <v>0</v>
      </c>
      <c r="U22" s="53" t="n">
        <v>44.6</v>
      </c>
      <c r="V22" s="54" t="n">
        <f aca="false">V21-U22</f>
        <v>6023.23002268716</v>
      </c>
      <c r="W22" s="53" t="n">
        <f aca="false">R22+T22+N22+U22</f>
        <v>106.58</v>
      </c>
      <c r="X22" s="53" t="n">
        <f aca="false">IF(L22&lt;0,L22*-1,0)</f>
        <v>5.71261220373171</v>
      </c>
      <c r="Y22" s="53" t="n">
        <f aca="false">W22+X22</f>
        <v>112.292612203732</v>
      </c>
      <c r="Z22" s="57" t="n">
        <v>0</v>
      </c>
      <c r="AA22" s="58" t="n">
        <v>76</v>
      </c>
      <c r="AB22" s="58" t="n">
        <v>41</v>
      </c>
      <c r="AC22" s="59" t="n">
        <f aca="false">AC21+1</f>
        <v>13</v>
      </c>
      <c r="AD22" s="74"/>
      <c r="AE22" s="74"/>
      <c r="AF22" s="78"/>
    </row>
    <row r="23" customFormat="false" ht="11.1" hidden="false" customHeight="true" outlineLevel="0" collapsed="false">
      <c r="A23" s="59" t="n">
        <f aca="false">A22+1</f>
        <v>14</v>
      </c>
      <c r="B23" s="76" t="n">
        <v>6891.05</v>
      </c>
      <c r="C23" s="54" t="n">
        <v>251741</v>
      </c>
      <c r="D23" s="58" t="n">
        <f aca="false">C23-C22</f>
        <v>206</v>
      </c>
      <c r="E23" s="54" t="n">
        <f aca="false">C23-152000</f>
        <v>99741</v>
      </c>
      <c r="F23" s="53" t="n">
        <f aca="false">D23/$D$2</f>
        <v>103.883005547151</v>
      </c>
      <c r="G23" s="53" t="n">
        <v>258.23</v>
      </c>
      <c r="H23" s="55" t="n">
        <v>3.56</v>
      </c>
      <c r="I23" s="53" t="n">
        <f aca="false">G23+H23</f>
        <v>261.79</v>
      </c>
      <c r="J23" s="77" t="n">
        <f aca="false">IF(L23&gt;0,L23,0)</f>
        <v>0</v>
      </c>
      <c r="K23" s="53" t="n">
        <f aca="false">I23+J23</f>
        <v>261.79</v>
      </c>
      <c r="L23" s="53" t="n">
        <f aca="false">F23-(I23-W23)</f>
        <v>-51.4269944528493</v>
      </c>
      <c r="M23" s="53" t="n">
        <v>26.26</v>
      </c>
      <c r="N23" s="53" t="n">
        <f aca="false">(1+1.06)*1.05</f>
        <v>2.163</v>
      </c>
      <c r="O23" s="53" t="n">
        <f aca="false">M23-N23</f>
        <v>24.097</v>
      </c>
      <c r="P23" s="53" t="n">
        <v>29.35</v>
      </c>
      <c r="Q23" s="96" t="n">
        <v>6.27</v>
      </c>
      <c r="R23" s="53" t="n">
        <f aca="false">SUM(O23:Q23)</f>
        <v>59.717</v>
      </c>
      <c r="S23" s="54" t="n">
        <f aca="false">(I23-R23)+S22</f>
        <v>-19512.2375805421</v>
      </c>
      <c r="T23" s="53" t="n">
        <f aca="false">(AD23-AD22)/$D$2</f>
        <v>0</v>
      </c>
      <c r="U23" s="53" t="n">
        <v>44.6</v>
      </c>
      <c r="V23" s="54" t="n">
        <f aca="false">V22-U23</f>
        <v>5978.63002268716</v>
      </c>
      <c r="W23" s="53" t="n">
        <f aca="false">R23+T23+N23+U23</f>
        <v>106.48</v>
      </c>
      <c r="X23" s="53" t="n">
        <f aca="false">IF(L23&lt;0,L23*-1,0)</f>
        <v>51.4269944528493</v>
      </c>
      <c r="Y23" s="53" t="n">
        <f aca="false">W23+X23</f>
        <v>157.906994452849</v>
      </c>
      <c r="Z23" s="57" t="n">
        <v>0</v>
      </c>
      <c r="AA23" s="86" t="n">
        <v>69</v>
      </c>
      <c r="AB23" s="58" t="n">
        <v>42</v>
      </c>
      <c r="AC23" s="59" t="n">
        <f aca="false">AC22+1</f>
        <v>14</v>
      </c>
      <c r="AD23" s="74"/>
      <c r="AE23" s="74"/>
      <c r="AF23" s="78"/>
    </row>
    <row r="24" customFormat="false" ht="11.1" hidden="false" customHeight="true" outlineLevel="0" collapsed="false">
      <c r="A24" s="59" t="n">
        <f aca="false">A23+1</f>
        <v>15</v>
      </c>
      <c r="B24" s="76" t="n">
        <v>6891.12</v>
      </c>
      <c r="C24" s="54" t="n">
        <v>251981</v>
      </c>
      <c r="D24" s="58" t="n">
        <f aca="false">C24-C23</f>
        <v>240</v>
      </c>
      <c r="E24" s="54" t="n">
        <f aca="false">C24-152000</f>
        <v>99981</v>
      </c>
      <c r="F24" s="53" t="n">
        <f aca="false">D24/$D$2</f>
        <v>121.028744326778</v>
      </c>
      <c r="G24" s="53" t="n">
        <v>245.41</v>
      </c>
      <c r="H24" s="55" t="n">
        <v>3.38</v>
      </c>
      <c r="I24" s="53" t="n">
        <f aca="false">G24+H24</f>
        <v>248.79</v>
      </c>
      <c r="J24" s="77" t="n">
        <f aca="false">IF(L24&gt;0,L24,0)</f>
        <v>0</v>
      </c>
      <c r="K24" s="53" t="n">
        <f aca="false">I24+J24</f>
        <v>248.79</v>
      </c>
      <c r="L24" s="53" t="n">
        <f aca="false">F24-(I24-W24)</f>
        <v>-1.1312556732224</v>
      </c>
      <c r="M24" s="53" t="n">
        <v>46.4</v>
      </c>
      <c r="N24" s="53" t="n">
        <f aca="false">(8.02+14.58)*1.05</f>
        <v>23.73</v>
      </c>
      <c r="O24" s="53" t="n">
        <f aca="false">M24-N24</f>
        <v>22.67</v>
      </c>
      <c r="P24" s="53" t="n">
        <v>29.36</v>
      </c>
      <c r="Q24" s="96" t="n">
        <v>6.27</v>
      </c>
      <c r="R24" s="53" t="n">
        <f aca="false">SUM(O24:Q24)</f>
        <v>58.3</v>
      </c>
      <c r="S24" s="54" t="n">
        <f aca="false">(I24-R24)+S23</f>
        <v>-19321.7475805421</v>
      </c>
      <c r="T24" s="53" t="n">
        <f aca="false">(AD24-AD23)/$D$2</f>
        <v>0</v>
      </c>
      <c r="U24" s="53" t="n">
        <v>44.6</v>
      </c>
      <c r="V24" s="54" t="n">
        <f aca="false">V23-U24</f>
        <v>5934.03002268716</v>
      </c>
      <c r="W24" s="53" t="n">
        <f aca="false">R24+T24+N24+U24</f>
        <v>126.63</v>
      </c>
      <c r="X24" s="53" t="n">
        <f aca="false">IF(L24&lt;0,L24*-1,0)</f>
        <v>1.1312556732224</v>
      </c>
      <c r="Y24" s="53" t="n">
        <f aca="false">W24+X24</f>
        <v>127.761255673222</v>
      </c>
      <c r="Z24" s="57" t="n">
        <v>0</v>
      </c>
      <c r="AA24" s="86" t="n">
        <v>66</v>
      </c>
      <c r="AB24" s="58" t="n">
        <v>39</v>
      </c>
      <c r="AC24" s="59" t="n">
        <f aca="false">AC23+1</f>
        <v>15</v>
      </c>
      <c r="AD24" s="74"/>
      <c r="AE24" s="74"/>
      <c r="AF24" s="78"/>
    </row>
    <row r="25" customFormat="false" ht="11.1" hidden="false" customHeight="true" outlineLevel="0" collapsed="false">
      <c r="A25" s="59" t="n">
        <f aca="false">A24+1</f>
        <v>16</v>
      </c>
      <c r="B25" s="76" t="n">
        <v>6891.18</v>
      </c>
      <c r="C25" s="54" t="n">
        <v>252187</v>
      </c>
      <c r="D25" s="58" t="n">
        <f aca="false">C25-C24</f>
        <v>206</v>
      </c>
      <c r="E25" s="54" t="n">
        <f aca="false">C25-152000</f>
        <v>100187</v>
      </c>
      <c r="F25" s="53" t="n">
        <f aca="false">D25/$D$2</f>
        <v>103.883005547151</v>
      </c>
      <c r="G25" s="53" t="n">
        <v>221.88</v>
      </c>
      <c r="H25" s="55" t="n">
        <v>3.26</v>
      </c>
      <c r="I25" s="53" t="n">
        <f aca="false">G25+H25</f>
        <v>225.14</v>
      </c>
      <c r="J25" s="77" t="n">
        <f aca="false">IF(L25&gt;0,L25,0)</f>
        <v>16.1530055471508</v>
      </c>
      <c r="K25" s="53" t="n">
        <f aca="false">I25+J25</f>
        <v>241.293005547151</v>
      </c>
      <c r="L25" s="53" t="n">
        <f aca="false">F25-(I25-W25)</f>
        <v>16.1530055471508</v>
      </c>
      <c r="M25" s="53" t="n">
        <v>56.9</v>
      </c>
      <c r="N25" s="53" t="n">
        <f aca="false">(14.27+13.95)*1.05</f>
        <v>29.631</v>
      </c>
      <c r="O25" s="53" t="n">
        <f aca="false">M25-N25</f>
        <v>27.269</v>
      </c>
      <c r="P25" s="53" t="n">
        <v>29.46</v>
      </c>
      <c r="Q25" s="53" t="n">
        <v>6.1</v>
      </c>
      <c r="R25" s="53" t="n">
        <f aca="false">SUM(O25:Q25)</f>
        <v>62.829</v>
      </c>
      <c r="S25" s="54" t="n">
        <f aca="false">(I25-R25)+S24</f>
        <v>-19159.4365805421</v>
      </c>
      <c r="T25" s="53" t="n">
        <f aca="false">(AD25-AD24)/$D$2</f>
        <v>0</v>
      </c>
      <c r="U25" s="53" t="n">
        <v>44.95</v>
      </c>
      <c r="V25" s="54" t="n">
        <f aca="false">V24-U25</f>
        <v>5889.08002268716</v>
      </c>
      <c r="W25" s="53" t="n">
        <f aca="false">R25+T25+N25+U25</f>
        <v>137.41</v>
      </c>
      <c r="X25" s="53" t="n">
        <f aca="false">IF(L25&lt;0,L25*-1,0)</f>
        <v>0</v>
      </c>
      <c r="Y25" s="53" t="n">
        <f aca="false">W25+X25</f>
        <v>137.41</v>
      </c>
      <c r="Z25" s="57" t="n">
        <v>0</v>
      </c>
      <c r="AA25" s="86" t="n">
        <v>51</v>
      </c>
      <c r="AB25" s="58" t="n">
        <v>37</v>
      </c>
      <c r="AC25" s="59" t="n">
        <f aca="false">AC24+1</f>
        <v>16</v>
      </c>
      <c r="AD25" s="74"/>
      <c r="AE25" s="74"/>
      <c r="AF25" s="78"/>
    </row>
    <row r="26" customFormat="false" ht="11.1" hidden="false" customHeight="true" outlineLevel="0" collapsed="false">
      <c r="A26" s="59" t="n">
        <f aca="false">A25+1</f>
        <v>17</v>
      </c>
      <c r="B26" s="76" t="n">
        <v>6891.14</v>
      </c>
      <c r="C26" s="54" t="n">
        <v>252050</v>
      </c>
      <c r="D26" s="58" t="n">
        <f aca="false">C26-C25</f>
        <v>-137</v>
      </c>
      <c r="E26" s="54" t="n">
        <f aca="false">C26-152000</f>
        <v>100050</v>
      </c>
      <c r="F26" s="53" t="n">
        <f aca="false">D26/$D$2</f>
        <v>-69.0872415532022</v>
      </c>
      <c r="G26" s="53" t="n">
        <v>211.44</v>
      </c>
      <c r="H26" s="55" t="n">
        <v>2.87</v>
      </c>
      <c r="I26" s="53" t="n">
        <f aca="false">G26+H26</f>
        <v>214.31</v>
      </c>
      <c r="J26" s="77" t="n">
        <f aca="false">IF(L26&gt;0,L26,0)</f>
        <v>0</v>
      </c>
      <c r="K26" s="53" t="n">
        <f aca="false">I26+J26</f>
        <v>214.31</v>
      </c>
      <c r="L26" s="53" t="n">
        <f aca="false">F26-(I26-W26)</f>
        <v>-37.5072415532022</v>
      </c>
      <c r="M26" s="53" t="n">
        <v>54.68</v>
      </c>
      <c r="N26" s="53" t="n">
        <f aca="false">(13.27+12.94)*1.05</f>
        <v>27.5205</v>
      </c>
      <c r="O26" s="53" t="n">
        <f aca="false">M26-N26</f>
        <v>27.1595</v>
      </c>
      <c r="P26" s="53" t="n">
        <v>139.55</v>
      </c>
      <c r="Q26" s="53" t="n">
        <v>6.26</v>
      </c>
      <c r="R26" s="53" t="n">
        <f aca="false">SUM(O26:Q26)</f>
        <v>172.9695</v>
      </c>
      <c r="S26" s="54" t="n">
        <f aca="false">(I26-R26)+S25</f>
        <v>-19118.0960805421</v>
      </c>
      <c r="T26" s="53" t="n">
        <f aca="false">(AD26-AD25)/$D$2</f>
        <v>0</v>
      </c>
      <c r="U26" s="53" t="n">
        <v>45.4</v>
      </c>
      <c r="V26" s="54" t="n">
        <f aca="false">V25-U26</f>
        <v>5843.68002268716</v>
      </c>
      <c r="W26" s="53" t="n">
        <f aca="false">R26+T26+N26+U26</f>
        <v>245.89</v>
      </c>
      <c r="X26" s="53" t="n">
        <f aca="false">IF(L26&lt;0,L26*-1,0)</f>
        <v>37.5072415532022</v>
      </c>
      <c r="Y26" s="53" t="n">
        <f aca="false">W26+X26</f>
        <v>283.397241553202</v>
      </c>
      <c r="Z26" s="57" t="n">
        <v>0</v>
      </c>
      <c r="AA26" s="86" t="n">
        <v>68</v>
      </c>
      <c r="AB26" s="58" t="n">
        <v>28</v>
      </c>
      <c r="AC26" s="59" t="n">
        <f aca="false">AC25+1</f>
        <v>17</v>
      </c>
      <c r="AD26" s="74"/>
      <c r="AE26" s="74"/>
      <c r="AF26" s="78"/>
    </row>
    <row r="27" customFormat="false" ht="11.1" hidden="false" customHeight="true" outlineLevel="0" collapsed="false">
      <c r="A27" s="59" t="n">
        <f aca="false">A26+1</f>
        <v>18</v>
      </c>
      <c r="B27" s="76" t="n">
        <v>6891.04</v>
      </c>
      <c r="C27" s="54" t="n">
        <v>251706</v>
      </c>
      <c r="D27" s="58" t="n">
        <f aca="false">C27-C26</f>
        <v>-344</v>
      </c>
      <c r="E27" s="54" t="n">
        <f aca="false">C27-152000</f>
        <v>99706</v>
      </c>
      <c r="F27" s="53" t="n">
        <f aca="false">D27/$D$2</f>
        <v>-173.474533535048</v>
      </c>
      <c r="G27" s="53" t="n">
        <v>181.73</v>
      </c>
      <c r="H27" s="55" t="n">
        <v>2.83</v>
      </c>
      <c r="I27" s="53" t="n">
        <f aca="false">G27+H27</f>
        <v>184.56</v>
      </c>
      <c r="J27" s="77" t="n">
        <f aca="false">IF(L27&gt;0,L27,0)</f>
        <v>0</v>
      </c>
      <c r="K27" s="53" t="n">
        <f aca="false">I27+J27</f>
        <v>184.56</v>
      </c>
      <c r="L27" s="53" t="n">
        <f aca="false">F27-(I27-W27)</f>
        <v>-68.3945335350479</v>
      </c>
      <c r="M27" s="53" t="n">
        <v>36.47</v>
      </c>
      <c r="N27" s="53" t="n">
        <f aca="false">(8.06+7.61)*1.05</f>
        <v>16.4535</v>
      </c>
      <c r="O27" s="53" t="n">
        <f aca="false">M27-N27</f>
        <v>20.0165</v>
      </c>
      <c r="P27" s="53" t="n">
        <v>201.51</v>
      </c>
      <c r="Q27" s="53" t="n">
        <v>6.26</v>
      </c>
      <c r="R27" s="53" t="n">
        <f aca="false">SUM(O27:Q27)</f>
        <v>227.7865</v>
      </c>
      <c r="S27" s="54" t="n">
        <f aca="false">(I27-R27)+S26</f>
        <v>-19161.3225805421</v>
      </c>
      <c r="T27" s="53" t="n">
        <f aca="false">(AD27-AD26)/$D$2</f>
        <v>0</v>
      </c>
      <c r="U27" s="53" t="n">
        <v>45.4</v>
      </c>
      <c r="V27" s="54" t="n">
        <f aca="false">V26-U27</f>
        <v>5798.28002268716</v>
      </c>
      <c r="W27" s="53" t="n">
        <f aca="false">R27+T27+N27+U27</f>
        <v>289.64</v>
      </c>
      <c r="X27" s="53" t="n">
        <f aca="false">IF(L27&lt;0,L27*-1,0)</f>
        <v>68.3945335350479</v>
      </c>
      <c r="Y27" s="53" t="n">
        <f aca="false">W27+X27</f>
        <v>358.034533535048</v>
      </c>
      <c r="Z27" s="57" t="n">
        <v>0</v>
      </c>
      <c r="AA27" s="86" t="n">
        <v>55</v>
      </c>
      <c r="AB27" s="58" t="n">
        <v>35</v>
      </c>
      <c r="AC27" s="59" t="n">
        <f aca="false">AC26+1</f>
        <v>18</v>
      </c>
      <c r="AD27" s="74"/>
      <c r="AE27" s="74"/>
      <c r="AF27" s="78"/>
    </row>
    <row r="28" customFormat="false" ht="11.1" hidden="false" customHeight="true" outlineLevel="0" collapsed="false">
      <c r="A28" s="59" t="n">
        <f aca="false">A27+1</f>
        <v>19</v>
      </c>
      <c r="B28" s="76" t="n">
        <v>6890.99</v>
      </c>
      <c r="C28" s="91" t="n">
        <v>251535</v>
      </c>
      <c r="D28" s="58" t="n">
        <f aca="false">C28-C27</f>
        <v>-171</v>
      </c>
      <c r="E28" s="54" t="n">
        <f aca="false">C28-152000</f>
        <v>99535</v>
      </c>
      <c r="F28" s="53" t="n">
        <f aca="false">D28/$D$2</f>
        <v>-86.232980332829</v>
      </c>
      <c r="G28" s="53" t="n">
        <v>177.38</v>
      </c>
      <c r="H28" s="55" t="n">
        <v>3.04</v>
      </c>
      <c r="I28" s="53" t="n">
        <f aca="false">G28+H28</f>
        <v>180.42</v>
      </c>
      <c r="J28" s="77" t="n">
        <f aca="false">IF(L28&gt;0,L28,0)</f>
        <v>16.207019667171</v>
      </c>
      <c r="K28" s="53" t="n">
        <f aca="false">I28+J28</f>
        <v>196.627019667171</v>
      </c>
      <c r="L28" s="53" t="n">
        <f aca="false">F28-(I28-W28)</f>
        <v>16.207019667171</v>
      </c>
      <c r="M28" s="53" t="n">
        <v>30.22</v>
      </c>
      <c r="N28" s="53" t="n">
        <v>0</v>
      </c>
      <c r="O28" s="53" t="n">
        <f aca="false">M28-N28</f>
        <v>30.22</v>
      </c>
      <c r="P28" s="53" t="n">
        <v>201.08</v>
      </c>
      <c r="Q28" s="53" t="n">
        <v>6.19</v>
      </c>
      <c r="R28" s="53" t="n">
        <f aca="false">SUM(O28:Q28)</f>
        <v>237.49</v>
      </c>
      <c r="S28" s="54" t="n">
        <f aca="false">(I28-R28)+S27</f>
        <v>-19218.3925805421</v>
      </c>
      <c r="T28" s="53" t="n">
        <f aca="false">(AD28-AD27)/$D$2</f>
        <v>0</v>
      </c>
      <c r="U28" s="53" t="n">
        <v>45.37</v>
      </c>
      <c r="V28" s="54" t="n">
        <f aca="false">V27-U28</f>
        <v>5752.91002268716</v>
      </c>
      <c r="W28" s="53" t="n">
        <f aca="false">R28+T28+N28+U28</f>
        <v>282.86</v>
      </c>
      <c r="X28" s="53" t="n">
        <f aca="false">IF(L28&lt;0,L28*-1,0)</f>
        <v>0</v>
      </c>
      <c r="Y28" s="53" t="n">
        <f aca="false">W28+X28</f>
        <v>282.86</v>
      </c>
      <c r="Z28" s="57" t="n">
        <v>0</v>
      </c>
      <c r="AA28" s="86" t="n">
        <v>67</v>
      </c>
      <c r="AB28" s="58" t="n">
        <v>24</v>
      </c>
      <c r="AC28" s="59" t="n">
        <f aca="false">AC27+1</f>
        <v>19</v>
      </c>
      <c r="AD28" s="74"/>
      <c r="AE28" s="74"/>
      <c r="AF28" s="78"/>
    </row>
    <row r="29" customFormat="false" ht="11.1" hidden="false" customHeight="true" outlineLevel="0" collapsed="false">
      <c r="A29" s="59" t="n">
        <f aca="false">A28+1</f>
        <v>20</v>
      </c>
      <c r="B29" s="76" t="n">
        <v>6890.91</v>
      </c>
      <c r="C29" s="54" t="n">
        <v>251263</v>
      </c>
      <c r="D29" s="58" t="n">
        <f aca="false">C29-C28</f>
        <v>-272</v>
      </c>
      <c r="E29" s="54" t="n">
        <f aca="false">C29-152000</f>
        <v>99263</v>
      </c>
      <c r="F29" s="53" t="n">
        <f aca="false">D29/$D$2</f>
        <v>-137.165910237015</v>
      </c>
      <c r="G29" s="53" t="n">
        <v>183.67</v>
      </c>
      <c r="H29" s="55" t="n">
        <v>3.3</v>
      </c>
      <c r="I29" s="53" t="n">
        <f aca="false">G29+H29</f>
        <v>186.97</v>
      </c>
      <c r="J29" s="77" t="n">
        <f aca="false">IF(L29&gt;0,L29,0)</f>
        <v>0</v>
      </c>
      <c r="K29" s="53" t="n">
        <f aca="false">I29+J29</f>
        <v>186.97</v>
      </c>
      <c r="L29" s="53" t="n">
        <f aca="false">F29-(I29-W29)</f>
        <v>-41.8759102370146</v>
      </c>
      <c r="M29" s="53" t="n">
        <v>29.74</v>
      </c>
      <c r="N29" s="53" t="n">
        <v>0</v>
      </c>
      <c r="O29" s="53" t="n">
        <f aca="false">M29-N29</f>
        <v>29.74</v>
      </c>
      <c r="P29" s="53" t="n">
        <v>200.93</v>
      </c>
      <c r="Q29" s="53" t="n">
        <v>6.19</v>
      </c>
      <c r="R29" s="53" t="n">
        <f aca="false">SUM(O29:Q29)</f>
        <v>236.86</v>
      </c>
      <c r="S29" s="54" t="n">
        <f aca="false">(I29-R29)+S28</f>
        <v>-19268.2825805421</v>
      </c>
      <c r="T29" s="53" t="n">
        <f aca="false">(AD29-AD28)/$D$2</f>
        <v>0</v>
      </c>
      <c r="U29" s="53" t="n">
        <v>45.4</v>
      </c>
      <c r="V29" s="54" t="n">
        <f aca="false">V28-U29</f>
        <v>5707.51002268716</v>
      </c>
      <c r="W29" s="53" t="n">
        <f aca="false">R29+T29+N29+U29</f>
        <v>282.26</v>
      </c>
      <c r="X29" s="53" t="n">
        <f aca="false">IF(L29&lt;0,L29*-1,0)</f>
        <v>41.8759102370146</v>
      </c>
      <c r="Y29" s="53" t="n">
        <f aca="false">W29+X29</f>
        <v>324.135910237015</v>
      </c>
      <c r="Z29" s="57" t="n">
        <v>0.13</v>
      </c>
      <c r="AA29" s="86" t="n">
        <v>65</v>
      </c>
      <c r="AB29" s="58" t="n">
        <v>22</v>
      </c>
      <c r="AC29" s="59" t="n">
        <f aca="false">AC28+1</f>
        <v>20</v>
      </c>
      <c r="AD29" s="74"/>
      <c r="AE29" s="74"/>
      <c r="AF29" s="78"/>
    </row>
    <row r="30" customFormat="false" ht="11.1" hidden="false" customHeight="true" outlineLevel="0" collapsed="false">
      <c r="A30" s="59" t="n">
        <f aca="false">A29+1</f>
        <v>21</v>
      </c>
      <c r="B30" s="76" t="n">
        <v>6890.79</v>
      </c>
      <c r="C30" s="54" t="n">
        <v>250855</v>
      </c>
      <c r="D30" s="58" t="n">
        <f aca="false">C30-C29</f>
        <v>-408</v>
      </c>
      <c r="E30" s="54" t="n">
        <f aca="false">C30-152000</f>
        <v>98855</v>
      </c>
      <c r="F30" s="53" t="n">
        <f aca="false">D30/$D$2</f>
        <v>-205.748865355522</v>
      </c>
      <c r="G30" s="53" t="n">
        <v>154.81</v>
      </c>
      <c r="H30" s="55" t="n">
        <v>3.58</v>
      </c>
      <c r="I30" s="53" t="n">
        <f aca="false">G30+H30</f>
        <v>158.39</v>
      </c>
      <c r="J30" s="77" t="n">
        <f aca="false">IF(L30&gt;0,L30,0)</f>
        <v>0</v>
      </c>
      <c r="K30" s="53" t="n">
        <f aca="false">I30+J30</f>
        <v>158.39</v>
      </c>
      <c r="L30" s="53" t="n">
        <f aca="false">F30-(I30-W30)</f>
        <v>-64.738865355522</v>
      </c>
      <c r="M30" s="53" t="n">
        <v>47.16</v>
      </c>
      <c r="N30" s="53" t="n">
        <f aca="false">(9.83+9.98)*1.05</f>
        <v>20.8005</v>
      </c>
      <c r="O30" s="53" t="n">
        <f aca="false">M30-N30</f>
        <v>26.3595</v>
      </c>
      <c r="P30" s="53" t="n">
        <v>200.66</v>
      </c>
      <c r="Q30" s="53" t="n">
        <v>6.06</v>
      </c>
      <c r="R30" s="53" t="n">
        <f aca="false">SUM(O30:Q30)</f>
        <v>233.0795</v>
      </c>
      <c r="S30" s="54" t="n">
        <f aca="false">(I30-R30)+S29</f>
        <v>-19342.9720805421</v>
      </c>
      <c r="T30" s="53" t="n">
        <f aca="false">(AD30-AD29)/$D$2</f>
        <v>0</v>
      </c>
      <c r="U30" s="53" t="n">
        <v>45.52</v>
      </c>
      <c r="V30" s="54" t="n">
        <f aca="false">V29-U30</f>
        <v>5661.99002268716</v>
      </c>
      <c r="W30" s="53" t="n">
        <f aca="false">R30+T30+N30+U30</f>
        <v>299.4</v>
      </c>
      <c r="X30" s="53" t="n">
        <f aca="false">IF(L30&lt;0,L30*-1,0)</f>
        <v>64.738865355522</v>
      </c>
      <c r="Y30" s="53" t="n">
        <f aca="false">W30+X30</f>
        <v>364.138865355522</v>
      </c>
      <c r="Z30" s="57" t="n">
        <v>0</v>
      </c>
      <c r="AA30" s="58" t="n">
        <v>34</v>
      </c>
      <c r="AB30" s="58" t="n">
        <v>21</v>
      </c>
      <c r="AC30" s="59" t="n">
        <f aca="false">AC29+1</f>
        <v>21</v>
      </c>
      <c r="AD30" s="74"/>
      <c r="AE30" s="74"/>
      <c r="AF30" s="78"/>
    </row>
    <row r="31" customFormat="false" ht="11.1" hidden="false" customHeight="true" outlineLevel="0" collapsed="false">
      <c r="A31" s="59" t="n">
        <f aca="false">A30+1</f>
        <v>22</v>
      </c>
      <c r="B31" s="76" t="n">
        <v>6890.66</v>
      </c>
      <c r="C31" s="54" t="n">
        <v>250413</v>
      </c>
      <c r="D31" s="58" t="n">
        <f aca="false">C31-C30</f>
        <v>-442</v>
      </c>
      <c r="E31" s="54" t="n">
        <f aca="false">C31-152000</f>
        <v>98413</v>
      </c>
      <c r="F31" s="53" t="n">
        <f aca="false">D31/$D$2</f>
        <v>-222.894604135149</v>
      </c>
      <c r="G31" s="53" t="n">
        <v>191.63</v>
      </c>
      <c r="H31" s="55" t="n">
        <v>3.09</v>
      </c>
      <c r="I31" s="53" t="n">
        <f aca="false">G31+H31</f>
        <v>194.72</v>
      </c>
      <c r="J31" s="77" t="n">
        <f aca="false">IF(L31&gt;0,L31,0)</f>
        <v>0</v>
      </c>
      <c r="K31" s="53" t="n">
        <f aca="false">I31+J31</f>
        <v>194.72</v>
      </c>
      <c r="L31" s="53" t="n">
        <f aca="false">F31-(I31-W31)</f>
        <v>-103.204604135149</v>
      </c>
      <c r="M31" s="53" t="n">
        <v>62.52</v>
      </c>
      <c r="N31" s="53" t="n">
        <f aca="false">(18.2+17.91)*1.05</f>
        <v>37.9155</v>
      </c>
      <c r="O31" s="53" t="n">
        <f aca="false">M31-N31</f>
        <v>24.6045</v>
      </c>
      <c r="P31" s="53" t="n">
        <v>200.3</v>
      </c>
      <c r="Q31" s="53" t="n">
        <v>6.19</v>
      </c>
      <c r="R31" s="53" t="n">
        <f aca="false">SUM(O31:Q31)</f>
        <v>231.0945</v>
      </c>
      <c r="S31" s="54" t="n">
        <f aca="false">(I31-R31)+S30</f>
        <v>-19379.3465805421</v>
      </c>
      <c r="T31" s="53" t="n">
        <f aca="false">(AD31-AD30)/$D$2</f>
        <v>0</v>
      </c>
      <c r="U31" s="53" t="n">
        <v>45.4</v>
      </c>
      <c r="V31" s="54" t="n">
        <f aca="false">V30-U31</f>
        <v>5616.59002268716</v>
      </c>
      <c r="W31" s="53" t="n">
        <f aca="false">R31+T31+N31+U31</f>
        <v>314.41</v>
      </c>
      <c r="X31" s="53" t="n">
        <f aca="false">IF(L31&lt;0,L31*-1,0)</f>
        <v>103.204604135149</v>
      </c>
      <c r="Y31" s="53" t="n">
        <f aca="false">W31+X31</f>
        <v>417.614604135149</v>
      </c>
      <c r="Z31" s="57" t="n">
        <v>0</v>
      </c>
      <c r="AA31" s="58" t="n">
        <v>51</v>
      </c>
      <c r="AB31" s="58" t="n">
        <v>20</v>
      </c>
      <c r="AC31" s="59" t="n">
        <f aca="false">AC30+1</f>
        <v>22</v>
      </c>
      <c r="AD31" s="74"/>
      <c r="AE31" s="74"/>
      <c r="AF31" s="78"/>
      <c r="AG31" s="113"/>
      <c r="AH31" s="113"/>
      <c r="AI31" s="113"/>
    </row>
    <row r="32" customFormat="false" ht="11.1" hidden="false" customHeight="true" outlineLevel="0" collapsed="false">
      <c r="A32" s="59" t="n">
        <f aca="false">A31+1</f>
        <v>23</v>
      </c>
      <c r="B32" s="76" t="n">
        <v>6890.49</v>
      </c>
      <c r="C32" s="54" t="n">
        <v>249834</v>
      </c>
      <c r="D32" s="58" t="n">
        <f aca="false">C32-C31</f>
        <v>-579</v>
      </c>
      <c r="E32" s="54" t="n">
        <f aca="false">C32-152000</f>
        <v>97834</v>
      </c>
      <c r="F32" s="53" t="n">
        <f aca="false">D32/$D$2</f>
        <v>-291.981845688351</v>
      </c>
      <c r="G32" s="53" t="n">
        <v>145.92</v>
      </c>
      <c r="H32" s="55" t="n">
        <v>2.2</v>
      </c>
      <c r="I32" s="53" t="n">
        <f aca="false">G32+H32</f>
        <v>148.12</v>
      </c>
      <c r="J32" s="77" t="n">
        <f aca="false">IF(L32&gt;0,L32,0)</f>
        <v>0</v>
      </c>
      <c r="K32" s="53" t="n">
        <f aca="false">I32+J32</f>
        <v>148.12</v>
      </c>
      <c r="L32" s="53" t="n">
        <f aca="false">F32-(I32-W32)</f>
        <v>-94.851845688351</v>
      </c>
      <c r="M32" s="53" t="n">
        <v>60.01</v>
      </c>
      <c r="N32" s="53" t="n">
        <f aca="false">(19.71+20.06)*1.05</f>
        <v>41.7585</v>
      </c>
      <c r="O32" s="53" t="n">
        <f aca="false">M32-N32</f>
        <v>18.2515</v>
      </c>
      <c r="P32" s="53" t="n">
        <v>233.84</v>
      </c>
      <c r="Q32" s="53" t="n">
        <v>6</v>
      </c>
      <c r="R32" s="53" t="n">
        <f aca="false">SUM(O32:Q32)</f>
        <v>258.0915</v>
      </c>
      <c r="S32" s="54" t="n">
        <f aca="false">(I32-R32)+S31</f>
        <v>-19489.3180805421</v>
      </c>
      <c r="T32" s="53" t="n">
        <f aca="false">(AD32-AD31)/$D$2</f>
        <v>0</v>
      </c>
      <c r="U32" s="53" t="n">
        <v>45.4</v>
      </c>
      <c r="V32" s="54" t="n">
        <f aca="false">V31-U32</f>
        <v>5571.19002268716</v>
      </c>
      <c r="W32" s="53" t="n">
        <f aca="false">R32+T32+N32+U32</f>
        <v>345.25</v>
      </c>
      <c r="X32" s="53" t="n">
        <f aca="false">IF(L32&lt;0,L32*-1,0)</f>
        <v>94.851845688351</v>
      </c>
      <c r="Y32" s="53" t="n">
        <f aca="false">W32+X32</f>
        <v>440.101845688351</v>
      </c>
      <c r="Z32" s="57" t="n">
        <v>0</v>
      </c>
      <c r="AA32" s="58" t="n">
        <v>57</v>
      </c>
      <c r="AB32" s="86" t="n">
        <v>22</v>
      </c>
      <c r="AC32" s="59" t="n">
        <f aca="false">AC31+1</f>
        <v>23</v>
      </c>
      <c r="AD32" s="74"/>
      <c r="AE32" s="74"/>
      <c r="AF32" s="78"/>
    </row>
    <row r="33" customFormat="false" ht="11.1" hidden="false" customHeight="true" outlineLevel="0" collapsed="false">
      <c r="A33" s="59" t="n">
        <f aca="false">A32+1</f>
        <v>24</v>
      </c>
      <c r="B33" s="76" t="n">
        <v>6890.36</v>
      </c>
      <c r="C33" s="54" t="n">
        <v>249392</v>
      </c>
      <c r="D33" s="58" t="n">
        <f aca="false">C33-C32</f>
        <v>-442</v>
      </c>
      <c r="E33" s="54" t="n">
        <f aca="false">C33-152000</f>
        <v>97392</v>
      </c>
      <c r="F33" s="53" t="n">
        <f aca="false">D33/$D$2</f>
        <v>-222.894604135149</v>
      </c>
      <c r="G33" s="53" t="n">
        <v>144.5</v>
      </c>
      <c r="H33" s="55" t="n">
        <v>2.09</v>
      </c>
      <c r="I33" s="53" t="n">
        <f aca="false">G33+H33</f>
        <v>146.59</v>
      </c>
      <c r="J33" s="77" t="n">
        <f aca="false">IF(L33&gt;0,L33,0)</f>
        <v>0</v>
      </c>
      <c r="K33" s="53" t="n">
        <f aca="false">I33+J33</f>
        <v>146.59</v>
      </c>
      <c r="L33" s="53" t="n">
        <f aca="false">F33-(I33-W33)</f>
        <v>-11.2846041351488</v>
      </c>
      <c r="M33" s="53" t="n">
        <v>55.65</v>
      </c>
      <c r="N33" s="53" t="n">
        <f aca="false">(19.83+19.91)*1.05</f>
        <v>41.727</v>
      </c>
      <c r="O33" s="53" t="n">
        <f aca="false">M33-N33</f>
        <v>13.923</v>
      </c>
      <c r="P33" s="53" t="n">
        <v>251.3</v>
      </c>
      <c r="Q33" s="53" t="n">
        <v>5.85</v>
      </c>
      <c r="R33" s="53" t="n">
        <f aca="false">SUM(O33:Q33)</f>
        <v>271.073</v>
      </c>
      <c r="S33" s="54" t="n">
        <f aca="false">(I33-R33)+S32</f>
        <v>-19613.8010805421</v>
      </c>
      <c r="T33" s="53" t="n">
        <f aca="false">(AD33-AD32)/$D$2</f>
        <v>0</v>
      </c>
      <c r="U33" s="53" t="n">
        <v>45.4</v>
      </c>
      <c r="V33" s="54" t="n">
        <f aca="false">V32-U33</f>
        <v>5525.79002268716</v>
      </c>
      <c r="W33" s="53" t="n">
        <f aca="false">R33+T33+N33+U33</f>
        <v>358.2</v>
      </c>
      <c r="X33" s="53" t="n">
        <f aca="false">IF(L33&lt;0,L33*-1,0)</f>
        <v>11.2846041351488</v>
      </c>
      <c r="Y33" s="53" t="n">
        <f aca="false">W33+X33</f>
        <v>369.484604135149</v>
      </c>
      <c r="Z33" s="57" t="n">
        <v>0.04</v>
      </c>
      <c r="AA33" s="58" t="n">
        <v>56</v>
      </c>
      <c r="AB33" s="86" t="n">
        <v>24</v>
      </c>
      <c r="AC33" s="59" t="n">
        <f aca="false">AC32+1</f>
        <v>24</v>
      </c>
      <c r="AD33" s="74"/>
      <c r="AE33" s="74"/>
      <c r="AF33" s="78"/>
    </row>
    <row r="34" customFormat="false" ht="11.1" hidden="false" customHeight="true" outlineLevel="0" collapsed="false">
      <c r="A34" s="59" t="n">
        <v>25</v>
      </c>
      <c r="B34" s="76" t="n">
        <v>6890.3</v>
      </c>
      <c r="C34" s="54" t="n">
        <v>249188</v>
      </c>
      <c r="D34" s="58" t="n">
        <f aca="false">C34-C33</f>
        <v>-204</v>
      </c>
      <c r="E34" s="54" t="n">
        <f aca="false">C34-152000</f>
        <v>97188</v>
      </c>
      <c r="F34" s="53" t="n">
        <f aca="false">D34/$D$2</f>
        <v>-102.874432677761</v>
      </c>
      <c r="G34" s="53" t="n">
        <v>144.14</v>
      </c>
      <c r="H34" s="55" t="n">
        <v>3.37</v>
      </c>
      <c r="I34" s="53" t="n">
        <f aca="false">G34+H34</f>
        <v>147.51</v>
      </c>
      <c r="J34" s="77" t="n">
        <f aca="false">IF(L34&gt;0,L34,0)</f>
        <v>94.7155673222391</v>
      </c>
      <c r="K34" s="53" t="n">
        <f aca="false">I34+J34</f>
        <v>242.225567322239</v>
      </c>
      <c r="L34" s="53" t="n">
        <f aca="false">F34-(I34-W34)</f>
        <v>94.7155673222391</v>
      </c>
      <c r="M34" s="53" t="n">
        <v>47.5</v>
      </c>
      <c r="N34" s="53" t="n">
        <f aca="false">(14.68+14.92)*1.05</f>
        <v>31.08</v>
      </c>
      <c r="O34" s="53" t="n">
        <f aca="false">M34-N34</f>
        <v>16.42</v>
      </c>
      <c r="P34" s="53" t="n">
        <v>250.93</v>
      </c>
      <c r="Q34" s="53" t="n">
        <v>5.74</v>
      </c>
      <c r="R34" s="53" t="n">
        <f aca="false">SUM(O34:Q34)</f>
        <v>273.09</v>
      </c>
      <c r="S34" s="54" t="n">
        <f aca="false">(I34-R34)+S33</f>
        <v>-19739.3810805421</v>
      </c>
      <c r="T34" s="53" t="n">
        <f aca="false">(AD34-AD33)/$D$2</f>
        <v>0</v>
      </c>
      <c r="U34" s="53" t="n">
        <v>40.93</v>
      </c>
      <c r="V34" s="54" t="n">
        <f aca="false">V33-U34</f>
        <v>5484.86002268716</v>
      </c>
      <c r="W34" s="53" t="n">
        <f aca="false">R34+T34+N34+U34</f>
        <v>345.1</v>
      </c>
      <c r="X34" s="53" t="n">
        <f aca="false">IF(L34&lt;0,L34*-1,0)</f>
        <v>0</v>
      </c>
      <c r="Y34" s="53" t="n">
        <f aca="false">W34+X34</f>
        <v>345.1</v>
      </c>
      <c r="Z34" s="57" t="n">
        <v>0</v>
      </c>
      <c r="AA34" s="58" t="n">
        <v>0</v>
      </c>
      <c r="AB34" s="86" t="n">
        <v>31</v>
      </c>
      <c r="AC34" s="59" t="n">
        <v>25</v>
      </c>
      <c r="AD34" s="74"/>
      <c r="AE34" s="74"/>
      <c r="AF34" s="78"/>
    </row>
    <row r="35" customFormat="false" ht="11.1" hidden="false" customHeight="true" outlineLevel="0" collapsed="false">
      <c r="A35" s="59" t="n">
        <v>26</v>
      </c>
      <c r="B35" s="76" t="n">
        <v>6890.13</v>
      </c>
      <c r="C35" s="54" t="n">
        <v>248610</v>
      </c>
      <c r="D35" s="58" t="n">
        <f aca="false">C35-C34</f>
        <v>-578</v>
      </c>
      <c r="E35" s="54" t="n">
        <f aca="false">C35-152000</f>
        <v>96610</v>
      </c>
      <c r="F35" s="53" t="n">
        <f aca="false">D35/$D$2</f>
        <v>-291.477559253656</v>
      </c>
      <c r="G35" s="53" t="n">
        <v>139.61</v>
      </c>
      <c r="H35" s="55" t="n">
        <v>4.79</v>
      </c>
      <c r="I35" s="53" t="n">
        <f aca="false">G35+H35</f>
        <v>144.4</v>
      </c>
      <c r="J35" s="77" t="n">
        <f aca="false">IF(L35&gt;0,L35,0)</f>
        <v>0</v>
      </c>
      <c r="K35" s="53" t="n">
        <f aca="false">I35+J35</f>
        <v>144.4</v>
      </c>
      <c r="L35" s="53" t="n">
        <f aca="false">F35-(I35-W35)</f>
        <v>-96.357559253656</v>
      </c>
      <c r="M35" s="53" t="n">
        <v>42.9</v>
      </c>
      <c r="N35" s="53" t="n">
        <f aca="false">(11.33+11.6)*1.05</f>
        <v>24.0765</v>
      </c>
      <c r="O35" s="53" t="n">
        <f aca="false">M35-N35</f>
        <v>18.8235</v>
      </c>
      <c r="P35" s="53" t="n">
        <v>250.37</v>
      </c>
      <c r="Q35" s="53" t="n">
        <v>5.75</v>
      </c>
      <c r="R35" s="53" t="n">
        <f aca="false">SUM(O35:Q35)</f>
        <v>274.9435</v>
      </c>
      <c r="S35" s="54" t="n">
        <f aca="false">(I35-R35)+S34</f>
        <v>-19869.9245805421</v>
      </c>
      <c r="T35" s="53" t="n">
        <f aca="false">(AD35-AD34)/$D$2</f>
        <v>0</v>
      </c>
      <c r="U35" s="53" t="n">
        <v>40.5</v>
      </c>
      <c r="V35" s="54" t="n">
        <f aca="false">V34-U35</f>
        <v>5444.36002268716</v>
      </c>
      <c r="W35" s="53" t="n">
        <f aca="false">R35+T35+N35+U35</f>
        <v>339.52</v>
      </c>
      <c r="X35" s="53" t="n">
        <f aca="false">IF(L35&lt;0,L35*-1,0)</f>
        <v>96.357559253656</v>
      </c>
      <c r="Y35" s="53" t="n">
        <f aca="false">W35+X35</f>
        <v>435.877559253656</v>
      </c>
      <c r="Z35" s="57" t="n">
        <v>0.24</v>
      </c>
      <c r="AA35" s="58" t="n">
        <v>42</v>
      </c>
      <c r="AB35" s="86" t="n">
        <v>0</v>
      </c>
      <c r="AC35" s="59" t="n">
        <v>26</v>
      </c>
      <c r="AD35" s="74"/>
      <c r="AE35" s="74"/>
      <c r="AF35" s="78"/>
    </row>
    <row r="36" customFormat="false" ht="11.1" hidden="false" customHeight="true" outlineLevel="0" collapsed="false">
      <c r="A36" s="59" t="n">
        <v>27</v>
      </c>
      <c r="B36" s="76" t="n">
        <v>6890.01</v>
      </c>
      <c r="C36" s="54" t="n">
        <v>248202</v>
      </c>
      <c r="D36" s="58" t="n">
        <f aca="false">C36-C35</f>
        <v>-408</v>
      </c>
      <c r="E36" s="54" t="n">
        <f aca="false">C36-152000</f>
        <v>96202</v>
      </c>
      <c r="F36" s="53" t="n">
        <f aca="false">D36/$D$2</f>
        <v>-205.748865355522</v>
      </c>
      <c r="G36" s="53" t="n">
        <v>140.2</v>
      </c>
      <c r="H36" s="55" t="n">
        <v>4.79</v>
      </c>
      <c r="I36" s="53" t="n">
        <f aca="false">G36+H36</f>
        <v>144.99</v>
      </c>
      <c r="J36" s="77" t="n">
        <f aca="false">IF(L36&gt;0,L36,0)</f>
        <v>0</v>
      </c>
      <c r="K36" s="53" t="n">
        <f aca="false">I36+J36</f>
        <v>144.99</v>
      </c>
      <c r="L36" s="53" t="n">
        <f aca="false">F36-(I36-W36)</f>
        <v>-3.95886535552194</v>
      </c>
      <c r="M36" s="53" t="n">
        <v>50.39</v>
      </c>
      <c r="N36" s="53" t="n">
        <f aca="false">(13.7+13.55)*1.05</f>
        <v>28.6125</v>
      </c>
      <c r="O36" s="53" t="n">
        <f aca="false">M36-N36</f>
        <v>21.7775</v>
      </c>
      <c r="P36" s="53" t="n">
        <v>250.16</v>
      </c>
      <c r="Q36" s="53" t="n">
        <v>5.7</v>
      </c>
      <c r="R36" s="53" t="n">
        <f aca="false">SUM(O36:Q36)</f>
        <v>277.6375</v>
      </c>
      <c r="S36" s="54" t="n">
        <f aca="false">(I36-R36)+S35</f>
        <v>-20002.5720805421</v>
      </c>
      <c r="T36" s="53" t="n">
        <f aca="false">(AD36-AD35)/$D$2</f>
        <v>0</v>
      </c>
      <c r="U36" s="53" t="n">
        <v>40.53</v>
      </c>
      <c r="V36" s="54" t="n">
        <f aca="false">V35-U36</f>
        <v>5403.83002268716</v>
      </c>
      <c r="W36" s="53" t="n">
        <f aca="false">R36+T36+N36+U36</f>
        <v>346.78</v>
      </c>
      <c r="X36" s="53" t="n">
        <f aca="false">IF(L36&lt;0,L36*-1,0)</f>
        <v>3.95886535552194</v>
      </c>
      <c r="Y36" s="53" t="n">
        <f aca="false">W36+X36</f>
        <v>350.738865355522</v>
      </c>
      <c r="Z36" s="57" t="n">
        <v>0.29</v>
      </c>
      <c r="AA36" s="58" t="n">
        <v>42</v>
      </c>
      <c r="AB36" s="86" t="n">
        <v>14</v>
      </c>
      <c r="AC36" s="59" t="n">
        <v>27</v>
      </c>
      <c r="AD36" s="74"/>
      <c r="AE36" s="74"/>
      <c r="AF36" s="78"/>
    </row>
    <row r="37" customFormat="false" ht="11.1" hidden="false" customHeight="true" outlineLevel="0" collapsed="false">
      <c r="A37" s="59" t="n">
        <v>28</v>
      </c>
      <c r="B37" s="76" t="n">
        <v>6889.9</v>
      </c>
      <c r="C37" s="54" t="n">
        <v>247831</v>
      </c>
      <c r="D37" s="58" t="n">
        <f aca="false">C37-C36</f>
        <v>-371</v>
      </c>
      <c r="E37" s="54" t="n">
        <f aca="false">C37-152000</f>
        <v>95831</v>
      </c>
      <c r="F37" s="53" t="n">
        <f aca="false">D37/$D$2</f>
        <v>-187.09026727181</v>
      </c>
      <c r="G37" s="53" t="n">
        <v>167.98</v>
      </c>
      <c r="H37" s="55" t="n">
        <v>8.57</v>
      </c>
      <c r="I37" s="53" t="n">
        <f aca="false">G37+H37</f>
        <v>176.55</v>
      </c>
      <c r="J37" s="77" t="n">
        <f aca="false">IF(L37&gt;0,L37,0)</f>
        <v>68.3197327281896</v>
      </c>
      <c r="K37" s="53" t="n">
        <f aca="false">I37+J37</f>
        <v>244.86973272819</v>
      </c>
      <c r="L37" s="53" t="n">
        <f aca="false">F37-(I37-W37)</f>
        <v>68.3197327281896</v>
      </c>
      <c r="M37" s="53" t="n">
        <v>69.91</v>
      </c>
      <c r="N37" s="53" t="n">
        <f aca="false">(14.84+14.2)*1.05</f>
        <v>30.492</v>
      </c>
      <c r="O37" s="53" t="n">
        <f aca="false">M37-N37</f>
        <v>39.418</v>
      </c>
      <c r="P37" s="53" t="n">
        <v>314.18</v>
      </c>
      <c r="Q37" s="53" t="n">
        <v>5.98</v>
      </c>
      <c r="R37" s="53" t="n">
        <f aca="false">SUM(O37:Q37)</f>
        <v>359.578</v>
      </c>
      <c r="S37" s="54" t="n">
        <f aca="false">(I37-R37)+S36</f>
        <v>-20185.6000805421</v>
      </c>
      <c r="T37" s="53" t="n">
        <f aca="false">(AD37-AD36)/$D$2</f>
        <v>0</v>
      </c>
      <c r="U37" s="53" t="n">
        <v>41.89</v>
      </c>
      <c r="V37" s="54" t="n">
        <f aca="false">V36-U37</f>
        <v>5361.94002268716</v>
      </c>
      <c r="W37" s="53" t="n">
        <f aca="false">R37+T37+N37+U37</f>
        <v>431.96</v>
      </c>
      <c r="X37" s="53" t="n">
        <f aca="false">IF(L37&lt;0,L37*-1,0)</f>
        <v>0</v>
      </c>
      <c r="Y37" s="53" t="n">
        <f aca="false">W37+X37</f>
        <v>431.96</v>
      </c>
      <c r="Z37" s="57" t="n">
        <v>0.29</v>
      </c>
      <c r="AA37" s="58" t="n">
        <v>41</v>
      </c>
      <c r="AB37" s="86" t="n">
        <v>37</v>
      </c>
      <c r="AC37" s="59" t="n">
        <v>28</v>
      </c>
      <c r="AD37" s="74"/>
      <c r="AE37" s="74"/>
      <c r="AF37" s="78"/>
    </row>
    <row r="38" customFormat="false" ht="11.1" hidden="false" customHeight="true" outlineLevel="0" collapsed="false">
      <c r="A38" s="59" t="n">
        <v>29</v>
      </c>
      <c r="B38" s="76" t="n">
        <v>6889.71</v>
      </c>
      <c r="C38" s="54" t="n">
        <v>247192</v>
      </c>
      <c r="D38" s="58" t="n">
        <f aca="false">C38-C37</f>
        <v>-639</v>
      </c>
      <c r="E38" s="54" t="n">
        <f aca="false">C38-152000</f>
        <v>95192</v>
      </c>
      <c r="F38" s="53" t="n">
        <f aca="false">D38/$D$2</f>
        <v>-322.239031770045</v>
      </c>
      <c r="G38" s="53" t="n">
        <v>178.98</v>
      </c>
      <c r="H38" s="55" t="n">
        <v>10.2</v>
      </c>
      <c r="I38" s="53" t="n">
        <f aca="false">G38+H38</f>
        <v>189.18</v>
      </c>
      <c r="J38" s="77" t="n">
        <f aca="false">IF(L38&gt;0,L38,0)</f>
        <v>0</v>
      </c>
      <c r="K38" s="53" t="n">
        <f aca="false">I38+J38</f>
        <v>189.18</v>
      </c>
      <c r="L38" s="53" t="n">
        <f aca="false">F38-(I38-W38)</f>
        <v>-63.7890317700454</v>
      </c>
      <c r="M38" s="53" t="n">
        <v>44.44</v>
      </c>
      <c r="N38" s="53" t="n">
        <f aca="false">(12.13+11.9)*1.05</f>
        <v>25.2315</v>
      </c>
      <c r="O38" s="53" t="n">
        <f aca="false">M38-N38</f>
        <v>19.2085</v>
      </c>
      <c r="P38" s="53" t="n">
        <v>354.09</v>
      </c>
      <c r="Q38" s="53" t="n">
        <v>6.2</v>
      </c>
      <c r="R38" s="53" t="n">
        <f aca="false">SUM(O38:Q38)</f>
        <v>379.4985</v>
      </c>
      <c r="S38" s="54" t="n">
        <f aca="false">(I38-R38)+S37</f>
        <v>-20375.9185805421</v>
      </c>
      <c r="T38" s="53" t="n">
        <f aca="false">(AD38-AD37)/$D$2</f>
        <v>0</v>
      </c>
      <c r="U38" s="53" t="n">
        <v>42.9</v>
      </c>
      <c r="V38" s="54" t="n">
        <f aca="false">V37-U38</f>
        <v>5319.04002268716</v>
      </c>
      <c r="W38" s="53" t="n">
        <f aca="false">R38+T38+N38+U38</f>
        <v>447.63</v>
      </c>
      <c r="X38" s="53" t="n">
        <f aca="false">IF(L38&lt;0,L38*-1,0)</f>
        <v>63.7890317700454</v>
      </c>
      <c r="Y38" s="53" t="n">
        <f aca="false">W38+X38</f>
        <v>511.419031770045</v>
      </c>
      <c r="Z38" s="57" t="n">
        <v>0</v>
      </c>
      <c r="AA38" s="58" t="n">
        <v>38</v>
      </c>
      <c r="AB38" s="86" t="n">
        <v>25</v>
      </c>
      <c r="AC38" s="59" t="n">
        <v>29</v>
      </c>
      <c r="AD38" s="74"/>
      <c r="AE38" s="74"/>
      <c r="AF38" s="78"/>
    </row>
    <row r="39" customFormat="false" ht="11.1" hidden="false" customHeight="true" outlineLevel="0" collapsed="false">
      <c r="A39" s="59" t="n">
        <v>30</v>
      </c>
      <c r="B39" s="76" t="n">
        <v>6889.56</v>
      </c>
      <c r="C39" s="54" t="n">
        <v>246687</v>
      </c>
      <c r="D39" s="58" t="n">
        <f aca="false">C39-C38</f>
        <v>-505</v>
      </c>
      <c r="E39" s="54" t="n">
        <f aca="false">C39-152000</f>
        <v>94687</v>
      </c>
      <c r="F39" s="53" t="n">
        <f aca="false">D39/$D$2</f>
        <v>-254.664649520928</v>
      </c>
      <c r="G39" s="53" t="n">
        <v>151.21</v>
      </c>
      <c r="H39" s="55" t="n">
        <v>7.7</v>
      </c>
      <c r="I39" s="53" t="n">
        <f aca="false">G39+H39</f>
        <v>158.91</v>
      </c>
      <c r="J39" s="77" t="n">
        <f aca="false">IF(L39&gt;0,L39,0)</f>
        <v>5.17535047907217</v>
      </c>
      <c r="K39" s="53" t="n">
        <f aca="false">I39+J39</f>
        <v>164.085350479072</v>
      </c>
      <c r="L39" s="53" t="n">
        <f aca="false">F39-(I39-W39)</f>
        <v>5.17535047907217</v>
      </c>
      <c r="M39" s="53" t="n">
        <v>16.58</v>
      </c>
      <c r="N39" s="53" t="n">
        <f aca="false">(5.79+4.39)*1.05</f>
        <v>10.689</v>
      </c>
      <c r="O39" s="53" t="n">
        <f aca="false">M39-N39</f>
        <v>5.891</v>
      </c>
      <c r="P39" s="53" t="n">
        <v>353.55</v>
      </c>
      <c r="Q39" s="53" t="n">
        <v>6.1</v>
      </c>
      <c r="R39" s="53" t="n">
        <f aca="false">SUM(O39:Q39)</f>
        <v>365.541</v>
      </c>
      <c r="S39" s="54" t="n">
        <f aca="false">(I39-R39)+S38</f>
        <v>-20582.5495805421</v>
      </c>
      <c r="T39" s="53" t="n">
        <f aca="false">(AD39-AD38)/$D$2</f>
        <v>0</v>
      </c>
      <c r="U39" s="53" t="n">
        <v>42.52</v>
      </c>
      <c r="V39" s="54" t="n">
        <f aca="false">V38-U39</f>
        <v>5276.52002268716</v>
      </c>
      <c r="W39" s="53" t="n">
        <f aca="false">R39+T39+N39+U39</f>
        <v>418.75</v>
      </c>
      <c r="X39" s="53" t="n">
        <f aca="false">IF(L39&lt;0,L39*-1,0)</f>
        <v>0</v>
      </c>
      <c r="Y39" s="53" t="n">
        <f aca="false">W39+X39</f>
        <v>418.75</v>
      </c>
      <c r="Z39" s="57" t="n">
        <v>0</v>
      </c>
      <c r="AA39" s="58" t="n">
        <v>54</v>
      </c>
      <c r="AB39" s="86" t="n">
        <v>25</v>
      </c>
      <c r="AC39" s="59" t="n">
        <v>30</v>
      </c>
      <c r="AD39" s="74"/>
      <c r="AE39" s="74"/>
      <c r="AF39" s="78"/>
    </row>
    <row r="40" customFormat="false" ht="11.1" hidden="false" customHeight="true" outlineLevel="0" collapsed="false">
      <c r="A40" s="59" t="n">
        <v>31</v>
      </c>
      <c r="B40" s="76" t="n">
        <v>6889.36</v>
      </c>
      <c r="C40" s="54" t="n">
        <v>246013</v>
      </c>
      <c r="D40" s="58" t="n">
        <f aca="false">C40-C39</f>
        <v>-674</v>
      </c>
      <c r="E40" s="54" t="n">
        <f aca="false">C40-152000</f>
        <v>94013</v>
      </c>
      <c r="F40" s="53" t="n">
        <f aca="false">D40/$D$2</f>
        <v>-339.889056984367</v>
      </c>
      <c r="G40" s="53" t="n">
        <v>149.7</v>
      </c>
      <c r="H40" s="55" t="n">
        <v>6.45</v>
      </c>
      <c r="I40" s="53" t="n">
        <f aca="false">G40+H40</f>
        <v>156.15</v>
      </c>
      <c r="J40" s="77" t="n">
        <f aca="false">IF(L40&gt;0,L40,0)</f>
        <v>0</v>
      </c>
      <c r="K40" s="53" t="n">
        <f aca="false">I40+J40</f>
        <v>156.15</v>
      </c>
      <c r="L40" s="53" t="n">
        <f aca="false">F40-(I40-W40)</f>
        <v>-77.8890569843671</v>
      </c>
      <c r="M40" s="53" t="n">
        <v>19.5</v>
      </c>
      <c r="N40" s="53" t="n">
        <f aca="false">(3.61+0)*1.05</f>
        <v>3.7905</v>
      </c>
      <c r="O40" s="53" t="n">
        <f aca="false">M40-N40</f>
        <v>15.7095</v>
      </c>
      <c r="P40" s="53" t="n">
        <v>352.41</v>
      </c>
      <c r="Q40" s="53" t="n">
        <v>4.04</v>
      </c>
      <c r="R40" s="53" t="n">
        <f aca="false">SUM(O40:Q40)</f>
        <v>372.1595</v>
      </c>
      <c r="S40" s="54" t="n">
        <f aca="false">(I40-R40)+S39</f>
        <v>-20798.5590805421</v>
      </c>
      <c r="T40" s="53" t="n">
        <f aca="false">(AD40-AD39)/$D$2</f>
        <v>0</v>
      </c>
      <c r="U40" s="53" t="n">
        <v>42.2</v>
      </c>
      <c r="V40" s="54" t="n">
        <f aca="false">V39-U40</f>
        <v>5234.32002268716</v>
      </c>
      <c r="W40" s="53" t="n">
        <f aca="false">R40+T40+N40+U40</f>
        <v>418.15</v>
      </c>
      <c r="X40" s="53" t="n">
        <f aca="false">IF(L40&lt;0,L40*-1,0)</f>
        <v>77.8890569843671</v>
      </c>
      <c r="Y40" s="53" t="n">
        <f aca="false">W40+X40</f>
        <v>496.039056984367</v>
      </c>
      <c r="Z40" s="57" t="n">
        <v>0</v>
      </c>
      <c r="AA40" s="58" t="n">
        <v>0</v>
      </c>
      <c r="AB40" s="86" t="n">
        <v>36</v>
      </c>
      <c r="AC40" s="59" t="n">
        <v>31</v>
      </c>
      <c r="AD40" s="74"/>
      <c r="AE40" s="74"/>
      <c r="AF40" s="78"/>
    </row>
    <row r="41" customFormat="false" ht="3" hidden="false" customHeight="true" outlineLevel="0" collapsed="false">
      <c r="A41" s="79"/>
      <c r="B41" s="79"/>
      <c r="C41" s="81"/>
      <c r="D41" s="79"/>
      <c r="E41" s="81"/>
      <c r="F41" s="79"/>
      <c r="G41" s="79"/>
      <c r="H41" s="82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1"/>
      <c r="T41" s="79"/>
      <c r="U41" s="79"/>
      <c r="V41" s="79"/>
      <c r="W41" s="79"/>
      <c r="X41" s="79"/>
      <c r="Y41" s="79"/>
      <c r="Z41" s="83"/>
      <c r="AA41" s="84" t="n">
        <v>73</v>
      </c>
      <c r="AB41" s="84"/>
      <c r="AC41" s="85"/>
      <c r="AD41" s="74"/>
      <c r="AE41" s="74"/>
      <c r="AF41" s="7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594.0494200706</v>
      </c>
      <c r="G42" s="54" t="n">
        <f aca="false">SUM(G10:G40)</f>
        <v>7536.71</v>
      </c>
      <c r="H42" s="54" t="n">
        <f aca="false">SUM(H10:H40)</f>
        <v>186.01</v>
      </c>
      <c r="I42" s="54" t="n">
        <f aca="false">SUM(I10:I40)</f>
        <v>7722.72</v>
      </c>
      <c r="J42" s="54" t="n">
        <f aca="false">SUM(J10:J40)</f>
        <v>896.547377710539</v>
      </c>
      <c r="K42" s="54" t="n">
        <f aca="false">SUM(K10:K40)</f>
        <v>8619.26737771054</v>
      </c>
      <c r="L42" s="54" t="n">
        <f aca="false">SUM(L10:L40)</f>
        <v>23.9494200706</v>
      </c>
      <c r="M42" s="54" t="n">
        <f aca="false">SUM(M11:M40)</f>
        <v>1173.47</v>
      </c>
      <c r="N42" s="54" t="n">
        <f aca="false">SUM(N10:N40)</f>
        <v>493.836</v>
      </c>
      <c r="O42" s="54" t="n">
        <f aca="false">SUM(O10:O40)</f>
        <v>723.444</v>
      </c>
      <c r="P42" s="54" t="n">
        <f aca="false">SUM(P10:P40)</f>
        <v>4178.8</v>
      </c>
      <c r="Q42" s="54" t="n">
        <f aca="false">SUM(Q10:Q40)</f>
        <v>213.93</v>
      </c>
      <c r="R42" s="54" t="n">
        <f aca="false">SUM(R10:R40)</f>
        <v>5116.174</v>
      </c>
      <c r="S42" s="54"/>
      <c r="T42" s="54" t="n">
        <f aca="false">SUM(T10:T40)</f>
        <v>49.65</v>
      </c>
      <c r="U42" s="54" t="n">
        <f aca="false">SUM(U10:U40)</f>
        <v>1492.96</v>
      </c>
      <c r="V42" s="54"/>
      <c r="W42" s="54" t="n">
        <f aca="false">SUM(W10:W40)</f>
        <v>7152.62</v>
      </c>
      <c r="X42" s="54" t="n">
        <f aca="false">SUM(X10:X40)</f>
        <v>872.597957639939</v>
      </c>
      <c r="Y42" s="54" t="n">
        <f aca="false">SUM(Y10:Y40)</f>
        <v>8025.21795763994</v>
      </c>
      <c r="Z42" s="57" t="n">
        <f aca="false">SUM(Z10:Z40)</f>
        <v>3.12</v>
      </c>
      <c r="AA42" s="58" t="n">
        <f aca="false">AVERAGE(AA10:AA40)</f>
        <v>58.1612903225807</v>
      </c>
      <c r="AB42" s="58" t="n">
        <f aca="false">AVERAGE(AB10:AB40)</f>
        <v>33.4193548387097</v>
      </c>
      <c r="AC42" s="59"/>
      <c r="AD42" s="74"/>
      <c r="AE42" s="74"/>
      <c r="AF42" s="75"/>
    </row>
    <row r="43" customFormat="false" ht="11.1" hidden="false" customHeight="true" outlineLevel="0" collapsed="false">
      <c r="A43" s="53" t="s">
        <v>47</v>
      </c>
      <c r="B43" s="53"/>
      <c r="C43" s="54"/>
      <c r="D43" s="54" t="n">
        <f aca="false">SUM(D10:D40)</f>
        <v>1178</v>
      </c>
      <c r="E43" s="54"/>
      <c r="F43" s="54" t="n">
        <f aca="false">F42*$D$2</f>
        <v>1178</v>
      </c>
      <c r="G43" s="54" t="n">
        <f aca="false">G42*$D$2</f>
        <v>14945.29593</v>
      </c>
      <c r="H43" s="54" t="n">
        <f aca="false">H42*$D$2</f>
        <v>368.85783</v>
      </c>
      <c r="I43" s="54" t="n">
        <f aca="false">I42*$D$2</f>
        <v>15314.15376</v>
      </c>
      <c r="J43" s="54" t="n">
        <f aca="false">J42*$D$2</f>
        <v>1777.85345</v>
      </c>
      <c r="K43" s="54" t="n">
        <f aca="false">K42*$D$2</f>
        <v>17092.00721</v>
      </c>
      <c r="L43" s="54" t="n">
        <f aca="false">L42*$D$2</f>
        <v>47.4916999999998</v>
      </c>
      <c r="M43" s="54" t="n">
        <f aca="false">M42*$D$2</f>
        <v>2326.99101</v>
      </c>
      <c r="N43" s="54" t="n">
        <f aca="false">N42*$D$2</f>
        <v>979.276788</v>
      </c>
      <c r="O43" s="54" t="n">
        <f aca="false">O42*$D$2</f>
        <v>1434.589452</v>
      </c>
      <c r="P43" s="54" t="n">
        <f aca="false">P42*$D$2</f>
        <v>8286.5604</v>
      </c>
      <c r="Q43" s="54" t="n">
        <f aca="false">Q42*$D$2</f>
        <v>424.22319</v>
      </c>
      <c r="R43" s="54" t="n">
        <f aca="false">R42*$D$2</f>
        <v>10145.373042</v>
      </c>
      <c r="S43" s="54"/>
      <c r="T43" s="54" t="n">
        <f aca="false">T42*$D$2</f>
        <v>98.45595</v>
      </c>
      <c r="U43" s="54" t="n">
        <f aca="false">U42*$D$2</f>
        <v>2960.53968</v>
      </c>
      <c r="V43" s="54" t="n">
        <f aca="false">V42*$D$2</f>
        <v>0</v>
      </c>
      <c r="W43" s="54" t="n">
        <f aca="false">W42*$D$2</f>
        <v>14183.64546</v>
      </c>
      <c r="X43" s="54" t="n">
        <f aca="false">X42*$D$2</f>
        <v>1730.36175</v>
      </c>
      <c r="Y43" s="54" t="n">
        <f aca="false">Y42*$D$2</f>
        <v>15914.00721</v>
      </c>
      <c r="Z43" s="57"/>
      <c r="AA43" s="58" t="n">
        <f aca="false">MAX(AA10:AA40)</f>
        <v>80</v>
      </c>
      <c r="AB43" s="58" t="n">
        <f aca="false">MAX(AB10:AB40)</f>
        <v>46</v>
      </c>
      <c r="AC43" s="59" t="s">
        <v>48</v>
      </c>
      <c r="AD43" s="74"/>
      <c r="AE43" s="74"/>
      <c r="AF43" s="75"/>
    </row>
    <row r="44" customFormat="false" ht="3" hidden="false" customHeight="true" outlineLevel="0" collapsed="false">
      <c r="A44" s="79"/>
      <c r="B44" s="79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79"/>
      <c r="W44" s="81"/>
      <c r="X44" s="81"/>
      <c r="Y44" s="81"/>
      <c r="Z44" s="57"/>
      <c r="AA44" s="58"/>
      <c r="AB44" s="58"/>
      <c r="AC44" s="59"/>
      <c r="AD44" s="74"/>
      <c r="AE44" s="74"/>
      <c r="AF44" s="75"/>
    </row>
    <row r="45" customFormat="false" ht="11.1" hidden="false" customHeight="true" outlineLevel="0" collapsed="false">
      <c r="A45" s="53" t="s">
        <v>49</v>
      </c>
      <c r="B45" s="53"/>
      <c r="C45" s="54"/>
      <c r="D45" s="54"/>
      <c r="E45" s="54"/>
      <c r="F45" s="54" t="n">
        <f aca="false">F7+F42</f>
        <v>-36306.4562774</v>
      </c>
      <c r="G45" s="54" t="n">
        <f aca="false">G7+G42</f>
        <v>85357.21</v>
      </c>
      <c r="H45" s="54" t="n">
        <f aca="false">H7+H42</f>
        <v>880.99</v>
      </c>
      <c r="I45" s="54" t="n">
        <f aca="false">I7+I42</f>
        <v>86238.2</v>
      </c>
      <c r="J45" s="54" t="n">
        <f aca="false">J7+J42</f>
        <v>9633.45290273285</v>
      </c>
      <c r="K45" s="54" t="n">
        <f aca="false">K7+K42</f>
        <v>95871.6529027328</v>
      </c>
      <c r="L45" s="54" t="n">
        <f aca="false">L7+L42</f>
        <v>-393.237999597151</v>
      </c>
      <c r="M45" s="54" t="n">
        <f aca="false">M7+M42</f>
        <v>44180.58</v>
      </c>
      <c r="N45" s="54" t="n">
        <f aca="false">N7+N42</f>
        <v>8518.12697985791</v>
      </c>
      <c r="O45" s="54" t="n">
        <f aca="false">O7+O42</f>
        <v>35706.2630201421</v>
      </c>
      <c r="P45" s="54" t="n">
        <f aca="false">P7+P42</f>
        <v>25130.77</v>
      </c>
      <c r="Q45" s="54" t="n">
        <f aca="false">Q7+Q42</f>
        <v>11903.9114537434</v>
      </c>
      <c r="R45" s="54" t="n">
        <f aca="false">R7+R42</f>
        <v>72740.9444738855</v>
      </c>
      <c r="S45" s="54" t="n">
        <f aca="false">S40</f>
        <v>-20798.5590805421</v>
      </c>
      <c r="T45" s="54" t="n">
        <f aca="false">T7+T42</f>
        <v>27593.2662921714</v>
      </c>
      <c r="U45" s="54" t="n">
        <f aca="false">U7+U42</f>
        <v>13278.41</v>
      </c>
      <c r="V45" s="54"/>
      <c r="W45" s="54" t="n">
        <f aca="false">W7+W42</f>
        <v>122151.418277803</v>
      </c>
      <c r="X45" s="54" t="n">
        <f aca="false">X7+X42</f>
        <v>10026.69090233</v>
      </c>
      <c r="Y45" s="54" t="n">
        <f aca="false">Y7+Y42</f>
        <v>132178.109180133</v>
      </c>
      <c r="Z45" s="57"/>
      <c r="AA45" s="58" t="n">
        <f aca="false">MIN(AA10:AA40)</f>
        <v>0</v>
      </c>
      <c r="AB45" s="58" t="n">
        <f aca="false">MIN(AB10:AB40)</f>
        <v>0</v>
      </c>
      <c r="AC45" s="59" t="s">
        <v>50</v>
      </c>
      <c r="AD45" s="74"/>
      <c r="AE45" s="74"/>
      <c r="AF45" s="75"/>
    </row>
    <row r="46" customFormat="false" ht="11.1" hidden="false" customHeight="true" outlineLevel="0" collapsed="false">
      <c r="A46" s="53" t="s">
        <v>51</v>
      </c>
      <c r="B46" s="53"/>
      <c r="C46" s="54"/>
      <c r="D46" s="54"/>
      <c r="E46" s="54"/>
      <c r="F46" s="54" t="n">
        <f aca="false">F45*$D$2</f>
        <v>-71995.7027980842</v>
      </c>
      <c r="G46" s="54" t="n">
        <f aca="false">G45*$D$2</f>
        <v>169263.34743</v>
      </c>
      <c r="H46" s="54" t="n">
        <f aca="false">H45*$D$2</f>
        <v>1747.00317</v>
      </c>
      <c r="I46" s="54" t="n">
        <f aca="false">I45*$D$2</f>
        <v>171010.3506</v>
      </c>
      <c r="J46" s="54" t="n">
        <f aca="false">J45*$D$2</f>
        <v>19103.1371061192</v>
      </c>
      <c r="K46" s="54" t="n">
        <f aca="false">K45*$D$2</f>
        <v>190113.487706119</v>
      </c>
      <c r="L46" s="54" t="n">
        <f aca="false">L45*$D$2</f>
        <v>-779.790953201151</v>
      </c>
      <c r="M46" s="54" t="n">
        <f aca="false">M45*$D$2</f>
        <v>87610.09014</v>
      </c>
      <c r="N46" s="54" t="n">
        <f aca="false">N45*$D$2</f>
        <v>16891.4458010582</v>
      </c>
      <c r="O46" s="54" t="n">
        <f aca="false">O45*$D$2</f>
        <v>70805.5195689418</v>
      </c>
      <c r="P46" s="54" t="n">
        <f aca="false">P45*$D$2</f>
        <v>49834.31691</v>
      </c>
      <c r="Q46" s="54" t="n">
        <f aca="false">Q45*$D$2</f>
        <v>23605.4564127731</v>
      </c>
      <c r="R46" s="54" t="n">
        <f aca="false">R45*$D$2</f>
        <v>144245.292891715</v>
      </c>
      <c r="S46" s="54" t="n">
        <f aca="false">S45*$D$2</f>
        <v>-41243.5426567149</v>
      </c>
      <c r="T46" s="54" t="n">
        <f aca="false">T45*$D$2</f>
        <v>54717.4470573759</v>
      </c>
      <c r="U46" s="54" t="n">
        <f aca="false">U45*$D$2</f>
        <v>26331.08703</v>
      </c>
      <c r="V46" s="54" t="n">
        <f aca="false">V45*$D$2</f>
        <v>0</v>
      </c>
      <c r="W46" s="54" t="n">
        <f aca="false">W45*$D$2</f>
        <v>242226.262444883</v>
      </c>
      <c r="X46" s="54" t="n">
        <f aca="false">X45*$D$2</f>
        <v>19882.9280593204</v>
      </c>
      <c r="Y46" s="54" t="n">
        <f aca="false">Y45*$D$2</f>
        <v>262109.190504203</v>
      </c>
      <c r="Z46" s="57"/>
      <c r="AA46" s="58"/>
      <c r="AB46" s="58"/>
      <c r="AC46" s="59"/>
      <c r="AD46" s="74"/>
      <c r="AE46" s="74"/>
      <c r="AF46" s="75"/>
    </row>
    <row r="47" customFormat="false" ht="3" hidden="false" customHeight="true" outlineLevel="0" collapsed="false">
      <c r="A47" s="79"/>
      <c r="B47" s="79"/>
      <c r="C47" s="81"/>
      <c r="D47" s="81"/>
      <c r="E47" s="81"/>
      <c r="F47" s="81"/>
      <c r="G47" s="81"/>
      <c r="H47" s="84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3"/>
      <c r="AA47" s="58"/>
      <c r="AB47" s="58"/>
      <c r="AC47" s="59"/>
      <c r="AD47" s="74"/>
      <c r="AE47" s="74"/>
      <c r="AF47" s="75"/>
    </row>
    <row r="48" customFormat="false" ht="11.1" hidden="false" customHeight="true" outlineLevel="0" collapsed="false">
      <c r="A48" s="53" t="s">
        <v>52</v>
      </c>
      <c r="B48" s="53"/>
      <c r="C48" s="54"/>
      <c r="D48" s="54"/>
      <c r="E48" s="54"/>
      <c r="F48" s="54" t="n">
        <f aca="false">F8+F42</f>
        <v>-34057.8430650954</v>
      </c>
      <c r="G48" s="54" t="n">
        <f aca="false">G8+G42</f>
        <v>96670.8201260716</v>
      </c>
      <c r="H48" s="58" t="n">
        <f aca="false">H8+H42</f>
        <v>1003.25</v>
      </c>
      <c r="I48" s="54" t="n">
        <f aca="false">I8+I42</f>
        <v>97673.9701260716</v>
      </c>
      <c r="J48" s="54" t="n">
        <f aca="false">J8+J42</f>
        <v>12034.2529733329</v>
      </c>
      <c r="K48" s="54" t="n">
        <f aca="false">K8+K42</f>
        <v>109708.223099405</v>
      </c>
      <c r="L48" s="54" t="n">
        <f aca="false">L8+L42</f>
        <v>-2177.22491336417</v>
      </c>
      <c r="M48" s="54" t="n">
        <f aca="false">M8+M42</f>
        <v>45632.38</v>
      </c>
      <c r="N48" s="54" t="n">
        <f aca="false">N8+N42</f>
        <v>8577.82697985791</v>
      </c>
      <c r="O48" s="54" t="n">
        <f aca="false">O8+O42</f>
        <v>36605.8630201421</v>
      </c>
      <c r="P48" s="54" t="n">
        <f aca="false">P8+P42</f>
        <v>25965.02</v>
      </c>
      <c r="Q48" s="54" t="n">
        <f aca="false">Q8+Q42</f>
        <v>11903.9114537434</v>
      </c>
      <c r="R48" s="54" t="n">
        <f aca="false">R8+R42</f>
        <v>74843.2944738855</v>
      </c>
      <c r="S48" s="54"/>
      <c r="T48" s="54" t="n">
        <f aca="false">T8+T42</f>
        <v>27593.2662921714</v>
      </c>
      <c r="U48" s="54" t="n">
        <f aca="false">U8+U42</f>
        <v>18395.53</v>
      </c>
      <c r="V48" s="54" t="n">
        <f aca="false">V40</f>
        <v>5234.32002268716</v>
      </c>
      <c r="W48" s="54" t="n">
        <f aca="false">W8+W42</f>
        <v>129554.588277803</v>
      </c>
      <c r="X48" s="54" t="n">
        <f aca="false">X8+X42</f>
        <v>14211.4778866971</v>
      </c>
      <c r="Y48" s="54" t="n">
        <f aca="false">Y8+Y42</f>
        <v>143766.0661645</v>
      </c>
      <c r="Z48" s="77" t="n">
        <f aca="false">Z8+Z42</f>
        <v>14.152</v>
      </c>
      <c r="AA48" s="58"/>
      <c r="AB48" s="58"/>
      <c r="AC48" s="59"/>
      <c r="AD48" s="74"/>
      <c r="AE48" s="74"/>
      <c r="AF48" s="75"/>
    </row>
    <row r="49" customFormat="false" ht="11.1" hidden="false" customHeight="true" outlineLevel="0" collapsed="false">
      <c r="A49" s="53" t="s">
        <v>53</v>
      </c>
      <c r="B49" s="53"/>
      <c r="C49" s="54"/>
      <c r="D49" s="54" t="n">
        <f aca="false">D8+D43</f>
        <v>-58086</v>
      </c>
      <c r="E49" s="54" t="n">
        <f aca="false">E40</f>
        <v>94013</v>
      </c>
      <c r="F49" s="54" t="n">
        <f aca="false">F48*$D$2</f>
        <v>-67536.7027980842</v>
      </c>
      <c r="G49" s="54" t="n">
        <f aca="false">G48*$D$2</f>
        <v>191698.23631</v>
      </c>
      <c r="H49" s="58" t="n">
        <f aca="false">H48*$D$2</f>
        <v>1989.44475</v>
      </c>
      <c r="I49" s="54" t="n">
        <f aca="false">I48*$D$2</f>
        <v>193687.48276</v>
      </c>
      <c r="J49" s="54" t="n">
        <f aca="false">J48*$D$2</f>
        <v>23863.9236461192</v>
      </c>
      <c r="K49" s="54" t="n">
        <f aca="false">K48*$D$2</f>
        <v>217551.406406119</v>
      </c>
      <c r="L49" s="54" t="n">
        <f aca="false">L48*$D$2</f>
        <v>-4317.43700320115</v>
      </c>
      <c r="M49" s="54" t="n">
        <f aca="false">M48*$D$2</f>
        <v>90489.00954</v>
      </c>
      <c r="N49" s="54" t="n">
        <f aca="false">N48*$D$2</f>
        <v>17009.8309010582</v>
      </c>
      <c r="O49" s="54" t="n">
        <f aca="false">O48*$D$2</f>
        <v>72589.4263689418</v>
      </c>
      <c r="P49" s="54" t="n">
        <f aca="false">P48*$D$2</f>
        <v>51488.63466</v>
      </c>
      <c r="Q49" s="54" t="n">
        <f aca="false">Q48*$D$2</f>
        <v>23605.4564127731</v>
      </c>
      <c r="R49" s="54" t="n">
        <f aca="false">R48*$D$2</f>
        <v>148414.252941715</v>
      </c>
      <c r="S49" s="54" t="n">
        <f aca="false">S48*$D$2</f>
        <v>0</v>
      </c>
      <c r="T49" s="54" t="n">
        <f aca="false">T48*$D$2</f>
        <v>54717.4470573759</v>
      </c>
      <c r="U49" s="54" t="n">
        <f aca="false">U48*$D$2</f>
        <v>36478.33599</v>
      </c>
      <c r="V49" s="54" t="n">
        <f aca="false">V48*$D$2</f>
        <v>10379.6566049886</v>
      </c>
      <c r="W49" s="54" t="n">
        <f aca="false">W48*$D$2</f>
        <v>256906.748554883</v>
      </c>
      <c r="X49" s="54" t="n">
        <f aca="false">X48*$D$2</f>
        <v>28181.3606493204</v>
      </c>
      <c r="Y49" s="54" t="n">
        <f aca="false">Y48*$D$2</f>
        <v>285088.109204203</v>
      </c>
      <c r="Z49" s="57"/>
      <c r="AA49" s="58"/>
      <c r="AB49" s="58"/>
      <c r="AC49" s="59"/>
      <c r="AD49" s="74"/>
      <c r="AE49" s="74"/>
      <c r="AF49" s="75"/>
    </row>
    <row r="50" customFormat="false" ht="3" hidden="false" customHeight="true" outlineLevel="0" collapsed="false">
      <c r="A50" s="79"/>
      <c r="B50" s="79"/>
      <c r="C50" s="81"/>
      <c r="D50" s="79"/>
      <c r="E50" s="81"/>
      <c r="F50" s="79"/>
      <c r="G50" s="79"/>
      <c r="H50" s="82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81"/>
      <c r="T50" s="79"/>
      <c r="U50" s="79"/>
      <c r="V50" s="81"/>
      <c r="W50" s="79"/>
      <c r="X50" s="79"/>
      <c r="Y50" s="79"/>
      <c r="Z50" s="57"/>
      <c r="AA50" s="58"/>
      <c r="AB50" s="58"/>
      <c r="AC50" s="59"/>
      <c r="AD50" s="74"/>
      <c r="AE50" s="74"/>
      <c r="AF50" s="75"/>
    </row>
    <row r="51" customFormat="false" ht="11.1" hidden="false" customHeight="true" outlineLevel="0" collapsed="false">
      <c r="A51" s="120" t="str">
        <f aca="false">"NOV /7"</f>
        <v>NOV /7</v>
      </c>
      <c r="B51" s="88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60"/>
      <c r="AE51" s="60"/>
    </row>
    <row r="52" customFormat="false" ht="11.1" hidden="false" customHeight="true" outlineLevel="0" collapsed="false">
      <c r="A52" s="53"/>
      <c r="B52" s="76" t="n">
        <v>6889.52</v>
      </c>
      <c r="C52" s="54" t="n">
        <v>246552</v>
      </c>
      <c r="D52" s="86"/>
      <c r="E52" s="54" t="n">
        <f aca="false">C52-152000</f>
        <v>94552</v>
      </c>
      <c r="F52" s="53"/>
      <c r="G52" s="53"/>
      <c r="H52" s="86"/>
      <c r="I52" s="55"/>
      <c r="J52" s="53"/>
      <c r="K52" s="43"/>
      <c r="L52" s="53"/>
      <c r="M52" s="53"/>
      <c r="N52" s="53"/>
      <c r="O52" s="46"/>
      <c r="S52" s="54"/>
      <c r="T52" s="100" t="n">
        <v>53026</v>
      </c>
      <c r="U52" s="46" t="str">
        <f aca="false">"= FS metered "</f>
        <v>= FS metered </v>
      </c>
      <c r="V52" s="54"/>
      <c r="W52" s="53"/>
      <c r="X52" s="53"/>
      <c r="Y52" s="53"/>
      <c r="Z52" s="57"/>
      <c r="AA52" s="58"/>
      <c r="AB52" s="58"/>
      <c r="AC52" s="59"/>
      <c r="AD52" s="60"/>
      <c r="AE52" s="60"/>
    </row>
    <row r="53" customFormat="false" ht="11.1" hidden="false" customHeight="true" outlineLevel="0" collapsed="false">
      <c r="A53" s="86" t="str">
        <f aca="false">"9/12/96 thru 10/7/96"</f>
        <v>9/12/96 thru 10/7/96</v>
      </c>
      <c r="B53" s="86"/>
      <c r="C53" s="54"/>
      <c r="D53" s="54"/>
      <c r="E53" s="54"/>
      <c r="F53" s="86"/>
      <c r="G53" s="86"/>
      <c r="H53" s="55"/>
      <c r="I53" s="86"/>
      <c r="J53" s="86"/>
      <c r="K53" s="86"/>
      <c r="L53" s="86"/>
      <c r="M53" s="77"/>
      <c r="N53" s="77"/>
      <c r="O53" s="77"/>
      <c r="P53" s="53" t="s">
        <v>102</v>
      </c>
      <c r="Q53" s="53"/>
      <c r="R53" s="54" t="n">
        <v>3803</v>
      </c>
      <c r="S53" s="54"/>
      <c r="T53" s="125" t="n">
        <f aca="false">T52/T49</f>
        <v>0.969087610107207</v>
      </c>
      <c r="U53" s="46" t="str">
        <f aca="false">"= FS Delivery Efficiency"</f>
        <v>= FS Delivery Efficiency</v>
      </c>
      <c r="V53" s="54"/>
      <c r="W53" s="86"/>
      <c r="X53" s="86"/>
      <c r="Y53" s="86"/>
      <c r="Z53" s="57"/>
      <c r="AA53" s="58"/>
      <c r="AB53" s="58"/>
      <c r="AC53" s="59"/>
      <c r="AD53" s="89"/>
      <c r="AE53" s="89"/>
    </row>
    <row r="54" customFormat="false" ht="11.1" hidden="false" customHeight="true" outlineLevel="0" collapsed="false">
      <c r="A54" s="86"/>
      <c r="B54" s="57" t="n">
        <f aca="false">B52-B21</f>
        <v>-1.36999999999989</v>
      </c>
      <c r="C54" s="54"/>
      <c r="D54" s="54" t="n">
        <f aca="false">C52-C21</f>
        <v>-4643</v>
      </c>
      <c r="E54" s="54"/>
      <c r="F54" s="86"/>
      <c r="G54" s="86"/>
      <c r="H54" s="55"/>
      <c r="I54" s="86"/>
      <c r="J54" s="86"/>
      <c r="K54" s="86"/>
      <c r="L54" s="86"/>
      <c r="M54" s="77"/>
      <c r="N54" s="77"/>
      <c r="O54" s="77"/>
      <c r="P54" s="86" t="s">
        <v>103</v>
      </c>
      <c r="Q54" s="86"/>
      <c r="R54" s="100" t="n">
        <v>1189</v>
      </c>
      <c r="S54" s="54"/>
      <c r="T54" s="86"/>
      <c r="V54" s="54"/>
      <c r="W54" s="86"/>
      <c r="X54" s="86"/>
      <c r="Y54" s="86"/>
      <c r="Z54" s="57"/>
      <c r="AA54" s="58"/>
      <c r="AB54" s="58"/>
      <c r="AC54" s="59"/>
      <c r="AD54" s="89"/>
      <c r="AE54" s="89"/>
    </row>
    <row r="55" customFormat="false" ht="11.1" hidden="false" customHeight="true" outlineLevel="0" collapsed="false">
      <c r="A55" s="86"/>
      <c r="B55" s="86"/>
      <c r="C55" s="54"/>
      <c r="D55" s="86"/>
      <c r="E55" s="54"/>
      <c r="F55" s="86"/>
      <c r="G55" s="90"/>
      <c r="H55" s="55"/>
      <c r="I55" s="86"/>
      <c r="J55" s="86"/>
      <c r="K55" s="86"/>
      <c r="L55" s="86"/>
      <c r="M55" s="77"/>
      <c r="N55" s="77"/>
      <c r="O55" s="77"/>
      <c r="P55" s="86" t="s">
        <v>104</v>
      </c>
      <c r="Q55" s="86"/>
      <c r="R55" s="54" t="n">
        <f aca="false">R49-(R53+R54)</f>
        <v>143422.252941715</v>
      </c>
      <c r="S55" s="54"/>
      <c r="T55" s="86"/>
      <c r="V55" s="54"/>
      <c r="W55" s="86"/>
      <c r="X55" s="86"/>
      <c r="Y55" s="86"/>
      <c r="Z55" s="57"/>
      <c r="AA55" s="58"/>
      <c r="AB55" s="58"/>
      <c r="AC55" s="59"/>
      <c r="AD55" s="89"/>
      <c r="AE55" s="8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2004-12-01T08:45:40Z</dcterms:created>
  <dc:creator>JOHN PORTER</dc:creator>
  <dc:description/>
  <dc:language>en-US</dc:language>
  <cp:lastModifiedBy>La Von Millard</cp:lastModifiedBy>
  <cp:lastPrinted>2003-03-12T12:47:55Z</cp:lastPrinted>
  <dcterms:modified xsi:type="dcterms:W3CDTF">2014-03-26T14:04:21Z</dcterms:modified>
  <cp:revision>0</cp:revision>
  <dc:subject>MCPHEE IN/OUT FLOW</dc:subject>
  <dc:title>RIVER</dc:title>
</cp:coreProperties>
</file>